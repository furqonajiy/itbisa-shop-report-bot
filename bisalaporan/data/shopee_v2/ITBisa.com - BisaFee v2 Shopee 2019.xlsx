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Default Extension="emf" ContentType="image/x-emf"/>
  <Default Extension="emz" ContentType="image/x-emz"/>
  <Default Extension="wmz" ContentType="image/x-wmz"/>
  <Default Extension="bmp" ContentType="image/bmp"/>
  <Default Extension="svg" ContentType="image/svg"/>
  <Default Extension="wmf" ContentType="image/x-wmf"/>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fileVersion appName="Go XLSX"/>
  <workbookPr showObjects="all"/>
  <workbookProtection/>
  <bookViews>
    <workbookView showHorizontalScroll="true" showVerticalScroll="true" showSheetTabs="true" xWindow="0" yWindow="0" windowWidth="16384" windowHeight="8192" tabRatio="204"/>
  </bookViews>
  <sheets>
    <sheet name="Summary" sheetId="1" r:id="rId1" state="visible"/>
    <sheet name="Income" sheetId="2" r:id="rId2" state="visible"/>
    <sheet name="Free Returns Fee Details" sheetId="3" r:id="rId3" state="visible"/>
  </sheets>
  <definedNames/>
  <calcPr iterateCount="100" iterateDelta="0.001" refMode="A1"/>
</workbook>
</file>

<file path=xl/sharedStrings.xml><?xml version="1.0" encoding="utf-8"?>
<sst xmlns="http://schemas.openxmlformats.org/spreadsheetml/2006/main" count="75" uniqueCount="75">
  <si>
    <t>Laporan Penghasilan</t>
  </si>
  <si>
    <t>Rincian Laporan</t>
  </si>
  <si>
    <t>Username (Penjual)</t>
  </si>
  <si>
    <t>itbisa</t>
  </si>
  <si>
    <t>Dari</t>
  </si>
  <si>
    <t>2019-01-01</t>
  </si>
  <si>
    <t>ke</t>
  </si>
  <si>
    <t>2019-12-31</t>
  </si>
  <si>
    <t>Ringkasan Penghasilan</t>
  </si>
  <si>
    <t>Rp</t>
  </si>
  <si>
    <t>1. Total Pendapatan</t>
  </si>
  <si>
    <t>Total Produk</t>
  </si>
  <si>
    <t>Harga Asli Produk</t>
  </si>
  <si>
    <t>Total Diskon Produk</t>
  </si>
  <si>
    <t>Jumlah Pengembalian Dana ke Pembeli</t>
  </si>
  <si>
    <t>Voucher &amp; Subsidi Shopee</t>
  </si>
  <si>
    <t>Diskon Produk dari Shopee</t>
  </si>
  <si>
    <t>Diskon Voucher Ditanggung Penjual</t>
  </si>
  <si>
    <t>Cashback Koin yang Ditanggung Penjual</t>
  </si>
  <si>
    <t>2. Total Pengeluaran</t>
  </si>
  <si>
    <t>Total Biaya Pengiriman</t>
  </si>
  <si>
    <t>Ongkir Dibayar Pembeli</t>
  </si>
  <si>
    <t>Diskon Ongkir Ditanggung Jasa Kirim</t>
  </si>
  <si>
    <t>Gratis Ongkir dari Shopee</t>
  </si>
  <si>
    <t>Ongkir yang Diteruskan oleh Shopee ke Jasa Kirim</t>
  </si>
  <si>
    <t>Ongkos Kirim Pengembalian Barang</t>
  </si>
  <si>
    <t>Biaya Admin &amp; Layanan</t>
  </si>
  <si>
    <t>AMS Commission Fee</t>
  </si>
  <si>
    <t>Biaya Administrasi</t>
  </si>
  <si>
    <t>Biaya Layanan (termasuk PPN 11%)</t>
  </si>
  <si>
    <t>Premium</t>
  </si>
  <si>
    <t>Biaya Transaksi</t>
  </si>
  <si>
    <t>Biaya Kampanye</t>
  </si>
  <si>
    <t>Bea Masuk, PPN &amp; PPh</t>
  </si>
  <si>
    <t>3. Total yang Dilepas</t>
  </si>
  <si>
    <t>Nilai Lainnya</t>
  </si>
  <si>
    <t>Promo Gratis Ongkir dari Penjual</t>
  </si>
  <si>
    <t>total(Rp)</t>
  </si>
  <si>
    <t>No.</t>
  </si>
  <si>
    <t>No. Pesanan</t>
  </si>
  <si>
    <t>No. Pengajuan</t>
  </si>
  <si>
    <t>Username (Pembeli)</t>
  </si>
  <si>
    <t>Waktu Pesanan Dibuat</t>
  </si>
  <si>
    <t>Metode pembayaran pembeli</t>
  </si>
  <si>
    <t>Tanggal Dana Dilepaskan</t>
  </si>
  <si>
    <t>Total Penghasilan</t>
  </si>
  <si>
    <t>Kode Voucher</t>
  </si>
  <si>
    <t>Kompensasi</t>
  </si>
  <si>
    <t>Jasa Kirim</t>
  </si>
  <si>
    <t>Nama Kurir</t>
  </si>
  <si>
    <t>Pengembalian Dana ke Pembeli</t>
  </si>
  <si>
    <t>Pro-rata Koin yang Ditukarkan untuk Pengembalian Barang</t>
  </si>
  <si>
    <t>Pro-rata Voucher Shopee untuk Pengembalian Barang</t>
  </si>
  <si>
    <t>190615005131NJD</t>
  </si>
  <si>
    <t>ixasarad</t>
  </si>
  <si>
    <t>2019-06-14</t>
  </si>
  <si>
    <t>2019-06-19</t>
  </si>
  <si>
    <t>J&amp;T Express</t>
  </si>
  <si>
    <t>190625211537YMC</t>
  </si>
  <si>
    <t>2019-06-25</t>
  </si>
  <si>
    <t>2019-06-27</t>
  </si>
  <si>
    <t>19070613163KG7A</t>
  </si>
  <si>
    <t>yoni.wld</t>
  </si>
  <si>
    <t>2019-07-06</t>
  </si>
  <si>
    <t>ShopeePay</t>
  </si>
  <si>
    <t>2019-07-08</t>
  </si>
  <si>
    <t>19072807203CG2N</t>
  </si>
  <si>
    <t>miolela</t>
  </si>
  <si>
    <t>2019-07-28</t>
  </si>
  <si>
    <t>2019-07-31</t>
  </si>
  <si>
    <t>19080115463288A</t>
  </si>
  <si>
    <t>kotak.sekat</t>
  </si>
  <si>
    <t>2019-08-01</t>
  </si>
  <si>
    <t>2019-08-06</t>
  </si>
  <si>
    <t>Seller Protection Fee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</si>
</sst>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1">
    <font>
      <sz val="12"/>
      <color rgb="FF000000"/>
      <name val="Arial"/>
      <family val="2"/>
      <charset val="0"/>
    </font>
    <font>
      <sz val="10"/>
      <name val="Arial"/>
      <family val="0"/>
      <charset val="0"/>
    </font>
    <font>
      <b val="1"/>
      <sz val="15"/>
      <color rgb="FF000000"/>
      <name val="Arial"/>
      <family val="2"/>
      <charset val="0"/>
    </font>
    <font>
      <b val="1"/>
      <sz val="14"/>
      <color rgb="FF000000"/>
      <name val="Arial"/>
      <family val="2"/>
      <charset val="0"/>
    </font>
    <font>
      <sz val="14"/>
      <color rgb="FF000000"/>
      <name val="Arial"/>
      <family val="2"/>
      <charset val="0"/>
    </font>
    <font>
      <sz val="10"/>
      <color rgb="FF000000"/>
      <name val="Arial"/>
      <family val="2"/>
      <charset val="0"/>
    </font>
    <font>
      <b val="1"/>
      <sz val="10"/>
      <color rgb="FFFF0000"/>
      <name val="Arial"/>
      <family val="2"/>
      <charset val="0"/>
    </font>
    <font>
      <sz val="10"/>
      <color rgb="FF000000"/>
      <name val="等线"/>
      <family val="2"/>
      <charset val="0"/>
    </font>
    <font>
      <b val="1"/>
      <sz val="12"/>
      <color rgb="FF000000"/>
      <name val="Arial"/>
      <family val="2"/>
      <charset val="0"/>
    </font>
    <font>
      <sz val="11"/>
      <color rgb="FF000000"/>
      <name val="Arial"/>
      <family val="2"/>
      <charset val="0"/>
    </font>
    <font>
      <b val="1"/>
      <sz val="10"/>
      <color rgb="FF000000"/>
      <name val="Arial"/>
      <family val="2"/>
      <charset val="0"/>
    </font>
  </fonts>
  <fills count="9">
    <fill>
      <patternFill patternType="none"/>
    </fill>
    <fill>
      <patternFill patternType="lightGray"/>
    </fill>
    <fill>
      <patternFill patternType="solid">
        <fgColor rgb="FFFF6600"/>
      </patternFill>
    </fill>
    <fill>
      <patternFill patternType="solid">
        <fgColor rgb="FFF0F0F0"/>
      </patternFill>
    </fill>
    <fill>
      <patternFill patternType="solid">
        <fgColor rgb="FFFF6600"/>
        <bgColor rgb="FFFF6600"/>
      </patternFill>
    </fill>
    <fill>
      <patternFill patternType="solid">
        <fgColor rgb="FFA5A5A5"/>
      </patternFill>
    </fill>
    <fill>
      <patternFill patternType="solid">
        <fgColor rgb="FFE7E6E6"/>
      </patternFill>
    </fill>
    <fill>
      <patternFill patternType="solid">
        <fgColor rgb="FFA5A5A5"/>
        <bgColor rgb="FF000000"/>
      </patternFill>
    </fill>
    <fill>
      <patternFill patternType="solid">
        <fgColor rgb="FFB3B3B3"/>
        <bgColor rgb="FFB3B3B3"/>
      </patternFill>
    </fill>
  </fills>
  <borders count="3">
    <border>
      <left style="none"/>
      <right style="none"/>
      <top style="none"/>
      <bottom style="none"/>
      <diagonal/>
    </border>
    <border>
      <left/>
      <right/>
      <top/>
      <bottom/>
      <diagonal/>
    </border>
    <border>
      <left style="medium">
        <color rgb="FFCCCCCC"/>
      </left>
      <right style="medium">
        <color rgb="FFCCCCCC"/>
      </right>
      <top style="medium">
        <color rgb="FFCCCCCC"/>
      </top>
      <bottom style="medium">
        <color rgb="FFCCCCCC"/>
      </bottom>
      <diagonal/>
    </border>
  </borders>
  <cellXfs count="19">
    <xf numFmtId="0" fontId="0" fillId="0" borderId="0" applyNumberFormat="false" applyFont="false" applyFill="false" applyBorder="false" applyAlignment="false" applyProtection="false">
      <alignment horizontal="general" vertical="bottom"/>
    </xf>
    <xf numFmtId="0" fontId="0" fillId="0" borderId="1" xfId="0" applyNumberFormat="false" applyFont="true" applyFill="false" applyBorder="false" applyAlignment="false" applyProtection="false">
      <alignment horizontal="general" vertical="bottom"/>
    </xf>
    <xf numFmtId="0" fontId="1" fillId="0" borderId="0" applyNumberFormat="false" applyFont="false" applyFill="false" applyBorder="false" applyAlignment="false" applyProtection="false">
      <alignment horizontal="general" vertical="bottom"/>
    </xf>
    <xf numFmtId="0" fontId="2" fillId="0" borderId="2" xfId="0" applyNumberFormat="false" applyFont="true" applyFill="false" applyBorder="true" applyAlignment="true" applyProtection="false">
      <alignment horizontal="right" vertical="center" wrapText="true"/>
    </xf>
    <xf numFmtId="0" fontId="3" fillId="0" borderId="2" xfId="0" applyNumberFormat="false" applyFont="true" applyFill="false" applyBorder="true" applyAlignment="true" applyProtection="false">
      <alignment horizontal="right" vertical="center" wrapText="true"/>
    </xf>
    <xf numFmtId="0" fontId="4" fillId="2" borderId="2" xfId="0" applyNumberFormat="false" applyFont="true" applyFill="true" applyBorder="true" applyAlignment="true" applyProtection="false">
      <alignment horizontal="general" vertical="bottom" wrapText="true"/>
    </xf>
    <xf numFmtId="0" fontId="5" fillId="3" borderId="2" xfId="0" applyNumberFormat="false" applyFont="true" applyFill="true" applyBorder="true" applyAlignment="true" applyProtection="false">
      <alignment horizontal="general" vertical="bottom" wrapText="true"/>
    </xf>
    <xf numFmtId="0" fontId="5" fillId="0" borderId="2" xfId="0" applyNumberFormat="false" applyFont="true" applyFill="false" applyBorder="true" applyAlignment="true" applyProtection="false">
      <alignment horizontal="general" vertical="bottom" wrapText="true"/>
    </xf>
    <xf numFmtId="0" fontId="6" fillId="0" borderId="2" xfId="0" applyNumberFormat="false" applyFont="true" applyFill="false" applyBorder="true" applyAlignment="false" applyProtection="false">
      <alignment horizontal="general" vertical="bottom"/>
    </xf>
    <xf numFmtId="0" fontId="7" fillId="0" borderId="2" xfId="0" applyNumberFormat="false" applyFont="true" applyFill="false" applyBorder="true" applyAlignment="true" applyProtection="false">
      <alignment horizontal="general" vertical="bottom" wrapText="true"/>
    </xf>
    <xf numFmtId="0" fontId="4" fillId="4" borderId="1" xfId="0" applyNumberFormat="false" applyFont="true" applyFill="true" applyBorder="false" applyAlignment="false" applyProtection="false">
      <alignment horizontal="general" vertical="bottom"/>
    </xf>
    <xf numFmtId="0" fontId="8" fillId="5" borderId="1" xfId="0" applyNumberFormat="false" applyFont="true" applyFill="true" applyBorder="false" applyAlignment="false" applyProtection="false">
      <alignment horizontal="general" vertical="bottom"/>
    </xf>
    <xf numFmtId="0" fontId="9" fillId="6" borderId="1" xfId="0" applyNumberFormat="false" applyFont="true" applyFill="true" applyBorder="false" applyAlignment="false" applyProtection="false">
      <alignment horizontal="general" vertical="bottom"/>
    </xf>
    <xf numFmtId="0" fontId="5" fillId="0" borderId="1" xfId="0" applyNumberFormat="false" applyFont="true" applyFill="false" applyBorder="false" applyAlignment="false" applyProtection="false">
      <alignment horizontal="general" vertical="bottom"/>
    </xf>
    <xf numFmtId="0" fontId="8" fillId="7" borderId="1" xfId="0" applyNumberFormat="false" applyFont="true" applyFill="true" applyBorder="false" applyAlignment="false" applyProtection="false">
      <alignment horizontal="general" vertical="bottom"/>
    </xf>
    <xf numFmtId="0" fontId="5" fillId="6" borderId="1" xfId="0" applyNumberFormat="false" applyFont="true" applyFill="true" applyBorder="false" applyAlignment="false" applyProtection="false">
      <alignment horizontal="general" vertical="bottom"/>
    </xf>
    <xf numFmtId="0" fontId="10" fillId="0" borderId="1" xfId="0" applyNumberFormat="false" applyFont="true" applyFill="false" applyBorder="false" applyAlignment="false" applyProtection="false">
      <alignment horizontal="general" vertical="bottom"/>
    </xf>
    <xf numFmtId="0" fontId="5" fillId="0" borderId="1" xfId="0" applyNumberFormat="false" applyFont="true" applyFill="false" applyBorder="false" applyAlignment="true" applyProtection="false">
      <alignment horizontal="left" vertical="bottom"/>
    </xf>
    <xf numFmtId="0" fontId="5" fillId="8" borderId="1" xfId="0" applyNumberFormat="false" applyFont="true" applyFill="true" applyBorder="false" applyAlignment="true" applyProtection="false">
      <alignment horizontal="center" vertical="bottom"/>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worksheets/sheet2.xml" Type="http://schemas.openxmlformats.org/officeDocument/2006/relationships/worksheet"></Relationship><Relationship Id="rId3" Target="worksheets/sheet3.xml" Type="http://schemas.openxmlformats.org/officeDocument/2006/relationships/worksheet"></Relationship><Relationship Id="rId4" Target="/xl/sharedStrings.xml" Type="http://schemas.openxmlformats.org/officeDocument/2006/relationships/sharedStrings"></Relationship><Relationship Id="rId5" Target="theme/theme1.xml" Type="http://schemas.openxmlformats.org/officeDocument/2006/relationships/theme"></Relationship><Relationship Id="rId6" Target="styles.xml" Type="http://schemas.openxmlformats.org/officeDocument/2006/relationships/styles"></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xdr:from>
      <xdr:col>0</xdr:col>
      <xdr:colOff>0</xdr:colOff>
      <xdr:row>0</xdr:row>
      <xdr:rowOff>0</xdr:rowOff>
    </xdr:from>
    <xdr:to>
      <xdr:col>0</xdr:col>
      <xdr:colOff>1123950</xdr:colOff>
      <xdr:row>4</xdr:row>
      <xdr:rowOff>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theme/theme1.xml><?xml version="1.0" encoding="utf-8"?>
<theme xmlns="http://schemas.openxmlformats.org/drawingml/2006/main" xmlns:a="http://schemas.openxmlformats.org/drawingml/2006/main" xmlns:r="http://schemas.openxmlformats.org/officeDocument/2006/relationships" name="Office-Design">
  <themeElements>
    <clrScheme name="Office">
      <dk1>
        <sysClr val="windowText" lastClr="000000"/>
      </dk1>
      <lt1>
        <sysClr val="window" lastClr="FFFFFF"/>
      </lt1>
      <dk2>
        <srgbClr val="1F497D"/>
      </dk2>
      <lt2>
        <srgbClr val="EEECE1"/>
      </lt2>
      <accent1>
        <srgbClr val="4F81BD"/>
      </accent1>
      <accent2>
        <srgbClr val="C0504D"/>
      </accent2>
      <accent3>
        <srgbClr val="9BBB59"/>
      </accent3>
      <accent4>
        <srgbClr val="8064A2"/>
      </accent4>
      <accent5>
        <srgbClr val="4BACC6"/>
      </accent5>
      <accent6>
        <srgbClr val="F79646"/>
      </accent6>
      <hlink>
        <srgbClr val="0000FF"/>
      </hlink>
      <folHlink>
        <srgbClr val="800080"/>
      </folHlink>
    </clrScheme>
    <fontScheme name="Office">
      <majorFont>
        <latin typeface="Cambria"/>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Arial"/>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fillStyleLst>
      <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lnStyleLst>
      <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effectStyleLst>
      <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bgFillStyleLst>
    </fmtScheme>
  </themeElements>
  <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objectDefaults>
  <extraClrSchemeLst/>
</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sheetPr>
    <pageSetUpPr/>
  </sheetPr>
  <dimension ref="A1:D86"/>
  <sheetViews>
    <sheetView showGridLines="true" showRowColHeaders="true" showZeros="true" tabSelected="true" showOutlineSymbols="true" defaultGridColor="true" view="normal" topLeftCell="A1" colorId="64" zoomScale="100" zoomScaleNormal="100" zoomScalePageLayoutView="100" workbookViewId="0">
      <selection activeCell="A1" activeCellId="0" pane="topLeft" sqref="A1"/>
    </sheetView>
  </sheetViews>
  <sheetFormatPr defaultRowHeight="12.85"/>
  <cols>
    <col customWidth="true" max="16384" min="1" style="1" width="25"/>
    <col customWidth="true" max="16384" min="1" style="1" width="25"/>
    <col customWidth="true" max="16384" min="1" style="1" width="25"/>
    <col customWidth="true" max="16384" min="1" style="1" width="25"/>
    <col customWidth="true" max="1" min="1" style="2" width="25"/>
    <col customWidth="true" max="16384" min="1" style="1" width="25"/>
    <col customWidth="true" max="16384" min="1" style="1" width="25"/>
    <col customWidth="true" max="16384" min="1" style="1" width="25"/>
    <col customWidth="true" max="16384" min="1" style="1" width="25"/>
    <col customWidth="true" max="4" min="2" style="2" width="25"/>
  </cols>
  <sheetData>
    <row r="1" ht="17.25" customHeight="true">
      <c r="A1" s="3" t="s">
        <v>0</v>
      </c>
      <c r="B1" s="4" t="s"/>
      <c r="C1" s="4" t="s"/>
      <c r="D1" s="4" t="s"/>
    </row>
    <row r="2">
      <c r="A2" s="4" t="s"/>
      <c r="B2" s="4" t="s"/>
      <c r="C2" s="4" t="s"/>
      <c r="D2" s="4" t="s"/>
    </row>
    <row r="3">
      <c r="A3" s="4" t="s"/>
      <c r="B3" s="4" t="s"/>
      <c r="C3" s="4" t="s"/>
      <c r="D3" s="4" t="s"/>
    </row>
    <row r="4">
      <c r="A4" s="4" t="s"/>
      <c r="B4" s="4" t="s"/>
      <c r="C4" s="4" t="s"/>
      <c r="D4" s="4" t="s"/>
    </row>
    <row r="5" ht="18" customHeight="true">
      <c r="A5" s="5" t="s">
        <v>1</v>
      </c>
      <c r="B5" s="5" t="s"/>
      <c r="C5" s="5" t="s"/>
      <c r="D5" s="5" t="s"/>
    </row>
    <row r="6" ht="15.5" customHeight="true">
      <c r="A6" s="6" t="s">
        <v>2</v>
      </c>
      <c r="B6" s="7" t="s">
        <v>3</v>
      </c>
      <c r="C6" s="7" t="s"/>
      <c r="D6" s="7" t="s"/>
    </row>
    <row r="7" ht="15.5" customHeight="true">
      <c r="A7" s="6" t="s">
        <v>4</v>
      </c>
      <c r="B7" s="7" t="s">
        <v>5</v>
      </c>
      <c r="C7" s="7" t="s"/>
      <c r="D7" s="7" t="s"/>
    </row>
    <row r="8" ht="15.5" customHeight="true">
      <c r="A8" s="6" t="s">
        <v>6</v>
      </c>
      <c r="B8" s="7" t="s">
        <v>7</v>
      </c>
      <c r="C8" s="7" t="s"/>
      <c r="D8" s="7" t="s"/>
    </row>
    <row r="9">
      <c r="A9" s="8" t="s"/>
      <c r="B9" s="9" t="s"/>
      <c r="C9" s="9" t="s"/>
      <c r="D9" s="9" t="s"/>
    </row>
    <row r="10" ht="18" customHeight="true">
      <c r="A10" s="10" t="s">
        <v>8</v>
      </c>
      <c r="B10" s="10" t="s"/>
      <c r="C10" s="10" t="s"/>
      <c r="D10" s="10" t="s">
        <v>9</v>
      </c>
    </row>
    <row r="11">
      <c r="A11" s="11" t="s">
        <v>10</v>
      </c>
      <c r="B11" s="11" t="s"/>
      <c r="C11" s="11" t="s"/>
      <c r="D11" s="11">
        <v>420000</v>
      </c>
    </row>
    <row r="12">
      <c r="A12" s="12" t="s">
        <v>11</v>
      </c>
      <c r="B12" s="12" t="s"/>
      <c r="C12" s="12" t="s"/>
      <c r="D12" s="12">
        <v>420000</v>
      </c>
    </row>
    <row r="13">
      <c r="A13" s="13" t="s"/>
      <c r="B13" s="13" t="s">
        <v>12</v>
      </c>
      <c r="C13" s="13">
        <v>420000</v>
      </c>
      <c r="D13" s="13" t="s"/>
    </row>
    <row r="14">
      <c r="A14" s="13" t="s"/>
      <c r="B14" s="13" t="s">
        <v>13</v>
      </c>
      <c r="C14" s="13">
        <v>0</v>
      </c>
      <c r="D14" s="13" t="s"/>
    </row>
    <row r="15">
      <c r="A15" s="13" t="s"/>
      <c r="B15" s="13" t="s">
        <v>14</v>
      </c>
      <c r="C15" s="13">
        <v>0</v>
      </c>
      <c r="D15" s="13" t="s"/>
    </row>
    <row r="16">
      <c r="A16" s="13" t="s"/>
      <c r="B16" s="13" t="s"/>
      <c r="C16" s="13" t="s"/>
      <c r="D16" s="13" t="s"/>
    </row>
    <row r="17">
      <c r="A17" s="12" t="s">
        <v>15</v>
      </c>
      <c r="B17" s="12" t="s"/>
      <c r="C17" s="12" t="s"/>
      <c r="D17" s="12">
        <v>0</v>
      </c>
    </row>
    <row r="18">
      <c r="A18" s="13" t="s"/>
      <c r="B18" s="13" t="s">
        <v>16</v>
      </c>
      <c r="C18" s="13">
        <v>0</v>
      </c>
      <c r="D18" s="13" t="s"/>
    </row>
    <row r="19">
      <c r="A19" s="13" t="s"/>
      <c r="B19" s="13" t="s">
        <v>17</v>
      </c>
      <c r="C19" s="13">
        <v>0</v>
      </c>
      <c r="D19" s="13" t="s"/>
    </row>
    <row r="20">
      <c r="A20" s="13" t="s"/>
      <c r="B20" s="13" t="s">
        <v>18</v>
      </c>
      <c r="C20" s="13">
        <v>0</v>
      </c>
      <c r="D20" s="13" t="s"/>
    </row>
    <row r="21">
      <c r="A21" s="2" t="s"/>
      <c r="B21" s="13" t="s"/>
      <c r="C21" s="13" t="s"/>
      <c r="D21" s="13" t="s"/>
    </row>
    <row r="22">
      <c r="A22" s="11" t="s">
        <v>19</v>
      </c>
      <c r="B22" s="11" t="s"/>
      <c r="C22" s="11" t="s"/>
      <c r="D22" s="11">
        <v>0</v>
      </c>
    </row>
    <row r="23">
      <c r="A23" s="12" t="s">
        <v>20</v>
      </c>
      <c r="B23" s="12" t="s"/>
      <c r="C23" s="12" t="s"/>
      <c r="D23" s="12">
        <v>0</v>
      </c>
    </row>
    <row r="24">
      <c r="A24" s="13" t="s"/>
      <c r="B24" s="13" t="s">
        <v>21</v>
      </c>
      <c r="C24" s="13">
        <v>71000</v>
      </c>
      <c r="D24" s="13" t="s"/>
    </row>
    <row r="25">
      <c r="A25" s="13" t="s"/>
      <c r="B25" s="13" t="s">
        <v>22</v>
      </c>
      <c r="C25" s="13">
        <v>0</v>
      </c>
      <c r="D25" s="13" t="s"/>
    </row>
    <row r="26">
      <c r="A26" s="13" t="s"/>
      <c r="B26" s="13" t="s">
        <v>23</v>
      </c>
      <c r="C26" s="13">
        <v>19000</v>
      </c>
      <c r="D26" s="13" t="s"/>
    </row>
    <row r="27">
      <c r="A27" s="13" t="s"/>
      <c r="B27" s="13" t="s">
        <v>24</v>
      </c>
      <c r="C27" s="13">
        <v>-90000</v>
      </c>
      <c r="D27" s="13" t="s"/>
    </row>
    <row r="28">
      <c r="A28" s="13" t="s"/>
      <c r="B28" s="13" t="s">
        <v>25</v>
      </c>
      <c r="C28" s="13">
        <v>0</v>
      </c>
      <c r="D28" s="13" t="s"/>
    </row>
    <row r="29">
      <c r="A29" s="13" t="s"/>
      <c r="B29" s="13" t="s"/>
      <c r="C29" s="13" t="s"/>
      <c r="D29" s="13" t="s"/>
    </row>
    <row r="30">
      <c r="A30" s="12" t="s">
        <v>26</v>
      </c>
      <c r="B30" s="12" t="s"/>
      <c r="C30" s="12" t="s"/>
      <c r="D30" s="12">
        <v>0</v>
      </c>
    </row>
    <row r="31">
      <c r="A31" s="13" t="s"/>
      <c r="B31" s="13" t="s">
        <v>27</v>
      </c>
      <c r="C31" s="13">
        <v>0</v>
      </c>
      <c r="D31" s="13" t="s"/>
    </row>
    <row r="32">
      <c r="A32" s="13" t="s"/>
      <c r="B32" s="13" t="s">
        <v>28</v>
      </c>
      <c r="C32" s="13">
        <v>0</v>
      </c>
      <c r="D32" s="13" t="s"/>
    </row>
    <row r="33">
      <c r="A33" s="13" t="s"/>
      <c r="B33" s="13" t="s">
        <v>29</v>
      </c>
      <c r="C33" s="13">
        <v>0</v>
      </c>
      <c r="D33" s="13" t="s"/>
    </row>
    <row r="34">
      <c r="A34" s="13" t="s"/>
      <c r="B34" s="13" t="s">
        <v>30</v>
      </c>
      <c r="C34" s="13">
        <v>0</v>
      </c>
      <c r="D34" s="13" t="s"/>
    </row>
    <row r="35">
      <c r="A35" s="13" t="s"/>
      <c r="B35" s="13" t="s">
        <v>31</v>
      </c>
      <c r="C35" s="13">
        <v>0</v>
      </c>
      <c r="D35" s="13" t="s"/>
    </row>
    <row r="36">
      <c r="A36" s="13" t="s"/>
      <c r="B36" s="13" t="s">
        <v>32</v>
      </c>
      <c r="C36" s="13">
        <v>0</v>
      </c>
      <c r="D36" s="13" t="s"/>
    </row>
    <row r="37">
      <c r="A37" s="13" t="s"/>
      <c r="B37" s="13" t="s">
        <v>33</v>
      </c>
      <c r="C37" s="13">
        <v>0</v>
      </c>
      <c r="D37" s="13" t="s"/>
    </row>
    <row r="38">
      <c r="A38" s="2" t="s"/>
      <c r="B38" s="13" t="s"/>
      <c r="C38" s="13" t="s"/>
      <c r="D38" s="13" t="s"/>
    </row>
    <row r="40">
      <c r="A40" s="14" t="s">
        <v>34</v>
      </c>
      <c r="B40" s="14" t="s"/>
      <c r="C40" s="14" t="s"/>
      <c r="D40" s="14">
        <v>420000</v>
      </c>
    </row>
    <row r="41">
      <c r="A41" s="1" t="s"/>
      <c r="B41" s="2" t="s"/>
      <c r="C41" s="2" t="s"/>
      <c r="D41" s="2" t="s"/>
    </row>
    <row r="42">
      <c r="A42" s="14" t="s">
        <v>35</v>
      </c>
      <c r="B42" s="14" t="s"/>
      <c r="C42" s="14" t="s"/>
      <c r="D42" s="14" t="s"/>
    </row>
    <row r="43">
      <c r="A43" s="15" t="s">
        <v>36</v>
      </c>
      <c r="B43" s="15" t="s"/>
      <c r="C43" s="15" t="s"/>
      <c r="D43" s="15">
        <v>0</v>
      </c>
    </row>
    <row r="44" ht="13" customHeight="true">
      <c r="A44" s="16" t="s"/>
      <c r="B44" s="2" t="s"/>
      <c r="C44" s="2" t="s"/>
      <c r="D44" s="2" t="s"/>
    </row>
    <row r="45">
      <c r="A45" s="13" t="s"/>
      <c r="B45" s="16" t="s"/>
      <c r="C45" s="16" t="s"/>
      <c r="D45" s="16" t="s"/>
    </row>
    <row r="46">
      <c r="A46" s="16" t="s"/>
      <c r="B46" s="13" t="s"/>
      <c r="C46" s="13" t="s"/>
      <c r="D46" s="13" t="s"/>
    </row>
    <row r="47">
      <c r="A47" s="13" t="s"/>
      <c r="B47" s="13" t="s"/>
      <c r="C47" s="13" t="s"/>
      <c r="D47" s="13" t="s"/>
    </row>
    <row r="48">
      <c r="A48" s="13" t="s"/>
      <c r="B48" s="13" t="s"/>
      <c r="C48" s="13" t="s"/>
      <c r="D48" s="13" t="s"/>
    </row>
    <row r="49">
      <c r="A49" s="13" t="s"/>
      <c r="B49" s="13" t="s"/>
      <c r="C49" s="13" t="s"/>
      <c r="D49" s="13" t="s"/>
    </row>
    <row r="50">
      <c r="A50" s="13" t="s"/>
      <c r="B50" s="13" t="s"/>
      <c r="C50" s="13" t="s"/>
      <c r="D50" s="13" t="s"/>
    </row>
    <row r="51">
      <c r="A51" s="13" t="s"/>
      <c r="B51" s="13" t="s"/>
      <c r="C51" s="13" t="s"/>
      <c r="D51" s="13" t="s"/>
    </row>
    <row r="52">
      <c r="A52" s="13" t="s"/>
      <c r="B52" s="13" t="s"/>
      <c r="C52" s="13" t="s"/>
      <c r="D52" s="13" t="s"/>
    </row>
    <row r="53">
      <c r="A53" s="13" t="s"/>
      <c r="B53" s="13" t="s"/>
      <c r="C53" s="13" t="s"/>
      <c r="D53" s="13" t="s"/>
    </row>
    <row r="54">
      <c r="A54" s="13" t="s"/>
      <c r="B54" s="13" t="s"/>
      <c r="C54" s="13" t="s"/>
      <c r="D54" s="13" t="s"/>
    </row>
    <row r="55">
      <c r="A55" s="13" t="s"/>
      <c r="B55" s="13" t="s"/>
      <c r="C55" s="13" t="s"/>
      <c r="D55" s="13" t="s"/>
    </row>
    <row r="56">
      <c r="A56" s="13" t="s"/>
      <c r="B56" s="13" t="s"/>
      <c r="C56" s="13" t="s"/>
      <c r="D56" s="13" t="s"/>
    </row>
    <row r="57">
      <c r="A57" s="13" t="s"/>
      <c r="B57" s="16" t="s"/>
      <c r="C57" s="16" t="s"/>
      <c r="D57" s="16" t="s"/>
    </row>
    <row r="58">
      <c r="A58" s="16" t="s"/>
      <c r="B58" s="13" t="s"/>
      <c r="C58" s="13" t="s"/>
      <c r="D58" s="13" t="s"/>
    </row>
    <row r="59">
      <c r="A59" s="13" t="s"/>
      <c r="B59" s="13" t="s"/>
      <c r="C59" s="13" t="s"/>
      <c r="D59" s="13" t="s"/>
    </row>
    <row r="60">
      <c r="A60" s="13" t="s"/>
      <c r="B60" s="13" t="s"/>
      <c r="C60" s="13" t="s"/>
      <c r="D60" s="13" t="s"/>
    </row>
    <row r="61">
      <c r="A61" s="13" t="s"/>
      <c r="B61" s="16" t="s"/>
      <c r="C61" s="16" t="s"/>
      <c r="D61" s="13" t="s"/>
    </row>
    <row r="62">
      <c r="A62" s="16" t="s"/>
      <c r="B62" s="16" t="s"/>
      <c r="C62" s="16" t="s"/>
      <c r="D62" s="16" t="s"/>
    </row>
    <row r="63">
      <c r="A63" s="16" t="s"/>
      <c r="B63" s="13" t="s"/>
      <c r="C63" s="13" t="s"/>
      <c r="D63" s="13" t="s"/>
    </row>
    <row r="64">
      <c r="A64" s="13" t="s"/>
      <c r="B64" s="13" t="s"/>
      <c r="C64" s="13" t="s"/>
      <c r="D64" s="13" t="s"/>
    </row>
    <row r="65">
      <c r="A65" s="13" t="s"/>
      <c r="B65" s="13" t="s"/>
      <c r="C65" s="13" t="s"/>
      <c r="D65" s="13" t="s"/>
    </row>
    <row r="66">
      <c r="A66" s="13" t="s"/>
      <c r="B66" s="13" t="s"/>
      <c r="C66" s="13" t="s"/>
      <c r="D66" s="13" t="s"/>
    </row>
    <row r="67">
      <c r="A67" s="13" t="s"/>
      <c r="B67" s="16" t="s"/>
      <c r="C67" s="16" t="s"/>
      <c r="D67" s="16" t="s"/>
    </row>
    <row r="68">
      <c r="A68" s="16" t="s"/>
      <c r="B68" s="13" t="s"/>
      <c r="C68" s="13" t="s"/>
      <c r="D68" s="13" t="s"/>
    </row>
    <row r="69">
      <c r="A69" s="13" t="s"/>
      <c r="B69" s="13" t="s"/>
      <c r="C69" s="13" t="s"/>
      <c r="D69" s="13" t="s"/>
    </row>
    <row r="70">
      <c r="A70" s="13" t="s"/>
      <c r="B70" s="13" t="s"/>
      <c r="C70" s="13" t="s"/>
      <c r="D70" s="13" t="s"/>
    </row>
    <row r="71">
      <c r="A71" s="13" t="s"/>
      <c r="B71" s="13" t="s"/>
      <c r="C71" s="13" t="s"/>
      <c r="D71" s="13" t="s"/>
    </row>
    <row r="72">
      <c r="A72" s="13" t="s"/>
      <c r="B72" s="16" t="s"/>
      <c r="C72" s="16" t="s"/>
      <c r="D72" s="16" t="s"/>
    </row>
    <row r="73">
      <c r="A73" s="16" t="s"/>
      <c r="B73" s="13" t="s"/>
      <c r="C73" s="13" t="s"/>
      <c r="D73" s="13" t="s"/>
    </row>
    <row r="74">
      <c r="A74" s="13" t="s"/>
      <c r="B74" s="13" t="s"/>
      <c r="C74" s="13" t="s"/>
      <c r="D74" s="13" t="s"/>
    </row>
    <row r="75">
      <c r="A75" s="13" t="s"/>
      <c r="B75" s="13" t="s"/>
      <c r="C75" s="13" t="s"/>
      <c r="D75" s="13" t="s"/>
    </row>
    <row r="76">
      <c r="A76" s="13" t="s"/>
      <c r="B76" s="16" t="s"/>
      <c r="C76" s="16" t="s"/>
      <c r="D76" s="16" t="s"/>
    </row>
    <row r="77">
      <c r="A77" s="16" t="s"/>
      <c r="B77" s="13" t="s"/>
      <c r="C77" s="13" t="s"/>
      <c r="D77" s="13" t="s"/>
    </row>
    <row r="78">
      <c r="A78" s="13" t="s"/>
      <c r="B78" s="16" t="s"/>
      <c r="C78" s="16" t="s"/>
      <c r="D78" s="16" t="s"/>
    </row>
    <row r="79">
      <c r="A79" s="16" t="s"/>
      <c r="B79" s="13" t="s"/>
      <c r="C79" s="13" t="s"/>
      <c r="D79" s="13" t="s"/>
    </row>
    <row r="80">
      <c r="A80" s="13" t="s"/>
      <c r="B80" s="16" t="s"/>
      <c r="C80" s="16" t="s"/>
      <c r="D80" s="16" t="s"/>
    </row>
    <row r="81">
      <c r="A81" s="16" t="s"/>
      <c r="B81" s="13" t="s"/>
      <c r="C81" s="13" t="s"/>
      <c r="D81" s="13" t="s"/>
    </row>
    <row r="82">
      <c r="A82" s="13" t="s"/>
      <c r="B82" s="16" t="s"/>
      <c r="C82" s="16" t="s"/>
      <c r="D82" s="16" t="s"/>
    </row>
    <row r="83">
      <c r="A83" s="16" t="s"/>
      <c r="B83" s="13" t="s"/>
      <c r="C83" s="13" t="s"/>
      <c r="D83" s="13" t="s"/>
    </row>
    <row r="84">
      <c r="A84" s="13" t="s"/>
      <c r="B84" s="13" t="s"/>
      <c r="C84" s="13" t="s"/>
      <c r="D84" s="13" t="s"/>
    </row>
    <row r="85">
      <c r="A85" s="13" t="s"/>
      <c r="B85" s="13" t="s"/>
      <c r="C85" s="13" t="s"/>
      <c r="D85" s="13" t="s"/>
    </row>
    <row r="86">
      <c r="A86" s="13" t="s"/>
      <c r="B86" s="2" t="s"/>
      <c r="C86" s="2" t="s"/>
      <c r="D86" s="2" t="s"/>
    </row>
  </sheetData>
  <mergeCells count="15">
    <mergeCell ref="A1:D4"/>
    <mergeCell ref="A5:D5"/>
    <mergeCell ref="B6:D6"/>
    <mergeCell ref="B7:D7"/>
    <mergeCell ref="B8:D8"/>
    <mergeCell ref="A10:C10"/>
    <mergeCell ref="A11:C11"/>
    <mergeCell ref="A12:C12"/>
    <mergeCell ref="A17:C17"/>
    <mergeCell ref="A22:C22"/>
    <mergeCell ref="A23:C23"/>
    <mergeCell ref="A30:C30"/>
    <mergeCell ref="A40:C40"/>
    <mergeCell ref="A42:D42"/>
    <mergeCell ref="A43:C43"/>
  </mergeCells>
  <printOptions gridLinesSet="true"/>
  <pageMargins left="0.7875" right="0.7875" top="1.05277777777778" bottom="1.05277777777778" header="0.7875" footer="0.7875"/>
  <pageSetup cellComments="none" copies="1" firstPageNumber="1" fitToHeight="1" fitToWidth="1" horizontalDpi="300" orientation="portrait" pageOrder="downThenOver" paperSize="9" scale="100" useFirstPageNumber="true" verticalDpi="300"/>
  <headerFooter>
    <oddHeader>&amp;C&amp;"Times New Roman,Regular"&amp;12&amp;A</oddHeader>
    <oddFooter>&amp;C&amp;"Times New Roman,Regular"&amp;12Page &amp;P</oddFooter>
  </headerFooter>
  <drawing r:id="rId1"/>
</worksheet>
</file>

<file path=xl/worksheets/sheet2.xml><?xml version="1.0" encoding="utf-8"?>
<worksheet xmlns="http://schemas.openxmlformats.org/spreadsheetml/2006/main">
  <sheetPr filterMode="false">
    <pageSetUpPr fitToPage="false"/>
  </sheetPr>
  <dimension ref="A1:AI11"/>
  <sheetViews>
    <sheetView windowProtection="false"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0" width="10" customWidth="true"/>
    <col collapsed="false" hidden="false" max="1" min="1" style="0" width="10" customWidth="true"/>
    <col collapsed="false" hidden="false" max="3" min="3" style="2" width="10" customWidth="true"/>
    <col collapsed="false" hidden="false" max="4" min="4" style="2" width="10" customWidth="true"/>
    <col collapsed="false" hidden="false" max="5" min="5" style="2" width="10" customWidth="true"/>
    <col collapsed="false" hidden="false" max="6" min="6" style="2" width="10" customWidth="true"/>
    <col collapsed="false" hidden="false" max="7" min="7" style="2" width="10" customWidth="true"/>
    <col collapsed="false" hidden="false" max="8" min="8" style="2" width="10" customWidth="true"/>
    <col collapsed="false" hidden="false" max="9" min="9" style="2" width="10" customWidth="true"/>
    <col collapsed="false" hidden="false" max="10" min="10" style="2" width="10" customWidth="true"/>
    <col collapsed="false" hidden="false" max="11" min="11" style="2" width="10" customWidth="true"/>
    <col collapsed="false" hidden="false" max="12" min="12" style="2" width="10" customWidth="true"/>
    <col collapsed="false" hidden="false" max="13" min="13" style="2" width="10" customWidth="true"/>
    <col collapsed="false" hidden="false" max="14" min="14" style="2" width="10" customWidth="true"/>
    <col collapsed="false" hidden="false" max="15" min="15" style="2" width="10" customWidth="true"/>
    <col collapsed="false" hidden="false" max="16" min="16" style="2" width="10" customWidth="true"/>
    <col collapsed="false" hidden="false" max="17" min="17" style="2" width="10" customWidth="true"/>
    <col collapsed="false" hidden="false" max="18" min="18" style="2" width="10" customWidth="true"/>
    <col collapsed="false" hidden="false" max="19" min="19" style="2" width="10" customWidth="true"/>
    <col collapsed="false" hidden="false" max="20" min="20" style="2" width="10" customWidth="true"/>
    <col collapsed="false" hidden="false" max="21" min="21" style="2" width="10" customWidth="true"/>
    <col collapsed="false" hidden="false" max="22" min="22" style="2" width="10" customWidth="true"/>
    <col collapsed="false" hidden="false" max="23" min="23" style="2" width="10" customWidth="true"/>
    <col collapsed="false" hidden="false" max="24" min="24" style="2" width="10" customWidth="true"/>
    <col collapsed="false" hidden="false" max="25" min="25" style="2" width="10" customWidth="true"/>
    <col collapsed="false" hidden="false" max="26" min="26" style="2" width="10" customWidth="true"/>
    <col collapsed="false" hidden="false" max="27" min="27" style="2" width="10" customWidth="true"/>
    <col collapsed="false" hidden="false" max="28" min="28" style="2" width="10" customWidth="true"/>
    <col collapsed="false" hidden="false" max="29" min="29" style="2" width="10" customWidth="true"/>
    <col collapsed="false" hidden="false" max="30" min="30" style="2" width="10" customWidth="true"/>
    <col collapsed="false" hidden="false" max="31" min="31" style="2" width="10" customWidth="true"/>
    <col collapsed="false" hidden="false" max="32" min="32" style="2" width="10" customWidth="true"/>
    <col collapsed="false" hidden="false" max="33" min="33" style="2" width="10" customWidth="true"/>
    <col collapsed="false" hidden="false" max="34" min="34" style="2" width="10" customWidth="true"/>
    <col collapsed="false" hidden="false" max="35" min="35" style="2" width="10" customWidth="true"/>
    <col collapsed="false" hidden="false" max="1" min="1" style="2" width="10" customWidth="true"/>
    <col collapsed="false" hidden="false" max="2" min="2" style="2" width="10" customWidth="true"/>
    <col collapsed="false" hidden="false" max="3" min="3" style="2" width="10" customWidth="true"/>
    <col collapsed="false" hidden="false" max="4" min="4" style="2" width="10" customWidth="true"/>
    <col collapsed="false" hidden="false" max="5" min="5" style="2" width="10" customWidth="true"/>
    <col collapsed="false" hidden="false" max="6" min="6" style="2" width="10" customWidth="true"/>
    <col collapsed="false" hidden="false" max="7" min="7" style="2" width="10" customWidth="true"/>
    <col collapsed="false" hidden="false" max="8" min="8" style="2" width="10" customWidth="true"/>
    <col collapsed="false" hidden="false" max="9" min="9" style="2" width="10" customWidth="true"/>
    <col collapsed="false" hidden="false" max="10" min="10" style="2" width="10" customWidth="true"/>
    <col collapsed="false" hidden="false" max="11" min="11" style="2" width="10" customWidth="true"/>
    <col collapsed="false" hidden="false" max="12" min="12" style="2" width="10" customWidth="true"/>
    <col collapsed="false" hidden="false" max="13" min="13" style="2" width="10" customWidth="true"/>
    <col collapsed="false" hidden="false" max="14" min="14" style="2" width="10" customWidth="true"/>
    <col collapsed="false" hidden="false" max="15" min="15" style="2" width="10" customWidth="true"/>
    <col collapsed="false" hidden="false" max="16" min="16" style="2" width="10" customWidth="true"/>
    <col collapsed="false" hidden="false" max="17" min="17" style="2" width="10" customWidth="true"/>
    <col collapsed="false" hidden="false" max="18" min="18" style="2" width="10" customWidth="true"/>
    <col collapsed="false" hidden="false" max="19" min="19" style="2" width="10" customWidth="true"/>
    <col collapsed="false" hidden="false" max="20" min="20" style="2" width="10" customWidth="true"/>
    <col collapsed="false" hidden="false" max="21" min="21" style="2" width="10" customWidth="true"/>
    <col collapsed="false" hidden="false" max="22" min="22" style="2" width="10" customWidth="true"/>
    <col collapsed="false" hidden="false" max="23" min="23" style="2" width="10" customWidth="true"/>
    <col collapsed="false" hidden="false" max="24" min="24" style="2" width="10" customWidth="true"/>
    <col collapsed="false" hidden="false" max="25" min="25" style="2" width="10" customWidth="true"/>
    <col collapsed="false" hidden="false" max="26" min="26" style="2" width="10" customWidth="true"/>
    <col collapsed="false" hidden="false" max="27" min="27" style="2" width="10" customWidth="true"/>
    <col collapsed="false" hidden="false" max="28" min="28" style="2" width="10" customWidth="true"/>
    <col collapsed="false" hidden="false" max="29" min="29" style="2" width="10" customWidth="true"/>
    <col collapsed="false" hidden="false" max="30" min="30" style="2" width="10" customWidth="true"/>
    <col collapsed="false" hidden="false" max="31" min="31" style="2" width="10" customWidth="true"/>
    <col collapsed="false" hidden="false" max="32" min="32" style="2" width="10" customWidth="true"/>
    <col collapsed="false" hidden="false" max="33" min="33" style="2" width="10" customWidth="true"/>
    <col collapsed="false" hidden="false" max="34" min="34" style="2" width="10" customWidth="true"/>
    <col collapsed="false" hidden="false" max="35" min="35" style="2" width="10" customWidth="true"/>
    <col collapsed="false" hidden="false" max="1" min="1" style="0" width="10" customWidth="true"/>
    <col collapsed="false" hidden="false" max="1" min="1" style="0" width="10" customWidth="true"/>
    <col collapsed="false" hidden="false" max="3" min="3" style="2" width="10" customWidth="true"/>
    <col collapsed="false" hidden="false" max="4" min="4" style="2" width="10" customWidth="true"/>
    <col collapsed="false" hidden="false" max="5" min="5" style="2" width="10" customWidth="true"/>
    <col collapsed="false" hidden="false" max="6" min="6" style="2" width="10" customWidth="true"/>
    <col collapsed="false" hidden="false" max="7" min="7" style="2" width="10" customWidth="true"/>
    <col collapsed="false" hidden="false" max="8" min="8" style="2" width="10" customWidth="true"/>
    <col collapsed="false" hidden="false" max="9" min="9" style="2" width="10" customWidth="true"/>
    <col collapsed="false" hidden="false" max="10" min="10" style="2" width="10" customWidth="true"/>
    <col collapsed="false" hidden="false" max="11" min="11" style="2" width="10" customWidth="true"/>
    <col collapsed="false" hidden="false" max="12" min="12" style="2" width="10" customWidth="true"/>
    <col collapsed="false" hidden="false" max="13" min="13" style="2" width="10" customWidth="true"/>
    <col collapsed="false" hidden="false" max="14" min="14" style="2" width="10" customWidth="true"/>
    <col collapsed="false" hidden="false" max="15" min="15" style="2" width="10" customWidth="true"/>
    <col collapsed="false" hidden="false" max="16" min="16" style="2" width="10" customWidth="true"/>
    <col collapsed="false" hidden="false" max="17" min="17" style="2" width="10" customWidth="true"/>
    <col collapsed="false" hidden="false" max="18" min="18" style="2" width="10" customWidth="true"/>
    <col collapsed="false" hidden="false" max="19" min="19" style="2" width="10" customWidth="true"/>
    <col collapsed="false" hidden="false" max="20" min="20" style="2" width="10" customWidth="true"/>
    <col collapsed="false" hidden="false" max="21" min="21" style="2" width="10" customWidth="true"/>
    <col collapsed="false" hidden="false" max="22" min="22" style="2" width="10" customWidth="true"/>
    <col collapsed="false" hidden="false" max="23" min="23" style="2" width="10" customWidth="true"/>
    <col collapsed="false" hidden="false" max="24" min="24" style="2" width="10" customWidth="true"/>
    <col collapsed="false" hidden="false" max="25" min="25" style="2" width="10" customWidth="true"/>
    <col collapsed="false" hidden="false" max="26" min="26" style="2" width="10" customWidth="true"/>
    <col collapsed="false" hidden="false" max="27" min="27" style="2" width="10" customWidth="true"/>
    <col collapsed="false" hidden="false" max="28" min="28" style="2" width="10" customWidth="true"/>
    <col collapsed="false" hidden="false" max="29" min="29" style="2" width="10" customWidth="true"/>
    <col collapsed="false" hidden="false" max="30" min="30" style="2" width="10" customWidth="true"/>
    <col collapsed="false" hidden="false" max="31" min="31" style="2" width="10" customWidth="true"/>
    <col collapsed="false" hidden="false" max="32" min="32" style="2" width="10" customWidth="true"/>
    <col collapsed="false" hidden="false" max="33" min="33" style="2" width="10" customWidth="true"/>
    <col collapsed="false" hidden="false" max="34" min="34" style="2" width="10" customWidth="true"/>
    <col collapsed="false" hidden="false" max="35" min="35" style="2" width="10" customWidth="true"/>
  </cols>
  <sheetData>
    <row r="1">
      <c r="A1" s="13" t="s">
        <v>2</v>
      </c>
      <c r="B1" s="13" t="s">
        <v>4</v>
      </c>
      <c r="C1" s="13" t="s">
        <v>6</v>
      </c>
    </row>
    <row r="2">
      <c r="A2" s="13" t="s">
        <v>3</v>
      </c>
      <c r="B2" s="13" t="s">
        <v>5</v>
      </c>
      <c r="C2" s="13" t="s">
        <v>7</v>
      </c>
    </row>
    <row r="3">
      <c r="A3" s="13" t="s"/>
      <c r="B3" s="2" t="s"/>
    </row>
    <row r="4"/>
    <row r="5">
      <c r="A5" s="17" t="s">
        <v>37</v>
      </c>
      <c r="B5" s="17" t="s"/>
      <c r="C5" s="17" t="s"/>
      <c r="D5" s="17" t="s"/>
      <c r="E5" s="17" t="s"/>
      <c r="F5" s="17" t="s"/>
      <c r="G5" s="17" t="s"/>
      <c r="H5" s="17">
        <f>=SUM(INDIRECT(ADDRESS(6,8)):INDIRECT(ADDRESS(1048576,8)))</f>
      </c>
      <c r="I5" s="17">
        <f>=SUM(INDIRECT(ADDRESS(6,9)):INDIRECT(ADDRESS(1048576,9)))</f>
      </c>
      <c r="J5" s="17">
        <f>=SUM(INDIRECT(ADDRESS(6,10)):INDIRECT(ADDRESS(1048576,10)))</f>
      </c>
      <c r="K5" s="17">
        <f>=SUM(INDIRECT(ADDRESS(6,11)):INDIRECT(ADDRESS(1048576,11)))</f>
      </c>
      <c r="L5" s="17">
        <f>=SUM(INDIRECT(ADDRESS(6,12)):INDIRECT(ADDRESS(1048576,12)))</f>
      </c>
      <c r="M5" s="17">
        <f>=SUM(INDIRECT(ADDRESS(6,13)):INDIRECT(ADDRESS(1048576,13)))</f>
      </c>
      <c r="N5" s="17">
        <f>=SUM(INDIRECT(ADDRESS(6,14)):INDIRECT(ADDRESS(1048576,14)))</f>
      </c>
      <c r="O5" s="17">
        <f>=SUM(INDIRECT(ADDRESS(6,15)):INDIRECT(ADDRESS(1048576,15)))</f>
      </c>
      <c r="P5" s="17">
        <f>=SUM(INDIRECT(ADDRESS(6,16)):INDIRECT(ADDRESS(1048576,16)))</f>
      </c>
      <c r="Q5" s="17">
        <f>=SUM(INDIRECT(ADDRESS(6,17)):INDIRECT(ADDRESS(1048576,17)))</f>
      </c>
      <c r="R5" s="17">
        <f>=SUM(INDIRECT(ADDRESS(6,18)):INDIRECT(ADDRESS(1048576,18)))</f>
      </c>
      <c r="S5" s="17" t="s"/>
      <c r="T5" s="17">
        <f>=SUM(INDIRECT(ADDRESS(6,20)):INDIRECT(ADDRESS(1048576,20)))</f>
      </c>
      <c r="U5" s="17">
        <f>=SUM(INDIRECT(ADDRESS(6,21)):INDIRECT(ADDRESS(1048576,21)))</f>
      </c>
      <c r="V5" s="17">
        <f>=SUM(INDIRECT(ADDRESS(6,22)):INDIRECT(ADDRESS(1048576,22)))</f>
      </c>
      <c r="W5" s="17">
        <f>=SUM(INDIRECT(ADDRESS(6,23)):INDIRECT(ADDRESS(1048576,23)))</f>
      </c>
      <c r="X5" s="17">
        <f>=SUM(INDIRECT(ADDRESS(6,24)):INDIRECT(ADDRESS(1048576,24)))</f>
      </c>
      <c r="Y5" s="17">
        <f>=SUM(INDIRECT(ADDRESS(6,25)):INDIRECT(ADDRESS(1048576,25)))</f>
      </c>
      <c r="Z5" s="17">
        <f>=SUM(INDIRECT(ADDRESS(6,26)):INDIRECT(ADDRESS(1048576,26)))</f>
      </c>
      <c r="AA5" s="17" t="s"/>
      <c r="AB5" s="17">
        <f>=SUM(INDIRECT(ADDRESS(6,28)):INDIRECT(ADDRESS(1048576,28)))</f>
      </c>
      <c r="AC5" s="17">
        <f>=SUM(INDIRECT(ADDRESS(6,29)):INDIRECT(ADDRESS(1048576,29)))</f>
      </c>
      <c r="AD5" s="17" t="s"/>
      <c r="AE5" s="17" t="s"/>
      <c r="AF5" s="17" t="s"/>
      <c r="AG5" s="17">
        <f>=SUM(INDIRECT(ADDRESS(6,33)):INDIRECT(ADDRESS(1048576,33)))</f>
      </c>
      <c r="AH5" s="17">
        <f>=SUM(INDIRECT(ADDRESS(6,34)):INDIRECT(ADDRESS(1048576,34)))</f>
      </c>
      <c r="AI5" s="17">
        <f>=SUM(INDIRECT(ADDRESS(6,35)):INDIRECT(ADDRESS(1048576,35)))</f>
      </c>
    </row>
    <row r="6">
      <c r="A6" s="17" t="s">
        <v>38</v>
      </c>
      <c r="B6" s="17" t="s">
        <v>39</v>
      </c>
      <c r="C6" s="17" t="s">
        <v>40</v>
      </c>
      <c r="D6" s="17" t="s">
        <v>41</v>
      </c>
      <c r="E6" s="17" t="s">
        <v>42</v>
      </c>
      <c r="F6" s="17" t="s">
        <v>43</v>
      </c>
      <c r="G6" s="17" t="s">
        <v>44</v>
      </c>
      <c r="H6" s="17" t="s">
        <v>12</v>
      </c>
      <c r="I6" s="17" t="s">
        <v>13</v>
      </c>
      <c r="J6" s="17" t="s">
        <v>14</v>
      </c>
      <c r="K6" s="17" t="s">
        <v>16</v>
      </c>
      <c r="L6" s="17" t="s">
        <v>17</v>
      </c>
      <c r="M6" s="17" t="s">
        <v>18</v>
      </c>
      <c r="N6" s="17" t="s">
        <v>21</v>
      </c>
      <c r="O6" s="17" t="s">
        <v>22</v>
      </c>
      <c r="P6" s="17" t="s">
        <v>23</v>
      </c>
      <c r="Q6" s="17" t="s">
        <v>24</v>
      </c>
      <c r="R6" s="17" t="s">
        <v>25</v>
      </c>
      <c r="S6" s="17" t="s">
        <v>27</v>
      </c>
      <c r="T6" s="17" t="s">
        <v>28</v>
      </c>
      <c r="U6" s="17" t="s">
        <v>29</v>
      </c>
      <c r="V6" s="17" t="s">
        <v>30</v>
      </c>
      <c r="W6" s="17" t="s">
        <v>31</v>
      </c>
      <c r="X6" s="17" t="s">
        <v>32</v>
      </c>
      <c r="Y6" s="17" t="s">
        <v>33</v>
      </c>
      <c r="Z6" s="17" t="s">
        <v>45</v>
      </c>
      <c r="AA6" s="17" t="s">
        <v>46</v>
      </c>
      <c r="AB6" s="17" t="s">
        <v>47</v>
      </c>
      <c r="AC6" s="17" t="s">
        <v>36</v>
      </c>
      <c r="AD6" s="17" t="s">
        <v>48</v>
      </c>
      <c r="AE6" s="17" t="s">
        <v>49</v>
      </c>
      <c r="AF6" s="17" t="s"/>
      <c r="AG6" s="17" t="s">
        <v>50</v>
      </c>
      <c r="AH6" s="17" t="s">
        <v>51</v>
      </c>
      <c r="AI6" s="17" t="s">
        <v>52</v>
      </c>
    </row>
    <row r="7">
      <c r="A7" s="17">
        <v>1</v>
      </c>
      <c r="B7" s="17" t="s">
        <v>53</v>
      </c>
      <c r="C7" s="17" t="s"/>
      <c r="D7" s="17" t="s">
        <v>54</v>
      </c>
      <c r="E7" s="17" t="s">
        <v>55</v>
      </c>
      <c r="F7" s="17" t="s"/>
      <c r="G7" s="17" t="s">
        <v>56</v>
      </c>
      <c r="H7" s="17">
        <v>162000</v>
      </c>
      <c r="I7" s="17">
        <v>0</v>
      </c>
      <c r="J7" s="17">
        <v>0</v>
      </c>
      <c r="K7" s="17">
        <v>0</v>
      </c>
      <c r="L7" s="17">
        <v>0</v>
      </c>
      <c r="M7" s="17">
        <v>0</v>
      </c>
      <c r="N7" s="17">
        <v>17000</v>
      </c>
      <c r="O7" s="17">
        <v>0</v>
      </c>
      <c r="P7" s="17">
        <v>0</v>
      </c>
      <c r="Q7" s="17">
        <v>-17000</v>
      </c>
      <c r="R7" s="17">
        <v>0</v>
      </c>
      <c r="S7" s="17">
        <v>0</v>
      </c>
      <c r="T7" s="17">
        <v>0</v>
      </c>
      <c r="U7" s="17">
        <v>0</v>
      </c>
      <c r="V7" s="17">
        <v>0</v>
      </c>
      <c r="W7" s="17">
        <v>0</v>
      </c>
      <c r="X7" s="17">
        <v>0</v>
      </c>
      <c r="Y7" s="17">
        <v>0</v>
      </c>
      <c r="Z7" s="17">
        <v>162000</v>
      </c>
      <c r="AA7" s="17" t="s"/>
      <c r="AB7" s="17">
        <v>0</v>
      </c>
      <c r="AC7" s="17">
        <v>0</v>
      </c>
      <c r="AD7" s="17" t="s">
        <v>57</v>
      </c>
      <c r="AE7" s="17" t="s">
        <v>57</v>
      </c>
      <c r="AF7" s="17" t="s"/>
      <c r="AG7" s="17">
        <v>0</v>
      </c>
      <c r="AH7" s="17">
        <v>0</v>
      </c>
      <c r="AI7" s="17">
        <v>0</v>
      </c>
    </row>
    <row r="8">
      <c r="A8" s="17">
        <v>2</v>
      </c>
      <c r="B8" s="17" t="s">
        <v>58</v>
      </c>
      <c r="C8" s="17" t="s"/>
      <c r="D8" s="17" t="s">
        <v>54</v>
      </c>
      <c r="E8" s="17" t="s">
        <v>59</v>
      </c>
      <c r="F8" s="17" t="s"/>
      <c r="G8" s="17" t="s">
        <v>60</v>
      </c>
      <c r="H8" s="17">
        <v>78000</v>
      </c>
      <c r="I8" s="17">
        <v>0</v>
      </c>
      <c r="J8" s="17">
        <v>0</v>
      </c>
      <c r="K8" s="17">
        <v>0</v>
      </c>
      <c r="L8" s="17">
        <v>0</v>
      </c>
      <c r="M8" s="17">
        <v>0</v>
      </c>
      <c r="N8" s="17">
        <v>17000</v>
      </c>
      <c r="O8" s="17">
        <v>0</v>
      </c>
      <c r="P8" s="17">
        <v>0</v>
      </c>
      <c r="Q8" s="17">
        <v>-17000</v>
      </c>
      <c r="R8" s="17">
        <v>0</v>
      </c>
      <c r="S8" s="17">
        <v>0</v>
      </c>
      <c r="T8" s="17">
        <v>0</v>
      </c>
      <c r="U8" s="17">
        <v>0</v>
      </c>
      <c r="V8" s="17">
        <v>0</v>
      </c>
      <c r="W8" s="17">
        <v>0</v>
      </c>
      <c r="X8" s="17">
        <v>0</v>
      </c>
      <c r="Y8" s="17">
        <v>0</v>
      </c>
      <c r="Z8" s="17">
        <v>78000</v>
      </c>
      <c r="AA8" s="17" t="s"/>
      <c r="AB8" s="17">
        <v>0</v>
      </c>
      <c r="AC8" s="17">
        <v>0</v>
      </c>
      <c r="AD8" s="17" t="s">
        <v>57</v>
      </c>
      <c r="AE8" s="17" t="s">
        <v>57</v>
      </c>
      <c r="AF8" s="17" t="s"/>
      <c r="AG8" s="17">
        <v>0</v>
      </c>
      <c r="AH8" s="17">
        <v>0</v>
      </c>
      <c r="AI8" s="17">
        <v>0</v>
      </c>
    </row>
    <row r="9">
      <c r="A9" s="17">
        <v>3</v>
      </c>
      <c r="B9" s="17" t="s">
        <v>61</v>
      </c>
      <c r="C9" s="17" t="s"/>
      <c r="D9" s="17" t="s">
        <v>62</v>
      </c>
      <c r="E9" s="17" t="s">
        <v>63</v>
      </c>
      <c r="F9" s="17" t="s">
        <v>64</v>
      </c>
      <c r="G9" s="17" t="s">
        <v>65</v>
      </c>
      <c r="H9" s="17">
        <v>7000</v>
      </c>
      <c r="I9" s="17">
        <v>0</v>
      </c>
      <c r="J9" s="17">
        <v>0</v>
      </c>
      <c r="K9" s="17">
        <v>0</v>
      </c>
      <c r="L9" s="17">
        <v>0</v>
      </c>
      <c r="M9" s="17">
        <v>0</v>
      </c>
      <c r="N9" s="17">
        <v>12000</v>
      </c>
      <c r="O9" s="17">
        <v>0</v>
      </c>
      <c r="P9" s="17">
        <v>0</v>
      </c>
      <c r="Q9" s="17">
        <v>-12000</v>
      </c>
      <c r="R9" s="17">
        <v>0</v>
      </c>
      <c r="S9" s="17">
        <v>0</v>
      </c>
      <c r="T9" s="17">
        <v>0</v>
      </c>
      <c r="U9" s="17">
        <v>0</v>
      </c>
      <c r="V9" s="17">
        <v>0</v>
      </c>
      <c r="W9" s="17">
        <v>0</v>
      </c>
      <c r="X9" s="17">
        <v>0</v>
      </c>
      <c r="Y9" s="17">
        <v>0</v>
      </c>
      <c r="Z9" s="17">
        <v>7000</v>
      </c>
      <c r="AA9" s="17" t="s"/>
      <c r="AB9" s="17">
        <v>0</v>
      </c>
      <c r="AC9" s="17">
        <v>0</v>
      </c>
      <c r="AD9" s="17" t="s">
        <v>57</v>
      </c>
      <c r="AE9" s="17" t="s">
        <v>57</v>
      </c>
      <c r="AF9" s="17" t="s"/>
      <c r="AG9" s="17">
        <v>0</v>
      </c>
      <c r="AH9" s="17">
        <v>0</v>
      </c>
      <c r="AI9" s="17">
        <v>0</v>
      </c>
    </row>
    <row r="10">
      <c r="A10" s="17">
        <v>4</v>
      </c>
      <c r="B10" s="17" t="s">
        <v>66</v>
      </c>
      <c r="C10" s="17" t="s"/>
      <c r="D10" s="17" t="s">
        <v>67</v>
      </c>
      <c r="E10" s="17" t="s">
        <v>68</v>
      </c>
      <c r="F10" s="17" t="s">
        <v>64</v>
      </c>
      <c r="G10" s="17" t="s">
        <v>69</v>
      </c>
      <c r="H10" s="17">
        <v>20000</v>
      </c>
      <c r="I10" s="17">
        <v>0</v>
      </c>
      <c r="J10" s="17">
        <v>0</v>
      </c>
      <c r="K10" s="17">
        <v>0</v>
      </c>
      <c r="L10" s="17">
        <v>0</v>
      </c>
      <c r="M10" s="17">
        <v>0</v>
      </c>
      <c r="N10" s="17">
        <v>25000</v>
      </c>
      <c r="O10" s="17">
        <v>0</v>
      </c>
      <c r="P10" s="17">
        <v>0</v>
      </c>
      <c r="Q10" s="17">
        <v>-25000</v>
      </c>
      <c r="R10" s="17">
        <v>0</v>
      </c>
      <c r="S10" s="17">
        <v>0</v>
      </c>
      <c r="T10" s="17">
        <v>0</v>
      </c>
      <c r="U10" s="17">
        <v>0</v>
      </c>
      <c r="V10" s="17">
        <v>0</v>
      </c>
      <c r="W10" s="17">
        <v>0</v>
      </c>
      <c r="X10" s="17">
        <v>0</v>
      </c>
      <c r="Y10" s="17">
        <v>0</v>
      </c>
      <c r="Z10" s="17">
        <v>20000</v>
      </c>
      <c r="AA10" s="17" t="s"/>
      <c r="AB10" s="17">
        <v>0</v>
      </c>
      <c r="AC10" s="17">
        <v>0</v>
      </c>
      <c r="AD10" s="17" t="s">
        <v>57</v>
      </c>
      <c r="AE10" s="17" t="s">
        <v>57</v>
      </c>
      <c r="AF10" s="17" t="s"/>
      <c r="AG10" s="17">
        <v>0</v>
      </c>
      <c r="AH10" s="17">
        <v>0</v>
      </c>
      <c r="AI10" s="17">
        <v>0</v>
      </c>
    </row>
    <row r="11">
      <c r="A11" s="17">
        <v>5</v>
      </c>
      <c r="B11" s="17" t="s">
        <v>70</v>
      </c>
      <c r="C11" s="17" t="s"/>
      <c r="D11" s="17" t="s">
        <v>71</v>
      </c>
      <c r="E11" s="17" t="s">
        <v>72</v>
      </c>
      <c r="F11" s="17" t="s">
        <v>64</v>
      </c>
      <c r="G11" s="17" t="s">
        <v>73</v>
      </c>
      <c r="H11" s="17">
        <v>153000</v>
      </c>
      <c r="I11" s="17">
        <v>0</v>
      </c>
      <c r="J11" s="17">
        <v>0</v>
      </c>
      <c r="K11" s="17">
        <v>0</v>
      </c>
      <c r="L11" s="17">
        <v>0</v>
      </c>
      <c r="M11" s="17">
        <v>0</v>
      </c>
      <c r="N11" s="17">
        <v>0</v>
      </c>
      <c r="O11" s="17">
        <v>0</v>
      </c>
      <c r="P11" s="17">
        <v>19000</v>
      </c>
      <c r="Q11" s="17">
        <v>-19000</v>
      </c>
      <c r="R11" s="17">
        <v>0</v>
      </c>
      <c r="S11" s="17">
        <v>0</v>
      </c>
      <c r="T11" s="17">
        <v>0</v>
      </c>
      <c r="U11" s="17">
        <v>0</v>
      </c>
      <c r="V11" s="17">
        <v>0</v>
      </c>
      <c r="W11" s="17">
        <v>0</v>
      </c>
      <c r="X11" s="17">
        <v>0</v>
      </c>
      <c r="Y11" s="17">
        <v>0</v>
      </c>
      <c r="Z11" s="17">
        <v>153000</v>
      </c>
      <c r="AA11" s="17" t="s"/>
      <c r="AB11" s="17">
        <v>0</v>
      </c>
      <c r="AC11" s="17">
        <v>0</v>
      </c>
      <c r="AD11" s="17" t="s">
        <v>57</v>
      </c>
      <c r="AE11" s="17" t="s">
        <v>57</v>
      </c>
      <c r="AF11" s="17" t="s"/>
      <c r="AG11" s="17">
        <v>0</v>
      </c>
      <c r="AH11" s="17">
        <v>0</v>
      </c>
      <c r="AI11" s="17">
        <v>0</v>
      </c>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xl/worksheets/sheet3.xml><?xml version="1.0" encoding="utf-8"?>
<worksheet xmlns="http://schemas.openxmlformats.org/spreadsheetml/2006/main">
  <sheetPr filterMode="false">
    <pageSetUpPr fitToPage="false"/>
  </sheetPr>
  <dimension ref="A1:D7"/>
  <sheetViews>
    <sheetView windowProtection="false"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0" width="10" customWidth="true"/>
    <col collapsed="false" hidden="false" max="1" min="1" style="0" width="10" customWidth="true"/>
    <col collapsed="false" hidden="false" max="1" min="1" style="0" width="10" customWidth="true"/>
    <col collapsed="false" hidden="false" max="4" min="4" style="2" width="10" customWidth="true"/>
    <col collapsed="false" hidden="false" max="1" min="1" style="2" width="10" customWidth="true"/>
    <col collapsed="false" hidden="false" max="2" min="2" style="2" width="10" customWidth="true"/>
    <col collapsed="false" hidden="false" max="3" min="3" style="2" width="10" customWidth="true"/>
    <col collapsed="false" hidden="false" max="4" min="4" style="2" width="10" customWidth="true"/>
    <col collapsed="false" hidden="false" max="1" min="1" style="0" width="10" customWidth="true"/>
    <col collapsed="false" hidden="false" max="1" min="1" style="0" width="10" customWidth="true"/>
    <col collapsed="false" hidden="false" max="1" min="1" style="0" width="10" customWidth="true"/>
    <col collapsed="false" hidden="false" max="4" min="4" style="2" width="10" customWidth="true"/>
  </cols>
  <sheetData>
    <row r="1">
      <c r="A1" s="13" t="s"/>
      <c r="B1" s="13" t="s"/>
      <c r="C1" s="18" t="s">
        <v>30</v>
      </c>
      <c r="D1" s="18" t="s"/>
    </row>
    <row r="2">
      <c r="A2" s="13" t="s">
        <v>38</v>
      </c>
      <c r="B2" s="13" t="s">
        <v>39</v>
      </c>
      <c r="C2" s="13" t="s">
        <v>74</v>
      </c>
      <c r="D2" s="13" t="s">
        <v>30</v>
      </c>
    </row>
    <row r="3">
      <c r="A3" s="13">
        <v>1</v>
      </c>
      <c r="B3" s="13" t="s">
        <v>53</v>
      </c>
      <c r="C3" s="13">
        <v>0</v>
      </c>
      <c r="D3" s="13">
        <v>0</v>
      </c>
    </row>
    <row r="4">
      <c r="A4" s="13">
        <v>2</v>
      </c>
      <c r="B4" s="13" t="s">
        <v>58</v>
      </c>
      <c r="C4" s="13">
        <v>0</v>
      </c>
      <c r="D4" s="13">
        <v>0</v>
      </c>
    </row>
    <row r="5">
      <c r="A5" s="13">
        <v>3</v>
      </c>
      <c r="B5" s="13" t="s">
        <v>61</v>
      </c>
      <c r="C5" s="13">
        <v>0</v>
      </c>
      <c r="D5" s="13">
        <v>0</v>
      </c>
    </row>
    <row r="6">
      <c r="A6" s="13">
        <v>4</v>
      </c>
      <c r="B6" s="13" t="s">
        <v>66</v>
      </c>
      <c r="C6" s="13">
        <v>0</v>
      </c>
      <c r="D6" s="13">
        <v>0</v>
      </c>
    </row>
    <row r="7">
      <c r="A7" s="13">
        <v>5</v>
      </c>
      <c r="B7" s="13" t="s">
        <v>70</v>
      </c>
      <c r="C7" s="13">
        <v>0</v>
      </c>
      <c r="D7" s="13">
        <v>0</v>
      </c>
    </row>
  </sheetData>
  <mergeCells count="1">
    <mergeCell ref="C1:D1"/>
  </mergeCells>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