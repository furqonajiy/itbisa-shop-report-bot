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bmp" ContentType="image/bmp"/>
  <Default Extension="png" ContentType="image/png"/>
  <Default Extension="gif" ContentType="image/gif"/>
  <Default Extension="svg" ContentType="image/svg"/>
  <Default Extension="tiff" ContentType="image/tiff"/>
  <Default Extension="emf" ContentType="image/x-emf"/>
  <Default Extension="jpeg" ContentType="image/jpeg"/>
  <Default Extension="emz" ContentType="image/x-emz"/>
  <Default Extension="wmz" ContentType="image/x-wmz"/>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Income" sheetId="2" r:id="rId2" state="visible"/>
    <sheet name="Free Returns Fee Details" sheetId="3" r:id="rId3" state="visible"/>
  </sheets>
  <definedNames/>
  <calcPr iterateCount="100" iterateDelta="0.001" refMode="A1"/>
</workbook>
</file>

<file path=xl/sharedStrings.xml><?xml version="1.0" encoding="utf-8"?>
<sst xmlns="http://schemas.openxmlformats.org/spreadsheetml/2006/main" count="107" uniqueCount="107">
  <si>
    <t>Laporan Penghasilan</t>
  </si>
  <si>
    <t>Rincian Laporan</t>
  </si>
  <si>
    <t>Username (Penjual)</t>
  </si>
  <si>
    <t>itbisaciamis</t>
  </si>
  <si>
    <t>Dari</t>
  </si>
  <si>
    <t>2023-01-01</t>
  </si>
  <si>
    <t>ke</t>
  </si>
  <si>
    <t>2023-12-31</t>
  </si>
  <si>
    <t>Ringkasan Penghasilan</t>
  </si>
  <si>
    <t>Rp</t>
  </si>
  <si>
    <t>1. Total Pendapatan</t>
  </si>
  <si>
    <t>Total Produk</t>
  </si>
  <si>
    <t>Harga Asli Produk</t>
  </si>
  <si>
    <t>Total Diskon Produk</t>
  </si>
  <si>
    <t>Jumlah Pengembalian Dana ke Pembeli</t>
  </si>
  <si>
    <t>Voucher &amp; Subsidi Shopee</t>
  </si>
  <si>
    <t>Diskon Produk dari Shopee</t>
  </si>
  <si>
    <t>Diskon Voucher Ditanggung Penjual</t>
  </si>
  <si>
    <t>Cashback Koin yang Ditanggung Penjual</t>
  </si>
  <si>
    <t>2. Total Pengeluaran</t>
  </si>
  <si>
    <t>Total Biaya Pengiriman</t>
  </si>
  <si>
    <t>Ongkir Dibayar Pembeli</t>
  </si>
  <si>
    <t>Diskon Ongkir Ditanggung Jasa Kirim</t>
  </si>
  <si>
    <t>Gratis Ongkir dari Shopee</t>
  </si>
  <si>
    <t>Ongkir yang Diteruskan oleh Shopee ke Jasa Kirim</t>
  </si>
  <si>
    <t>Ongkos Kirim Pengembalian Barang</t>
  </si>
  <si>
    <t>Biaya Admin &amp; Layanan</t>
  </si>
  <si>
    <t>AMS Commission Fee</t>
  </si>
  <si>
    <t>Biaya Administrasi</t>
  </si>
  <si>
    <t>Biaya Layanan (termasuk PPN 11%)</t>
  </si>
  <si>
    <t>Premium</t>
  </si>
  <si>
    <t>Biaya Transaksi</t>
  </si>
  <si>
    <t>Biaya Kampanye</t>
  </si>
  <si>
    <t>Bea Masuk, PPN &amp; PPh</t>
  </si>
  <si>
    <t>3. Total yang Dilepas</t>
  </si>
  <si>
    <t>Nilai Lainnya</t>
  </si>
  <si>
    <t>Promo Gratis Ongkir dari Penjual</t>
  </si>
  <si>
    <t>total(Rp)</t>
  </si>
  <si>
    <t>No.</t>
  </si>
  <si>
    <t>No. Pesanan</t>
  </si>
  <si>
    <t>No. Pengajuan</t>
  </si>
  <si>
    <t>Username (Pembeli)</t>
  </si>
  <si>
    <t>Waktu Pesanan Dibuat</t>
  </si>
  <si>
    <t>Metode pembayaran pembeli</t>
  </si>
  <si>
    <t>Tanggal Dana Dilepaskan</t>
  </si>
  <si>
    <t>Total Penghasilan</t>
  </si>
  <si>
    <t>Kode Voucher</t>
  </si>
  <si>
    <t>Kompensasi</t>
  </si>
  <si>
    <t>Jasa Kirim</t>
  </si>
  <si>
    <t>Nama Kurir</t>
  </si>
  <si>
    <t>Pengembalian Dana ke Pembeli</t>
  </si>
  <si>
    <t>Pro-rata Koin yang Ditukarkan untuk Pengembalian Barang</t>
  </si>
  <si>
    <t>Pro-rata Voucher Shopee untuk Pengembalian Barang</t>
  </si>
  <si>
    <t>230825H9CNBQ8D</t>
  </si>
  <si>
    <t>furqonajiy</t>
  </si>
  <si>
    <t>2023-08-24</t>
  </si>
  <si>
    <t>SeaBank Bayar Instan</t>
  </si>
  <si>
    <t>2023-08-26</t>
  </si>
  <si>
    <t>Kargo</t>
  </si>
  <si>
    <t>Sicepat Gokil</t>
  </si>
  <si>
    <t>23100316G06X5A</t>
  </si>
  <si>
    <t>2023-10-03</t>
  </si>
  <si>
    <t>2023-10-05</t>
  </si>
  <si>
    <t>Reguler</t>
  </si>
  <si>
    <t>J&amp;T Express</t>
  </si>
  <si>
    <t>23100553G1CFQV</t>
  </si>
  <si>
    <t>2023-10-07</t>
  </si>
  <si>
    <t>JNE Trucking (JTR)</t>
  </si>
  <si>
    <t>2310055NNR44UV</t>
  </si>
  <si>
    <t>Online Payment</t>
  </si>
  <si>
    <t>2023-10-11</t>
  </si>
  <si>
    <t>231013TCV870V2</t>
  </si>
  <si>
    <t>2023-10-13</t>
  </si>
  <si>
    <t>ShopeePay</t>
  </si>
  <si>
    <t>2023-10-18</t>
  </si>
  <si>
    <t>2310163W3KVQHW</t>
  </si>
  <si>
    <t>2023-10-16</t>
  </si>
  <si>
    <t>2023-10-20</t>
  </si>
  <si>
    <t>23102601B9XREU</t>
  </si>
  <si>
    <t>2023-10-26</t>
  </si>
  <si>
    <t>2023-10-28</t>
  </si>
  <si>
    <t>231101EM44MB2F</t>
  </si>
  <si>
    <t>2023-11-01</t>
  </si>
  <si>
    <t>2023-11-06</t>
  </si>
  <si>
    <t>2311108M8K3SEE</t>
  </si>
  <si>
    <t>2023-11-10</t>
  </si>
  <si>
    <t>2023-11-12</t>
  </si>
  <si>
    <t>231111B8JBNJEB</t>
  </si>
  <si>
    <t>fajarjanggel</t>
  </si>
  <si>
    <t>2023-11-11</t>
  </si>
  <si>
    <t>2023-11-14</t>
  </si>
  <si>
    <t>Pos Reguler</t>
  </si>
  <si>
    <t>231115N0R39K5Y</t>
  </si>
  <si>
    <t>2023-11-15</t>
  </si>
  <si>
    <t>2023-11-18</t>
  </si>
  <si>
    <t>231114JKWUD9DV</t>
  </si>
  <si>
    <t>Kartu Kredit/Debit</t>
  </si>
  <si>
    <t>2312121MYMF8M8</t>
  </si>
  <si>
    <t>baraelektronik</t>
  </si>
  <si>
    <t>2023-12-12</t>
  </si>
  <si>
    <t>COD (Bayar di Tempat)</t>
  </si>
  <si>
    <t>2023-12-18</t>
  </si>
  <si>
    <t>231222TRRE871J</t>
  </si>
  <si>
    <t>tutukjatmiko</t>
  </si>
  <si>
    <t>2023-12-22</t>
  </si>
  <si>
    <t>2023-12-24</t>
  </si>
  <si>
    <t>Seller Protection Fee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</si>
</sst>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2"/>
      <color rgb="FF000000"/>
      <name val="Arial"/>
      <family val="2"/>
      <charset val="0"/>
    </font>
    <font>
      <sz val="10"/>
      <name val="Arial"/>
      <family val="0"/>
      <charset val="0"/>
    </font>
    <font>
      <b val="1"/>
      <sz val="15"/>
      <color rgb="FF000000"/>
      <name val="Arial"/>
      <family val="2"/>
      <charset val="0"/>
    </font>
    <font>
      <b val="1"/>
      <sz val="14"/>
      <color rgb="FF000000"/>
      <name val="Arial"/>
      <family val="2"/>
      <charset val="0"/>
    </font>
    <font>
      <sz val="14"/>
      <color rgb="FF000000"/>
      <name val="Arial"/>
      <family val="2"/>
      <charset val="0"/>
    </font>
    <font>
      <sz val="10"/>
      <color rgb="FF000000"/>
      <name val="Arial"/>
      <family val="2"/>
      <charset val="0"/>
    </font>
    <font>
      <b val="1"/>
      <sz val="10"/>
      <color rgb="FFFF0000"/>
      <name val="Arial"/>
      <family val="2"/>
      <charset val="0"/>
    </font>
    <font>
      <sz val="10"/>
      <color rgb="FF000000"/>
      <name val="等线"/>
      <family val="2"/>
      <charset val="0"/>
    </font>
    <font>
      <b val="1"/>
      <sz val="12"/>
      <color rgb="FF000000"/>
      <name val="Arial"/>
      <family val="2"/>
      <charset val="0"/>
    </font>
    <font>
      <sz val="11"/>
      <color rgb="FF000000"/>
      <name val="Arial"/>
      <family val="2"/>
      <charset val="0"/>
    </font>
    <font>
      <b val="1"/>
      <sz val="10"/>
      <color rgb="FF000000"/>
      <name val="Arial"/>
      <family val="2"/>
      <charset val="0"/>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3">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s>
  <cellXfs count="19">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0" borderId="1" xfId="0" applyNumberFormat="false" applyFont="true" applyFill="false" applyBorder="false" applyAlignment="true" applyProtection="false">
      <alignment horizontal="left" vertical="bottom"/>
    </xf>
    <xf numFmtId="0" fontId="5" fillId="8" borderId="1" xfId="0" applyNumberFormat="false" applyFont="true" applyFill="true" applyBorder="false" applyAlignment="true" applyProtection="false">
      <alignment horizontal="center"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xl/sharedStrings.xml" Type="http://schemas.openxmlformats.org/officeDocument/2006/relationships/sharedStrings"></Relationship><Relationship Id="rId5" Target="theme/theme1.xml" Type="http://schemas.openxmlformats.org/officeDocument/2006/relationships/theme"></Relationship><Relationship Id="rId6"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0</xdr:colOff>
      <xdr:row>0</xdr:row>
      <xdr:rowOff>0</xdr:rowOff>
    </xdr:from>
    <xdr:to>
      <xdr:col>0</xdr:col>
      <xdr:colOff>1123950</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Design">
  <themeElements>
    <clrScheme name="Office">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Arial"/>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86"/>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c r="A2" s="4" t="s"/>
      <c r="B2" s="4" t="s"/>
      <c r="C2" s="4" t="s"/>
      <c r="D2" s="4" t="s"/>
    </row>
    <row r="3">
      <c r="A3" s="4" t="s"/>
      <c r="B3" s="4" t="s"/>
      <c r="C3" s="4" t="s"/>
      <c r="D3" s="4" t="s"/>
    </row>
    <row r="4">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c r="A9" s="8" t="s"/>
      <c r="B9" s="9" t="s"/>
      <c r="C9" s="9" t="s"/>
      <c r="D9" s="9" t="s"/>
    </row>
    <row r="10" ht="18" customHeight="true">
      <c r="A10" s="10" t="s">
        <v>8</v>
      </c>
      <c r="B10" s="10" t="s"/>
      <c r="C10" s="10" t="s"/>
      <c r="D10" s="10" t="s">
        <v>9</v>
      </c>
    </row>
    <row r="11">
      <c r="A11" s="11" t="s">
        <v>10</v>
      </c>
      <c r="B11" s="11" t="s"/>
      <c r="C11" s="11" t="s"/>
      <c r="D11" s="11">
        <v>53950275</v>
      </c>
    </row>
    <row r="12">
      <c r="A12" s="12" t="s">
        <v>11</v>
      </c>
      <c r="B12" s="12" t="s"/>
      <c r="C12" s="12" t="s"/>
      <c r="D12" s="12">
        <v>53950275</v>
      </c>
    </row>
    <row r="13">
      <c r="A13" s="13" t="s"/>
      <c r="B13" s="13" t="s">
        <v>12</v>
      </c>
      <c r="C13" s="13">
        <v>56722775</v>
      </c>
      <c r="D13" s="13" t="s"/>
    </row>
    <row r="14">
      <c r="A14" s="13" t="s"/>
      <c r="B14" s="13" t="s">
        <v>13</v>
      </c>
      <c r="C14" s="13">
        <v>-2772500</v>
      </c>
      <c r="D14" s="13" t="s"/>
    </row>
    <row r="15">
      <c r="A15" s="13" t="s"/>
      <c r="B15" s="13" t="s">
        <v>14</v>
      </c>
      <c r="C15" s="13">
        <v>0</v>
      </c>
      <c r="D15" s="13" t="s"/>
    </row>
    <row r="16">
      <c r="A16" s="13" t="s"/>
      <c r="B16" s="13" t="s"/>
      <c r="C16" s="13" t="s"/>
      <c r="D16" s="13" t="s"/>
    </row>
    <row r="17">
      <c r="A17" s="12" t="s">
        <v>15</v>
      </c>
      <c r="B17" s="12" t="s"/>
      <c r="C17" s="12" t="s"/>
      <c r="D17" s="12">
        <v>0</v>
      </c>
    </row>
    <row r="18">
      <c r="A18" s="13" t="s"/>
      <c r="B18" s="13" t="s">
        <v>16</v>
      </c>
      <c r="C18" s="13">
        <v>0</v>
      </c>
      <c r="D18" s="13" t="s"/>
    </row>
    <row r="19">
      <c r="A19" s="13" t="s"/>
      <c r="B19" s="13" t="s">
        <v>17</v>
      </c>
      <c r="C19" s="13">
        <v>0</v>
      </c>
      <c r="D19" s="13" t="s"/>
    </row>
    <row r="20">
      <c r="A20" s="13" t="s"/>
      <c r="B20" s="13" t="s">
        <v>18</v>
      </c>
      <c r="C20" s="13">
        <v>0</v>
      </c>
      <c r="D20" s="13" t="s"/>
    </row>
    <row r="21">
      <c r="A21" s="2" t="s"/>
      <c r="B21" s="13" t="s"/>
      <c r="C21" s="13" t="s"/>
      <c r="D21" s="13" t="s"/>
    </row>
    <row r="22">
      <c r="A22" s="11" t="s">
        <v>19</v>
      </c>
      <c r="B22" s="11" t="s"/>
      <c r="C22" s="11" t="s"/>
      <c r="D22" s="11">
        <v>-35475</v>
      </c>
    </row>
    <row r="23">
      <c r="A23" s="12" t="s">
        <v>20</v>
      </c>
      <c r="B23" s="12" t="s"/>
      <c r="C23" s="12" t="s"/>
      <c r="D23" s="12">
        <v>0</v>
      </c>
    </row>
    <row r="24">
      <c r="A24" s="13" t="s"/>
      <c r="B24" s="13" t="s">
        <v>21</v>
      </c>
      <c r="C24" s="13">
        <v>8000</v>
      </c>
      <c r="D24" s="13" t="s"/>
    </row>
    <row r="25">
      <c r="A25" s="13" t="s"/>
      <c r="B25" s="13" t="s">
        <v>22</v>
      </c>
      <c r="C25" s="13">
        <v>0</v>
      </c>
      <c r="D25" s="13" t="s"/>
    </row>
    <row r="26">
      <c r="A26" s="13" t="s"/>
      <c r="B26" s="13" t="s">
        <v>23</v>
      </c>
      <c r="C26" s="13">
        <v>564003</v>
      </c>
      <c r="D26" s="13" t="s"/>
    </row>
    <row r="27">
      <c r="A27" s="13" t="s"/>
      <c r="B27" s="13" t="s">
        <v>24</v>
      </c>
      <c r="C27" s="13">
        <v>-572003</v>
      </c>
      <c r="D27" s="13" t="s"/>
    </row>
    <row r="28">
      <c r="A28" s="13" t="s"/>
      <c r="B28" s="13" t="s">
        <v>25</v>
      </c>
      <c r="C28" s="13">
        <v>0</v>
      </c>
      <c r="D28" s="13" t="s"/>
    </row>
    <row r="29">
      <c r="A29" s="13" t="s"/>
      <c r="B29" s="13" t="s"/>
      <c r="C29" s="13" t="s"/>
      <c r="D29" s="13" t="s"/>
    </row>
    <row r="30">
      <c r="A30" s="12" t="s">
        <v>26</v>
      </c>
      <c r="B30" s="12" t="s"/>
      <c r="C30" s="12" t="s"/>
      <c r="D30" s="12">
        <v>-35475</v>
      </c>
    </row>
    <row r="31">
      <c r="A31" s="13" t="s"/>
      <c r="B31" s="13" t="s">
        <v>27</v>
      </c>
      <c r="C31" s="13">
        <v>0</v>
      </c>
      <c r="D31" s="13" t="s"/>
    </row>
    <row r="32">
      <c r="A32" s="13" t="s"/>
      <c r="B32" s="13" t="s">
        <v>28</v>
      </c>
      <c r="C32" s="13">
        <v>0</v>
      </c>
      <c r="D32" s="13" t="s"/>
    </row>
    <row r="33">
      <c r="A33" s="13" t="s"/>
      <c r="B33" s="13" t="s">
        <v>29</v>
      </c>
      <c r="C33" s="13">
        <v>0</v>
      </c>
      <c r="D33" s="13" t="s"/>
    </row>
    <row r="34">
      <c r="A34" s="13" t="s"/>
      <c r="B34" s="13" t="s">
        <v>30</v>
      </c>
      <c r="C34" s="13">
        <v>0</v>
      </c>
      <c r="D34" s="13" t="s"/>
    </row>
    <row r="35">
      <c r="A35" s="13" t="s"/>
      <c r="B35" s="13" t="s">
        <v>31</v>
      </c>
      <c r="C35" s="13">
        <v>-35475</v>
      </c>
      <c r="D35" s="13" t="s"/>
    </row>
    <row r="36">
      <c r="A36" s="13" t="s"/>
      <c r="B36" s="13" t="s">
        <v>32</v>
      </c>
      <c r="C36" s="13">
        <v>0</v>
      </c>
      <c r="D36" s="13" t="s"/>
    </row>
    <row r="37">
      <c r="A37" s="13" t="s"/>
      <c r="B37" s="13" t="s">
        <v>33</v>
      </c>
      <c r="C37" s="13">
        <v>0</v>
      </c>
      <c r="D37" s="13" t="s"/>
    </row>
    <row r="38">
      <c r="A38" s="2" t="s"/>
      <c r="B38" s="13" t="s"/>
      <c r="C38" s="13" t="s"/>
      <c r="D38" s="13" t="s"/>
    </row>
    <row r="40">
      <c r="A40" s="14" t="s">
        <v>34</v>
      </c>
      <c r="B40" s="14" t="s"/>
      <c r="C40" s="14" t="s"/>
      <c r="D40" s="14">
        <v>53914800</v>
      </c>
    </row>
    <row r="41">
      <c r="A41" s="1" t="s"/>
      <c r="B41" s="2" t="s"/>
      <c r="C41" s="2" t="s"/>
      <c r="D41" s="2" t="s"/>
    </row>
    <row r="42">
      <c r="A42" s="14" t="s">
        <v>35</v>
      </c>
      <c r="B42" s="14" t="s"/>
      <c r="C42" s="14" t="s"/>
      <c r="D42" s="14" t="s"/>
    </row>
    <row r="43">
      <c r="A43" s="15" t="s">
        <v>36</v>
      </c>
      <c r="B43" s="15" t="s"/>
      <c r="C43" s="15" t="s"/>
      <c r="D43" s="15">
        <v>0</v>
      </c>
    </row>
    <row r="44" ht="13" customHeight="true">
      <c r="A44" s="16" t="s"/>
      <c r="B44" s="2" t="s"/>
      <c r="C44" s="2" t="s"/>
      <c r="D44" s="2" t="s"/>
    </row>
    <row r="45">
      <c r="A45" s="13" t="s"/>
      <c r="B45" s="16" t="s"/>
      <c r="C45" s="16" t="s"/>
      <c r="D45" s="16" t="s"/>
    </row>
    <row r="46">
      <c r="A46" s="16" t="s"/>
      <c r="B46" s="13" t="s"/>
      <c r="C46" s="13" t="s"/>
      <c r="D46" s="13" t="s"/>
    </row>
    <row r="47">
      <c r="A47" s="13" t="s"/>
      <c r="B47" s="13" t="s"/>
      <c r="C47" s="13" t="s"/>
      <c r="D47" s="13" t="s"/>
    </row>
    <row r="48">
      <c r="A48" s="13" t="s"/>
      <c r="B48" s="13" t="s"/>
      <c r="C48" s="13" t="s"/>
      <c r="D48" s="13" t="s"/>
    </row>
    <row r="49">
      <c r="A49" s="13" t="s"/>
      <c r="B49" s="13" t="s"/>
      <c r="C49" s="13" t="s"/>
      <c r="D49" s="13" t="s"/>
    </row>
    <row r="50">
      <c r="A50" s="13" t="s"/>
      <c r="B50" s="13" t="s"/>
      <c r="C50" s="13" t="s"/>
      <c r="D50" s="13" t="s"/>
    </row>
    <row r="51">
      <c r="A51" s="13" t="s"/>
      <c r="B51" s="13" t="s"/>
      <c r="C51" s="13" t="s"/>
      <c r="D51" s="13" t="s"/>
    </row>
    <row r="52">
      <c r="A52" s="13" t="s"/>
      <c r="B52" s="13" t="s"/>
      <c r="C52" s="13" t="s"/>
      <c r="D52" s="13" t="s"/>
    </row>
    <row r="53">
      <c r="A53" s="13" t="s"/>
      <c r="B53" s="13" t="s"/>
      <c r="C53" s="13" t="s"/>
      <c r="D53" s="13" t="s"/>
    </row>
    <row r="54">
      <c r="A54" s="13" t="s"/>
      <c r="B54" s="13" t="s"/>
      <c r="C54" s="13" t="s"/>
      <c r="D54" s="13" t="s"/>
    </row>
    <row r="55">
      <c r="A55" s="13" t="s"/>
      <c r="B55" s="13" t="s"/>
      <c r="C55" s="13" t="s"/>
      <c r="D55" s="13" t="s"/>
    </row>
    <row r="56">
      <c r="A56" s="13" t="s"/>
      <c r="B56" s="13" t="s"/>
      <c r="C56" s="13" t="s"/>
      <c r="D56" s="13" t="s"/>
    </row>
    <row r="57">
      <c r="A57" s="13" t="s"/>
      <c r="B57" s="16" t="s"/>
      <c r="C57" s="16" t="s"/>
      <c r="D57" s="16" t="s"/>
    </row>
    <row r="58">
      <c r="A58" s="16" t="s"/>
      <c r="B58" s="13" t="s"/>
      <c r="C58" s="13" t="s"/>
      <c r="D58" s="13" t="s"/>
    </row>
    <row r="59">
      <c r="A59" s="13" t="s"/>
      <c r="B59" s="13" t="s"/>
      <c r="C59" s="13" t="s"/>
      <c r="D59" s="13" t="s"/>
    </row>
    <row r="60">
      <c r="A60" s="13" t="s"/>
      <c r="B60" s="13" t="s"/>
      <c r="C60" s="13" t="s"/>
      <c r="D60" s="13" t="s"/>
    </row>
    <row r="61">
      <c r="A61" s="13" t="s"/>
      <c r="B61" s="16" t="s"/>
      <c r="C61" s="16" t="s"/>
      <c r="D61" s="13" t="s"/>
    </row>
    <row r="62">
      <c r="A62" s="16" t="s"/>
      <c r="B62" s="16" t="s"/>
      <c r="C62" s="16" t="s"/>
      <c r="D62" s="16" t="s"/>
    </row>
    <row r="63">
      <c r="A63" s="16" t="s"/>
      <c r="B63" s="13" t="s"/>
      <c r="C63" s="13" t="s"/>
      <c r="D63" s="13" t="s"/>
    </row>
    <row r="64">
      <c r="A64" s="13" t="s"/>
      <c r="B64" s="13" t="s"/>
      <c r="C64" s="13" t="s"/>
      <c r="D64" s="13" t="s"/>
    </row>
    <row r="65">
      <c r="A65" s="13" t="s"/>
      <c r="B65" s="13" t="s"/>
      <c r="C65" s="13" t="s"/>
      <c r="D65" s="13" t="s"/>
    </row>
    <row r="66">
      <c r="A66" s="13" t="s"/>
      <c r="B66" s="13" t="s"/>
      <c r="C66" s="13" t="s"/>
      <c r="D66" s="13" t="s"/>
    </row>
    <row r="67">
      <c r="A67" s="13" t="s"/>
      <c r="B67" s="16" t="s"/>
      <c r="C67" s="16" t="s"/>
      <c r="D67" s="16" t="s"/>
    </row>
    <row r="68">
      <c r="A68" s="16" t="s"/>
      <c r="B68" s="13" t="s"/>
      <c r="C68" s="13" t="s"/>
      <c r="D68" s="13" t="s"/>
    </row>
    <row r="69">
      <c r="A69" s="13" t="s"/>
      <c r="B69" s="13" t="s"/>
      <c r="C69" s="13" t="s"/>
      <c r="D69" s="13" t="s"/>
    </row>
    <row r="70">
      <c r="A70" s="13" t="s"/>
      <c r="B70" s="13" t="s"/>
      <c r="C70" s="13" t="s"/>
      <c r="D70" s="13" t="s"/>
    </row>
    <row r="71">
      <c r="A71" s="13" t="s"/>
      <c r="B71" s="13" t="s"/>
      <c r="C71" s="13" t="s"/>
      <c r="D71" s="13" t="s"/>
    </row>
    <row r="72">
      <c r="A72" s="13" t="s"/>
      <c r="B72" s="16" t="s"/>
      <c r="C72" s="16" t="s"/>
      <c r="D72" s="16" t="s"/>
    </row>
    <row r="73">
      <c r="A73" s="16" t="s"/>
      <c r="B73" s="13" t="s"/>
      <c r="C73" s="13" t="s"/>
      <c r="D73" s="13" t="s"/>
    </row>
    <row r="74">
      <c r="A74" s="13" t="s"/>
      <c r="B74" s="13" t="s"/>
      <c r="C74" s="13" t="s"/>
      <c r="D74" s="13" t="s"/>
    </row>
    <row r="75">
      <c r="A75" s="13" t="s"/>
      <c r="B75" s="13" t="s"/>
      <c r="C75" s="13" t="s"/>
      <c r="D75" s="13" t="s"/>
    </row>
    <row r="76">
      <c r="A76" s="13" t="s"/>
      <c r="B76" s="16" t="s"/>
      <c r="C76" s="16" t="s"/>
      <c r="D76" s="16" t="s"/>
    </row>
    <row r="77">
      <c r="A77" s="16" t="s"/>
      <c r="B77" s="13" t="s"/>
      <c r="C77" s="13" t="s"/>
      <c r="D77" s="13" t="s"/>
    </row>
    <row r="78">
      <c r="A78" s="13" t="s"/>
      <c r="B78" s="16" t="s"/>
      <c r="C78" s="16" t="s"/>
      <c r="D78" s="16" t="s"/>
    </row>
    <row r="79">
      <c r="A79" s="16" t="s"/>
      <c r="B79" s="13" t="s"/>
      <c r="C79" s="13" t="s"/>
      <c r="D79" s="13" t="s"/>
    </row>
    <row r="80">
      <c r="A80" s="13" t="s"/>
      <c r="B80" s="16" t="s"/>
      <c r="C80" s="16" t="s"/>
      <c r="D80" s="16" t="s"/>
    </row>
    <row r="81">
      <c r="A81" s="16" t="s"/>
      <c r="B81" s="13" t="s"/>
      <c r="C81" s="13" t="s"/>
      <c r="D81" s="13" t="s"/>
    </row>
    <row r="82">
      <c r="A82" s="13" t="s"/>
      <c r="B82" s="16" t="s"/>
      <c r="C82" s="16" t="s"/>
      <c r="D82" s="16" t="s"/>
    </row>
    <row r="83">
      <c r="A83" s="16" t="s"/>
      <c r="B83" s="13" t="s"/>
      <c r="C83" s="13" t="s"/>
      <c r="D83" s="13" t="s"/>
    </row>
    <row r="84">
      <c r="A84" s="13" t="s"/>
      <c r="B84" s="13" t="s"/>
      <c r="C84" s="13" t="s"/>
      <c r="D84" s="13" t="s"/>
    </row>
    <row r="85">
      <c r="A85" s="13" t="s"/>
      <c r="B85" s="13" t="s"/>
      <c r="C85" s="13" t="s"/>
      <c r="D85" s="13" t="s"/>
    </row>
    <row r="86">
      <c r="A86" s="13" t="s"/>
      <c r="B86" s="2" t="s"/>
      <c r="C86" s="2" t="s"/>
      <c r="D86" s="2" t="s"/>
    </row>
  </sheetData>
  <mergeCells count="15">
    <mergeCell ref="A1:D4"/>
    <mergeCell ref="A5:D5"/>
    <mergeCell ref="B6:D6"/>
    <mergeCell ref="B7:D7"/>
    <mergeCell ref="B8:D8"/>
    <mergeCell ref="A10:C10"/>
    <mergeCell ref="A11:C11"/>
    <mergeCell ref="A12:C12"/>
    <mergeCell ref="A17:C17"/>
    <mergeCell ref="A22:C22"/>
    <mergeCell ref="A23:C23"/>
    <mergeCell ref="A30:C30"/>
    <mergeCell ref="A40:C40"/>
    <mergeCell ref="A42:D42"/>
    <mergeCell ref="A43:C43"/>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AI20"/>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s>
  <sheetData>
    <row r="1">
      <c r="A1" s="13" t="s">
        <v>2</v>
      </c>
      <c r="B1" s="13" t="s">
        <v>4</v>
      </c>
      <c r="C1" s="13" t="s">
        <v>6</v>
      </c>
    </row>
    <row r="2">
      <c r="A2" s="13" t="s">
        <v>3</v>
      </c>
      <c r="B2" s="13" t="s">
        <v>5</v>
      </c>
      <c r="C2" s="13" t="s">
        <v>7</v>
      </c>
    </row>
    <row r="3">
      <c r="A3" s="13" t="s"/>
      <c r="B3" s="2" t="s"/>
    </row>
    <row r="4"/>
    <row r="5">
      <c r="A5" s="17" t="s">
        <v>37</v>
      </c>
      <c r="B5" s="17" t="s"/>
      <c r="C5" s="17" t="s"/>
      <c r="D5" s="17" t="s"/>
      <c r="E5" s="17" t="s"/>
      <c r="F5" s="17" t="s"/>
      <c r="G5" s="17" t="s"/>
      <c r="H5" s="17">
        <f>=SUM(INDIRECT(ADDRESS(6,8)):INDIRECT(ADDRESS(1048576,8)))</f>
      </c>
      <c r="I5" s="17">
        <f>=SUM(INDIRECT(ADDRESS(6,9)):INDIRECT(ADDRESS(1048576,9)))</f>
      </c>
      <c r="J5" s="17">
        <f>=SUM(INDIRECT(ADDRESS(6,10)):INDIRECT(ADDRESS(1048576,10)))</f>
      </c>
      <c r="K5" s="17">
        <f>=SUM(INDIRECT(ADDRESS(6,11)):INDIRECT(ADDRESS(1048576,11)))</f>
      </c>
      <c r="L5" s="17">
        <f>=SUM(INDIRECT(ADDRESS(6,12)):INDIRECT(ADDRESS(1048576,12)))</f>
      </c>
      <c r="M5" s="17">
        <f>=SUM(INDIRECT(ADDRESS(6,13)):INDIRECT(ADDRESS(1048576,13)))</f>
      </c>
      <c r="N5" s="17">
        <f>=SUM(INDIRECT(ADDRESS(6,14)):INDIRECT(ADDRESS(1048576,14)))</f>
      </c>
      <c r="O5" s="17">
        <f>=SUM(INDIRECT(ADDRESS(6,15)):INDIRECT(ADDRESS(1048576,15)))</f>
      </c>
      <c r="P5" s="17">
        <f>=SUM(INDIRECT(ADDRESS(6,16)):INDIRECT(ADDRESS(1048576,16)))</f>
      </c>
      <c r="Q5" s="17">
        <f>=SUM(INDIRECT(ADDRESS(6,17)):INDIRECT(ADDRESS(1048576,17)))</f>
      </c>
      <c r="R5" s="17">
        <f>=SUM(INDIRECT(ADDRESS(6,18)):INDIRECT(ADDRESS(1048576,18)))</f>
      </c>
      <c r="S5" s="17" t="s"/>
      <c r="T5" s="17">
        <f>=SUM(INDIRECT(ADDRESS(6,20)):INDIRECT(ADDRESS(1048576,20)))</f>
      </c>
      <c r="U5" s="17">
        <f>=SUM(INDIRECT(ADDRESS(6,21)):INDIRECT(ADDRESS(1048576,21)))</f>
      </c>
      <c r="V5" s="17">
        <f>=SUM(INDIRECT(ADDRESS(6,22)):INDIRECT(ADDRESS(1048576,22)))</f>
      </c>
      <c r="W5" s="17">
        <f>=SUM(INDIRECT(ADDRESS(6,23)):INDIRECT(ADDRESS(1048576,23)))</f>
      </c>
      <c r="X5" s="17">
        <f>=SUM(INDIRECT(ADDRESS(6,24)):INDIRECT(ADDRESS(1048576,24)))</f>
      </c>
      <c r="Y5" s="17">
        <f>=SUM(INDIRECT(ADDRESS(6,25)):INDIRECT(ADDRESS(1048576,25)))</f>
      </c>
      <c r="Z5" s="17">
        <f>=SUM(INDIRECT(ADDRESS(6,26)):INDIRECT(ADDRESS(1048576,26)))</f>
      </c>
      <c r="AA5" s="17" t="s"/>
      <c r="AB5" s="17">
        <f>=SUM(INDIRECT(ADDRESS(6,28)):INDIRECT(ADDRESS(1048576,28)))</f>
      </c>
      <c r="AC5" s="17">
        <f>=SUM(INDIRECT(ADDRESS(6,29)):INDIRECT(ADDRESS(1048576,29)))</f>
      </c>
      <c r="AD5" s="17" t="s"/>
      <c r="AE5" s="17" t="s"/>
      <c r="AF5" s="17" t="s"/>
      <c r="AG5" s="17">
        <f>=SUM(INDIRECT(ADDRESS(6,33)):INDIRECT(ADDRESS(1048576,33)))</f>
      </c>
      <c r="AH5" s="17">
        <f>=SUM(INDIRECT(ADDRESS(6,34)):INDIRECT(ADDRESS(1048576,34)))</f>
      </c>
      <c r="AI5" s="17">
        <f>=SUM(INDIRECT(ADDRESS(6,35)):INDIRECT(ADDRESS(1048576,35)))</f>
      </c>
    </row>
    <row r="6">
      <c r="A6" s="17" t="s">
        <v>38</v>
      </c>
      <c r="B6" s="17" t="s">
        <v>39</v>
      </c>
      <c r="C6" s="17" t="s">
        <v>40</v>
      </c>
      <c r="D6" s="17" t="s">
        <v>41</v>
      </c>
      <c r="E6" s="17" t="s">
        <v>42</v>
      </c>
      <c r="F6" s="17" t="s">
        <v>43</v>
      </c>
      <c r="G6" s="17" t="s">
        <v>44</v>
      </c>
      <c r="H6" s="17" t="s">
        <v>12</v>
      </c>
      <c r="I6" s="17" t="s">
        <v>13</v>
      </c>
      <c r="J6" s="17" t="s">
        <v>14</v>
      </c>
      <c r="K6" s="17" t="s">
        <v>16</v>
      </c>
      <c r="L6" s="17" t="s">
        <v>17</v>
      </c>
      <c r="M6" s="17" t="s">
        <v>18</v>
      </c>
      <c r="N6" s="17" t="s">
        <v>21</v>
      </c>
      <c r="O6" s="17" t="s">
        <v>22</v>
      </c>
      <c r="P6" s="17" t="s">
        <v>23</v>
      </c>
      <c r="Q6" s="17" t="s">
        <v>24</v>
      </c>
      <c r="R6" s="17" t="s">
        <v>25</v>
      </c>
      <c r="S6" s="17" t="s">
        <v>27</v>
      </c>
      <c r="T6" s="17" t="s">
        <v>28</v>
      </c>
      <c r="U6" s="17" t="s">
        <v>29</v>
      </c>
      <c r="V6" s="17" t="s">
        <v>30</v>
      </c>
      <c r="W6" s="17" t="s">
        <v>31</v>
      </c>
      <c r="X6" s="17" t="s">
        <v>32</v>
      </c>
      <c r="Y6" s="17" t="s">
        <v>33</v>
      </c>
      <c r="Z6" s="17" t="s">
        <v>45</v>
      </c>
      <c r="AA6" s="17" t="s">
        <v>46</v>
      </c>
      <c r="AB6" s="17" t="s">
        <v>47</v>
      </c>
      <c r="AC6" s="17" t="s">
        <v>36</v>
      </c>
      <c r="AD6" s="17" t="s">
        <v>48</v>
      </c>
      <c r="AE6" s="17" t="s">
        <v>49</v>
      </c>
      <c r="AF6" s="17" t="s"/>
      <c r="AG6" s="17" t="s">
        <v>50</v>
      </c>
      <c r="AH6" s="17" t="s">
        <v>51</v>
      </c>
      <c r="AI6" s="17" t="s">
        <v>52</v>
      </c>
    </row>
    <row r="7">
      <c r="A7" s="17">
        <v>1</v>
      </c>
      <c r="B7" s="17" t="s">
        <v>53</v>
      </c>
      <c r="C7" s="17" t="s"/>
      <c r="D7" s="17" t="s">
        <v>54</v>
      </c>
      <c r="E7" s="17" t="s">
        <v>55</v>
      </c>
      <c r="F7" s="17" t="s">
        <v>56</v>
      </c>
      <c r="G7" s="17" t="s">
        <v>57</v>
      </c>
      <c r="H7" s="17">
        <v>1300000</v>
      </c>
      <c r="I7" s="17">
        <v>-50000</v>
      </c>
      <c r="J7" s="17">
        <v>0</v>
      </c>
      <c r="K7" s="17">
        <v>0</v>
      </c>
      <c r="L7" s="17">
        <v>0</v>
      </c>
      <c r="M7" s="17">
        <v>0</v>
      </c>
      <c r="N7" s="17">
        <v>0</v>
      </c>
      <c r="O7" s="17">
        <v>0</v>
      </c>
      <c r="P7" s="17">
        <v>20000</v>
      </c>
      <c r="Q7" s="17">
        <v>-20000</v>
      </c>
      <c r="R7" s="17">
        <v>0</v>
      </c>
      <c r="S7" s="17">
        <v>0</v>
      </c>
      <c r="T7" s="17">
        <v>0</v>
      </c>
      <c r="U7" s="17">
        <v>0</v>
      </c>
      <c r="V7" s="17">
        <v>0</v>
      </c>
      <c r="W7" s="17">
        <v>0</v>
      </c>
      <c r="X7" s="17">
        <v>0</v>
      </c>
      <c r="Y7" s="17">
        <v>0</v>
      </c>
      <c r="Z7" s="17">
        <v>1250000</v>
      </c>
      <c r="AA7" s="17" t="s"/>
      <c r="AB7" s="17">
        <v>0</v>
      </c>
      <c r="AC7" s="17">
        <v>0</v>
      </c>
      <c r="AD7" s="17" t="s">
        <v>58</v>
      </c>
      <c r="AE7" s="17" t="s">
        <v>59</v>
      </c>
      <c r="AF7" s="17" t="s"/>
      <c r="AG7" s="17">
        <v>0</v>
      </c>
      <c r="AH7" s="17">
        <v>0</v>
      </c>
      <c r="AI7" s="17">
        <v>0</v>
      </c>
    </row>
    <row r="8">
      <c r="A8" s="17">
        <v>2</v>
      </c>
      <c r="B8" s="17" t="s">
        <v>60</v>
      </c>
      <c r="C8" s="17" t="s"/>
      <c r="D8" s="17" t="s">
        <v>54</v>
      </c>
      <c r="E8" s="17" t="s">
        <v>61</v>
      </c>
      <c r="F8" s="17" t="s">
        <v>56</v>
      </c>
      <c r="G8" s="17" t="s">
        <v>62</v>
      </c>
      <c r="H8" s="17">
        <v>1250000</v>
      </c>
      <c r="I8" s="17">
        <v>-10000</v>
      </c>
      <c r="J8" s="17">
        <v>0</v>
      </c>
      <c r="K8" s="17">
        <v>0</v>
      </c>
      <c r="L8" s="17">
        <v>0</v>
      </c>
      <c r="M8" s="17">
        <v>0</v>
      </c>
      <c r="N8" s="17">
        <v>0</v>
      </c>
      <c r="O8" s="17">
        <v>0</v>
      </c>
      <c r="P8" s="17">
        <v>24000</v>
      </c>
      <c r="Q8" s="17">
        <v>-24000</v>
      </c>
      <c r="R8" s="17">
        <v>0</v>
      </c>
      <c r="S8" s="17">
        <v>0</v>
      </c>
      <c r="T8" s="17">
        <v>0</v>
      </c>
      <c r="U8" s="17">
        <v>0</v>
      </c>
      <c r="V8" s="17">
        <v>0</v>
      </c>
      <c r="W8" s="17">
        <v>0</v>
      </c>
      <c r="X8" s="17">
        <v>0</v>
      </c>
      <c r="Y8" s="17">
        <v>0</v>
      </c>
      <c r="Z8" s="17">
        <v>1240000</v>
      </c>
      <c r="AA8" s="17" t="s"/>
      <c r="AB8" s="17">
        <v>0</v>
      </c>
      <c r="AC8" s="17">
        <v>0</v>
      </c>
      <c r="AD8" s="17" t="s">
        <v>63</v>
      </c>
      <c r="AE8" s="17" t="s">
        <v>64</v>
      </c>
      <c r="AF8" s="17" t="s"/>
      <c r="AG8" s="17">
        <v>0</v>
      </c>
      <c r="AH8" s="17">
        <v>0</v>
      </c>
      <c r="AI8" s="17">
        <v>0</v>
      </c>
    </row>
    <row r="9">
      <c r="A9" s="17">
        <v>3</v>
      </c>
      <c r="B9" s="17" t="s">
        <v>65</v>
      </c>
      <c r="C9" s="17" t="s"/>
      <c r="D9" s="17" t="s">
        <v>54</v>
      </c>
      <c r="E9" s="17" t="s">
        <v>62</v>
      </c>
      <c r="F9" s="17" t="s">
        <v>56</v>
      </c>
      <c r="G9" s="17" t="s">
        <v>66</v>
      </c>
      <c r="H9" s="17">
        <v>3375000</v>
      </c>
      <c r="I9" s="17">
        <v>-375000</v>
      </c>
      <c r="J9" s="17">
        <v>0</v>
      </c>
      <c r="K9" s="17">
        <v>0</v>
      </c>
      <c r="L9" s="17">
        <v>0</v>
      </c>
      <c r="M9" s="17">
        <v>0</v>
      </c>
      <c r="N9" s="17">
        <v>0</v>
      </c>
      <c r="O9" s="17">
        <v>0</v>
      </c>
      <c r="P9" s="17">
        <v>15000</v>
      </c>
      <c r="Q9" s="17">
        <v>-15000</v>
      </c>
      <c r="R9" s="17">
        <v>0</v>
      </c>
      <c r="S9" s="17">
        <v>0</v>
      </c>
      <c r="T9" s="17">
        <v>0</v>
      </c>
      <c r="U9" s="17">
        <v>0</v>
      </c>
      <c r="V9" s="17">
        <v>0</v>
      </c>
      <c r="W9" s="17">
        <v>0</v>
      </c>
      <c r="X9" s="17">
        <v>0</v>
      </c>
      <c r="Y9" s="17">
        <v>0</v>
      </c>
      <c r="Z9" s="17">
        <v>3000000</v>
      </c>
      <c r="AA9" s="17" t="s"/>
      <c r="AB9" s="17">
        <v>0</v>
      </c>
      <c r="AC9" s="17">
        <v>0</v>
      </c>
      <c r="AD9" s="17" t="s">
        <v>58</v>
      </c>
      <c r="AE9" s="17" t="s">
        <v>67</v>
      </c>
      <c r="AF9" s="17" t="s"/>
      <c r="AG9" s="17">
        <v>0</v>
      </c>
      <c r="AH9" s="17">
        <v>0</v>
      </c>
      <c r="AI9" s="17">
        <v>0</v>
      </c>
    </row>
    <row r="10">
      <c r="A10" s="17">
        <v>4</v>
      </c>
      <c r="B10" s="17" t="s">
        <v>68</v>
      </c>
      <c r="C10" s="17" t="s"/>
      <c r="D10" s="17" t="s">
        <v>54</v>
      </c>
      <c r="E10" s="17" t="s">
        <v>62</v>
      </c>
      <c r="F10" s="17" t="s">
        <v>69</v>
      </c>
      <c r="G10" s="17" t="s">
        <v>70</v>
      </c>
      <c r="H10" s="17">
        <v>2160000</v>
      </c>
      <c r="I10" s="17">
        <v>-45000</v>
      </c>
      <c r="J10" s="17">
        <v>0</v>
      </c>
      <c r="K10" s="17">
        <v>0</v>
      </c>
      <c r="L10" s="17">
        <v>0</v>
      </c>
      <c r="M10" s="17">
        <v>0</v>
      </c>
      <c r="N10" s="17">
        <v>0</v>
      </c>
      <c r="O10" s="17">
        <v>0</v>
      </c>
      <c r="P10" s="17">
        <v>15000</v>
      </c>
      <c r="Q10" s="17">
        <v>-15000</v>
      </c>
      <c r="R10" s="17">
        <v>0</v>
      </c>
      <c r="S10" s="17">
        <v>0</v>
      </c>
      <c r="T10" s="17">
        <v>0</v>
      </c>
      <c r="U10" s="17">
        <v>0</v>
      </c>
      <c r="V10" s="17">
        <v>0</v>
      </c>
      <c r="W10" s="17">
        <v>0</v>
      </c>
      <c r="X10" s="17">
        <v>0</v>
      </c>
      <c r="Y10" s="17">
        <v>0</v>
      </c>
      <c r="Z10" s="17">
        <v>2115000</v>
      </c>
      <c r="AA10" s="17" t="s"/>
      <c r="AB10" s="17">
        <v>0</v>
      </c>
      <c r="AC10" s="17">
        <v>0</v>
      </c>
      <c r="AD10" s="17" t="s">
        <v>58</v>
      </c>
      <c r="AE10" s="17" t="s">
        <v>59</v>
      </c>
      <c r="AF10" s="17" t="s"/>
      <c r="AG10" s="17">
        <v>0</v>
      </c>
      <c r="AH10" s="17">
        <v>0</v>
      </c>
      <c r="AI10" s="17">
        <v>0</v>
      </c>
    </row>
    <row r="11">
      <c r="A11" s="17">
        <v>5</v>
      </c>
      <c r="B11" s="17" t="s">
        <v>71</v>
      </c>
      <c r="C11" s="17" t="s"/>
      <c r="D11" s="17" t="s">
        <v>54</v>
      </c>
      <c r="E11" s="17" t="s">
        <v>72</v>
      </c>
      <c r="F11" s="17" t="s">
        <v>73</v>
      </c>
      <c r="G11" s="17" t="s">
        <v>74</v>
      </c>
      <c r="H11" s="17">
        <v>8400000</v>
      </c>
      <c r="I11" s="17">
        <v>-700000</v>
      </c>
      <c r="J11" s="17">
        <v>0</v>
      </c>
      <c r="K11" s="17">
        <v>0</v>
      </c>
      <c r="L11" s="17">
        <v>0</v>
      </c>
      <c r="M11" s="17">
        <v>0</v>
      </c>
      <c r="N11" s="17">
        <v>0</v>
      </c>
      <c r="O11" s="17">
        <v>0</v>
      </c>
      <c r="P11" s="17">
        <v>51500</v>
      </c>
      <c r="Q11" s="17">
        <v>-51500</v>
      </c>
      <c r="R11" s="17">
        <v>0</v>
      </c>
      <c r="S11" s="17">
        <v>0</v>
      </c>
      <c r="T11" s="17">
        <v>0</v>
      </c>
      <c r="U11" s="17">
        <v>0</v>
      </c>
      <c r="V11" s="17">
        <v>0</v>
      </c>
      <c r="W11" s="17">
        <v>0</v>
      </c>
      <c r="X11" s="17">
        <v>0</v>
      </c>
      <c r="Y11" s="17">
        <v>0</v>
      </c>
      <c r="Z11" s="17">
        <v>7700000</v>
      </c>
      <c r="AA11" s="17" t="s"/>
      <c r="AB11" s="17">
        <v>0</v>
      </c>
      <c r="AC11" s="17">
        <v>0</v>
      </c>
      <c r="AD11" s="17" t="s">
        <v>58</v>
      </c>
      <c r="AE11" s="17" t="s">
        <v>67</v>
      </c>
      <c r="AF11" s="17" t="s"/>
      <c r="AG11" s="17">
        <v>0</v>
      </c>
      <c r="AH11" s="17">
        <v>0</v>
      </c>
      <c r="AI11" s="17">
        <v>0</v>
      </c>
    </row>
    <row r="12">
      <c r="A12" s="17">
        <v>6</v>
      </c>
      <c r="B12" s="17" t="s">
        <v>75</v>
      </c>
      <c r="C12" s="17" t="s"/>
      <c r="D12" s="17" t="s">
        <v>54</v>
      </c>
      <c r="E12" s="17" t="s">
        <v>76</v>
      </c>
      <c r="F12" s="17" t="s">
        <v>69</v>
      </c>
      <c r="G12" s="17" t="s">
        <v>77</v>
      </c>
      <c r="H12" s="17">
        <v>8541000</v>
      </c>
      <c r="I12" s="17">
        <v>-270000</v>
      </c>
      <c r="J12" s="17">
        <v>0</v>
      </c>
      <c r="K12" s="17">
        <v>0</v>
      </c>
      <c r="L12" s="17">
        <v>0</v>
      </c>
      <c r="M12" s="17">
        <v>0</v>
      </c>
      <c r="N12" s="17">
        <v>0</v>
      </c>
      <c r="O12" s="17">
        <v>0</v>
      </c>
      <c r="P12" s="17">
        <v>128501</v>
      </c>
      <c r="Q12" s="17">
        <v>-128501</v>
      </c>
      <c r="R12" s="17">
        <v>0</v>
      </c>
      <c r="S12" s="17">
        <v>0</v>
      </c>
      <c r="T12" s="17">
        <v>0</v>
      </c>
      <c r="U12" s="17">
        <v>0</v>
      </c>
      <c r="V12" s="17">
        <v>0</v>
      </c>
      <c r="W12" s="17">
        <v>0</v>
      </c>
      <c r="X12" s="17">
        <v>0</v>
      </c>
      <c r="Y12" s="17">
        <v>0</v>
      </c>
      <c r="Z12" s="17">
        <v>8271000</v>
      </c>
      <c r="AA12" s="17" t="s"/>
      <c r="AB12" s="17">
        <v>0</v>
      </c>
      <c r="AC12" s="17">
        <v>0</v>
      </c>
      <c r="AD12" s="17" t="s">
        <v>58</v>
      </c>
      <c r="AE12" s="17" t="s">
        <v>67</v>
      </c>
      <c r="AF12" s="17" t="s"/>
      <c r="AG12" s="17">
        <v>0</v>
      </c>
      <c r="AH12" s="17">
        <v>0</v>
      </c>
      <c r="AI12" s="17">
        <v>0</v>
      </c>
    </row>
    <row r="13">
      <c r="A13" s="17">
        <v>7</v>
      </c>
      <c r="B13" s="17" t="s">
        <v>78</v>
      </c>
      <c r="C13" s="17" t="s"/>
      <c r="D13" s="17" t="s">
        <v>54</v>
      </c>
      <c r="E13" s="17" t="s">
        <v>79</v>
      </c>
      <c r="F13" s="17" t="s">
        <v>69</v>
      </c>
      <c r="G13" s="17" t="s">
        <v>80</v>
      </c>
      <c r="H13" s="17">
        <v>13000000</v>
      </c>
      <c r="I13" s="17">
        <v>-500000</v>
      </c>
      <c r="J13" s="17">
        <v>0</v>
      </c>
      <c r="K13" s="17">
        <v>0</v>
      </c>
      <c r="L13" s="17">
        <v>0</v>
      </c>
      <c r="M13" s="17">
        <v>0</v>
      </c>
      <c r="N13" s="17">
        <v>0</v>
      </c>
      <c r="O13" s="17">
        <v>0</v>
      </c>
      <c r="P13" s="17">
        <v>77501</v>
      </c>
      <c r="Q13" s="17">
        <v>-77501</v>
      </c>
      <c r="R13" s="17">
        <v>0</v>
      </c>
      <c r="S13" s="17">
        <v>0</v>
      </c>
      <c r="T13" s="17">
        <v>0</v>
      </c>
      <c r="U13" s="17">
        <v>0</v>
      </c>
      <c r="V13" s="17">
        <v>0</v>
      </c>
      <c r="W13" s="17">
        <v>0</v>
      </c>
      <c r="X13" s="17">
        <v>0</v>
      </c>
      <c r="Y13" s="17">
        <v>0</v>
      </c>
      <c r="Z13" s="17">
        <v>12500000</v>
      </c>
      <c r="AA13" s="17" t="s"/>
      <c r="AB13" s="17">
        <v>0</v>
      </c>
      <c r="AC13" s="17">
        <v>0</v>
      </c>
      <c r="AD13" s="17" t="s">
        <v>58</v>
      </c>
      <c r="AE13" s="17" t="s">
        <v>67</v>
      </c>
      <c r="AF13" s="17" t="s"/>
      <c r="AG13" s="17">
        <v>0</v>
      </c>
      <c r="AH13" s="17">
        <v>0</v>
      </c>
      <c r="AI13" s="17">
        <v>0</v>
      </c>
    </row>
    <row r="14">
      <c r="A14" s="17">
        <v>8</v>
      </c>
      <c r="B14" s="17" t="s">
        <v>81</v>
      </c>
      <c r="C14" s="17" t="s"/>
      <c r="D14" s="17" t="s">
        <v>54</v>
      </c>
      <c r="E14" s="17" t="s">
        <v>82</v>
      </c>
      <c r="F14" s="17" t="s">
        <v>69</v>
      </c>
      <c r="G14" s="17" t="s">
        <v>83</v>
      </c>
      <c r="H14" s="17">
        <v>13749725</v>
      </c>
      <c r="I14" s="17">
        <v>-687500</v>
      </c>
      <c r="J14" s="17">
        <v>0</v>
      </c>
      <c r="K14" s="17">
        <v>0</v>
      </c>
      <c r="L14" s="17">
        <v>0</v>
      </c>
      <c r="M14" s="17">
        <v>0</v>
      </c>
      <c r="N14" s="17">
        <v>0</v>
      </c>
      <c r="O14" s="17">
        <v>0</v>
      </c>
      <c r="P14" s="17">
        <v>93501</v>
      </c>
      <c r="Q14" s="17">
        <v>-93501</v>
      </c>
      <c r="R14" s="17">
        <v>0</v>
      </c>
      <c r="S14" s="17">
        <v>0</v>
      </c>
      <c r="T14" s="17">
        <v>0</v>
      </c>
      <c r="U14" s="17">
        <v>0</v>
      </c>
      <c r="V14" s="17">
        <v>0</v>
      </c>
      <c r="W14" s="17">
        <v>0</v>
      </c>
      <c r="X14" s="17">
        <v>0</v>
      </c>
      <c r="Y14" s="17">
        <v>0</v>
      </c>
      <c r="Z14" s="17">
        <v>13062225</v>
      </c>
      <c r="AA14" s="17" t="s"/>
      <c r="AB14" s="17">
        <v>0</v>
      </c>
      <c r="AC14" s="17">
        <v>0</v>
      </c>
      <c r="AD14" s="17" t="s">
        <v>58</v>
      </c>
      <c r="AE14" s="17" t="s">
        <v>67</v>
      </c>
      <c r="AF14" s="17" t="s"/>
      <c r="AG14" s="17">
        <v>0</v>
      </c>
      <c r="AH14" s="17">
        <v>0</v>
      </c>
      <c r="AI14" s="17">
        <v>0</v>
      </c>
    </row>
    <row r="15">
      <c r="A15" s="17">
        <v>9</v>
      </c>
      <c r="B15" s="17" t="s">
        <v>84</v>
      </c>
      <c r="C15" s="17" t="s"/>
      <c r="D15" s="17" t="s">
        <v>54</v>
      </c>
      <c r="E15" s="17" t="s">
        <v>85</v>
      </c>
      <c r="F15" s="17" t="s">
        <v>69</v>
      </c>
      <c r="G15" s="17" t="s">
        <v>86</v>
      </c>
      <c r="H15" s="17">
        <v>2598000</v>
      </c>
      <c r="I15" s="17">
        <v>0</v>
      </c>
      <c r="J15" s="17">
        <v>0</v>
      </c>
      <c r="K15" s="17">
        <v>0</v>
      </c>
      <c r="L15" s="17">
        <v>0</v>
      </c>
      <c r="M15" s="17">
        <v>0</v>
      </c>
      <c r="N15" s="17">
        <v>0</v>
      </c>
      <c r="O15" s="17">
        <v>0</v>
      </c>
      <c r="P15" s="17">
        <v>28000</v>
      </c>
      <c r="Q15" s="17">
        <v>-28000</v>
      </c>
      <c r="R15" s="17">
        <v>0</v>
      </c>
      <c r="S15" s="17">
        <v>0</v>
      </c>
      <c r="T15" s="17">
        <v>0</v>
      </c>
      <c r="U15" s="17">
        <v>0</v>
      </c>
      <c r="V15" s="17">
        <v>0</v>
      </c>
      <c r="W15" s="17">
        <v>0</v>
      </c>
      <c r="X15" s="17">
        <v>0</v>
      </c>
      <c r="Y15" s="17">
        <v>0</v>
      </c>
      <c r="Z15" s="17">
        <v>2598000</v>
      </c>
      <c r="AA15" s="17" t="s"/>
      <c r="AB15" s="17">
        <v>0</v>
      </c>
      <c r="AC15" s="17">
        <v>0</v>
      </c>
      <c r="AD15" s="17" t="s">
        <v>63</v>
      </c>
      <c r="AE15" s="17" t="s">
        <v>64</v>
      </c>
      <c r="AF15" s="17" t="s"/>
      <c r="AG15" s="17">
        <v>0</v>
      </c>
      <c r="AH15" s="17">
        <v>0</v>
      </c>
      <c r="AI15" s="17">
        <v>0</v>
      </c>
    </row>
    <row r="16">
      <c r="A16" s="17">
        <v>10</v>
      </c>
      <c r="B16" s="17" t="s">
        <v>87</v>
      </c>
      <c r="C16" s="17" t="s"/>
      <c r="D16" s="17" t="s">
        <v>88</v>
      </c>
      <c r="E16" s="17" t="s">
        <v>89</v>
      </c>
      <c r="F16" s="17" t="s">
        <v>69</v>
      </c>
      <c r="G16" s="17" t="s">
        <v>90</v>
      </c>
      <c r="H16" s="17">
        <v>94900</v>
      </c>
      <c r="I16" s="17">
        <v>-2000</v>
      </c>
      <c r="J16" s="17">
        <v>0</v>
      </c>
      <c r="K16" s="17">
        <v>0</v>
      </c>
      <c r="L16" s="17">
        <v>0</v>
      </c>
      <c r="M16" s="17">
        <v>0</v>
      </c>
      <c r="N16" s="17">
        <v>0</v>
      </c>
      <c r="O16" s="17">
        <v>0</v>
      </c>
      <c r="P16" s="17">
        <v>18500</v>
      </c>
      <c r="Q16" s="17">
        <v>-18500</v>
      </c>
      <c r="R16" s="17">
        <v>0</v>
      </c>
      <c r="S16" s="17">
        <v>0</v>
      </c>
      <c r="T16" s="17">
        <v>0</v>
      </c>
      <c r="U16" s="17">
        <v>0</v>
      </c>
      <c r="V16" s="17">
        <v>0</v>
      </c>
      <c r="W16" s="17">
        <v>0</v>
      </c>
      <c r="X16" s="17">
        <v>0</v>
      </c>
      <c r="Y16" s="17">
        <v>0</v>
      </c>
      <c r="Z16" s="17">
        <v>92900</v>
      </c>
      <c r="AA16" s="17" t="s"/>
      <c r="AB16" s="17">
        <v>0</v>
      </c>
      <c r="AC16" s="17">
        <v>0</v>
      </c>
      <c r="AD16" s="17" t="s">
        <v>63</v>
      </c>
      <c r="AE16" s="17" t="s">
        <v>91</v>
      </c>
      <c r="AF16" s="17" t="s"/>
      <c r="AG16" s="17">
        <v>0</v>
      </c>
      <c r="AH16" s="17">
        <v>0</v>
      </c>
      <c r="AI16" s="17">
        <v>0</v>
      </c>
    </row>
    <row r="17">
      <c r="A17" s="17">
        <v>11</v>
      </c>
      <c r="B17" s="17" t="s">
        <v>92</v>
      </c>
      <c r="C17" s="17" t="s"/>
      <c r="D17" s="17" t="s">
        <v>88</v>
      </c>
      <c r="E17" s="17" t="s">
        <v>93</v>
      </c>
      <c r="F17" s="17" t="s">
        <v>69</v>
      </c>
      <c r="G17" s="17" t="s">
        <v>94</v>
      </c>
      <c r="H17" s="17">
        <v>142350</v>
      </c>
      <c r="I17" s="17">
        <v>-3000</v>
      </c>
      <c r="J17" s="17">
        <v>0</v>
      </c>
      <c r="K17" s="17">
        <v>0</v>
      </c>
      <c r="L17" s="17">
        <v>0</v>
      </c>
      <c r="M17" s="17">
        <v>0</v>
      </c>
      <c r="N17" s="17">
        <v>0</v>
      </c>
      <c r="O17" s="17">
        <v>0</v>
      </c>
      <c r="P17" s="17">
        <v>18500</v>
      </c>
      <c r="Q17" s="17">
        <v>-18500</v>
      </c>
      <c r="R17" s="17">
        <v>0</v>
      </c>
      <c r="S17" s="17">
        <v>0</v>
      </c>
      <c r="T17" s="17">
        <v>0</v>
      </c>
      <c r="U17" s="17">
        <v>0</v>
      </c>
      <c r="V17" s="17">
        <v>0</v>
      </c>
      <c r="W17" s="17">
        <v>0</v>
      </c>
      <c r="X17" s="17">
        <v>0</v>
      </c>
      <c r="Y17" s="17">
        <v>0</v>
      </c>
      <c r="Z17" s="17">
        <v>139350</v>
      </c>
      <c r="AA17" s="17" t="s"/>
      <c r="AB17" s="17">
        <v>0</v>
      </c>
      <c r="AC17" s="17">
        <v>0</v>
      </c>
      <c r="AD17" s="17" t="s">
        <v>63</v>
      </c>
      <c r="AE17" s="17" t="s">
        <v>91</v>
      </c>
      <c r="AF17" s="17" t="s"/>
      <c r="AG17" s="17">
        <v>0</v>
      </c>
      <c r="AH17" s="17">
        <v>0</v>
      </c>
      <c r="AI17" s="17">
        <v>0</v>
      </c>
    </row>
    <row r="18">
      <c r="A18" s="17">
        <v>12</v>
      </c>
      <c r="B18" s="17" t="s">
        <v>95</v>
      </c>
      <c r="C18" s="17" t="s"/>
      <c r="D18" s="17" t="s">
        <v>54</v>
      </c>
      <c r="E18" s="17" t="s">
        <v>90</v>
      </c>
      <c r="F18" s="17" t="s">
        <v>96</v>
      </c>
      <c r="G18" s="17" t="s">
        <v>94</v>
      </c>
      <c r="H18" s="17">
        <v>1322500</v>
      </c>
      <c r="I18" s="17">
        <v>-115000</v>
      </c>
      <c r="J18" s="17">
        <v>0</v>
      </c>
      <c r="K18" s="17">
        <v>0</v>
      </c>
      <c r="L18" s="17">
        <v>0</v>
      </c>
      <c r="M18" s="17">
        <v>0</v>
      </c>
      <c r="N18" s="17">
        <v>0</v>
      </c>
      <c r="O18" s="17">
        <v>0</v>
      </c>
      <c r="P18" s="17">
        <v>24000</v>
      </c>
      <c r="Q18" s="17">
        <v>-24000</v>
      </c>
      <c r="R18" s="17">
        <v>0</v>
      </c>
      <c r="S18" s="17">
        <v>0</v>
      </c>
      <c r="T18" s="17">
        <v>0</v>
      </c>
      <c r="U18" s="17">
        <v>0</v>
      </c>
      <c r="V18" s="17">
        <v>0</v>
      </c>
      <c r="W18" s="17">
        <v>-35475</v>
      </c>
      <c r="X18" s="17">
        <v>0</v>
      </c>
      <c r="Y18" s="17">
        <v>0</v>
      </c>
      <c r="Z18" s="17">
        <v>1172025</v>
      </c>
      <c r="AA18" s="17" t="s"/>
      <c r="AB18" s="17">
        <v>0</v>
      </c>
      <c r="AC18" s="17">
        <v>0</v>
      </c>
      <c r="AD18" s="17" t="s">
        <v>63</v>
      </c>
      <c r="AE18" s="17" t="s">
        <v>91</v>
      </c>
      <c r="AF18" s="17" t="s"/>
      <c r="AG18" s="17">
        <v>0</v>
      </c>
      <c r="AH18" s="17">
        <v>0</v>
      </c>
      <c r="AI18" s="17">
        <v>0</v>
      </c>
    </row>
    <row r="19">
      <c r="A19" s="17">
        <v>13</v>
      </c>
      <c r="B19" s="17" t="s">
        <v>97</v>
      </c>
      <c r="C19" s="17" t="s"/>
      <c r="D19" s="17" t="s">
        <v>98</v>
      </c>
      <c r="E19" s="17" t="s">
        <v>99</v>
      </c>
      <c r="F19" s="17" t="s">
        <v>100</v>
      </c>
      <c r="G19" s="17" t="s">
        <v>101</v>
      </c>
      <c r="H19" s="17">
        <v>664300</v>
      </c>
      <c r="I19" s="17">
        <v>-14000</v>
      </c>
      <c r="J19" s="17">
        <v>0</v>
      </c>
      <c r="K19" s="17">
        <v>0</v>
      </c>
      <c r="L19" s="17">
        <v>0</v>
      </c>
      <c r="M19" s="17">
        <v>0</v>
      </c>
      <c r="N19" s="17">
        <v>3000</v>
      </c>
      <c r="O19" s="17">
        <v>0</v>
      </c>
      <c r="P19" s="17">
        <v>30000</v>
      </c>
      <c r="Q19" s="17">
        <v>-33000</v>
      </c>
      <c r="R19" s="17">
        <v>0</v>
      </c>
      <c r="S19" s="17">
        <v>0</v>
      </c>
      <c r="T19" s="17">
        <v>0</v>
      </c>
      <c r="U19" s="17">
        <v>0</v>
      </c>
      <c r="V19" s="17">
        <v>0</v>
      </c>
      <c r="W19" s="17">
        <v>0</v>
      </c>
      <c r="X19" s="17">
        <v>0</v>
      </c>
      <c r="Y19" s="17">
        <v>0</v>
      </c>
      <c r="Z19" s="17">
        <v>650300</v>
      </c>
      <c r="AA19" s="17" t="s"/>
      <c r="AB19" s="17">
        <v>0</v>
      </c>
      <c r="AC19" s="17">
        <v>0</v>
      </c>
      <c r="AD19" s="17" t="s">
        <v>63</v>
      </c>
      <c r="AE19" s="17" t="s">
        <v>64</v>
      </c>
      <c r="AF19" s="17" t="s"/>
      <c r="AG19" s="17">
        <v>0</v>
      </c>
      <c r="AH19" s="17">
        <v>0</v>
      </c>
      <c r="AI19" s="17">
        <v>0</v>
      </c>
    </row>
    <row r="20">
      <c r="A20" s="17">
        <v>14</v>
      </c>
      <c r="B20" s="17" t="s">
        <v>102</v>
      </c>
      <c r="C20" s="17" t="s"/>
      <c r="D20" s="17" t="s">
        <v>103</v>
      </c>
      <c r="E20" s="17" t="s">
        <v>104</v>
      </c>
      <c r="F20" s="17" t="s">
        <v>56</v>
      </c>
      <c r="G20" s="17" t="s">
        <v>105</v>
      </c>
      <c r="H20" s="17">
        <v>125000</v>
      </c>
      <c r="I20" s="17">
        <v>-1000</v>
      </c>
      <c r="J20" s="17">
        <v>0</v>
      </c>
      <c r="K20" s="17">
        <v>0</v>
      </c>
      <c r="L20" s="17">
        <v>0</v>
      </c>
      <c r="M20" s="17">
        <v>0</v>
      </c>
      <c r="N20" s="17">
        <v>5000</v>
      </c>
      <c r="O20" s="17">
        <v>0</v>
      </c>
      <c r="P20" s="17">
        <v>20000</v>
      </c>
      <c r="Q20" s="17">
        <v>-25000</v>
      </c>
      <c r="R20" s="17">
        <v>0</v>
      </c>
      <c r="S20" s="17">
        <v>0</v>
      </c>
      <c r="T20" s="17">
        <v>0</v>
      </c>
      <c r="U20" s="17">
        <v>0</v>
      </c>
      <c r="V20" s="17">
        <v>0</v>
      </c>
      <c r="W20" s="17">
        <v>0</v>
      </c>
      <c r="X20" s="17">
        <v>0</v>
      </c>
      <c r="Y20" s="17">
        <v>0</v>
      </c>
      <c r="Z20" s="17">
        <v>124000</v>
      </c>
      <c r="AA20" s="17" t="s"/>
      <c r="AB20" s="17">
        <v>0</v>
      </c>
      <c r="AC20" s="17">
        <v>0</v>
      </c>
      <c r="AD20" s="17" t="s">
        <v>63</v>
      </c>
      <c r="AE20" s="17" t="s">
        <v>91</v>
      </c>
      <c r="AF20" s="17" t="s"/>
      <c r="AG20" s="17">
        <v>0</v>
      </c>
      <c r="AH20" s="17">
        <v>0</v>
      </c>
      <c r="AI20" s="17">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D16"/>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s>
  <sheetData>
    <row r="1">
      <c r="A1" s="13" t="s"/>
      <c r="B1" s="13" t="s"/>
      <c r="C1" s="18" t="s">
        <v>30</v>
      </c>
      <c r="D1" s="18" t="s"/>
    </row>
    <row r="2">
      <c r="A2" s="13" t="s">
        <v>38</v>
      </c>
      <c r="B2" s="13" t="s">
        <v>39</v>
      </c>
      <c r="C2" s="13" t="s">
        <v>106</v>
      </c>
      <c r="D2" s="13" t="s">
        <v>30</v>
      </c>
    </row>
    <row r="3">
      <c r="A3" s="13">
        <v>1</v>
      </c>
      <c r="B3" s="13" t="s">
        <v>53</v>
      </c>
      <c r="C3" s="13">
        <v>0</v>
      </c>
      <c r="D3" s="13">
        <v>0</v>
      </c>
    </row>
    <row r="4">
      <c r="A4" s="13">
        <v>2</v>
      </c>
      <c r="B4" s="13" t="s">
        <v>60</v>
      </c>
      <c r="C4" s="13">
        <v>0</v>
      </c>
      <c r="D4" s="13">
        <v>0</v>
      </c>
    </row>
    <row r="5">
      <c r="A5" s="13">
        <v>3</v>
      </c>
      <c r="B5" s="13" t="s">
        <v>65</v>
      </c>
      <c r="C5" s="13">
        <v>0</v>
      </c>
      <c r="D5" s="13">
        <v>0</v>
      </c>
    </row>
    <row r="6">
      <c r="A6" s="13">
        <v>4</v>
      </c>
      <c r="B6" s="13" t="s">
        <v>68</v>
      </c>
      <c r="C6" s="13">
        <v>0</v>
      </c>
      <c r="D6" s="13">
        <v>0</v>
      </c>
    </row>
    <row r="7">
      <c r="A7" s="13">
        <v>5</v>
      </c>
      <c r="B7" s="13" t="s">
        <v>71</v>
      </c>
      <c r="C7" s="13">
        <v>0</v>
      </c>
      <c r="D7" s="13">
        <v>0</v>
      </c>
    </row>
    <row r="8">
      <c r="A8" s="13">
        <v>6</v>
      </c>
      <c r="B8" s="13" t="s">
        <v>75</v>
      </c>
      <c r="C8" s="13">
        <v>0</v>
      </c>
      <c r="D8" s="13">
        <v>0</v>
      </c>
    </row>
    <row r="9">
      <c r="A9" s="13">
        <v>7</v>
      </c>
      <c r="B9" s="13" t="s">
        <v>78</v>
      </c>
      <c r="C9" s="13">
        <v>0</v>
      </c>
      <c r="D9" s="13">
        <v>0</v>
      </c>
    </row>
    <row r="10">
      <c r="A10" s="13">
        <v>8</v>
      </c>
      <c r="B10" s="13" t="s">
        <v>81</v>
      </c>
      <c r="C10" s="13">
        <v>0</v>
      </c>
      <c r="D10" s="13">
        <v>0</v>
      </c>
    </row>
    <row r="11">
      <c r="A11" s="13">
        <v>9</v>
      </c>
      <c r="B11" s="13" t="s">
        <v>84</v>
      </c>
      <c r="C11" s="13">
        <v>0</v>
      </c>
      <c r="D11" s="13">
        <v>0</v>
      </c>
    </row>
    <row r="12">
      <c r="A12" s="13">
        <v>10</v>
      </c>
      <c r="B12" s="13" t="s">
        <v>87</v>
      </c>
      <c r="C12" s="13">
        <v>0</v>
      </c>
      <c r="D12" s="13">
        <v>0</v>
      </c>
    </row>
    <row r="13">
      <c r="A13" s="13">
        <v>11</v>
      </c>
      <c r="B13" s="13" t="s">
        <v>92</v>
      </c>
      <c r="C13" s="13">
        <v>0</v>
      </c>
      <c r="D13" s="13">
        <v>0</v>
      </c>
    </row>
    <row r="14">
      <c r="A14" s="13">
        <v>12</v>
      </c>
      <c r="B14" s="13" t="s">
        <v>95</v>
      </c>
      <c r="C14" s="13">
        <v>0</v>
      </c>
      <c r="D14" s="13">
        <v>0</v>
      </c>
    </row>
    <row r="15">
      <c r="A15" s="13">
        <v>13</v>
      </c>
      <c r="B15" s="13" t="s">
        <v>97</v>
      </c>
      <c r="C15" s="13">
        <v>0</v>
      </c>
      <c r="D15" s="13">
        <v>0</v>
      </c>
    </row>
    <row r="16">
      <c r="A16" s="13">
        <v>14</v>
      </c>
      <c r="B16" s="13" t="s">
        <v>102</v>
      </c>
      <c r="C16" s="13">
        <v>0</v>
      </c>
      <c r="D16" s="13">
        <v>0</v>
      </c>
    </row>
  </sheetData>
  <mergeCells count="1">
    <mergeCell ref="C1:D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