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Shopee - BisaFee v3\"/>
    </mc:Choice>
  </mc:AlternateContent>
  <xr:revisionPtr revIDLastSave="0" documentId="13_ncr:1_{C95CD7E6-D6D5-483F-98F3-3B94AFC2B759}" xr6:coauthVersionLast="47" xr6:coauthVersionMax="47" xr10:uidLastSave="{00000000-0000-0000-0000-000000000000}"/>
  <bookViews>
    <workbookView xWindow="-120" yWindow="-120" windowWidth="29040" windowHeight="15720" tabRatio="204" activeTab="1" xr2:uid="{00000000-000D-0000-FFFF-FFFF00000000}"/>
  </bookViews>
  <sheets>
    <sheet name="Summary" sheetId="1" r:id="rId1"/>
    <sheet name="Income" sheetId="2" r:id="rId2"/>
    <sheet name="Free Returns Fee 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" l="1"/>
  <c r="N5" i="2"/>
  <c r="X5" i="2"/>
  <c r="AE5" i="2"/>
  <c r="AB5" i="2"/>
  <c r="AA5" i="2"/>
  <c r="Y5" i="2"/>
  <c r="P5" i="2"/>
  <c r="R5" i="2"/>
  <c r="I5" i="2"/>
  <c r="L5" i="2"/>
  <c r="U5" i="2"/>
  <c r="M5" i="2"/>
  <c r="AL5" i="2"/>
  <c r="K5" i="2"/>
  <c r="J5" i="2"/>
  <c r="O5" i="2"/>
  <c r="S5" i="2"/>
  <c r="AD5" i="2"/>
  <c r="Z5" i="2"/>
  <c r="Q5" i="2"/>
  <c r="AM5" i="2"/>
  <c r="AK5" i="2"/>
  <c r="AJ5" i="2"/>
  <c r="H5" i="2"/>
  <c r="AI5" i="2"/>
</calcChain>
</file>

<file path=xl/sharedStrings.xml><?xml version="1.0" encoding="utf-8"?>
<sst xmlns="http://schemas.openxmlformats.org/spreadsheetml/2006/main" count="167" uniqueCount="95">
  <si>
    <t>Laporan Penghasilan</t>
  </si>
  <si>
    <t>Rincian Laporan</t>
  </si>
  <si>
    <t>Username (Penjual)</t>
  </si>
  <si>
    <t>itbisaciamis</t>
  </si>
  <si>
    <t>Dari</t>
  </si>
  <si>
    <t>2024-01-01</t>
  </si>
  <si>
    <t>ke</t>
  </si>
  <si>
    <t>2024-08-13</t>
  </si>
  <si>
    <t>Ringkasan Penghasilan</t>
  </si>
  <si>
    <t>Rp</t>
  </si>
  <si>
    <t>1. Total Pendapatan</t>
  </si>
  <si>
    <t>Subtotal Pesanan</t>
  </si>
  <si>
    <t>Harga Asli Produk</t>
  </si>
  <si>
    <t>Total Diskon Produk</t>
  </si>
  <si>
    <t>Jumlah Pengembalian Dana ke Pembeli</t>
  </si>
  <si>
    <t>Voucher &amp; Subsidi Shopee</t>
  </si>
  <si>
    <t>Diskon Produk dari Shopee</t>
  </si>
  <si>
    <t>Diskon Voucher Ditanggung Penjual</t>
  </si>
  <si>
    <t>Cashback Koin yang Ditanggung Penjual</t>
  </si>
  <si>
    <t>2. Total Pengeluaran</t>
  </si>
  <si>
    <t>Total Biaya Pengiriman</t>
  </si>
  <si>
    <t>Ongkir Dibayar Pembeli</t>
  </si>
  <si>
    <t>Diskon Ongkir Ditanggung Jasa Kirim</t>
  </si>
  <si>
    <t>Gratis Ongkir dari Shopee</t>
  </si>
  <si>
    <t>Ongkir yang Diteruskan oleh Shopee ke Jasa Kirim</t>
  </si>
  <si>
    <t>Ongkos Kirim Pengembalian Barang</t>
  </si>
  <si>
    <t>Pengembalian Biaya Kirim</t>
  </si>
  <si>
    <t>Biaya Admin &amp; Layanan</t>
  </si>
  <si>
    <t>Biaya Komisi AMS</t>
  </si>
  <si>
    <t>Biaya Administrasi</t>
  </si>
  <si>
    <t>Biaya Layanan (termasuk PPN 11%)</t>
  </si>
  <si>
    <t>Biaya Lainnya</t>
  </si>
  <si>
    <t>Biaya Kartu Kredit</t>
  </si>
  <si>
    <t>Biaya Kampanye</t>
  </si>
  <si>
    <t>3. Total yang Dilepas</t>
  </si>
  <si>
    <t>Nilai Lainnya</t>
  </si>
  <si>
    <t>Promo Gratis Ongkir dari Penjual</t>
  </si>
  <si>
    <t>total(Rp)</t>
  </si>
  <si>
    <t>No.</t>
  </si>
  <si>
    <t>No. Pesanan</t>
  </si>
  <si>
    <t>No. Pengajuan</t>
  </si>
  <si>
    <t>Username (Pembeli)</t>
  </si>
  <si>
    <t>Waktu Pesanan Dibuat</t>
  </si>
  <si>
    <t>Metode pembayaran pembeli</t>
  </si>
  <si>
    <t>Tanggal Dana Dilepaskan</t>
  </si>
  <si>
    <t>Bea Masuk, PPN &amp; PPh</t>
  </si>
  <si>
    <t>Total Penghasilan</t>
  </si>
  <si>
    <t>Kode Voucher</t>
  </si>
  <si>
    <t>Kompensasi</t>
  </si>
  <si>
    <t>Jasa Kirim</t>
  </si>
  <si>
    <t>Nama Kurir</t>
  </si>
  <si>
    <t>Pengembalian Dana ke Pembeli</t>
  </si>
  <si>
    <t>Pro-rata Koin yang Ditukarkan untuk Pengembalian Barang</t>
  </si>
  <si>
    <t>Pro-rata Voucher Shopee untuk Pengembalian Barang</t>
  </si>
  <si>
    <t>Pro-rated Bank Payment Channel Promotion  for return refund Items</t>
  </si>
  <si>
    <t>Pro-rated Shopee Payment Channel Promotion  for return refund Items</t>
  </si>
  <si>
    <t>240110HFRCNE5C</t>
  </si>
  <si>
    <t>furqonajiy</t>
  </si>
  <si>
    <t>2024-01-10</t>
  </si>
  <si>
    <t>SeaBank Bayar Instan</t>
  </si>
  <si>
    <t>2024-01-20</t>
  </si>
  <si>
    <t>Kargo</t>
  </si>
  <si>
    <t>JNE Trucking (JTR)</t>
  </si>
  <si>
    <t>240103UU7R60HM</t>
  </si>
  <si>
    <t>2024-01-03</t>
  </si>
  <si>
    <t>2401282E54E3C1</t>
  </si>
  <si>
    <t>fajarjanggel</t>
  </si>
  <si>
    <t>2024-01-28</t>
  </si>
  <si>
    <t>Online Payment</t>
  </si>
  <si>
    <t>2024-02-02</t>
  </si>
  <si>
    <t>Hemat</t>
  </si>
  <si>
    <t>SPX Hemat</t>
  </si>
  <si>
    <t>2402107A473WB1</t>
  </si>
  <si>
    <t>2024-02-10</t>
  </si>
  <si>
    <t>2024-02-12</t>
  </si>
  <si>
    <t>2402107A21FHFF</t>
  </si>
  <si>
    <t>2024-02-18</t>
  </si>
  <si>
    <t>24030470FKTWRS</t>
  </si>
  <si>
    <t>2024-03-04</t>
  </si>
  <si>
    <t>2024-03-09</t>
  </si>
  <si>
    <t>2403046YXQY7VR</t>
  </si>
  <si>
    <t>240402NPV3NHG9</t>
  </si>
  <si>
    <t>2024-04-02</t>
  </si>
  <si>
    <t>2024-04-10</t>
  </si>
  <si>
    <t>240414N2C3E6DR</t>
  </si>
  <si>
    <t>2024-04-13</t>
  </si>
  <si>
    <t>2024-04-20</t>
  </si>
  <si>
    <t>240612S02U9V37</t>
  </si>
  <si>
    <t>2024-06-12</t>
  </si>
  <si>
    <t>2024-06-19</t>
  </si>
  <si>
    <t>J&amp;T Cargo</t>
  </si>
  <si>
    <t>Biaya Program</t>
  </si>
  <si>
    <t>Premi</t>
  </si>
  <si>
    <t>Biaya Layanan</t>
  </si>
  <si>
    <t>Biaya Proses Pesanan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</si>
</sst>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Arial"/>
      <family val="2"/>
    </font>
    <font>
      <sz val="10"/>
      <name val="Arial"/>
      <family val="2"/>
    </font>
    <font>
      <b/>
      <sz val="15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等线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0F0F0"/>
      </patternFill>
    </fill>
    <fill>
      <patternFill patternType="solid">
        <fgColor rgb="FFFF6600"/>
        <bgColor rgb="FFFF6600"/>
      </patternFill>
    </fill>
    <fill>
      <patternFill patternType="solid">
        <fgColor rgb="FFA5A5A5"/>
      </patternFill>
    </fill>
    <fill>
      <patternFill patternType="solid">
        <fgColor rgb="FFE7E6E6"/>
      </patternFill>
    </fill>
    <fill>
      <patternFill patternType="solid">
        <fgColor rgb="FFA5A5A5"/>
        <bgColor rgb="FF000000"/>
      </patternFill>
    </fill>
    <fill>
      <patternFill patternType="solid">
        <fgColor rgb="FFB3B3B3"/>
        <bgColor rgb="FFB3B3B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0" xfId="0" applyFont="1"/>
    <xf numFmtId="0" fontId="5" fillId="3" borderId="2" xfId="0" applyFont="1" applyFill="1" applyBorder="1" applyAlignment="1">
      <alignment wrapText="1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4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5" fillId="0" borderId="1" xfId="0" applyFont="1" applyBorder="1"/>
    <xf numFmtId="0" fontId="8" fillId="7" borderId="1" xfId="0" applyFont="1" applyFill="1" applyBorder="1"/>
    <xf numFmtId="0" fontId="5" fillId="6" borderId="1" xfId="0" applyFont="1" applyFill="1" applyBorder="1"/>
    <xf numFmtId="0" fontId="10" fillId="0" borderId="1" xfId="0" applyFont="1" applyBorder="1"/>
    <xf numFmtId="0" fontId="5" fillId="0" borderId="1" xfId="0" applyFont="1" applyBorder="1" applyAlignment="1">
      <alignment horizontal="left"/>
    </xf>
    <xf numFmtId="0" fontId="9" fillId="6" borderId="1" xfId="0" applyFont="1" applyFill="1" applyBorder="1"/>
    <xf numFmtId="0" fontId="8" fillId="7" borderId="1" xfId="0" applyFont="1" applyFill="1" applyBorder="1"/>
    <xf numFmtId="0" fontId="5" fillId="6" borderId="1" xfId="0" applyFont="1" applyFill="1" applyBorder="1"/>
    <xf numFmtId="0" fontId="4" fillId="4" borderId="1" xfId="0" applyFont="1" applyFill="1" applyBorder="1"/>
    <xf numFmtId="0" fontId="8" fillId="5" borderId="1" xfId="0" applyFont="1" applyFill="1" applyBorder="1"/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1123950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zoomScaleNormal="100" workbookViewId="0">
      <selection activeCell="A12" sqref="A12:C12"/>
    </sheetView>
  </sheetViews>
  <sheetFormatPr defaultColWidth="25" defaultRowHeight="15" x14ac:dyDescent="0.2"/>
  <cols>
    <col min="1" max="4" width="25" style="2" customWidth="1"/>
    <col min="5" max="16384" width="25" style="1"/>
  </cols>
  <sheetData>
    <row r="1" spans="1:4" ht="17.25" customHeight="1" x14ac:dyDescent="0.2">
      <c r="A1" s="19" t="s">
        <v>0</v>
      </c>
      <c r="B1" s="20"/>
      <c r="C1" s="20"/>
      <c r="D1" s="20"/>
    </row>
    <row r="2" spans="1:4" x14ac:dyDescent="0.2">
      <c r="A2" s="20"/>
      <c r="B2" s="20"/>
      <c r="C2" s="20"/>
      <c r="D2" s="20"/>
    </row>
    <row r="3" spans="1:4" x14ac:dyDescent="0.2">
      <c r="A3" s="20"/>
      <c r="B3" s="20"/>
      <c r="C3" s="20"/>
      <c r="D3" s="20"/>
    </row>
    <row r="4" spans="1:4" x14ac:dyDescent="0.2">
      <c r="A4" s="20"/>
      <c r="B4" s="20"/>
      <c r="C4" s="20"/>
      <c r="D4" s="20"/>
    </row>
    <row r="5" spans="1:4" ht="18" customHeight="1" x14ac:dyDescent="0.25">
      <c r="A5" s="21" t="s">
        <v>1</v>
      </c>
      <c r="B5" s="21"/>
      <c r="C5" s="21"/>
      <c r="D5" s="21"/>
    </row>
    <row r="6" spans="1:4" ht="15.6" customHeight="1" x14ac:dyDescent="0.2">
      <c r="A6" s="3" t="s">
        <v>2</v>
      </c>
      <c r="B6" s="22" t="s">
        <v>3</v>
      </c>
      <c r="C6" s="22"/>
      <c r="D6" s="22"/>
    </row>
    <row r="7" spans="1:4" ht="15.6" customHeight="1" x14ac:dyDescent="0.2">
      <c r="A7" s="3" t="s">
        <v>4</v>
      </c>
      <c r="B7" s="22" t="s">
        <v>5</v>
      </c>
      <c r="C7" s="22"/>
      <c r="D7" s="22"/>
    </row>
    <row r="8" spans="1:4" ht="15.6" customHeight="1" x14ac:dyDescent="0.2">
      <c r="A8" s="3" t="s">
        <v>6</v>
      </c>
      <c r="B8" s="22" t="s">
        <v>7</v>
      </c>
      <c r="C8" s="22"/>
      <c r="D8" s="22"/>
    </row>
    <row r="9" spans="1:4" x14ac:dyDescent="0.2">
      <c r="A9" s="4"/>
      <c r="B9" s="5"/>
      <c r="C9" s="5"/>
      <c r="D9" s="5"/>
    </row>
    <row r="10" spans="1:4" ht="18" customHeight="1" x14ac:dyDescent="0.25">
      <c r="A10" s="17" t="s">
        <v>8</v>
      </c>
      <c r="B10" s="17"/>
      <c r="C10" s="17"/>
      <c r="D10" s="6" t="s">
        <v>9</v>
      </c>
    </row>
    <row r="11" spans="1:4" ht="15.75" x14ac:dyDescent="0.25">
      <c r="A11" s="18" t="s">
        <v>10</v>
      </c>
      <c r="B11" s="18"/>
      <c r="C11" s="18"/>
      <c r="D11" s="7">
        <v>18982900</v>
      </c>
    </row>
    <row r="12" spans="1:4" x14ac:dyDescent="0.2">
      <c r="A12" s="14" t="s">
        <v>11</v>
      </c>
      <c r="B12" s="14"/>
      <c r="C12" s="14"/>
      <c r="D12" s="8">
        <v>18982900</v>
      </c>
    </row>
    <row r="13" spans="1:4" x14ac:dyDescent="0.2">
      <c r="A13" s="9"/>
      <c r="B13" s="9" t="s">
        <v>12</v>
      </c>
      <c r="C13" s="9">
        <v>25998900</v>
      </c>
      <c r="D13" s="9"/>
    </row>
    <row r="14" spans="1:4" x14ac:dyDescent="0.2">
      <c r="A14" s="9"/>
      <c r="B14" s="9" t="s">
        <v>13</v>
      </c>
      <c r="C14" s="9">
        <v>-7016000</v>
      </c>
      <c r="D14" s="9"/>
    </row>
    <row r="15" spans="1:4" x14ac:dyDescent="0.2">
      <c r="A15" s="9"/>
      <c r="B15" s="9" t="s">
        <v>14</v>
      </c>
      <c r="C15" s="9">
        <v>0</v>
      </c>
      <c r="D15" s="9"/>
    </row>
    <row r="16" spans="1:4" x14ac:dyDescent="0.2">
      <c r="A16" s="9"/>
      <c r="B16" s="9"/>
      <c r="C16" s="9"/>
      <c r="D16" s="9"/>
    </row>
    <row r="17" spans="1:4" x14ac:dyDescent="0.2">
      <c r="A17" s="14" t="s">
        <v>15</v>
      </c>
      <c r="B17" s="14"/>
      <c r="C17" s="14"/>
      <c r="D17" s="8">
        <v>0</v>
      </c>
    </row>
    <row r="18" spans="1:4" x14ac:dyDescent="0.2">
      <c r="A18" s="9"/>
      <c r="B18" s="9" t="s">
        <v>16</v>
      </c>
      <c r="C18" s="9">
        <v>0</v>
      </c>
      <c r="D18" s="9"/>
    </row>
    <row r="19" spans="1:4" x14ac:dyDescent="0.2">
      <c r="A19" s="9"/>
      <c r="B19" s="9" t="s">
        <v>17</v>
      </c>
      <c r="C19" s="9">
        <v>0</v>
      </c>
      <c r="D19" s="9"/>
    </row>
    <row r="20" spans="1:4" x14ac:dyDescent="0.2">
      <c r="A20" s="9"/>
      <c r="B20" s="9" t="s">
        <v>18</v>
      </c>
      <c r="C20" s="9">
        <v>0</v>
      </c>
      <c r="D20" s="9"/>
    </row>
    <row r="21" spans="1:4" x14ac:dyDescent="0.2">
      <c r="B21" s="9"/>
      <c r="C21" s="9"/>
      <c r="D21" s="9"/>
    </row>
    <row r="22" spans="1:4" ht="15.75" x14ac:dyDescent="0.25">
      <c r="A22" s="18" t="s">
        <v>19</v>
      </c>
      <c r="B22" s="18"/>
      <c r="C22" s="18"/>
      <c r="D22" s="7">
        <v>-24500</v>
      </c>
    </row>
    <row r="23" spans="1:4" x14ac:dyDescent="0.2">
      <c r="A23" s="14" t="s">
        <v>20</v>
      </c>
      <c r="B23" s="14"/>
      <c r="C23" s="14"/>
      <c r="D23" s="8">
        <v>-24500</v>
      </c>
    </row>
    <row r="24" spans="1:4" x14ac:dyDescent="0.2">
      <c r="A24" s="9"/>
      <c r="B24" s="9" t="s">
        <v>21</v>
      </c>
      <c r="C24" s="9">
        <v>0</v>
      </c>
      <c r="D24" s="9"/>
    </row>
    <row r="25" spans="1:4" x14ac:dyDescent="0.2">
      <c r="A25" s="9"/>
      <c r="B25" s="9" t="s">
        <v>22</v>
      </c>
      <c r="C25" s="9">
        <v>0</v>
      </c>
      <c r="D25" s="9"/>
    </row>
    <row r="26" spans="1:4" x14ac:dyDescent="0.2">
      <c r="A26" s="9"/>
      <c r="B26" s="9" t="s">
        <v>23</v>
      </c>
      <c r="C26" s="9">
        <v>868004</v>
      </c>
      <c r="D26" s="9"/>
    </row>
    <row r="27" spans="1:4" x14ac:dyDescent="0.2">
      <c r="A27" s="9"/>
      <c r="B27" s="9" t="s">
        <v>24</v>
      </c>
      <c r="C27" s="9">
        <v>-892504</v>
      </c>
      <c r="D27" s="9"/>
    </row>
    <row r="28" spans="1:4" x14ac:dyDescent="0.2">
      <c r="A28" s="9"/>
      <c r="B28" s="9" t="s">
        <v>25</v>
      </c>
      <c r="C28" s="9">
        <v>0</v>
      </c>
      <c r="D28" s="9"/>
    </row>
    <row r="29" spans="1:4" x14ac:dyDescent="0.2">
      <c r="A29" s="9"/>
      <c r="B29" s="9" t="s">
        <v>26</v>
      </c>
      <c r="C29" s="9">
        <v>0</v>
      </c>
      <c r="D29" s="9"/>
    </row>
    <row r="30" spans="1:4" x14ac:dyDescent="0.2">
      <c r="A30" s="9"/>
      <c r="B30" s="9"/>
      <c r="C30" s="9"/>
      <c r="D30" s="9"/>
    </row>
    <row r="31" spans="1:4" x14ac:dyDescent="0.2">
      <c r="A31" s="14" t="s">
        <v>27</v>
      </c>
      <c r="B31" s="14"/>
      <c r="C31" s="14"/>
      <c r="D31" s="8">
        <v>0</v>
      </c>
    </row>
    <row r="32" spans="1:4" x14ac:dyDescent="0.2">
      <c r="A32" s="9"/>
      <c r="B32" s="9" t="s">
        <v>28</v>
      </c>
      <c r="C32" s="9">
        <v>0</v>
      </c>
      <c r="D32" s="9"/>
    </row>
    <row r="33" spans="1:4" x14ac:dyDescent="0.2">
      <c r="A33" s="9"/>
      <c r="B33" s="9" t="s">
        <v>29</v>
      </c>
      <c r="C33" s="9">
        <v>0</v>
      </c>
      <c r="D33" s="9"/>
    </row>
    <row r="34" spans="1:4" x14ac:dyDescent="0.2">
      <c r="A34" s="9"/>
      <c r="B34" s="9" t="s">
        <v>30</v>
      </c>
      <c r="C34" s="9">
        <v>0</v>
      </c>
      <c r="D34" s="9"/>
    </row>
    <row r="35" spans="1:4" x14ac:dyDescent="0.2">
      <c r="A35" s="9"/>
      <c r="B35" s="9" t="s">
        <v>31</v>
      </c>
      <c r="C35" s="9">
        <v>0</v>
      </c>
      <c r="D35" s="9"/>
    </row>
    <row r="36" spans="1:4" x14ac:dyDescent="0.2">
      <c r="A36" s="9"/>
      <c r="B36" s="9" t="s">
        <v>32</v>
      </c>
      <c r="C36" s="9">
        <v>0</v>
      </c>
      <c r="D36" s="9"/>
    </row>
    <row r="37" spans="1:4" x14ac:dyDescent="0.2">
      <c r="A37" s="9"/>
      <c r="B37" s="9" t="s">
        <v>33</v>
      </c>
      <c r="C37" s="9">
        <v>0</v>
      </c>
      <c r="D37" s="9"/>
    </row>
    <row r="38" spans="1:4" x14ac:dyDescent="0.2">
      <c r="B38" s="9"/>
      <c r="C38" s="9"/>
      <c r="D38" s="9"/>
    </row>
    <row r="40" spans="1:4" ht="15.75" x14ac:dyDescent="0.25">
      <c r="A40" s="15" t="s">
        <v>34</v>
      </c>
      <c r="B40" s="15"/>
      <c r="C40" s="15"/>
      <c r="D40" s="10">
        <v>18958400</v>
      </c>
    </row>
    <row r="41" spans="1:4" x14ac:dyDescent="0.2">
      <c r="A41" s="1"/>
    </row>
    <row r="42" spans="1:4" ht="15.75" x14ac:dyDescent="0.25">
      <c r="A42" s="15" t="s">
        <v>35</v>
      </c>
      <c r="B42" s="15"/>
      <c r="C42" s="15"/>
      <c r="D42" s="15"/>
    </row>
    <row r="43" spans="1:4" x14ac:dyDescent="0.2">
      <c r="A43" s="16" t="s">
        <v>36</v>
      </c>
      <c r="B43" s="16"/>
      <c r="C43" s="16"/>
      <c r="D43" s="11">
        <v>0</v>
      </c>
    </row>
    <row r="44" spans="1:4" ht="12.95" customHeight="1" x14ac:dyDescent="0.2">
      <c r="A44" s="12"/>
    </row>
    <row r="45" spans="1:4" x14ac:dyDescent="0.2">
      <c r="A45" s="9"/>
      <c r="B45" s="12"/>
      <c r="C45" s="12"/>
      <c r="D45" s="12"/>
    </row>
    <row r="46" spans="1:4" x14ac:dyDescent="0.2">
      <c r="A46" s="12"/>
      <c r="B46" s="9"/>
      <c r="C46" s="9"/>
      <c r="D46" s="9"/>
    </row>
    <row r="47" spans="1:4" x14ac:dyDescent="0.2">
      <c r="A47" s="9"/>
      <c r="B47" s="9"/>
      <c r="C47" s="9"/>
      <c r="D47" s="9"/>
    </row>
    <row r="48" spans="1:4" x14ac:dyDescent="0.2">
      <c r="A48" s="9"/>
      <c r="B48" s="9"/>
      <c r="C48" s="9"/>
      <c r="D48" s="9"/>
    </row>
    <row r="49" spans="1:4" x14ac:dyDescent="0.2">
      <c r="A49" s="9"/>
      <c r="B49" s="9"/>
      <c r="C49" s="9"/>
      <c r="D49" s="9"/>
    </row>
    <row r="50" spans="1:4" x14ac:dyDescent="0.2">
      <c r="A50" s="9"/>
      <c r="B50" s="9"/>
      <c r="C50" s="9"/>
      <c r="D50" s="9"/>
    </row>
    <row r="51" spans="1:4" x14ac:dyDescent="0.2">
      <c r="A51" s="9"/>
      <c r="B51" s="9"/>
      <c r="C51" s="9"/>
      <c r="D51" s="9"/>
    </row>
    <row r="52" spans="1:4" x14ac:dyDescent="0.2">
      <c r="A52" s="9"/>
      <c r="B52" s="9"/>
      <c r="C52" s="9"/>
      <c r="D52" s="9"/>
    </row>
    <row r="53" spans="1:4" x14ac:dyDescent="0.2">
      <c r="A53" s="9"/>
      <c r="B53" s="9"/>
      <c r="C53" s="9"/>
      <c r="D53" s="9"/>
    </row>
    <row r="54" spans="1:4" x14ac:dyDescent="0.2">
      <c r="A54" s="9"/>
      <c r="B54" s="9"/>
      <c r="C54" s="9"/>
      <c r="D54" s="9"/>
    </row>
    <row r="55" spans="1:4" x14ac:dyDescent="0.2">
      <c r="A55" s="9"/>
      <c r="B55" s="9"/>
      <c r="C55" s="9"/>
      <c r="D55" s="9"/>
    </row>
    <row r="56" spans="1:4" x14ac:dyDescent="0.2">
      <c r="A56" s="9"/>
      <c r="B56" s="9"/>
      <c r="C56" s="9"/>
      <c r="D56" s="9"/>
    </row>
    <row r="57" spans="1:4" x14ac:dyDescent="0.2">
      <c r="A57" s="9"/>
      <c r="B57" s="12"/>
      <c r="C57" s="12"/>
      <c r="D57" s="12"/>
    </row>
    <row r="58" spans="1:4" x14ac:dyDescent="0.2">
      <c r="A58" s="12"/>
      <c r="B58" s="9"/>
      <c r="C58" s="9"/>
      <c r="D58" s="9"/>
    </row>
    <row r="59" spans="1:4" x14ac:dyDescent="0.2">
      <c r="A59" s="9"/>
      <c r="B59" s="9"/>
      <c r="C59" s="9"/>
      <c r="D59" s="9"/>
    </row>
    <row r="60" spans="1:4" x14ac:dyDescent="0.2">
      <c r="A60" s="9"/>
      <c r="B60" s="9"/>
      <c r="C60" s="9"/>
      <c r="D60" s="9"/>
    </row>
    <row r="61" spans="1:4" x14ac:dyDescent="0.2">
      <c r="A61" s="9"/>
      <c r="B61" s="12"/>
      <c r="C61" s="12"/>
      <c r="D61" s="9"/>
    </row>
    <row r="62" spans="1:4" x14ac:dyDescent="0.2">
      <c r="A62" s="12"/>
      <c r="B62" s="12"/>
      <c r="C62" s="12"/>
      <c r="D62" s="12"/>
    </row>
    <row r="63" spans="1:4" x14ac:dyDescent="0.2">
      <c r="A63" s="12"/>
      <c r="B63" s="9"/>
      <c r="C63" s="9"/>
      <c r="D63" s="9"/>
    </row>
    <row r="64" spans="1:4" x14ac:dyDescent="0.2">
      <c r="A64" s="9"/>
      <c r="B64" s="9"/>
      <c r="C64" s="9"/>
      <c r="D64" s="9"/>
    </row>
    <row r="65" spans="1:4" x14ac:dyDescent="0.2">
      <c r="A65" s="9"/>
      <c r="B65" s="9"/>
      <c r="C65" s="9"/>
      <c r="D65" s="9"/>
    </row>
    <row r="66" spans="1:4" x14ac:dyDescent="0.2">
      <c r="A66" s="9"/>
      <c r="B66" s="9"/>
      <c r="C66" s="9"/>
      <c r="D66" s="9"/>
    </row>
    <row r="67" spans="1:4" x14ac:dyDescent="0.2">
      <c r="A67" s="9"/>
      <c r="B67" s="12"/>
      <c r="C67" s="12"/>
      <c r="D67" s="12"/>
    </row>
    <row r="68" spans="1:4" x14ac:dyDescent="0.2">
      <c r="A68" s="12"/>
      <c r="B68" s="9"/>
      <c r="C68" s="9"/>
      <c r="D68" s="9"/>
    </row>
    <row r="69" spans="1:4" x14ac:dyDescent="0.2">
      <c r="A69" s="9"/>
      <c r="B69" s="9"/>
      <c r="C69" s="9"/>
      <c r="D69" s="9"/>
    </row>
    <row r="70" spans="1:4" x14ac:dyDescent="0.2">
      <c r="A70" s="9"/>
      <c r="B70" s="9"/>
      <c r="C70" s="9"/>
      <c r="D70" s="9"/>
    </row>
    <row r="71" spans="1:4" x14ac:dyDescent="0.2">
      <c r="A71" s="9"/>
      <c r="B71" s="9"/>
      <c r="C71" s="9"/>
      <c r="D71" s="9"/>
    </row>
    <row r="72" spans="1:4" x14ac:dyDescent="0.2">
      <c r="A72" s="9"/>
      <c r="B72" s="12"/>
      <c r="C72" s="12"/>
      <c r="D72" s="12"/>
    </row>
    <row r="73" spans="1:4" x14ac:dyDescent="0.2">
      <c r="A73" s="12"/>
      <c r="B73" s="9"/>
      <c r="C73" s="9"/>
      <c r="D73" s="9"/>
    </row>
    <row r="74" spans="1:4" x14ac:dyDescent="0.2">
      <c r="A74" s="9"/>
      <c r="B74" s="9"/>
      <c r="C74" s="9"/>
      <c r="D74" s="9"/>
    </row>
    <row r="75" spans="1:4" x14ac:dyDescent="0.2">
      <c r="A75" s="9"/>
      <c r="B75" s="9"/>
      <c r="C75" s="9"/>
      <c r="D75" s="9"/>
    </row>
    <row r="76" spans="1:4" x14ac:dyDescent="0.2">
      <c r="A76" s="9"/>
      <c r="B76" s="12"/>
      <c r="C76" s="12"/>
      <c r="D76" s="12"/>
    </row>
    <row r="77" spans="1:4" x14ac:dyDescent="0.2">
      <c r="A77" s="12"/>
      <c r="B77" s="9"/>
      <c r="C77" s="9"/>
      <c r="D77" s="9"/>
    </row>
    <row r="78" spans="1:4" x14ac:dyDescent="0.2">
      <c r="A78" s="9"/>
      <c r="B78" s="12"/>
      <c r="C78" s="12"/>
      <c r="D78" s="12"/>
    </row>
    <row r="79" spans="1:4" x14ac:dyDescent="0.2">
      <c r="A79" s="12"/>
      <c r="B79" s="9"/>
      <c r="C79" s="9"/>
      <c r="D79" s="9"/>
    </row>
    <row r="80" spans="1:4" x14ac:dyDescent="0.2">
      <c r="A80" s="9"/>
      <c r="B80" s="12"/>
      <c r="C80" s="12"/>
      <c r="D80" s="12"/>
    </row>
    <row r="81" spans="1:4" x14ac:dyDescent="0.2">
      <c r="A81" s="12"/>
      <c r="B81" s="9"/>
      <c r="C81" s="9"/>
      <c r="D81" s="9"/>
    </row>
    <row r="82" spans="1:4" x14ac:dyDescent="0.2">
      <c r="A82" s="9"/>
      <c r="B82" s="12"/>
      <c r="C82" s="12"/>
      <c r="D82" s="12"/>
    </row>
    <row r="83" spans="1:4" x14ac:dyDescent="0.2">
      <c r="A83" s="12"/>
      <c r="B83" s="9"/>
      <c r="C83" s="9"/>
      <c r="D83" s="9"/>
    </row>
    <row r="84" spans="1:4" x14ac:dyDescent="0.2">
      <c r="A84" s="9"/>
      <c r="B84" s="9"/>
      <c r="C84" s="9"/>
      <c r="D84" s="9"/>
    </row>
    <row r="85" spans="1:4" x14ac:dyDescent="0.2">
      <c r="A85" s="9"/>
      <c r="B85" s="9"/>
      <c r="C85" s="9"/>
      <c r="D85" s="9"/>
    </row>
    <row r="86" spans="1:4" x14ac:dyDescent="0.2">
      <c r="A86" s="9"/>
    </row>
  </sheetData>
  <mergeCells count="15">
    <mergeCell ref="A1:D4"/>
    <mergeCell ref="A5:D5"/>
    <mergeCell ref="B6:D6"/>
    <mergeCell ref="B7:D7"/>
    <mergeCell ref="B8:D8"/>
    <mergeCell ref="A10:C10"/>
    <mergeCell ref="A11:C11"/>
    <mergeCell ref="A12:C12"/>
    <mergeCell ref="A17:C17"/>
    <mergeCell ref="A22:C22"/>
    <mergeCell ref="A23:C23"/>
    <mergeCell ref="A31:C31"/>
    <mergeCell ref="A40:C40"/>
    <mergeCell ref="A42:D42"/>
    <mergeCell ref="A43:C43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6"/>
  <sheetViews>
    <sheetView tabSelected="1" topLeftCell="G1" zoomScaleNormal="100" workbookViewId="0">
      <selection activeCell="W17" sqref="W17"/>
    </sheetView>
  </sheetViews>
  <sheetFormatPr defaultRowHeight="15" x14ac:dyDescent="0.2"/>
  <cols>
    <col min="1" max="1" width="10" customWidth="1"/>
    <col min="2" max="39" width="10" style="2" customWidth="1"/>
  </cols>
  <sheetData>
    <row r="1" spans="1:39" x14ac:dyDescent="0.2">
      <c r="A1" s="9" t="s">
        <v>2</v>
      </c>
      <c r="B1" s="9" t="s">
        <v>4</v>
      </c>
      <c r="C1" s="9" t="s">
        <v>6</v>
      </c>
    </row>
    <row r="2" spans="1:39" x14ac:dyDescent="0.2">
      <c r="A2" s="9" t="s">
        <v>3</v>
      </c>
      <c r="B2" s="9" t="s">
        <v>5</v>
      </c>
      <c r="C2" s="9" t="s">
        <v>7</v>
      </c>
    </row>
    <row r="3" spans="1:39" x14ac:dyDescent="0.2">
      <c r="A3" s="9"/>
    </row>
    <row r="5" spans="1:39" x14ac:dyDescent="0.2">
      <c r="A5" s="13" t="s">
        <v>37</v>
      </c>
      <c r="B5" s="13"/>
      <c r="C5" s="13"/>
      <c r="D5" s="13"/>
      <c r="E5" s="13"/>
      <c r="F5" s="13"/>
      <c r="G5" s="13"/>
      <c r="H5" s="13">
        <f ca="1">SUM(INDIRECT(ADDRESS(6,8)):INDIRECT(ADDRESS(1048576,8)))</f>
        <v>25998900</v>
      </c>
      <c r="I5" s="13">
        <f ca="1">SUM(INDIRECT(ADDRESS(6,9)):INDIRECT(ADDRESS(1048576,9)))</f>
        <v>-7016000</v>
      </c>
      <c r="J5" s="13">
        <f ca="1">SUM(INDIRECT(ADDRESS(6,10)):INDIRECT(ADDRESS(1048576,10)))</f>
        <v>0</v>
      </c>
      <c r="K5" s="13">
        <f ca="1">SUM(INDIRECT(ADDRESS(6,11)):INDIRECT(ADDRESS(1048576,11)))</f>
        <v>0</v>
      </c>
      <c r="L5" s="13">
        <f ca="1">SUM(INDIRECT(ADDRESS(6,12)):INDIRECT(ADDRESS(1048576,12)))</f>
        <v>0</v>
      </c>
      <c r="M5" s="13">
        <f ca="1">SUM(INDIRECT(ADDRESS(6,13)):INDIRECT(ADDRESS(1048576,13)))</f>
        <v>0</v>
      </c>
      <c r="N5" s="13">
        <f ca="1">SUM(INDIRECT(ADDRESS(6,14)):INDIRECT(ADDRESS(1048576,14)))</f>
        <v>0</v>
      </c>
      <c r="O5" s="13">
        <f ca="1">SUM(INDIRECT(ADDRESS(6,15)):INDIRECT(ADDRESS(1048576,15)))</f>
        <v>0</v>
      </c>
      <c r="P5" s="13">
        <f ca="1">SUM(INDIRECT(ADDRESS(6,16)):INDIRECT(ADDRESS(1048576,16)))</f>
        <v>868004</v>
      </c>
      <c r="Q5" s="13">
        <f ca="1">SUM(INDIRECT(ADDRESS(6,17)):INDIRECT(ADDRESS(1048576,17)))</f>
        <v>-892504</v>
      </c>
      <c r="R5" s="13">
        <f ca="1">SUM(INDIRECT(ADDRESS(6,18)):INDIRECT(ADDRESS(1048576,18)))</f>
        <v>0</v>
      </c>
      <c r="S5" s="13">
        <f ca="1">SUM(INDIRECT(ADDRESS(6,19)):INDIRECT(ADDRESS(1048576,19)))</f>
        <v>0</v>
      </c>
      <c r="T5" s="13"/>
      <c r="U5" s="13">
        <f ca="1">SUM(INDIRECT(ADDRESS(6,21)):INDIRECT(ADDRESS(1048576,21)))</f>
        <v>0</v>
      </c>
      <c r="V5" s="13">
        <f ca="1">SUM(INDIRECT(ADDRESS(6,22)):INDIRECT(ADDRESS(1048576,22)))</f>
        <v>0</v>
      </c>
      <c r="W5" s="13">
        <v>0</v>
      </c>
      <c r="X5" s="13">
        <f ca="1">SUM(INDIRECT(ADDRESS(6,23)):INDIRECT(ADDRESS(1048576,23)))</f>
        <v>0</v>
      </c>
      <c r="Y5" s="13">
        <f ca="1">SUM(INDIRECT(ADDRESS(6,24)):INDIRECT(ADDRESS(1048576,24)))</f>
        <v>0</v>
      </c>
      <c r="Z5" s="13">
        <f ca="1">SUM(INDIRECT(ADDRESS(6,25)):INDIRECT(ADDRESS(1048576,25)))</f>
        <v>0</v>
      </c>
      <c r="AA5" s="13">
        <f ca="1">SUM(INDIRECT(ADDRESS(6,26)):INDIRECT(ADDRESS(1048576,26)))</f>
        <v>0</v>
      </c>
      <c r="AB5" s="13">
        <f ca="1">SUM(INDIRECT(ADDRESS(6,27)):INDIRECT(ADDRESS(1048576,27)))</f>
        <v>0</v>
      </c>
      <c r="AC5" s="13"/>
      <c r="AD5" s="13">
        <f ca="1">SUM(INDIRECT(ADDRESS(6,29)):INDIRECT(ADDRESS(1048576,29)))</f>
        <v>0</v>
      </c>
      <c r="AE5" s="13">
        <f ca="1">SUM(INDIRECT(ADDRESS(6,30)):INDIRECT(ADDRESS(1048576,30)))</f>
        <v>0</v>
      </c>
      <c r="AF5" s="13"/>
      <c r="AG5" s="13"/>
      <c r="AH5" s="13"/>
      <c r="AI5" s="13">
        <f ca="1">SUM(INDIRECT(ADDRESS(6,34)):INDIRECT(ADDRESS(1048576,34)))</f>
        <v>0</v>
      </c>
      <c r="AJ5" s="13">
        <f ca="1">SUM(INDIRECT(ADDRESS(6,35)):INDIRECT(ADDRESS(1048576,35)))</f>
        <v>0</v>
      </c>
      <c r="AK5" s="13">
        <f ca="1">SUM(INDIRECT(ADDRESS(6,36)):INDIRECT(ADDRESS(1048576,36)))</f>
        <v>0</v>
      </c>
      <c r="AL5" s="13">
        <f ca="1">SUM(INDIRECT(ADDRESS(6,37)):INDIRECT(ADDRESS(1048576,37)))</f>
        <v>0</v>
      </c>
      <c r="AM5" s="13">
        <f ca="1">SUM(INDIRECT(ADDRESS(6,38)):INDIRECT(ADDRESS(1048576,38)))</f>
        <v>0</v>
      </c>
    </row>
    <row r="6" spans="1:39" x14ac:dyDescent="0.2">
      <c r="A6" s="13" t="s">
        <v>38</v>
      </c>
      <c r="B6" s="13" t="s">
        <v>39</v>
      </c>
      <c r="C6" s="13" t="s">
        <v>40</v>
      </c>
      <c r="D6" s="13" t="s">
        <v>41</v>
      </c>
      <c r="E6" s="13" t="s">
        <v>42</v>
      </c>
      <c r="F6" s="13" t="s">
        <v>43</v>
      </c>
      <c r="G6" s="13" t="s">
        <v>44</v>
      </c>
      <c r="H6" s="13" t="s">
        <v>12</v>
      </c>
      <c r="I6" s="13" t="s">
        <v>13</v>
      </c>
      <c r="J6" s="13" t="s">
        <v>14</v>
      </c>
      <c r="K6" s="13" t="s">
        <v>16</v>
      </c>
      <c r="L6" s="13" t="s">
        <v>17</v>
      </c>
      <c r="M6" s="13" t="s">
        <v>18</v>
      </c>
      <c r="N6" s="13" t="s">
        <v>21</v>
      </c>
      <c r="O6" s="13" t="s">
        <v>22</v>
      </c>
      <c r="P6" s="13" t="s">
        <v>23</v>
      </c>
      <c r="Q6" s="13" t="s">
        <v>24</v>
      </c>
      <c r="R6" s="13" t="s">
        <v>25</v>
      </c>
      <c r="S6" s="13" t="s">
        <v>26</v>
      </c>
      <c r="T6" s="13" t="s">
        <v>28</v>
      </c>
      <c r="U6" s="13" t="s">
        <v>29</v>
      </c>
      <c r="V6" s="13" t="s">
        <v>93</v>
      </c>
      <c r="W6" s="13" t="s">
        <v>94</v>
      </c>
      <c r="X6" s="13" t="s">
        <v>31</v>
      </c>
      <c r="Y6" s="13" t="s">
        <v>32</v>
      </c>
      <c r="Z6" s="13" t="s">
        <v>33</v>
      </c>
      <c r="AA6" s="13" t="s">
        <v>45</v>
      </c>
      <c r="AB6" s="13" t="s">
        <v>46</v>
      </c>
      <c r="AC6" s="13" t="s">
        <v>47</v>
      </c>
      <c r="AD6" s="13" t="s">
        <v>48</v>
      </c>
      <c r="AE6" s="13" t="s">
        <v>36</v>
      </c>
      <c r="AF6" s="13" t="s">
        <v>49</v>
      </c>
      <c r="AG6" s="13" t="s">
        <v>50</v>
      </c>
      <c r="AH6" s="13"/>
      <c r="AI6" s="13" t="s">
        <v>51</v>
      </c>
      <c r="AJ6" s="13" t="s">
        <v>52</v>
      </c>
      <c r="AK6" s="13" t="s">
        <v>53</v>
      </c>
      <c r="AL6" s="13" t="s">
        <v>54</v>
      </c>
      <c r="AM6" s="13" t="s">
        <v>55</v>
      </c>
    </row>
    <row r="7" spans="1:39" x14ac:dyDescent="0.2">
      <c r="A7" s="13">
        <v>1</v>
      </c>
      <c r="B7" s="13" t="s">
        <v>56</v>
      </c>
      <c r="C7" s="13"/>
      <c r="D7" s="13" t="s">
        <v>57</v>
      </c>
      <c r="E7" s="13" t="s">
        <v>58</v>
      </c>
      <c r="F7" s="13" t="s">
        <v>59</v>
      </c>
      <c r="G7" s="13" t="s">
        <v>60</v>
      </c>
      <c r="H7" s="13">
        <v>2970000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92501</v>
      </c>
      <c r="Q7" s="13">
        <v>-92501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2970000</v>
      </c>
      <c r="AC7" s="13"/>
      <c r="AD7" s="13">
        <v>0</v>
      </c>
      <c r="AE7" s="13">
        <v>0</v>
      </c>
      <c r="AF7" s="13" t="s">
        <v>61</v>
      </c>
      <c r="AG7" s="13" t="s">
        <v>62</v>
      </c>
      <c r="AH7" s="13"/>
      <c r="AI7" s="13">
        <v>0</v>
      </c>
      <c r="AJ7" s="13">
        <v>0</v>
      </c>
      <c r="AK7" s="13">
        <v>0</v>
      </c>
      <c r="AL7" s="13">
        <v>0</v>
      </c>
      <c r="AM7" s="13">
        <v>0</v>
      </c>
    </row>
    <row r="8" spans="1:39" x14ac:dyDescent="0.2">
      <c r="A8" s="13">
        <v>2</v>
      </c>
      <c r="B8" s="13" t="s">
        <v>63</v>
      </c>
      <c r="C8" s="13"/>
      <c r="D8" s="13" t="s">
        <v>57</v>
      </c>
      <c r="E8" s="13" t="s">
        <v>64</v>
      </c>
      <c r="F8" s="13" t="s">
        <v>59</v>
      </c>
      <c r="G8" s="13" t="s">
        <v>60</v>
      </c>
      <c r="H8" s="13">
        <v>4025000</v>
      </c>
      <c r="I8" s="13">
        <v>-350000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81000</v>
      </c>
      <c r="Q8" s="13">
        <v>-81000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3675000</v>
      </c>
      <c r="AC8" s="13"/>
      <c r="AD8" s="13">
        <v>0</v>
      </c>
      <c r="AE8" s="13">
        <v>0</v>
      </c>
      <c r="AF8" s="13" t="s">
        <v>61</v>
      </c>
      <c r="AG8" s="13" t="s">
        <v>62</v>
      </c>
      <c r="AH8" s="13"/>
      <c r="AI8" s="13">
        <v>0</v>
      </c>
      <c r="AJ8" s="13">
        <v>0</v>
      </c>
      <c r="AK8" s="13">
        <v>0</v>
      </c>
      <c r="AL8" s="13">
        <v>0</v>
      </c>
      <c r="AM8" s="13">
        <v>0</v>
      </c>
    </row>
    <row r="9" spans="1:39" x14ac:dyDescent="0.2">
      <c r="A9" s="13">
        <v>3</v>
      </c>
      <c r="B9" s="13" t="s">
        <v>65</v>
      </c>
      <c r="C9" s="13"/>
      <c r="D9" s="13" t="s">
        <v>66</v>
      </c>
      <c r="E9" s="13" t="s">
        <v>67</v>
      </c>
      <c r="F9" s="13" t="s">
        <v>68</v>
      </c>
      <c r="G9" s="13" t="s">
        <v>69</v>
      </c>
      <c r="H9" s="13">
        <v>94900</v>
      </c>
      <c r="I9" s="13">
        <v>-2000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18000</v>
      </c>
      <c r="Q9" s="13">
        <v>-18000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92900</v>
      </c>
      <c r="AC9" s="13"/>
      <c r="AD9" s="13">
        <v>0</v>
      </c>
      <c r="AE9" s="13">
        <v>0</v>
      </c>
      <c r="AF9" s="13" t="s">
        <v>70</v>
      </c>
      <c r="AG9" s="13" t="s">
        <v>71</v>
      </c>
      <c r="AH9" s="13"/>
      <c r="AI9" s="13">
        <v>0</v>
      </c>
      <c r="AJ9" s="13">
        <v>0</v>
      </c>
      <c r="AK9" s="13">
        <v>0</v>
      </c>
      <c r="AL9" s="13">
        <v>0</v>
      </c>
      <c r="AM9" s="13">
        <v>0</v>
      </c>
    </row>
    <row r="10" spans="1:39" x14ac:dyDescent="0.2">
      <c r="A10" s="13">
        <v>4</v>
      </c>
      <c r="B10" s="13" t="s">
        <v>72</v>
      </c>
      <c r="C10" s="13"/>
      <c r="D10" s="13" t="s">
        <v>57</v>
      </c>
      <c r="E10" s="13" t="s">
        <v>73</v>
      </c>
      <c r="F10" s="13" t="s">
        <v>59</v>
      </c>
      <c r="G10" s="13" t="s">
        <v>74</v>
      </c>
      <c r="H10" s="13">
        <v>2970000</v>
      </c>
      <c r="I10" s="13">
        <v>-1470000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100000</v>
      </c>
      <c r="Q10" s="13">
        <v>-124500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1475500</v>
      </c>
      <c r="AC10" s="13"/>
      <c r="AD10" s="13">
        <v>0</v>
      </c>
      <c r="AE10" s="13">
        <v>0</v>
      </c>
      <c r="AF10" s="13" t="s">
        <v>61</v>
      </c>
      <c r="AG10" s="13" t="s">
        <v>62</v>
      </c>
      <c r="AH10" s="13"/>
      <c r="AI10" s="13">
        <v>0</v>
      </c>
      <c r="AJ10" s="13">
        <v>0</v>
      </c>
      <c r="AK10" s="13">
        <v>0</v>
      </c>
      <c r="AL10" s="13">
        <v>0</v>
      </c>
      <c r="AM10" s="13">
        <v>0</v>
      </c>
    </row>
    <row r="11" spans="1:39" x14ac:dyDescent="0.2">
      <c r="A11" s="13">
        <v>5</v>
      </c>
      <c r="B11" s="13" t="s">
        <v>75</v>
      </c>
      <c r="C11" s="13"/>
      <c r="D11" s="13" t="s">
        <v>57</v>
      </c>
      <c r="E11" s="13" t="s">
        <v>73</v>
      </c>
      <c r="F11" s="13" t="s">
        <v>59</v>
      </c>
      <c r="G11" s="13" t="s">
        <v>76</v>
      </c>
      <c r="H11" s="13">
        <v>2970000</v>
      </c>
      <c r="I11" s="13">
        <v>-1470000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92501</v>
      </c>
      <c r="Q11" s="13">
        <v>-92501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1500000</v>
      </c>
      <c r="AC11" s="13"/>
      <c r="AD11" s="13">
        <v>0</v>
      </c>
      <c r="AE11" s="13">
        <v>0</v>
      </c>
      <c r="AF11" s="13" t="s">
        <v>61</v>
      </c>
      <c r="AG11" s="13" t="s">
        <v>62</v>
      </c>
      <c r="AH11" s="13"/>
      <c r="AI11" s="13">
        <v>0</v>
      </c>
      <c r="AJ11" s="13">
        <v>0</v>
      </c>
      <c r="AK11" s="13">
        <v>0</v>
      </c>
      <c r="AL11" s="13">
        <v>0</v>
      </c>
      <c r="AM11" s="13">
        <v>0</v>
      </c>
    </row>
    <row r="12" spans="1:39" x14ac:dyDescent="0.2">
      <c r="A12" s="13">
        <v>6</v>
      </c>
      <c r="B12" s="13" t="s">
        <v>77</v>
      </c>
      <c r="C12" s="13"/>
      <c r="D12" s="13" t="s">
        <v>57</v>
      </c>
      <c r="E12" s="13" t="s">
        <v>78</v>
      </c>
      <c r="F12" s="13" t="s">
        <v>59</v>
      </c>
      <c r="G12" s="13" t="s">
        <v>79</v>
      </c>
      <c r="H12" s="13">
        <v>2722500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95900</v>
      </c>
      <c r="Q12" s="13">
        <v>-95900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2722500</v>
      </c>
      <c r="AC12" s="13"/>
      <c r="AD12" s="13">
        <v>0</v>
      </c>
      <c r="AE12" s="13">
        <v>0</v>
      </c>
      <c r="AF12" s="13" t="s">
        <v>61</v>
      </c>
      <c r="AG12" s="13" t="s">
        <v>62</v>
      </c>
      <c r="AH12" s="13"/>
      <c r="AI12" s="13">
        <v>0</v>
      </c>
      <c r="AJ12" s="13">
        <v>0</v>
      </c>
      <c r="AK12" s="13">
        <v>0</v>
      </c>
      <c r="AL12" s="13">
        <v>0</v>
      </c>
      <c r="AM12" s="13">
        <v>0</v>
      </c>
    </row>
    <row r="13" spans="1:39" x14ac:dyDescent="0.2">
      <c r="A13" s="13">
        <v>7</v>
      </c>
      <c r="B13" s="13" t="s">
        <v>80</v>
      </c>
      <c r="C13" s="13"/>
      <c r="D13" s="13" t="s">
        <v>57</v>
      </c>
      <c r="E13" s="13" t="s">
        <v>78</v>
      </c>
      <c r="F13" s="13" t="s">
        <v>59</v>
      </c>
      <c r="G13" s="13" t="s">
        <v>79</v>
      </c>
      <c r="H13" s="13">
        <v>2722500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95900</v>
      </c>
      <c r="Q13" s="13">
        <v>-95900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2722500</v>
      </c>
      <c r="AC13" s="13"/>
      <c r="AD13" s="13">
        <v>0</v>
      </c>
      <c r="AE13" s="13">
        <v>0</v>
      </c>
      <c r="AF13" s="13" t="s">
        <v>61</v>
      </c>
      <c r="AG13" s="13" t="s">
        <v>62</v>
      </c>
      <c r="AH13" s="13"/>
      <c r="AI13" s="13">
        <v>0</v>
      </c>
      <c r="AJ13" s="13">
        <v>0</v>
      </c>
      <c r="AK13" s="13">
        <v>0</v>
      </c>
      <c r="AL13" s="13">
        <v>0</v>
      </c>
      <c r="AM13" s="13">
        <v>0</v>
      </c>
    </row>
    <row r="14" spans="1:39" x14ac:dyDescent="0.2">
      <c r="A14" s="13">
        <v>8</v>
      </c>
      <c r="B14" s="13" t="s">
        <v>81</v>
      </c>
      <c r="C14" s="13"/>
      <c r="D14" s="13" t="s">
        <v>57</v>
      </c>
      <c r="E14" s="13" t="s">
        <v>82</v>
      </c>
      <c r="F14" s="13" t="s">
        <v>59</v>
      </c>
      <c r="G14" s="13" t="s">
        <v>83</v>
      </c>
      <c r="H14" s="13">
        <v>2277000</v>
      </c>
      <c r="I14" s="13">
        <v>-1127000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94501</v>
      </c>
      <c r="Q14" s="13">
        <v>-94501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1150000</v>
      </c>
      <c r="AC14" s="13"/>
      <c r="AD14" s="13">
        <v>0</v>
      </c>
      <c r="AE14" s="13">
        <v>0</v>
      </c>
      <c r="AF14" s="13" t="s">
        <v>61</v>
      </c>
      <c r="AG14" s="13" t="s">
        <v>62</v>
      </c>
      <c r="AH14" s="13"/>
      <c r="AI14" s="13">
        <v>0</v>
      </c>
      <c r="AJ14" s="13">
        <v>0</v>
      </c>
      <c r="AK14" s="13">
        <v>0</v>
      </c>
      <c r="AL14" s="13">
        <v>0</v>
      </c>
      <c r="AM14" s="13">
        <v>0</v>
      </c>
    </row>
    <row r="15" spans="1:39" x14ac:dyDescent="0.2">
      <c r="A15" s="13">
        <v>9</v>
      </c>
      <c r="B15" s="13" t="s">
        <v>84</v>
      </c>
      <c r="C15" s="13"/>
      <c r="D15" s="13" t="s">
        <v>57</v>
      </c>
      <c r="E15" s="13" t="s">
        <v>85</v>
      </c>
      <c r="F15" s="13" t="s">
        <v>59</v>
      </c>
      <c r="G15" s="13" t="s">
        <v>86</v>
      </c>
      <c r="H15" s="13">
        <v>2376000</v>
      </c>
      <c r="I15" s="13">
        <v>-1176000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98501</v>
      </c>
      <c r="Q15" s="13">
        <v>-98501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1200000</v>
      </c>
      <c r="AC15" s="13"/>
      <c r="AD15" s="13">
        <v>0</v>
      </c>
      <c r="AE15" s="13">
        <v>0</v>
      </c>
      <c r="AF15" s="13" t="s">
        <v>61</v>
      </c>
      <c r="AG15" s="13" t="s">
        <v>62</v>
      </c>
      <c r="AH15" s="13"/>
      <c r="AI15" s="13">
        <v>0</v>
      </c>
      <c r="AJ15" s="13">
        <v>0</v>
      </c>
      <c r="AK15" s="13">
        <v>0</v>
      </c>
      <c r="AL15" s="13">
        <v>0</v>
      </c>
      <c r="AM15" s="13">
        <v>0</v>
      </c>
    </row>
    <row r="16" spans="1:39" x14ac:dyDescent="0.2">
      <c r="A16" s="13">
        <v>10</v>
      </c>
      <c r="B16" s="13" t="s">
        <v>87</v>
      </c>
      <c r="C16" s="13"/>
      <c r="D16" s="13" t="s">
        <v>57</v>
      </c>
      <c r="E16" s="13" t="s">
        <v>88</v>
      </c>
      <c r="F16" s="13" t="s">
        <v>59</v>
      </c>
      <c r="G16" s="13" t="s">
        <v>89</v>
      </c>
      <c r="H16" s="13">
        <v>2871000</v>
      </c>
      <c r="I16" s="13">
        <v>-1421000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99200</v>
      </c>
      <c r="Q16" s="13">
        <v>-99200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1450000</v>
      </c>
      <c r="AC16" s="13"/>
      <c r="AD16" s="13">
        <v>0</v>
      </c>
      <c r="AE16" s="13">
        <v>0</v>
      </c>
      <c r="AF16" s="13" t="s">
        <v>61</v>
      </c>
      <c r="AG16" s="13" t="s">
        <v>90</v>
      </c>
      <c r="AH16" s="13"/>
      <c r="AI16" s="13">
        <v>0</v>
      </c>
      <c r="AJ16" s="13">
        <v>0</v>
      </c>
      <c r="AK16" s="13">
        <v>0</v>
      </c>
      <c r="AL16" s="13">
        <v>0</v>
      </c>
      <c r="AM16" s="13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Normal="100" workbookViewId="0"/>
  </sheetViews>
  <sheetFormatPr defaultRowHeight="15" x14ac:dyDescent="0.2"/>
  <cols>
    <col min="1" max="1" width="10" customWidth="1"/>
    <col min="2" max="4" width="10" style="2" customWidth="1"/>
  </cols>
  <sheetData>
    <row r="1" spans="1:4" x14ac:dyDescent="0.2">
      <c r="A1" s="9"/>
      <c r="B1" s="9"/>
      <c r="C1" s="23" t="s">
        <v>31</v>
      </c>
      <c r="D1" s="23"/>
    </row>
    <row r="2" spans="1:4" x14ac:dyDescent="0.2">
      <c r="A2" s="9" t="s">
        <v>38</v>
      </c>
      <c r="B2" s="9" t="s">
        <v>39</v>
      </c>
      <c r="C2" s="9" t="s">
        <v>91</v>
      </c>
      <c r="D2" s="9" t="s">
        <v>92</v>
      </c>
    </row>
    <row r="3" spans="1:4" x14ac:dyDescent="0.2">
      <c r="A3" s="9">
        <v>1</v>
      </c>
      <c r="B3" s="9" t="s">
        <v>56</v>
      </c>
      <c r="C3" s="9">
        <v>0</v>
      </c>
      <c r="D3" s="9">
        <v>0</v>
      </c>
    </row>
    <row r="4" spans="1:4" x14ac:dyDescent="0.2">
      <c r="A4" s="9">
        <v>2</v>
      </c>
      <c r="B4" s="9" t="s">
        <v>63</v>
      </c>
      <c r="C4" s="9">
        <v>0</v>
      </c>
      <c r="D4" s="9">
        <v>0</v>
      </c>
    </row>
    <row r="5" spans="1:4" x14ac:dyDescent="0.2">
      <c r="A5" s="9">
        <v>3</v>
      </c>
      <c r="B5" s="9" t="s">
        <v>65</v>
      </c>
      <c r="C5" s="9">
        <v>0</v>
      </c>
      <c r="D5" s="9">
        <v>0</v>
      </c>
    </row>
    <row r="6" spans="1:4" x14ac:dyDescent="0.2">
      <c r="A6" s="9">
        <v>4</v>
      </c>
      <c r="B6" s="9" t="s">
        <v>72</v>
      </c>
      <c r="C6" s="9">
        <v>0</v>
      </c>
      <c r="D6" s="9">
        <v>0</v>
      </c>
    </row>
    <row r="7" spans="1:4" x14ac:dyDescent="0.2">
      <c r="A7" s="9">
        <v>5</v>
      </c>
      <c r="B7" s="9" t="s">
        <v>75</v>
      </c>
      <c r="C7" s="9">
        <v>0</v>
      </c>
      <c r="D7" s="9">
        <v>0</v>
      </c>
    </row>
    <row r="8" spans="1:4" x14ac:dyDescent="0.2">
      <c r="A8" s="9">
        <v>6</v>
      </c>
      <c r="B8" s="9" t="s">
        <v>77</v>
      </c>
      <c r="C8" s="9">
        <v>0</v>
      </c>
      <c r="D8" s="9">
        <v>0</v>
      </c>
    </row>
    <row r="9" spans="1:4" x14ac:dyDescent="0.2">
      <c r="A9" s="9">
        <v>7</v>
      </c>
      <c r="B9" s="9" t="s">
        <v>80</v>
      </c>
      <c r="C9" s="9">
        <v>0</v>
      </c>
      <c r="D9" s="9">
        <v>0</v>
      </c>
    </row>
    <row r="10" spans="1:4" x14ac:dyDescent="0.2">
      <c r="A10" s="9">
        <v>8</v>
      </c>
      <c r="B10" s="9" t="s">
        <v>81</v>
      </c>
      <c r="C10" s="9">
        <v>0</v>
      </c>
      <c r="D10" s="9">
        <v>0</v>
      </c>
    </row>
    <row r="11" spans="1:4" x14ac:dyDescent="0.2">
      <c r="A11" s="9">
        <v>9</v>
      </c>
      <c r="B11" s="9" t="s">
        <v>84</v>
      </c>
      <c r="C11" s="9">
        <v>0</v>
      </c>
      <c r="D11" s="9">
        <v>0</v>
      </c>
    </row>
    <row r="12" spans="1:4" x14ac:dyDescent="0.2">
      <c r="A12" s="9">
        <v>10</v>
      </c>
      <c r="B12" s="9" t="s">
        <v>87</v>
      </c>
      <c r="C12" s="9">
        <v>0</v>
      </c>
      <c r="D12" s="9">
        <v>0</v>
      </c>
    </row>
  </sheetData>
  <mergeCells count="1">
    <mergeCell ref="C1:D1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Income</vt:lpstr>
      <vt:lpstr>Free Returns Fee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Yudhistira</cp:lastModifiedBy>
  <dcterms:modified xsi:type="dcterms:W3CDTF">2025-09-09T10:13:02Z</dcterms:modified>
</cp:coreProperties>
</file>