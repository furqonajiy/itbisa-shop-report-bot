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randa" sheetId="1" r:id="rId4"/>
    <sheet state="visible" name="BisaStok" sheetId="2" r:id="rId5"/>
    <sheet state="visible" name="BisaHilang" sheetId="3" r:id="rId6"/>
    <sheet state="visible" name="BisaRekapBarang" sheetId="4" r:id="rId7"/>
    <sheet state="visible" name="BisaPindahBarang" sheetId="5" r:id="rId8"/>
    <sheet state="visible" name="BisaSEO" sheetId="6" r:id="rId9"/>
    <sheet state="visible" name="BisaEtalase" sheetId="7" r:id="rId10"/>
    <sheet state="visible" name="BisaPerlengkapan" sheetId="8" r:id="rId11"/>
    <sheet state="hidden" name="BisaJurnal" sheetId="9" r:id="rId12"/>
    <sheet state="hidden" name="BisaRekapBarangBackend" sheetId="10" r:id="rId13"/>
    <sheet state="hidden" name="BisaRekapGudangBackend" sheetId="11" r:id="rId14"/>
    <sheet state="hidden" name="Import-BisaJual" sheetId="12" r:id="rId15"/>
    <sheet state="hidden" name="Import-BisaJurnal" sheetId="13" r:id="rId16"/>
  </sheets>
  <definedNames>
    <definedName hidden="1" localSheetId="1" name="_xlnm._FilterDatabase">BisaStok!$A$2:$AF$263</definedName>
    <definedName hidden="1" localSheetId="5" name="_xlnm._FilterDatabase">BisaSEO!$A$1:$M$224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tc={35ef087a-b742-476f-921a-45c977b3dee4}</author>
    <author>tc={584bc077-2fb1-4daf-856f-b425f406e914}</author>
    <author>tc={868f344b-34f0-47b0-9e4f-4f676bbfdabe}</author>
    <author>tc={ad9f598a-9a1e-476a-9443-1d7fafda901a}</author>
    <author>tc={c3c540a4-7712-4e02-bbb3-9258960f6a54}</author>
    <author>tc={d4a42570-e530-4d06-b6b2-25b27447e7d0}</author>
    <author>tc={d725da10-f70e-4fa8-a272-b117cfea3d73}</author>
    <author>tc={fcf4a4e5-f720-41f4-aa1c-42dc56dfb3b5}</author>
  </authors>
  <commentList>
    <comment authorId="0" xr:uid="{35ef087a-b742-476f-921a-45c977b3dee4}" ref="A1">
      <text>
        <t xml:space="preserve">[Threaded comment]
 Your version of Excel allows you to read this threaded comment; however, any edits to it will get removed if the file is opened in a newer version of Excel. Learn more: https://go.microsoft.com/fwlink/?linkid=870924
Comment:
	gaberubah jd link geuning
</t>
      </text>
    </comment>
    <comment authorId="1" xr:uid="{584bc077-2fb1-4daf-856f-b425f406e914}" ref="A1">
      <text>
        <t xml:space="preserve">[Threaded comment]
 Your version of Excel allows you to read this threaded comment; however, any edits to it will get removed if the file is opened in a newer version of Excel. Learn more: https://go.microsoft.com/fwlink/?linkid=870924
Comment:
	belom ada namanya ji
</t>
      </text>
    </comment>
    <comment authorId="2" xr:uid="{868f344b-34f0-47b0-9e4f-4f676bbfdabe}" ref="A1">
      <text>
        <t xml:space="preserve">[Threaded comment]
 Your version of Excel allows you to read this threaded comment; however, any edits to it will get removed if the file is opened in a newer version of Excel. Learn more: https://go.microsoft.com/fwlink/?linkid=870924
Comment:
	Banyak lot itu 14 buah, kenapa tulis 10 biji?
</t>
      </text>
    </comment>
    <comment authorId="3" xr:uid="{ad9f598a-9a1e-476a-9443-1d7fafda901a}" ref="A1">
      <text>
        <t xml:space="preserve">[Threaded comment]
 Your version of Excel allows you to read this threaded comment; however, any edits to it will get removed if the file is opened in a newer version of Excel. Learn more: https://go.microsoft.com/fwlink/?linkid=870924
Comment:
	Sudah sangat jelas, ditulis di chat 10.000 - 10.000 - 2118, kenapa ditulis 0?
</t>
      </text>
    </comment>
    <comment authorId="4" xr:uid="{c3c540a4-7712-4e02-bbb3-9258960f6a54}" ref="A1">
      <text>
        <t xml:space="preserve">[Threaded comment]
 Your version of Excel allows you to read this threaded comment; however, any edits to it will get removed if the file is opened in a newer version of Excel. Learn more: https://go.microsoft.com/fwlink/?linkid=870924
Comment:
	Testing, harusnya 2
</t>
      </text>
    </comment>
    <comment authorId="5" xr:uid="{d4a42570-e530-4d06-b6b2-25b27447e7d0}" ref="A1">
      <text>
        <t xml:space="preserve">[Threaded comment]
 Your version of Excel allows you to read this threaded comment; however, any edits to it will get removed if the file is opened in a newer version of Excel. Learn more: https://go.microsoft.com/fwlink/?linkid=870924
Comment:
	Salah ke-2
</t>
      </text>
    </comment>
    <comment authorId="6" xr:uid="{d725da10-f70e-4fa8-a272-b117cfea3d73}" ref="A1">
      <text>
        <t xml:space="preserve">[Threaded comment]
 Your version of Excel allows you to read this threaded comment; however, any edits to it will get removed if the file is opened in a newer version of Excel. Learn more: https://go.microsoft.com/fwlink/?linkid=870924
Comment:
	gaada dilist transaksi urang
</t>
      </text>
    </comment>
    <comment authorId="7" xr:uid="{fcf4a4e5-f720-41f4-aa1c-42dc56dfb3b5}" ref="A1">
      <text>
        <t xml:space="preserve">[Threaded comment]
 Your version of Excel allows you to read this threaded comment; however, any edits to it will get removed if the file is opened in a newer version of Excel. Learn more: https://go.microsoft.com/fwlink/?linkid=870924
Comment:
	cek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3">
      <text>
        <t xml:space="preserve">**BisaElektronika by Information Technology Bisa! - ITBisa**
PENTING! IC ini BUKAN tipe SMD, sehingga dapat digunakan untuk PCB berlubang atau breadboard, dan mudah disolder.
Socket :
https://www.bukalapak.com/p/elektronik/komponen-elektronik/12cnd7v-jual-itbisa-socket-ic-dip-8-2x4-round-hole-soket-integrated-circuit-8-pin-kaki-lingkaran-dip8-8dip
https://tokopedia.link/VcMQW1YRoX
https://shopee.co.id/product/80492423/2287659492/
IC UA741CN DIP-8 adalah IC yang sering digunakan untuk rangkaian Operational Amplifier (penguat).
Contoh aplikasi IC 741 adalah Filter, Integrator, Diferensiator, Summer.
DIP-8 berarti IC tersebut mempunyai 8 buah kaki dengan tipe kaki Dual in-line package (DIP).
Spesifikasi
Tipe : UA741CN
Fungsi : Op-Amp, Filter
Tegangan Operasi : 5 V s.d. 15 V atau - 5 V s.d. - 15 V
Paket : DIP-8 (8 Kaki tipe Dual in-line package)
#BisaElektronika #ITBisa #IC #741 #UA741CN #DIP-8 #Op-Amp #Filter #Penguat #LPF #HPF #BPF #UA741 #OpAmp #DIP8 #8DIP #Integrated #Circuit
-----
Massa : 2 gram
Harga Grosir :
@1500
&gt;=100 @1450
&gt;=200 @1400</t>
      </text>
    </comment>
    <comment authorId="0" ref="A94">
      <text>
        <t xml:space="preserve">**BisaElektronika oleh Information Technology Bisa! - ITBisa**
PENTING! Motor Driver L298N ini sudah menggunakan Heatsink agar lebih tahan panas. Perlu diketahui motor driver dapat dilewatkan arus yang besar sehingga rawan panas. L298N Motor Driver ini juga sudah dilengkapi dengan baut kabel untuk memudahkan pemasangan kabel.
L298N dapat digunakan untuk mengontrol motor DC dengan tegangan hingga 35 V. Tetapi untuk menghindari kerusakan chip ketika menggunakan tegangan masukan lebih dari 12 V, bedakan tegangan logika dengan tegangan kontrol motor. Gunakan tegangan logika 5 V untuk menghindari kerusakan.
Ketika tegangan kendali motor adalah 7 - 12 V, motor driver ini dapat menghasilkan tegangan logika sebesar 5 V. Ketika menggunakan masukan tegangan 5 V, bagian + 5 V tidak perlu ditambahkan tegangan tambahan karena sudah menghasilkan 5 V dengan sendirinya.
Ketika tegangan kendali motor 12 V - 24 V, jumper 5 V pada board harus dicabut dan kita harus menghubungkan 5 V dengan port output. Hal ini dilakukan agar tidak merusak chip.
Motor Driver L298N menggunakan IC buatan ST yang memiliki karakteristik kemampuan mengemudi yang kuat, daya pemanasan rendah, dan kemampuan anti-interferensi yang kuat.
Motor Driver L298N menggunakan kapasitor filter berkapasitas besar dan dioda perlindungan arus kontinu yang dapat meningkatkan ketahanan.
Motor Driver L298N dapat digunakan untuk kendali motor pada Arduino, khususnya Line Follower.
Spesifikasi
Chip : L298N
Fungsi : Kendali Motor DC, Kendali Motor Stepper, Kendali Line Follower
Mode Kerja : Dual H-bridge drive (dua arah).
Chip Kontrol Utama : L298N
Tegangan Logika (Logic Voltage) : 5 V
Tegangan Kendali Motor (Driving Voltage) : 5 V - 35 V
Arus Logika (Logic Current) : 0 mA - 36 mA
Arus Kendali Motor (Driving Current) : 2 A (MAX Single Bridge)
Suhu Penyimpanan : -20°C - 135°C
Daya Maksimum : 25 W
#BisaElektronika #ITBisa #Motor #Driver #Stepper #DC #L298N #Dual #HBridge #Module #Control #Smart #Car #Robot #Arduino #Modul #Kontrol #High #Power
-----
Massa : 50 gram
Harga Grosir : 
@17500
&gt;=25 @17000</t>
      </text>
    </comment>
    <comment authorId="0" ref="A61">
      <text>
        <t xml:space="preserve">**BisaElektronika oleh Information Technology Bisa! - ITBisa**
PENTING! IC ini BUKAN tipe SMD, sehingga dapat digunakan untuk PCB berlubang atau breadboard, dan mudah disolder.
Socket :
https://www.bukalapak.com/p/elektronik/komponen-elektronik/12cnd7v-jual-itbisa-socket-ic-dip-8-2x4-round-hole-soket-integrated-circuit-8-pin-kaki-lingkaran-dip8-8dip
https://tokopedia.link/VcMQW1YRoX
https://shopee.co.id/product/80492423/2287659492/
IC NE555P DIP-8 adalah IC yang sering digunakan untuk Timer.
Salah satu aplikasi IC 555 adalah Flip-Flop.
DIP-8 berarti IC tersebut mempunyai 8 buah kaki dengan tipe kaki Dual in-line package (DIP).
Spesifikasi
Tipe : NE555P
Fungsi : Timer, Osilator
Tegangan Operasi : 4,5 V - 16 V
Paket : DIP-8 (8 Kaki tipe Dual in-line package)
#BisaElektronika #ITBisa #IC #555 #NE555P #DIP-8 #Timer #Osilator #Flip-Flop #Integrated #Circuit #NE #NE555 #Oscillator #Flip #Flop #DIP8 #8DIP
-----
Massa : 2 gram
Harga Grosir :
@500
&gt;=500 @490</t>
      </text>
    </comment>
    <comment authorId="0" ref="A123">
      <text>
        <t xml:space="preserve">**BisaOspek oleh Information Technology Bisa! - ITBisa**
PENTING! Bohlam ini mempunyai bentuk bulat, bukan runcing.
Bohlam Rapid E10 adalah lampu bohlam (bulb) atau lampu pijar yang sering digunakan sebagai lampu di senter terdahulu (sebelum ada LED). Bohlam ini mempunyai warna cahaya kuning.
Senter Lampu Kuning : 
https://www.bukalapak.com/p/elektronik/lampu-alat-penerangan/1tebvcn-jual-itbisa-senter-tiger-head-nos-jadul-ospek-ft300-klasik-lampu-cahaya-kuning-tembus-kabut-osjur-tigerhead-vintage-lama-classic-besi-stainless-logam
https://shopee.co.id/product/80492423/2287229388/
https://tokopedia.link/8qtRn6vbMX
Spesifikasi
Merk : Rapid
Jenis Lampu : Pijar
Diameter Bohlam : 11 mm
Panjang : 22,8 mm (ujung bohlam ke kaca)
Warna Cahaya : Kuning
Tegangan Operasi : 2,5 Volt
Arus Operasi : 0,3 A
#BisaOspek #ITBisa #Lampu #Senter #Bohlam #Kuning #Bulb #E10 #2.5V #Drat #Skrup #Kecil #Praktik #Praktek #Anak #Sekolah #2,5V #Screw</t>
      </text>
    </comment>
    <comment authorId="0" ref="A187">
      <text>
        <t xml:space="preserve">**BisaElektronika oleh Information Technology Bisa! - ITBisa**
PENTING! Socket ini adalah Narrow, bukan Round Hole.
Socket IC DIP-8 Narrow adalah Socket yang digunakan sebagai tempat memasang IC DIP-8 atau IC yang mempunyai 8 kaki tipe DIP.
Socket ini biasanya disolder dengan rangkaian elektronika sehingga IC yang dipasang dapat ditarik-pasang secara bebas. Selain itu, apabila terjadi kerusakan IC, maka dapat dengan mudah diganti karena rangkaian tersolder dengan socket-nya, bukan IC-nya.
Spesifikasi
Type : IC Socket Adaptor Solder Type
Row to Row Distance : 7,62 mm
Length : 3,25 mm
Pitch : 2,54 mm
Banyak pin : 2x4 (8 Pin)
Tipe pin : DIP
#BisaElektronika #ITBisa #Socket #IC #DIP #8 #Pin #DIP8 #8DIP #2x4 #Narrow #2.54mm #Dudukan #2,54mm #Soket #DIP8 #8DIP #Integrated #Integrate #Circuit
-----
Massa : 2 gram
Harga Grosir : 
@300
&gt;=500 @290</t>
      </text>
    </comment>
    <comment authorId="0" ref="A53">
      <text>
        <t xml:space="preserve">**BisaElektronika by Information Technology Bisa! - ITBisa**
PENTING! IC ini BUKAN tipe SMD, sehingga dapat digunakan untuk PCB berlubang atau breadboard, dan mudah disolder.
Socket :
https://www.bukalapak.com/p/elektronik/komponen-elektronik/12cnd7v-jual-itbisa-socket-ic-dip-8-2x4-round-hole-soket-integrated-circuit-8-pin-kaki-lingkaran-dip8-8dip
https://tokopedia.link/VcMQW1YRoX
https://shopee.co.id/product/80492423/2287659492/
IC UA741CN DIP-8 adalah IC yang sering digunakan untuk rangkaian Operational Amplifier (penguat).
Contoh aplikasi IC 741 adalah Filter, Integrator, Diferensiator, Summer.
DIP-8 berarti IC tersebut mempunyai 8 buah kaki dengan tipe kaki Dual in-line package (DIP).
Spesifikasi
Tipe : UA741CN
Fungsi : Op-Amp, Filter
Tegangan Operasi : 5 V s.d. 15 V atau - 5 V s.d. - 15 V
Paket : DIP-8 (8 Kaki tipe Dual in-line package)
#BisaElektronika #ITBisa #IC #741 #UA741CN #DIP-8 #Op-Amp #Filter #Penguat #LPF #HPF #BPF #UA741 #OpAmp #DIP8 #8DIP #Integrated #Circuit
-----
Massa : 2 gram
Harga Grosir :
@1500
&gt;=100 @1450
&gt;=200 @1400</t>
      </text>
    </comment>
    <comment authorId="0" ref="A18">
      <text>
        <t xml:space="preserve">**BisaElektronika oleh Information Technology Bisa! - ITBisa**
PENTING! Arduino ini adalah clone, bukan produk original, MASIH TERSEGEL. HARGA TIDAK TERMASUK KABEL.
ITBisa mempunyai standar yang tinggi untuk pemilihan barang sehingga Arduino Clone yang disediakan mempunyai kualitas semirip mungkin dengan Arduino original.
Arduino + KABEL 30CM :
https://www.bukalapak.com/p/elektronik/komponen-elektronik/1oczovi-jual-itbisa-arduino-uno-r3-ch340g-atmega328p-smd-clone-plus-usb-kabel-30cm-mikrokontroler-atmega328-cable-30-cm-kloning-duplikat-microcontroller
https://shopee.co.id/product/80492423/2291027591/
https://tokopedia.link/YjEKy3wCPX
USB 50 cm SAJA : 
https://www.bukalapak.com/p/elektronik/komponen-elektronik/1omtkbs-jual-itbisa-kabel-usb-a-to-b-2-0-biru-50cm-arduino-uno-mega-printer-blue-data-cable-50-cm
https://shopee.co.id/product/80492423/2290935422/
https://tokopedia.link/0AOGEGzIPX
Arduino UNO R3 CH340G ATMega328P SMD adalah mikrokontroler berbasis mikroprosesor ATMega328P.
- UNO adalah jenis Arduino dengan 14 pin Input-Output (I/O).
- R3 adalah Revisi ke-3 dari Arduino UNO. Perlu diketahui desain Arduino selalu diupgrade secara berkala.
- CH340G adalah tipe USB to TTL (serial) yang digunakan pada Arduino produksi Cina. Untuk produksi Eropa dan Amerika menggunakan 16U2 atau FTDI.
- ATMega328P adalah mikroprosesor yang digunakan pada Arduino UNO.
- Surface Mount Device (SMD) adalah tipe devais yang dirangkai secara Surface Mount Device (SMT), yaitu teknologi memasang komponen elektronik secara langsung pada papan sirkuit.
Aplikasi Arduino banyak sekali, di antaranya sebagai kontrol motor, PID, pengolah data sensor, ataupun otak dari robotika.
Spesifikasi
Mikrokontroler : ATmega328P
Tegangan Operasi : 5 V
Input Tegangan (disarankan) : 7 - 12 V
Input Tegangan (batas) : 6 - 20 V
Banyak I/O Digital Pin : 14
Banyak Pin PWM : 6
Banyak Input Pin Analog : 6
Arus DC per I/O pin : 20 mA
Arus DC untuk Pin 3,3 V Pin : 50 mA
Memori Flash : 32 KB (ATmega328P) dengan 0,5 KB digunakan untuk bootloader
RAM Statis (SRAM) : 2 KB (ATmega328P)
EEPROM : 1 KB (ATmega328P)
Kecepatan Clock : 16 MHz
LED_BUILTIN : 13
Panjang : 68,6 mm
Lebar : 53,4 mm
#BisaElektronika #ITBisa #Arduino #UNO #R3 #CH340G #SMD #Clone #USB #Kabel #30CM #Cable #ATMega328P #Mikrokontroler #ATMega328 #Kloning #Duplikat #Microcontroller
-----
Massa : 50 gram
Harga Grosir :
@50000
&gt;= 25 47500</t>
      </text>
    </comment>
    <comment authorId="0" ref="A113">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16">
      <text>
        <t xml:space="preserve">**BisaOspek oleh Information Technology Bisa! - ITBisa**
PENTING! Harga adalah untuk 1 buah baterai. Untuk Sementara TIDAK MENERIMA PENGIRIMAN LUAR PULAU JAWA.
Senter :
https://www.bukalapak.com/p/elektronik/lampu-alat-penerangan/1tebvcn-jual-itbisa-senter-tiger-head-nos-jadul-ospek-ft300-klasik-lampu-cahaya-kuning-tembus-kabut-osjur-tigerhead-vintage-lama-classic-besi-stainless-logam
https://shopee.co.id/product/80492423/2287229388/
https://tokopedia.link/8qtRn6vbMX
Baterai ABC Super Power DR20P 1,5 V Size D Hitam adalah baterai yang sering digunakan untuk senter logam zaman dulu atau pompa galon.
Baterai ini adalah jenis Carbon Zinc atau secara komersial sering disebut dengan baterai Heavy Duty.
Secara fisik, baterai ini menggunakan Karbon yang berbentuk batang sebagai terminal positif (+) dan pembungkusnya menggunakan bahan Seng sebagai terminal negatif (-).
Ukuran baterai ini adalah D.
Berdasarkan website baterai ABC, baterai ini mempunyai sistem konstruksi "Leakproof Sealing System" atau tahan bocor, sehingga baterai ini awet dalam menyimpan daya dalam waktu yang lama.
Baterai ini tidak menggunakan merkuri (raksa) ataupun Cadmium sehingga lebih rendah bahaya.
Spesifikasi
Merk : ABC Super Power
Tipe : D
Bahan : Carbon Zinc
Tegangan : 1,5 V
#BisaOspek #ITBisa #Baterai #ABC #Super #Power #Heavy #Duty #DR20P #1.5V #Jumbo #Carbon #Zinc #Hitam #Senter #Batre #Besar #Black</t>
      </text>
    </comment>
    <comment authorId="0" ref="A109">
      <text>
        <t xml:space="preserve">**BisaElektronika oleh Information Technology Bisa! - ITBisa**
PENTING! PCB ini berukuran 5x7 cm, dengan kolom A-X dan baris 01-18.
Printer Circuit Board Universal 5x7 cm adalah PCB yang digunakan untuk memasang komponen sesuai keinginan.
PCB ini biasanya disolder dengan socket, agar alat-alat elektronika dapat ditarik-pasang secara bebas.
Spesifikasi
Tipe : Satu Sisi (Single Side)
Dimensi : 5x7 cm
Bahan : Tembaga
Lubang : 1 mm
Pitch : 2,54 mm
#BisaElektronika #ITBisa #PCB #Dot #Matrix #5x7 #Single #Side #Universal #Tembaga #5 #x #7 #cm #Copper #Printed #Circuit #Board #Protoboard #DIY #Bolong</t>
      </text>
    </comment>
    <comment authorId="0" ref="A76">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Male to Male (M-M)
Warna : bermacam-macam (tidak bisa memilih)
#BisaElektronika #ITBisa #Kabel #Jumper #Male #M-M #2.54mm #Merk #Dupont #Arduino #Breadboard #Buah #MM #Pin #2,54 #mm #2,54mm #10cm #Cable
-----
Massa : 25 gram
Harga Grosir :
@12500
&gt;=25 12.000</t>
      </text>
    </comment>
    <comment authorId="0" ref="A74">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Male to Feale (M-F)
Warna : bermacam-macam (tidak bisa memilih)
#BisaElektronika #ITBisa #Kabel #Jumper #Male #Female #M-F #2.54mm #Merk #Dupont #Arduino #Breadboard #MF #Pin #2,54 #mm #2,54mm #10cm #Cable
-----
Massa : 25 gram
Harga Grosir :
@12500
&gt;=25 12.000</t>
      </text>
    </comment>
    <comment authorId="0" ref="A8">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72">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Female to Female (F-F)
Warna : bermacam-macam (tidak bisa memilih)
#BisaElektronika #ITBisa #Kabel #Jumper #Female #F-F #2.54mm #Merk #Dupont #Arduino #Breadboard #Buah #FF #Pin #2,54 #mm #2,54mm #10cm #Cable
-----
Massa : 25 gram
Harga Grosir :
@12500
&gt;=25 12.000</t>
      </text>
    </comment>
    <comment authorId="0" ref="A6">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198">
      <text>
        <t xml:space="preserve">**BisaOspek oleh Information Technology Bisa! - ITBisa**
PENTING! Harga BELUM termasuk 2xBaterai ukuran D, tetapi SUDAH termasuk Bohlam.
TIDAK MENERIMA PENGIRIMAN BATERAI KE LUAR PULAU JAWA (HANYA SENTER).
Baterai :
https://www.bukalapak.com/p/elektronik/baterai-681/zh6wvi-jual-itbisa-baterai-abc-super-power-1-5-v-size-d-hitam-senter-pompa-galon-batre-heavy-duty-jumbo-karbon-carbon-zinc-dr20p-tipe-d-r20p-besar-1-5-v-volt
https://shopee.co.id/product/80492423/2291101669/
https://tokopedia.link/cFFSwlnJeV
Bohlam Cadangan :
https://www.bukalapak.com/p/elektronik/lampu-alat-penerangan/1eyr70k-jual-itbisa-bohlam-senter-rapid-e10-2-5v-drat-lampu-2-5-v-bulb-screw-skrup-kecil-praktik-praktek-anak-sekolah
https://shopee.co.id/product/80492423/2291110329/
https://tokopedia.link/cbDFn9obMX
Senter Tiger Head FT300 adalah senter yang biasa digunakan ketika ospek.
Senter ini menggunakan lampu dengan cahaya kuning sehingga lebih mudah dilihat oleh mata manusia karena panjang gelombangnya lebih tinggi.
Senter ini terbuat dari stainless steel sehingga lebih awet dan tahan banting.
Senter ini adalah New Old Stock (NOS) sehingga desain yang dibuat adalah desain zaman dahulu. Permasalahan yang sering terjadi adalah senter kadang menyala kadang tidak. Senter ini mempunyai 3 titik penyebab tidak menyala
1. Bohlam
2. Kepala senter
3. Penutup baterai
Ketiga hal tersebut terkadang kurang kencang, sehingga membuat senter tidak menyala sebagaimana mestinya.
Solusinya adalah
1. Buka penutup baterai, masukkan baterai, kemudian tutup kembali. Pastikan sudah ditutup dengan kencang.
2. Buka kepala senter, kemudian kencangkan lampu bohlam pada senter tersebut. Pastikan bohlam kencang. Jika bohlam sudah terpasang dengan benar, bohlam akan menyala.
3. Jika bohlam sudah dikencangkan, pasang kembali kepala senter. Pastikan kembali kepala senter sudah kencang.
Senter bermasalah bukan berarti kami mengirim produk rusak. Produk selalu dites sebelum dikirim, dan kami akan siap membantu apabila terdapat permasalahan. Kami sangat mengerti bahwa desain senter seperti ini tidak sebaik senter-senter produksi sekarang, sehingga harus sedikit bersabar dalam menyetel senter tersebut dan kami sangat siap membantu apabila terjadi permasalahan dengan senter yang kami kirim.
Spesifikasi
Merk : Tiger Head
Panjang : 17 cm
Diameter Kepala : 5 cm
Diameter Pegangan : 4 cm
Bahan : Heavy Chrome Plate
Warna Lampu : Kuning
Baterai : 2 buah ukuran D (tidak termasuk dalam paket)
#BisaOspek #ITBisa #Senter #NOS #Jadul #Ospek #FT300 #Klasik #Lampu #Cahaya #Kuning #Kabut #Tigerhead #Vintage #Lama #Classic #Besi #Logam
-----
Massa : 25 gram
Harga Grosir :
@20000
&gt;=25 @19500</t>
      </text>
    </comment>
    <comment authorId="0" ref="A4">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196">
      <text>
        <t xml:space="preserve">**BisaElektronika oleh Information Technology Bisa! - ITBisa**
PENTING! USB ini adalah versi 2.0 dan mempunyai panjang 50 cm.
USB ini dapat digunakan untuk mengunggah program ke Arduino 101, Arduino UNO, dan Arduino Mega
Arduino SAJA : 
https://www.bukalapak.com/p/elektronik/komponen-elektronik/1od0a25-jual-itbisa-arduino-uno-r3-ch340g-atmega328p-smd-only-clone-tanpa-usb-kabel-mikrokontroler-atmega328-no-cable-kloning-duplikat-microcontroller
https://shopee.co.id/product/80492423/2291018678/
https://tokopedia.link/8gHjKt0bPX
Arduino + KABEL 30CM : 
https://www.bukalapak.com/p/elektronik/komponen-elektronik/1oczovi-jual-itbisa-arduino-uno-r3-ch340g-atmega328p-smd-clone-plus-usb-kabel-30cm-mikrokontroler-atmega328-cable-30-cm-kloning-duplikat-microcontroller
https://shopee.co.id/product/80492423/2291027591/
https://tokopedia.link/YjEKy3wCPX
SPESIFIKASI
Tipe Kabel : Universal Serial Bus (USB)
Versi : 2.0
Kecepatan Transfer Data : 480 Mbps atau 60 MBps
#BisaElektronika #ITBisa #Kabel #USB #2.0 #A #to #B #Biru #50cm #Arduino #101 #UNO #Mega #Printer #Blue #Data #Cable
-----
Massa : 50 gram
Harga Grosir :
@6500
&gt;=25 6250</t>
      </text>
    </comment>
    <comment authorId="0" ref="A99">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2">
      <text>
        <t xml:space="preserve">**BisaElektronika oleh Information Technology Bisa! - ITBisa**
PENTING! 7 segment ini adalah Common Anode. Untuk menyalakannya, bagian tengah segment dihubungkan ke VCC, dan bagian segmen yang akan dinyalakan dihubungkan ke GND.
CC 0,56" :
https://www.bukalapak.com/p/elektronik/komponen-elektronik/12cm7sr-jual-itbisa-7-segment-cc-common-katoda-0-56-inci-merah-1-bit-led-display-jam-digital-nilai-sensor-7-segment-seven-red-cathode-0-56inch-inch-1bit
https://shopee.co.id/product/80492423/2291079064/
https://tokopedia.link/IlH0FKCToX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Anode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#CA #Common #Anoda #0,56 #Inci #Merah #LED #Display #Jam #Digital #Nilai #Sensor #7-Segment #Seven #Red #Anode #0,56" #0.56" #0.56inch #1BIT
-----
Massa : 10 gram
Harga Grosir :
@1500
&gt;=200 @1450
&gt;=300 @1400</t>
      </text>
    </comment>
    <comment authorId="0" ref="A192">
      <text>
        <t xml:space="preserve">**BisaOspek oleh Information Technology Bisa! - ITBisa**
PENTING! Harga BELUM termasuk 2xBaterai ukuran D, tetapi SUDAH termasuk Bohlam.
TIDAK MENERIMA PENGIRIMAN BATERAI KE LUAR PULAU JAWA (HANYA SENTER).
Baterai :
https://www.bukalapak.com/p/elektronik/baterai-681/zh6wvi-jual-itbisa-baterai-abc-super-power-1-5-v-size-d-hitam-senter-pompa-galon-batre-heavy-duty-jumbo-karbon-carbon-zinc-dr20p-tipe-d-r20p-besar-1-5-v-volt
https://shopee.co.id/product/80492423/2291101669/
https://tokopedia.link/cFFSwlnJeV
Bohlam Cadangan :
https://www.bukalapak.com/p/elektronik/lampu-alat-penerangan/1eyr70k-jual-itbisa-bohlam-senter-rapid-e10-2-5v-drat-lampu-2-5-v-bulb-screw-skrup-kecil-praktik-praktek-anak-sekolah
https://shopee.co.id/product/80492423/2291110329/
https://tokopedia.link/cbDFn9obMX
Senter Tiger Head FT300 adalah senter yang biasa digunakan ketika ospek.
Senter ini menggunakan lampu dengan cahaya kuning sehingga lebih mudah dilihat oleh mata manusia karena panjang gelombangnya lebih tinggi.
Senter ini terbuat dari stainless steel sehingga lebih awet dan tahan banting.
Senter ini adalah New Old Stock (NOS) sehingga desain yang dibuat adalah desain zaman dahulu. Permasalahan yang sering terjadi adalah senter kadang menyala kadang tidak. Senter ini mempunyai 3 titik penyebab tidak menyala
1. Bohlam
2. Kepala senter
3. Penutup baterai
Ketiga hal tersebut terkadang kurang kencang, sehingga membuat senter tidak menyala sebagaimana mestinya.
Solusinya adalah
1. Buka penutup baterai, masukkan baterai, kemudian tutup kembali. Pastikan sudah ditutup dengan kencang.
2. Buka kepala senter, kemudian kencangkan lampu bohlam pada senter tersebut. Pastikan bohlam kencang. Jika bohlam sudah terpasang dengan benar, bohlam akan menyala.
3. Jika bohlam sudah dikencangkan, pasang kembali kepala senter. Pastikan kembali kepala senter sudah kencang.
Senter bermasalah bukan berarti kami mengirim produk rusak. Produk selalu dites sebelum dikirim, dan kami akan siap membantu apabila terdapat permasalahan. Kami sangat mengerti bahwa desain senter seperti ini tidak sebaik senter-senter produksi sekarang, sehingga harus sedikit bersabar dalam menyetel senter tersebut dan kami sangat siap membantu apabila terjadi permasalahan dengan senter yang kami kirim.
Spesifikasi
Merk : Tiger Head
Panjang : 17 cm
Diameter Kepala : 5 cm
Diameter Pegangan : 4 cm
Bahan : Heavy Chrome Plate
Warna Lampu : Kuning
Baterai : 2 buah ukuran D (tidak termasuk dalam paket)
#BisaOspek #ITBisa #Senter #NOS #Jadul #Ospek #FT300 #Klasik #Lampu #Cahaya #Kuning #Kabut #Tigerhead #Vintage #Lama #Classic #Besi #Logam
-----
Massa : 25 gram
Harga Grosir :
@20000
&gt;=25 @19500</t>
      </text>
    </comment>
    <comment authorId="0" ref="A188">
      <text>
        <t xml:space="preserve">**BisaElektronika oleh Information Technology Bisa! - ITBisa**
PENTING! Socket ini adalah Narrow, bukan Round Hole.
Socket IC DIP-8 Narrow adalah Socket yang digunakan sebagai tempat memasang IC DIP-8 atau IC yang mempunyai 8 kaki tipe DIP.
Socket ini biasanya disolder dengan rangkaian elektronika sehingga IC yang dipasang dapat ditarik-pasang secara bebas. Selain itu, apabila terjadi kerusakan IC, maka dapat dengan mudah diganti karena rangkaian tersolder dengan socket-nya, bukan IC-nya.
Spesifikasi
Type : IC Socket Adaptor Solder Type
Row to Row Distance : 7,62 mm
Length : 3,25 mm
Pitch : 2,54 mm
Banyak pin : 2x4 (8 Pin)
Tipe pin : DIP
#BisaElektronika #ITBisa #Socket #IC #DIP #8 #Pin #DIP8 #8DIP #2x4 #Narrow #2.54mm #Dudukan #2,54mm #Soket #DIP8 #8DIP #Integrated #Integrate #Circuit
-----
Massa : 2 gram
Harga Grosir : 
@300
&gt;=500 @290</t>
      </text>
    </comment>
    <comment authorId="0" ref="A122">
      <text>
        <t xml:space="preserve">**BisaOspek oleh Information Technology Bisa! - ITBisa**
PENTING! Bohlam ini mempunyai bentuk bulat, bukan runcing.
Bohlam Rapid E10 adalah lampu bohlam (bulb) atau lampu pijar yang sering digunakan sebagai lampu di senter terdahulu (sebelum ada LED). Bohlam ini mempunyai warna cahaya kuning.
Senter Lampu Kuning : 
https://www.bukalapak.com/p/elektronik/lampu-alat-penerangan/1tebvcn-jual-itbisa-senter-tiger-head-nos-jadul-ospek-ft300-klasik-lampu-cahaya-kuning-tembus-kabut-osjur-tigerhead-vintage-lama-classic-besi-stainless-logam
https://shopee.co.id/product/80492423/2287229388/
https://tokopedia.link/8qtRn6vbMX
Spesifikasi
Merk : Rapid
Jenis Lampu : Pijar
Diameter Bohlam : 11 mm
Panjang : 22,8 mm (ujung bohlam ke kaca)
Warna Cahaya : Kuning
Tegangan Operasi : 2,5 Volt
Arus Operasi : 0,3 A
#BisaOspek #ITBisa #Lampu #Senter #Bohlam #Kuning #Bulb #E10 #2.5V #Drat #Skrup #Kecil #Praktik #Praktek #Anak #Sekolah #2,5V #Screw</t>
      </text>
    </comment>
    <comment authorId="0" ref="A120">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52">
      <text>
        <t xml:space="preserve">**BisaElektronika by Information Technology Bisa! - ITBisa**
PENTING! IC ini BUKAN tipe SMD, sehingga dapat digunakan untuk PCB berlubang atau breadboard, dan mudah disolder.
Socket :
https://www.bukalapak.com/p/elektronik/komponen-elektronik/12cnd7v-jual-itbisa-socket-ic-dip-8-2x4-round-hole-soket-integrated-circuit-8-pin-kaki-lingkaran-dip8-8dip
https://tokopedia.link/VcMQW1YRoX
https://shopee.co.id/product/80492423/2287659492/
IC UA741CN DIP-8 adalah IC yang sering digunakan untuk rangkaian Operational Amplifier (penguat).
Contoh aplikasi IC 741 adalah Filter, Integrator, Diferensiator, Summer.
DIP-8 berarti IC tersebut mempunyai 8 buah kaki dengan tipe kaki Dual in-line package (DIP).
Spesifikasi
Tipe : UA741CN
Fungsi : Op-Amp, Filter
Tegangan Operasi : 5 V s.d. 15 V atau - 5 V s.d. - 15 V
Paket : DIP-8 (8 Kaki tipe Dual in-line package)
#BisaElektronika #ITBisa #IC #741 #UA741CN #DIP-8 #Op-Amp #Filter #Penguat #LPF #HPF #BPF #UA741 #OpAmp #DIP8 #8DIP #Integrated #Circuit
-----
Massa : 2 gram
Harga Grosir :
@1500
&gt;=100 @1450
&gt;=200 @1400</t>
      </text>
    </comment>
    <comment authorId="0" ref="A19">
      <text>
        <t xml:space="preserve">**BisaElektronika oleh Information Technology Bisa! - ITBisa**
PENTING! Arduino ini adalah clone, bukan produk original, MASIH TERSEGEL. HARGA SUDAH TERMASUK KABEL 30CM.
ITBisa mempunyai standar yang tinggi untuk pemilihan barang sehingga Arduino Clone yang disediakan mempunyai kualitas semirip mungkin dengan Arduino original.
Arduino SAJA :
https://www.bukalapak.com/p/elektronik/komponen-elektronik/1od0a25-jual-itbisa-arduino-uno-r3-ch340g-atmega328p-smd-only-clone-tanpa-usb-kabel-mikrokontroler-atmega328-no-cable-kloning-duplikat-microcontroller
https://shopee.co.id/product/80492423/2291018678/
https://tokopedia.link/8gHjKt0bPX
USB 50 cm SAJA : 
https://www.bukalapak.com/p/elektronik/komponen-elektronik/1omtkbs-jual-itbisa-kabel-usb-a-to-b-2-0-biru-50cm-arduino-uno-mega-printer-blue-data-cable-50-cm
https://shopee.co.id/product/80492423/2290935422/
https://tokopedia.link/0AOGEGzIPX
Arduino UNO R3 CH340G ATMega328P SMD adalah mikrokontroler berbasis mikroprosesor ATMega328P.
- UNO adalah jenis Arduino dengan 14 pin Input-Output (I/O).
- R3 adalah Revisi ke-3 dari Arduino UNO. Perlu diketahui desain Arduino selalu diupgrade secara berkala.
- CH340G adalah tipe USB to TTL (serial) yang digunakan pada Arduino produksi Cina. Untuk produksi Eropa dan Amerika menggunakan 16U2 atau FTDI.
- ATMega328P adalah mikroprosesor yang digunakan pada Arduino UNO.
- Surface Mount Device (SMD) adalah tipe devais yang dirangkai secara Surface Mount Device (SMT), yaitu teknologi memasang komponen elektronik secara langsung pada papan sirkuit.
Aplikasi Arduino banyak sekali, di antaranya sebagai kontrol motor, PID, pengolah data sensor, ataupun otak dari robotika.
Spesifikasi
Mikrokontroler : ATmega328P
Tegangan Operasi : 5 V
Input Tegangan (disarankan) : 7 - 12 V
Input Tegangan (batas) : 6 - 20 V
Banyak I/O Digital Pin : 14
Banyak Pin PWM : 6
Banyak Input Pin Analog : 6
Arus DC per I/O pin : 20 mA
Arus DC untuk Pin 3,3 V Pin : 50 mA
Memori Flash : 32 KB (ATmega328P) dengan 0,5 KB digunakan untuk bootloader
RAM Statis (SRAM) : 2 KB (ATmega328P)
EEPROM : 1 KB (ATmega328P)
Kecepatan Clock : 16 MHz
LED_BUILTIN : 13
Panjang : 68,6 mm
Lebar : 53,4 mm
#BisaElektronika #ITBisa #Arduino #UNO #R3 #CH340G #SMD #Clone #USB #Kabel #30CM #Cable #ATMega328P #Mikrokontroler #ATMega328 #Kloning #Duplikat #Microcontroller
-----
Massa : 100 gram
Harga Grosir :
@55000
&gt;=25 @52500</t>
      </text>
    </comment>
    <comment authorId="0" ref="A112">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75">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Male to Male (M-M)
Warna : bermacam-macam (tidak bisa memilih)
#BisaElektronika #ITBisa #Kabel #Jumper #Male #M-M #2.54mm #Merk #Dupont #Arduino #Breadboard #Buah #MM #Pin #2,54 #mm #2,54mm #10cm #Cable
-----
Massa : 25 gram
Harga Grosir :
@12500
&gt;=25 12.000</t>
      </text>
    </comment>
    <comment authorId="0" ref="A9">
      <text>
        <t xml:space="preserve">**BisaElektronika oleh Information Technology Bisa! - ITBisa**
PENTING! 7 segment ini adalah Common Anode. Untuk menyalakannya, bagian tengah segment dihubungkan ke VCC, dan bagian segmen yang akan dinyalakan dihubungkan ke GND.
7 Segment adalah komponen elektronik yang dapat digunakan untuk menampilkan angka dan huruf dalam bentuk segmen yang berjumlah tujuh buah.
7 segment dapat digunakan untuk jam digital atau menampilkan nilai pembacaan sensor.
7 segment ini mempunyai warna LED merah dengan ukuran 2,30 inci.
Spesifikasi
Tipe : Common Anode
Fungsi : LED Display, Jam Digital, Sensor
ABSOLUTE MAXIMUM RATINGS
Reverse Voltage : 5 V
Forward Current : 30 mA
Peak Forward Current : 150 mA
Power Dissipation : 100 mW per segment
Operating Temperature Range : -40°C s.d. +85°C
Storage Temperature Range : -40°C s.d. +85°C
#BisaElektronika #ITBisa #7 #Segment #CA #Common #Anoda #Merah #LED #Display #Jam #Digital #Masjid #7-Segment #Seven #HS23101BS #Red #Anode #2.3inch #1BIT
-----
Massa : 50 gram
Harga Grosir :
15000
&gt;=25 @14750</t>
      </text>
    </comment>
    <comment authorId="0" ref="A73">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Male to Feale (M-F)
Warna : bermacam-macam (tidak bisa memilih)
#BisaElektronika #ITBisa #Kabel #Jumper #Male #Female #M-F #2.54mm #Merk #Dupont #Arduino #Breadboard #MF #Pin #2,54 #mm #2,54mm #10cm #Cable
-----
Massa : 25 gram
Harga Grosir :
@12500
&gt;=25 12.000</t>
      </text>
    </comment>
    <comment authorId="0" ref="A7">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 authorId="0" ref="A71">
      <text>
        <t xml:space="preserve">**BisaElektronika oleh Information Technology Bisa! - ITBisa**
PENTING! Harga yang tertera adalah untuk 40 helai kabel.
Kabel jumper dupont adalah kabel yang sering digunakan pada rangkaian Arduino dan Breadboard.
Ujung kabel yang satu dapat dihubungkan ke Arduino atau Breadboard dan satunya lagi dapat dihubungkan ke sensor.
MM 10 cm :
https://www.bukalapak.com/p/elektronik/komponen-elektronik/vbuzpu-jual-itbisa-40pcs-kabel-jumper-10-cm-male-to-male-m-m-2-54-mm-merk-dupont-arduino-breadboard-40-pcs-buah-mm-m-m-pin-2-54mm-10cm-cable
https://shopee.co.id/product/80492423/2291050648/
https://tokopedia.link/fDxy44wMPX
MF 10 cm :
https://www.bukalapak.com/p/elektronik/komponen-elektronik/163beu6-jual-itbisa-40pcs-kabel-jumper-10-cm-male-to-female-m-f-2-54-mm-merk-dupont-arduino-breadboard-40-pcs-buah-mf-m-f-pin-2-54mm-10cm-cable
https://shopee.co.id/product/80492423/2291036855/
https://tokopedia.link/lo4oPZuMPX
FF 10 cm :
https://www.bukalapak.com/p/elektronik/komponen-elektronik/1p5d40c-jual-itbisa-40pcs-kabel-jumper-10-cm-female-to-female-f-f-2-54-mm-merk-dupont-arduino-breadboard-40-pcs-buah-ff-f-f-pin-2-54mm-10cm-cable
https://shopee.co.id/product/80492423/2287703561/
https://tokopedia.link/WY1D7tzMPX
Spesifikasi
Merk : Dupont
Ukuran : 10 cm
Pitch : 2,54 mm pin header
Jenis : Female to Female (F-F)
Warna : bermacam-macam (tidak bisa memilih)
#BisaElektronika #ITBisa #Kabel #Jumper #Female #F-F #2.54mm #Merk #Dupont #Arduino #Breadboard #Buah #FF #Pin #2,54 #mm #2,54mm #10cm #Cable
-----
Massa : 25 gram
Harga Grosir :
@12500
&gt;=25 12.000</t>
      </text>
    </comment>
    <comment authorId="0" ref="A5">
      <text>
        <t xml:space="preserve">**BisaElektronika oleh Information Technology Bisa! - ITBisa**
PENTING! 7 segment ini adalah Common Anode. Untuk menyalakannya, bagian tengah segment dihubungkan ke VCC, dan bagian segmen yang akan dinyalakan dihubungkan ke GND.
7 Segment adalah komponen elektronik yang dapat digunakan untuk menampilkan angka dan huruf dalam bentuk segmen yang berjumlah tujuh buah.
7 segment dapat digunakan untuk jam digital atau menampilkan nilai pembacaan sensor.
7 segment ini mempunyai warna LED merah dengan ukuran 2,30 inci.
Spesifikasi
Tipe : Common Anode
Fungsi : LED Display, Jam Digital, Sensor
ABSOLUTE MAXIMUM RATINGS
Reverse Voltage : 5 V
Forward Current : 30 mA
Peak Forward Current : 150 mA
Power Dissipation : 100 mW per segment
Operating Temperature Range : -40°C s.d. +85°C
Storage Temperature Range : -40°C s.d. +85°C
#BisaElektronika #ITBisa #7 #Segment #CA #Common #Anoda #Merah #LED #Display #Jam #Digital #Masjid #7-Segment #Seven #HS23101BS #Red #Anode #2.3inch #1BIT
-----
Massa : 50 gram
Harga Grosir :
15000
&gt;=25 @14750</t>
      </text>
    </comment>
    <comment authorId="0" ref="A197">
      <text>
        <t xml:space="preserve">**BisaOspek oleh Information Technology Bisa! - ITBisa**
PENTING! Harga BELUM termasuk 2xBaterai ukuran D, tetapi SUDAH termasuk Bohlam.
TIDAK MENERIMA PENGIRIMAN BATERAI KE LUAR PULAU JAWA (HANYA SENTER).
Baterai :
https://www.bukalapak.com/p/elektronik/baterai-681/zh6wvi-jual-itbisa-baterai-abc-super-power-1-5-v-size-d-hitam-senter-pompa-galon-batre-heavy-duty-jumbo-karbon-carbon-zinc-dr20p-tipe-d-r20p-besar-1-5-v-volt
https://shopee.co.id/product/80492423/2291101669/
https://tokopedia.link/cFFSwlnJeV
Bohlam Cadangan :
https://www.bukalapak.com/p/elektronik/lampu-alat-penerangan/1eyr70k-jual-itbisa-bohlam-senter-rapid-e10-2-5v-drat-lampu-2-5-v-bulb-screw-skrup-kecil-praktik-praktek-anak-sekolah
https://shopee.co.id/product/80492423/2291110329/
https://tokopedia.link/cbDFn9obMX
Senter Tiger Head FT300 adalah senter yang biasa digunakan ketika ospek.
Senter ini menggunakan lampu dengan cahaya kuning sehingga lebih mudah dilihat oleh mata manusia karena panjang gelombangnya lebih tinggi.
Senter ini terbuat dari stainless steel sehingga lebih awet dan tahan banting.
Senter ini adalah New Old Stock (NOS) sehingga desain yang dibuat adalah desain zaman dahulu. Permasalahan yang sering terjadi adalah senter kadang menyala kadang tidak. Senter ini mempunyai 3 titik penyebab tidak menyala
1. Bohlam
2. Kepala senter
3. Penutup baterai
Ketiga hal tersebut terkadang kurang kencang, sehingga membuat senter tidak menyala sebagaimana mestinya.
Solusinya adalah
1. Buka penutup baterai, masukkan baterai, kemudian tutup kembali. Pastikan sudah ditutup dengan kencang.
2. Buka kepala senter, kemudian kencangkan lampu bohlam pada senter tersebut. Pastikan bohlam kencang. Jika bohlam sudah terpasang dengan benar, bohlam akan menyala.
3. Jika bohlam sudah dikencangkan, pasang kembali kepala senter. Pastikan kembali kepala senter sudah kencang.
Senter bermasalah bukan berarti kami mengirim produk rusak. Produk selalu dites sebelum dikirim, dan kami akan siap membantu apabila terdapat permasalahan. Kami sangat mengerti bahwa desain senter seperti ini tidak sebaik senter-senter produksi sekarang, sehingga harus sedikit bersabar dalam menyetel senter tersebut dan kami sangat siap membantu apabila terjadi permasalahan dengan senter yang kami kirim.
Spesifikasi
Merk : Tiger Head
Panjang : 17 cm
Diameter Kepala : 5 cm
Diameter Pegangan : 4 cm
Bahan : Heavy Chrome Plate
Warna Lampu : Kuning
Baterai : 2 buah ukuran D (tidak termasuk dalam paket)
#BisaOspek #ITBisa #Senter #NOS #Jadul #Ospek #FT300 #Klasik #Lampu #Cahaya #Kuning #Kabut #Tigerhead #Vintage #Lama #Classic #Besi #Logam
-----
Massa : 25 gram
Harga Grosir :
@20000
&gt;=25 @19500</t>
      </text>
    </comment>
    <comment authorId="0" ref="A100">
      <text>
        <t xml:space="preserve">**BisaElektronika oleh Information Technology Bisa! - ITBisa**
PENTING! Transistor ini adalah tipe NPN, jangan sampai tertukar dengan PNP.
Transistor BJT NPN 2N2222A H331 adalah Transistor yang dapat digunakan untuk switching atau penguat (op-amp).
2N2222 dan 2N2222A hanya berbeda sedikit di spesifikasi arus dan tegangan, di mana pada kasus ekstrem, 2N2222A lebih tahan dibandingkan 2N2222. Tetapi untuk kasus-kasus normal, kedua tipe tersebut sama.
Salah satu aplikasi Transistor 2N2222A adalah lampu otomatis dan amplifier.
TO-92 adalah jenis packing untuk transistor, biasanya terbuat dari plastik atau epoxy.
H331 adalah kode transistor tersebut.
Spesifikasi
Tipe : 2N2222A
Fungsi : Switch, Penguat
Arus maksimum : 0,6 Ampere
Tegangan maksimum : 30 Volt
Paket : TO-92
#BisaElektronika #ITBisa #Transistor #BJT #NPN #2N2222 #2N2222A #H331 #Penguat #Switch #TO92 #0.6A #30V #Transistors #TO-92 #H-331 #30Volt #Volt
-----
Massa : 2 gram
Harga Grosir : 
@200
&gt;=250 @170</t>
      </text>
    </comment>
    <comment authorId="0" ref="A3">
      <text>
        <t xml:space="preserve">**BisaElektronika oleh Information Technology Bisa! - ITBisa**
PENTING! 7 segment ini adalah Common Cathode. Untuk menyalakannya, bagian tengah segment dihubungkan ke GND, dan bagian segmen yang akan dinyalakan dihubungkan ke VCC.
CA 0,56" :
https://www.bukalapak.com/p/elektronik/komponen-elektronik/10kygfi-jual-itbisa-7-segment-ca-common-anoda-0-56-inci-merah-1-bit-led-display-jam-digital-nilai-sensor-7-segment-seven-red-anode-0-56inch-inch-1bit
https://shopee.co.id/product/80492423/2291065530/
https://tokopedia.link/Cx1aV4jkpX
7 Segment adalah komponen elektronik yang dapat digunakan untuk menampilkan angka dan huruf dalam bentuk segmen yang berjumlah tujuh buah.
7 segment dapat digunakan untuk jam digital atau menampilkan nilai pembacaan sensor.
7 segment ini mempunyai warna LED merah dengan ukuran 0,56 inci.
Spesifikasi
Tipe : Common Cathode
Fungsi : LED Display, Jam Digital, Sensor
ABSOLUTE MAXIMUM RATINGS
Reverse Voltage : 5 V
Forward Current : 30 mA
Peak Forward Current : 120 mA
Power Dissipation : 80 mW per segment
Operating Temperature Range : -25°C s.d. +85°C
Storage Temperature Range : -30°C s.d. +85°C
#BisaElektronika #ITBisa #CC #Common #Katoda #0,56 #Inci #Merah #1 #Bit #LED #Display #Jam #Digital #Nilai #Sensor #7-Segment #Seven #Red #Cathode #0,56" #0.56" #0.56inch #1BIT
-----
Massa : 10 gram
Harga Grosir :
@1500
&gt;=200 @1450
&gt;=300 @1400</t>
      </text>
    </comment>
  </commentList>
</comments>
</file>

<file path=xl/sharedStrings.xml><?xml version="1.0" encoding="utf-8"?>
<sst xmlns="http://schemas.openxmlformats.org/spreadsheetml/2006/main" count="7401" uniqueCount="2035">
  <si>
    <t>Link</t>
  </si>
  <si>
    <t>Fungsi</t>
  </si>
  <si>
    <t>Menuliskan pembelian stok dari Kas ITBisa</t>
  </si>
  <si>
    <t>Menuliskan perlengkapan yang berhubungan dengan penjualan</t>
  </si>
  <si>
    <t>Menuliskan semua transaksi barang dari Bukalapak</t>
  </si>
  <si>
    <t>Menuliskan semua transaksi barang dari Tokopedia</t>
  </si>
  <si>
    <t>Pengiriman</t>
  </si>
  <si>
    <t>Pembelian</t>
  </si>
  <si>
    <t>Data Invoice</t>
  </si>
  <si>
    <t>USD</t>
  </si>
  <si>
    <t>Rp</t>
  </si>
  <si>
    <t>Penjualan</t>
  </si>
  <si>
    <t>SKU</t>
  </si>
  <si>
    <t>Tanggal
Bayar</t>
  </si>
  <si>
    <t>Tanggal
Sampai</t>
  </si>
  <si>
    <t>Alamat Pengiriman</t>
  </si>
  <si>
    <t>Luar
Negeri?</t>
  </si>
  <si>
    <t>Toko</t>
  </si>
  <si>
    <t>URL Beli</t>
  </si>
  <si>
    <t>Keterangan Pembelian</t>
  </si>
  <si>
    <t>Score
(0 - 5)</t>
  </si>
  <si>
    <t>Banyak Lot</t>
  </si>
  <si>
    <t>Pcs per Lot</t>
  </si>
  <si>
    <t>HPP per Lot
(USD)</t>
  </si>
  <si>
    <t>Ongkos Kirim
(USD)</t>
  </si>
  <si>
    <t>Diskon Barang
(USD)</t>
  </si>
  <si>
    <t>Diskon Ongkos Kirim
(USD)</t>
  </si>
  <si>
    <t>Konversi
USD
ke
Rupiah</t>
  </si>
  <si>
    <t>Harga
Online/
Dropshipper
(Rp)</t>
  </si>
  <si>
    <t>Harga
Offline
(Rp)</t>
  </si>
  <si>
    <t>Lain-Lain</t>
  </si>
  <si>
    <t>ITBISA-IC-LM741CN-DIP8</t>
  </si>
  <si>
    <t>KYAI KONTONG</t>
  </si>
  <si>
    <t>Migrasi - Shopee</t>
  </si>
  <si>
    <t>https://shopee.co.id/20pcs-IC-lm741c-lm741cn-DIP-8Pin-UA741CN-Amp-LM741-Amp-i.77214376.1434513222</t>
  </si>
  <si>
    <t>Shopee Furqonajiy 19050510476HUJK
( - ) Mahal
( + ) Untuk Testing Darurat Pesan
(?) setiap 10 buah diberi strefoam</t>
  </si>
  <si>
    <t>ITBISA-RESISTOR-470K-1/4W</t>
  </si>
  <si>
    <t>Migrasi - Tokopedia</t>
  </si>
  <si>
    <t>https://www.tokopedia.com/multigshop/1000-pcs-resistor-470k-1-4-watt</t>
  </si>
  <si>
    <t>Tokopedia Furqonajiy</t>
  </si>
  <si>
    <t>ITBISA-RESISTOR-56K-1/4W</t>
  </si>
  <si>
    <t>https://www.tokopedia.com/smartmm/resistor-1-4w-56k-1000biji</t>
  </si>
  <si>
    <t>ITBISA-RAPID-BOHLAM-E10-3.8V-SCREW</t>
  </si>
  <si>
    <t>https://www.tokopedia.com/evelinel/bohlam-e-10-bola-lampu-senter-drat-e10-rapid-isi-50-pcs-kotak?utm_source=whatsapp&amp;utm_medium=share&amp;utm_campaign=PDP-2644979-5342447705-301022-contextual_image</t>
  </si>
  <si>
    <t>ITBISA-7SEGMENT-CATHODE-RED-0.56-1BIT</t>
  </si>
  <si>
    <t>Migrasi - Jasa Impor Tiongkok</t>
  </si>
  <si>
    <t>Jasa Impor Tiongkok</t>
  </si>
  <si>
    <t>ITBISA-IC-UA741CN-DIP8</t>
  </si>
  <si>
    <t>Tokopedia Furqonajiy 1x Invoice</t>
  </si>
  <si>
    <t>ITBISA-7SEGMENT-CATHODE-RED-1.20-1BIT</t>
  </si>
  <si>
    <t>ITBISA-7SEGMENT-CATHODE-RED-2.30-1BIT</t>
  </si>
  <si>
    <t>Migrasi - Ocistok/Martkita</t>
  </si>
  <si>
    <t>Ocistok</t>
  </si>
  <si>
    <t>ITBISA-TIGERHEAD-SENTER-KUNING-FT300</t>
  </si>
  <si>
    <t>Shopee Aji</t>
  </si>
  <si>
    <t>ITBISA-LED-MAX7219-4IN1-GAP</t>
  </si>
  <si>
    <t>Migrasi - Art Techno</t>
  </si>
  <si>
    <t>Art Techno</t>
  </si>
  <si>
    <t>ITBISA-7SEGMENT-ANODE-RED-1.00-1BIT</t>
  </si>
  <si>
    <t>https://detail.1688.com/offer/678795685587.html</t>
  </si>
  <si>
    <t>MKT-63258 / 187963 (0.85 RMB)</t>
  </si>
  <si>
    <t>ITBISA-RESISTOR-33K-1/4W</t>
  </si>
  <si>
    <t>Shopee Aji GTGD</t>
  </si>
  <si>
    <t>ITBISA-NODEMCU-V3-CH340G-ESP8266-MICRO</t>
  </si>
  <si>
    <t>Tokopedia Hendang</t>
  </si>
  <si>
    <t>ITBISA-RAPID-BOHLAM-E10-2.5V-SCREW</t>
  </si>
  <si>
    <t>Shopee Aji 5E6M</t>
  </si>
  <si>
    <t>ITBISA-ABC-BATERAI-D-POWER</t>
  </si>
  <si>
    <t>SmartBrain Tokopedia</t>
  </si>
  <si>
    <t>ITBISA-SENSOR-SUHU-DHT11</t>
  </si>
  <si>
    <t>Shopee Anggi VMGV</t>
  </si>
  <si>
    <t>ITBISA-RESISTOR-4K7-1/4W</t>
  </si>
  <si>
    <t>STARVIS CCTV</t>
  </si>
  <si>
    <t>Shopee Aji QK45</t>
  </si>
  <si>
    <t>ITBISA-IC-ULN2803APG-DIP18</t>
  </si>
  <si>
    <t>Ocistok 205883</t>
  </si>
  <si>
    <t>ITBISA-IC-L7805CV-TO220</t>
  </si>
  <si>
    <t>SukiTech</t>
  </si>
  <si>
    <t>Shopee Aji F1PM</t>
  </si>
  <si>
    <t>ITBISA-IC-L7812CV-TO220</t>
  </si>
  <si>
    <t>GT Electronik</t>
  </si>
  <si>
    <t>Shopee Aji F9QB</t>
  </si>
  <si>
    <t>ITBISA-SOCKET-BATERAI-AA-4SLOT</t>
  </si>
  <si>
    <t>Rudy Perdana Electric</t>
  </si>
  <si>
    <t>Tokopedia Anggi 3524</t>
  </si>
  <si>
    <t>ITBISA-RELAY-12V-4PIN-BLUE</t>
  </si>
  <si>
    <t>https://detail.1688.com/offer/775368378784.html</t>
  </si>
  <si>
    <t>MKT-62468 / 217289 (0.58 RMB)</t>
  </si>
  <si>
    <t>ITBISA-RELAY-5V-4PIN-BLUE</t>
  </si>
  <si>
    <t>MKT-62469 / 217290 (0.58 RMB)</t>
  </si>
  <si>
    <t>ITBISA-SOCKET-IC-DIP20-NARROW</t>
  </si>
  <si>
    <t>HANABI_CCTV</t>
  </si>
  <si>
    <t>Shopee Aji 3XK4</t>
  </si>
  <si>
    <t>ITBISA-PIN-HEADER-MALE-1X40PIN-L-SAMA</t>
  </si>
  <si>
    <t>Socket Elco</t>
  </si>
  <si>
    <t>Shopee Aji 1TPY</t>
  </si>
  <si>
    <t>ITBISA-PIN-HEADER-MALE-1X40PIN-LURUS</t>
  </si>
  <si>
    <t>Marnov</t>
  </si>
  <si>
    <t>Tokopedia Anggi 9419</t>
  </si>
  <si>
    <t>ITBISA-RTC-DS3231M</t>
  </si>
  <si>
    <t>DX Tronics</t>
  </si>
  <si>
    <t>Shopee Aji YCED</t>
  </si>
  <si>
    <t>ITBISA-LED-SUPERBRIGHT-5MM-YELLOW</t>
  </si>
  <si>
    <t>Aisyah Arduino Jakarta</t>
  </si>
  <si>
    <t>Tokopedia Anggi 7558</t>
  </si>
  <si>
    <t>ITBISA-INFRARED-1838</t>
  </si>
  <si>
    <t>Golden Dream Official Shop</t>
  </si>
  <si>
    <t>Shopee Aji YWUT</t>
  </si>
  <si>
    <t>ITBISA-I2C-IIC-LCD</t>
  </si>
  <si>
    <t>Shopee Aji SR6N</t>
  </si>
  <si>
    <t>ITBISA-RFID-RC522-KIT</t>
  </si>
  <si>
    <t>Shopee Aji WTD3</t>
  </si>
  <si>
    <t>ITBISA-SENSOR-ULTRASONIK-HCSR04</t>
  </si>
  <si>
    <t>CNC Store Yogyakarta</t>
  </si>
  <si>
    <t>Shopee Aji 3436</t>
  </si>
  <si>
    <t>ITBISA-IDC-2X5-AMPHENOL-MALE</t>
  </si>
  <si>
    <t>Tokopedia Anggi 7146</t>
  </si>
  <si>
    <t>ITBISA-SOCKET-IC-DIP8-NARROW</t>
  </si>
  <si>
    <t>Namoe Shop</t>
  </si>
  <si>
    <t>ITBISA-BLUETOOTH-MODULE-HC05</t>
  </si>
  <si>
    <t>BM Electric Store</t>
  </si>
  <si>
    <t>Shopee Aji 3V0Y</t>
  </si>
  <si>
    <t>ITBISA-TERMINAL-BLOCK-KF301-2P-BLUE</t>
  </si>
  <si>
    <t>Shopee Anggi 5GGX</t>
  </si>
  <si>
    <t>ITBISA-JUMPER-MF-10CM</t>
  </si>
  <si>
    <t>Domino Audio Part</t>
  </si>
  <si>
    <t>Shopee Aji FYNY</t>
  </si>
  <si>
    <t>ITBISA-JUMPER-MM-10CM</t>
  </si>
  <si>
    <t>ITBISA-RESISTOR-220-1/4W</t>
  </si>
  <si>
    <t>TOP MM</t>
  </si>
  <si>
    <t>Shopee Aji 9AKC</t>
  </si>
  <si>
    <t>ITBISA-RESISTOR-270-1/4W</t>
  </si>
  <si>
    <t>ITBISA-JUMPER-FF-20CM</t>
  </si>
  <si>
    <t>Shopee Aji 548J</t>
  </si>
  <si>
    <t>ITBISA-LCD-16X2-GREEN</t>
  </si>
  <si>
    <t>I2C-Parts</t>
  </si>
  <si>
    <t>ITBISA-RELAY-5V-5PIN-BLUE</t>
  </si>
  <si>
    <t>Shopee Anggi H3SD</t>
  </si>
  <si>
    <t>ITBISA-SERVO-CHECKER</t>
  </si>
  <si>
    <t>Supreme ID</t>
  </si>
  <si>
    <t>Shopee Anggi H3SE</t>
  </si>
  <si>
    <t>ITBISA-LED-SUPERBRIGHT-5MM-WHITE</t>
  </si>
  <si>
    <t>Tokopedia Anggi 1931</t>
  </si>
  <si>
    <t>ITBISA-IC-ULN2003AN-DIP16</t>
  </si>
  <si>
    <t>Tokopedia Anggi 0212</t>
  </si>
  <si>
    <t>ITBISA-SERVO-SG90-360DEG</t>
  </si>
  <si>
    <t>Shopee Aji AXE7</t>
  </si>
  <si>
    <t>ITBISA-ABC-BATERAI-AA-ALKALINE</t>
  </si>
  <si>
    <t>Migrasi - PT Arta Boga</t>
  </si>
  <si>
    <t>PT Arta Boga</t>
  </si>
  <si>
    <t>ITBISA-JUMPER-FF-10CM</t>
  </si>
  <si>
    <t>Shopee Aji J0CM</t>
  </si>
  <si>
    <t>ITBISA-LED-MAX7219-4IN1-TIGHT</t>
  </si>
  <si>
    <t>Shopee Aji J0CP</t>
  </si>
  <si>
    <t>ITBISA-RTC-DS3231SN</t>
  </si>
  <si>
    <t>DT Production</t>
  </si>
  <si>
    <t>Shopee Aji R8P2</t>
  </si>
  <si>
    <t>ITBISA-RELAY-12V-5PIN-BLUE</t>
  </si>
  <si>
    <t>Shopee Anggi TNG2</t>
  </si>
  <si>
    <t>ITBISA-RESISTOR-100K-1/4W</t>
  </si>
  <si>
    <t>Stephany Abigail</t>
  </si>
  <si>
    <t>Shopee Aji YRD5</t>
  </si>
  <si>
    <t>ITBISA-RESISTOR-10K-1/4W</t>
  </si>
  <si>
    <t>ITBISA-RESISTOR-18K-1/4W</t>
  </si>
  <si>
    <t>ITBISA-RESISTOR-27K-1/4W</t>
  </si>
  <si>
    <t>ITBISA-RESISTOR-39K-1/4W</t>
  </si>
  <si>
    <t>ITBISA-RESISTOR-560-1/4W</t>
  </si>
  <si>
    <t>ITBISA-RESISTOR-5K6-1/4W</t>
  </si>
  <si>
    <t>ITBISA-RESISTOR-330-1/4W</t>
  </si>
  <si>
    <t>Global Diesel</t>
  </si>
  <si>
    <t>Shopee Aji 21P9</t>
  </si>
  <si>
    <t>ITBISA-BUZZER-ACTIVE-5V</t>
  </si>
  <si>
    <t>Shopee Aji 1EPE</t>
  </si>
  <si>
    <t>ITBISA-ABC-BATERAI-9V-POWER</t>
  </si>
  <si>
    <t>ITBISA-DC-TO-DC-STEPUP-XL6009</t>
  </si>
  <si>
    <t>Haven Store</t>
  </si>
  <si>
    <t>Shopee Aji YM7N</t>
  </si>
  <si>
    <t>ITBISA-IC-NE555P-DIP8</t>
  </si>
  <si>
    <t>https://detail.1688.com/offer/624513627642.html</t>
  </si>
  <si>
    <t>MKT-69381 / 282815 (0.10 RMB)</t>
  </si>
  <si>
    <t>ITBISA-7SEGMENT-ANODE-RED-1.20-1BIT</t>
  </si>
  <si>
    <t>Shiryu Store</t>
  </si>
  <si>
    <t>Shopee Aji 5XV6</t>
  </si>
  <si>
    <t>ITBISA-IC-ATMEGA328P-DIP28</t>
  </si>
  <si>
    <t>Shopee Aji UFG0</t>
  </si>
  <si>
    <t>ITBISA-SOCKET-IC-DIP16-NARROW</t>
  </si>
  <si>
    <t>Tokopedia Anggi 0587</t>
  </si>
  <si>
    <t>ITBISA-JUMPER-MF-20CM</t>
  </si>
  <si>
    <t>saturnindonesia</t>
  </si>
  <si>
    <t>Shopee Aji VHAS</t>
  </si>
  <si>
    <t>ITBISA-NPN-BC548-TO92</t>
  </si>
  <si>
    <t>EELIC</t>
  </si>
  <si>
    <t>Shopee Aji VHAR</t>
  </si>
  <si>
    <t>ITBISA-RESISTOR-150K-1/4W</t>
  </si>
  <si>
    <t>James Electro</t>
  </si>
  <si>
    <t>Tokopedia Anggi 0363</t>
  </si>
  <si>
    <t>ITBISA-RESISTOR-15K-1/4W</t>
  </si>
  <si>
    <t>ITBISA-RESISTOR-22K-1/4W</t>
  </si>
  <si>
    <t>ITBISA-RESISTOR-270K-1/4W</t>
  </si>
  <si>
    <t>ITBISA-RESISTOR-2K7-1/4W</t>
  </si>
  <si>
    <t>ITBISA-RESISTOR-390-1/4W</t>
  </si>
  <si>
    <t>ITBISA-DC-TO-DC-STEPDOWN-XL4015</t>
  </si>
  <si>
    <t>Gigatron Technology</t>
  </si>
  <si>
    <t>Shopee Aji 5P0A</t>
  </si>
  <si>
    <t>ITBISA-IDC-2X5-AMPHENOL-FEMALE</t>
  </si>
  <si>
    <t>Aisyah Arduino Store</t>
  </si>
  <si>
    <t>Tokopedia Anggi 6739</t>
  </si>
  <si>
    <t>ITBISA-DC-TO-DC-STEPDOWN-XL4005</t>
  </si>
  <si>
    <t>Shopee Aji UDWC</t>
  </si>
  <si>
    <t>ITBISA-IC-JRC4558D-DIP8</t>
  </si>
  <si>
    <t>Shopee Aji UDWD</t>
  </si>
  <si>
    <t>ITBISA-NPN-2N3904-TO92</t>
  </si>
  <si>
    <t>Shopee Aji 27PJ</t>
  </si>
  <si>
    <t>ITBISA-NPN-BC547-TO92</t>
  </si>
  <si>
    <t>ITBISA-NPN-S9013-TO92</t>
  </si>
  <si>
    <t>ITBISA-PNP-2N3906-TO92</t>
  </si>
  <si>
    <t>ITBISA-PNP-BC557-TO92</t>
  </si>
  <si>
    <t>ITBISA-PNP-S9012-TO92</t>
  </si>
  <si>
    <t>ITBISA-BREADBOARD-830HOLE-MB102</t>
  </si>
  <si>
    <t>Toko Aneka Teknik</t>
  </si>
  <si>
    <t>Shopee Aji VC57</t>
  </si>
  <si>
    <t>ITBISA-7SEGMENT-ANODE-RED-0.56-1BIT</t>
  </si>
  <si>
    <t>Ocistok/Martkita</t>
  </si>
  <si>
    <t>https://detail.1688.com/offer/554814591930.html</t>
  </si>
  <si>
    <t>MKT-127455 / 302176 (0.23 RMB)</t>
  </si>
  <si>
    <t>ITBISA-IC-74HC595N-DIP16</t>
  </si>
  <si>
    <t>https://detail.1688.com/offer/586404749466.html</t>
  </si>
  <si>
    <t>MKT-127456 / 302177 (0.21 RMB)</t>
  </si>
  <si>
    <t>ITBISA-IC-CD4017BE-DIP16</t>
  </si>
  <si>
    <t>https://detail.1688.com/offer/940169024033.html</t>
  </si>
  <si>
    <t>MKT-127457 / 302178 (0.25 RMB)</t>
  </si>
  <si>
    <t>ITBISA-IC-CD4094BE-DIP16</t>
  </si>
  <si>
    <t>https://detail.1688.com/offer/726967883494.html</t>
  </si>
  <si>
    <t>MKT-127458 / 302179 (0.34 RMB)</t>
  </si>
  <si>
    <t>ITBISA-PCB-5X7-COPPER-SINGLE-SIDE</t>
  </si>
  <si>
    <t>HAEBOT</t>
  </si>
  <si>
    <t>Shopee Aji UD5Y</t>
  </si>
  <si>
    <t>ITBISA-JACK-DC-005-FEMALE</t>
  </si>
  <si>
    <t>Shopee Aji 6DXE</t>
  </si>
  <si>
    <t>ITBISA-CHIP-ESP32-WROOM-ANTENNA</t>
  </si>
  <si>
    <t>BiTech Store</t>
  </si>
  <si>
    <t>Shopee Aji D536</t>
  </si>
  <si>
    <t>ITBISA-NPN-BC337-TO92</t>
  </si>
  <si>
    <t>Shopee Aji P365</t>
  </si>
  <si>
    <t>ITBISA-ARDUINO-UNO-R3-328P-SMD</t>
  </si>
  <si>
    <t>Spolap1991</t>
  </si>
  <si>
    <t>Shopee Aji P366</t>
  </si>
  <si>
    <t>ITBISA-USB-A-TO-B-30CM</t>
  </si>
  <si>
    <t>ITBISA-SERVO-SG90-180DEG</t>
  </si>
  <si>
    <t>RZA Electro</t>
  </si>
  <si>
    <t>Shopee Aji H0JQ</t>
  </si>
  <si>
    <t>ITBISA-CHIP-ESP8266-ESP12F</t>
  </si>
  <si>
    <t>Shopee Aji N61K</t>
  </si>
  <si>
    <t>ITBISA-LED-SUPERBRIGHT-5MM-GREEN</t>
  </si>
  <si>
    <t>Aisyah Arduino Bandung</t>
  </si>
  <si>
    <t>Tokopedia Anggi 5451</t>
  </si>
  <si>
    <t>ITBISA-KAPASITOR-ELCO-2200UF-25V</t>
  </si>
  <si>
    <t>NE Elektronik</t>
  </si>
  <si>
    <t>Shopee Aji XVM2</t>
  </si>
  <si>
    <t>ITBISA-NPN-2N2222-TO92</t>
  </si>
  <si>
    <t>Shopee Aji XVM1</t>
  </si>
  <si>
    <t>ITBISA-NPN-2N5551-TO92</t>
  </si>
  <si>
    <t>ITBISA-PNP-2N5401-TO92</t>
  </si>
  <si>
    <t>ITBISA-PNP-A1015-TO92</t>
  </si>
  <si>
    <t>ITBISA-PNP-BC558-TO92</t>
  </si>
  <si>
    <t>ITBISA-PNP-S8550-TO92</t>
  </si>
  <si>
    <t>ITBISA-RELAY-5V-1CHANNEL-BLUE-LOW-TRIGGER</t>
  </si>
  <si>
    <t>Shopee Aji XVM4</t>
  </si>
  <si>
    <t>ITBISA-SOCKET-IC-DIP14-NARROW</t>
  </si>
  <si>
    <t>Hayashi Indonesia</t>
  </si>
  <si>
    <t>Shopee Aji XVM3</t>
  </si>
  <si>
    <t>ITBISA-SOCKET-IC-DIP28-NARROW</t>
  </si>
  <si>
    <t>ITBISA-LED-SUPERBRIGHT-5MM-BLUE</t>
  </si>
  <si>
    <t>Tokopedia Anggi 8555</t>
  </si>
  <si>
    <t>ITBISA-LED-SUPERBRIGHT-5MM-RED</t>
  </si>
  <si>
    <t>ITBISA-RESISTOR-120K-1/4W</t>
  </si>
  <si>
    <t>Traktor Jaya Diesel</t>
  </si>
  <si>
    <t>Tokopedia Anggi 8379</t>
  </si>
  <si>
    <t>ITBISA-RESISTOR-12K-1/4W</t>
  </si>
  <si>
    <t>ITBISA-RESISTOR-1K-1/4W</t>
  </si>
  <si>
    <t>ITBISA-RESISTOR-1M-1/4W</t>
  </si>
  <si>
    <t>ITBISA-RESISTOR-2K2-1/4W</t>
  </si>
  <si>
    <t>Tokopedia Anggi 0699</t>
  </si>
  <si>
    <t>ITBISA-RESISTOR-3K3-1/4W</t>
  </si>
  <si>
    <t>ITBISA-RESISTOR-47K-1/4W</t>
  </si>
  <si>
    <t>ITBISA-RESISTOR-680K-1/4W</t>
  </si>
  <si>
    <t>ITBISA-RESISTOR-6K8-1/4W</t>
  </si>
  <si>
    <t>ITBISA-JUMPER-MM-20CM</t>
  </si>
  <si>
    <t>Rudy Perdana Electronic</t>
  </si>
  <si>
    <t>Tokopedia Anggi 2843</t>
  </si>
  <si>
    <t>ITBISA-IC-CD4094BM-SMD-SOP16</t>
  </si>
  <si>
    <t>Toko Puwei</t>
  </si>
  <si>
    <t>Tokopedia Anggi 9979</t>
  </si>
  <si>
    <t>ITBISA-ABC-BATERAI-AAA-ALKALINE</t>
  </si>
  <si>
    <t>ITBISA-IC-PC817-DIP4</t>
  </si>
  <si>
    <t>DN Tronic</t>
  </si>
  <si>
    <t>Shopee Aji NHDA</t>
  </si>
  <si>
    <t>ITBISA-LDR-GL5516</t>
  </si>
  <si>
    <t>Shopee Aji RGXD</t>
  </si>
  <si>
    <t>ITBISA-DC-TO-DC-STEPDOWN-LM2596</t>
  </si>
  <si>
    <t>Shopee Aji 4RD9</t>
  </si>
  <si>
    <t>ITBISA-LCD-16X2-BLUE</t>
  </si>
  <si>
    <t>Avicena Teknologi Indonesia</t>
  </si>
  <si>
    <t>Shopee Aji 4RD8</t>
  </si>
  <si>
    <t>ITBISA-CHIP-ESP32-WROOM</t>
  </si>
  <si>
    <t>Shopee Aji 2NRM</t>
  </si>
  <si>
    <t>ITBISA-WEMOS-D1-MINI-ESP8266</t>
  </si>
  <si>
    <t>IndoTechno New</t>
  </si>
  <si>
    <t>Shopee Aji VFX9</t>
  </si>
  <si>
    <t>ITBISA-BUBBLE-WRAP</t>
  </si>
  <si>
    <t>Migrasi - Migrasi</t>
  </si>
  <si>
    <t>Migrasi</t>
  </si>
  <si>
    <t>KERTASARI CIAMIS</t>
  </si>
  <si>
    <t>Shopee</t>
  </si>
  <si>
    <t>Shopee Aji 47MX</t>
  </si>
  <si>
    <t>Awalia Store</t>
  </si>
  <si>
    <t>Shopee Aji V92Q</t>
  </si>
  <si>
    <t>ARS AUDIO 226</t>
  </si>
  <si>
    <t>Shopee Aji NP55</t>
  </si>
  <si>
    <t>ITBISA-IC-74HC245N-DIP20</t>
  </si>
  <si>
    <t>https://detail.1688.com/offer/679786580432.html</t>
  </si>
  <si>
    <t>MKT-137391 / 319508</t>
  </si>
  <si>
    <t>MKT-137392 / 319509</t>
  </si>
  <si>
    <t>https://detail.1688.com/offer/575196879958.html</t>
  </si>
  <si>
    <t>MKT-137393 / 319510</t>
  </si>
  <si>
    <t>MKT-137394 / 319511</t>
  </si>
  <si>
    <t>Duta Part</t>
  </si>
  <si>
    <t>Shopee Aji HDC8</t>
  </si>
  <si>
    <t>Shopee Aji CSTS</t>
  </si>
  <si>
    <t>CNC Store Jogja</t>
  </si>
  <si>
    <t>Shopee Aji WYU3</t>
  </si>
  <si>
    <t>Shopee Aji SPUV</t>
  </si>
  <si>
    <t>DN TRONIC</t>
  </si>
  <si>
    <t>Shopee Anggi R9UK</t>
  </si>
  <si>
    <t>Shopee Aji SY6T</t>
  </si>
  <si>
    <t>Shopee Aji 7EPE</t>
  </si>
  <si>
    <t>Shopee Aji W1Y5</t>
  </si>
  <si>
    <t>EasyWare Electronics</t>
  </si>
  <si>
    <t>Shopee Anggi J2KB</t>
  </si>
  <si>
    <t>Shopee Aji XYJ2</t>
  </si>
  <si>
    <t>Shopee Aji 1A50</t>
  </si>
  <si>
    <t>Shopee Anggi</t>
  </si>
  <si>
    <t>Shopee Anggi 179Q</t>
  </si>
  <si>
    <t>Xumo Store</t>
  </si>
  <si>
    <t>Shopee Aji NQAM</t>
  </si>
  <si>
    <t>Shopee Aji NQAK</t>
  </si>
  <si>
    <t>Toko Golden Dream</t>
  </si>
  <si>
    <t>Shopee Anggi AYP6</t>
  </si>
  <si>
    <t>Shopee Aji PW65</t>
  </si>
  <si>
    <t>Vision Tech</t>
  </si>
  <si>
    <t>Shopee Aji ASMJ</t>
  </si>
  <si>
    <t>Shopee Aji NHU3</t>
  </si>
  <si>
    <t>Shopee Aji NRPF</t>
  </si>
  <si>
    <t>Shopee Aji AM7N</t>
  </si>
  <si>
    <t>Shopee Aji 2F7X</t>
  </si>
  <si>
    <t>Shopee Aji JC1F</t>
  </si>
  <si>
    <t>DA Seller 17</t>
  </si>
  <si>
    <t>Shopee Aji 977P</t>
  </si>
  <si>
    <t>Toko Mitra Abadi Official</t>
  </si>
  <si>
    <t>Shopee Aji 977M</t>
  </si>
  <si>
    <t>GROWTEC</t>
  </si>
  <si>
    <t>Shopee Aji 977N</t>
  </si>
  <si>
    <t>Shopee Anggi 0Y3Q</t>
  </si>
  <si>
    <t>Shopee Anggi 0Y3P</t>
  </si>
  <si>
    <t>dcms.store</t>
  </si>
  <si>
    <t>Shopee Aji 260421D3A5KBN3</t>
  </si>
  <si>
    <t>aisyahsyakilaafsheen</t>
  </si>
  <si>
    <t>Shopee Aji 260423HR76N68R</t>
  </si>
  <si>
    <t>Shopee Aji 260425NTF033G4</t>
  </si>
  <si>
    <t>4rduinonan0</t>
  </si>
  <si>
    <t>Shopee Aji 260425NTF033G3</t>
  </si>
  <si>
    <t>aisyah shakila afsheen</t>
  </si>
  <si>
    <t>Shopee Aji 260505HUTR2945</t>
  </si>
  <si>
    <t>DX-Tronics</t>
  </si>
  <si>
    <t>Shopee Aji 260505HUTR2942</t>
  </si>
  <si>
    <t>XUMO STORE</t>
  </si>
  <si>
    <t>Shopee Aji 260505HUTR2943</t>
  </si>
  <si>
    <t>https://detail.1688.com/offer/966411176889.html</t>
  </si>
  <si>
    <t>MKT-145981 / 335604</t>
  </si>
  <si>
    <t>MKT-145982 / 335605</t>
  </si>
  <si>
    <t>ITBISA-POTENSIO-WH148-B10K-15MM</t>
  </si>
  <si>
    <t>https://detail.1688.com/offer/1258284723.html</t>
  </si>
  <si>
    <t>MKT-145983 / 335606</t>
  </si>
  <si>
    <t>https://detail.1688.com/offer/714453066015.html</t>
  </si>
  <si>
    <t>MKT-145984 / 335607</t>
  </si>
  <si>
    <t>ITBISA-7SEGMENT-ANODE-RED-2.30-1BIT</t>
  </si>
  <si>
    <t>namoe shop</t>
  </si>
  <si>
    <t>Shopee Aji 26051279QKQD4V</t>
  </si>
  <si>
    <t>ICHIBOT STORE</t>
  </si>
  <si>
    <t>Shopee Aji 260516HVJAF930</t>
  </si>
  <si>
    <t>ITBISA-KAPASITOR-ELCO-47UF-50V</t>
  </si>
  <si>
    <t>Shopee Aji 260516HVJAE93P</t>
  </si>
  <si>
    <t>ITBISA-KAPASITOR-ELCO-100UF-25V</t>
  </si>
  <si>
    <t>ITBISA-DIODA-1N4007-DO41</t>
  </si>
  <si>
    <t>Shopee Aji 260518NT1PTFB9</t>
  </si>
  <si>
    <t>ElectricalmartID</t>
  </si>
  <si>
    <t>Shopee Aji 260520USV17BBX</t>
  </si>
  <si>
    <t>Shopee Aji 260520USYSCCJM</t>
  </si>
  <si>
    <t>ecommerceemart</t>
  </si>
  <si>
    <t>Shopee Aji 260520UT2PSXG8</t>
  </si>
  <si>
    <t>Shopee Aji 260525B1V6VMDE</t>
  </si>
  <si>
    <t>https://detail.1688.com/offer/1010760289214.html</t>
  </si>
  <si>
    <t>MKT-147173 / 338764</t>
  </si>
  <si>
    <t>MKT-147174 / 338765</t>
  </si>
  <si>
    <t>ITBISA-RELAY-24V-5PIN-BLUE</t>
  </si>
  <si>
    <t>ITBISA-RELAY-24V-4PIN-BLUE</t>
  </si>
  <si>
    <t>Starlectric</t>
  </si>
  <si>
    <t>Shopee Aji 2606167HD513P8</t>
  </si>
  <si>
    <t>Shopee Aji 26061300ND0FTY</t>
  </si>
  <si>
    <t>Tanggal
Pengecekan
Kehilangan</t>
  </si>
  <si>
    <t>Banyak
Ketemu</t>
  </si>
  <si>
    <t>Nilai
Ketemu</t>
  </si>
  <si>
    <t>Banyak
Hilang</t>
  </si>
  <si>
    <t>Nilai
Hilang</t>
  </si>
  <si>
    <t>Lokasi Gudang</t>
  </si>
  <si>
    <t>Keterangan</t>
  </si>
  <si>
    <t>Stock opname 2026-06-25 (hitung fisik Shopee+TikTok)</t>
  </si>
  <si>
    <t>Harga
Impor
Barang
(Rupiah)</t>
  </si>
  <si>
    <t>Harga
Impor
Barang
(USD)</t>
  </si>
  <si>
    <t>Tanggal Pesan Terakhir</t>
  </si>
  <si>
    <t>HPP
Terakhir</t>
  </si>
  <si>
    <t>HPP Belum Terjual</t>
  </si>
  <si>
    <t>Total
Stok</t>
  </si>
  <si>
    <t>1/2
Total
Stok</t>
  </si>
  <si>
    <t>1/3
Total
Stok</t>
  </si>
  <si>
    <t>40%
Total
Stok</t>
  </si>
  <si>
    <t>20%
Total
Stok</t>
  </si>
  <si>
    <t>Tanggal</t>
  </si>
  <si>
    <t>Lokasi
Penambahan
Barang</t>
  </si>
  <si>
    <t>Lokasi
Pengurangan
Barang</t>
  </si>
  <si>
    <t>Banyak Barang</t>
  </si>
  <si>
    <t>Kata Kunci Utama</t>
  </si>
  <si>
    <t>Jenis
Barang</t>
  </si>
  <si>
    <t>Keterangan
Barang
(Ukuran, Warna)</t>
  </si>
  <si>
    <t>Fungsi
Barang
(Opsional)</t>
  </si>
  <si>
    <t>Typo</t>
  </si>
  <si>
    <t>BisaDivisi</t>
  </si>
  <si>
    <t>Massa (g)</t>
  </si>
  <si>
    <t>Tagar</t>
  </si>
  <si>
    <t>Link Bukalapak</t>
  </si>
  <si>
    <t>Link Tokopedia</t>
  </si>
  <si>
    <t>Link Shopee</t>
  </si>
  <si>
    <t>Seven 7 Segment</t>
  </si>
  <si>
    <t>CA Common Anode</t>
  </si>
  <si>
    <t>0.56 Inch Red 1BIT</t>
  </si>
  <si>
    <t>LED Merah Display Jam Digital Nilai Sensor</t>
  </si>
  <si>
    <t>7-Segment Anoda 0,56" Inci 0.56" 0.56inch 1 BIT</t>
  </si>
  <si>
    <t>BisaElektronika - BisaSegment</t>
  </si>
  <si>
    <t>#ITBisa #BisaElektronika #BisaSegment #7Segment #Segment #CA #CC #Anode #Cathode #0.56 #LED #1BIT #Red #Arduino #Counter #Digital #IC #Mikrokontroler #Timer #Clock</t>
  </si>
  <si>
    <t>ITBisa - Seven 7 Segment CA Common Anode 0.56 Inch Red 1BIT LED Merah Display Jam Digital Nilai Sensor 7-Segment Anoda 0,56" Inci 0.56" 0.56inch 1 BIT</t>
  </si>
  <si>
    <t xml:space="preserve">ITBisa - Seven 7 Segment CA Common Anode 0.56 Inch Red 1BIT LED Merah </t>
  </si>
  <si>
    <t>https://www.bukalapak.com/p/elektronik/komponen-elektronik/12cm7sr-jual-itbisa-7-segment-cc-common-katoda-0-56-inci-merah-1-bit-led-display-jam-digital-nilai-sensor-7-segment-seven-red-cathode-0-56inch-inch-1bit</t>
  </si>
  <si>
    <t>https://tokopedia.com/itbisa/itbisa-seven-7-segment-cc-common-cathode-0-56-inch-red-1bit-merah</t>
  </si>
  <si>
    <t>1 Inch Red 1BIT</t>
  </si>
  <si>
    <t>7-Segment Anoda 1" Inch 1inch BIT</t>
  </si>
  <si>
    <t>ITBisa - Seven 7 Segment CA Common Anode 1 Inch Red 1BIT LED Merah Display Jam Digital Nilai Sensor 7-Segment Anoda 1" Inch 1inch BIT</t>
  </si>
  <si>
    <t>ITBisa - Seven 7 Segment CA Common Anode 1 Inch Red 1BIT LED Merah Dis</t>
  </si>
  <si>
    <t>https://www.bukalapak.com/p/elektronik/komponen-elektronik/12cn11o-jual-itbisa-ic-ua741cn-dip-8-op-amp-filter-penguat-lpf-hpf-bpf-integrated-circuit-ua-741-ua741-op-amp-opamp-8-pin-kaki-dip8-8dip</t>
  </si>
  <si>
    <t>1.2 Inch Red 1BIT</t>
  </si>
  <si>
    <t>7-Segment Anoda 1,2" Inci 1.2" 1.2inch 1 BIT</t>
  </si>
  <si>
    <t>ITBisa - Seven 7 Segment CA Common Anode 1.2 Inch Red 1BIT LED Merah Display Jam Digital Nilai Sensor 7-Segment Anoda 1,2" Inci 1.2" 1.2inch 1 BIT</t>
  </si>
  <si>
    <t>ITBisa - Seven 7 Segment CA Common Anode 1.2 Inch Red 1BIT LED Merah D</t>
  </si>
  <si>
    <t>HS 23101 BS CA Anode Jam Masjid</t>
  </si>
  <si>
    <t>2.30 Inch Red 1BIT</t>
  </si>
  <si>
    <t>LED Display Digital</t>
  </si>
  <si>
    <t>7-Segment Anoda 2,3" Inci 2.3" 2.3inch 1 BIT</t>
  </si>
  <si>
    <t>ITBisa - Seven 7 Segment HS 23101 BS CA Anode Jam Masjid 2.30 Inch Red 1BIT LED Display Digital 7-Segment Anoda 2,3" Inci 2.3" 2.3inch 1 BIT</t>
  </si>
  <si>
    <t>ITBisa - Seven 7 Segment HS 23101 BS CA Anode Jam Masjid 2.30 Inch Red</t>
  </si>
  <si>
    <t>CC Common Cathode</t>
  </si>
  <si>
    <t>7-Segment Katoda 0,56" Inci 0.56" 0.56inch 1 BIT</t>
  </si>
  <si>
    <t>ITBisa - Seven 7 Segment CC Common Cathode 0.56 Inch Red 1BIT LED Merah Display Jam Digital Nilai Sensor 7-Segment Katoda 0,56" Inci 0.56" 0.56inch 1 BIT</t>
  </si>
  <si>
    <t>ITBisa - Seven 7 Segment CC Common Cathode 0.56 Inch Red 1BIT LED Mera</t>
  </si>
  <si>
    <t xml:space="preserve">ITBisa - Seven 7 Segment CC Common Cathode 0.56 Inch Red 1BIT LED Merah Display Jam Digital Nilai Sensor 7-Segment Katoda 0,56" Inci 0.56" 0.56inch 1 </t>
  </si>
  <si>
    <t>ITBISA-7SEGMENT-CATHODE-RED-1.00-1BIT</t>
  </si>
  <si>
    <t>7-Segment Katoda 1" Inch 1inch BIT</t>
  </si>
  <si>
    <t>ITBisa - Seven 7 Segment CC Common Cathode 1 Inch Red 1BIT LED Merah Display Jam Digital Nilai Sensor 7-Segment Katoda 1" Inch 1inch BIT</t>
  </si>
  <si>
    <t>ITBisa - Seven 7 Segment CC Common Cathode 1 Inch Red 1BIT LED Merah D</t>
  </si>
  <si>
    <t>7-Segment Katoda 1,2" Inci 1.2" 1.2inch 1 BIT</t>
  </si>
  <si>
    <t>ITBisa - Seven 7 Segment CC Common Cathode 1.2 Inch Red 1BIT LED Merah Display Jam Digital Nilai Sensor 7-Segment Katoda 1,2" Inci 1.2" 1.2inch 1 BIT</t>
  </si>
  <si>
    <t>ITBisa - Seven 7 Segment CC Common Cathode 1.2 Inch Red 1BIT LED Merah</t>
  </si>
  <si>
    <t>ITBISA-ABC-BATERAI-9V-ALKALINE</t>
  </si>
  <si>
    <t>ITBISA-ABC-BATERAI-D-ALKALINE</t>
  </si>
  <si>
    <t>ITBISA-ABC-BATERAI-D-BIRU</t>
  </si>
  <si>
    <t>Baterai ABC</t>
  </si>
  <si>
    <t>Standar 1,5 V</t>
  </si>
  <si>
    <t>Size D Biru</t>
  </si>
  <si>
    <t>Batre Biasa 1,5V 1.5V 1.5 Volt Ukuran D Warna Blue</t>
  </si>
  <si>
    <t>BisaOspek</t>
  </si>
  <si>
    <t>#ITBisa #BisaOspek #BisaBaterai #Ospek #Baterai #ABC #D #Size #1.5V #Volt #Senter #Big #Jumbo #Power #Alkaline #Carbon #Zinc #Karbon #Galon #Jumbo</t>
  </si>
  <si>
    <t>ITBisa - Baterai ABC Standar 1,5 V Size D Biru Batre Biasa 1,5V 1.5V 1.5 Volt Ukuran D Warna Blue</t>
  </si>
  <si>
    <t>ITBisa - Baterai ABC Standar 1,5 V Size D Biru Batre Biasa 1,5V 1.5V 1</t>
  </si>
  <si>
    <t>Baterai ABC Size D</t>
  </si>
  <si>
    <t>Super Power Heavy Duty DR20P</t>
  </si>
  <si>
    <t>1.5V Jumbo Carbon Zinc Hitam</t>
  </si>
  <si>
    <t>Senter Pompa Galon</t>
  </si>
  <si>
    <t>Batre Jumbo Karbon Tipe D R20P Besar 1,5V 1.5V 1.5 Volt Type Ukuran D Warna Black</t>
  </si>
  <si>
    <t>ITBisa - Baterai ABC Size D Super Power Heavy Duty DR20P 1.5V Jumbo Carbon Zinc Hitam Senter Pompa Galon Batre Jumbo Karbon Tipe D R20P Besar 1,5V 1.5V 1.5 Volt Type Ukuran D Warna Black</t>
  </si>
  <si>
    <t>ITBisa - Baterai ABC Size D Super Power Heavy Duty DR20P 1.5V Jumbo Ca</t>
  </si>
  <si>
    <t>ITBisa - Baterai ABC Size D Super Power Heavy Duty DR20P 1.5V Jumbo Carbon Zinc Hitam Senter Pompa Galon Batre Jumbo Karbon Tipe D R20P Besar 1,5V 1.5</t>
  </si>
  <si>
    <t>ITBISA-ABC-SENTER-LED-ALKALINE</t>
  </si>
  <si>
    <t>Senter ABC Alkaline</t>
  </si>
  <si>
    <t>LED Multifungsi</t>
  </si>
  <si>
    <t xml:space="preserve">Emergency Light </t>
  </si>
  <si>
    <t>Multifunction LED Lights</t>
  </si>
  <si>
    <t>BisaSenter</t>
  </si>
  <si>
    <t>#ITBisa #BisaOspek #BisaSenter #Ospek #Baterai #ABC #AAA</t>
  </si>
  <si>
    <t>ITBisa - Senter ABC Alkaline LED Multifungsi Emergency Light Multifunction LED Lights</t>
  </si>
  <si>
    <t>ITBisa - Senter ABC Alkaline LED Multifungsi Emergency Light Multifunc</t>
  </si>
  <si>
    <t>https://www.bukalapak.com/p/elektronik/komponen-elektronik/163beu6-jual-itbisa-40pcs-kabel-jumper-10-cm-male-to-female-m-f-2-54-mm-merk-dupont-arduino-breadboard-40-pcs-buah-mf-m-f-pin-2-54mm-10cm-cable</t>
  </si>
  <si>
    <t>https://www.tokopedia.com/itbisa/itbisa-40pcs-kabel-jumper-10-cm-male-to-female-m-f-2-54-mm-mf-10cm</t>
  </si>
  <si>
    <t>https://shopee.co.id/product/80492423/2291036855/</t>
  </si>
  <si>
    <t>Arduino</t>
  </si>
  <si>
    <t>UNO R3 CH340G SMD ATMega328P</t>
  </si>
  <si>
    <t>Clone Only No Cable</t>
  </si>
  <si>
    <t>Mikrokontroler</t>
  </si>
  <si>
    <t xml:space="preserve">Tanpa Kabel USB ATMega328 AT Mega Kloning Duplikat Microcontroller </t>
  </si>
  <si>
    <t>BisaElektronika</t>
  </si>
  <si>
    <t>ITBisa - Arduino UNO R3 CH340G SMD ATMega328P Clone Only No Cable Mikrokontroler Tanpa Kabel USB ATMega328 AT Mega Kloning Duplikat Microcontroller</t>
  </si>
  <si>
    <t>ITBisa - Arduino UNO R3 CH340G SMD ATMega328P Clone Only No Cable Mikr</t>
  </si>
  <si>
    <t>https://www.bukalapak.com/p/elektronik/komponen-elektronik/1b2qbb9-jual-itbisa-transistor-bjt-npn-2n2222a-h331-to92-0-6a-30v-penguat-switch-transistors-2n2222-2n-2222-a-to-92-h-331-0-6-op-amp-switching-30-v-30volt</t>
  </si>
  <si>
    <t>https://www.tokopedia.com/itbisa/itbisa-transistor-bjt-npn-2n2222-a-2n2222a-h331-penguat-switch-to92</t>
  </si>
  <si>
    <t>https://shopee.co.id/product/80492423/2291143520/</t>
  </si>
  <si>
    <t>ITBISA-ARDUINO-UNO-R3-CLONE-CABLE30CM</t>
  </si>
  <si>
    <t>UNO R3 CH340G SMD</t>
  </si>
  <si>
    <t xml:space="preserve">Clone Plus + USB Kabel 30CM Cable 30 CM ATMega328P </t>
  </si>
  <si>
    <t>ATMega328 AT Mega 328 P + Cable Kloning Duplikat Microcontroller</t>
  </si>
  <si>
    <t>ITBisa - Arduino UNO R3 CH340G SMD Clone Plus + USB Kabel 30CM Cable 30 CM ATMega328P Mikrokontroler ATMega328 AT Mega 328 P + Cable Kloning Duplikat Microcontroller</t>
  </si>
  <si>
    <t>ITBisa - Arduino UNO R3 CH340G SMD Clone Plus + USB Kabel 30CM Cable 3</t>
  </si>
  <si>
    <t xml:space="preserve">ITBisa - Arduino UNO R3 CH340G SMD Clone Plus + USB Kabel 30CM Cable 30 CM ATMega328P Mikrokontroler ATMega328 AT Mega 328 P + Cable Kloning Duplikat </t>
  </si>
  <si>
    <t>ITBISA-ARDUINO-UNO-R3-CLONE-CABLE50CM</t>
  </si>
  <si>
    <t>UNO R3 CH340G ATMega328P SMD</t>
  </si>
  <si>
    <t>Clone Plus USB Kabel 50CM</t>
  </si>
  <si>
    <t xml:space="preserve">ATMega328 AT Mega 328 P + Cable 50 cm Kloning Duplikat Microcontroller </t>
  </si>
  <si>
    <t>ITBisa - Arduino UNO R3 CH340G ATMega328P SMD Clone Plus USB Kabel 50CM Mikrokontroler ATMega328 AT Mega 328 P + Cable 50 cm Kloning Duplikat Microcontroller</t>
  </si>
  <si>
    <t>ITBisa - Arduino UNO R3 CH340G ATMega328P SMD Clone Plus USB Kabel 50C</t>
  </si>
  <si>
    <t>ITBisa - Arduino UNO R3 CH340G ATMega328P SMD Clone Plus USB Kabel 50CM Mikrokontroler ATMega328 AT Mega 328 P + Cable 50 cm Kloning Duplikat Microcon</t>
  </si>
  <si>
    <t>ITBISA-BUKAEMAS</t>
  </si>
  <si>
    <t>ITBISA-BUKAREKSA-BAHANA-MES-SYARIAH</t>
  </si>
  <si>
    <t>https://www.bukalapak.com/p/elektronik/komponen-elektronik/1p5d40c-jual-itbisa-40pcs-kabel-jumper-10-cm-female-to-female-f-f-2-54-mm-merk-dupont-arduino-breadboard-40-pcs-buah-ff-f-f-pin-2-54mm-10cm-cable</t>
  </si>
  <si>
    <t>https://www.tokopedia.com/itbisa/itbisa-40pcs-kabel-jumper-10-cm-female-to-female-f-f-2-54-mm-ff-10cm</t>
  </si>
  <si>
    <t>https://shopee.co.id/product/80492423/2287703561/</t>
  </si>
  <si>
    <t>ITBISA-BUKAREKSA-CIMB-PRINCIPAL-PASAR-UANG</t>
  </si>
  <si>
    <t>https://www.bukalapak.com/p/elektronik/komponen-elektronik/2aposh9-jual-itbisa-socket-ic-dip-8-2x4-narrow-soket-integrated-circuit-8-pin-kaki-lubang-datar-dip8-8dip</t>
  </si>
  <si>
    <t>https://tokopedia.com/itbisa/itbisa-socket-ic-dip-8-2x4-narrow-soket-dip8-8dip-8-dip-pin-kaki</t>
  </si>
  <si>
    <t>https://shopee.co.id/product/80492423/2287659492/</t>
  </si>
  <si>
    <t>ITBISA-BUKAREKSA-CIPTA-SYARIAH-BALANCE</t>
  </si>
  <si>
    <t>ITBISA-BUKAREKSA-MANDIRI-INVESTA-DANA-SYARIAH</t>
  </si>
  <si>
    <t>ITBISA-BUKAREKSA-MANDIRI-INVESTA-PASAR-UANG</t>
  </si>
  <si>
    <t>ITBISA-BUKAREKSA-SUCORINVEST-SHARIA-EQUITY-FUND</t>
  </si>
  <si>
    <t>https://www.bukalapak.com/p/elektronik/komponen-elektronik/3ge7cl1-jual-itbisa-socket-ic-dip16-2x8-narrow-dip-16-pin-16p-soket-dip-16-2-54mm-2-54-mm-dudukan-16-lubang-16-dip-integrated-integrate-circuit-2-x-8-8x2-8-x-2</t>
  </si>
  <si>
    <t>https://tokopedia.com/itbisa/itbisa-socket-ic-dip16-2x8-narrow-dip-16-pin-16p-soket-dip-16-2-54mm</t>
  </si>
  <si>
    <t>ITBISA-BUKAREKSA-SYARIAH-MANDIRI-PASAR-UANG</t>
  </si>
  <si>
    <t>https://www.bukalapak.com/p/elektronik/komponen-elektronik/3t18497-jual-itbisa-40pcs-kabel-jumper-20-cm-male-to-male-m-m-mm-m-m-2-54mm-arduino-breadboard-40-pcs-20cm-buah-pin-2-54-mm-wire-cable-rainbow-pelangi-sensor</t>
  </si>
  <si>
    <t>https://tokopedia.com/itbisa/itbisa-40pcs-kabel-jumper-20-cm-male-to-male-m-m-2-54-mm-mm-m-m-20cm</t>
  </si>
  <si>
    <t>https://shopee.co.id/product/80492423/4855244491/</t>
  </si>
  <si>
    <t>https://www.bukalapak.com/p/elektronik/komponen-elektronik/3t187p8-jual-itbisa-40pcs-kabel-jumper-20-cm-female-to-female-f-f-ff-f-f-2-54mm-arduino-breadboard-40-pcs-20cm-buah-pin-2-54-mm-wire-cable-rainbow-pelangi-sensor</t>
  </si>
  <si>
    <t>https://www.tokopedia.com/itbisa/itbisa-40pcs-kabel-jumper-20-cm-female-to-female-f-f-2-54-mm-ff-20cm</t>
  </si>
  <si>
    <t>https://shopee.co.id/product/80492423/5655241072/</t>
  </si>
  <si>
    <t>https://www.bukalapak.com/p/elektronik/komponen-elektronik/vbuzpu-jual-itbisa-40pcs-kabel-jumper-10-cm-male-to-male-m-m-2-54-mm-merk-dupont-arduino-breadboard-40-pcs-buah-mm-m-m-pin-2-54mm-10cm-cable</t>
  </si>
  <si>
    <t>https://www.tokopedia.com/itbisa/itbisa-40pcs-kabel-jumper-10-cm-male-to-male-m-m-2-54-mm-mm-m-m-10cm</t>
  </si>
  <si>
    <t>https://shopee.co.id/product/80492423/2291050648/</t>
  </si>
  <si>
    <t>ITBISA-CORSAIR-VENGEANCE-K66</t>
  </si>
  <si>
    <t>https://www.tokopedia.com/itbisa/itbisa-seven-7-segment-ca-common-anode-0-56-inch-red-1bit-led-merah</t>
  </si>
  <si>
    <t>ITBISA-EMLOCK-ACM-Y180</t>
  </si>
  <si>
    <t>https://tokopedia.com/itbisa/itbisa-baterai-abc-super-power-1-5-v-volt-size-d-hitam-carbon-zinc</t>
  </si>
  <si>
    <t>ITBISA-EPSON-L310</t>
  </si>
  <si>
    <t>ITBISA-IC-4N35-DIP6-BLACK</t>
  </si>
  <si>
    <t>IC 4N35</t>
  </si>
  <si>
    <t>DIP-6</t>
  </si>
  <si>
    <t>Black</t>
  </si>
  <si>
    <t>Optocoupler Photocoupler</t>
  </si>
  <si>
    <t>Phototransistor Optotransistor Putih DIP6 6DIP 6 Pin Kaki</t>
  </si>
  <si>
    <t>BisaElektronika - BisaIC</t>
  </si>
  <si>
    <t>#ITBisa #BisaElektronika #BisaIC #Socket #IC #Switch #Transistor #LED #Sensor #Timer #Osilator #FlipFlop #DIP6 #DIP8 #DIP16 #Arduino #Breadboard #Mikrokontroler #Sensor #PCB</t>
  </si>
  <si>
    <t>ITBisa - IC 4N35 DIP-6 Black Optocoupler Photocoupler Phototransistor Optotransistor Putih DIP6 6DIP 6 Pin Kaki</t>
  </si>
  <si>
    <t xml:space="preserve">ITBisa - IC 4N35 DIP-6 Black Optocoupler Photocoupler Phototransistor </t>
  </si>
  <si>
    <t>ITBISA-IC-4N35-DIP6-WHITE</t>
  </si>
  <si>
    <t>White</t>
  </si>
  <si>
    <t>Phototransistor Optotransistor DIP6 6DIP 6 Pin Kaki</t>
  </si>
  <si>
    <t>ITBisa - IC 4N35 DIP-6 White Optocoupler Photocoupler Phototransistor Optotransistor DIP6 6DIP 6 Pin Kaki</t>
  </si>
  <si>
    <t xml:space="preserve">ITBisa - IC 4N35 DIP-6 White Optocoupler Photocoupler Phototransistor </t>
  </si>
  <si>
    <t>IC HC245N</t>
  </si>
  <si>
    <t>SN74HC245N</t>
  </si>
  <si>
    <t>DIP-20</t>
  </si>
  <si>
    <t>Octal Bus Transceiver</t>
  </si>
  <si>
    <t>SN 74HC245N 74HC245 DIP20 20P 20 Pin Kaki Digital Buffer Parallel Data Transfer Transmission</t>
  </si>
  <si>
    <t>#ITBisa #BisaElektronika #BisaIC #Socket #IC #Shifter #Shift #Register #7Segment #Segment #LED #Counter #DIP6 #DIP8 #DIP16 #Arduino #Breadboard #Mikrokontroler #Sensor #PCB</t>
  </si>
  <si>
    <t>ITBisa - IC HC245N SN74HC245N DIP-20 Octal Bus Transceiver SN 74HC245N 74HC245 DIP20 20P 20 Pin Kaki Digital Buffer Parallel Data Transfer Transmission</t>
  </si>
  <si>
    <t>ITBisa - IC HC245N SN74HC245N DIP-20 Octal Bus Transceiver SN 74HC245N</t>
  </si>
  <si>
    <t>ITBisa - IC HC245N SN74HC245N DIP-20 Octal Bus Transceiver SN 74HC245N 74HC245 DIP20 20P 20 Pin Kaki Digital Buffer Parallel Data Transfer Transmissio</t>
  </si>
  <si>
    <t>IC HC595N</t>
  </si>
  <si>
    <t>SN74HC595N</t>
  </si>
  <si>
    <t>DIP-16</t>
  </si>
  <si>
    <t>8 Stage Serial Shift Register</t>
  </si>
  <si>
    <t>SN 74HC595N 74HC595 DIP16 16P 16 Pin Kaki Serial to Parallel Paralel Conversion Output Latch</t>
  </si>
  <si>
    <t>ITBisa - IC HC595N SN74HC595N DIP-16 8 Stage Serial Shift Register SN 74HC595N 74HC595 DIP16 16P 16 Pin Kaki Serial to Parallel Paralel Conversion Output Latch</t>
  </si>
  <si>
    <t xml:space="preserve">ITBisa - IC HC595N SN74HC595N DIP-16 8 Stage Serial Shift Register SN </t>
  </si>
  <si>
    <t>ITBisa - IC HC595N SN74HC595N DIP-16 8 Stage Serial Shift Register SN 74HC595N 74HC595 DIP16 16P 16 Pin Kaki Serial to Parallel Paralel Conversion Out</t>
  </si>
  <si>
    <t>ITBISA-IC-78L05-TO92</t>
  </si>
  <si>
    <t>IC 78L05</t>
  </si>
  <si>
    <t>TO92</t>
  </si>
  <si>
    <t>Positive Voltage Regulator 5V 0.1A</t>
  </si>
  <si>
    <t>L78L05 Positif 100mA TO 92 TO-92 5V 0.1 A 3 Terminal</t>
  </si>
  <si>
    <t>#ITBisa #BisaElektronika #BisaIC #Regulator #Voltage</t>
  </si>
  <si>
    <t>ITBisa - IC 78L05 7805 TO92 Positive Voltage Regulator 5V 0.1A L78L05 Positif 100mA TO 92 TO-92 5V 0.1 A 3 Terminal</t>
  </si>
  <si>
    <t xml:space="preserve">ITBisa - IC 78L05 7805 TO92 Positive Voltage Regulator 5V 0.1A L78L05 </t>
  </si>
  <si>
    <t>IC 4017</t>
  </si>
  <si>
    <t>CD4017 CD4017BE</t>
  </si>
  <si>
    <t>Decade Counter Divider Digital</t>
  </si>
  <si>
    <t>DIP16 16P 16 Pin Kaki CMOS Latch CD 4017 BE Shifter Switch Clock Running LED Text</t>
  </si>
  <si>
    <t>#ITBisa #BisaElektronika #BisaIC #Socket #IC #Decade #Counter #Divider #Digital #Shifter #LED #CMOS #DIP6 #DIP8 #DIP16 #Arduino #Breadboard #Mikrokontroler #Sensor #PCB</t>
  </si>
  <si>
    <t>ITBisa - IC 4017 CD4017 CD4017BE DIP-16 Decade Counter Divider Digital DIP16 16P 16 Pin Kaki CMOS Latch CD 4017 BE Shifter Switch Clock Running LED Text</t>
  </si>
  <si>
    <t>ITBisa - IC 4017 CD4017 CD4017BE DIP-16 Decade Counter Divider Digital</t>
  </si>
  <si>
    <t>ITBisa - IC 4017 CD4017 CD4017BE DIP-16 Decade Counter Divider Digital DIP16 16P 16 Pin Kaki CMOS Latch CD 4017 BE Shifter Switch Clock Running LED Te</t>
  </si>
  <si>
    <t>IC 4094</t>
  </si>
  <si>
    <t>CD4094 BE CD4094BE</t>
  </si>
  <si>
    <t>Shift Register</t>
  </si>
  <si>
    <t>DIP16 16P 16 Pin Kaki 7 Segment 8 BIT 8BIT CD 4094 BE LED 7-Segment Latch CMOS 3 State Counter Output</t>
  </si>
  <si>
    <t>ITBisa - IC 4094 CD4094 BE CD4094BE DIP-16 Shift Register DIP16 16P 16 Pin Kaki 7 Segment 8 BIT 8BIT CD 4094 BE LED 7-Segment Latch CMOS 3 State Counter Output</t>
  </si>
  <si>
    <t>ITBisa - IC 4094 CD4094 BE CD4094BE DIP-16 Shift Register DIP16 16P 16</t>
  </si>
  <si>
    <t>ITBisa - IC 4094 CD4094 BE CD4094BE DIP-16 Shift Register DIP16 16P 16 Pin Kaki 7 Segment 8 BIT 8BIT CD 4094 BE LED 7-Segment Latch CMOS 3 State Count</t>
  </si>
  <si>
    <t>SMD CD4094 BM CD4094BM</t>
  </si>
  <si>
    <t>SOP-16</t>
  </si>
  <si>
    <t>SOP16 16P 16 Pin Kaki 7 Segment 8 BIT 8BIT CD 4094 BM LED 7-Segment Latch CMOS 3 State Counter Output</t>
  </si>
  <si>
    <t>#ITBisa #BisaElektronika #BisaIC #Socket #IC #Shifter #Shift #Register #7Segment #Segment #LED #Counter #SOP6 #SOP8 #SOP16 #Arduino #Breadboard #Mikrokontroler #Sensor #PCB</t>
  </si>
  <si>
    <t>ITBisa - IC 4094 SMD CD4094 BM CD4094BM SOP-16 Shift Register SOP16 16P 16 Pin Kaki 7 Segment 8 BIT 8BIT CD 4094 BM LED 7-Segment Latch CMOS 3 State Counter Output</t>
  </si>
  <si>
    <t>ITBisa - IC 4094 SMD CD4094 BM CD4094BM SOP-16 Shift Register SOP16 16</t>
  </si>
  <si>
    <t>ITBisa - IC 4094 SMD CD4094 BM CD4094BM SOP-16 Shift Register SOP16 16P 16 Pin Kaki 7 Segment 8 BIT 8BIT CD 4094 BM LED 7-Segment Latch CMOS 3 State C</t>
  </si>
  <si>
    <t>ITBISA-IC-CD4511BE-DIP16</t>
  </si>
  <si>
    <t>IC L7805CV</t>
  </si>
  <si>
    <t>L7805 7805 CV 7805CV</t>
  </si>
  <si>
    <t>3 Terminal TO-220</t>
  </si>
  <si>
    <t>Linear Voltage Regulator 5V</t>
  </si>
  <si>
    <t>5Volt 5 Volt Linier IC Power Supply Stabilizer TO220 TO 220</t>
  </si>
  <si>
    <t>ITBisa - IC L7805CV L7805 7805 CV 7805CV 3 Terminal TO-220 Linear Voltage Regulator 5V 5Volt 5 Volt Linier IC Power Supply Stabilizer TO220 TO 220</t>
  </si>
  <si>
    <t>ITBisa - IC L7805CV L7805 7805 CV 7805CV 3 Terminal TO-220 Linear Volt</t>
  </si>
  <si>
    <t>ITBISA-IC-L7809CV-TO220</t>
  </si>
  <si>
    <t>IC L7809CV</t>
  </si>
  <si>
    <t>L7809 7809 CV 7809CV</t>
  </si>
  <si>
    <t>ITBisa - IC L7809CV L7809 7809 CV 7809CV 3 Terminal TO-220 Linear Voltage Regulator 5V 5Volt 5 Volt Linier IC Power Supply Stabilizer TO220 TO 220</t>
  </si>
  <si>
    <t>ITBisa - IC L7809CV L7809 7809 CV 7809CV 3 Terminal TO-220 Linear Volt</t>
  </si>
  <si>
    <t>IC L7812CV</t>
  </si>
  <si>
    <t>L7812 7812 CV 7812CV</t>
  </si>
  <si>
    <t>Linear Voltage Regulator 12V</t>
  </si>
  <si>
    <t>12Volt 12 Volt Linier IC Power Supply Stabilizer TO220 TO 220</t>
  </si>
  <si>
    <t>ITBisa - IC L7812CV L7812 7812 CV 7812CV 3 Terminal TO-220 Linear Voltage Regulator 12V 12Volt 12 Volt Linier IC Power Supply Stabilizer TO220 TO 220</t>
  </si>
  <si>
    <t>ITBisa - IC L7812CV L7812 7812 CV 7812CV 3 Terminal TO-220 Linear Volt</t>
  </si>
  <si>
    <t>ITBISA-IC-L7815CV-TO220</t>
  </si>
  <si>
    <t>IC L7815CV</t>
  </si>
  <si>
    <t>L7815 7815 CV 7815CV</t>
  </si>
  <si>
    <t>Linear Voltage Regulator 15V</t>
  </si>
  <si>
    <t>15Volt 15 Volt Linier IC Power Supply Stabilizer TO220 TO 220</t>
  </si>
  <si>
    <t>ITBisa - IC L7815CV L7815 7815 CV 7815CV 3 Terminal TO-220 Linear Voltage Regulator 15V 15Volt 15 Volt Linier IC Power Supply Stabilizer TO220 TO 220</t>
  </si>
  <si>
    <t>ITBisa - IC L7815CV L7815 7815 CV 7815CV 3 Terminal TO-220 Linear Volt</t>
  </si>
  <si>
    <t>IC 741</t>
  </si>
  <si>
    <t>LM741CN</t>
  </si>
  <si>
    <t>DIP-8</t>
  </si>
  <si>
    <t>Op-Amp Filter Penguat LPF HPF BPF</t>
  </si>
  <si>
    <t>Integrated Circuit LM 741 LM741 Op Amp OpAmp 8 Pin Kaki DIP8 8DIP</t>
  </si>
  <si>
    <t>#ITBisa #BisaElektronika #BisaIC #Socket #IC #OpAmp #HPF #LPF #BPF #Filter #Amplifier #Inverting #DIP6 #DIP8 #DIP16 #Arduino #Breadboard #Mikrokontroler #Sensor #PCB</t>
  </si>
  <si>
    <t>ITBisa - IC 741 LM741CN DIP-8 Op-Amp Filter Penguat LPF HPF BPF Integrated Circuit LM 741 LM741 Op Amp OpAmp 8 Pin Kaki DIP8 8DIP</t>
  </si>
  <si>
    <t>ITBisa - IC 741 LM741CN DIP-8 Op-Amp Filter Penguat LPF HPF BPF Integr</t>
  </si>
  <si>
    <t>IC NE 555</t>
  </si>
  <si>
    <t>NE555P</t>
  </si>
  <si>
    <t>DIP 8 Pin Kaki DIP-8 DIP8 8DIP</t>
  </si>
  <si>
    <t>Timer Osilator Flip Flop DIP-8</t>
  </si>
  <si>
    <t>Oscillator Flip-Flop Integrated Circuit 8 Kaki</t>
  </si>
  <si>
    <t>ITBisa - IC NE 555 NE555P DIP 8 Pin Kaki DIP-8 DIP8 8DIP Timer Osilator Flip Flop DIP-8 Oscillator Flip-Flop Integrated Circuit 8 Kaki</t>
  </si>
  <si>
    <t>ITBisa - IC NE 555 NE555P DIP 8 Pin Kaki DIP-8 DIP8 8DIP Timer Osilato</t>
  </si>
  <si>
    <t>IC UA 741 CN</t>
  </si>
  <si>
    <t>UA741CN</t>
  </si>
  <si>
    <t>8 Pin DIP8</t>
  </si>
  <si>
    <t>Op Amp Filter Penguat LPF HPF BPF DIP-8</t>
  </si>
  <si>
    <t xml:space="preserve">8 Kaki UA741 OpAmp Op-Amp Integrated Circuit </t>
  </si>
  <si>
    <t>ITBisa - IC UA 741 CN UA741CN 8 Pin DIP8 Op Amp Filter Penguat LPF HPF BPF DIP-8 8 Kaki UA741 OpAmp Op-Amp Integrated Circuit</t>
  </si>
  <si>
    <t>ITBisa - IC UA 741 CN UA741CN 8 Pin DIP8 Op Amp Filter Penguat LPF HPF</t>
  </si>
  <si>
    <t>IC 2003</t>
  </si>
  <si>
    <t>ULN2003AN</t>
  </si>
  <si>
    <t>DIP16 DIP-16 16 Pin 16P</t>
  </si>
  <si>
    <t>Kanal Channel Darlington Driver Motor Stepper Control Kontrol</t>
  </si>
  <si>
    <t>ULN2003</t>
  </si>
  <si>
    <t>ITBisa - IC 2003 ULN2003AN DIP16 DIP-16 16 Pin 16P Kanal Channel Darlington Driver Motor Stepper Control Kontrol ULN2003</t>
  </si>
  <si>
    <t>ITBisa - IC 2003 ULN2003AN DIP16 DIP-16 16 Pin 16P Kanal Channel Darli</t>
  </si>
  <si>
    <t>IC 2803</t>
  </si>
  <si>
    <t>ULN2803APG</t>
  </si>
  <si>
    <t>DIP18 DIP-18 18 Pin 18P</t>
  </si>
  <si>
    <t>ULN2803</t>
  </si>
  <si>
    <t>#ITBisa #BisaElektronika #BisaIC #Socket #IC #OpAmp #HPF #LPF #BPF #Filter #Amplifier #Inverting #DIP6 #DIP8 #DIP16 #DIP18 #Arduino #Breadboard #Mikrokontroler #Sensor #PCB</t>
  </si>
  <si>
    <t>ITBisa - IC 2803 ULN2803APG DIP18 DIP-18 18 Pin 18P Kanal Channel Darlington Driver Motor Stepper Control Kontrol ULN2803</t>
  </si>
  <si>
    <t>ITBisa - IC 2803 ULN2803APG DIP18 DIP-18 18 Pin 18P Kanal Channel Darl</t>
  </si>
  <si>
    <t>ITBISA-IGAME-GTX-1070-8GB-DDR5-X-TOP-TRIPLE-FAN</t>
  </si>
  <si>
    <t>40PCS Kabel Jumper</t>
  </si>
  <si>
    <t>10 cm Female to Female F-F FF F F 2.54mm</t>
  </si>
  <si>
    <t>Arduino Breadboard</t>
  </si>
  <si>
    <t>40 PCS 10cm Buah Pin 2.54 mm 2,54 mm 2,54mm Cable Rainbow Pelangi Sensor</t>
  </si>
  <si>
    <t>BisaElektronika - BisaKabel</t>
  </si>
  <si>
    <t>#ITBisa #BisaElektronika #BisaKabel #Kabel #Jumper #40PCS #Male #Female #FF #10cm #20cm #30cm #Arduino #Breadboard #2.54mm #Mikrokontroler #Sensor #Socket #IC #PCB</t>
  </si>
  <si>
    <t>ITBisa - 40PCS Kabel Jumper 10 cm Female to Female F-F FF F F 2.54mm Arduino Breadboard 40 PCS 10cm Buah Pin 2.54 mm 2,54 mm 2,54mm Cable Rainbow Pelangi Sensor</t>
  </si>
  <si>
    <t>ITBisa - 40PCS Kabel Jumper 10 cm Female to Female F-F FF F F 2.54mm A</t>
  </si>
  <si>
    <t>ITBisa - 40PCS Kabel Jumper 10 cm Female to Female F-F FF F F 2.54mm Arduino Breadboard 40 PCS 10cm Buah Pin 2.54 mm 2,54 mm 2,54mm Cable Rainbow Pela</t>
  </si>
  <si>
    <t>20 cm Female to Female F-F FF F F 2.54mm</t>
  </si>
  <si>
    <t>40 PCS 20cm Buah Pin 2.54 mm 2,54 mm 2,54mm Cable Rainbow Pelangi Sensor</t>
  </si>
  <si>
    <t>ITBisa - 40PCS Kabel Jumper 20 cm Female to Female F-F FF F F 2.54mm Arduino Breadboard 40 PCS 20cm Buah Pin 2.54 mm 2,54 mm 2,54mm Cable Rainbow Pelangi Sensor</t>
  </si>
  <si>
    <t>ITBisa - 40PCS Kabel Jumper 20 cm Female to Female F-F FF F F 2.54mm A</t>
  </si>
  <si>
    <t>ITBisa - 40PCS Kabel Jumper 20 cm Female to Female F-F FF F F 2.54mm Arduino Breadboard 40 PCS 20cm Buah Pin 2.54 mm 2,54 mm 2,54mm Cable Rainbow Pela</t>
  </si>
  <si>
    <t>10 cm Male to Female M-F MF M F 2.54mm</t>
  </si>
  <si>
    <t>#ITBisa #BisaElektronika #BisaKabel #Kabel #Jumper #40PCS #Male #Female #MF #10cm #20cm #30cm #Arduino #Breadboard #2.54mm #Mikrokontroler #Sensor #Socket #IC #PCB</t>
  </si>
  <si>
    <t>ITBisa - 40PCS Kabel Jumper 10 cm Male to Female M-F MF M F 2.54mm Arduino Breadboard 40 PCS 10cm Buah Pin 2.54 mm 2,54 mm 2,54mm Cable Rainbow Pelangi Sensor</t>
  </si>
  <si>
    <t>ITBisa - 40PCS Kabel Jumper 10 cm Male to Female M-F MF M F 2.54mm Ard</t>
  </si>
  <si>
    <t>ITBisa - 40PCS Kabel Jumper 10 cm Male to Female M-F MF M F 2.54mm Arduino Breadboard 40 PCS 10cm Buah Pin 2.54 mm 2,54 mm 2,54mm Cable Rainbow Pelang</t>
  </si>
  <si>
    <t>20 cm Male to Female M-F MF M F 2.54mm</t>
  </si>
  <si>
    <t>ITBisa - 40PCS Kabel Jumper 20 cm Male to Female M-F MF M F 2.54mm Arduino Breadboard 40 PCS 20cm Buah Pin 2.54 mm 2,54 mm 2,54mm Cable Rainbow Pelangi Sensor</t>
  </si>
  <si>
    <t>ITBisa - 40PCS Kabel Jumper 20 cm Male to Female M-F MF M F 2.54mm Ard</t>
  </si>
  <si>
    <t>ITBisa - 40PCS Kabel Jumper 20 cm Male to Female M-F MF M F 2.54mm Arduino Breadboard 40 PCS 20cm Buah Pin 2.54 mm 2,54 mm 2,54mm Cable Rainbow Pelang</t>
  </si>
  <si>
    <t>10 cm Male to Male M-M MM M M 2.54mm</t>
  </si>
  <si>
    <t>#ITBisa #BisaElektronika #BisaKabel #Kabel #Jumper #40PCS #Male #Female #MM #10cm #20cm #30cm #Arduino #Breadboard #2.54mm #Mikrokontroler #Sensor #Socket #IC #PCB</t>
  </si>
  <si>
    <t>ITBisa - 40PCS Kabel Jumper 10 cm Male to Male M-M MM M M 2.54mm Arduino Breadboard 40 PCS 10cm Buah Pin 2.54 mm 2,54 mm 2,54mm Cable Rainbow Pelangi Sensor</t>
  </si>
  <si>
    <t>ITBisa - 40PCS Kabel Jumper 10 cm Male to Male M-M MM M M 2.54mm Ardui</t>
  </si>
  <si>
    <t xml:space="preserve">ITBisa - 40PCS Kabel Jumper 10 cm Male to Male M-M MM M M 2.54mm Arduino Breadboard 40 PCS 10cm Buah Pin 2.54 mm 2,54 mm 2,54mm Cable Rainbow Pelangi </t>
  </si>
  <si>
    <t>https://tokopedia.com/itbisa/itbisa-ic-4n35-optocoupler-phototransistor-photocoupler-dip6-6-pin</t>
  </si>
  <si>
    <t>20 cm Male to Male M-M MM M M 2.54mm</t>
  </si>
  <si>
    <t>ITBisa - 40PCS Kabel Jumper 20 cm Male to Male M-M MM M M 2.54mm Arduino Breadboard 40 PCS 20cm Buah Pin 2.54 mm 2,54 mm 2,54mm Cable Rainbow Pelangi Sensor</t>
  </si>
  <si>
    <t>ITBisa - 40PCS Kabel Jumper 20 cm Male to Male M-M MM M M 2.54mm Ardui</t>
  </si>
  <si>
    <t xml:space="preserve">ITBisa - 40PCS Kabel Jumper 20 cm Male to Male M-M MM M M 2.54mm Arduino Breadboard 40 PCS 20cm Buah Pin 2.54 mm 2,54 mm 2,54mm Cable Rainbow Pelangi </t>
  </si>
  <si>
    <t>ITBISA-KODE-UNIK</t>
  </si>
  <si>
    <t>ITBISA-KUPLUK-HITAM</t>
  </si>
  <si>
    <t>ITBISA-LOGITECH-F710</t>
  </si>
  <si>
    <t>ITBISA-MICRO-SD-READER-MINI</t>
  </si>
  <si>
    <t>ITBISA-MOTORDRIVER-L298N-WITH-HEATSINK</t>
  </si>
  <si>
    <t>Motor Driver Stepper DC</t>
  </si>
  <si>
    <t>L298N Dual H Bridge</t>
  </si>
  <si>
    <t>With Heatsink</t>
  </si>
  <si>
    <t>Module Control Robot Car Arduino</t>
  </si>
  <si>
    <t>L 298 N Modul Kontrol High Power</t>
  </si>
  <si>
    <t>ITBisa - Motor Driver Stepper DC L298N Dual H Bridge With Heatsink Module Control Robot Car Arduino L 298 N Modul Kontrol High Power</t>
  </si>
  <si>
    <t>ITBisa - Motor Driver Stepper DC L298N Dual H Bridge With Heatsink Mod</t>
  </si>
  <si>
    <t>ITBISA-NODEMCU-ESP32-MICRO</t>
  </si>
  <si>
    <t>ITBISA-NODEMCU-ESP32-MICRO-30PIN</t>
  </si>
  <si>
    <t>ITBISA-NODEMCU-ESP32-MICRO-38PIN</t>
  </si>
  <si>
    <t>NodeMCU</t>
  </si>
  <si>
    <t>V3 CH340G</t>
  </si>
  <si>
    <t>Transistor</t>
  </si>
  <si>
    <t>BJT NPN 2N2222 A 2N2222A</t>
  </si>
  <si>
    <t>TO92 0.6A 30V</t>
  </si>
  <si>
    <t>Penguat Switch</t>
  </si>
  <si>
    <t>Transistors 2N 2222 TO 92 TO-92 0.6 Ampere 0,6A Op-Amp Op Amp Switching 30 V 30Volt Volt</t>
  </si>
  <si>
    <t>BisaElektronika - BisaTransistor</t>
  </si>
  <si>
    <t>#ITBisa #BisaElektronika #BisaTransistor #IC #Socket #Switch #Penguat #OpAmp #Op-Amp #Amplifier #BJT #MOSFET #NPN #PNP #TO-92 #TO92 #PCB #Arduino #Breadboard #Mikrokontroler</t>
  </si>
  <si>
    <t>ITBisa - Transistor BJT NPN 2N2222 A 2N2222A TO92 0.6A 30V Penguat Switch Transistors 2N 2222 TO 92 TO-92 0.6 Ampere 0,6A Op-Amp Op Amp Switching 30 V 30Volt Volt</t>
  </si>
  <si>
    <t>ITBisa - Transistor BJT NPN 2N2222 A 2N2222A TO92 0.6A 30V Penguat Swi</t>
  </si>
  <si>
    <t>ITBisa - Transistor BJT NPN 2N2222 A 2N2222A TO92 0.6A 30V Penguat Switch Transistors 2N 2222 TO 92 TO-92 0.6 Ampere 0,6A Op-Amp Op Amp Switching 30 V</t>
  </si>
  <si>
    <t>BJT NPN BC547</t>
  </si>
  <si>
    <t>TO-92 TO92</t>
  </si>
  <si>
    <t>Penguat Switch Amplifier</t>
  </si>
  <si>
    <t>ITBisa - Transistor BJT NPN BC547 TO-92 TO92 Penguat Switch Amplifier</t>
  </si>
  <si>
    <t>ITBISA-NPN-BC547A-TO92</t>
  </si>
  <si>
    <t>ITBISA-NPN-BC547C-TO92</t>
  </si>
  <si>
    <t>ITBISA-OPPO-F9-64GB-6GB-RED-RESMI</t>
  </si>
  <si>
    <t>Oppo</t>
  </si>
  <si>
    <t>F9</t>
  </si>
  <si>
    <t>64GB 6GB Red Resmi</t>
  </si>
  <si>
    <t>Opo 64 GB 6 GB Merah</t>
  </si>
  <si>
    <t>BisaElektronik</t>
  </si>
  <si>
    <t>ITBisa - Oppo F9 64GB 6GB Red Resmi Opo 64 GB 6 GB Merah</t>
  </si>
  <si>
    <t>PCB</t>
  </si>
  <si>
    <t>Dot Matrix</t>
  </si>
  <si>
    <t>5X7 cm 432 Hole Single Side</t>
  </si>
  <si>
    <t>Universal Tembaga</t>
  </si>
  <si>
    <t>5 x 7 Copper Printed Circuit Board Protoboard DIY Lubang Bolong</t>
  </si>
  <si>
    <t>ITBisa - PCB Dot Matrix 5X7 cm 432 Hole Single Side Universal Tembaga 5 x 7 Copper Printed Circuit Board Protoboard DIY Lubang Bolong</t>
  </si>
  <si>
    <t xml:space="preserve">ITBisa - PCB Dot Matrix 5X7 cm 432 Hole Single Side Universal Tembaga </t>
  </si>
  <si>
    <t>ITBISA-PONCO-GAJAH</t>
  </si>
  <si>
    <t>ITBISA-PSU-S4012-12V-3A</t>
  </si>
  <si>
    <t>Lampu Senter Bohlam Kuning Bulb</t>
  </si>
  <si>
    <t>E10 2.5V</t>
  </si>
  <si>
    <t>Drat Skrup Kecil</t>
  </si>
  <si>
    <t>Praktik Praktek Anak Sekolah</t>
  </si>
  <si>
    <t>2.5 V 2,5 V 2,5V Screw</t>
  </si>
  <si>
    <t>ITBisa - Lampu Senter Bohlam Kuning Bulb E10 2.5V Drat Skrup Kecil Praktik Praktek Anak Sekolah 2.5 V 2,5 V 2,5V Screw</t>
  </si>
  <si>
    <t>ITBisa - Lampu Senter Bohlam Kuning Bulb E10 2.5V Drat Skrup Kecil Pra</t>
  </si>
  <si>
    <t>E10 3.8V</t>
  </si>
  <si>
    <t>3.8 V 3,5 V 3,5V Screw</t>
  </si>
  <si>
    <t>ITBisa - Lampu Senter Bohlam Kuning Bulb E10 3.8V Drat Skrup Kecil Praktik Praktek Anak Sekolah 3.8 V 3,5 V 3,5V Screw</t>
  </si>
  <si>
    <t>ITBisa - Lampu Senter Bohlam Kuning Bulb E10 3.8V Drat Skrup Kecil Pra</t>
  </si>
  <si>
    <t>Resistor</t>
  </si>
  <si>
    <t>100K 1/4W</t>
  </si>
  <si>
    <t>0.25W 5% Carbon Film Brown</t>
  </si>
  <si>
    <t>1/4 W 0.25 Watt Cokelat Coklat 100000 Ohm 100KOhm 100000Ohm 5 % Tolerance Resistance</t>
  </si>
  <si>
    <t>BisaElektronika - BisaResistor</t>
  </si>
  <si>
    <t>#ITBisa #BisaElektronika #BisaResistor #Elektronika #Resistor #Carbon #Metal #MetalFilm #Film #Blue #1% #5% #Tolerance #Ohm #Arduino #Mikrokontroler #IC #Digital #Breadboard #Sensor</t>
  </si>
  <si>
    <t>ITBisa - Resistor 100K 1/4W 0.25W 5% Carbon Film Brown 1/4 W 0.25 Watt Cokelat Coklat 100000 Ohm 100KOhm 100000Ohm 5 % Tolerance Resistance</t>
  </si>
  <si>
    <t>ITBisa - Resistor 100K 1/4W 0.25W 5% Carbon Film Brown 1/4 W 0.25 Watt</t>
  </si>
  <si>
    <t>10K 1/4W</t>
  </si>
  <si>
    <t>0.25W 1% Metal Film Blue</t>
  </si>
  <si>
    <t>1/4 W 0.25 Watt Biru 10000 Ohm 10KOhm 10000Ohm 1 % Tolerance Resistance</t>
  </si>
  <si>
    <t>ITBisa - Resistor 10K 1/4W 0.25W 1% Metal Film Blue 1/4 W 0.25 Watt Biru 10000 Ohm 10KOhm 10000Ohm 1 % Tolerance Resistance</t>
  </si>
  <si>
    <t>ITBisa - Resistor 10K 1/4W 0.25W 1% Metal Film Blue 1/4 W 0.25 Watt Bi</t>
  </si>
  <si>
    <t>ITBISA-RESISTOR-120-1/4W</t>
  </si>
  <si>
    <t>15K 1/4W</t>
  </si>
  <si>
    <t>1/4 W 0.25 Watt Biru 15000 Ohm 15KOhm 15000Ohm 1 % Tolerance Resistance</t>
  </si>
  <si>
    <t>ITBisa - Resistor 15K 1/4W 0.25W 1% Metal Film Blue 1/4 W 0.25 Watt Biru 15000 Ohm 15KOhm 15000Ohm 1 % Tolerance Resistance</t>
  </si>
  <si>
    <t>ITBisa - Resistor 15K 1/4W 0.25W 1% Metal Film Blue 1/4 W 0.25 Watt Bi</t>
  </si>
  <si>
    <t>1K 1/4W</t>
  </si>
  <si>
    <t>1/4 W 0.25 Watt Biru 1000 Ohm 1KOhm 1000Ohm 1 % Tolerance Resistance</t>
  </si>
  <si>
    <t>ITBisa - Resistor 1K 1/4W 0.25W 1% Metal Film Blue 1/4 W 0.25 Watt Biru 1000 Ohm 1KOhm 1000Ohm 1 % Tolerance Resistance</t>
  </si>
  <si>
    <t>ITBisa - Resistor 1K 1/4W 0.25W 1% Metal Film Blue 1/4 W 0.25 Watt Bir</t>
  </si>
  <si>
    <t>ITBISA-RESISTOR-220K-1/4W</t>
  </si>
  <si>
    <t>22K 1/4W</t>
  </si>
  <si>
    <t>0.25W 5% Metal Film Blue</t>
  </si>
  <si>
    <t>1/4 W 0.25 Watt Biru 22000 Ohm 22KOhm 22000Ohm 5 % Tolerance Resistance</t>
  </si>
  <si>
    <t>ITBisa - Resistor 22K 1/4W 0.25W 5% Metal Film Blue 1/4 W 0.25 Watt Biru 22000 Ohm 22KOhm 22000Ohm 5 % Tolerance Resistance</t>
  </si>
  <si>
    <t>ITBisa - Resistor 22K 1/4W 0.25W 5% Metal Film Blue 1/4 W 0.25 Watt Bi</t>
  </si>
  <si>
    <t>https://www.bukalapak.com/p/elektronik/komponen-elektronik/3eycwsd-jual-itbisa-resistor-22k-0-25w-1-persen-toleransi-cokelat-metal-film-blue-0-25-w-watt-biru-22000-ohm-22kohm-22000ohm-1-percent-brown-tolerance</t>
  </si>
  <si>
    <t>https://tokopedia.com/itbisa/itbisa-resistor-22k-1-4w-0-25w-1-metal-film-blue-1-4-w-0-25-watt</t>
  </si>
  <si>
    <t>https://shopee.co.id/product/80492423/4438402579/</t>
  </si>
  <si>
    <t>27K 1/4W</t>
  </si>
  <si>
    <t>1/4 W 0.25 Watt Biru 27000 Ohm 27KOhm 27000Ohm 1 % Tolerance Resistance</t>
  </si>
  <si>
    <t>ITBisa - Resistor 27K 1/4W 0.25W 1% Metal Film Blue 1/4 W 0.25 Watt Biru 27000 Ohm 27KOhm 27000Ohm 1 % Tolerance Resistance</t>
  </si>
  <si>
    <t>ITBisa - Resistor 27K 1/4W 0.25W 1% Metal Film Blue 1/4 W 0.25 Watt Bi</t>
  </si>
  <si>
    <t>2K2 1/4W</t>
  </si>
  <si>
    <t>2.2K 1/4 W 0.25 Watt Biru 2200 Ohm 2K2Ohm 2.2KOhm 2200Ohm 5 % Tolerance Resistance</t>
  </si>
  <si>
    <t>ITBisa - Resistor 2K2 1/4W 0.25W 5% Metal Film Blue 2.2K 1/4 W 0.25 Watt Biru 2200 Ohm 2K2Ohm 2.2KOhm 2200Ohm 5 % Tolerance Resistance</t>
  </si>
  <si>
    <t>ITBisa - Resistor 2K2 1/4W 0.25W 5% Metal Film Blue 2.2K 1/4 W 0.25 Wa</t>
  </si>
  <si>
    <t>ITBISA-RESISTOR-330K-1/4W</t>
  </si>
  <si>
    <t>33K 1/4W</t>
  </si>
  <si>
    <t>1/4 W 0.25 Watt Biru 33000 Ohm 33KOhm 33000Ohm 5 % Tolerance Resistance</t>
  </si>
  <si>
    <t>ITBisa - Resistor 33K 1/4W 0.25W 5% Metal Film Blue 1/4 W 0.25 Watt Biru 33000 Ohm 33KOhm 33000Ohm 5 % Tolerance Resistance</t>
  </si>
  <si>
    <t>ITBisa - Resistor 33K 1/4W 0.25W 5% Metal Film Blue 1/4 W 0.25 Watt Bi</t>
  </si>
  <si>
    <t>3K3 1/4W</t>
  </si>
  <si>
    <t>3.3K 1/4 W 0.25 Watt Biru 3300 Ohm 3K3Ohm 3.3KOhm 3300Ohm 5 % Tolerance Resistance</t>
  </si>
  <si>
    <t>ITBisa - Resistor 3K3 1/4W 0.25W 5% Metal Film Blue 3.3K 1/4 W 0.25 Watt Biru 3300 Ohm 3K3Ohm 3.3KOhm 3300Ohm 5 % Tolerance Resistance</t>
  </si>
  <si>
    <t>ITBisa - Resistor 3K3 1/4W 0.25W 5% Metal Film Blue 3.3K 1/4 W 0.25 Wa</t>
  </si>
  <si>
    <t>ITBISA-RESISTOR-43K-1/4W</t>
  </si>
  <si>
    <t>470K 1/4W</t>
  </si>
  <si>
    <t>1/4 W 0.25 Watt Biru 470000 Ohm 470KOhm 470000Ohm 5 % Tolerance Resistance</t>
  </si>
  <si>
    <t>ITBisa - Resistor 470K 1/4W 0.25W 5% Metal Film Blue 1/4 W 0.25 Watt Biru 470000 Ohm 470KOhm 470000Ohm 5 % Tolerance Resistance</t>
  </si>
  <si>
    <t>ITBisa - Resistor 470K 1/4W 0.25W 5% Metal Film Blue 1/4 W 0.25 Watt B</t>
  </si>
  <si>
    <t>560 1/4W</t>
  </si>
  <si>
    <t>1/4 W 0.25 Watt Biru 560 Ohm 560Ohm 1 % Tolerance Resistance</t>
  </si>
  <si>
    <t>ITBisa - Resistor 560 1/4W 0.25W 1% Metal Film Blue 1/4 W 0.25 Watt Biru 560 Ohm 560Ohm 1 % Tolerance Resistance</t>
  </si>
  <si>
    <t>ITBisa - Resistor 560 1/4W 0.25W 1% Metal Film Blue 1/4 W 0.25 Watt Bi</t>
  </si>
  <si>
    <t>56K 1/4W</t>
  </si>
  <si>
    <t>1/4 W 0.25 Watt Biru 56000 Ohm 56KOhm 56000Ohm 1 % Tolerance Resistance</t>
  </si>
  <si>
    <t>ITBisa - Resistor 56K 1/4W 0.25W 1% Metal Film Blue 1/4 W 0.25 Watt Biru 56000 Ohm 56KOhm 56000Ohm 1 % Tolerance Resistance</t>
  </si>
  <si>
    <t>ITBisa - Resistor 56K 1/4W 0.25W 1% Metal Film Blue 1/4 W 0.25 Watt Bi</t>
  </si>
  <si>
    <t>5K6 1/4W</t>
  </si>
  <si>
    <t>1/4 W 0.25 Watt Biru 5600 Ohm 5K6Ohm 5600Ohm 1 % Tolerance Resistance</t>
  </si>
  <si>
    <t>ITBisa - Resistor 5K6 1/4W 0.25W 1% Metal Film Blue 1/4 W 0.25 Watt Biru 5600 Ohm 5K6Ohm 5600Ohm 1 % Tolerance Resistance</t>
  </si>
  <si>
    <t>ITBisa - Resistor 5K6 1/4W 0.25W 1% Metal Film Blue 1/4 W 0.25 Watt Bi</t>
  </si>
  <si>
    <t>680K 1/4W</t>
  </si>
  <si>
    <t>1/4 W 0.25 Watt Biru 680000 Ohm 680KOhm 680000Ohm 5 % Tolerance Resistance</t>
  </si>
  <si>
    <t>ITBisa - Resistor 680K 1/4W 0.25W 5% Metal Film Blue 1/4 W 0.25 Watt Biru 680000 Ohm 680KOhm 680000Ohm 5 % Tolerance Resistance</t>
  </si>
  <si>
    <t>ITBisa - Resistor 680K 1/4W 0.25W 5% Metal Film Blue 1/4 W 0.25 Watt B</t>
  </si>
  <si>
    <t>RTC</t>
  </si>
  <si>
    <t>DS3231M</t>
  </si>
  <si>
    <t>DS3231SN</t>
  </si>
  <si>
    <t>ITBISA-SALDO-KUNCI-BCA-EXPRESI</t>
  </si>
  <si>
    <t>ITBISA-SALDO-KUNCI-BLIBLI</t>
  </si>
  <si>
    <t>ITBISA-SALDO-KUNCI-BNI-SYARIAH</t>
  </si>
  <si>
    <t>ITBISA-SALDO-KUNCI-BRI-BRITAMA-MUDA</t>
  </si>
  <si>
    <t>ITBISA-SALDO-KUNCI-MANDIRI</t>
  </si>
  <si>
    <t>ITBISA-SAMSUNG-850-EVO-500GB-BLACK</t>
  </si>
  <si>
    <t>ITBISA-SARUNG-TANGAN-KATUN</t>
  </si>
  <si>
    <t>ITBISA-SARUNG-TANGAN-SPANDEX</t>
  </si>
  <si>
    <t>ITBISA-SOCKET-BATERAI-AA-1SLOT</t>
  </si>
  <si>
    <t>ITBISA-SOCKET-BATERAI-AA-2SLOT</t>
  </si>
  <si>
    <t>ITBISA-SOCKET-BATERAI-AA-3SLOT</t>
  </si>
  <si>
    <t>Socket IC</t>
  </si>
  <si>
    <t>DIP16 2x8 Narrow</t>
  </si>
  <si>
    <t>DIP 16 Pin 16P</t>
  </si>
  <si>
    <t>Soket DIP-16 2.54mm Dudukan 2,54mm</t>
  </si>
  <si>
    <t>16 Lubang 16-DIP Integrated Integrate Circuit 2 x 8 8x2 8 x 2</t>
  </si>
  <si>
    <t>BisaElektronika - BisaSocket</t>
  </si>
  <si>
    <t>#ITBisa #BisaElektronika #BisaSocket #Elektronika #Socket #Soket #IC #DIP16 #Solder #DIP-16 #16Pin #Narrow #Arduino #Mikrokontroler #PCB #DIP #Dudukan #Digital #Package #Chip</t>
  </si>
  <si>
    <t>ITBisa - Socket IC DIP16 2x8 Narrow DIP 16 Pin 16P Soket DIP-16 2.54mm Dudukan 2,54mm 16 Lubang 16-DIP Integrated Integrate Circuit 2 x 8 8x2 8 x 2</t>
  </si>
  <si>
    <t>ITBisa - Socket IC DIP16 2x8 Narrow DIP 16 Pin 16P Soket DIP-16 2.54mm</t>
  </si>
  <si>
    <t>DIP8 2x4 Narrow</t>
  </si>
  <si>
    <t>DIP 8 Pin 8P</t>
  </si>
  <si>
    <t>Soket DIP-8 2.54mm Dudukan 2,54mm</t>
  </si>
  <si>
    <t>8 Lubang 8-DIP Integrated Integrate Circuit 2 x 4 4x2 4 x 2</t>
  </si>
  <si>
    <t>#ITBisa #BisaElektronika #BisaSocket #Elektronika #Socket #Soket #IC #DIP8 #Solder #DIP-8 #8Pin #Narrow #Arduino #Mikrokontroler #PCB #DIP #Dudukan #Digital #Package #Chip</t>
  </si>
  <si>
    <t>ITBisa - Socket IC DIP8 2x4 Narrow DIP 8 Pin 8P Soket DIP-8 2.54mm Dudukan 2,54mm 8 Lubang 8-DIP Integrated Integrate Circuit 2 x 4 4x2 4 x 2</t>
  </si>
  <si>
    <t>ITBisa - Socket IC DIP8 2x4 Narrow DIP 8 Pin 8P Soket DIP-8 2.54mm Dud</t>
  </si>
  <si>
    <t>ITBISA-SOCKET-IC-DIP8-ROUNDHOLE</t>
  </si>
  <si>
    <t>DIP 8 Pin DIP8 8DIP</t>
  </si>
  <si>
    <t>2x4 Round Hole 2.54mm</t>
  </si>
  <si>
    <t>Dudukan</t>
  </si>
  <si>
    <t>Soket 8 Pin Lubang Lingkaran DIP-8 8-DIP Integrated Integrate Circuit</t>
  </si>
  <si>
    <t>ITBisa - Socket IC DIP 8 Pin DIP8 8DIP 2x4 Round Hole 2.54mm Dudukan Soket 8 Pin Lubang Lingkaran DIP-8 8-DIP Integrated Integrate Circuit</t>
  </si>
  <si>
    <t>ITBisa - Socket IC DIP 8 Pin DIP8 8DIP 2x4 Round Hole 2.54mm Dudukan S</t>
  </si>
  <si>
    <t>ITBISA-SYAL</t>
  </si>
  <si>
    <t>ITBisa -</t>
  </si>
  <si>
    <t>Senter Tiger Head</t>
  </si>
  <si>
    <t>NOS Jadul Ospek FT300 Klasik</t>
  </si>
  <si>
    <t>Lampu Cahaya Kuning</t>
  </si>
  <si>
    <t>Tembus Kabut</t>
  </si>
  <si>
    <t>Osjur Tigerhead Vintage Lama Classic Besi Stainless Logam</t>
  </si>
  <si>
    <t>ITBisa - Senter Tiger Head NOS Jadul Ospek FT300 Klasik Lampu Cahaya Kuning Tembus Kabut Osjur Tigerhead Vintage Lama Classic Besi Stainless Logam</t>
  </si>
  <si>
    <t>ITBisa - Senter Tiger Head NOS Jadul Ospek FT300 Klasik Lampu Cahaya K</t>
  </si>
  <si>
    <t>ITBISA-TIGERHEAD-SENTER-KUNING-FT700</t>
  </si>
  <si>
    <t>ITBISA-TONAMPTN-BARISANITB-SAINTEK</t>
  </si>
  <si>
    <t>Kabel USB 2.0</t>
  </si>
  <si>
    <t>A to B</t>
  </si>
  <si>
    <t>Biru 30cm</t>
  </si>
  <si>
    <t>Arduino 101 UNO Mega Printer</t>
  </si>
  <si>
    <t>Blue Data Cable 30 cm</t>
  </si>
  <si>
    <t>ITBisa - Kabel USB 2.0 A to B Biru 30cm Arduino 101 UNO Mega Printer Blue Data Cable 30 cm</t>
  </si>
  <si>
    <t>ITBisa - Kabel USB 2.0 A to B Biru 30cm Arduino 101 UNO Mega Printer B</t>
  </si>
  <si>
    <t>ITBISA-USB-A-TO-B-50CM</t>
  </si>
  <si>
    <t>Biru 50cm</t>
  </si>
  <si>
    <t>Blue Data Cable 50 cm 480 Mbps</t>
  </si>
  <si>
    <t>ITBisa - Kabel USB 2.0 A to B Biru 50cm Arduino 101 UNO Mega Printer Blue Data Cable 50 cm 480 Mbps</t>
  </si>
  <si>
    <t>ITBisa - Kabel USB 2.0 A to B Biru 50cm Arduino 101 UNO Mega Printer B</t>
  </si>
  <si>
    <t>ITBISA-VYBA-SENTER-KUNING-FT300</t>
  </si>
  <si>
    <t>Senter NOS VYBA Bukan Tiger Head</t>
  </si>
  <si>
    <t>Jadul Ospek FT300 Klasik</t>
  </si>
  <si>
    <t>Osjur Lama Classic Besi Stainless Logam</t>
  </si>
  <si>
    <t>ITBisa - Senter NOS VYBA Bukan Tiger Head Jadul Ospek FT300 Klasik Lampu Cahaya Kuning Tembus Kabut Osjur Lama Classic Besi Stainless Logam</t>
  </si>
  <si>
    <t>ITBisa - Senter NOS VYBA Bukan Tiger Head Jadul Ospek FT300 Klasik Lam</t>
  </si>
  <si>
    <t>ITBISA-VYBA-SENTER-KUNING-FT500</t>
  </si>
  <si>
    <t>Jadul Ospek FT500 Klasik</t>
  </si>
  <si>
    <t>ITBisa - Senter NOS VYBA Bukan Tiger Head Jadul Ospek FT500 Klasik Lampu Cahaya Kuning Tembus Kabut Osjur Lama Classic Besi Stainless Logam</t>
  </si>
  <si>
    <t>ITBisa - Senter NOS VYBA Bukan Tiger Head Jadul Ospek FT500 Klasik Lam</t>
  </si>
  <si>
    <t>ITBISA-VYBA-SENTER-KUNING-FT700</t>
  </si>
  <si>
    <t>ITBISA-XIAOMI-POWERBANK-2-10000MAH-SILVER</t>
  </si>
  <si>
    <t>ITBISA-XIAOMI-REDMI-6A-TAM</t>
  </si>
  <si>
    <t>Xiaomi</t>
  </si>
  <si>
    <t>Redmi 6A</t>
  </si>
  <si>
    <t>16 GB 2 GB TAM</t>
  </si>
  <si>
    <t>ITBisa - Xiaomi Redmi 6A 16 GB 2 GB TAM</t>
  </si>
  <si>
    <t>ITBISA-XIAOMI-REDMI-NOTE-5-PRO-GOLD-TAM</t>
  </si>
  <si>
    <t>ITBISA-XIAOMI-REDMI-NOTE-5A-TAM</t>
  </si>
  <si>
    <t>Redmi Note 5A</t>
  </si>
  <si>
    <t>ITBisa - Xiaomi Redmi Note 5A 16 GB 2 GB TAM</t>
  </si>
  <si>
    <t>ITBISA-XIAOMI-SMARTBAND-2-BLACK</t>
  </si>
  <si>
    <t>Smartband 2</t>
  </si>
  <si>
    <t>ITBisa - Xiaomi Smartband 2 Black</t>
  </si>
  <si>
    <t>ITBISA-ZENIUS-VOUCHER-1-BULAN</t>
  </si>
  <si>
    <t>Voucher Elektrik</t>
  </si>
  <si>
    <t>Zenius.net</t>
  </si>
  <si>
    <t>1 Bulan</t>
  </si>
  <si>
    <t>Belajar Online</t>
  </si>
  <si>
    <t>Vocer Zenius net</t>
  </si>
  <si>
    <t>BisaZenius</t>
  </si>
  <si>
    <t>ITBisa - Voucher Elektrik Zenius.net 1 Bulan Belajar Online Vocer Zenius net</t>
  </si>
  <si>
    <t>ITBisa - Voucher Elektrik Zenius.net 1 Bulan Belajar Online Vocer Zeni</t>
  </si>
  <si>
    <t>ITBISA-ZENIUS-VOUCHER-12-BULAN</t>
  </si>
  <si>
    <t>12 Bulan</t>
  </si>
  <si>
    <t>ITBisa - Voucher Elektrik Zenius.net 12 Bulan Belajar Online Vocer Zenius net</t>
  </si>
  <si>
    <t>ITBisa - Voucher Elektrik Zenius.net 12 Bulan Belajar Online Vocer Zen</t>
  </si>
  <si>
    <t>ITBISA-ZENIUS-VOUCHER-3-BULAN</t>
  </si>
  <si>
    <t>3 Bulan</t>
  </si>
  <si>
    <t>ITBisa - Voucher Elektrik Zenius.net 3 Bulan Belajar Online Vocer Zenius net</t>
  </si>
  <si>
    <t>ITBisa - Voucher Elektrik Zenius.net 3 Bulan Belajar Online Vocer Zeni</t>
  </si>
  <si>
    <t>ITBISA-ZENIUS-VOUCHER-6-BULAN</t>
  </si>
  <si>
    <t>6 Bulan</t>
  </si>
  <si>
    <t>ITBisa - Voucher Elektrik Zenius.net 6 Bulan Belajar Online Vocer Zenius net</t>
  </si>
  <si>
    <t>ITBisa - Voucher Elektrik Zenius.net 6 Bulan Belajar Online Vocer Zeni</t>
  </si>
  <si>
    <t>ITBISA-ZENIUS-VOUCHER-9-BULAN</t>
  </si>
  <si>
    <t>9 Bulan</t>
  </si>
  <si>
    <t>ITBisa - Voucher Elektrik Zenius.net 9 Bulan Belajar Online Vocer Zenius net</t>
  </si>
  <si>
    <t>ITBisa - Voucher Elektrik Zenius.net 9 Bulan Belajar Online Vocer Zeni</t>
  </si>
  <si>
    <t>ITBISA-ZENIUS-XPEDIA-ALUMNI-IPC</t>
  </si>
  <si>
    <t>Xpedia</t>
  </si>
  <si>
    <t>2.0 Alumni IPC</t>
  </si>
  <si>
    <t>Zenius net</t>
  </si>
  <si>
    <t>ITBisa - Xpedia Zenius.net 2.0 Alumni IPC Zenius net</t>
  </si>
  <si>
    <t>ITBISA-ZENIUS-XPEDIA-X-IPA</t>
  </si>
  <si>
    <t>2.0 X IPA</t>
  </si>
  <si>
    <t>ITBisa - Xpedia Zenius.net 2.0 X IPA Zenius net</t>
  </si>
  <si>
    <t>ITBISA-ZENIUS-XPEDIA-X-IPS</t>
  </si>
  <si>
    <t>2.0 X IPS</t>
  </si>
  <si>
    <t>ITBisa - Xpedia Zenius.net 2.0 X IPS Zenius net</t>
  </si>
  <si>
    <t>ITBISA-ZENIUS-XPEDIA-XI-IPA</t>
  </si>
  <si>
    <t>2.0 XI IPA</t>
  </si>
  <si>
    <t>ITBisa - Xpedia Zenius.net 2.0 XI IPA Zenius net</t>
  </si>
  <si>
    <t>ITBISA-ZENIUS-XPEDIA-XI-IPS</t>
  </si>
  <si>
    <t>2.0 XI IPS</t>
  </si>
  <si>
    <t>ITBisa - Xpedia Zenius.net 2.0 XI IPS Zenius net</t>
  </si>
  <si>
    <t>ITBISA-ZENIUS-XPEDIA-XII-IPA</t>
  </si>
  <si>
    <t>2.0 XII IPA</t>
  </si>
  <si>
    <t>ITBisa - Xpedia Zenius.net 2.0 XII IPA Zenius net</t>
  </si>
  <si>
    <t>ITBISA-ZENIUS-XPEDIA-XII-IPS</t>
  </si>
  <si>
    <t>2.0 XII IPS</t>
  </si>
  <si>
    <t>ITBisa - Xpedia Zenius.net 2.0 XII IPS Zenius net</t>
  </si>
  <si>
    <t>Level 1</t>
  </si>
  <si>
    <t>Level 2</t>
  </si>
  <si>
    <t>Elektronika</t>
  </si>
  <si>
    <t>IC</t>
  </si>
  <si>
    <t>Induktor</t>
  </si>
  <si>
    <t>Kabel</t>
  </si>
  <si>
    <t>Kapasitor</t>
  </si>
  <si>
    <t>Lampu</t>
  </si>
  <si>
    <t>Segment</t>
  </si>
  <si>
    <t>Socket</t>
  </si>
  <si>
    <t>Ospek</t>
  </si>
  <si>
    <t>Sarung Tangan</t>
  </si>
  <si>
    <t>Senter</t>
  </si>
  <si>
    <t>Syal</t>
  </si>
  <si>
    <t>Baterai</t>
  </si>
  <si>
    <t>Tanggal Beli</t>
  </si>
  <si>
    <t>Jenis
Transaksi
Debit</t>
  </si>
  <si>
    <t>Jenis
Transaksi
Kredit</t>
  </si>
  <si>
    <t>Nominal</t>
  </si>
  <si>
    <t>Perlengkapan Kardus</t>
  </si>
  <si>
    <t>Kas ITBisa</t>
  </si>
  <si>
    <t>80 x Kardus 12x6x6 - KARDUS MOUD Shopee</t>
  </si>
  <si>
    <t>Perlengkapan Tinta</t>
  </si>
  <si>
    <t>1 x Tinta EPSON Hitam L3110</t>
  </si>
  <si>
    <t>Perlengkapan Selotip</t>
  </si>
  <si>
    <t>Lakban 48mm x 90 yard (2 x 6 Cokelat BAGUS + 2 x 1 Bening JELEK)</t>
  </si>
  <si>
    <t>Perlengkapan Bubble Wrap</t>
  </si>
  <si>
    <t>Bubble Wrap Hitam 3 kg Non Core</t>
  </si>
  <si>
    <t>Perlengkapan Gunting</t>
  </si>
  <si>
    <t>1 x Gunting Joyko Besar - JURAGAN ATK Official Shopee</t>
  </si>
  <si>
    <t>Perlengkapan Plastik Klip</t>
  </si>
  <si>
    <t>1 x 1000 Plastik Klip - majuplastic Shopee</t>
  </si>
  <si>
    <t>6 x Lakban Cokelat 45mm x 90 yard - SUPER LIGHTING Shopee</t>
  </si>
  <si>
    <t>72 x Lakban Cokelat 45mm x 90 yard - kilatpacking Shopee</t>
  </si>
  <si>
    <t>Perlengkapan Tape Cutter</t>
  </si>
  <si>
    <t>3 x Tape Cutter 2 Inch - Andalan Packing Shopee</t>
  </si>
  <si>
    <t>193 x Kardus/Karton Box Packing 12x6x6 - ID karton Shopee</t>
  </si>
  <si>
    <t>390 x Karton Packing 12x6x6 - i Box Shopee</t>
  </si>
  <si>
    <r>
      <rPr>
        <rFont val="arial, sans, sans-serif"/>
      </rPr>
      <t xml:space="preserve">1 x Kardus 1-5 kg bekas Ale Ale 3Kg - PUSAT OLEH-OLEH </t>
    </r>
    <r>
      <rPr>
        <rFont val="arial, sans, sans-serif"/>
        <color rgb="FF1155CC"/>
        <u/>
      </rPr>
      <t>BREBES.ID</t>
    </r>
    <r>
      <rPr>
        <rFont val="arial, sans, sans-serif"/>
      </rPr>
      <t xml:space="preserve"> Shopee</t>
    </r>
  </si>
  <si>
    <t>1 x Bubble Wrap Hitam Standard 125cm x 50M - sipacking Shopee</t>
  </si>
  <si>
    <t>1 x Kardus 1-5 Kg bekas Ale Ale 3Kg - PUSAT OLEH-OLEH BREBES.ID - 260620JUFJQBW4</t>
  </si>
  <si>
    <t>2 x Lakban Solasi Cortape Plakban Selotip Cokelat 48mm x 90yard + 1 x Lakban Solasi Cortape Plakban Selotip Bening 48mm x 90yard - kilatpacking - 260620JUFJQBW3</t>
  </si>
  <si>
    <t>1 x Epson Tinta 003 1 set (Paket 4 warna) + 2 x Tinta Epson 003 Black Original - Epson Official Store Indonesia - 260617B1GDURYV</t>
  </si>
  <si>
    <t>Akun</t>
  </si>
  <si>
    <t>Referensi
(Kode Transaksi)</t>
  </si>
  <si>
    <t>Debit</t>
  </si>
  <si>
    <t>Kredit</t>
  </si>
  <si>
    <t>Piutang Migrasi - Shopee</t>
  </si>
  <si>
    <t>PIU-BisaStok-00004</t>
  </si>
  <si>
    <t/>
  </si>
  <si>
    <t xml:space="preserve">          Kas ITBisa</t>
  </si>
  <si>
    <t>KAS-BisaStok-00004</t>
  </si>
  <si>
    <t>Persediaan ITBISA-IC-LM741CN-DIP8</t>
  </si>
  <si>
    <t>INV-BisaStok-00004</t>
  </si>
  <si>
    <t xml:space="preserve">          Piutang Migrasi - Shopee</t>
  </si>
  <si>
    <t>Piutang Migrasi - Tokopedia</t>
  </si>
  <si>
    <t>PIU-BisaStok-00005</t>
  </si>
  <si>
    <t>KAS-BisaStok-00005</t>
  </si>
  <si>
    <t>Persediaan ITBISA-RESISTOR-470K-1/4W</t>
  </si>
  <si>
    <t>INV-BisaStok-00005</t>
  </si>
  <si>
    <t xml:space="preserve">          Piutang Migrasi - Tokopedia</t>
  </si>
  <si>
    <t>PIU-BisaStok-00006</t>
  </si>
  <si>
    <t>KAS-BisaStok-00006</t>
  </si>
  <si>
    <t>Persediaan ITBISA-RESISTOR-56K-1/4W</t>
  </si>
  <si>
    <t>INV-BisaStok-00006</t>
  </si>
  <si>
    <t>PIU-BisaStok-00007</t>
  </si>
  <si>
    <t>KAS-BisaStok-00007</t>
  </si>
  <si>
    <t>Persediaan ITBISA-RAPID-BOHLAM-E10-3.8V-SCREW</t>
  </si>
  <si>
    <t>INV-BisaStok-00007</t>
  </si>
  <si>
    <t>Piutang Migrasi - Jasa Impor Tiongkok</t>
  </si>
  <si>
    <t>PIU-BisaStok-00008</t>
  </si>
  <si>
    <t>KAS-BisaStok-00008</t>
  </si>
  <si>
    <t>Persediaan ITBISA-7SEGMENT-CATHODE-RED-0.56-1BIT</t>
  </si>
  <si>
    <t>INV-BisaStok-00008</t>
  </si>
  <si>
    <t xml:space="preserve">          Piutang Migrasi - Jasa Impor Tiongkok</t>
  </si>
  <si>
    <t>PIU-BisaStok-00009</t>
  </si>
  <si>
    <t>KAS-BisaStok-00009</t>
  </si>
  <si>
    <t>Persediaan ITBISA-IC-UA741CN-DIP8</t>
  </si>
  <si>
    <t>INV-BisaStok-00009</t>
  </si>
  <si>
    <t>PIU-BisaStok-00010</t>
  </si>
  <si>
    <t>KAS-BisaStok-00010</t>
  </si>
  <si>
    <t>Persediaan ITBISA-7SEGMENT-CATHODE-RED-1.20-1BIT</t>
  </si>
  <si>
    <t>INV-BisaStok-00010</t>
  </si>
  <si>
    <t>Piutang Migrasi - Ocistok/Martkita</t>
  </si>
  <si>
    <t>PIU-BisaStok-00011</t>
  </si>
  <si>
    <t>KAS-BisaStok-00011</t>
  </si>
  <si>
    <t>Persediaan ITBISA-TIGERHEAD-SENTER-KUNING-FT300</t>
  </si>
  <si>
    <t>INV-BisaStok-00012</t>
  </si>
  <si>
    <t>PIU-BisaStok-00012</t>
  </si>
  <si>
    <t>KAS-BisaStok-00012</t>
  </si>
  <si>
    <t>Persediaan ITBISA-7SEGMENT-CATHODE-RED-2.30-1BIT</t>
  </si>
  <si>
    <t>INV-BisaStok-00011</t>
  </si>
  <si>
    <t xml:space="preserve">          Piutang Migrasi - Ocistok/Martkita</t>
  </si>
  <si>
    <t>Piutang Migrasi - Art Techno</t>
  </si>
  <si>
    <t>PIU-BisaStok-00013</t>
  </si>
  <si>
    <t>KAS-BisaStok-00013</t>
  </si>
  <si>
    <t>Persediaan ITBISA-LED-MAX7219-4IN1-GAP</t>
  </si>
  <si>
    <t>INV-BisaStok-00013</t>
  </si>
  <si>
    <t xml:space="preserve">          Piutang Migrasi - Art Techno</t>
  </si>
  <si>
    <t>PIU-BisaStok-00014</t>
  </si>
  <si>
    <t>KAS-BisaStok-00014</t>
  </si>
  <si>
    <t>PIU-BisaStok-00015</t>
  </si>
  <si>
    <t>KAS-BisaStok-00015</t>
  </si>
  <si>
    <t>Persediaan ITBISA-RESISTOR-33K-1/4W</t>
  </si>
  <si>
    <t>INV-BisaStok-00015</t>
  </si>
  <si>
    <t>PIU-BisaStok-00016</t>
  </si>
  <si>
    <t>KAS-BisaStok-00016</t>
  </si>
  <si>
    <t>Persediaan ITBISA-LED-MAX7219-4IN1-TIGHT</t>
  </si>
  <si>
    <t>INV-BisaStok-00053</t>
  </si>
  <si>
    <t>PIU-BisaStok-00053</t>
  </si>
  <si>
    <t>PIU-BisaStok-00017</t>
  </si>
  <si>
    <t>KAS-BisaStok-00017</t>
  </si>
  <si>
    <t>Persediaan ITBISA-NODEMCU-V3-CH340G-ESP8266-MICRO</t>
  </si>
  <si>
    <t>INV-BisaStok-00016</t>
  </si>
  <si>
    <t>Persediaan ITBISA-RAPID-BOHLAM-E10-2.5V-SCREW</t>
  </si>
  <si>
    <t>INV-BisaStok-00017</t>
  </si>
  <si>
    <t>PIU-BisaStok-00018</t>
  </si>
  <si>
    <t>KAS-BisaStok-00018</t>
  </si>
  <si>
    <t>Persediaan ITBISA-ABC-BATERAI-D-POWER</t>
  </si>
  <si>
    <t>INV-BisaStok-00018</t>
  </si>
  <si>
    <t>PIU-BisaStok-00019</t>
  </si>
  <si>
    <t>KAS-BisaStok-00019</t>
  </si>
  <si>
    <t>PIU-BisaStok-00020</t>
  </si>
  <si>
    <t>KAS-BisaStok-00020</t>
  </si>
  <si>
    <t>Persediaan ITBISA-SENSOR-SUHU-DHT11</t>
  </si>
  <si>
    <t>INV-BisaStok-00019</t>
  </si>
  <si>
    <t>Persediaan ITBISA-RESISTOR-4K7-1/4W</t>
  </si>
  <si>
    <t>INV-BisaStok-00020</t>
  </si>
  <si>
    <t>PIU-BisaStok-00021</t>
  </si>
  <si>
    <t>KAS-BisaStok-00021</t>
  </si>
  <si>
    <t>PIU-BisaStok-00022</t>
  </si>
  <si>
    <t>KAS-BisaStok-00022</t>
  </si>
  <si>
    <t>Persediaan ITBISA-IC-L7805CV-TO220</t>
  </si>
  <si>
    <t>INV-BisaStok-00022</t>
  </si>
  <si>
    <t>PIU-BisaStok-00023</t>
  </si>
  <si>
    <t>KAS-BisaStok-00023</t>
  </si>
  <si>
    <t>PIU-BisaStok-00024</t>
  </si>
  <si>
    <t>KAS-BisaStok-00024</t>
  </si>
  <si>
    <t>PIU-BisaStok-00025</t>
  </si>
  <si>
    <t>KAS-BisaStok-00025</t>
  </si>
  <si>
    <t>PIU-BisaStok-00026</t>
  </si>
  <si>
    <t>KAS-BisaStok-00026</t>
  </si>
  <si>
    <t>Persediaan ITBISA-SOCKET-BATERAI-AA-4SLOT</t>
  </si>
  <si>
    <t>INV-BisaStok-00024</t>
  </si>
  <si>
    <t>Persediaan ITBISA-IC-L7812CV-TO220</t>
  </si>
  <si>
    <t>INV-BisaStok-00023</t>
  </si>
  <si>
    <t>Persediaan ITBISA-7SEGMENT-ANODE-RED-1.00-1BIT</t>
  </si>
  <si>
    <t>INV-BisaStok-00014</t>
  </si>
  <si>
    <t>PIU-BisaStok-00027</t>
  </si>
  <si>
    <t>KAS-BisaStok-00027</t>
  </si>
  <si>
    <t>Persediaan ITBISA-SOCKET-IC-DIP20-NARROW</t>
  </si>
  <si>
    <t>INV-BisaStok-00027</t>
  </si>
  <si>
    <t>Persediaan ITBISA-IC-ULN2803APG-DIP18</t>
  </si>
  <si>
    <t>INV-BisaStok-00021</t>
  </si>
  <si>
    <t>PIU-BisaStok-00028</t>
  </si>
  <si>
    <t>KAS-BisaStok-00028</t>
  </si>
  <si>
    <t>PIU-BisaStok-00029</t>
  </si>
  <si>
    <t>KAS-BisaStok-00029</t>
  </si>
  <si>
    <t>Persediaan ITBISA-PIN-HEADER-MALE-1X40PIN-LURUS</t>
  </si>
  <si>
    <t>INV-BisaStok-00029</t>
  </si>
  <si>
    <t>Persediaan ITBISA-PIN-HEADER-MALE-1X40PIN-L-SAMA</t>
  </si>
  <si>
    <t>INV-BisaStok-00028</t>
  </si>
  <si>
    <t>Persediaan ITBISA-RELAY-12V-4PIN-BLUE</t>
  </si>
  <si>
    <t>INV-BisaStok-00025</t>
  </si>
  <si>
    <t>Persediaan ITBISA-RELAY-5V-4PIN-BLUE</t>
  </si>
  <si>
    <t>INV-BisaStok-00026</t>
  </si>
  <si>
    <t>PIU-BisaStok-00030</t>
  </si>
  <si>
    <t>KAS-BisaStok-00030</t>
  </si>
  <si>
    <t>Persediaan ITBISA-RTC-DS3231M</t>
  </si>
  <si>
    <t>INV-BisaStok-00030</t>
  </si>
  <si>
    <t>PIU-BisaStok-00031</t>
  </si>
  <si>
    <t>KAS-BisaStok-00031</t>
  </si>
  <si>
    <t>Persediaan ITBISA-LED-SUPERBRIGHT-5MM-YELLOW</t>
  </si>
  <si>
    <t>INV-BisaStok-00031</t>
  </si>
  <si>
    <t>PIU-BisaStok-00032</t>
  </si>
  <si>
    <t>KAS-BisaStok-00032</t>
  </si>
  <si>
    <t>PIU-BisaStok-00033</t>
  </si>
  <si>
    <t>KAS-BisaStok-00033</t>
  </si>
  <si>
    <t>Persediaan ITBISA-INFRARED-1838</t>
  </si>
  <si>
    <t>INV-BisaStok-00032</t>
  </si>
  <si>
    <t>Persediaan ITBISA-I2C-IIC-LCD</t>
  </si>
  <si>
    <t>INV-BisaStok-00033</t>
  </si>
  <si>
    <t>PIU-BisaStok-00034</t>
  </si>
  <si>
    <t>KAS-BisaStok-00034</t>
  </si>
  <si>
    <t>Persediaan ITBISA-RFID-RC522-KIT</t>
  </si>
  <si>
    <t>INV-BisaStok-00034</t>
  </si>
  <si>
    <t>PIU-BisaStok-00035</t>
  </si>
  <si>
    <t>KAS-BisaStok-00035</t>
  </si>
  <si>
    <t>Persediaan ITBISA-SENSOR-ULTRASONIK-HCSR04</t>
  </si>
  <si>
    <t>INV-BisaStok-00035</t>
  </si>
  <si>
    <t>PIU-BisaStok-00036</t>
  </si>
  <si>
    <t>KAS-BisaStok-00036</t>
  </si>
  <si>
    <t>PIU-BisaStok-00037</t>
  </si>
  <si>
    <t>KAS-BisaStok-00037</t>
  </si>
  <si>
    <t>PIU-BisaStok-00038</t>
  </si>
  <si>
    <t>KAS-BisaStok-00038</t>
  </si>
  <si>
    <t>Persediaan ITBISA-IDC-2X5-AMPHENOL-MALE</t>
  </si>
  <si>
    <t>INV-BisaStok-00036</t>
  </si>
  <si>
    <t>Persediaan ITBISA-SOCKET-IC-DIP8-NARROW</t>
  </si>
  <si>
    <t>INV-BisaStok-00037</t>
  </si>
  <si>
    <t>Persediaan ITBISA-BLUETOOTH-MODULE-HC05</t>
  </si>
  <si>
    <t>INV-BisaStok-00038</t>
  </si>
  <si>
    <t>PIU-BisaStok-00039</t>
  </si>
  <si>
    <t>KAS-BisaStok-00039</t>
  </si>
  <si>
    <t>PIU-BisaStok-00040</t>
  </si>
  <si>
    <t>KAS-BisaStok-00040</t>
  </si>
  <si>
    <t>PIU-BisaStok-00041</t>
  </si>
  <si>
    <t>KAS-BisaStok-00041</t>
  </si>
  <si>
    <t>Persediaan ITBISA-TERMINAL-BLOCK-KF301-2P-BLUE</t>
  </si>
  <si>
    <t>INV-BisaStok-00039</t>
  </si>
  <si>
    <t>Persediaan ITBISA-JUMPER-MF-10CM</t>
  </si>
  <si>
    <t>INV-BisaStok-00040</t>
  </si>
  <si>
    <t>Persediaan ITBISA-JUMPER-MM-10CM</t>
  </si>
  <si>
    <t>INV-BisaStok-00041</t>
  </si>
  <si>
    <t>PIU-BisaStok-00042</t>
  </si>
  <si>
    <t>KAS-BisaStok-00042</t>
  </si>
  <si>
    <t>PIU-BisaStok-00043</t>
  </si>
  <si>
    <t>KAS-BisaStok-00043</t>
  </si>
  <si>
    <t>Persediaan ITBISA-RESISTOR-220-1/4W</t>
  </si>
  <si>
    <t>INV-BisaStok-00042</t>
  </si>
  <si>
    <t>Persediaan ITBISA-RESISTOR-270-1/4W</t>
  </si>
  <si>
    <t>INV-BisaStok-00043</t>
  </si>
  <si>
    <t>PIU-BisaStok-00044</t>
  </si>
  <si>
    <t>KAS-BisaStok-00044</t>
  </si>
  <si>
    <t>PIU-BisaStok-00045</t>
  </si>
  <si>
    <t>KAS-BisaStok-00045</t>
  </si>
  <si>
    <t>PIU-BisaStok-00046</t>
  </si>
  <si>
    <t>KAS-BisaStok-00046</t>
  </si>
  <si>
    <t>PIU-BisaStok-00047</t>
  </si>
  <si>
    <t>KAS-BisaStok-00047</t>
  </si>
  <si>
    <t>Persediaan ITBISA-SERVO-CHECKER</t>
  </si>
  <si>
    <t>INV-BisaStok-00047</t>
  </si>
  <si>
    <t>Persediaan ITBISA-LCD-16X2-GREEN</t>
  </si>
  <si>
    <t>INV-BisaStok-00045</t>
  </si>
  <si>
    <t>PIU-BisaStok-00048</t>
  </si>
  <si>
    <t>KAS-BisaStok-00048</t>
  </si>
  <si>
    <t>Persediaan ITBISA-RELAY-5V-5PIN-BLUE</t>
  </si>
  <si>
    <t>INV-BisaStok-00046</t>
  </si>
  <si>
    <t>Persediaan ITBISA-JUMPER-FF-20CM</t>
  </si>
  <si>
    <t>INV-BisaStok-00044</t>
  </si>
  <si>
    <t>Persediaan ITBISA-LED-SUPERBRIGHT-5MM-WHITE</t>
  </si>
  <si>
    <t>INV-BisaStok-00048</t>
  </si>
  <si>
    <t>PIU-BisaStok-00049</t>
  </si>
  <si>
    <t>KAS-BisaStok-00049</t>
  </si>
  <si>
    <t>Persediaan ITBISA-IC-ULN2003AN-DIP16</t>
  </si>
  <si>
    <t>INV-BisaStok-00049</t>
  </si>
  <si>
    <t>PIU-BisaStok-00050</t>
  </si>
  <si>
    <t>KAS-BisaStok-00050</t>
  </si>
  <si>
    <t>Persediaan ITBISA-SERVO-SG90-360DEG</t>
  </si>
  <si>
    <t>INV-BisaStok-00050</t>
  </si>
  <si>
    <t>Piutang Migrasi - PT Arta Boga</t>
  </si>
  <si>
    <t>PIU-BisaStok-00051</t>
  </si>
  <si>
    <t>KAS-BisaStok-00051</t>
  </si>
  <si>
    <t>PIU-BisaStok-00052</t>
  </si>
  <si>
    <t>KAS-BisaStok-00052</t>
  </si>
  <si>
    <t>KAS-BisaStok-00053</t>
  </si>
  <si>
    <t>Persediaan ITBISA-ABC-BATERAI-AA-ALKALINE</t>
  </si>
  <si>
    <t>INV-BisaStok-00051</t>
  </si>
  <si>
    <t xml:space="preserve">          Piutang Migrasi - PT Arta Boga</t>
  </si>
  <si>
    <t>PIU-BisaStok-00054</t>
  </si>
  <si>
    <t>KAS-BisaStok-00054</t>
  </si>
  <si>
    <t>Persediaan ITBISA-JUMPER-FF-10CM</t>
  </si>
  <si>
    <t>INV-BisaStok-00052</t>
  </si>
  <si>
    <t>Persediaan ITBISA-RTC-DS3231SN</t>
  </si>
  <si>
    <t>INV-BisaStok-00054</t>
  </si>
  <si>
    <t>PIU-BisaStok-00055</t>
  </si>
  <si>
    <t>KAS-BisaStok-00055</t>
  </si>
  <si>
    <t>DBT-BisaPerlengkapan-00009</t>
  </si>
  <si>
    <t>CRT-BisaPerlengkapan-00009</t>
  </si>
  <si>
    <t>Persediaan ITBISA-RELAY-12V-5PIN-BLUE</t>
  </si>
  <si>
    <t>INV-BisaStok-00055</t>
  </si>
  <si>
    <t>PIU-BisaStok-00056</t>
  </si>
  <si>
    <t>KAS-BisaStok-00056</t>
  </si>
  <si>
    <t>PIU-BisaStok-00057</t>
  </si>
  <si>
    <t>KAS-BisaStok-00057</t>
  </si>
  <si>
    <t>PIU-BisaStok-00058</t>
  </si>
  <si>
    <t>KAS-BisaStok-00058</t>
  </si>
  <si>
    <t>PIU-BisaStok-00059</t>
  </si>
  <si>
    <t>KAS-BisaStok-00059</t>
  </si>
  <si>
    <t>PIU-BisaStok-00060</t>
  </si>
  <si>
    <t>KAS-BisaStok-00060</t>
  </si>
  <si>
    <t>PIU-BisaStok-00061</t>
  </si>
  <si>
    <t>KAS-BisaStok-00061</t>
  </si>
  <si>
    <t>PIU-BisaStok-00062</t>
  </si>
  <si>
    <t>KAS-BisaStok-00062</t>
  </si>
  <si>
    <t>PIU-BisaStok-00063</t>
  </si>
  <si>
    <t>KAS-BisaStok-00063</t>
  </si>
  <si>
    <t>Persediaan ITBISA-RESISTOR-100K-1/4W</t>
  </si>
  <si>
    <t>INV-BisaStok-00056</t>
  </si>
  <si>
    <t>Persediaan ITBISA-RESISTOR-10K-1/4W</t>
  </si>
  <si>
    <t>INV-BisaStok-00057</t>
  </si>
  <si>
    <t>Persediaan ITBISA-RESISTOR-18K-1/4W</t>
  </si>
  <si>
    <t>INV-BisaStok-00058</t>
  </si>
  <si>
    <t>Persediaan ITBISA-RESISTOR-27K-1/4W</t>
  </si>
  <si>
    <t>INV-BisaStok-00059</t>
  </si>
  <si>
    <t>Persediaan ITBISA-RESISTOR-39K-1/4W</t>
  </si>
  <si>
    <t>INV-BisaStok-00060</t>
  </si>
  <si>
    <t>Persediaan ITBISA-RESISTOR-560-1/4W</t>
  </si>
  <si>
    <t>INV-BisaStok-00061</t>
  </si>
  <si>
    <t>Persediaan ITBISA-RESISTOR-5K6-1/4W</t>
  </si>
  <si>
    <t>INV-BisaStok-00062</t>
  </si>
  <si>
    <t>Persediaan ITBISA-RESISTOR-330-1/4W</t>
  </si>
  <si>
    <t>INV-BisaStok-00063</t>
  </si>
  <si>
    <t>PIU-BisaStok-00064</t>
  </si>
  <si>
    <t>KAS-BisaStok-00064</t>
  </si>
  <si>
    <t>PIU-BisaStok-00065</t>
  </si>
  <si>
    <t>KAS-BisaStok-00065</t>
  </si>
  <si>
    <t>Persediaan ITBISA-BUZZER-ACTIVE-5V</t>
  </si>
  <si>
    <t>INV-BisaStok-00064</t>
  </si>
  <si>
    <t>Persediaan ITBISA-ABC-BATERAI-9V-POWER</t>
  </si>
  <si>
    <t>INV-BisaStok-00065</t>
  </si>
  <si>
    <t>PIU-BisaStok-00066</t>
  </si>
  <si>
    <t>KAS-BisaStok-00066</t>
  </si>
  <si>
    <t>Persediaan ITBISA-DC-TO-DC-STEPUP-XL6009</t>
  </si>
  <si>
    <t>INV-BisaStok-00066</t>
  </si>
  <si>
    <t>PIU-BisaStok-00067</t>
  </si>
  <si>
    <t>KAS-BisaStok-00067</t>
  </si>
  <si>
    <t>PIU-BisaStok-00068</t>
  </si>
  <si>
    <t>KAS-BisaStok-00068</t>
  </si>
  <si>
    <t>Persediaan ITBISA-7SEGMENT-ANODE-RED-1.20-1BIT</t>
  </si>
  <si>
    <t>INV-BisaStok-00068</t>
  </si>
  <si>
    <t>Persediaan ITBISA-IC-NE555P-DIP8</t>
  </si>
  <si>
    <t>INV-BisaStok-00067</t>
  </si>
  <si>
    <t>PIU-BisaStok-00069</t>
  </si>
  <si>
    <t>KAS-BisaStok-00069</t>
  </si>
  <si>
    <t>Persediaan ITBISA-IC-ATMEGA328P-DIP28</t>
  </si>
  <si>
    <t>INV-BisaStok-00069</t>
  </si>
  <si>
    <t>PIU-BisaStok-00070</t>
  </si>
  <si>
    <t>KAS-BisaStok-00070</t>
  </si>
  <si>
    <t>Persediaan ITBISA-SOCKET-IC-DIP16-NARROW</t>
  </si>
  <si>
    <t>INV-BisaStok-00070</t>
  </si>
  <si>
    <t>PIU-BisaStok-00071</t>
  </si>
  <si>
    <t>KAS-BisaStok-00071</t>
  </si>
  <si>
    <t>PIU-BisaStok-00072</t>
  </si>
  <si>
    <t>KAS-BisaStok-00072</t>
  </si>
  <si>
    <t>PIU-BisaStok-00073</t>
  </si>
  <si>
    <t>KAS-BisaStok-00073</t>
  </si>
  <si>
    <t>PIU-BisaStok-00074</t>
  </si>
  <si>
    <t>KAS-BisaStok-00074</t>
  </si>
  <si>
    <t>PIU-BisaStok-00075</t>
  </si>
  <si>
    <t>KAS-BisaStok-00075</t>
  </si>
  <si>
    <t>PIU-BisaStok-00076</t>
  </si>
  <si>
    <t>KAS-BisaStok-00076</t>
  </si>
  <si>
    <t>PIU-BisaStok-00077</t>
  </si>
  <si>
    <t>KAS-BisaStok-00077</t>
  </si>
  <si>
    <t>PIU-BisaStok-00078</t>
  </si>
  <si>
    <t>KAS-BisaStok-00078</t>
  </si>
  <si>
    <t>PIU-BisaStok-00079</t>
  </si>
  <si>
    <t>KAS-BisaStok-00079</t>
  </si>
  <si>
    <t>PIU-BisaStok-00080</t>
  </si>
  <si>
    <t>KAS-BisaStok-00080</t>
  </si>
  <si>
    <t>Persediaan ITBISA-DC-TO-DC-STEPDOWN-XL4015</t>
  </si>
  <si>
    <t>INV-BisaStok-00079</t>
  </si>
  <si>
    <t>Persediaan ITBISA-JUMPER-MF-20CM</t>
  </si>
  <si>
    <t>INV-BisaStok-00071</t>
  </si>
  <si>
    <t>Persediaan ITBISA-RESISTOR-150K-1/4W</t>
  </si>
  <si>
    <t>INV-BisaStok-00073</t>
  </si>
  <si>
    <t>Persediaan ITBISA-RESISTOR-15K-1/4W</t>
  </si>
  <si>
    <t>INV-BisaStok-00074</t>
  </si>
  <si>
    <t>Persediaan ITBISA-RESISTOR-22K-1/4W</t>
  </si>
  <si>
    <t>INV-BisaStok-00075</t>
  </si>
  <si>
    <t>Persediaan ITBISA-RESISTOR-270K-1/4W</t>
  </si>
  <si>
    <t>INV-BisaStok-00076</t>
  </si>
  <si>
    <t>Persediaan ITBISA-RESISTOR-2K7-1/4W</t>
  </si>
  <si>
    <t>INV-BisaStok-00077</t>
  </si>
  <si>
    <t>Persediaan ITBISA-RESISTOR-390-1/4W</t>
  </si>
  <si>
    <t>INV-BisaStok-00078</t>
  </si>
  <si>
    <t>Persediaan ITBISA-NPN-BC548-TO92</t>
  </si>
  <si>
    <t>INV-BisaStok-00072</t>
  </si>
  <si>
    <t>Persediaan ITBISA-IDC-2X5-AMPHENOL-FEMALE</t>
  </si>
  <si>
    <t>INV-BisaStok-00080</t>
  </si>
  <si>
    <t>PIU-BisaStok-00081</t>
  </si>
  <si>
    <t>KAS-BisaStok-00081</t>
  </si>
  <si>
    <t>PIU-BisaStok-00082</t>
  </si>
  <si>
    <t>KAS-BisaStok-00082</t>
  </si>
  <si>
    <t>PIU-BisaStok-00083</t>
  </si>
  <si>
    <t>KAS-BisaStok-00083</t>
  </si>
  <si>
    <t>PIU-BisaStok-00084</t>
  </si>
  <si>
    <t>KAS-BisaStok-00084</t>
  </si>
  <si>
    <t>PIU-BisaStok-00085</t>
  </si>
  <si>
    <t>KAS-BisaStok-00085</t>
  </si>
  <si>
    <t>PIU-BisaStok-00086</t>
  </si>
  <si>
    <t>KAS-BisaStok-00086</t>
  </si>
  <si>
    <t>PIU-BisaStok-00087</t>
  </si>
  <si>
    <t>KAS-BisaStok-00087</t>
  </si>
  <si>
    <t>PIU-BisaStok-00088</t>
  </si>
  <si>
    <t>KAS-BisaStok-00088</t>
  </si>
  <si>
    <t>PIU-BisaStok-00089</t>
  </si>
  <si>
    <t>KAS-BisaStok-00089</t>
  </si>
  <si>
    <t>Persediaan ITBISA-BREADBOARD-830HOLE-MB102</t>
  </si>
  <si>
    <t>INV-BisaStok-00089</t>
  </si>
  <si>
    <t>Persediaan ITBISA-IC-JRC4558D-DIP8</t>
  </si>
  <si>
    <t>INV-BisaStok-00082</t>
  </si>
  <si>
    <t>Piutang Ocistok/Martkita</t>
  </si>
  <si>
    <t>PIU-BisaStok-00090</t>
  </si>
  <si>
    <t>KAS-BisaStok-00090</t>
  </si>
  <si>
    <t>PIU-BisaStok-00091</t>
  </si>
  <si>
    <t>KAS-BisaStok-00091</t>
  </si>
  <si>
    <t>PIU-BisaStok-00092</t>
  </si>
  <si>
    <t>KAS-BisaStok-00092</t>
  </si>
  <si>
    <t>PIU-BisaStok-00093</t>
  </si>
  <si>
    <t>KAS-BisaStok-00093</t>
  </si>
  <si>
    <t>Persediaan ITBISA-DC-TO-DC-STEPDOWN-XL4005</t>
  </si>
  <si>
    <t>INV-BisaStok-00081</t>
  </si>
  <si>
    <t>Persediaan ITBISA-NPN-2N3904-TO92</t>
  </si>
  <si>
    <t>INV-BisaStok-00083</t>
  </si>
  <si>
    <t>Persediaan ITBISA-NPN-BC547-TO92</t>
  </si>
  <si>
    <t>INV-BisaStok-00084</t>
  </si>
  <si>
    <t>Persediaan ITBISA-NPN-S9013-TO92</t>
  </si>
  <si>
    <t>INV-BisaStok-00085</t>
  </si>
  <si>
    <t>Persediaan ITBISA-PNP-2N3906-TO92</t>
  </si>
  <si>
    <t>INV-BisaStok-00086</t>
  </si>
  <si>
    <t>Persediaan ITBISA-PNP-BC557-TO92</t>
  </si>
  <si>
    <t>INV-BisaStok-00087</t>
  </si>
  <si>
    <t>Persediaan ITBISA-PNP-S9012-TO92</t>
  </si>
  <si>
    <t>INV-BisaStok-00088</t>
  </si>
  <si>
    <t>PIU-BisaStok-00094</t>
  </si>
  <si>
    <t>KAS-BisaStok-00094</t>
  </si>
  <si>
    <t>PIU-BisaStok-00095</t>
  </si>
  <si>
    <t>KAS-BisaStok-00095</t>
  </si>
  <si>
    <t>PIU-BisaStok-00096</t>
  </si>
  <si>
    <t>KAS-BisaStok-00096</t>
  </si>
  <si>
    <t>PIU-BisaStok-00097</t>
  </si>
  <si>
    <t>KAS-BisaStok-00097</t>
  </si>
  <si>
    <t>PIU-BisaStok-00098</t>
  </si>
  <si>
    <t>KAS-BisaStok-00098</t>
  </si>
  <si>
    <t>PIU-BisaStok-00099</t>
  </si>
  <si>
    <t>KAS-BisaStok-00099</t>
  </si>
  <si>
    <t>PIU-BisaStok-00100</t>
  </si>
  <si>
    <t>KAS-BisaStok-00100</t>
  </si>
  <si>
    <t>PIU-BisaStok-00101</t>
  </si>
  <si>
    <t>KAS-BisaStok-00101</t>
  </si>
  <si>
    <t>Persediaan ITBISA-CHIP-ESP8266-ESP12F</t>
  </si>
  <si>
    <t>INV-BisaStok-00101</t>
  </si>
  <si>
    <t>Persediaan ITBISA-CHIP-ESP32-WROOM-ANTENNA</t>
  </si>
  <si>
    <t>INV-BisaStok-00096</t>
  </si>
  <si>
    <t>Persediaan ITBISA-SERVO-SG90-180DEG</t>
  </si>
  <si>
    <t>INV-BisaStok-00100</t>
  </si>
  <si>
    <t>Persediaan ITBISA-PCB-5X7-COPPER-SINGLE-SIDE</t>
  </si>
  <si>
    <t>INV-BisaStok-00094</t>
  </si>
  <si>
    <t>Persediaan ITBISA-NPN-BC337-TO92</t>
  </si>
  <si>
    <t>INV-BisaStok-00097</t>
  </si>
  <si>
    <t>Persediaan ITBISA-JACK-DC-005-FEMALE</t>
  </si>
  <si>
    <t>INV-BisaStok-00095</t>
  </si>
  <si>
    <t>PIU-BisaStok-00102</t>
  </si>
  <si>
    <t>KAS-BisaStok-00102</t>
  </si>
  <si>
    <t>Persediaan ITBISA-LED-SUPERBRIGHT-5MM-GREEN</t>
  </si>
  <si>
    <t>INV-BisaStok-00102</t>
  </si>
  <si>
    <t>PIU-BisaStok-00103</t>
  </si>
  <si>
    <t>KAS-BisaStok-00103</t>
  </si>
  <si>
    <t>PIU-BisaStok-00104</t>
  </si>
  <si>
    <t>KAS-BisaStok-00104</t>
  </si>
  <si>
    <t>PIU-BisaStok-00105</t>
  </si>
  <si>
    <t>KAS-BisaStok-00105</t>
  </si>
  <si>
    <t>PIU-BisaStok-00106</t>
  </si>
  <si>
    <t>KAS-BisaStok-00106</t>
  </si>
  <si>
    <t>PIU-BisaStok-00107</t>
  </si>
  <si>
    <t>KAS-BisaStok-00107</t>
  </si>
  <si>
    <t>PIU-BisaStok-00108</t>
  </si>
  <si>
    <t>KAS-BisaStok-00108</t>
  </si>
  <si>
    <t>PIU-BisaStok-00109</t>
  </si>
  <si>
    <t>KAS-BisaStok-00109</t>
  </si>
  <si>
    <t>PIU-BisaStok-00110</t>
  </si>
  <si>
    <t>KAS-BisaStok-00110</t>
  </si>
  <si>
    <t>PIU-BisaStok-00111</t>
  </si>
  <si>
    <t>KAS-BisaStok-00111</t>
  </si>
  <si>
    <t>PIU-BisaStok-00112</t>
  </si>
  <si>
    <t>KAS-BisaStok-00112</t>
  </si>
  <si>
    <t>PIU-BisaStok-00113</t>
  </si>
  <si>
    <t>KAS-BisaStok-00113</t>
  </si>
  <si>
    <t>PIU-BisaStok-00114</t>
  </si>
  <si>
    <t>KAS-BisaStok-00114</t>
  </si>
  <si>
    <t>PIU-BisaStok-00115</t>
  </si>
  <si>
    <t>KAS-BisaStok-00115</t>
  </si>
  <si>
    <t>PIU-BisaStok-00116</t>
  </si>
  <si>
    <t>KAS-BisaStok-00116</t>
  </si>
  <si>
    <t>PIU-BisaStok-00117</t>
  </si>
  <si>
    <t>KAS-BisaStok-00117</t>
  </si>
  <si>
    <t>PIU-BisaStok-00118</t>
  </si>
  <si>
    <t>KAS-BisaStok-00118</t>
  </si>
  <si>
    <t>PIU-BisaStok-00119</t>
  </si>
  <si>
    <t>KAS-BisaStok-00119</t>
  </si>
  <si>
    <t>PIU-BisaStok-00120</t>
  </si>
  <si>
    <t>KAS-BisaStok-00120</t>
  </si>
  <si>
    <t>PIU-BisaStok-00121</t>
  </si>
  <si>
    <t>KAS-BisaStok-00121</t>
  </si>
  <si>
    <t>PIU-BisaStok-00122</t>
  </si>
  <si>
    <t>KAS-BisaStok-00122</t>
  </si>
  <si>
    <t>PIU-BisaStok-00123</t>
  </si>
  <si>
    <t>KAS-BisaStok-00123</t>
  </si>
  <si>
    <t>PIU-BisaStok-00124</t>
  </si>
  <si>
    <t>KAS-BisaStok-00124</t>
  </si>
  <si>
    <t>PIU-BisaStok-00125</t>
  </si>
  <si>
    <t>KAS-BisaStok-00125</t>
  </si>
  <si>
    <t>Persediaan ITBISA-RESISTOR-2K2-1/4W</t>
  </si>
  <si>
    <t>INV-BisaStok-00119</t>
  </si>
  <si>
    <t>Persediaan ITBISA-RESISTOR-3K3-1/4W</t>
  </si>
  <si>
    <t>INV-BisaStok-00120</t>
  </si>
  <si>
    <t>Persediaan ITBISA-RESISTOR-47K-1/4W</t>
  </si>
  <si>
    <t>INV-BisaStok-00121</t>
  </si>
  <si>
    <t>Persediaan ITBISA-RESISTOR-6K8-1/4W</t>
  </si>
  <si>
    <t>INV-BisaStok-00123</t>
  </si>
  <si>
    <t>Persediaan ITBISA-IC-CD4094BM-SMD-SOP16</t>
  </si>
  <si>
    <t>INV-BisaStok-00125</t>
  </si>
  <si>
    <t>Persediaan ITBISA-KAPASITOR-ELCO-2200UF-25V</t>
  </si>
  <si>
    <t>INV-BisaStok-00103</t>
  </si>
  <si>
    <t>Persediaan ITBISA-RESISTOR-120K-1/4W</t>
  </si>
  <si>
    <t>INV-BisaStok-00115</t>
  </si>
  <si>
    <t>Persediaan ITBISA-RESISTOR-12K-1/4W</t>
  </si>
  <si>
    <t>INV-BisaStok-00116</t>
  </si>
  <si>
    <t>Persediaan ITBISA-RESISTOR-1K-1/4W</t>
  </si>
  <si>
    <t>INV-BisaStok-00117</t>
  </si>
  <si>
    <t>Persediaan ITBISA-RESISTOR-1M-1/4W</t>
  </si>
  <si>
    <t>INV-BisaStok-00118</t>
  </si>
  <si>
    <t>Persediaan ITBISA-RESISTOR-680K-1/4W</t>
  </si>
  <si>
    <t>INV-BisaStok-00122</t>
  </si>
  <si>
    <t>Persediaan ITBISA-LED-SUPERBRIGHT-5MM-BLUE</t>
  </si>
  <si>
    <t>INV-BisaStok-00113</t>
  </si>
  <si>
    <t>Persediaan ITBISA-LED-SUPERBRIGHT-5MM-RED</t>
  </si>
  <si>
    <t>INV-BisaStok-00114</t>
  </si>
  <si>
    <t>Persediaan ITBISA-JUMPER-MM-20CM</t>
  </si>
  <si>
    <t>INV-BisaStok-00124</t>
  </si>
  <si>
    <t>Persediaan ITBISA-SOCKET-IC-DIP14-NARROW</t>
  </si>
  <si>
    <t>INV-BisaStok-00111</t>
  </si>
  <si>
    <t>Persediaan ITBISA-SOCKET-IC-DIP28-NARROW</t>
  </si>
  <si>
    <t>INV-BisaStok-00112</t>
  </si>
  <si>
    <t>Persediaan ITBISA-NPN-2N2222-TO92</t>
  </si>
  <si>
    <t>INV-BisaStok-00104</t>
  </si>
  <si>
    <t>Persediaan ITBISA-NPN-2N5551-TO92</t>
  </si>
  <si>
    <t>INV-BisaStok-00105</t>
  </si>
  <si>
    <t>Persediaan ITBISA-PNP-2N5401-TO92</t>
  </si>
  <si>
    <t>INV-BisaStok-00106</t>
  </si>
  <si>
    <t>Persediaan ITBISA-PNP-A1015-TO92</t>
  </si>
  <si>
    <t>INV-BisaStok-00107</t>
  </si>
  <si>
    <t>Persediaan ITBISA-PNP-BC558-TO92</t>
  </si>
  <si>
    <t>INV-BisaStok-00108</t>
  </si>
  <si>
    <t>Persediaan ITBISA-PNP-S8550-TO92</t>
  </si>
  <si>
    <t>INV-BisaStok-00109</t>
  </si>
  <si>
    <t>Persediaan ITBISA-RELAY-5V-1CHANNEL-BLUE-LOW-TRIGGER</t>
  </si>
  <si>
    <t>INV-BisaStok-00110</t>
  </si>
  <si>
    <t>PIU-BisaStok-00126</t>
  </si>
  <si>
    <t>KAS-BisaStok-00126</t>
  </si>
  <si>
    <t>Persediaan ITBISA-ARDUINO-UNO-R3-328P-SMD</t>
  </si>
  <si>
    <t>INV-BisaStok-00098</t>
  </si>
  <si>
    <t>Persediaan ITBISA-USB-A-TO-B-30CM</t>
  </si>
  <si>
    <t>INV-BisaStok-00099</t>
  </si>
  <si>
    <t>PIU-BisaStok-00127</t>
  </si>
  <si>
    <t>KAS-BisaStok-00127</t>
  </si>
  <si>
    <t>PIU-BisaStok-00128</t>
  </si>
  <si>
    <t>KAS-BisaStok-00128</t>
  </si>
  <si>
    <t>PIU-BisaStok-00129</t>
  </si>
  <si>
    <t>KAS-BisaStok-00129</t>
  </si>
  <si>
    <t>PIU-BisaStok-00130</t>
  </si>
  <si>
    <t>KAS-BisaStok-00130</t>
  </si>
  <si>
    <t>Persediaan ITBISA-7SEGMENT-ANODE-RED-0.56-1BIT</t>
  </si>
  <si>
    <t>INV-BisaStok-00090</t>
  </si>
  <si>
    <t xml:space="preserve">          Piutang Ocistok/Martkita</t>
  </si>
  <si>
    <t>Persediaan ITBISA-IC-CD4017BE-DIP16</t>
  </si>
  <si>
    <t>INV-BisaStok-00092</t>
  </si>
  <si>
    <t>PIU-BisaStok-00131</t>
  </si>
  <si>
    <t>KAS-BisaStok-00131</t>
  </si>
  <si>
    <t>PIU-BisaStok-00132</t>
  </si>
  <si>
    <t>KAS-BisaStok-00132</t>
  </si>
  <si>
    <t>Persediaan ITBISA-DC-TO-DC-STEPDOWN-LM2596</t>
  </si>
  <si>
    <t>INV-BisaStok-00129</t>
  </si>
  <si>
    <t>Persediaan ITBISA-WEMOS-D1-MINI-ESP8266</t>
  </si>
  <si>
    <t>INV-BisaStok-00132</t>
  </si>
  <si>
    <t>Persediaan ITBISA-IC-74HC595N-DIP16</t>
  </si>
  <si>
    <t>INV-BisaStok-00091</t>
  </si>
  <si>
    <t>Persediaan ITBISA-LDR-GL5516</t>
  </si>
  <si>
    <t>INV-BisaStok-00128</t>
  </si>
  <si>
    <t>Persediaan ITBISA-LCD-16X2-BLUE</t>
  </si>
  <si>
    <t>INV-BisaStok-00130</t>
  </si>
  <si>
    <t>Persediaan ITBISA-IC-CD4094BE-DIP16</t>
  </si>
  <si>
    <t>INV-BisaStok-00093</t>
  </si>
  <si>
    <t>Persediaan ITBISA-IC-PC817-DIP4</t>
  </si>
  <si>
    <t>INV-BisaStok-00127</t>
  </si>
  <si>
    <t>Persediaan ITBISA-CHIP-ESP32-WROOM</t>
  </si>
  <si>
    <t>INV-BisaStok-00131</t>
  </si>
  <si>
    <t>Persediaan ITBISA-ABC-BATERAI-AAA-ALKALINE</t>
  </si>
  <si>
    <t>INV-BisaStok-00126</t>
  </si>
  <si>
    <t>Piutang Migrasi - Migrasi</t>
  </si>
  <si>
    <t>PIU-BisaStok-00133</t>
  </si>
  <si>
    <t>KAS-BisaStok-00133</t>
  </si>
  <si>
    <t>Persediaan ITBISA-BUBBLE-WRAP</t>
  </si>
  <si>
    <t>INV-BisaStok-00133</t>
  </si>
  <si>
    <t xml:space="preserve">          Piutang Migrasi - Migrasi</t>
  </si>
  <si>
    <t>DBT-BisaPerlengkapan-00003</t>
  </si>
  <si>
    <t>CRT-BisaPerlengkapan-00003</t>
  </si>
  <si>
    <t>INV-BisaHilang-00003</t>
  </si>
  <si>
    <t xml:space="preserve">          Bonus ITBISA-BUBBLE-WRAP</t>
  </si>
  <si>
    <t>BNS-BisaHilang-00003</t>
  </si>
  <si>
    <t>Beban Hilang ITBISA-BUBBLE-WRAP</t>
  </si>
  <si>
    <t>BBN-BisaHilang-00004</t>
  </si>
  <si>
    <t xml:space="preserve">          Persediaan ITBISA-BUBBLE-WRAP</t>
  </si>
  <si>
    <t>INV-BisaHilang-00004</t>
  </si>
  <si>
    <t>Piutang PT Arta Boga</t>
  </si>
  <si>
    <t>PIU-BisaStok-00134</t>
  </si>
  <si>
    <t>KAS-BisaStok-00134</t>
  </si>
  <si>
    <t>INV-BisaStok-00134</t>
  </si>
  <si>
    <t xml:space="preserve">          Piutang PT Arta Boga</t>
  </si>
  <si>
    <t>Piutang Shopee</t>
  </si>
  <si>
    <t>PIU-BisaStok-00135</t>
  </si>
  <si>
    <t>KAS-BisaStok-00135</t>
  </si>
  <si>
    <t>Beban Hilang ITBISA-IC-LM741CN-DIP8</t>
  </si>
  <si>
    <t>BBN-BisaHilang-00006</t>
  </si>
  <si>
    <t xml:space="preserve">          Persediaan ITBISA-IC-LM741CN-DIP8</t>
  </si>
  <si>
    <t>INV-BisaHilang-00006</t>
  </si>
  <si>
    <t>INV-BisaHilang-00007</t>
  </si>
  <si>
    <t xml:space="preserve">          Bonus ITBISA-IC-UA741CN-DIP8</t>
  </si>
  <si>
    <t>BNS-BisaHilang-00007</t>
  </si>
  <si>
    <t>INV-BisaHilang-00008</t>
  </si>
  <si>
    <t xml:space="preserve">          Bonus ITBISA-7SEGMENT-CATHODE-RED-1.20-1BIT</t>
  </si>
  <si>
    <t>BNS-BisaHilang-00008</t>
  </si>
  <si>
    <t>INV-BisaHilang-00009</t>
  </si>
  <si>
    <t xml:space="preserve">          Bonus ITBISA-7SEGMENT-CATHODE-RED-2.30-1BIT</t>
  </si>
  <si>
    <t>BNS-BisaHilang-00009</t>
  </si>
  <si>
    <t>Beban Hilang ITBISA-BLUETOOTH-MODULE-HC05</t>
  </si>
  <si>
    <t>BBN-BisaHilang-00010</t>
  </si>
  <si>
    <t xml:space="preserve">          Persediaan ITBISA-BLUETOOTH-MODULE-HC05</t>
  </si>
  <si>
    <t>INV-BisaHilang-00010</t>
  </si>
  <si>
    <t>Beban Hilang ITBISA-IC-NE555P-DIP8</t>
  </si>
  <si>
    <t>BBN-BisaHilang-00011</t>
  </si>
  <si>
    <t xml:space="preserve">          Persediaan ITBISA-IC-NE555P-DIP8</t>
  </si>
  <si>
    <t>INV-BisaHilang-00011</t>
  </si>
  <si>
    <t>Beban Hilang ITBISA-IC-PC817-DIP4</t>
  </si>
  <si>
    <t>BBN-BisaHilang-00012</t>
  </si>
  <si>
    <t xml:space="preserve">          Persediaan ITBISA-IC-PC817-DIP4</t>
  </si>
  <si>
    <t>INV-BisaHilang-00012</t>
  </si>
  <si>
    <t>Beban Hilang ITBISA-RELAY-5V-1CHANNEL-BLUE-LOW-TRIGGER</t>
  </si>
  <si>
    <t>BBN-BisaHilang-00013</t>
  </si>
  <si>
    <t xml:space="preserve">          Persediaan ITBISA-RELAY-5V-1CHANNEL-BLUE-LOW-TRIGGER</t>
  </si>
  <si>
    <t>INV-BisaHilang-00013</t>
  </si>
  <si>
    <t>INV-BisaHilang-00014</t>
  </si>
  <si>
    <t xml:space="preserve">          Bonus ITBISA-SERVO-SG90-180DEG</t>
  </si>
  <si>
    <t>BNS-BisaHilang-00014</t>
  </si>
  <si>
    <t>INV-BisaHilang-00015</t>
  </si>
  <si>
    <t xml:space="preserve">          Bonus ITBISA-SERVO-SG90-360DEG</t>
  </si>
  <si>
    <t>BNS-BisaHilang-00015</t>
  </si>
  <si>
    <t>INV-BisaHilang-00016</t>
  </si>
  <si>
    <t xml:space="preserve">          Bonus ITBISA-SOCKET-IC-DIP14-NARROW</t>
  </si>
  <si>
    <t>BNS-BisaHilang-00016</t>
  </si>
  <si>
    <t>Beban Hilang ITBISA-CHIP-ESP32-WROOM-ANTENNA</t>
  </si>
  <si>
    <t>BBN-BisaHilang-00017</t>
  </si>
  <si>
    <t xml:space="preserve">          Persediaan ITBISA-CHIP-ESP32-WROOM-ANTENNA</t>
  </si>
  <si>
    <t>INV-BisaHilang-00017</t>
  </si>
  <si>
    <t>PIU-BisaStok-00136</t>
  </si>
  <si>
    <t>KAS-BisaStok-00136</t>
  </si>
  <si>
    <t>Beban Hilang ITBISA-7SEGMENT-ANODE-RED-0.56-1BIT</t>
  </si>
  <si>
    <t>BBN-BisaHilang-00019</t>
  </si>
  <si>
    <t xml:space="preserve">          Persediaan ITBISA-7SEGMENT-ANODE-RED-0.56-1BIT</t>
  </si>
  <si>
    <t>INV-BisaHilang-00019</t>
  </si>
  <si>
    <t>Beban Hilang ITBISA-IC-CD4094BM-SMD-SOP16</t>
  </si>
  <si>
    <t>BBN-BisaHilang-00020</t>
  </si>
  <si>
    <t xml:space="preserve">          Persediaan ITBISA-IC-CD4094BM-SMD-SOP16</t>
  </si>
  <si>
    <t>INV-BisaHilang-00020</t>
  </si>
  <si>
    <t>BBN-BisaHilang-00021</t>
  </si>
  <si>
    <t>INV-BisaHilang-00021</t>
  </si>
  <si>
    <t>Beban Hilang ITBISA-7SEGMENT-CATHODE-RED-1.20-1BIT</t>
  </si>
  <si>
    <t>BBN-BisaHilang-00022</t>
  </si>
  <si>
    <t xml:space="preserve">          Persediaan ITBISA-7SEGMENT-CATHODE-RED-1.20-1BIT</t>
  </si>
  <si>
    <t>INV-BisaHilang-00022</t>
  </si>
  <si>
    <t>INV-BisaHilang-00023</t>
  </si>
  <si>
    <t>BNS-BisaHilang-00023</t>
  </si>
  <si>
    <t>Beban Hilang ITBISA-ABC-BATERAI-AA-ALKALINE</t>
  </si>
  <si>
    <t>BBN-BisaHilang-00024</t>
  </si>
  <si>
    <t xml:space="preserve">          Persediaan ITBISA-ABC-BATERAI-AA-ALKALINE</t>
  </si>
  <si>
    <t>INV-BisaHilang-00024</t>
  </si>
  <si>
    <t>INV-BisaHilang-00025</t>
  </si>
  <si>
    <t xml:space="preserve">          Bonus ITBISA-ABC-BATERAI-AAA-ALKALINE</t>
  </si>
  <si>
    <t>BNS-BisaHilang-00025</t>
  </si>
  <si>
    <t>INV-BisaHilang-00026</t>
  </si>
  <si>
    <t xml:space="preserve">          Bonus ITBISA-BREADBOARD-830HOLE-MB102</t>
  </si>
  <si>
    <t>BNS-BisaHilang-00026</t>
  </si>
  <si>
    <t>INV-BisaHilang-00027</t>
  </si>
  <si>
    <t xml:space="preserve">          Bonus ITBISA-CHIP-ESP32-WROOM</t>
  </si>
  <si>
    <t>BNS-BisaHilang-00027</t>
  </si>
  <si>
    <t>INV-BisaHilang-00028</t>
  </si>
  <si>
    <t xml:space="preserve">          Bonus ITBISA-I2C-IIC-LCD</t>
  </si>
  <si>
    <t>BNS-BisaHilang-00028</t>
  </si>
  <si>
    <t>Beban Hilang ITBISA-LDR-GL5516</t>
  </si>
  <si>
    <t>BBN-BisaHilang-00029</t>
  </si>
  <si>
    <t xml:space="preserve">          Persediaan ITBISA-LDR-GL5516</t>
  </si>
  <si>
    <t>INV-BisaHilang-00029</t>
  </si>
  <si>
    <t>Beban Hilang ITBISA-LED-MAX7219-4IN1-TIGHT</t>
  </si>
  <si>
    <t>BBN-BisaHilang-00030</t>
  </si>
  <si>
    <t xml:space="preserve">          Persediaan ITBISA-LED-MAX7219-4IN1-TIGHT</t>
  </si>
  <si>
    <t>INV-BisaHilang-00030</t>
  </si>
  <si>
    <t>Beban Hilang ITBISA-PIN-HEADER-MALE-1X40PIN-L-SAMA</t>
  </si>
  <si>
    <t>BBN-BisaHilang-00031</t>
  </si>
  <si>
    <t xml:space="preserve">          Persediaan ITBISA-PIN-HEADER-MALE-1X40PIN-L-SAMA</t>
  </si>
  <si>
    <t>INV-BisaHilang-00031</t>
  </si>
  <si>
    <t>INV-BisaHilang-00032</t>
  </si>
  <si>
    <t xml:space="preserve">          Bonus ITBISA-RELAY-12V-4PIN-BLUE</t>
  </si>
  <si>
    <t>BNS-BisaHilang-00032</t>
  </si>
  <si>
    <t>Beban Hilang ITBISA-RELAY-12V-5PIN-BLUE</t>
  </si>
  <si>
    <t>BBN-BisaHilang-00033</t>
  </si>
  <si>
    <t xml:space="preserve">          Persediaan ITBISA-RELAY-12V-5PIN-BLUE</t>
  </si>
  <si>
    <t>INV-BisaHilang-00033</t>
  </si>
  <si>
    <t>Beban Hilang ITBISA-SERVO-SG90-180DEG</t>
  </si>
  <si>
    <t>BBN-BisaHilang-00034</t>
  </si>
  <si>
    <t xml:space="preserve">          Persediaan ITBISA-SERVO-SG90-180DEG</t>
  </si>
  <si>
    <t>INV-BisaHilang-00034</t>
  </si>
  <si>
    <t>Beban Hilang ITBISA-SERVO-SG90-360DEG</t>
  </si>
  <si>
    <t>BBN-BisaHilang-00035</t>
  </si>
  <si>
    <t xml:space="preserve">          Persediaan ITBISA-SERVO-SG90-360DEG</t>
  </si>
  <si>
    <t>INV-BisaHilang-00035</t>
  </si>
  <si>
    <t>INV-BisaHilang-00036</t>
  </si>
  <si>
    <t xml:space="preserve">          Bonus ITBISA-SOCKET-IC-DIP20-NARROW</t>
  </si>
  <si>
    <t>BNS-BisaHilang-00036</t>
  </si>
  <si>
    <t>Beban Hilang ITBISA-WEMOS-D1-MINI-ESP8266</t>
  </si>
  <si>
    <t>BBN-BisaHilang-00037</t>
  </si>
  <si>
    <t xml:space="preserve">          Persediaan ITBISA-WEMOS-D1-MINI-ESP8266</t>
  </si>
  <si>
    <t>INV-BisaHilang-00037</t>
  </si>
  <si>
    <t>BBN-BisaHilang-00038</t>
  </si>
  <si>
    <t>INV-BisaHilang-00038</t>
  </si>
  <si>
    <t>INV-BisaStok-00136</t>
  </si>
  <si>
    <t xml:space="preserve">          Piutang Shopee</t>
  </si>
  <si>
    <t>INV-BisaStok-00135</t>
  </si>
  <si>
    <t>PIU-BisaStok-00137</t>
  </si>
  <si>
    <t>KAS-BisaStok-00137</t>
  </si>
  <si>
    <t>DBT-BisaPerlengkapan-00004</t>
  </si>
  <si>
    <t>CRT-BisaPerlengkapan-00004</t>
  </si>
  <si>
    <t>INV-BisaStok-00137</t>
  </si>
  <si>
    <t>PIU-BisaStok-00138</t>
  </si>
  <si>
    <t>KAS-BisaStok-00138</t>
  </si>
  <si>
    <t>PIU-BisaStok-00139</t>
  </si>
  <si>
    <t>KAS-BisaStok-00139</t>
  </si>
  <si>
    <t>PIU-BisaStok-00140</t>
  </si>
  <si>
    <t>KAS-BisaStok-00140</t>
  </si>
  <si>
    <t>PIU-BisaStok-00141</t>
  </si>
  <si>
    <t>KAS-BisaStok-00141</t>
  </si>
  <si>
    <t>PIU-BisaStok-00142</t>
  </si>
  <si>
    <t>KAS-BisaStok-00142</t>
  </si>
  <si>
    <t>PIU-BisaStok-00143</t>
  </si>
  <si>
    <t>KAS-BisaStok-00143</t>
  </si>
  <si>
    <t>PIU-BisaStok-00144</t>
  </si>
  <si>
    <t>KAS-BisaStok-00144</t>
  </si>
  <si>
    <t>PIU-BisaStok-00145</t>
  </si>
  <si>
    <t>KAS-BisaStok-00145</t>
  </si>
  <si>
    <t>PIU-BisaStok-00146</t>
  </si>
  <si>
    <t>KAS-BisaStok-00146</t>
  </si>
  <si>
    <t>PIU-BisaStok-00147</t>
  </si>
  <si>
    <t>KAS-BisaStok-00147</t>
  </si>
  <si>
    <t>INV-BisaStok-00146</t>
  </si>
  <si>
    <t>INV-BisaStok-00145</t>
  </si>
  <si>
    <t>PIU-BisaStok-00148</t>
  </si>
  <si>
    <t>KAS-BisaStok-00148</t>
  </si>
  <si>
    <t>PIU-BisaStok-00149</t>
  </si>
  <si>
    <t>KAS-BisaStok-00149</t>
  </si>
  <si>
    <t>INV-BisaStok-00147</t>
  </si>
  <si>
    <t>PIU-BisaStok-00150</t>
  </si>
  <si>
    <t>KAS-BisaStok-00150</t>
  </si>
  <si>
    <t>INV-BisaStok-00148</t>
  </si>
  <si>
    <t>PIU-BisaStok-00151</t>
  </si>
  <si>
    <t>KAS-BisaStok-00151</t>
  </si>
  <si>
    <t>INV-BisaStok-00149</t>
  </si>
  <si>
    <t>INV-BisaStok-00150</t>
  </si>
  <si>
    <t>PIU-BisaStok-00152</t>
  </si>
  <si>
    <t>KAS-BisaStok-00152</t>
  </si>
  <si>
    <t>PIU-BisaStok-00153</t>
  </si>
  <si>
    <t>KAS-BisaStok-00153</t>
  </si>
  <si>
    <t>PIU-BisaStok-00154</t>
  </si>
  <si>
    <t>KAS-BisaStok-00154</t>
  </si>
  <si>
    <t>INV-BisaStok-00151</t>
  </si>
  <si>
    <t>INV-BisaStok-00154</t>
  </si>
  <si>
    <t>INV-BisaStok-00152</t>
  </si>
  <si>
    <t>INV-BisaStok-00153</t>
  </si>
  <si>
    <t>PIU-BisaStok-00155</t>
  </si>
  <si>
    <t>KAS-BisaStok-00155</t>
  </si>
  <si>
    <t>PIU-BisaStok-00156</t>
  </si>
  <si>
    <t>KAS-BisaStok-00156</t>
  </si>
  <si>
    <t>PIU-BisaStok-00157</t>
  </si>
  <si>
    <t>KAS-BisaStok-00157</t>
  </si>
  <si>
    <t>PIU-BisaStok-00158</t>
  </si>
  <si>
    <t>KAS-BisaStok-00158</t>
  </si>
  <si>
    <t>PIU-BisaStok-00159</t>
  </si>
  <si>
    <t>KAS-BisaStok-00159</t>
  </si>
  <si>
    <t>PIU-BisaStok-00160</t>
  </si>
  <si>
    <t>KAS-BisaStok-00160</t>
  </si>
  <si>
    <t>PIU-BisaStok-00161</t>
  </si>
  <si>
    <t>KAS-BisaStok-00161</t>
  </si>
  <si>
    <t>PIU-BisaStok-00162</t>
  </si>
  <si>
    <t>KAS-BisaStok-00162</t>
  </si>
  <si>
    <t>INV-BisaStok-00159</t>
  </si>
  <si>
    <t>INV-BisaStok-00157</t>
  </si>
  <si>
    <t>INV-BisaStok-00158</t>
  </si>
  <si>
    <t>INV-BisaStok-00160</t>
  </si>
  <si>
    <t>PIU-BisaStok-00163</t>
  </si>
  <si>
    <t>KAS-BisaStok-00163</t>
  </si>
  <si>
    <t>INV-BisaStok-00155</t>
  </si>
  <si>
    <t>INV-BisaStok-00156</t>
  </si>
  <si>
    <t>INV-BisaStok-00162</t>
  </si>
  <si>
    <t>PIU-BisaStok-00164</t>
  </si>
  <si>
    <t>KAS-BisaStok-00164</t>
  </si>
  <si>
    <t>INV-BisaStok-00161</t>
  </si>
  <si>
    <t>INV-BisaStok-00164</t>
  </si>
  <si>
    <t>INV-BisaStok-00163</t>
  </si>
  <si>
    <t>Beban Hilang ITBISA-CHIP-ESP8266-ESP12F</t>
  </si>
  <si>
    <t>BBN-BisaHilang-00040</t>
  </si>
  <si>
    <t xml:space="preserve">          Persediaan ITBISA-CHIP-ESP8266-ESP12F</t>
  </si>
  <si>
    <t>INV-BisaHilang-00040</t>
  </si>
  <si>
    <t>Beban Hilang ITBISA-RTC-DS3231SN</t>
  </si>
  <si>
    <t>BBN-BisaHilang-00041</t>
  </si>
  <si>
    <t xml:space="preserve">          Persediaan ITBISA-RTC-DS3231SN</t>
  </si>
  <si>
    <t>INV-BisaHilang-00041</t>
  </si>
  <si>
    <t>INV-BisaHilang-00042</t>
  </si>
  <si>
    <t>BNS-BisaHilang-00042</t>
  </si>
  <si>
    <t>BBN-BisaHilang-00043</t>
  </si>
  <si>
    <t>INV-BisaHilang-00043</t>
  </si>
  <si>
    <t>BBN-BisaHilang-00044</t>
  </si>
  <si>
    <t>INV-BisaHilang-00044</t>
  </si>
  <si>
    <t>BBN-BisaHilang-00045</t>
  </si>
  <si>
    <t>INV-BisaHilang-00045</t>
  </si>
  <si>
    <t>BBN-BisaHilang-00046</t>
  </si>
  <si>
    <t>INV-BisaHilang-00046</t>
  </si>
  <si>
    <t>PIU-BisaStok-00165</t>
  </si>
  <si>
    <t>KAS-BisaStok-00165</t>
  </si>
  <si>
    <t>PIU-BisaStok-00166</t>
  </si>
  <si>
    <t>KAS-BisaStok-00166</t>
  </si>
  <si>
    <t>PIU-BisaStok-00167</t>
  </si>
  <si>
    <t>KAS-BisaStok-00167</t>
  </si>
  <si>
    <t>PIU-BisaStok-00168</t>
  </si>
  <si>
    <t>KAS-BisaStok-00168</t>
  </si>
  <si>
    <t>PIU-BisaStok-00169</t>
  </si>
  <si>
    <t>KAS-BisaStok-00169</t>
  </si>
  <si>
    <t>INV-BisaStok-00165</t>
  </si>
  <si>
    <t>INV-BisaStok-00168</t>
  </si>
  <si>
    <t>INV-BisaStok-00166</t>
  </si>
  <si>
    <t>INV-BisaStok-00167</t>
  </si>
  <si>
    <t>PIU-BisaStok-00170</t>
  </si>
  <si>
    <t>KAS-BisaStok-00170</t>
  </si>
  <si>
    <t>PIU-BisaStok-00171</t>
  </si>
  <si>
    <t>KAS-BisaStok-00171</t>
  </si>
  <si>
    <t>PIU-BisaStok-00172</t>
  </si>
  <si>
    <t>KAS-BisaStok-00172</t>
  </si>
  <si>
    <t>PIU-BisaStok-00173</t>
  </si>
  <si>
    <t>KAS-BisaStok-00173</t>
  </si>
  <si>
    <t>PIU-BisaStok-00174</t>
  </si>
  <si>
    <t>KAS-BisaStok-00174</t>
  </si>
  <si>
    <t>INV-BisaStok-00174</t>
  </si>
  <si>
    <t>INV-BisaStok-00173</t>
  </si>
  <si>
    <t>INV-BisaStok-00172</t>
  </si>
  <si>
    <t>INV-BisaStok-00171</t>
  </si>
  <si>
    <t>INV-BisaStok-00170</t>
  </si>
  <si>
    <t>INV-BisaStok-00169</t>
  </si>
  <si>
    <t>Persediaan ITBISA-IC-74HC245N-DIP20</t>
  </si>
  <si>
    <t>INV-BisaStok-00138</t>
  </si>
  <si>
    <t>INV-BisaStok-00139</t>
  </si>
  <si>
    <t>INV-BisaStok-00140</t>
  </si>
  <si>
    <t>INV-BisaStok-00141</t>
  </si>
  <si>
    <t>INV-BisaStok-00142</t>
  </si>
  <si>
    <t>INV-BisaStok-00143</t>
  </si>
  <si>
    <t>INV-BisaStok-00144</t>
  </si>
  <si>
    <t>DBT-BisaPerlengkapan-00006</t>
  </si>
  <si>
    <t>CRT-BisaPerlengkapan-00006</t>
  </si>
  <si>
    <t>PIU-BisaStok-00175</t>
  </si>
  <si>
    <t>KAS-BisaStok-00175</t>
  </si>
  <si>
    <t>PIU-BisaStok-00176</t>
  </si>
  <si>
    <t>KAS-BisaStok-00176</t>
  </si>
  <si>
    <t>PIU-BisaStok-00177</t>
  </si>
  <si>
    <t>KAS-BisaStok-00177</t>
  </si>
  <si>
    <t>INV-BisaStok-00176</t>
  </si>
  <si>
    <t>INV-BisaStok-00177</t>
  </si>
  <si>
    <t>PIU-BisaStok-00178</t>
  </si>
  <si>
    <t>KAS-BisaStok-00178</t>
  </si>
  <si>
    <t>PIU-BisaStok-00179</t>
  </si>
  <si>
    <t>KAS-BisaStok-00179</t>
  </si>
  <si>
    <t>INV-BisaStok-00175</t>
  </si>
  <si>
    <t>INV-BisaStok-00178</t>
  </si>
  <si>
    <t>INV-BisaStok-00179</t>
  </si>
  <si>
    <t>DBT-BisaPerlengkapan-00007</t>
  </si>
  <si>
    <t>CRT-BisaPerlengkapan-00007</t>
  </si>
  <si>
    <t>PIU-BisaStok-00180</t>
  </si>
  <si>
    <t>KAS-BisaStok-00180</t>
  </si>
  <si>
    <t>PIU-BisaStok-00181</t>
  </si>
  <si>
    <t>KAS-BisaStok-00181</t>
  </si>
  <si>
    <t>PIU-BisaStok-00182</t>
  </si>
  <si>
    <t>KAS-BisaStok-00182</t>
  </si>
  <si>
    <t>PIU-BisaStok-00183</t>
  </si>
  <si>
    <t>KAS-BisaStok-00183</t>
  </si>
  <si>
    <t>PIU-BisaStok-00184</t>
  </si>
  <si>
    <t>KAS-BisaStok-00184</t>
  </si>
  <si>
    <t>INV-BisaHilang-00048</t>
  </si>
  <si>
    <t xml:space="preserve">          Bonus ITBISA-RTC-DS3231SN</t>
  </si>
  <si>
    <t>BNS-BisaHilang-00048</t>
  </si>
  <si>
    <t>Beban Hilang ITBISA-RTC-DS3231M</t>
  </si>
  <si>
    <t>BBN-BisaHilang-00049</t>
  </si>
  <si>
    <t xml:space="preserve">          Persediaan ITBISA-RTC-DS3231M</t>
  </si>
  <si>
    <t>INV-BisaHilang-00049</t>
  </si>
  <si>
    <t>DBT-BisaPerlengkapan-00010</t>
  </si>
  <si>
    <t>CRT-BisaPerlengkapan-00010</t>
  </si>
  <si>
    <t>INV-BisaStok-00180</t>
  </si>
  <si>
    <t>INV-BisaStok-00181</t>
  </si>
  <si>
    <t>INV-BisaStok-00182</t>
  </si>
  <si>
    <t>INV-BisaStok-00183</t>
  </si>
  <si>
    <t>INV-BisaStok-00184</t>
  </si>
  <si>
    <t>PIU-BisaStok-00185</t>
  </si>
  <si>
    <t>KAS-BisaStok-00185</t>
  </si>
  <si>
    <t>PIU-BisaStok-00186</t>
  </si>
  <si>
    <t>KAS-BisaStok-00186</t>
  </si>
  <si>
    <t>PIU-BisaStok-00187</t>
  </si>
  <si>
    <t>KAS-BisaStok-00187</t>
  </si>
  <si>
    <t>PIU-BisaStok-00188</t>
  </si>
  <si>
    <t>KAS-BisaStok-00188</t>
  </si>
  <si>
    <t>PIU-BisaStok-00189</t>
  </si>
  <si>
    <t>KAS-BisaStok-00189</t>
  </si>
  <si>
    <t>DBT-BisaPerlengkapan-00012</t>
  </si>
  <si>
    <t>CRT-BisaPerlengkapan-00012</t>
  </si>
  <si>
    <t>DBT-BisaPerlengkapan-00011</t>
  </si>
  <si>
    <t>CRT-BisaPerlengkapan-00011</t>
  </si>
  <si>
    <t>PIU-BisaStok-00190</t>
  </si>
  <si>
    <t>KAS-BisaStok-00190</t>
  </si>
  <si>
    <t>INV-BisaStok-00190</t>
  </si>
  <si>
    <t>DBT-BisaPerlengkapan-00014</t>
  </si>
  <si>
    <t>CRT-BisaPerlengkapan-00014</t>
  </si>
  <si>
    <t>PIU-BisaStok-00191</t>
  </si>
  <si>
    <t>KAS-BisaStok-00191</t>
  </si>
  <si>
    <t>PIU-BisaStok-00192</t>
  </si>
  <si>
    <t>KAS-BisaStok-00192</t>
  </si>
  <si>
    <t>PIU-BisaStok-00193</t>
  </si>
  <si>
    <t>KAS-BisaStok-00193</t>
  </si>
  <si>
    <t>PIU-BisaStok-00194</t>
  </si>
  <si>
    <t>KAS-BisaStok-00194</t>
  </si>
  <si>
    <t>DBT-BisaPerlengkapan-00015</t>
  </si>
  <si>
    <t>CRT-BisaPerlengkapan-00015</t>
  </si>
  <si>
    <t>DBT-BisaPerlengkapan-00016</t>
  </si>
  <si>
    <t>CRT-BisaPerlengkapan-00016</t>
  </si>
  <si>
    <t>PIU-BisaStok-00195</t>
  </si>
  <si>
    <t>KAS-BisaStok-00195</t>
  </si>
  <si>
    <t>Persediaan ITBISA-KAPASITOR-ELCO-47UF-50V</t>
  </si>
  <si>
    <t>INV-BisaStok-00192</t>
  </si>
  <si>
    <t>Persediaan ITBISA-KAPASITOR-ELCO-100UF-25V</t>
  </si>
  <si>
    <t>INV-BisaStok-00193</t>
  </si>
  <si>
    <t>Persediaan ITBISA-DIODA-1N4007-DO41</t>
  </si>
  <si>
    <t>INV-BisaStok-00194</t>
  </si>
  <si>
    <t>PIU-BisaStok-00196</t>
  </si>
  <si>
    <t>KAS-BisaStok-00196</t>
  </si>
  <si>
    <t>PIU-BisaStok-00197</t>
  </si>
  <si>
    <t>KAS-BisaStok-00197</t>
  </si>
  <si>
    <t>PIU-BisaStok-00198</t>
  </si>
  <si>
    <t>KAS-BisaStok-00198</t>
  </si>
  <si>
    <t>INV-BisaStok-00195</t>
  </si>
  <si>
    <t>INV-BisaStok-00191</t>
  </si>
  <si>
    <t>INV-BisaStok-00197</t>
  </si>
  <si>
    <t>INV-BisaStok-00196</t>
  </si>
  <si>
    <t>INV-BisaStok-00198</t>
  </si>
  <si>
    <t>PIU-BisaStok-00199</t>
  </si>
  <si>
    <t>KAS-BisaStok-00199</t>
  </si>
  <si>
    <t>INV-BisaStok-00199</t>
  </si>
  <si>
    <t>DBT-BisaPerlengkapan-00017</t>
  </si>
  <si>
    <t>1 x Kardus 1-5 kg bekas Ale Ale 3Kg - PUSAT OLEH-OLEH BREBES.ID Shopee</t>
  </si>
  <si>
    <t>CRT-BisaPerlengkapan-00017</t>
  </si>
  <si>
    <t>DBT-BisaPerlengkapan-00018</t>
  </si>
  <si>
    <t>CRT-BisaPerlengkapan-00018</t>
  </si>
  <si>
    <t>PIU-BisaStok-00200</t>
  </si>
  <si>
    <t>KAS-BisaStok-00200</t>
  </si>
  <si>
    <t>PIU-BisaStok-00201</t>
  </si>
  <si>
    <t>KAS-BisaStok-00201</t>
  </si>
  <si>
    <t>PIU-BisaStok-00202</t>
  </si>
  <si>
    <t>KAS-BisaStok-00202</t>
  </si>
  <si>
    <t>PIU-BisaStok-00203</t>
  </si>
  <si>
    <t>KAS-BisaStok-00203</t>
  </si>
  <si>
    <t>Beban Hilang ITBISA-IC-L7812CV-TO220</t>
  </si>
  <si>
    <t>BBN-BisaHilang-00051</t>
  </si>
  <si>
    <t xml:space="preserve">          Persediaan ITBISA-IC-L7812CV-TO220</t>
  </si>
  <si>
    <t>INV-BisaHilang-00051</t>
  </si>
  <si>
    <t>Beban Hilang ITBISA-IC-ULN2803APG-DIP18</t>
  </si>
  <si>
    <t>BBN-BisaHilang-00052</t>
  </si>
  <si>
    <t xml:space="preserve">          Persediaan ITBISA-IC-ULN2803APG-DIP18</t>
  </si>
  <si>
    <t>INV-BisaHilang-00052</t>
  </si>
  <si>
    <t>INV-BisaHilang-00054</t>
  </si>
  <si>
    <t xml:space="preserve">          Bonus ITBISA-RELAY-5V-5PIN-BLUE</t>
  </si>
  <si>
    <t>BNS-BisaHilang-00054</t>
  </si>
  <si>
    <t>INV-BisaHilang-00055</t>
  </si>
  <si>
    <t xml:space="preserve">          Bonus ITBISA-IC-74HC595N-DIP16</t>
  </si>
  <si>
    <t>BNS-BisaHilang-00055</t>
  </si>
  <si>
    <t>INV-BisaHilang-00056</t>
  </si>
  <si>
    <t xml:space="preserve">          Bonus ITBISA-IC-CD4017BE-DIP16</t>
  </si>
  <si>
    <t>BNS-BisaHilang-00056</t>
  </si>
  <si>
    <t>Piutang Shopee Aji</t>
  </si>
  <si>
    <t>PIU-BisaStok-00205</t>
  </si>
  <si>
    <t>KAS-BisaStok-00205</t>
  </si>
  <si>
    <t>INV-BisaStok-00205</t>
  </si>
  <si>
    <t xml:space="preserve">          Piutang Shopee Aji</t>
  </si>
  <si>
    <t>PIU-BisaStok-00204</t>
  </si>
  <si>
    <t>KAS-BisaStok-00204</t>
  </si>
  <si>
    <t>INV-BisaStok-00204</t>
  </si>
  <si>
    <t>DBT-BisaPerlengkapan-00022</t>
  </si>
  <si>
    <t>CRT-BisaPerlengkapan-00022</t>
  </si>
  <si>
    <t>DBT-BisaPerlengkapan-00020</t>
  </si>
  <si>
    <t>CRT-BisaPerlengkapan-00020</t>
  </si>
  <si>
    <t>DBT-BisaPerlengkapan-00021</t>
  </si>
  <si>
    <t>CRT-BisaPerlengkapan-00021</t>
  </si>
  <si>
    <t>Beban Hilang ITBISA-7SEGMENT-CATHODE-RED-0.56-1BIT</t>
  </si>
  <si>
    <t>BBN-BisaHilang-00058</t>
  </si>
  <si>
    <t xml:space="preserve">          Persediaan ITBISA-7SEGMENT-CATHODE-RED-0.56-1BIT</t>
  </si>
  <si>
    <t>INV-BisaHilang-00058</t>
  </si>
  <si>
    <t>BBN-BisaHilang-00059</t>
  </si>
  <si>
    <t>INV-BisaHilang-00059</t>
  </si>
  <si>
    <t>INV-BisaHilang-00060</t>
  </si>
  <si>
    <t>BNS-BisaHilang-00060</t>
  </si>
  <si>
    <t>Beban Hilang ITBISA-BREADBOARD-830HOLE-MB102</t>
  </si>
  <si>
    <t>BBN-BisaHilang-00061</t>
  </si>
  <si>
    <t xml:space="preserve">          Persediaan ITBISA-BREADBOARD-830HOLE-MB102</t>
  </si>
  <si>
    <t>INV-BisaHilang-00061</t>
  </si>
  <si>
    <t>BBN-BisaHilang-00062</t>
  </si>
  <si>
    <t>INV-BisaHilang-00062</t>
  </si>
  <si>
    <t>INV-BisaHilang-00063</t>
  </si>
  <si>
    <t xml:space="preserve">          Bonus ITBISA-CHIP-ESP8266-ESP12F</t>
  </si>
  <si>
    <t>BNS-BisaHilang-00063</t>
  </si>
  <si>
    <t>Beban Hilang ITBISA-DC-TO-DC-STEPDOWN-LM2596</t>
  </si>
  <si>
    <t>BBN-BisaHilang-00064</t>
  </si>
  <si>
    <t xml:space="preserve">          Persediaan ITBISA-DC-TO-DC-STEPDOWN-LM2596</t>
  </si>
  <si>
    <t>INV-BisaHilang-00064</t>
  </si>
  <si>
    <t>Beban Hilang ITBISA-DC-TO-DC-STEPDOWN-XL4005</t>
  </si>
  <si>
    <t>BBN-BisaHilang-00065</t>
  </si>
  <si>
    <t xml:space="preserve">          Persediaan ITBISA-DC-TO-DC-STEPDOWN-XL4005</t>
  </si>
  <si>
    <t>INV-BisaHilang-00065</t>
  </si>
  <si>
    <t>Beban Hilang ITBISA-DC-TO-DC-STEPDOWN-XL4015</t>
  </si>
  <si>
    <t>BBN-BisaHilang-00066</t>
  </si>
  <si>
    <t xml:space="preserve">          Persediaan ITBISA-DC-TO-DC-STEPDOWN-XL4015</t>
  </si>
  <si>
    <t>INV-BisaHilang-00066</t>
  </si>
  <si>
    <t>Beban Hilang ITBISA-DC-TO-DC-STEPUP-XL6009</t>
  </si>
  <si>
    <t>BBN-BisaHilang-00067</t>
  </si>
  <si>
    <t xml:space="preserve">          Persediaan ITBISA-DC-TO-DC-STEPUP-XL6009</t>
  </si>
  <si>
    <t>INV-BisaHilang-00067</t>
  </si>
  <si>
    <t>Beban Hilang ITBISA-IC-CD4017BE-DIP16</t>
  </si>
  <si>
    <t>BBN-BisaHilang-00068</t>
  </si>
  <si>
    <t xml:space="preserve">          Persediaan ITBISA-IC-CD4017BE-DIP16</t>
  </si>
  <si>
    <t>INV-BisaHilang-00068</t>
  </si>
  <si>
    <t>Beban Hilang ITBISA-IC-L7805CV-TO220</t>
  </si>
  <si>
    <t>BBN-BisaHilang-00069</t>
  </si>
  <si>
    <t xml:space="preserve">          Persediaan ITBISA-IC-L7805CV-TO220</t>
  </si>
  <si>
    <t>INV-BisaHilang-00069</t>
  </si>
  <si>
    <t>Beban Hilang ITBISA-INFRARED-1838</t>
  </si>
  <si>
    <t>BBN-BisaHilang-00070</t>
  </si>
  <si>
    <t xml:space="preserve">          Persediaan ITBISA-INFRARED-1838</t>
  </si>
  <si>
    <t>INV-BisaHilang-00070</t>
  </si>
  <si>
    <t>Beban Hilang ITBISA-NODEMCU-V3-CH340G-ESP8266-MICRO</t>
  </si>
  <si>
    <t>BBN-BisaHilang-00071</t>
  </si>
  <si>
    <t xml:space="preserve">          Persediaan ITBISA-NODEMCU-V3-CH340G-ESP8266-MICRO</t>
  </si>
  <si>
    <t>INV-BisaHilang-00071</t>
  </si>
  <si>
    <t>INV-BisaHilang-00072</t>
  </si>
  <si>
    <t xml:space="preserve">          Bonus ITBISA-WEMOS-D1-MINI-ESP8266</t>
  </si>
  <si>
    <t>BNS-BisaHilang-00072</t>
  </si>
  <si>
    <t>Beban Hilang ITBISA-SOCKET-IC-DIP8-NARROW</t>
  </si>
  <si>
    <t>BBN-BisaHilang-00073</t>
  </si>
  <si>
    <t xml:space="preserve">          Persediaan ITBISA-SOCKET-IC-DIP8-NARROW</t>
  </si>
  <si>
    <t>INV-BisaHilang-00073</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</si>
</sst>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d&quot;-&quot;mmm&quot;-&quot;yyyy"/>
    <numFmt numFmtId="166" formatCode="#,##0.00;(#,##0.00)"/>
    <numFmt numFmtId="167" formatCode="dd&quot;-&quot;mmm&quot;-&quot;yyyy"/>
    <numFmt numFmtId="168" formatCode="dmmmyy h:mm"/>
    <numFmt numFmtId="169" formatCode="d-mmm-yyyy h:mm"/>
    <numFmt numFmtId="170" formatCode="dmmmmyy h:mm"/>
  </numFmts>
  <fonts count="21">
    <font>
      <sz val="10.0"/>
      <color rgb="FF000000"/>
      <name val="Arial"/>
    </font>
    <font/>
    <font>
      <u/>
      <color rgb="FF1155CC"/>
    </font>
    <font>
      <b/>
      <color rgb="FF000000"/>
    </font>
    <font>
      <b/>
      <color rgb="FFFFFFFF"/>
    </font>
    <font>
      <b/>
      <color rgb="FFFFFFFF"/>
      <name val="Arial"/>
    </font>
    <font>
      <name val="Arial"/>
    </font>
    <font>
      <b/>
      <name val="Arial"/>
    </font>
    <font>
      <u/>
      <color rgb="FF0000FF"/>
    </font>
    <font>
      <u/>
      <color rgb="FF1155CC"/>
      <name val="Arial"/>
    </font>
    <font>
      <u/>
      <color rgb="FF0000FF"/>
    </font>
    <font>
      <sz val="10.0"/>
      <name val="Arial"/>
    </font>
    <font>
      <color rgb="FF000000"/>
      <name val="Arial"/>
    </font>
    <font>
      <u/>
      <color rgb="FF0000FF"/>
      <name val="Arial"/>
    </font>
    <font>
      <u/>
      <color rgb="FF0000FF"/>
      <name val="Arial"/>
    </font>
    <font>
      <u/>
      <color rgb="FF0000FF"/>
    </font>
    <font>
      <u/>
      <color rgb="FF1155CC"/>
      <name val="Arial"/>
    </font>
    <font>
      <u/>
      <color rgb="FF1155CC"/>
      <name val="Arial"/>
    </font>
    <font>
      <color rgb="FF000000"/>
      <name val="'Arial'"/>
    </font>
    <font>
      <u/>
      <color rgb="FF000000"/>
      <name val="Arial"/>
    </font>
    <font>
      <u/>
      <color rgb="FF0000FF"/>
      <name val="Arial"/>
    </font>
  </fonts>
  <fills count="6">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FFFFFF"/>
        <bgColor rgb="FFFFFFFF"/>
      </patternFill>
    </fill>
    <fill>
      <patternFill patternType="solid">
        <fgColor rgb="FFFF0000"/>
        <bgColor rgb="FFFF0000"/>
      </patternFill>
    </fill>
  </fills>
  <borders count="6">
    <border/>
    <border>
      <right style="thick">
        <color rgb="FF000000"/>
      </right>
    </border>
    <border>
      <left style="thick">
        <color rgb="FF000000"/>
      </left>
    </border>
    <border>
      <left style="thick">
        <color rgb="FF000000"/>
      </left>
      <right style="thick">
        <color rgb="FF000000"/>
      </right>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xf>
    <xf borderId="0" fillId="0" fontId="1" numFmtId="0" xfId="0" applyAlignment="1" applyFont="1">
      <alignment horizontal="center"/>
    </xf>
    <xf borderId="0" fillId="2" fontId="3" numFmtId="164" xfId="0" applyAlignment="1" applyFill="1" applyFont="1" applyNumberFormat="1">
      <alignment horizontal="center" readingOrder="0" vertical="center"/>
    </xf>
    <xf borderId="0" fillId="0" fontId="1" numFmtId="0" xfId="0" applyAlignment="1" applyFont="1">
      <alignment horizontal="center" readingOrder="0" vertical="center"/>
    </xf>
    <xf borderId="1" fillId="0" fontId="1" numFmtId="165" xfId="0" applyAlignment="1" applyBorder="1" applyFont="1" applyNumberFormat="1">
      <alignment horizontal="center" readingOrder="0" vertical="center"/>
    </xf>
    <xf borderId="2" fillId="3" fontId="4" numFmtId="164" xfId="0" applyAlignment="1" applyBorder="1" applyFill="1" applyFont="1" applyNumberFormat="1">
      <alignment horizontal="center" readingOrder="0" vertical="center"/>
    </xf>
    <xf borderId="0" fillId="3" fontId="4" numFmtId="164" xfId="0" applyAlignment="1" applyFont="1" applyNumberFormat="1">
      <alignment horizontal="center" readingOrder="0" vertical="center"/>
    </xf>
    <xf borderId="3" fillId="2" fontId="4" numFmtId="164" xfId="0" applyAlignment="1" applyBorder="1" applyFont="1" applyNumberFormat="1">
      <alignment horizontal="center" readingOrder="0" vertical="center"/>
    </xf>
    <xf borderId="2" fillId="3" fontId="5" numFmtId="166" xfId="0" applyAlignment="1" applyBorder="1" applyFont="1" applyNumberFormat="1">
      <alignment horizontal="center" readingOrder="0" vertical="center"/>
    </xf>
    <xf borderId="0" fillId="0" fontId="1" numFmtId="164" xfId="0" applyAlignment="1" applyFont="1" applyNumberFormat="1">
      <alignment horizontal="center" readingOrder="0" vertical="center"/>
    </xf>
    <xf borderId="0" fillId="0" fontId="6" numFmtId="167" xfId="0" applyAlignment="1" applyFont="1" applyNumberFormat="1">
      <alignment horizontal="center" shrinkToFit="0" vertical="center" wrapText="1"/>
    </xf>
    <xf borderId="2" fillId="0" fontId="6" numFmtId="164" xfId="0" applyAlignment="1" applyBorder="1" applyFont="1" applyNumberForma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7" numFmtId="164" xfId="0" applyAlignment="1" applyFont="1" applyNumberFormat="1">
      <alignment horizontal="center" shrinkToFit="0" vertical="center" wrapText="1"/>
    </xf>
    <xf borderId="0" fillId="0" fontId="7" numFmtId="164" xfId="0" applyAlignment="1" applyFont="1" applyNumberFormat="1">
      <alignment horizontal="center" shrinkToFit="0" vertical="center" wrapText="0"/>
    </xf>
    <xf borderId="1" fillId="0" fontId="6" numFmtId="0" xfId="0" applyAlignment="1" applyBorder="1" applyFont="1">
      <alignment horizontal="center" readingOrder="0" shrinkToFit="0" vertical="center" wrapText="1"/>
    </xf>
    <xf borderId="0" fillId="0" fontId="6" numFmtId="166" xfId="0" applyAlignment="1" applyFont="1" applyNumberFormat="1">
      <alignment horizontal="center" shrinkToFit="0" vertical="center" wrapText="1"/>
    </xf>
    <xf borderId="0" fillId="0" fontId="6" numFmtId="166" xfId="0" applyAlignment="1" applyFont="1" applyNumberForma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2" fillId="2" fontId="4" numFmtId="164" xfId="0" applyAlignment="1" applyBorder="1" applyFont="1" applyNumberFormat="1">
      <alignment horizontal="center" readingOrder="0" vertical="center"/>
    </xf>
    <xf borderId="0" fillId="2" fontId="5" numFmtId="166" xfId="0" applyAlignment="1" applyFont="1" applyNumberFormat="1">
      <alignment horizontal="center" vertical="center"/>
    </xf>
    <xf borderId="0" fillId="2" fontId="4" numFmtId="164" xfId="0" applyAlignment="1" applyFont="1" applyNumberFormat="1">
      <alignment horizontal="center" readingOrder="0" vertical="center"/>
    </xf>
    <xf borderId="1" fillId="2" fontId="5" numFmtId="166" xfId="0" applyAlignment="1" applyBorder="1" applyFont="1" applyNumberFormat="1">
      <alignment horizontal="center" vertical="center"/>
    </xf>
    <xf borderId="2" fillId="2" fontId="5" numFmtId="166" xfId="0" applyAlignment="1" applyBorder="1" applyFont="1" applyNumberFormat="1">
      <alignment horizontal="center" vertical="center"/>
    </xf>
    <xf borderId="0" fillId="2" fontId="4" numFmtId="166" xfId="0" applyAlignment="1" applyFont="1" applyNumberFormat="1">
      <alignment horizontal="center" readingOrder="0" vertical="center"/>
    </xf>
    <xf borderId="1" fillId="2" fontId="4" numFmtId="166" xfId="0" applyAlignment="1" applyBorder="1" applyFont="1" applyNumberFormat="1">
      <alignment horizontal="center" readingOrder="0" vertical="center"/>
    </xf>
    <xf borderId="0" fillId="0" fontId="6" numFmtId="167" xfId="0" applyAlignment="1" applyFont="1" applyNumberFormat="1">
      <alignment horizontal="center" shrinkToFit="0" wrapText="1"/>
    </xf>
    <xf borderId="2" fillId="0" fontId="1" numFmtId="164" xfId="0" applyAlignment="1" applyBorder="1" applyFont="1" applyNumberFormat="1">
      <alignment horizontal="center" readingOrder="0" shrinkToFit="0" vertical="center" wrapText="1"/>
    </xf>
    <xf borderId="0" fillId="0" fontId="1" numFmtId="164" xfId="0" applyAlignment="1" applyFont="1" applyNumberFormat="1">
      <alignment horizontal="center" readingOrder="0" shrinkToFit="0" vertical="center" wrapText="0"/>
    </xf>
    <xf borderId="1" fillId="0" fontId="1" numFmtId="0" xfId="0" applyAlignment="1" applyBorder="1" applyFont="1">
      <alignment horizontal="center" readingOrder="0" vertical="center"/>
    </xf>
    <xf borderId="2" fillId="0" fontId="1" numFmtId="164" xfId="0" applyAlignment="1" applyBorder="1" applyFont="1" applyNumberFormat="1">
      <alignment horizontal="center" readingOrder="0" vertical="center"/>
    </xf>
    <xf borderId="0" fillId="0" fontId="1" numFmtId="166" xfId="0" applyAlignment="1" applyFont="1" applyNumberFormat="1">
      <alignment horizontal="center" readingOrder="0" vertical="center"/>
    </xf>
    <xf borderId="1" fillId="0" fontId="1" numFmtId="164" xfId="0" applyAlignment="1" applyBorder="1" applyFont="1" applyNumberFormat="1">
      <alignment horizontal="center" readingOrder="0" vertical="center"/>
    </xf>
    <xf borderId="3" fillId="0" fontId="1" numFmtId="164" xfId="0" applyAlignment="1" applyBorder="1" applyFont="1" applyNumberFormat="1">
      <alignment horizontal="center" readingOrder="0" vertical="center"/>
    </xf>
    <xf borderId="2" fillId="0" fontId="1" numFmtId="166" xfId="0" applyAlignment="1" applyBorder="1" applyFont="1" applyNumberFormat="1">
      <alignment horizontal="center" readingOrder="0" vertical="center"/>
    </xf>
    <xf borderId="0" fillId="0" fontId="1" numFmtId="166" xfId="0" applyAlignment="1" applyFont="1" applyNumberFormat="1">
      <alignment horizontal="center" vertical="center"/>
    </xf>
    <xf borderId="1" fillId="0" fontId="1" numFmtId="166" xfId="0" applyAlignment="1" applyBorder="1" applyFont="1" applyNumberFormat="1">
      <alignment horizontal="center" vertical="center"/>
    </xf>
    <xf borderId="1" fillId="0" fontId="1" numFmtId="166" xfId="0" applyAlignment="1" applyBorder="1" applyFont="1" applyNumberFormat="1">
      <alignment horizontal="center" readingOrder="0" vertical="center"/>
    </xf>
    <xf borderId="0" fillId="0" fontId="8" numFmtId="164" xfId="0" applyAlignment="1" applyFont="1" applyNumberFormat="1">
      <alignment horizontal="center" readingOrder="0" vertical="center"/>
    </xf>
    <xf borderId="0" fillId="0" fontId="6" numFmtId="164" xfId="0" applyAlignment="1" applyFont="1" applyNumberFormat="1">
      <alignment horizontal="center"/>
    </xf>
    <xf borderId="0" fillId="0" fontId="6" numFmtId="166" xfId="0" applyAlignment="1" applyFont="1" applyNumberFormat="1">
      <alignment horizontal="center"/>
    </xf>
    <xf borderId="0" fillId="0" fontId="6" numFmtId="166" xfId="0" applyAlignment="1" applyFont="1" applyNumberFormat="1">
      <alignment horizontal="center" readingOrder="0" vertical="bottom"/>
    </xf>
    <xf borderId="1" fillId="0" fontId="6" numFmtId="164" xfId="0" applyAlignment="1" applyBorder="1" applyFont="1" applyNumberFormat="1">
      <alignment horizontal="center" readingOrder="0"/>
    </xf>
    <xf borderId="2" fillId="0" fontId="1" numFmtId="166" xfId="0" applyAlignment="1" applyBorder="1" applyFont="1" applyNumberFormat="1">
      <alignment horizontal="center" vertical="center"/>
    </xf>
    <xf borderId="0" fillId="0" fontId="6" numFmtId="164" xfId="0" applyAlignment="1" applyFont="1" applyNumberFormat="1">
      <alignment horizontal="center" readingOrder="0"/>
    </xf>
    <xf borderId="0" fillId="0" fontId="9" numFmtId="164" xfId="0" applyAlignment="1" applyFont="1" applyNumberFormat="1">
      <alignment horizontal="center"/>
    </xf>
    <xf borderId="1" fillId="0" fontId="6" numFmtId="0" xfId="0" applyAlignment="1" applyBorder="1" applyFont="1">
      <alignment horizontal="center"/>
    </xf>
    <xf borderId="0" fillId="0" fontId="6" numFmtId="166" xfId="0" applyAlignment="1" applyFont="1" applyNumberFormat="1">
      <alignment horizontal="center" readingOrder="0"/>
    </xf>
    <xf borderId="0" fillId="0" fontId="1" numFmtId="168" xfId="0" applyAlignment="1" applyFont="1" applyNumberFormat="1">
      <alignment horizontal="center" readingOrder="0" shrinkToFit="0" vertical="center" wrapText="1"/>
    </xf>
    <xf borderId="0" fillId="0" fontId="1" numFmtId="167" xfId="0" applyAlignment="1" applyFont="1" applyNumberFormat="1">
      <alignment horizontal="center" readingOrder="0" shrinkToFit="0" vertical="center" wrapText="1"/>
    </xf>
    <xf borderId="0" fillId="0" fontId="10" numFmtId="164" xfId="0" applyAlignment="1" applyFont="1" applyNumberFormat="1">
      <alignment horizontal="center" readingOrder="0" vertical="center"/>
    </xf>
    <xf borderId="0" fillId="0" fontId="1" numFmtId="169" xfId="0" applyAlignment="1" applyFont="1" applyNumberFormat="1">
      <alignment horizontal="center" readingOrder="0" vertical="center"/>
    </xf>
    <xf borderId="1" fillId="0" fontId="1" numFmtId="169" xfId="0" applyAlignment="1" applyBorder="1" applyFont="1" applyNumberFormat="1">
      <alignment horizontal="center" readingOrder="0" vertical="center"/>
    </xf>
    <xf borderId="0" fillId="0" fontId="1" numFmtId="165" xfId="0" applyAlignment="1" applyFont="1" applyNumberFormat="1">
      <alignment horizontal="center" readingOrder="0" vertical="center"/>
    </xf>
    <xf borderId="0" fillId="0" fontId="11" numFmtId="0" xfId="0" applyAlignment="1" applyFont="1">
      <alignment horizontal="center" readingOrder="0" vertical="center"/>
    </xf>
    <xf borderId="1" fillId="0" fontId="11" numFmtId="0" xfId="0" applyAlignment="1" applyBorder="1" applyFont="1">
      <alignment horizontal="center" readingOrder="0" vertical="center"/>
    </xf>
    <xf borderId="2" fillId="0" fontId="11" numFmtId="164" xfId="0" applyAlignment="1" applyBorder="1" applyFont="1" applyNumberFormat="1">
      <alignment horizontal="center" readingOrder="0" vertical="center"/>
    </xf>
    <xf borderId="3" fillId="0" fontId="11" numFmtId="0" xfId="0" applyAlignment="1" applyBorder="1" applyFont="1">
      <alignment horizontal="center" readingOrder="0" shrinkToFit="0" vertical="center" wrapText="0"/>
    </xf>
    <xf borderId="2" fillId="0" fontId="11" numFmtId="0" xfId="0" applyAlignment="1" applyBorder="1" applyFont="1">
      <alignment horizontal="center" readingOrder="0" shrinkToFit="0" vertical="center" wrapText="1"/>
    </xf>
    <xf borderId="0" fillId="0" fontId="11" numFmtId="165" xfId="0" applyAlignment="1" applyFont="1" applyNumberFormat="1">
      <alignment horizontal="center" readingOrder="0" vertical="center"/>
    </xf>
    <xf borderId="1" fillId="4" fontId="0" numFmtId="0" xfId="0" applyAlignment="1" applyBorder="1" applyFill="1" applyFont="1">
      <alignment horizontal="center" vertical="center"/>
    </xf>
    <xf borderId="2" fillId="0" fontId="11" numFmtId="164" xfId="0" applyAlignment="1" applyBorder="1" applyFont="1" applyNumberFormat="1">
      <alignment horizontal="center" shrinkToFit="0" vertical="center" wrapText="1"/>
    </xf>
    <xf borderId="1" fillId="0" fontId="11" numFmtId="164" xfId="0" applyAlignment="1" applyBorder="1" applyFont="1" applyNumberFormat="1">
      <alignment horizontal="center" shrinkToFit="0" vertical="center" wrapText="1"/>
    </xf>
    <xf borderId="3" fillId="0" fontId="11" numFmtId="164" xfId="0" applyAlignment="1" applyBorder="1" applyFont="1" applyNumberFormat="1">
      <alignment horizontal="center" shrinkToFit="0" vertical="center" wrapText="0"/>
    </xf>
    <xf borderId="2" fillId="0" fontId="11" numFmtId="164" xfId="0" applyAlignment="1" applyBorder="1" applyFont="1" applyNumberFormat="1">
      <alignment horizontal="left" shrinkToFit="0" vertical="center" wrapText="1"/>
    </xf>
    <xf borderId="1" fillId="0" fontId="11" numFmtId="164" xfId="0" applyAlignment="1" applyBorder="1" applyFont="1" applyNumberFormat="1">
      <alignment horizontal="center" readingOrder="0" vertical="center"/>
    </xf>
    <xf borderId="2" fillId="0" fontId="11" numFmtId="164" xfId="0" applyAlignment="1" applyBorder="1" applyFont="1" applyNumberFormat="1">
      <alignment horizontal="center" readingOrder="0" shrinkToFit="0" vertical="center" wrapText="1"/>
    </xf>
    <xf borderId="1" fillId="0" fontId="11" numFmtId="164" xfId="0" applyAlignment="1" applyBorder="1" applyFont="1" applyNumberFormat="1">
      <alignment horizontal="center" readingOrder="0" shrinkToFit="0" vertical="center" wrapText="1"/>
    </xf>
    <xf borderId="3" fillId="0" fontId="1" numFmtId="164" xfId="0" applyAlignment="1" applyBorder="1" applyFont="1" applyNumberFormat="1">
      <alignment horizontal="center" readingOrder="0" shrinkToFit="0" vertical="center" wrapText="0"/>
    </xf>
    <xf borderId="2" fillId="0" fontId="1" numFmtId="164" xfId="0" applyAlignment="1" applyBorder="1" applyFont="1" applyNumberFormat="1">
      <alignment horizontal="left" readingOrder="0" shrinkToFit="0" vertical="center" wrapText="1"/>
    </xf>
    <xf borderId="0" fillId="0" fontId="1" numFmtId="166" xfId="0" applyAlignment="1" applyFont="1" applyNumberFormat="1">
      <alignment horizontal="center" shrinkToFit="0" vertical="center" wrapText="1"/>
    </xf>
    <xf borderId="1" fillId="0" fontId="11" numFmtId="166" xfId="0" applyAlignment="1" applyBorder="1" applyFont="1" applyNumberFormat="1">
      <alignment horizontal="center" vertical="center"/>
    </xf>
    <xf borderId="1" fillId="0" fontId="11" numFmtId="166" xfId="0" applyAlignment="1" applyBorder="1" applyFont="1" applyNumberFormat="1">
      <alignment horizontal="center" shrinkToFit="0" vertical="center" wrapText="1"/>
    </xf>
    <xf borderId="0" fillId="2" fontId="4" numFmtId="164" xfId="0" applyAlignment="1" applyFont="1" applyNumberFormat="1">
      <alignment horizontal="center" readingOrder="0" shrinkToFit="0" vertical="center" wrapText="1"/>
    </xf>
    <xf borderId="1" fillId="2" fontId="4" numFmtId="164" xfId="0" applyAlignment="1" applyBorder="1" applyFont="1" applyNumberFormat="1">
      <alignment horizontal="center" readingOrder="0" shrinkToFit="0" vertical="center" wrapText="1"/>
    </xf>
    <xf borderId="2" fillId="2" fontId="4"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0" fillId="2" fontId="4" numFmtId="166" xfId="0" applyAlignment="1" applyFont="1" applyNumberFormat="1">
      <alignment horizontal="center" readingOrder="0" shrinkToFit="0" vertical="center" wrapText="1"/>
    </xf>
    <xf borderId="1" fillId="2" fontId="4" numFmtId="3" xfId="0" applyAlignment="1" applyBorder="1" applyFont="1" applyNumberFormat="1">
      <alignment horizontal="center" readingOrder="0" shrinkToFit="0" vertical="center" wrapText="1"/>
    </xf>
    <xf borderId="2" fillId="2" fontId="4" numFmtId="166" xfId="0" applyAlignment="1" applyBorder="1" applyFont="1" applyNumberFormat="1">
      <alignment horizontal="center" readingOrder="0" shrinkToFit="0" vertical="center" wrapText="1"/>
    </xf>
    <xf borderId="1" fillId="2" fontId="4" numFmtId="166" xfId="0" applyAlignment="1" applyBorder="1" applyFont="1" applyNumberFormat="1">
      <alignment horizontal="center" readingOrder="0" shrinkToFit="0" vertical="center" wrapText="1"/>
    </xf>
    <xf borderId="2" fillId="2" fontId="4" numFmtId="164" xfId="0" applyAlignment="1" applyBorder="1" applyFont="1" applyNumberFormat="1">
      <alignment horizontal="center" readingOrder="0" shrinkToFit="0" vertical="center" wrapText="1"/>
    </xf>
    <xf borderId="0" fillId="2" fontId="4" numFmtId="167" xfId="0" applyAlignment="1" applyFont="1" applyNumberFormat="1">
      <alignment horizontal="center" readingOrder="0" shrinkToFit="0" vertical="center" wrapText="1"/>
    </xf>
    <xf borderId="2" fillId="2" fontId="4" numFmtId="3" xfId="0" applyAlignment="1" applyBorder="1" applyFont="1" applyNumberFormat="1">
      <alignment horizontal="center" readingOrder="0" shrinkToFit="0" vertical="center" wrapText="1"/>
    </xf>
    <xf borderId="0" fillId="2" fontId="4" numFmtId="3" xfId="0" applyAlignment="1" applyFont="1" applyNumberFormat="1">
      <alignment horizontal="center" readingOrder="0" shrinkToFit="0" vertical="center" wrapText="1"/>
    </xf>
    <xf borderId="0" fillId="0" fontId="1" numFmtId="0" xfId="0" applyAlignment="1" applyFont="1">
      <alignment horizontal="center" vertical="center"/>
    </xf>
    <xf borderId="2" fillId="0" fontId="1" numFmtId="166" xfId="0" applyAlignment="1" applyBorder="1" applyFont="1" applyNumberFormat="1">
      <alignment horizontal="left" readingOrder="0" vertical="center"/>
    </xf>
    <xf borderId="0" fillId="0" fontId="1" numFmtId="167" xfId="0" applyAlignment="1" applyFont="1" applyNumberFormat="1">
      <alignment horizontal="center" shrinkToFit="0" vertical="center" wrapText="1"/>
    </xf>
    <xf borderId="1" fillId="0" fontId="1" numFmtId="3" xfId="0" applyAlignment="1" applyBorder="1" applyFont="1" applyNumberFormat="1">
      <alignment horizontal="center" readingOrder="0" shrinkToFit="0" vertical="center" wrapText="1"/>
    </xf>
    <xf borderId="2" fillId="0" fontId="1" numFmtId="3" xfId="0" applyAlignment="1" applyBorder="1" applyFont="1" applyNumberFormat="1">
      <alignment horizontal="center"/>
    </xf>
    <xf borderId="0" fillId="0" fontId="1" numFmtId="3" xfId="0" applyAlignment="1" applyFont="1" applyNumberFormat="1">
      <alignment horizontal="center"/>
    </xf>
    <xf borderId="2" fillId="0" fontId="1" numFmtId="3" xfId="0" applyAlignment="1" applyBorder="1" applyFont="1" applyNumberFormat="1">
      <alignment horizontal="center" vertical="center"/>
    </xf>
    <xf borderId="0" fillId="0" fontId="1" numFmtId="3" xfId="0" applyAlignment="1" applyFont="1" applyNumberFormat="1">
      <alignment horizontal="center" vertical="center"/>
    </xf>
    <xf borderId="2" fillId="0" fontId="1" numFmtId="166" xfId="0" applyAlignment="1" applyBorder="1" applyFont="1" applyNumberFormat="1">
      <alignment horizontal="left" vertical="center"/>
    </xf>
    <xf borderId="0" fillId="0" fontId="6" numFmtId="165" xfId="0" applyAlignment="1" applyFont="1" applyNumberFormat="1">
      <alignment horizontal="center" vertical="center"/>
    </xf>
    <xf borderId="0" fillId="0" fontId="6" numFmtId="0" xfId="0" applyAlignment="1" applyFont="1">
      <alignment horizontal="center" readingOrder="0" vertical="center"/>
    </xf>
    <xf borderId="0" fillId="0" fontId="6" numFmtId="3" xfId="0" applyAlignment="1" applyFont="1" applyNumberFormat="1">
      <alignment horizontal="center" readingOrder="0" vertical="center"/>
    </xf>
    <xf borderId="0" fillId="0" fontId="1" numFmtId="3" xfId="0" applyAlignment="1" applyFont="1" applyNumberFormat="1">
      <alignment horizontal="left" vertical="center"/>
    </xf>
    <xf borderId="0" fillId="0" fontId="1" numFmtId="164" xfId="0" applyAlignment="1" applyFont="1" applyNumberFormat="1">
      <alignment horizontal="center" readingOrder="0" shrinkToFit="0" vertical="center" wrapText="1"/>
    </xf>
    <xf borderId="0" fillId="0" fontId="1" numFmtId="3" xfId="0" applyAlignment="1" applyFont="1" applyNumberFormat="1">
      <alignment horizontal="center" readingOrder="0" vertical="center"/>
    </xf>
    <xf borderId="0" fillId="0" fontId="1" numFmtId="3" xfId="0" applyAlignment="1" applyFont="1" applyNumberFormat="1">
      <alignment horizontal="left" readingOrder="0" vertical="center"/>
    </xf>
    <xf borderId="0" fillId="0" fontId="1" numFmtId="168" xfId="0" applyAlignment="1" applyFont="1" applyNumberFormat="1">
      <alignment horizontal="center" readingOrder="0" vertical="center"/>
    </xf>
    <xf borderId="0" fillId="0" fontId="6" numFmtId="164" xfId="0" applyAlignment="1" applyFont="1" applyNumberFormat="1">
      <alignment horizontal="center" shrinkToFit="0" wrapText="1"/>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2" fontId="5"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6" numFmtId="3" xfId="0" applyAlignment="1" applyFont="1" applyNumberFormat="1">
      <alignment horizontal="center" shrinkToFit="0" vertical="center" wrapText="1"/>
    </xf>
    <xf borderId="0" fillId="0" fontId="13" numFmtId="0" xfId="0" applyAlignment="1" applyFont="1">
      <alignment horizontal="center" readingOrder="0" shrinkToFit="0" vertical="center" wrapText="1"/>
    </xf>
    <xf borderId="0" fillId="0" fontId="1" numFmtId="3" xfId="0" applyAlignment="1" applyFont="1" applyNumberFormat="1">
      <alignment horizontal="center" shrinkToFit="0" vertical="center" wrapText="1"/>
    </xf>
    <xf borderId="0" fillId="0" fontId="14"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3" xfId="0" applyAlignment="1" applyFont="1" applyNumberFormat="1">
      <alignment horizontal="center" readingOrder="0" shrinkToFit="0" vertical="center" wrapText="1"/>
    </xf>
    <xf borderId="0" fillId="0" fontId="12" numFmtId="0" xfId="0" applyAlignment="1" applyFont="1">
      <alignment horizontal="center"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0" fontId="17" numFmtId="0" xfId="0" applyAlignment="1" applyFont="1">
      <alignment horizontal="center" readingOrder="0" shrinkToFit="0" vertical="center" wrapText="1"/>
    </xf>
    <xf borderId="0" fillId="0" fontId="18" numFmtId="0" xfId="0" applyAlignment="1" applyFont="1">
      <alignment horizontal="center" readingOrder="0" vertical="center"/>
    </xf>
    <xf borderId="0" fillId="0" fontId="6" numFmtId="3" xfId="0" applyAlignment="1" applyFont="1" applyNumberFormat="1">
      <alignment horizontal="center" readingOrder="0" shrinkToFit="0" vertical="center" wrapText="1"/>
    </xf>
    <xf borderId="0" fillId="4" fontId="12" numFmtId="0" xfId="0" applyAlignment="1" applyFont="1">
      <alignment horizontal="center" readingOrder="0" vertical="center"/>
    </xf>
    <xf borderId="0" fillId="4" fontId="12" numFmtId="164" xfId="0" applyAlignment="1" applyFont="1" applyNumberFormat="1">
      <alignment horizontal="center" readingOrder="0" vertical="center"/>
    </xf>
    <xf borderId="0" fillId="0" fontId="12" numFmtId="164" xfId="0" applyAlignment="1" applyFont="1" applyNumberFormat="1">
      <alignment horizontal="center" readingOrder="0" shrinkToFit="0" vertical="center" wrapText="1"/>
    </xf>
    <xf borderId="0" fillId="0" fontId="1" numFmtId="164" xfId="0" applyAlignment="1" applyFont="1" applyNumberFormat="1">
      <alignment horizontal="center" vertical="center"/>
    </xf>
    <xf borderId="0" fillId="0" fontId="19" numFmtId="0" xfId="0" applyAlignment="1" applyFont="1">
      <alignment horizontal="center" shrinkToFit="0" vertical="center" wrapText="1"/>
    </xf>
    <xf borderId="0" fillId="0" fontId="1" numFmtId="0" xfId="0" applyAlignment="1" applyFont="1">
      <alignment readingOrder="0"/>
    </xf>
    <xf borderId="0" fillId="0" fontId="6" numFmtId="166" xfId="0" applyAlignment="1" applyFont="1" applyNumberFormat="1">
      <alignment horizontal="center" vertical="center"/>
    </xf>
    <xf borderId="0" fillId="0" fontId="1" numFmtId="0" xfId="0" applyAlignment="1" applyFont="1">
      <alignment horizontal="left" readingOrder="0" vertical="center"/>
    </xf>
    <xf borderId="0" fillId="0" fontId="6" numFmtId="0" xfId="0" applyAlignment="1" applyFont="1">
      <alignment horizontal="center" vertical="center"/>
    </xf>
    <xf borderId="0" fillId="0" fontId="6" numFmtId="0" xfId="0" applyAlignment="1" applyFont="1">
      <alignment horizontal="left" vertical="center"/>
    </xf>
    <xf borderId="0" fillId="0" fontId="6" numFmtId="168" xfId="0" applyAlignment="1" applyFont="1" applyNumberFormat="1">
      <alignment horizontal="center" readingOrder="0"/>
    </xf>
    <xf borderId="0" fillId="0" fontId="6" numFmtId="166" xfId="0" applyAlignment="1" applyFont="1" applyNumberFormat="1">
      <alignment horizontal="center" readingOrder="0" vertical="bottom"/>
    </xf>
    <xf borderId="0" fillId="0" fontId="6" numFmtId="0" xfId="0" applyAlignment="1" applyFont="1">
      <alignment horizontal="left" readingOrder="0"/>
    </xf>
    <xf borderId="0" fillId="0" fontId="6" numFmtId="165" xfId="0" applyAlignment="1" applyFont="1" applyNumberFormat="1">
      <alignment horizontal="center"/>
    </xf>
    <xf borderId="0" fillId="0" fontId="6" numFmtId="166" xfId="0" applyAlignment="1" applyFont="1" applyNumberFormat="1">
      <alignment horizontal="center" vertical="bottom"/>
    </xf>
    <xf borderId="0" fillId="0" fontId="6" numFmtId="0" xfId="0" applyAlignment="1" applyFont="1">
      <alignment horizontal="left"/>
    </xf>
    <xf borderId="0" fillId="0" fontId="6" numFmtId="170" xfId="0" applyAlignment="1" applyFont="1" applyNumberFormat="1">
      <alignment horizontal="center" readingOrder="0"/>
    </xf>
    <xf borderId="0" fillId="0" fontId="20" numFmtId="0" xfId="0" applyAlignment="1" applyFont="1">
      <alignment horizontal="left" readingOrder="0"/>
    </xf>
    <xf borderId="0" fillId="0" fontId="6" numFmtId="169" xfId="0" applyAlignment="1" applyFont="1" applyNumberFormat="1">
      <alignment horizontal="center" readingOrder="0"/>
    </xf>
    <xf borderId="4" fillId="2" fontId="5" numFmtId="167" xfId="0" applyAlignment="1" applyBorder="1" applyFont="1" applyNumberFormat="1">
      <alignment horizontal="center" vertical="center"/>
    </xf>
    <xf borderId="4" fillId="2" fontId="5" numFmtId="165" xfId="0" applyAlignment="1" applyBorder="1" applyFont="1" applyNumberFormat="1">
      <alignment horizontal="left" vertical="center"/>
    </xf>
    <xf borderId="5" fillId="2" fontId="5" numFmtId="164" xfId="0" applyAlignment="1" applyBorder="1" applyFont="1" applyNumberFormat="1">
      <alignment horizontal="center" vertical="center"/>
    </xf>
    <xf borderId="4" fillId="2" fontId="5" numFmtId="166" xfId="0" applyAlignment="1" applyBorder="1" applyFont="1" applyNumberFormat="1">
      <alignment horizontal="center" vertical="center"/>
    </xf>
    <xf borderId="5" fillId="2" fontId="5" numFmtId="166" xfId="0" applyAlignment="1" applyBorder="1" applyFont="1" applyNumberFormat="1">
      <alignment horizontal="center" vertical="center"/>
    </xf>
    <xf borderId="0" fillId="0" fontId="1" numFmtId="167" xfId="0" applyAlignment="1" applyFont="1" applyNumberFormat="1">
      <alignment horizontal="center" vertical="center"/>
    </xf>
    <xf borderId="0" fillId="0" fontId="1" numFmtId="0" xfId="0" applyAlignment="1" applyFont="1">
      <alignment horizontal="left" vertical="center"/>
    </xf>
    <xf borderId="0" fillId="2" fontId="5" numFmtId="3" xfId="0" applyAlignment="1" applyFont="1" applyNumberFormat="1">
      <alignment horizontal="center" readingOrder="0" shrinkToFit="0" vertical="center" wrapText="1"/>
    </xf>
    <xf borderId="2" fillId="2" fontId="5" numFmtId="3" xfId="0" applyAlignment="1" applyBorder="1" applyFont="1" applyNumberFormat="1">
      <alignment horizontal="center" readingOrder="0" shrinkToFit="0" vertical="center" wrapText="1"/>
    </xf>
    <xf borderId="0" fillId="5" fontId="1" numFmtId="166" xfId="0" applyAlignment="1" applyFill="1" applyFont="1" applyNumberFormat="1">
      <alignment horizontal="left" vertical="center"/>
    </xf>
    <xf borderId="1" fillId="0" fontId="1" numFmtId="3" xfId="0" applyAlignment="1" applyBorder="1" applyFont="1" applyNumberFormat="1">
      <alignment horizontal="center" shrinkToFit="0" vertical="center" wrapText="1"/>
    </xf>
    <xf borderId="3" fillId="0" fontId="1" numFmtId="3" xfId="0" applyAlignment="1" applyBorder="1" applyFont="1" applyNumberFormat="1">
      <alignment horizontal="center" shrinkToFit="0" vertical="center" wrapText="1"/>
    </xf>
    <xf borderId="2" fillId="0" fontId="1" numFmtId="3" xfId="0" applyAlignment="1" applyBorder="1" applyFont="1" applyNumberFormat="1">
      <alignment horizontal="center" shrinkToFit="0" vertical="center" wrapText="1"/>
    </xf>
    <xf borderId="2" fillId="0" fontId="1" numFmtId="3" xfId="0" applyAlignment="1" applyBorder="1" applyFont="1" applyNumberFormat="1">
      <alignment horizontal="center" readingOrder="0" vertical="center"/>
    </xf>
    <xf borderId="0" fillId="4" fontId="1" numFmtId="166" xfId="0" applyAlignment="1" applyFont="1" applyNumberFormat="1">
      <alignment horizontal="left" vertical="center"/>
    </xf>
    <xf borderId="1" fillId="0" fontId="1" numFmtId="3" xfId="0" applyAlignment="1" applyBorder="1" applyFont="1" applyNumberFormat="1">
      <alignment horizontal="center" vertical="center"/>
    </xf>
    <xf borderId="3" fillId="0" fontId="1" numFmtId="3" xfId="0" applyAlignment="1" applyBorder="1" applyFont="1" applyNumberFormat="1">
      <alignment horizontal="center" vertical="center"/>
    </xf>
    <xf borderId="1" fillId="0" fontId="1" numFmtId="0" xfId="0" applyAlignment="1" applyBorder="1" applyFont="1">
      <alignment horizontal="center" vertical="center"/>
    </xf>
    <xf borderId="3" fillId="0" fontId="1" numFmtId="0" xfId="0" applyAlignment="1" applyBorder="1" applyFont="1">
      <alignment horizontal="center" vertical="center"/>
    </xf>
    <xf borderId="2" fillId="0" fontId="1" numFmtId="0" xfId="0" applyAlignment="1" applyBorder="1" applyFont="1">
      <alignment horizontal="center" vertical="center"/>
    </xf>
    <xf borderId="0" fillId="0" fontId="1" numFmtId="166" xfId="0" applyAlignment="1" applyFont="1" applyNumberFormat="1">
      <alignment horizontal="left" vertical="center"/>
    </xf>
    <xf borderId="0" fillId="2" fontId="5" numFmtId="165" xfId="0" applyAlignment="1" applyFont="1" applyNumberFormat="1">
      <alignment horizontal="center" vertical="center"/>
    </xf>
    <xf borderId="0" fillId="2" fontId="5" numFmtId="3" xfId="0" applyAlignment="1" applyFont="1" applyNumberFormat="1">
      <alignment horizontal="center" vertical="center"/>
    </xf>
    <xf borderId="0" fillId="0" fontId="1" numFmtId="165" xfId="0" applyAlignment="1" applyFont="1" applyNumberFormat="1">
      <alignment horizontal="center" vertical="center"/>
    </xf>
  </cellXfs>
  <cellStyles count="1">
    <cellStyle xfId="0" name="Normal" builtinId="0"/>
  </cellStyles>
  <dxfs count="2">
    <dxf>
      <font>
        <color rgb="FFFFFFFF"/>
      </font>
      <fill>
        <patternFill patternType="solid">
          <fgColor rgb="FFFFFFFF"/>
          <bgColor rgb="FFFFFFF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hmad Fauzan Muzakki" id="{eb2fab79-3f49-44ca-9771-20ddb34ec063}" providerId="google-sheets"/>
  <x18tc:person displayName="Information Technology Bisa!" id="{ac29d9f6-c9fe-49c5-aaf2-a42c46cfc7b3}" providerId="google-sheets"/>
  <x18tc:person displayName="Furqon Aji Yudhistira" id="{1ce741a6-e620-4491-bd66-9907fa427f75}"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9-03-28T06:34:44.00" personId="{ac29d9f6-c9fe-49c5-aaf2-a42c46cfc7b3}" id="{ad9f598a-9a1e-476a-9443-1d7fafda901a}" done="1">
    <x18tc:text xml:space="preserve">Sudah sangat jelas, ditulis di chat 10.000 - 10.000 - 2118, kenapa ditulis 0?</x18tc:text>
  </x18tc:threadedComment>
  <x18tc:threadedComment ref="A1" dT="2019-02-20T06:06:45.00" personId="{eb2fab79-3f49-44ca-9771-20ddb34ec063}" id="{584bc077-2fb1-4daf-856f-b425f406e914}" done="0">
    <x18tc:text xml:space="preserve">belom ada namanya ji</x18tc:text>
  </x18tc:threadedComment>
  <x18tc:threadedComment ref="A1" dT="2019-01-27T05:26:20.00" personId="{eb2fab79-3f49-44ca-9771-20ddb34ec063}" id="{35ef087a-b742-476f-921a-45c977b3dee4}" done="1">
    <x18tc:text xml:space="preserve">gaberubah jd link geuning</x18tc:text>
  </x18tc:threadedComment>
  <x18tc:threadedComment ref="A1" dT="2019-04-12T13:51:48.00" personId="{1ce741a6-e620-4491-bd66-9907fa427f75}" id="{d4a42570-e530-4d06-b6b2-25b27447e7d0}" done="1">
    <x18tc:text xml:space="preserve">Salah ke-2</x18tc:text>
  </x18tc:threadedComment>
  <x18tc:threadedComment ref="A1" dT="2019-03-28T06:32:47.00" personId="{ac29d9f6-c9fe-49c5-aaf2-a42c46cfc7b3}" id="{868f344b-34f0-47b0-9e4f-4f676bbfdabe}" done="1">
    <x18tc:text xml:space="preserve">Banyak lot itu 14 buah, kenapa tulis 10 biji?</x18tc:text>
  </x18tc:threadedComment>
  <x18tc:threadedComment ref="A1" dT="2019-04-11T23:46:14.00" personId="{1ce741a6-e620-4491-bd66-9907fa427f75}" id="{c3c540a4-7712-4e02-bbb3-9258960f6a54}" done="1">
    <x18tc:text xml:space="preserve">Testing, harusnya 2</x18tc:text>
  </x18tc:threadedComment>
  <x18tc:threadedComment ref="A1" dT="2019-04-04T17:58:25.00" personId="{eb2fab79-3f49-44ca-9771-20ddb34ec063}" id="{d725da10-f70e-4fa8-a272-b117cfea3d73}" done="1">
    <x18tc:text xml:space="preserve">gaada dilist transaksi urang</x18tc:text>
  </x18tc:threadedComment>
  <x18tc:threadedComment ref="A1" dT="2019-02-24T10:47:44.00" personId="{ac29d9f6-c9fe-49c5-aaf2-a42c46cfc7b3}" id="{fcf4a4e5-f720-41f4-aa1c-42dc56dfb3b5}" done="1">
    <x18tc:text xml:space="preserve">cek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detail.1688.com/offer/966411176889.html" TargetMode="External"/><Relationship Id="rId22" Type="http://schemas.openxmlformats.org/officeDocument/2006/relationships/hyperlink" Target="https://detail.1688.com/offer/1258284723.html" TargetMode="External"/><Relationship Id="rId21" Type="http://schemas.openxmlformats.org/officeDocument/2006/relationships/hyperlink" Target="https://detail.1688.com/offer/586404749466.html" TargetMode="External"/><Relationship Id="rId24" Type="http://schemas.openxmlformats.org/officeDocument/2006/relationships/hyperlink" Target="https://detail.1688.com/offer/714453066015.html" TargetMode="External"/><Relationship Id="rId23" Type="http://schemas.openxmlformats.org/officeDocument/2006/relationships/hyperlink" Target="https://detail.1688.com/offer/714453066015.html" TargetMode="External"/><Relationship Id="rId1" Type="http://schemas.openxmlformats.org/officeDocument/2006/relationships/hyperlink" Target="https://shopee.co.id/20pcs-IC-lm741c-lm741cn-DIP-8Pin-UA741CN-Amp-LM741-Amp-i.77214376.1434513222" TargetMode="External"/><Relationship Id="rId2" Type="http://schemas.openxmlformats.org/officeDocument/2006/relationships/hyperlink" Target="https://www.tokopedia.com/multigshop/1000-pcs-resistor-470k-1-4-watt" TargetMode="External"/><Relationship Id="rId3" Type="http://schemas.openxmlformats.org/officeDocument/2006/relationships/hyperlink" Target="https://www.tokopedia.com/smartmm/resistor-1-4w-56k-1000biji" TargetMode="External"/><Relationship Id="rId4" Type="http://schemas.openxmlformats.org/officeDocument/2006/relationships/hyperlink" Target="https://www.tokopedia.com/evelinel/bohlam-e-10-bola-lampu-senter-drat-e10-rapid-isi-50-pcs-kotak?utm_source=whatsapp&amp;utm_medium=share&amp;utm_campaign=PDP-2644979-5342447705-301022-contextual_image" TargetMode="External"/><Relationship Id="rId9" Type="http://schemas.openxmlformats.org/officeDocument/2006/relationships/hyperlink" Target="https://detail.1688.com/offer/554814591930.html" TargetMode="External"/><Relationship Id="rId26" Type="http://schemas.openxmlformats.org/officeDocument/2006/relationships/hyperlink" Target="https://detail.1688.com/offer/775368378784.html" TargetMode="External"/><Relationship Id="rId25" Type="http://schemas.openxmlformats.org/officeDocument/2006/relationships/hyperlink" Target="https://detail.1688.com/offer/1010760289214.html" TargetMode="External"/><Relationship Id="rId28" Type="http://schemas.openxmlformats.org/officeDocument/2006/relationships/hyperlink" Target="https://detail.1688.com/offer/775368378784.html" TargetMode="External"/><Relationship Id="rId27" Type="http://schemas.openxmlformats.org/officeDocument/2006/relationships/hyperlink" Target="https://detail.1688.com/offer/775368378784.html" TargetMode="External"/><Relationship Id="rId5" Type="http://schemas.openxmlformats.org/officeDocument/2006/relationships/hyperlink" Target="https://detail.1688.com/offer/678795685587.html" TargetMode="External"/><Relationship Id="rId6" Type="http://schemas.openxmlformats.org/officeDocument/2006/relationships/hyperlink" Target="https://detail.1688.com/offer/775368378784.html" TargetMode="External"/><Relationship Id="rId29" Type="http://schemas.openxmlformats.org/officeDocument/2006/relationships/drawing" Target="../drawings/drawing2.xml"/><Relationship Id="rId7" Type="http://schemas.openxmlformats.org/officeDocument/2006/relationships/hyperlink" Target="https://detail.1688.com/offer/775368378784.html" TargetMode="External"/><Relationship Id="rId8" Type="http://schemas.openxmlformats.org/officeDocument/2006/relationships/hyperlink" Target="https://detail.1688.com/offer/624513627642.html" TargetMode="External"/><Relationship Id="rId11" Type="http://schemas.openxmlformats.org/officeDocument/2006/relationships/hyperlink" Target="https://detail.1688.com/offer/940169024033.html" TargetMode="External"/><Relationship Id="rId10" Type="http://schemas.openxmlformats.org/officeDocument/2006/relationships/hyperlink" Target="https://detail.1688.com/offer/586404749466.html" TargetMode="External"/><Relationship Id="rId13" Type="http://schemas.openxmlformats.org/officeDocument/2006/relationships/hyperlink" Target="https://detail.1688.com/offer/679786580432.html" TargetMode="External"/><Relationship Id="rId12" Type="http://schemas.openxmlformats.org/officeDocument/2006/relationships/hyperlink" Target="https://detail.1688.com/offer/726967883494.html" TargetMode="External"/><Relationship Id="rId15" Type="http://schemas.openxmlformats.org/officeDocument/2006/relationships/hyperlink" Target="https://detail.1688.com/offer/775368378784.html" TargetMode="External"/><Relationship Id="rId14" Type="http://schemas.openxmlformats.org/officeDocument/2006/relationships/hyperlink" Target="https://detail.1688.com/offer/775368378784.html" TargetMode="External"/><Relationship Id="rId17" Type="http://schemas.openxmlformats.org/officeDocument/2006/relationships/hyperlink" Target="https://detail.1688.com/offer/775368378784.html" TargetMode="External"/><Relationship Id="rId16" Type="http://schemas.openxmlformats.org/officeDocument/2006/relationships/hyperlink" Target="https://detail.1688.com/offer/775368378784.html" TargetMode="External"/><Relationship Id="rId19" Type="http://schemas.openxmlformats.org/officeDocument/2006/relationships/hyperlink" Target="https://martkita.com/product/MTY4OA==/624513627642" TargetMode="External"/><Relationship Id="rId18" Type="http://schemas.openxmlformats.org/officeDocument/2006/relationships/hyperlink" Target="https://detail.1688.com/offer/575196879958.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zenius.net" TargetMode="External"/><Relationship Id="rId20" Type="http://schemas.openxmlformats.org/officeDocument/2006/relationships/hyperlink" Target="https://tokopedia.com/itbisa/itbisa-40pcs-kabel-jumper-20-cm-male-to-male-m-m-2-54-mm-mm-m-m-20cm" TargetMode="External"/><Relationship Id="rId42" Type="http://schemas.openxmlformats.org/officeDocument/2006/relationships/hyperlink" Target="http://zenius.net" TargetMode="External"/><Relationship Id="rId41" Type="http://schemas.openxmlformats.org/officeDocument/2006/relationships/hyperlink" Target="http://zenius.net" TargetMode="External"/><Relationship Id="rId22" Type="http://schemas.openxmlformats.org/officeDocument/2006/relationships/hyperlink" Target="https://www.bukalapak.com/p/elektronik/komponen-elektronik/3t187p8-jual-itbisa-40pcs-kabel-jumper-20-cm-female-to-female-f-f-ff-f-f-2-54mm-arduino-breadboard-40-pcs-20cm-buah-pin-2-54-mm-wire-cable-rainbow-pelangi-sensor" TargetMode="External"/><Relationship Id="rId44" Type="http://schemas.openxmlformats.org/officeDocument/2006/relationships/hyperlink" Target="http://zenius.net" TargetMode="External"/><Relationship Id="rId21" Type="http://schemas.openxmlformats.org/officeDocument/2006/relationships/hyperlink" Target="https://shopee.co.id/product/80492423/4855244491/" TargetMode="External"/><Relationship Id="rId43" Type="http://schemas.openxmlformats.org/officeDocument/2006/relationships/hyperlink" Target="http://zenius.net" TargetMode="External"/><Relationship Id="rId24" Type="http://schemas.openxmlformats.org/officeDocument/2006/relationships/hyperlink" Target="https://shopee.co.id/product/80492423/5655241072/" TargetMode="External"/><Relationship Id="rId46" Type="http://schemas.openxmlformats.org/officeDocument/2006/relationships/drawing" Target="../drawings/drawing6.xml"/><Relationship Id="rId23" Type="http://schemas.openxmlformats.org/officeDocument/2006/relationships/hyperlink" Target="https://www.tokopedia.com/itbisa/itbisa-40pcs-kabel-jumper-20-cm-female-to-female-f-f-2-54-mm-ff-20cm" TargetMode="External"/><Relationship Id="rId45" Type="http://schemas.openxmlformats.org/officeDocument/2006/relationships/hyperlink" Target="http://zenius.net" TargetMode="External"/><Relationship Id="rId1" Type="http://schemas.openxmlformats.org/officeDocument/2006/relationships/comments" Target="../comments2.xml"/><Relationship Id="rId2" Type="http://schemas.openxmlformats.org/officeDocument/2006/relationships/hyperlink" Target="https://www.bukalapak.com/p/elektronik/komponen-elektronik/12cm7sr-jual-itbisa-7-segment-cc-common-katoda-0-56-inci-merah-1-bit-led-display-jam-digital-nilai-sensor-7-segment-seven-red-cathode-0-56inch-inch-1bit" TargetMode="External"/><Relationship Id="rId3" Type="http://schemas.openxmlformats.org/officeDocument/2006/relationships/hyperlink" Target="https://tokopedia.com/itbisa/itbisa-seven-7-segment-cc-common-cathode-0-56-inch-red-1bit-merah" TargetMode="External"/><Relationship Id="rId4" Type="http://schemas.openxmlformats.org/officeDocument/2006/relationships/hyperlink" Target="https://www.bukalapak.com/p/elektronik/komponen-elektronik/12cn11o-jual-itbisa-ic-ua741cn-dip-8-op-amp-filter-penguat-lpf-hpf-bpf-integrated-circuit-ua-741-ua741-op-amp-opamp-8-pin-kaki-dip8-8dip" TargetMode="External"/><Relationship Id="rId9" Type="http://schemas.openxmlformats.org/officeDocument/2006/relationships/hyperlink" Target="https://www.tokopedia.com/itbisa/itbisa-transistor-bjt-npn-2n2222-a-2n2222a-h331-penguat-switch-to92" TargetMode="External"/><Relationship Id="rId26" Type="http://schemas.openxmlformats.org/officeDocument/2006/relationships/hyperlink" Target="https://www.tokopedia.com/itbisa/itbisa-40pcs-kabel-jumper-10-cm-male-to-male-m-m-2-54-mm-mm-m-m-10cm" TargetMode="External"/><Relationship Id="rId25" Type="http://schemas.openxmlformats.org/officeDocument/2006/relationships/hyperlink" Target="https://www.bukalapak.com/p/elektronik/komponen-elektronik/vbuzpu-jual-itbisa-40pcs-kabel-jumper-10-cm-male-to-male-m-m-2-54-mm-merk-dupont-arduino-breadboard-40-pcs-buah-mm-m-m-pin-2-54mm-10cm-cable" TargetMode="External"/><Relationship Id="rId47" Type="http://schemas.openxmlformats.org/officeDocument/2006/relationships/vmlDrawing" Target="../drawings/vmlDrawing2.vml"/><Relationship Id="rId28" Type="http://schemas.openxmlformats.org/officeDocument/2006/relationships/hyperlink" Target="https://www.tokopedia.com/itbisa/itbisa-seven-7-segment-ca-common-anode-0-56-inch-red-1bit-led-merah" TargetMode="External"/><Relationship Id="rId27" Type="http://schemas.openxmlformats.org/officeDocument/2006/relationships/hyperlink" Target="https://shopee.co.id/product/80492423/2291050648/" TargetMode="External"/><Relationship Id="rId5" Type="http://schemas.openxmlformats.org/officeDocument/2006/relationships/hyperlink" Target="https://www.bukalapak.com/p/elektronik/komponen-elektronik/163beu6-jual-itbisa-40pcs-kabel-jumper-10-cm-male-to-female-m-f-2-54-mm-merk-dupont-arduino-breadboard-40-pcs-buah-mf-m-f-pin-2-54mm-10cm-cable" TargetMode="External"/><Relationship Id="rId6" Type="http://schemas.openxmlformats.org/officeDocument/2006/relationships/hyperlink" Target="https://www.tokopedia.com/itbisa/itbisa-40pcs-kabel-jumper-10-cm-male-to-female-m-f-2-54-mm-mf-10cm" TargetMode="External"/><Relationship Id="rId29" Type="http://schemas.openxmlformats.org/officeDocument/2006/relationships/hyperlink" Target="https://tokopedia.com/itbisa/itbisa-baterai-abc-super-power-1-5-v-volt-size-d-hitam-carbon-zinc" TargetMode="External"/><Relationship Id="rId7" Type="http://schemas.openxmlformats.org/officeDocument/2006/relationships/hyperlink" Target="https://shopee.co.id/product/80492423/2291036855/" TargetMode="External"/><Relationship Id="rId8" Type="http://schemas.openxmlformats.org/officeDocument/2006/relationships/hyperlink" Target="https://www.bukalapak.com/p/elektronik/komponen-elektronik/1b2qbb9-jual-itbisa-transistor-bjt-npn-2n2222a-h331-to92-0-6a-30v-penguat-switch-transistors-2n2222-2n-2222-a-to-92-h-331-0-6-op-amp-switching-30-v-30volt" TargetMode="External"/><Relationship Id="rId31" Type="http://schemas.openxmlformats.org/officeDocument/2006/relationships/hyperlink" Target="https://www.bukalapak.com/p/elektronik/komponen-elektronik/3eycwsd-jual-itbisa-resistor-22k-0-25w-1-persen-toleransi-cokelat-metal-film-blue-0-25-w-watt-biru-22000-ohm-22kohm-22000ohm-1-percent-brown-tolerance" TargetMode="External"/><Relationship Id="rId30" Type="http://schemas.openxmlformats.org/officeDocument/2006/relationships/hyperlink" Target="https://tokopedia.com/itbisa/itbisa-ic-4n35-optocoupler-phototransistor-photocoupler-dip6-6-pin" TargetMode="External"/><Relationship Id="rId11" Type="http://schemas.openxmlformats.org/officeDocument/2006/relationships/hyperlink" Target="https://www.bukalapak.com/p/elektronik/komponen-elektronik/1p5d40c-jual-itbisa-40pcs-kabel-jumper-10-cm-female-to-female-f-f-2-54-mm-merk-dupont-arduino-breadboard-40-pcs-buah-ff-f-f-pin-2-54mm-10cm-cable" TargetMode="External"/><Relationship Id="rId33" Type="http://schemas.openxmlformats.org/officeDocument/2006/relationships/hyperlink" Target="https://shopee.co.id/product/80492423/4438402579/" TargetMode="External"/><Relationship Id="rId10" Type="http://schemas.openxmlformats.org/officeDocument/2006/relationships/hyperlink" Target="https://shopee.co.id/product/80492423/2291143520/" TargetMode="External"/><Relationship Id="rId32" Type="http://schemas.openxmlformats.org/officeDocument/2006/relationships/hyperlink" Target="https://tokopedia.com/itbisa/itbisa-resistor-22k-1-4w-0-25w-1-metal-film-blue-1-4-w-0-25-watt" TargetMode="External"/><Relationship Id="rId13" Type="http://schemas.openxmlformats.org/officeDocument/2006/relationships/hyperlink" Target="https://shopee.co.id/product/80492423/2287703561/" TargetMode="External"/><Relationship Id="rId35" Type="http://schemas.openxmlformats.org/officeDocument/2006/relationships/hyperlink" Target="http://zenius.net" TargetMode="External"/><Relationship Id="rId12" Type="http://schemas.openxmlformats.org/officeDocument/2006/relationships/hyperlink" Target="https://www.tokopedia.com/itbisa/itbisa-40pcs-kabel-jumper-10-cm-female-to-female-f-f-2-54-mm-ff-10cm" TargetMode="External"/><Relationship Id="rId34" Type="http://schemas.openxmlformats.org/officeDocument/2006/relationships/hyperlink" Target="http://zenius.net" TargetMode="External"/><Relationship Id="rId15" Type="http://schemas.openxmlformats.org/officeDocument/2006/relationships/hyperlink" Target="https://tokopedia.com/itbisa/itbisa-socket-ic-dip-8-2x4-narrow-soket-dip8-8dip-8-dip-pin-kaki" TargetMode="External"/><Relationship Id="rId37" Type="http://schemas.openxmlformats.org/officeDocument/2006/relationships/hyperlink" Target="http://zenius.net" TargetMode="External"/><Relationship Id="rId14" Type="http://schemas.openxmlformats.org/officeDocument/2006/relationships/hyperlink" Target="https://www.bukalapak.com/p/elektronik/komponen-elektronik/2aposh9-jual-itbisa-socket-ic-dip-8-2x4-narrow-soket-integrated-circuit-8-pin-kaki-lubang-datar-dip8-8dip" TargetMode="External"/><Relationship Id="rId36" Type="http://schemas.openxmlformats.org/officeDocument/2006/relationships/hyperlink" Target="http://zenius.net" TargetMode="External"/><Relationship Id="rId17" Type="http://schemas.openxmlformats.org/officeDocument/2006/relationships/hyperlink" Target="https://www.bukalapak.com/p/elektronik/komponen-elektronik/3ge7cl1-jual-itbisa-socket-ic-dip16-2x8-narrow-dip-16-pin-16p-soket-dip-16-2-54mm-2-54-mm-dudukan-16-lubang-16-dip-integrated-integrate-circuit-2-x-8-8x2-8-x-2" TargetMode="External"/><Relationship Id="rId39" Type="http://schemas.openxmlformats.org/officeDocument/2006/relationships/hyperlink" Target="http://zenius.net" TargetMode="External"/><Relationship Id="rId16" Type="http://schemas.openxmlformats.org/officeDocument/2006/relationships/hyperlink" Target="https://shopee.co.id/product/80492423/2287659492/" TargetMode="External"/><Relationship Id="rId38" Type="http://schemas.openxmlformats.org/officeDocument/2006/relationships/hyperlink" Target="http://zenius.net" TargetMode="External"/><Relationship Id="rId19" Type="http://schemas.openxmlformats.org/officeDocument/2006/relationships/hyperlink" Target="https://www.bukalapak.com/p/elektronik/komponen-elektronik/3t18497-jual-itbisa-40pcs-kabel-jumper-20-cm-male-to-male-m-m-mm-m-m-2-54mm-arduino-breadboard-40-pcs-20cm-buah-pin-2-54-mm-wire-cable-rainbow-pelangi-sensor" TargetMode="External"/><Relationship Id="rId18" Type="http://schemas.openxmlformats.org/officeDocument/2006/relationships/hyperlink" Target="https://tokopedia.com/itbisa/itbisa-socket-ic-dip16-2x8-narrow-dip-16-pin-16p-soket-dip-16-2-54m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brebes.id/"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46.88"/>
  </cols>
  <sheetData>
    <row r="1">
      <c r="A1" s="1" t="s">
        <v>0</v>
      </c>
      <c r="B1" s="1" t="s">
        <v>1</v>
      </c>
    </row>
    <row r="2">
      <c r="A2" s="2" t="str">
        <f>HYPERLINK("https://docs.google.com/spreadsheets/d/1ESni1h-9NP1dVdHaEILuc6WWv_P8-mWX3jXPRX9GysM/edit#gid=1979551602","BisaStok")</f>
        <v>BisaStok</v>
      </c>
      <c r="B2" s="1" t="s">
        <v>2</v>
      </c>
    </row>
    <row r="3">
      <c r="A3" s="2" t="str">
        <f>HYPERLINK("https://docs.google.com/spreadsheets/d/1ESni1h-9NP1dVdHaEILuc6WWv_P8-mWX3jXPRX9GysM/edit#gid=533652570","BisaPerlengkapan")</f>
        <v>BisaPerlengkapan</v>
      </c>
      <c r="B3" s="1" t="s">
        <v>3</v>
      </c>
    </row>
    <row r="4">
      <c r="A4" s="2" t="str">
        <f>HYPERLINK("https://docs.google.com/spreadsheets/d/1ESni1h-9NP1dVdHaEILuc6WWv_P8-mWX3jXPRX9GysM/edit#gid=1164177046","BisaHitungImpor")</f>
        <v>BisaHitungImpor</v>
      </c>
      <c r="B4" s="3"/>
    </row>
    <row r="5">
      <c r="A5" s="2" t="str">
        <f>HYPERLINK("https://docs.google.com/spreadsheets/d/1ESni1h-9NP1dVdHaEILuc6WWv_P8-mWX3jXPRX9GysM/edit#gid=90517666","BisaEksporBisaJual")</f>
        <v>BisaEksporBisaJual</v>
      </c>
      <c r="B5" s="3"/>
    </row>
    <row r="6">
      <c r="A6" s="2" t="str">
        <f>HYPERLINK("https://docs.google.com/spreadsheets/d/1ESni1h-9NP1dVdHaEILuc6WWv_P8-mWX3jXPRX9GysM/edit#gid=171163769","BisaHilang")</f>
        <v>BisaHilang</v>
      </c>
      <c r="B6" s="3"/>
    </row>
    <row r="7">
      <c r="A7" s="2" t="str">
        <f>HYPERLINK("https://docs.google.com/spreadsheets/d/1ESni1h-9NP1dVdHaEILuc6WWv_P8-mWX3jXPRX9GysM/edit#gid=1152745648","BisaJualBukalapak")</f>
        <v>BisaJualBukalapak</v>
      </c>
      <c r="B7" s="1" t="s">
        <v>4</v>
      </c>
    </row>
    <row r="8">
      <c r="A8" s="2" t="str">
        <f>HYPERLINK("https://docs.google.com/spreadsheets/d/1ESni1h-9NP1dVdHaEILuc6WWv_P8-mWX3jXPRX9GysM/edit#gid=1873910816","BisaJualTokopedia")</f>
        <v>BisaJualTokopedia</v>
      </c>
      <c r="B8" s="1" t="s">
        <v>5</v>
      </c>
    </row>
    <row r="9">
      <c r="A9" s="2" t="str">
        <f>HYPERLINK("https://docs.google.com/spreadsheets/d/1ESni1h-9NP1dVdHaEILuc6WWv_P8-mWX3jXPRX9GysM/edit#gid=1921632670","BisaJualBliBli")</f>
        <v>BisaJualBliBli</v>
      </c>
      <c r="B9" s="3"/>
    </row>
    <row r="10">
      <c r="A10" s="2" t="str">
        <f>HYPERLINK("https://docs.google.com/spreadsheets/d/1ESni1h-9NP1dVdHaEILuc6WWv_P8-mWX3jXPRX9GysM/edit#gid=1461742550","BisaJualWeb")</f>
        <v>BisaJualWeb</v>
      </c>
      <c r="B10" s="3"/>
    </row>
    <row r="11">
      <c r="A11" s="2" t="str">
        <f>HYPERLINK("https://docs.google.com/spreadsheets/d/1ESni1h-9NP1dVdHaEILuc6WWv_P8-mWX3jXPRX9GysM/edit#gid=526519451","BisaJualCOD")</f>
        <v>BisaJualCOD</v>
      </c>
      <c r="B11" s="3"/>
    </row>
    <row r="12">
      <c r="A12" s="2" t="str">
        <f>HYPERLINK("https://docs.google.com/spreadsheets/d/1ESni1h-9NP1dVdHaEILuc6WWv_P8-mWX3jXPRX9GysM/edit#gid=716139622","BisaSEO")</f>
        <v>BisaSEO</v>
      </c>
      <c r="B12" s="3"/>
    </row>
    <row r="13">
      <c r="A13" s="3"/>
      <c r="B13" s="3"/>
    </row>
    <row r="14">
      <c r="A14" s="3"/>
      <c r="B14" s="3"/>
    </row>
    <row r="17">
      <c r="A17" s="3"/>
      <c r="B17" s="3"/>
    </row>
    <row r="18">
      <c r="A18" s="3"/>
      <c r="B18" s="3"/>
    </row>
    <row r="19">
      <c r="A19" s="3"/>
      <c r="B19"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50.63"/>
    <col customWidth="1" min="2" max="2" width="10.88"/>
    <col customWidth="1" min="3" max="3" width="11.0"/>
    <col customWidth="1" min="4" max="4" width="21.88"/>
    <col customWidth="1" min="5" max="5" width="9.75"/>
    <col customWidth="1" min="6" max="6" width="24.25"/>
    <col customWidth="1" min="7" max="7" width="46.25"/>
    <col customWidth="1" min="8" max="8" width="43.25"/>
    <col customWidth="1" min="9" max="9" width="8.25"/>
    <col customWidth="1" min="10" max="10" width="10.88"/>
    <col customWidth="1" min="11" max="11" width="9.5"/>
    <col customWidth="1" min="12" max="12" width="10.0"/>
    <col customWidth="1" min="13" max="15" width="9.75"/>
    <col customWidth="1" min="16" max="16" width="10.75"/>
    <col customWidth="1" min="17" max="17" width="9.5"/>
    <col customWidth="1" min="18" max="18" width="8.25"/>
    <col customWidth="1" min="19" max="19" width="9.75"/>
    <col customWidth="1" min="20" max="20" width="9.25"/>
    <col customWidth="1" min="21" max="21" width="9.75"/>
    <col customWidth="1" min="22" max="22" width="8.13"/>
    <col customWidth="1" min="23" max="23" width="8.25"/>
    <col customWidth="1" min="24" max="24" width="11.63"/>
    <col customWidth="1" min="25" max="25" width="10.75"/>
    <col customWidth="1" min="26" max="26" width="9.38"/>
    <col customWidth="1" min="27" max="27" width="9.75"/>
    <col customWidth="1" min="28" max="28" width="11.63"/>
    <col customWidth="1" min="29" max="29" width="10.88"/>
    <col customWidth="1" min="30" max="30" width="14.25"/>
    <col customWidth="1" min="31" max="31" width="8.75"/>
    <col customWidth="1" min="32" max="32" width="64.38"/>
  </cols>
  <sheetData>
    <row r="1">
      <c r="A1" s="4"/>
      <c r="B1" s="5"/>
      <c r="C1" s="6"/>
      <c r="D1" s="7" t="s">
        <v>6</v>
      </c>
      <c r="E1" s="8"/>
      <c r="F1" s="8" t="s">
        <v>7</v>
      </c>
      <c r="J1" s="7" t="s">
        <v>8</v>
      </c>
      <c r="Q1" s="9"/>
      <c r="R1" s="7" t="s">
        <v>9</v>
      </c>
      <c r="X1" s="10" t="s">
        <v>10</v>
      </c>
      <c r="AD1" s="10" t="s">
        <v>11</v>
      </c>
    </row>
    <row r="2">
      <c r="A2" s="11" t="s">
        <v>12</v>
      </c>
      <c r="B2" s="12" t="s">
        <v>13</v>
      </c>
      <c r="C2" s="12" t="s">
        <v>14</v>
      </c>
      <c r="D2" s="13" t="s">
        <v>15</v>
      </c>
      <c r="E2" s="14" t="s">
        <v>16</v>
      </c>
      <c r="F2" s="15" t="s">
        <v>17</v>
      </c>
      <c r="G2" s="16" t="s">
        <v>18</v>
      </c>
      <c r="H2" s="15" t="s">
        <v>19</v>
      </c>
      <c r="I2" s="17" t="s">
        <v>20</v>
      </c>
      <c r="J2" s="13" t="s">
        <v>21</v>
      </c>
      <c r="K2" s="14" t="s">
        <v>22</v>
      </c>
      <c r="L2" s="18" t="s">
        <v>23</v>
      </c>
      <c r="M2" s="18" t="s">
        <v>24</v>
      </c>
      <c r="N2" s="19" t="s">
        <v>25</v>
      </c>
      <c r="O2" s="19" t="s">
        <v>26</v>
      </c>
      <c r="P2" s="20" t="s">
        <v>27</v>
      </c>
      <c r="Q2" s="9" t="str">
        <f t="array" ref="Q2:Q263">{"Banyak
Barang
(Buah)";IF(J3:J263*K3:K263=0,,J3:J263*K3:K263)}</f>
        <v>Banyak
Barang
(Buah)</v>
      </c>
      <c r="R2" s="21" t="str">
        <f t="array" ref="R2:R263">{"Total
Harga
Lot
(USD)";IF(J3:J263*L3:L263=0,,J3:J263*L3:L263)}</f>
        <v>Total
Harga
Lot
(USD)</v>
      </c>
      <c r="S2" s="22" t="str">
        <f t="array" ref="S2:S263">{"Ongkos
Kirim
(USD)";IF(M3:M263=0,,M3:M263)}</f>
        <v>Ongkos
Kirim
(USD)</v>
      </c>
      <c r="T2" s="22" t="str">
        <f t="array" ref="T2:T263">{"Diskon
Barang
(USD)";IF(N3:N263=0,,N3:N263)}</f>
        <v>Diskon
Barang
(USD)</v>
      </c>
      <c r="U2" s="22" t="str">
        <f t="array" ref="U2:U263">{"Diskon
Ongkos
Kirim
(USD)";IF(O3:O263=0,,O3:O263)}</f>
        <v>Diskon
Ongkos
Kirim
(USD)</v>
      </c>
      <c r="V2" s="23" t="str">
        <f t="array" ref="V2:V263">{"Total
HPP
(USD)";IF(R3:R263+M3:M263-N3:N263-O3:O263=0,,R3:R263+M3:M263-N3:N263-O3:O263)}</f>
        <v>Total
HPP
(USD)</v>
      </c>
      <c r="W2" s="24" t="str">
        <f t="array" ref="W2:W263">{"HPP
per
Buah
(USD)";IF(V3:V263=0,,V3:V263/Q3:Q263)}</f>
        <v>HPP
per
Buah
(USD)</v>
      </c>
      <c r="X2" s="25" t="str">
        <f t="array" ref="X2:X263">{"Total
Harga
Lot
(Rp)";IF(R3:R263=0,,R3:R263*P3:P263)}</f>
        <v>Total
Harga
Lot
(Rp)</v>
      </c>
      <c r="Y2" s="26" t="str">
        <f t="array" ref="Y2:Y263">{"Ongkos
Kirim
(Rp)";IF(S3:S263*$P$3:$P263=0,,S3:S263*$P$3:$P263)}</f>
        <v>Ongkos
Kirim
(Rp)</v>
      </c>
      <c r="Z2" s="26" t="str">
        <f t="array" ref="Z2:Z263">{"Diskon
Barang
(Rp)";IF(T3:T263*$P$3:$P263=0,,T3:T263*$P$3:$P263)}</f>
        <v>Diskon
Barang
(Rp)</v>
      </c>
      <c r="AA2" s="26" t="str">
        <f t="array" ref="AA2:AA263">{"Diskon
Ongkos
Kirim
(Rp)";IF(U3:U263*$P$3:$P263=0,,U3:U263*$P$3:$P263)}</f>
        <v>Diskon
Ongkos
Kirim
(Rp)</v>
      </c>
      <c r="AB2" s="26" t="str">
        <f t="array" ref="AB2:AB263">{"Total
HPP
(Rp)";IF(V3:V263*$P$3:$P263=0,,V3:V263*$P$3:$P263)}</f>
        <v>Total
HPP
(Rp)</v>
      </c>
      <c r="AC2" s="27" t="str">
        <f t="array" ref="AC2:AC263">{"HPP
per
Buah
(Rp)";IF(AB3:AB263=0,,AB3:AB263/Q3:Q263)}</f>
        <v>HPP
per
Buah
(Rp)</v>
      </c>
      <c r="AD2" s="13" t="s">
        <v>28</v>
      </c>
      <c r="AE2" s="14" t="s">
        <v>29</v>
      </c>
      <c r="AF2" s="14" t="s">
        <v>30</v>
      </c>
    </row>
    <row r="3" hidden="1">
      <c r="A3" s="11"/>
      <c r="B3" s="28"/>
      <c r="C3" s="28"/>
      <c r="D3" s="29"/>
      <c r="E3" s="5"/>
      <c r="F3" s="11"/>
      <c r="G3" s="30"/>
      <c r="H3" s="11"/>
      <c r="I3" s="31"/>
      <c r="J3" s="32"/>
      <c r="K3" s="11"/>
      <c r="L3" s="33"/>
      <c r="M3" s="33"/>
      <c r="N3" s="33"/>
      <c r="O3" s="33"/>
      <c r="P3" s="34"/>
      <c r="Q3" s="35"/>
      <c r="R3" s="36"/>
      <c r="S3" s="37"/>
      <c r="T3" s="37"/>
      <c r="U3" s="37"/>
      <c r="V3" s="37"/>
      <c r="W3" s="38"/>
      <c r="X3" s="36"/>
      <c r="Y3" s="33"/>
      <c r="Z3" s="33"/>
      <c r="AA3" s="33"/>
      <c r="AB3" s="33"/>
      <c r="AC3" s="39"/>
      <c r="AD3" s="32"/>
      <c r="AE3" s="11"/>
      <c r="AF3" s="11"/>
    </row>
    <row r="4">
      <c r="A4" s="11" t="s">
        <v>31</v>
      </c>
      <c r="B4" s="28">
        <v>43590.40835648148</v>
      </c>
      <c r="C4" s="28">
        <v>43596.0</v>
      </c>
      <c r="D4" s="29" t="s">
        <v>32</v>
      </c>
      <c r="E4" s="11" t="b">
        <v>0</v>
      </c>
      <c r="F4" s="11" t="s">
        <v>33</v>
      </c>
      <c r="G4" s="40" t="s">
        <v>34</v>
      </c>
      <c r="H4" s="11" t="s">
        <v>35</v>
      </c>
      <c r="I4" s="31">
        <v>5.0</v>
      </c>
      <c r="J4" s="32">
        <v>21.0</v>
      </c>
      <c r="K4" s="41">
        <v>1.0</v>
      </c>
      <c r="L4" s="33">
        <v>1291.1</v>
      </c>
      <c r="M4" s="42">
        <v>0.0</v>
      </c>
      <c r="N4" s="43">
        <v>0.0</v>
      </c>
      <c r="O4" s="43">
        <v>0.0</v>
      </c>
      <c r="P4" s="44">
        <v>1.0</v>
      </c>
      <c r="Q4" s="35">
        <v>21.0</v>
      </c>
      <c r="R4" s="45">
        <v>27113.1</v>
      </c>
      <c r="S4" s="37"/>
      <c r="T4" s="37"/>
      <c r="U4" s="37"/>
      <c r="V4" s="37">
        <v>27113.1</v>
      </c>
      <c r="W4" s="38">
        <v>1291.1</v>
      </c>
      <c r="X4" s="45">
        <v>27113.1</v>
      </c>
      <c r="Y4" s="37"/>
      <c r="Z4" s="37"/>
      <c r="AA4" s="37"/>
      <c r="AB4" s="37">
        <v>27113.1</v>
      </c>
      <c r="AC4" s="38">
        <v>1291.1</v>
      </c>
      <c r="AD4" s="32"/>
      <c r="AE4" s="11"/>
      <c r="AF4" s="11"/>
    </row>
    <row r="5">
      <c r="A5" s="11" t="s">
        <v>36</v>
      </c>
      <c r="B5" s="28">
        <v>44032.0</v>
      </c>
      <c r="C5" s="28">
        <v>44039.0</v>
      </c>
      <c r="D5" s="29" t="s">
        <v>32</v>
      </c>
      <c r="E5" s="11" t="b">
        <v>0</v>
      </c>
      <c r="F5" s="11" t="s">
        <v>37</v>
      </c>
      <c r="G5" s="40" t="s">
        <v>38</v>
      </c>
      <c r="H5" s="11" t="s">
        <v>39</v>
      </c>
      <c r="I5" s="31">
        <v>5.0</v>
      </c>
      <c r="J5" s="32">
        <v>980.0</v>
      </c>
      <c r="K5" s="41">
        <v>1.0</v>
      </c>
      <c r="L5" s="33">
        <v>22.43</v>
      </c>
      <c r="M5" s="42">
        <v>0.0</v>
      </c>
      <c r="N5" s="43">
        <v>0.0</v>
      </c>
      <c r="O5" s="43">
        <v>0.0</v>
      </c>
      <c r="P5" s="44">
        <v>1.0</v>
      </c>
      <c r="Q5" s="35">
        <v>980.0</v>
      </c>
      <c r="R5" s="45">
        <v>21981.4</v>
      </c>
      <c r="S5" s="37"/>
      <c r="T5" s="37"/>
      <c r="U5" s="37"/>
      <c r="V5" s="37">
        <v>21981.4</v>
      </c>
      <c r="W5" s="38">
        <v>22.43</v>
      </c>
      <c r="X5" s="45">
        <v>21981.4</v>
      </c>
      <c r="Y5" s="37"/>
      <c r="Z5" s="37"/>
      <c r="AA5" s="37"/>
      <c r="AB5" s="37">
        <v>21981.4</v>
      </c>
      <c r="AC5" s="38">
        <v>22.43</v>
      </c>
      <c r="AD5" s="32"/>
      <c r="AE5" s="11"/>
      <c r="AF5" s="11"/>
    </row>
    <row r="6">
      <c r="A6" s="11" t="s">
        <v>40</v>
      </c>
      <c r="B6" s="28">
        <v>44039.0</v>
      </c>
      <c r="C6" s="28">
        <v>44041.0</v>
      </c>
      <c r="D6" s="29" t="s">
        <v>32</v>
      </c>
      <c r="E6" s="11" t="b">
        <v>0</v>
      </c>
      <c r="F6" s="11" t="s">
        <v>37</v>
      </c>
      <c r="G6" s="40" t="s">
        <v>41</v>
      </c>
      <c r="H6" s="11" t="s">
        <v>39</v>
      </c>
      <c r="I6" s="31">
        <v>5.0</v>
      </c>
      <c r="J6" s="32">
        <v>650.0</v>
      </c>
      <c r="K6" s="41">
        <v>1.0</v>
      </c>
      <c r="L6" s="33">
        <v>20.0</v>
      </c>
      <c r="M6" s="42">
        <v>0.0</v>
      </c>
      <c r="N6" s="43">
        <v>0.0</v>
      </c>
      <c r="O6" s="43">
        <v>0.0</v>
      </c>
      <c r="P6" s="44">
        <v>1.0</v>
      </c>
      <c r="Q6" s="35">
        <v>650.0</v>
      </c>
      <c r="R6" s="45">
        <v>13000.0</v>
      </c>
      <c r="S6" s="37"/>
      <c r="T6" s="37"/>
      <c r="U6" s="37"/>
      <c r="V6" s="37">
        <v>13000.0</v>
      </c>
      <c r="W6" s="38">
        <v>20.0</v>
      </c>
      <c r="X6" s="45">
        <v>13000.0</v>
      </c>
      <c r="Y6" s="37"/>
      <c r="Z6" s="37"/>
      <c r="AA6" s="37"/>
      <c r="AB6" s="37">
        <v>13000.0</v>
      </c>
      <c r="AC6" s="38">
        <v>20.0</v>
      </c>
      <c r="AD6" s="32"/>
      <c r="AE6" s="11"/>
      <c r="AF6" s="11"/>
    </row>
    <row r="7">
      <c r="A7" s="11" t="s">
        <v>42</v>
      </c>
      <c r="B7" s="28">
        <v>44871.0</v>
      </c>
      <c r="C7" s="28">
        <v>44873.0</v>
      </c>
      <c r="D7" s="29" t="s">
        <v>32</v>
      </c>
      <c r="E7" s="11" t="b">
        <v>0</v>
      </c>
      <c r="F7" s="11" t="s">
        <v>37</v>
      </c>
      <c r="G7" s="40" t="s">
        <v>43</v>
      </c>
      <c r="H7" s="11" t="s">
        <v>39</v>
      </c>
      <c r="I7" s="31">
        <v>5.0</v>
      </c>
      <c r="J7" s="32">
        <v>824.0</v>
      </c>
      <c r="K7" s="41">
        <v>1.0</v>
      </c>
      <c r="L7" s="33">
        <v>559.96</v>
      </c>
      <c r="M7" s="42">
        <v>0.0</v>
      </c>
      <c r="N7" s="43">
        <v>0.0</v>
      </c>
      <c r="O7" s="43">
        <v>0.0</v>
      </c>
      <c r="P7" s="44">
        <v>1.0</v>
      </c>
      <c r="Q7" s="35">
        <v>824.0</v>
      </c>
      <c r="R7" s="45">
        <v>461407.04000000004</v>
      </c>
      <c r="S7" s="37"/>
      <c r="T7" s="37"/>
      <c r="U7" s="37"/>
      <c r="V7" s="37">
        <v>461407.04000000004</v>
      </c>
      <c r="W7" s="38">
        <v>559.96</v>
      </c>
      <c r="X7" s="45">
        <v>461407.04000000004</v>
      </c>
      <c r="Y7" s="37"/>
      <c r="Z7" s="37"/>
      <c r="AA7" s="37"/>
      <c r="AB7" s="37">
        <v>461407.04000000004</v>
      </c>
      <c r="AC7" s="38">
        <v>559.96</v>
      </c>
      <c r="AD7" s="32"/>
      <c r="AE7" s="11"/>
      <c r="AF7" s="11"/>
    </row>
    <row r="8">
      <c r="A8" s="11" t="s">
        <v>44</v>
      </c>
      <c r="B8" s="28">
        <v>45013.0</v>
      </c>
      <c r="C8" s="28">
        <v>45061.0</v>
      </c>
      <c r="D8" s="29" t="s">
        <v>32</v>
      </c>
      <c r="E8" s="11" t="b">
        <v>0</v>
      </c>
      <c r="F8" s="11" t="s">
        <v>45</v>
      </c>
      <c r="G8" s="11" t="s">
        <v>46</v>
      </c>
      <c r="H8" s="11"/>
      <c r="I8" s="31">
        <v>5.0</v>
      </c>
      <c r="J8" s="32">
        <v>2866.0</v>
      </c>
      <c r="K8" s="41">
        <v>1.0</v>
      </c>
      <c r="L8" s="33">
        <v>731.0</v>
      </c>
      <c r="M8" s="42">
        <v>0.0</v>
      </c>
      <c r="N8" s="43">
        <v>0.0</v>
      </c>
      <c r="O8" s="43">
        <v>0.0</v>
      </c>
      <c r="P8" s="44">
        <v>1.0</v>
      </c>
      <c r="Q8" s="35">
        <v>2866.0</v>
      </c>
      <c r="R8" s="45">
        <v>2095046.0</v>
      </c>
      <c r="S8" s="37"/>
      <c r="T8" s="37"/>
      <c r="U8" s="37"/>
      <c r="V8" s="37">
        <v>2095046.0</v>
      </c>
      <c r="W8" s="38">
        <v>731.0</v>
      </c>
      <c r="X8" s="45">
        <v>2095046.0</v>
      </c>
      <c r="Y8" s="37"/>
      <c r="Z8" s="37"/>
      <c r="AA8" s="37"/>
      <c r="AB8" s="37">
        <v>2095046.0</v>
      </c>
      <c r="AC8" s="38">
        <v>731.0</v>
      </c>
      <c r="AD8" s="32"/>
      <c r="AE8" s="11"/>
      <c r="AF8" s="11"/>
    </row>
    <row r="9">
      <c r="A9" s="11" t="s">
        <v>47</v>
      </c>
      <c r="B9" s="28">
        <v>45085.0</v>
      </c>
      <c r="C9" s="28">
        <v>45129.0</v>
      </c>
      <c r="D9" s="29" t="s">
        <v>32</v>
      </c>
      <c r="E9" s="11" t="b">
        <v>0</v>
      </c>
      <c r="F9" s="11" t="s">
        <v>45</v>
      </c>
      <c r="G9" s="11" t="s">
        <v>46</v>
      </c>
      <c r="H9" s="11" t="s">
        <v>48</v>
      </c>
      <c r="I9" s="31">
        <v>5.0</v>
      </c>
      <c r="J9" s="32">
        <v>5007.0</v>
      </c>
      <c r="K9" s="41">
        <v>1.0</v>
      </c>
      <c r="L9" s="33">
        <v>572.0</v>
      </c>
      <c r="M9" s="42">
        <v>0.0</v>
      </c>
      <c r="N9" s="43">
        <v>0.0</v>
      </c>
      <c r="O9" s="43">
        <v>0.0</v>
      </c>
      <c r="P9" s="44">
        <v>1.0</v>
      </c>
      <c r="Q9" s="35">
        <v>5007.0</v>
      </c>
      <c r="R9" s="45">
        <v>2864004.0</v>
      </c>
      <c r="S9" s="37"/>
      <c r="T9" s="37"/>
      <c r="U9" s="37"/>
      <c r="V9" s="37">
        <v>2864004.0</v>
      </c>
      <c r="W9" s="38">
        <v>572.0</v>
      </c>
      <c r="X9" s="45">
        <v>2864004.0</v>
      </c>
      <c r="Y9" s="37"/>
      <c r="Z9" s="37"/>
      <c r="AA9" s="37"/>
      <c r="AB9" s="37">
        <v>2864004.0</v>
      </c>
      <c r="AC9" s="38">
        <v>572.0</v>
      </c>
      <c r="AD9" s="32"/>
      <c r="AE9" s="11"/>
      <c r="AF9" s="11"/>
    </row>
    <row r="10">
      <c r="A10" s="11" t="s">
        <v>49</v>
      </c>
      <c r="B10" s="28">
        <v>45202.3540625</v>
      </c>
      <c r="C10" s="28">
        <v>45232.63928240741</v>
      </c>
      <c r="D10" s="29" t="s">
        <v>32</v>
      </c>
      <c r="E10" s="11" t="b">
        <v>0</v>
      </c>
      <c r="F10" s="11" t="s">
        <v>45</v>
      </c>
      <c r="G10" s="11" t="s">
        <v>46</v>
      </c>
      <c r="H10" s="11"/>
      <c r="I10" s="31">
        <v>5.0</v>
      </c>
      <c r="J10" s="32">
        <v>404.0</v>
      </c>
      <c r="K10" s="41">
        <v>1.0</v>
      </c>
      <c r="L10" s="33">
        <v>2756.0</v>
      </c>
      <c r="M10" s="42">
        <v>0.0</v>
      </c>
      <c r="N10" s="43">
        <v>0.0</v>
      </c>
      <c r="O10" s="43">
        <v>0.0</v>
      </c>
      <c r="P10" s="44">
        <v>1.0</v>
      </c>
      <c r="Q10" s="35">
        <v>404.0</v>
      </c>
      <c r="R10" s="45">
        <v>1113424.0</v>
      </c>
      <c r="S10" s="37"/>
      <c r="T10" s="37"/>
      <c r="U10" s="37"/>
      <c r="V10" s="37">
        <v>1113424.0</v>
      </c>
      <c r="W10" s="38">
        <v>2756.0</v>
      </c>
      <c r="X10" s="45">
        <v>1113424.0</v>
      </c>
      <c r="Y10" s="37"/>
      <c r="Z10" s="37"/>
      <c r="AA10" s="37"/>
      <c r="AB10" s="37">
        <v>1113424.0</v>
      </c>
      <c r="AC10" s="38">
        <v>2756.0</v>
      </c>
      <c r="AD10" s="32"/>
      <c r="AE10" s="11"/>
      <c r="AF10" s="11"/>
    </row>
    <row r="11">
      <c r="A11" s="11" t="s">
        <v>50</v>
      </c>
      <c r="B11" s="28">
        <v>45265.6896412037</v>
      </c>
      <c r="C11" s="28">
        <v>45341.63958333333</v>
      </c>
      <c r="D11" s="29" t="s">
        <v>32</v>
      </c>
      <c r="E11" s="11" t="b">
        <v>1</v>
      </c>
      <c r="F11" s="11" t="s">
        <v>51</v>
      </c>
      <c r="G11" s="11" t="s">
        <v>52</v>
      </c>
      <c r="H11" s="11"/>
      <c r="I11" s="31">
        <v>5.0</v>
      </c>
      <c r="J11" s="32">
        <v>60.0</v>
      </c>
      <c r="K11" s="41">
        <v>1.0</v>
      </c>
      <c r="L11" s="33">
        <v>6028.0</v>
      </c>
      <c r="M11" s="42">
        <v>0.0</v>
      </c>
      <c r="N11" s="43">
        <v>0.0</v>
      </c>
      <c r="O11" s="43">
        <v>0.0</v>
      </c>
      <c r="P11" s="44">
        <v>1.0</v>
      </c>
      <c r="Q11" s="35">
        <v>60.0</v>
      </c>
      <c r="R11" s="45">
        <v>361680.0</v>
      </c>
      <c r="S11" s="37"/>
      <c r="T11" s="37"/>
      <c r="U11" s="37"/>
      <c r="V11" s="37">
        <v>361680.0</v>
      </c>
      <c r="W11" s="38">
        <v>6028.0</v>
      </c>
      <c r="X11" s="45">
        <v>361680.0</v>
      </c>
      <c r="Y11" s="37"/>
      <c r="Z11" s="37"/>
      <c r="AA11" s="37"/>
      <c r="AB11" s="37">
        <v>361680.0</v>
      </c>
      <c r="AC11" s="38">
        <v>6028.0</v>
      </c>
      <c r="AD11" s="32"/>
      <c r="AE11" s="11"/>
      <c r="AF11" s="11"/>
    </row>
    <row r="12">
      <c r="A12" s="11" t="s">
        <v>53</v>
      </c>
      <c r="B12" s="28">
        <v>45336.46041666667</v>
      </c>
      <c r="C12" s="28">
        <v>45313.25</v>
      </c>
      <c r="D12" s="29" t="s">
        <v>32</v>
      </c>
      <c r="E12" s="11" t="b">
        <v>0</v>
      </c>
      <c r="F12" s="11" t="s">
        <v>33</v>
      </c>
      <c r="G12" s="11" t="s">
        <v>54</v>
      </c>
      <c r="H12" s="11" t="s">
        <v>54</v>
      </c>
      <c r="I12" s="31">
        <v>5.0</v>
      </c>
      <c r="J12" s="32">
        <v>1.0</v>
      </c>
      <c r="K12" s="41">
        <v>1.0</v>
      </c>
      <c r="L12" s="33">
        <v>10607.58</v>
      </c>
      <c r="M12" s="42">
        <v>0.0</v>
      </c>
      <c r="N12" s="43">
        <v>0.0</v>
      </c>
      <c r="O12" s="43">
        <v>0.0</v>
      </c>
      <c r="P12" s="44">
        <v>1.0</v>
      </c>
      <c r="Q12" s="35">
        <v>1.0</v>
      </c>
      <c r="R12" s="45">
        <v>10607.58</v>
      </c>
      <c r="S12" s="37"/>
      <c r="T12" s="37"/>
      <c r="U12" s="37"/>
      <c r="V12" s="37">
        <v>10607.58</v>
      </c>
      <c r="W12" s="38">
        <v>10607.58</v>
      </c>
      <c r="X12" s="45">
        <v>10607.58</v>
      </c>
      <c r="Y12" s="37"/>
      <c r="Z12" s="37"/>
      <c r="AA12" s="37"/>
      <c r="AB12" s="37">
        <v>10607.58</v>
      </c>
      <c r="AC12" s="38">
        <v>10607.58</v>
      </c>
      <c r="AD12" s="32"/>
      <c r="AE12" s="11"/>
      <c r="AF12" s="11"/>
    </row>
    <row r="13">
      <c r="A13" s="11" t="s">
        <v>55</v>
      </c>
      <c r="B13" s="28">
        <v>45361.6034375</v>
      </c>
      <c r="C13" s="28">
        <v>45365.48385416667</v>
      </c>
      <c r="D13" s="29" t="s">
        <v>32</v>
      </c>
      <c r="E13" s="11" t="b">
        <v>0</v>
      </c>
      <c r="F13" s="11" t="s">
        <v>56</v>
      </c>
      <c r="G13" s="11" t="s">
        <v>57</v>
      </c>
      <c r="H13" s="11" t="s">
        <v>57</v>
      </c>
      <c r="I13" s="31">
        <v>5.0</v>
      </c>
      <c r="J13" s="32">
        <v>5.0</v>
      </c>
      <c r="K13" s="41">
        <v>1.0</v>
      </c>
      <c r="L13" s="33">
        <v>36500.0</v>
      </c>
      <c r="M13" s="42">
        <v>0.0</v>
      </c>
      <c r="N13" s="43">
        <v>0.0</v>
      </c>
      <c r="O13" s="43">
        <v>0.0</v>
      </c>
      <c r="P13" s="44">
        <v>1.0</v>
      </c>
      <c r="Q13" s="35">
        <v>5.0</v>
      </c>
      <c r="R13" s="45">
        <v>182500.0</v>
      </c>
      <c r="S13" s="37"/>
      <c r="T13" s="37"/>
      <c r="U13" s="37"/>
      <c r="V13" s="37">
        <v>182500.0</v>
      </c>
      <c r="W13" s="38">
        <v>36500.0</v>
      </c>
      <c r="X13" s="45">
        <v>182500.0</v>
      </c>
      <c r="Y13" s="37"/>
      <c r="Z13" s="37"/>
      <c r="AA13" s="37"/>
      <c r="AB13" s="37">
        <v>182500.0</v>
      </c>
      <c r="AC13" s="38">
        <v>36500.0</v>
      </c>
      <c r="AD13" s="32"/>
      <c r="AE13" s="11"/>
      <c r="AF13" s="11"/>
    </row>
    <row r="14">
      <c r="A14" s="11" t="s">
        <v>58</v>
      </c>
      <c r="B14" s="28">
        <v>45374.67894675926</v>
      </c>
      <c r="C14" s="28">
        <v>45477.916666666664</v>
      </c>
      <c r="D14" s="29" t="s">
        <v>32</v>
      </c>
      <c r="E14" s="11" t="b">
        <v>1</v>
      </c>
      <c r="F14" s="11" t="s">
        <v>51</v>
      </c>
      <c r="G14" s="40" t="s">
        <v>59</v>
      </c>
      <c r="H14" s="11" t="s">
        <v>60</v>
      </c>
      <c r="I14" s="31">
        <v>5.0</v>
      </c>
      <c r="J14" s="32">
        <v>2159.0</v>
      </c>
      <c r="K14" s="41">
        <v>1.0</v>
      </c>
      <c r="L14" s="33">
        <v>2000.0</v>
      </c>
      <c r="M14" s="42">
        <v>0.0</v>
      </c>
      <c r="N14" s="43">
        <v>0.0</v>
      </c>
      <c r="O14" s="43">
        <v>0.0</v>
      </c>
      <c r="P14" s="44">
        <v>1.0</v>
      </c>
      <c r="Q14" s="35">
        <v>2159.0</v>
      </c>
      <c r="R14" s="45">
        <v>4318000.0</v>
      </c>
      <c r="S14" s="37"/>
      <c r="T14" s="37"/>
      <c r="U14" s="37"/>
      <c r="V14" s="37">
        <v>4318000.0</v>
      </c>
      <c r="W14" s="38">
        <v>2000.0</v>
      </c>
      <c r="X14" s="45">
        <v>4318000.0</v>
      </c>
      <c r="Y14" s="37"/>
      <c r="Z14" s="37"/>
      <c r="AA14" s="37"/>
      <c r="AB14" s="37">
        <v>4318000.0</v>
      </c>
      <c r="AC14" s="38">
        <v>2000.0</v>
      </c>
      <c r="AD14" s="32"/>
      <c r="AE14" s="11"/>
      <c r="AF14" s="11"/>
    </row>
    <row r="15">
      <c r="A15" s="11" t="s">
        <v>61</v>
      </c>
      <c r="B15" s="28">
        <v>45381.200694444444</v>
      </c>
      <c r="C15" s="28">
        <v>45384.56768518518</v>
      </c>
      <c r="D15" s="29" t="s">
        <v>32</v>
      </c>
      <c r="E15" s="11" t="b">
        <v>0</v>
      </c>
      <c r="F15" s="11" t="s">
        <v>33</v>
      </c>
      <c r="G15" s="11" t="s">
        <v>62</v>
      </c>
      <c r="H15" s="11" t="s">
        <v>62</v>
      </c>
      <c r="I15" s="31">
        <v>5.0</v>
      </c>
      <c r="J15" s="32">
        <v>1760.0</v>
      </c>
      <c r="K15" s="41">
        <v>1.0</v>
      </c>
      <c r="L15" s="33">
        <v>21.75</v>
      </c>
      <c r="M15" s="42">
        <v>0.0</v>
      </c>
      <c r="N15" s="43">
        <v>0.0</v>
      </c>
      <c r="O15" s="43">
        <v>0.0</v>
      </c>
      <c r="P15" s="44">
        <v>1.0</v>
      </c>
      <c r="Q15" s="35">
        <v>1760.0</v>
      </c>
      <c r="R15" s="45">
        <v>38280.0</v>
      </c>
      <c r="S15" s="37"/>
      <c r="T15" s="37"/>
      <c r="U15" s="37"/>
      <c r="V15" s="37">
        <v>38280.0</v>
      </c>
      <c r="W15" s="38">
        <v>21.75</v>
      </c>
      <c r="X15" s="45">
        <v>38280.0</v>
      </c>
      <c r="Y15" s="37"/>
      <c r="Z15" s="37"/>
      <c r="AA15" s="37"/>
      <c r="AB15" s="37">
        <v>38280.0</v>
      </c>
      <c r="AC15" s="38">
        <v>21.75</v>
      </c>
      <c r="AD15" s="32"/>
      <c r="AE15" s="11"/>
      <c r="AF15" s="11"/>
    </row>
    <row r="16">
      <c r="A16" s="11" t="s">
        <v>63</v>
      </c>
      <c r="B16" s="28">
        <v>45409.65833333333</v>
      </c>
      <c r="C16" s="28">
        <v>45411.658842592595</v>
      </c>
      <c r="D16" s="29" t="s">
        <v>32</v>
      </c>
      <c r="E16" s="11" t="b">
        <v>0</v>
      </c>
      <c r="F16" s="11" t="s">
        <v>37</v>
      </c>
      <c r="G16" s="11" t="s">
        <v>64</v>
      </c>
      <c r="H16" s="11" t="s">
        <v>64</v>
      </c>
      <c r="I16" s="31">
        <v>5.0</v>
      </c>
      <c r="J16" s="32">
        <v>310.0</v>
      </c>
      <c r="K16" s="41">
        <v>1.0</v>
      </c>
      <c r="L16" s="33">
        <v>23261.03</v>
      </c>
      <c r="M16" s="42">
        <v>0.0</v>
      </c>
      <c r="N16" s="43">
        <v>0.0</v>
      </c>
      <c r="O16" s="43">
        <v>0.0</v>
      </c>
      <c r="P16" s="44">
        <v>1.0</v>
      </c>
      <c r="Q16" s="35">
        <v>310.0</v>
      </c>
      <c r="R16" s="45">
        <v>7210919.3</v>
      </c>
      <c r="S16" s="37"/>
      <c r="T16" s="37"/>
      <c r="U16" s="37"/>
      <c r="V16" s="37">
        <v>7210919.3</v>
      </c>
      <c r="W16" s="38">
        <v>23261.03</v>
      </c>
      <c r="X16" s="45">
        <v>7210919.3</v>
      </c>
      <c r="Y16" s="37"/>
      <c r="Z16" s="37"/>
      <c r="AA16" s="37"/>
      <c r="AB16" s="37">
        <v>7210919.3</v>
      </c>
      <c r="AC16" s="38">
        <v>23261.03</v>
      </c>
      <c r="AD16" s="32"/>
      <c r="AE16" s="11"/>
      <c r="AF16" s="11"/>
    </row>
    <row r="17">
      <c r="A17" s="11" t="s">
        <v>65</v>
      </c>
      <c r="B17" s="28">
        <v>45411.51111111111</v>
      </c>
      <c r="C17" s="28">
        <v>45414.416666666664</v>
      </c>
      <c r="D17" s="29" t="s">
        <v>32</v>
      </c>
      <c r="E17" s="11" t="b">
        <v>0</v>
      </c>
      <c r="F17" s="11" t="s">
        <v>33</v>
      </c>
      <c r="G17" s="11" t="s">
        <v>66</v>
      </c>
      <c r="H17" s="11" t="s">
        <v>66</v>
      </c>
      <c r="I17" s="31">
        <v>5.0</v>
      </c>
      <c r="J17" s="32">
        <v>1224.0</v>
      </c>
      <c r="K17" s="41">
        <v>1.0</v>
      </c>
      <c r="L17" s="33">
        <v>640.67</v>
      </c>
      <c r="M17" s="42">
        <v>0.0</v>
      </c>
      <c r="N17" s="43">
        <v>0.0</v>
      </c>
      <c r="O17" s="43">
        <v>0.0</v>
      </c>
      <c r="P17" s="44">
        <v>1.0</v>
      </c>
      <c r="Q17" s="35">
        <v>1224.0</v>
      </c>
      <c r="R17" s="45">
        <v>784180.08</v>
      </c>
      <c r="S17" s="37"/>
      <c r="T17" s="37"/>
      <c r="U17" s="37"/>
      <c r="V17" s="37">
        <v>784180.08</v>
      </c>
      <c r="W17" s="38">
        <v>640.67</v>
      </c>
      <c r="X17" s="45">
        <v>784180.08</v>
      </c>
      <c r="Y17" s="37"/>
      <c r="Z17" s="37"/>
      <c r="AA17" s="37"/>
      <c r="AB17" s="37">
        <v>784180.08</v>
      </c>
      <c r="AC17" s="38">
        <v>640.67</v>
      </c>
      <c r="AD17" s="32"/>
      <c r="AE17" s="11"/>
      <c r="AF17" s="11"/>
    </row>
    <row r="18">
      <c r="A18" s="11" t="s">
        <v>67</v>
      </c>
      <c r="B18" s="28">
        <v>45414.906805555554</v>
      </c>
      <c r="C18" s="28">
        <v>45415.654814814814</v>
      </c>
      <c r="D18" s="29" t="s">
        <v>32</v>
      </c>
      <c r="E18" s="11" t="b">
        <v>0</v>
      </c>
      <c r="F18" s="11" t="s">
        <v>37</v>
      </c>
      <c r="G18" s="11" t="s">
        <v>68</v>
      </c>
      <c r="H18" s="11" t="s">
        <v>68</v>
      </c>
      <c r="I18" s="31">
        <v>5.0</v>
      </c>
      <c r="J18" s="32">
        <v>1.0</v>
      </c>
      <c r="K18" s="41">
        <v>1.0</v>
      </c>
      <c r="L18" s="33">
        <v>5166.67</v>
      </c>
      <c r="M18" s="42">
        <v>0.0</v>
      </c>
      <c r="N18" s="43">
        <v>0.0</v>
      </c>
      <c r="O18" s="43">
        <v>0.0</v>
      </c>
      <c r="P18" s="44">
        <v>1.0</v>
      </c>
      <c r="Q18" s="35">
        <v>1.0</v>
      </c>
      <c r="R18" s="45">
        <v>5166.67</v>
      </c>
      <c r="S18" s="37"/>
      <c r="T18" s="37"/>
      <c r="U18" s="37"/>
      <c r="V18" s="37">
        <v>5166.67</v>
      </c>
      <c r="W18" s="38">
        <v>5166.67</v>
      </c>
      <c r="X18" s="45">
        <v>5166.67</v>
      </c>
      <c r="Y18" s="37"/>
      <c r="Z18" s="37"/>
      <c r="AA18" s="37"/>
      <c r="AB18" s="37">
        <v>5166.67</v>
      </c>
      <c r="AC18" s="38">
        <v>5166.67</v>
      </c>
      <c r="AD18" s="32"/>
      <c r="AE18" s="11"/>
      <c r="AF18" s="11"/>
    </row>
    <row r="19">
      <c r="A19" s="11" t="s">
        <v>69</v>
      </c>
      <c r="B19" s="28">
        <v>45417.98055555556</v>
      </c>
      <c r="C19" s="28">
        <v>45421.604317129626</v>
      </c>
      <c r="D19" s="29" t="s">
        <v>32</v>
      </c>
      <c r="E19" s="11" t="b">
        <v>0</v>
      </c>
      <c r="F19" s="11" t="s">
        <v>33</v>
      </c>
      <c r="G19" s="11" t="s">
        <v>70</v>
      </c>
      <c r="H19" s="11" t="s">
        <v>70</v>
      </c>
      <c r="I19" s="31">
        <v>5.0</v>
      </c>
      <c r="J19" s="32">
        <v>36.0</v>
      </c>
      <c r="K19" s="41">
        <v>1.0</v>
      </c>
      <c r="L19" s="33">
        <v>8283.86</v>
      </c>
      <c r="M19" s="42">
        <v>0.0</v>
      </c>
      <c r="N19" s="43">
        <v>0.0</v>
      </c>
      <c r="O19" s="43">
        <v>0.0</v>
      </c>
      <c r="P19" s="44">
        <v>1.0</v>
      </c>
      <c r="Q19" s="35">
        <v>36.0</v>
      </c>
      <c r="R19" s="45">
        <v>298218.96</v>
      </c>
      <c r="S19" s="37"/>
      <c r="T19" s="37"/>
      <c r="U19" s="37"/>
      <c r="V19" s="37">
        <v>298218.96</v>
      </c>
      <c r="W19" s="38">
        <v>8283.86</v>
      </c>
      <c r="X19" s="45">
        <v>298218.96</v>
      </c>
      <c r="Y19" s="37"/>
      <c r="Z19" s="37"/>
      <c r="AA19" s="37"/>
      <c r="AB19" s="37">
        <v>298218.96</v>
      </c>
      <c r="AC19" s="38">
        <v>8283.86</v>
      </c>
      <c r="AD19" s="32"/>
      <c r="AE19" s="11"/>
      <c r="AF19" s="11"/>
    </row>
    <row r="20">
      <c r="A20" s="11" t="s">
        <v>71</v>
      </c>
      <c r="B20" s="28">
        <v>45421.20486111111</v>
      </c>
      <c r="C20" s="28">
        <v>45423.62569444445</v>
      </c>
      <c r="D20" s="29" t="s">
        <v>32</v>
      </c>
      <c r="E20" s="11" t="b">
        <v>0</v>
      </c>
      <c r="F20" s="11" t="s">
        <v>33</v>
      </c>
      <c r="G20" s="11" t="s">
        <v>72</v>
      </c>
      <c r="H20" s="11" t="s">
        <v>73</v>
      </c>
      <c r="I20" s="31">
        <v>5.0</v>
      </c>
      <c r="J20" s="32">
        <v>2873.0</v>
      </c>
      <c r="K20" s="41">
        <v>1.0</v>
      </c>
      <c r="L20" s="33">
        <v>21.7</v>
      </c>
      <c r="M20" s="42">
        <v>0.0</v>
      </c>
      <c r="N20" s="43">
        <v>0.0</v>
      </c>
      <c r="O20" s="43">
        <v>0.0</v>
      </c>
      <c r="P20" s="44">
        <v>1.0</v>
      </c>
      <c r="Q20" s="35">
        <v>2873.0</v>
      </c>
      <c r="R20" s="45">
        <v>62344.1</v>
      </c>
      <c r="S20" s="37"/>
      <c r="T20" s="37"/>
      <c r="U20" s="37"/>
      <c r="V20" s="37">
        <v>62344.1</v>
      </c>
      <c r="W20" s="38">
        <v>21.7</v>
      </c>
      <c r="X20" s="45">
        <v>62344.1</v>
      </c>
      <c r="Y20" s="37"/>
      <c r="Z20" s="37"/>
      <c r="AA20" s="37"/>
      <c r="AB20" s="37">
        <v>62344.1</v>
      </c>
      <c r="AC20" s="38">
        <v>21.7</v>
      </c>
      <c r="AD20" s="32"/>
      <c r="AE20" s="11"/>
      <c r="AF20" s="11"/>
    </row>
    <row r="21">
      <c r="A21" s="11" t="s">
        <v>74</v>
      </c>
      <c r="B21" s="28">
        <v>45426.59305555555</v>
      </c>
      <c r="C21" s="28">
        <v>45493.666666666664</v>
      </c>
      <c r="D21" s="29" t="s">
        <v>32</v>
      </c>
      <c r="E21" s="11" t="b">
        <v>1</v>
      </c>
      <c r="F21" s="11" t="s">
        <v>51</v>
      </c>
      <c r="G21" s="11" t="s">
        <v>52</v>
      </c>
      <c r="H21" s="11" t="s">
        <v>75</v>
      </c>
      <c r="I21" s="31">
        <v>5.0</v>
      </c>
      <c r="J21" s="32">
        <v>1321.0</v>
      </c>
      <c r="K21" s="41">
        <v>1.0</v>
      </c>
      <c r="L21" s="33">
        <v>1018.0</v>
      </c>
      <c r="M21" s="42">
        <v>0.0</v>
      </c>
      <c r="N21" s="43">
        <v>0.0</v>
      </c>
      <c r="O21" s="43">
        <v>0.0</v>
      </c>
      <c r="P21" s="44">
        <v>1.0</v>
      </c>
      <c r="Q21" s="35">
        <v>1321.0</v>
      </c>
      <c r="R21" s="45">
        <v>1344778.0</v>
      </c>
      <c r="S21" s="37"/>
      <c r="T21" s="37"/>
      <c r="U21" s="37"/>
      <c r="V21" s="37">
        <v>1344778.0</v>
      </c>
      <c r="W21" s="38">
        <v>1018.0</v>
      </c>
      <c r="X21" s="45">
        <v>1344778.0</v>
      </c>
      <c r="Y21" s="37"/>
      <c r="Z21" s="37"/>
      <c r="AA21" s="37"/>
      <c r="AB21" s="37">
        <v>1344778.0</v>
      </c>
      <c r="AC21" s="38">
        <v>1018.0</v>
      </c>
      <c r="AD21" s="32"/>
      <c r="AE21" s="11"/>
      <c r="AF21" s="11"/>
    </row>
    <row r="22">
      <c r="A22" s="11" t="s">
        <v>76</v>
      </c>
      <c r="B22" s="28">
        <v>45426.998611111114</v>
      </c>
      <c r="C22" s="28">
        <v>45429.45688657407</v>
      </c>
      <c r="D22" s="29" t="s">
        <v>32</v>
      </c>
      <c r="E22" s="11" t="b">
        <v>0</v>
      </c>
      <c r="F22" s="11" t="s">
        <v>33</v>
      </c>
      <c r="G22" s="11" t="s">
        <v>77</v>
      </c>
      <c r="H22" s="11" t="s">
        <v>78</v>
      </c>
      <c r="I22" s="31">
        <v>5.0</v>
      </c>
      <c r="J22" s="32">
        <v>4531.0</v>
      </c>
      <c r="K22" s="41">
        <v>1.0</v>
      </c>
      <c r="L22" s="33">
        <v>1140.72</v>
      </c>
      <c r="M22" s="42">
        <v>0.0</v>
      </c>
      <c r="N22" s="43">
        <v>0.0</v>
      </c>
      <c r="O22" s="43">
        <v>0.0</v>
      </c>
      <c r="P22" s="44">
        <v>1.0</v>
      </c>
      <c r="Q22" s="35">
        <v>4531.0</v>
      </c>
      <c r="R22" s="45">
        <v>5168602.32</v>
      </c>
      <c r="S22" s="37"/>
      <c r="T22" s="37"/>
      <c r="U22" s="37"/>
      <c r="V22" s="37">
        <v>5168602.32</v>
      </c>
      <c r="W22" s="38">
        <v>1140.72</v>
      </c>
      <c r="X22" s="45">
        <v>5168602.32</v>
      </c>
      <c r="Y22" s="37"/>
      <c r="Z22" s="37"/>
      <c r="AA22" s="37"/>
      <c r="AB22" s="37">
        <v>5168602.32</v>
      </c>
      <c r="AC22" s="38">
        <v>1140.72</v>
      </c>
      <c r="AD22" s="32"/>
      <c r="AE22" s="11"/>
      <c r="AF22" s="11"/>
    </row>
    <row r="23">
      <c r="A23" s="11" t="s">
        <v>79</v>
      </c>
      <c r="B23" s="28">
        <v>45452.71527777778</v>
      </c>
      <c r="C23" s="28">
        <v>45456.59444444445</v>
      </c>
      <c r="D23" s="29" t="s">
        <v>32</v>
      </c>
      <c r="E23" s="11" t="b">
        <v>0</v>
      </c>
      <c r="F23" s="11" t="s">
        <v>33</v>
      </c>
      <c r="G23" s="11" t="s">
        <v>80</v>
      </c>
      <c r="H23" s="11" t="s">
        <v>81</v>
      </c>
      <c r="I23" s="31">
        <v>5.0</v>
      </c>
      <c r="J23" s="32">
        <v>1083.0</v>
      </c>
      <c r="K23" s="41">
        <v>1.0</v>
      </c>
      <c r="L23" s="33">
        <v>1057.0</v>
      </c>
      <c r="M23" s="42">
        <v>0.0</v>
      </c>
      <c r="N23" s="43">
        <v>0.0</v>
      </c>
      <c r="O23" s="43">
        <v>0.0</v>
      </c>
      <c r="P23" s="44">
        <v>1.0</v>
      </c>
      <c r="Q23" s="35">
        <v>1083.0</v>
      </c>
      <c r="R23" s="45">
        <v>1144731.0</v>
      </c>
      <c r="S23" s="37"/>
      <c r="T23" s="37"/>
      <c r="U23" s="37"/>
      <c r="V23" s="37">
        <v>1144731.0</v>
      </c>
      <c r="W23" s="38">
        <v>1057.0</v>
      </c>
      <c r="X23" s="45">
        <v>1144731.0</v>
      </c>
      <c r="Y23" s="37"/>
      <c r="Z23" s="37"/>
      <c r="AA23" s="37"/>
      <c r="AB23" s="37">
        <v>1144731.0</v>
      </c>
      <c r="AC23" s="38">
        <v>1057.0</v>
      </c>
      <c r="AD23" s="32"/>
      <c r="AE23" s="11"/>
      <c r="AF23" s="11"/>
    </row>
    <row r="24">
      <c r="A24" s="11" t="s">
        <v>82</v>
      </c>
      <c r="B24" s="28">
        <v>45453.54027777778</v>
      </c>
      <c r="C24" s="28">
        <v>45456.541666666664</v>
      </c>
      <c r="D24" s="29" t="s">
        <v>32</v>
      </c>
      <c r="E24" s="11" t="b">
        <v>0</v>
      </c>
      <c r="F24" s="11" t="s">
        <v>37</v>
      </c>
      <c r="G24" s="11" t="s">
        <v>83</v>
      </c>
      <c r="H24" s="11" t="s">
        <v>84</v>
      </c>
      <c r="I24" s="31">
        <v>5.0</v>
      </c>
      <c r="J24" s="32">
        <v>2.0</v>
      </c>
      <c r="K24" s="41">
        <v>1.0</v>
      </c>
      <c r="L24" s="33">
        <v>2904.07</v>
      </c>
      <c r="M24" s="42">
        <v>0.0</v>
      </c>
      <c r="N24" s="43">
        <v>0.0</v>
      </c>
      <c r="O24" s="43">
        <v>0.0</v>
      </c>
      <c r="P24" s="44">
        <v>1.0</v>
      </c>
      <c r="Q24" s="35">
        <v>2.0</v>
      </c>
      <c r="R24" s="45">
        <v>5808.14</v>
      </c>
      <c r="S24" s="37"/>
      <c r="T24" s="37"/>
      <c r="U24" s="37"/>
      <c r="V24" s="37">
        <v>5808.14</v>
      </c>
      <c r="W24" s="38">
        <v>2904.07</v>
      </c>
      <c r="X24" s="45">
        <v>5808.14</v>
      </c>
      <c r="Y24" s="37"/>
      <c r="Z24" s="37"/>
      <c r="AA24" s="37"/>
      <c r="AB24" s="37">
        <v>5808.14</v>
      </c>
      <c r="AC24" s="38">
        <v>2904.07</v>
      </c>
      <c r="AD24" s="32"/>
      <c r="AE24" s="11"/>
      <c r="AF24" s="11"/>
    </row>
    <row r="25">
      <c r="A25" s="11" t="s">
        <v>85</v>
      </c>
      <c r="B25" s="28">
        <v>45455.60972222222</v>
      </c>
      <c r="C25" s="28">
        <v>45527.625</v>
      </c>
      <c r="D25" s="29" t="s">
        <v>32</v>
      </c>
      <c r="E25" s="11" t="b">
        <v>1</v>
      </c>
      <c r="F25" s="11" t="s">
        <v>51</v>
      </c>
      <c r="G25" s="40" t="s">
        <v>86</v>
      </c>
      <c r="H25" s="11" t="s">
        <v>87</v>
      </c>
      <c r="I25" s="31">
        <v>5.0</v>
      </c>
      <c r="J25" s="32">
        <v>295.0</v>
      </c>
      <c r="K25" s="41">
        <v>1.0</v>
      </c>
      <c r="L25" s="33">
        <v>1637.0</v>
      </c>
      <c r="M25" s="42">
        <v>0.0</v>
      </c>
      <c r="N25" s="43">
        <v>0.0</v>
      </c>
      <c r="O25" s="43">
        <v>0.0</v>
      </c>
      <c r="P25" s="44">
        <v>1.0</v>
      </c>
      <c r="Q25" s="35">
        <v>295.0</v>
      </c>
      <c r="R25" s="45">
        <v>482915.0</v>
      </c>
      <c r="S25" s="37"/>
      <c r="T25" s="37"/>
      <c r="U25" s="37"/>
      <c r="V25" s="37">
        <v>482915.0</v>
      </c>
      <c r="W25" s="38">
        <v>1637.0</v>
      </c>
      <c r="X25" s="45">
        <v>482915.0</v>
      </c>
      <c r="Y25" s="37"/>
      <c r="Z25" s="37"/>
      <c r="AA25" s="37"/>
      <c r="AB25" s="37">
        <v>482915.0</v>
      </c>
      <c r="AC25" s="38">
        <v>1637.0</v>
      </c>
      <c r="AD25" s="32"/>
      <c r="AE25" s="11"/>
      <c r="AF25" s="11"/>
    </row>
    <row r="26">
      <c r="A26" s="11" t="s">
        <v>88</v>
      </c>
      <c r="B26" s="28">
        <v>45455.60972222222</v>
      </c>
      <c r="C26" s="28">
        <v>45527.958333333336</v>
      </c>
      <c r="D26" s="29" t="s">
        <v>32</v>
      </c>
      <c r="E26" s="11" t="b">
        <v>1</v>
      </c>
      <c r="F26" s="11" t="s">
        <v>51</v>
      </c>
      <c r="G26" s="40" t="s">
        <v>86</v>
      </c>
      <c r="H26" s="11" t="s">
        <v>89</v>
      </c>
      <c r="I26" s="31">
        <v>5.0</v>
      </c>
      <c r="J26" s="32">
        <v>1599.0</v>
      </c>
      <c r="K26" s="41">
        <v>1.0</v>
      </c>
      <c r="L26" s="33">
        <v>1637.0</v>
      </c>
      <c r="M26" s="42">
        <v>0.0</v>
      </c>
      <c r="N26" s="43">
        <v>0.0</v>
      </c>
      <c r="O26" s="43">
        <v>0.0</v>
      </c>
      <c r="P26" s="44">
        <v>1.0</v>
      </c>
      <c r="Q26" s="35">
        <v>1599.0</v>
      </c>
      <c r="R26" s="45">
        <v>2617563.0</v>
      </c>
      <c r="S26" s="37"/>
      <c r="T26" s="37"/>
      <c r="U26" s="37"/>
      <c r="V26" s="37">
        <v>2617563.0</v>
      </c>
      <c r="W26" s="38">
        <v>1637.0</v>
      </c>
      <c r="X26" s="45">
        <v>2617563.0</v>
      </c>
      <c r="Y26" s="37"/>
      <c r="Z26" s="37"/>
      <c r="AA26" s="37"/>
      <c r="AB26" s="37">
        <v>2617563.0</v>
      </c>
      <c r="AC26" s="38">
        <v>1637.0</v>
      </c>
      <c r="AD26" s="32"/>
      <c r="AE26" s="11"/>
      <c r="AF26" s="11"/>
    </row>
    <row r="27">
      <c r="A27" s="11" t="s">
        <v>90</v>
      </c>
      <c r="B27" s="28">
        <v>45486.572916666664</v>
      </c>
      <c r="C27" s="28">
        <v>45488.833333333336</v>
      </c>
      <c r="D27" s="29" t="s">
        <v>32</v>
      </c>
      <c r="E27" s="11" t="b">
        <v>0</v>
      </c>
      <c r="F27" s="11" t="s">
        <v>33</v>
      </c>
      <c r="G27" s="11" t="s">
        <v>91</v>
      </c>
      <c r="H27" s="11" t="s">
        <v>92</v>
      </c>
      <c r="I27" s="31">
        <v>5.0</v>
      </c>
      <c r="J27" s="32">
        <v>652.0</v>
      </c>
      <c r="K27" s="41">
        <v>1.0</v>
      </c>
      <c r="L27" s="33">
        <v>535.0</v>
      </c>
      <c r="M27" s="42">
        <v>0.0</v>
      </c>
      <c r="N27" s="43">
        <v>0.0</v>
      </c>
      <c r="O27" s="43">
        <v>0.0</v>
      </c>
      <c r="P27" s="44">
        <v>1.0</v>
      </c>
      <c r="Q27" s="35">
        <v>652.0</v>
      </c>
      <c r="R27" s="45">
        <v>348820.0</v>
      </c>
      <c r="S27" s="37"/>
      <c r="T27" s="37"/>
      <c r="U27" s="37"/>
      <c r="V27" s="37">
        <v>348820.0</v>
      </c>
      <c r="W27" s="38">
        <v>535.0</v>
      </c>
      <c r="X27" s="45">
        <v>348820.0</v>
      </c>
      <c r="Y27" s="37"/>
      <c r="Z27" s="37"/>
      <c r="AA27" s="37"/>
      <c r="AB27" s="37">
        <v>348820.0</v>
      </c>
      <c r="AC27" s="38">
        <v>535.0</v>
      </c>
      <c r="AD27" s="32"/>
      <c r="AE27" s="11"/>
      <c r="AF27" s="11"/>
    </row>
    <row r="28">
      <c r="A28" s="11" t="s">
        <v>93</v>
      </c>
      <c r="B28" s="28">
        <v>45512.03472222222</v>
      </c>
      <c r="C28" s="28">
        <v>45515.58472222222</v>
      </c>
      <c r="D28" s="29" t="s">
        <v>32</v>
      </c>
      <c r="E28" s="11" t="b">
        <v>0</v>
      </c>
      <c r="F28" s="11" t="s">
        <v>33</v>
      </c>
      <c r="G28" s="11" t="s">
        <v>94</v>
      </c>
      <c r="H28" s="11" t="s">
        <v>95</v>
      </c>
      <c r="I28" s="31">
        <v>5.0</v>
      </c>
      <c r="J28" s="32">
        <v>17.0</v>
      </c>
      <c r="K28" s="41">
        <v>1.0</v>
      </c>
      <c r="L28" s="33">
        <v>726.09</v>
      </c>
      <c r="M28" s="42">
        <v>0.0</v>
      </c>
      <c r="N28" s="43">
        <v>0.0</v>
      </c>
      <c r="O28" s="43">
        <v>0.0</v>
      </c>
      <c r="P28" s="44">
        <v>1.0</v>
      </c>
      <c r="Q28" s="35">
        <v>17.0</v>
      </c>
      <c r="R28" s="45">
        <v>12343.53</v>
      </c>
      <c r="S28" s="37"/>
      <c r="T28" s="37"/>
      <c r="U28" s="37"/>
      <c r="V28" s="37">
        <v>12343.53</v>
      </c>
      <c r="W28" s="38">
        <v>726.09</v>
      </c>
      <c r="X28" s="45">
        <v>12343.53</v>
      </c>
      <c r="Y28" s="37"/>
      <c r="Z28" s="37"/>
      <c r="AA28" s="37"/>
      <c r="AB28" s="37">
        <v>12343.53</v>
      </c>
      <c r="AC28" s="38">
        <v>726.09</v>
      </c>
      <c r="AD28" s="32"/>
      <c r="AE28" s="11"/>
      <c r="AF28" s="11"/>
    </row>
    <row r="29">
      <c r="A29" s="11" t="s">
        <v>96</v>
      </c>
      <c r="B29" s="28">
        <v>45513.0</v>
      </c>
      <c r="C29" s="28">
        <v>45514.666666666664</v>
      </c>
      <c r="D29" s="29" t="s">
        <v>32</v>
      </c>
      <c r="E29" s="11" t="b">
        <v>0</v>
      </c>
      <c r="F29" s="11" t="s">
        <v>37</v>
      </c>
      <c r="G29" s="11" t="s">
        <v>97</v>
      </c>
      <c r="H29" s="11" t="s">
        <v>98</v>
      </c>
      <c r="I29" s="31">
        <v>5.0</v>
      </c>
      <c r="J29" s="32">
        <v>1463.0</v>
      </c>
      <c r="K29" s="41">
        <v>1.0</v>
      </c>
      <c r="L29" s="33">
        <v>315.0</v>
      </c>
      <c r="M29" s="42">
        <v>0.0</v>
      </c>
      <c r="N29" s="43">
        <v>0.0</v>
      </c>
      <c r="O29" s="43">
        <v>0.0</v>
      </c>
      <c r="P29" s="44">
        <v>1.0</v>
      </c>
      <c r="Q29" s="35">
        <v>1463.0</v>
      </c>
      <c r="R29" s="45">
        <v>460845.0</v>
      </c>
      <c r="S29" s="37"/>
      <c r="T29" s="37"/>
      <c r="U29" s="37"/>
      <c r="V29" s="37">
        <v>460845.0</v>
      </c>
      <c r="W29" s="38">
        <v>315.0</v>
      </c>
      <c r="X29" s="45">
        <v>460845.0</v>
      </c>
      <c r="Y29" s="37"/>
      <c r="Z29" s="37"/>
      <c r="AA29" s="37"/>
      <c r="AB29" s="37">
        <v>460845.0</v>
      </c>
      <c r="AC29" s="38">
        <v>315.0</v>
      </c>
      <c r="AD29" s="32"/>
      <c r="AE29" s="11"/>
      <c r="AF29" s="11"/>
    </row>
    <row r="30">
      <c r="A30" s="11" t="s">
        <v>99</v>
      </c>
      <c r="B30" s="28">
        <v>45563.55902777778</v>
      </c>
      <c r="C30" s="28">
        <v>45565.45972222222</v>
      </c>
      <c r="D30" s="29" t="s">
        <v>32</v>
      </c>
      <c r="E30" s="11" t="b">
        <v>0</v>
      </c>
      <c r="F30" s="11" t="s">
        <v>33</v>
      </c>
      <c r="G30" s="11" t="s">
        <v>100</v>
      </c>
      <c r="H30" s="11" t="s">
        <v>101</v>
      </c>
      <c r="I30" s="31">
        <v>5.0</v>
      </c>
      <c r="J30" s="32">
        <v>250.0</v>
      </c>
      <c r="K30" s="41">
        <v>1.0</v>
      </c>
      <c r="L30" s="33">
        <v>18007.86</v>
      </c>
      <c r="M30" s="42">
        <v>0.0</v>
      </c>
      <c r="N30" s="43">
        <v>0.0</v>
      </c>
      <c r="O30" s="43">
        <v>0.0</v>
      </c>
      <c r="P30" s="44">
        <v>1.0</v>
      </c>
      <c r="Q30" s="35">
        <v>250.0</v>
      </c>
      <c r="R30" s="45">
        <v>4501965.0</v>
      </c>
      <c r="S30" s="37"/>
      <c r="T30" s="37"/>
      <c r="U30" s="37"/>
      <c r="V30" s="37">
        <v>4501965.0</v>
      </c>
      <c r="W30" s="38">
        <v>18007.86</v>
      </c>
      <c r="X30" s="45">
        <v>4501965.0</v>
      </c>
      <c r="Y30" s="37"/>
      <c r="Z30" s="37"/>
      <c r="AA30" s="37"/>
      <c r="AB30" s="37">
        <v>4501965.0</v>
      </c>
      <c r="AC30" s="38">
        <v>18007.86</v>
      </c>
      <c r="AD30" s="32"/>
      <c r="AE30" s="11"/>
      <c r="AF30" s="11"/>
    </row>
    <row r="31">
      <c r="A31" s="11" t="s">
        <v>102</v>
      </c>
      <c r="B31" s="28">
        <v>45566.7375</v>
      </c>
      <c r="C31" s="28">
        <v>45570.59166666667</v>
      </c>
      <c r="D31" s="29" t="s">
        <v>32</v>
      </c>
      <c r="E31" s="11" t="b">
        <v>0</v>
      </c>
      <c r="F31" s="11" t="s">
        <v>37</v>
      </c>
      <c r="G31" s="11" t="s">
        <v>103</v>
      </c>
      <c r="H31" s="11" t="s">
        <v>104</v>
      </c>
      <c r="I31" s="31">
        <v>5.0</v>
      </c>
      <c r="J31" s="32">
        <v>806.0</v>
      </c>
      <c r="K31" s="41">
        <v>1.0</v>
      </c>
      <c r="L31" s="33">
        <v>66.67</v>
      </c>
      <c r="M31" s="42">
        <v>0.0</v>
      </c>
      <c r="N31" s="43">
        <v>0.0</v>
      </c>
      <c r="O31" s="43">
        <v>0.0</v>
      </c>
      <c r="P31" s="44">
        <v>1.0</v>
      </c>
      <c r="Q31" s="35">
        <v>806.0</v>
      </c>
      <c r="R31" s="45">
        <v>53736.020000000004</v>
      </c>
      <c r="S31" s="37"/>
      <c r="T31" s="37"/>
      <c r="U31" s="37"/>
      <c r="V31" s="37">
        <v>53736.020000000004</v>
      </c>
      <c r="W31" s="38">
        <v>66.67</v>
      </c>
      <c r="X31" s="45">
        <v>53736.020000000004</v>
      </c>
      <c r="Y31" s="37"/>
      <c r="Z31" s="37"/>
      <c r="AA31" s="37"/>
      <c r="AB31" s="37">
        <v>53736.020000000004</v>
      </c>
      <c r="AC31" s="38">
        <v>66.67</v>
      </c>
      <c r="AD31" s="32"/>
      <c r="AE31" s="11"/>
      <c r="AF31" s="11"/>
    </row>
    <row r="32">
      <c r="A32" s="11" t="s">
        <v>105</v>
      </c>
      <c r="B32" s="28">
        <v>45592.979166666664</v>
      </c>
      <c r="C32" s="28">
        <v>45598.70972222222</v>
      </c>
      <c r="D32" s="29" t="s">
        <v>32</v>
      </c>
      <c r="E32" s="11" t="b">
        <v>0</v>
      </c>
      <c r="F32" s="11" t="s">
        <v>33</v>
      </c>
      <c r="G32" s="11" t="s">
        <v>106</v>
      </c>
      <c r="H32" s="11" t="s">
        <v>107</v>
      </c>
      <c r="I32" s="31">
        <v>5.0</v>
      </c>
      <c r="J32" s="32">
        <v>1115.0</v>
      </c>
      <c r="K32" s="41">
        <v>1.0</v>
      </c>
      <c r="L32" s="33">
        <v>607.75</v>
      </c>
      <c r="M32" s="42">
        <v>0.0</v>
      </c>
      <c r="N32" s="43">
        <v>0.0</v>
      </c>
      <c r="O32" s="43">
        <v>0.0</v>
      </c>
      <c r="P32" s="44">
        <v>1.0</v>
      </c>
      <c r="Q32" s="35">
        <v>1115.0</v>
      </c>
      <c r="R32" s="45">
        <v>677641.25</v>
      </c>
      <c r="S32" s="37"/>
      <c r="T32" s="37"/>
      <c r="U32" s="37"/>
      <c r="V32" s="37">
        <v>677641.25</v>
      </c>
      <c r="W32" s="38">
        <v>607.75</v>
      </c>
      <c r="X32" s="45">
        <v>677641.25</v>
      </c>
      <c r="Y32" s="37"/>
      <c r="Z32" s="37"/>
      <c r="AA32" s="37"/>
      <c r="AB32" s="37">
        <v>677641.25</v>
      </c>
      <c r="AC32" s="38">
        <v>607.75</v>
      </c>
      <c r="AD32" s="32"/>
      <c r="AE32" s="11"/>
      <c r="AF32" s="11"/>
    </row>
    <row r="33">
      <c r="A33" s="11" t="s">
        <v>108</v>
      </c>
      <c r="B33" s="28">
        <v>45598.59930555556</v>
      </c>
      <c r="C33" s="28">
        <v>45605.541666666664</v>
      </c>
      <c r="D33" s="29" t="s">
        <v>32</v>
      </c>
      <c r="E33" s="11" t="b">
        <v>0</v>
      </c>
      <c r="F33" s="11" t="s">
        <v>33</v>
      </c>
      <c r="G33" s="11" t="s">
        <v>106</v>
      </c>
      <c r="H33" s="11" t="s">
        <v>109</v>
      </c>
      <c r="I33" s="31">
        <v>5.0</v>
      </c>
      <c r="J33" s="32">
        <v>68.0</v>
      </c>
      <c r="K33" s="41">
        <v>1.0</v>
      </c>
      <c r="L33" s="33">
        <v>5617.6</v>
      </c>
      <c r="M33" s="42">
        <v>0.0</v>
      </c>
      <c r="N33" s="43">
        <v>0.0</v>
      </c>
      <c r="O33" s="43">
        <v>0.0</v>
      </c>
      <c r="P33" s="44">
        <v>1.0</v>
      </c>
      <c r="Q33" s="35">
        <v>68.0</v>
      </c>
      <c r="R33" s="45">
        <v>381996.80000000005</v>
      </c>
      <c r="S33" s="37"/>
      <c r="T33" s="37"/>
      <c r="U33" s="37"/>
      <c r="V33" s="37">
        <v>381996.80000000005</v>
      </c>
      <c r="W33" s="38">
        <v>5617.6</v>
      </c>
      <c r="X33" s="45">
        <v>381996.80000000005</v>
      </c>
      <c r="Y33" s="37"/>
      <c r="Z33" s="37"/>
      <c r="AA33" s="37"/>
      <c r="AB33" s="37">
        <v>381996.80000000005</v>
      </c>
      <c r="AC33" s="38">
        <v>5617.6</v>
      </c>
      <c r="AD33" s="32"/>
      <c r="AE33" s="11"/>
      <c r="AF33" s="11"/>
    </row>
    <row r="34">
      <c r="A34" s="11" t="s">
        <v>110</v>
      </c>
      <c r="B34" s="28">
        <v>45624.70486111111</v>
      </c>
      <c r="C34" s="28">
        <v>45626.86597222222</v>
      </c>
      <c r="D34" s="29" t="s">
        <v>32</v>
      </c>
      <c r="E34" s="11" t="b">
        <v>0</v>
      </c>
      <c r="F34" s="11" t="s">
        <v>33</v>
      </c>
      <c r="G34" s="11" t="s">
        <v>100</v>
      </c>
      <c r="H34" s="11" t="s">
        <v>111</v>
      </c>
      <c r="I34" s="31">
        <v>5.0</v>
      </c>
      <c r="J34" s="32">
        <v>148.0</v>
      </c>
      <c r="K34" s="41">
        <v>1.0</v>
      </c>
      <c r="L34" s="33">
        <v>13200.0</v>
      </c>
      <c r="M34" s="42">
        <v>0.0</v>
      </c>
      <c r="N34" s="43">
        <v>0.0</v>
      </c>
      <c r="O34" s="43">
        <v>0.0</v>
      </c>
      <c r="P34" s="44">
        <v>1.0</v>
      </c>
      <c r="Q34" s="35">
        <v>148.0</v>
      </c>
      <c r="R34" s="45">
        <v>1953600.0</v>
      </c>
      <c r="S34" s="37"/>
      <c r="T34" s="37"/>
      <c r="U34" s="37"/>
      <c r="V34" s="37">
        <v>1953600.0</v>
      </c>
      <c r="W34" s="38">
        <v>13200.0</v>
      </c>
      <c r="X34" s="45">
        <v>1953600.0</v>
      </c>
      <c r="Y34" s="37"/>
      <c r="Z34" s="37"/>
      <c r="AA34" s="37"/>
      <c r="AB34" s="37">
        <v>1953600.0</v>
      </c>
      <c r="AC34" s="38">
        <v>13200.0</v>
      </c>
      <c r="AD34" s="32"/>
      <c r="AE34" s="11"/>
      <c r="AF34" s="11"/>
    </row>
    <row r="35">
      <c r="A35" s="11" t="s">
        <v>112</v>
      </c>
      <c r="B35" s="28">
        <v>45638.00763888889</v>
      </c>
      <c r="C35" s="28">
        <v>45642.61666666667</v>
      </c>
      <c r="D35" s="29" t="s">
        <v>32</v>
      </c>
      <c r="E35" s="11" t="b">
        <v>0</v>
      </c>
      <c r="F35" s="11" t="s">
        <v>33</v>
      </c>
      <c r="G35" s="11" t="s">
        <v>113</v>
      </c>
      <c r="H35" s="11" t="s">
        <v>114</v>
      </c>
      <c r="I35" s="31">
        <v>5.0</v>
      </c>
      <c r="J35" s="32">
        <v>108.0</v>
      </c>
      <c r="K35" s="41">
        <v>1.0</v>
      </c>
      <c r="L35" s="33">
        <v>6801.53</v>
      </c>
      <c r="M35" s="42">
        <v>0.0</v>
      </c>
      <c r="N35" s="43">
        <v>0.0</v>
      </c>
      <c r="O35" s="43">
        <v>0.0</v>
      </c>
      <c r="P35" s="44">
        <v>1.0</v>
      </c>
      <c r="Q35" s="35">
        <v>108.0</v>
      </c>
      <c r="R35" s="45">
        <v>734565.24</v>
      </c>
      <c r="S35" s="37"/>
      <c r="T35" s="37"/>
      <c r="U35" s="37"/>
      <c r="V35" s="37">
        <v>734565.24</v>
      </c>
      <c r="W35" s="38">
        <v>6801.53</v>
      </c>
      <c r="X35" s="45">
        <v>734565.24</v>
      </c>
      <c r="Y35" s="37"/>
      <c r="Z35" s="37"/>
      <c r="AA35" s="37"/>
      <c r="AB35" s="37">
        <v>734565.24</v>
      </c>
      <c r="AC35" s="38">
        <v>6801.53</v>
      </c>
      <c r="AD35" s="32"/>
      <c r="AE35" s="11"/>
      <c r="AF35" s="11"/>
    </row>
    <row r="36">
      <c r="A36" s="11" t="s">
        <v>115</v>
      </c>
      <c r="B36" s="28">
        <v>45644.67013888889</v>
      </c>
      <c r="C36" s="28">
        <v>45646.6590162037</v>
      </c>
      <c r="D36" s="29" t="s">
        <v>32</v>
      </c>
      <c r="E36" s="11" t="b">
        <v>0</v>
      </c>
      <c r="F36" s="11" t="s">
        <v>37</v>
      </c>
      <c r="G36" s="11" t="s">
        <v>103</v>
      </c>
      <c r="H36" s="11" t="s">
        <v>116</v>
      </c>
      <c r="I36" s="31">
        <v>5.0</v>
      </c>
      <c r="J36" s="32">
        <v>897.0</v>
      </c>
      <c r="K36" s="41">
        <v>1.0</v>
      </c>
      <c r="L36" s="33">
        <v>585.4</v>
      </c>
      <c r="M36" s="42">
        <v>0.0</v>
      </c>
      <c r="N36" s="43">
        <v>0.0</v>
      </c>
      <c r="O36" s="43">
        <v>0.0</v>
      </c>
      <c r="P36" s="44">
        <v>1.0</v>
      </c>
      <c r="Q36" s="35">
        <v>897.0</v>
      </c>
      <c r="R36" s="45">
        <v>525103.7999999999</v>
      </c>
      <c r="S36" s="37"/>
      <c r="T36" s="37"/>
      <c r="U36" s="37"/>
      <c r="V36" s="37">
        <v>525103.7999999999</v>
      </c>
      <c r="W36" s="38">
        <v>585.4</v>
      </c>
      <c r="X36" s="45">
        <v>525103.7999999999</v>
      </c>
      <c r="Y36" s="37"/>
      <c r="Z36" s="37"/>
      <c r="AA36" s="37"/>
      <c r="AB36" s="37">
        <v>525103.7999999999</v>
      </c>
      <c r="AC36" s="38">
        <v>585.4</v>
      </c>
      <c r="AD36" s="32"/>
      <c r="AE36" s="11"/>
      <c r="AF36" s="11"/>
    </row>
    <row r="37">
      <c r="A37" s="11" t="s">
        <v>117</v>
      </c>
      <c r="B37" s="28">
        <v>45644.67013888889</v>
      </c>
      <c r="C37" s="28">
        <v>45646.6590162037</v>
      </c>
      <c r="D37" s="29" t="s">
        <v>32</v>
      </c>
      <c r="E37" s="11" t="b">
        <v>0</v>
      </c>
      <c r="F37" s="11" t="s">
        <v>37</v>
      </c>
      <c r="G37" s="11" t="s">
        <v>118</v>
      </c>
      <c r="H37" s="11" t="s">
        <v>116</v>
      </c>
      <c r="I37" s="31">
        <v>5.0</v>
      </c>
      <c r="J37" s="32">
        <v>1402.0</v>
      </c>
      <c r="K37" s="41">
        <v>1.0</v>
      </c>
      <c r="L37" s="33">
        <v>126.08</v>
      </c>
      <c r="M37" s="42">
        <v>0.0</v>
      </c>
      <c r="N37" s="43">
        <v>0.0</v>
      </c>
      <c r="O37" s="43">
        <v>0.0</v>
      </c>
      <c r="P37" s="44">
        <v>1.0</v>
      </c>
      <c r="Q37" s="35">
        <v>1402.0</v>
      </c>
      <c r="R37" s="45">
        <v>176764.16</v>
      </c>
      <c r="S37" s="37"/>
      <c r="T37" s="37"/>
      <c r="U37" s="37"/>
      <c r="V37" s="37">
        <v>176764.16</v>
      </c>
      <c r="W37" s="38">
        <v>126.08</v>
      </c>
      <c r="X37" s="45">
        <v>176764.16</v>
      </c>
      <c r="Y37" s="37"/>
      <c r="Z37" s="37"/>
      <c r="AA37" s="37"/>
      <c r="AB37" s="37">
        <v>176764.16</v>
      </c>
      <c r="AC37" s="38">
        <v>126.08</v>
      </c>
      <c r="AD37" s="32"/>
      <c r="AE37" s="11"/>
      <c r="AF37" s="11"/>
    </row>
    <row r="38">
      <c r="A38" s="11" t="s">
        <v>119</v>
      </c>
      <c r="B38" s="28">
        <v>45645.833333333336</v>
      </c>
      <c r="C38" s="28">
        <v>45649.38333333333</v>
      </c>
      <c r="D38" s="29" t="s">
        <v>32</v>
      </c>
      <c r="E38" s="11" t="b">
        <v>0</v>
      </c>
      <c r="F38" s="11" t="s">
        <v>33</v>
      </c>
      <c r="G38" s="11" t="s">
        <v>120</v>
      </c>
      <c r="H38" s="11" t="s">
        <v>121</v>
      </c>
      <c r="I38" s="31">
        <v>5.0</v>
      </c>
      <c r="J38" s="32">
        <v>44.0</v>
      </c>
      <c r="K38" s="41">
        <v>1.0</v>
      </c>
      <c r="L38" s="33">
        <v>29027.08</v>
      </c>
      <c r="M38" s="42">
        <v>0.0</v>
      </c>
      <c r="N38" s="43">
        <v>0.0</v>
      </c>
      <c r="O38" s="43">
        <v>0.0</v>
      </c>
      <c r="P38" s="44">
        <v>1.0</v>
      </c>
      <c r="Q38" s="35">
        <v>44.0</v>
      </c>
      <c r="R38" s="45">
        <v>1277191.52</v>
      </c>
      <c r="S38" s="37"/>
      <c r="T38" s="37"/>
      <c r="U38" s="37"/>
      <c r="V38" s="37">
        <v>1277191.52</v>
      </c>
      <c r="W38" s="38">
        <v>29027.08</v>
      </c>
      <c r="X38" s="45">
        <v>1277191.52</v>
      </c>
      <c r="Y38" s="37"/>
      <c r="Z38" s="37"/>
      <c r="AA38" s="37"/>
      <c r="AB38" s="37">
        <v>1277191.52</v>
      </c>
      <c r="AC38" s="38">
        <v>29027.08</v>
      </c>
      <c r="AD38" s="32"/>
      <c r="AE38" s="11"/>
      <c r="AF38" s="11"/>
    </row>
    <row r="39">
      <c r="A39" s="11" t="s">
        <v>122</v>
      </c>
      <c r="B39" s="28">
        <v>45681.91805555556</v>
      </c>
      <c r="C39" s="28">
        <v>45685.32013888889</v>
      </c>
      <c r="D39" s="29" t="s">
        <v>32</v>
      </c>
      <c r="E39" s="11" t="b">
        <v>0</v>
      </c>
      <c r="F39" s="11" t="s">
        <v>33</v>
      </c>
      <c r="G39" s="11" t="s">
        <v>106</v>
      </c>
      <c r="H39" s="11" t="s">
        <v>123</v>
      </c>
      <c r="I39" s="31">
        <v>5.0</v>
      </c>
      <c r="J39" s="32">
        <v>227.0</v>
      </c>
      <c r="K39" s="41">
        <v>1.0</v>
      </c>
      <c r="L39" s="33">
        <v>359.57</v>
      </c>
      <c r="M39" s="42">
        <v>0.0</v>
      </c>
      <c r="N39" s="43">
        <v>0.0</v>
      </c>
      <c r="O39" s="43">
        <v>0.0</v>
      </c>
      <c r="P39" s="44">
        <v>1.0</v>
      </c>
      <c r="Q39" s="35">
        <v>227.0</v>
      </c>
      <c r="R39" s="45">
        <v>81622.39</v>
      </c>
      <c r="S39" s="37"/>
      <c r="T39" s="37"/>
      <c r="U39" s="37"/>
      <c r="V39" s="37">
        <v>81622.39</v>
      </c>
      <c r="W39" s="38">
        <v>359.57</v>
      </c>
      <c r="X39" s="45">
        <v>81622.39</v>
      </c>
      <c r="Y39" s="37"/>
      <c r="Z39" s="37"/>
      <c r="AA39" s="37"/>
      <c r="AB39" s="37">
        <v>81622.39</v>
      </c>
      <c r="AC39" s="38">
        <v>359.57</v>
      </c>
      <c r="AD39" s="32"/>
      <c r="AE39" s="11"/>
      <c r="AF39" s="11"/>
    </row>
    <row r="40">
      <c r="A40" s="11" t="s">
        <v>124</v>
      </c>
      <c r="B40" s="28">
        <v>45682.027083333334</v>
      </c>
      <c r="C40" s="28">
        <v>45685.47222222222</v>
      </c>
      <c r="D40" s="29" t="s">
        <v>32</v>
      </c>
      <c r="E40" s="11" t="b">
        <v>0</v>
      </c>
      <c r="F40" s="11" t="s">
        <v>33</v>
      </c>
      <c r="G40" s="11" t="s">
        <v>125</v>
      </c>
      <c r="H40" s="11" t="s">
        <v>126</v>
      </c>
      <c r="I40" s="31">
        <v>5.0</v>
      </c>
      <c r="J40" s="32">
        <v>8280.0</v>
      </c>
      <c r="K40" s="41">
        <v>1.0</v>
      </c>
      <c r="L40" s="33">
        <v>165.05</v>
      </c>
      <c r="M40" s="42">
        <v>0.0</v>
      </c>
      <c r="N40" s="43">
        <v>0.0</v>
      </c>
      <c r="O40" s="43">
        <v>0.0</v>
      </c>
      <c r="P40" s="44">
        <v>1.0</v>
      </c>
      <c r="Q40" s="35">
        <v>8280.0</v>
      </c>
      <c r="R40" s="45">
        <v>1366614.0</v>
      </c>
      <c r="S40" s="37"/>
      <c r="T40" s="37"/>
      <c r="U40" s="37"/>
      <c r="V40" s="37">
        <v>1366614.0</v>
      </c>
      <c r="W40" s="38">
        <v>165.05</v>
      </c>
      <c r="X40" s="45">
        <v>1366614.0</v>
      </c>
      <c r="Y40" s="37"/>
      <c r="Z40" s="37"/>
      <c r="AA40" s="37"/>
      <c r="AB40" s="37">
        <v>1366614.0</v>
      </c>
      <c r="AC40" s="38">
        <v>165.05</v>
      </c>
      <c r="AD40" s="32"/>
      <c r="AE40" s="11"/>
      <c r="AF40" s="11"/>
    </row>
    <row r="41">
      <c r="A41" s="11" t="s">
        <v>127</v>
      </c>
      <c r="B41" s="28">
        <v>45682.027083333334</v>
      </c>
      <c r="C41" s="28">
        <v>45685.47222222222</v>
      </c>
      <c r="D41" s="29" t="s">
        <v>32</v>
      </c>
      <c r="E41" s="11" t="b">
        <v>0</v>
      </c>
      <c r="F41" s="11" t="s">
        <v>33</v>
      </c>
      <c r="G41" s="11" t="s">
        <v>125</v>
      </c>
      <c r="H41" s="11" t="s">
        <v>126</v>
      </c>
      <c r="I41" s="31">
        <v>5.0</v>
      </c>
      <c r="J41" s="32">
        <v>5120.0</v>
      </c>
      <c r="K41" s="41">
        <v>1.0</v>
      </c>
      <c r="L41" s="33">
        <v>165.05</v>
      </c>
      <c r="M41" s="42">
        <v>0.0</v>
      </c>
      <c r="N41" s="43">
        <v>0.0</v>
      </c>
      <c r="O41" s="43">
        <v>0.0</v>
      </c>
      <c r="P41" s="44">
        <v>1.0</v>
      </c>
      <c r="Q41" s="35">
        <v>5120.0</v>
      </c>
      <c r="R41" s="45">
        <v>845056.0</v>
      </c>
      <c r="S41" s="37"/>
      <c r="T41" s="37"/>
      <c r="U41" s="37"/>
      <c r="V41" s="37">
        <v>845056.0</v>
      </c>
      <c r="W41" s="38">
        <v>165.05</v>
      </c>
      <c r="X41" s="45">
        <v>845056.0</v>
      </c>
      <c r="Y41" s="37"/>
      <c r="Z41" s="37"/>
      <c r="AA41" s="37"/>
      <c r="AB41" s="37">
        <v>845056.0</v>
      </c>
      <c r="AC41" s="38">
        <v>165.05</v>
      </c>
      <c r="AD41" s="32"/>
      <c r="AE41" s="11"/>
      <c r="AF41" s="11"/>
    </row>
    <row r="42">
      <c r="A42" s="11" t="s">
        <v>128</v>
      </c>
      <c r="B42" s="28">
        <v>45705.48402777778</v>
      </c>
      <c r="C42" s="28">
        <v>45708.68402777778</v>
      </c>
      <c r="D42" s="29" t="s">
        <v>32</v>
      </c>
      <c r="E42" s="11" t="b">
        <v>0</v>
      </c>
      <c r="F42" s="11" t="s">
        <v>33</v>
      </c>
      <c r="G42" s="11" t="s">
        <v>129</v>
      </c>
      <c r="H42" s="11" t="s">
        <v>130</v>
      </c>
      <c r="I42" s="31">
        <v>5.0</v>
      </c>
      <c r="J42" s="32">
        <v>4538.0</v>
      </c>
      <c r="K42" s="41">
        <v>1.0</v>
      </c>
      <c r="L42" s="33">
        <v>21.17</v>
      </c>
      <c r="M42" s="42">
        <v>0.0</v>
      </c>
      <c r="N42" s="43">
        <v>0.0</v>
      </c>
      <c r="O42" s="43">
        <v>0.0</v>
      </c>
      <c r="P42" s="44">
        <v>1.0</v>
      </c>
      <c r="Q42" s="35">
        <v>4538.0</v>
      </c>
      <c r="R42" s="45">
        <v>96069.46</v>
      </c>
      <c r="S42" s="37"/>
      <c r="T42" s="37"/>
      <c r="U42" s="37"/>
      <c r="V42" s="37">
        <v>96069.46</v>
      </c>
      <c r="W42" s="38">
        <v>21.17</v>
      </c>
      <c r="X42" s="45">
        <v>96069.46</v>
      </c>
      <c r="Y42" s="37"/>
      <c r="Z42" s="37"/>
      <c r="AA42" s="37"/>
      <c r="AB42" s="37">
        <v>96069.46</v>
      </c>
      <c r="AC42" s="38">
        <v>21.17</v>
      </c>
      <c r="AD42" s="32"/>
      <c r="AE42" s="11"/>
      <c r="AF42" s="11"/>
    </row>
    <row r="43">
      <c r="A43" s="11" t="s">
        <v>131</v>
      </c>
      <c r="B43" s="28">
        <v>45705.48402777778</v>
      </c>
      <c r="C43" s="28">
        <v>45708.68402777778</v>
      </c>
      <c r="D43" s="29" t="s">
        <v>32</v>
      </c>
      <c r="E43" s="11" t="b">
        <v>0</v>
      </c>
      <c r="F43" s="11" t="s">
        <v>33</v>
      </c>
      <c r="G43" s="11" t="s">
        <v>129</v>
      </c>
      <c r="H43" s="11" t="s">
        <v>130</v>
      </c>
      <c r="I43" s="31">
        <v>5.0</v>
      </c>
      <c r="J43" s="32">
        <v>4995.0</v>
      </c>
      <c r="K43" s="41">
        <v>1.0</v>
      </c>
      <c r="L43" s="33">
        <v>21.17</v>
      </c>
      <c r="M43" s="42">
        <v>0.0</v>
      </c>
      <c r="N43" s="43">
        <v>0.0</v>
      </c>
      <c r="O43" s="43">
        <v>0.0</v>
      </c>
      <c r="P43" s="44">
        <v>1.0</v>
      </c>
      <c r="Q43" s="35">
        <v>4995.0</v>
      </c>
      <c r="R43" s="45">
        <v>105744.15000000001</v>
      </c>
      <c r="S43" s="37"/>
      <c r="T43" s="37"/>
      <c r="U43" s="37"/>
      <c r="V43" s="37">
        <v>105744.15000000001</v>
      </c>
      <c r="W43" s="38">
        <v>21.17</v>
      </c>
      <c r="X43" s="45">
        <v>105744.15000000001</v>
      </c>
      <c r="Y43" s="37"/>
      <c r="Z43" s="37"/>
      <c r="AA43" s="37"/>
      <c r="AB43" s="37">
        <v>105744.15000000001</v>
      </c>
      <c r="AC43" s="38">
        <v>21.17</v>
      </c>
      <c r="AD43" s="32"/>
      <c r="AE43" s="11"/>
      <c r="AF43" s="11"/>
    </row>
    <row r="44">
      <c r="A44" s="11" t="s">
        <v>132</v>
      </c>
      <c r="B44" s="28">
        <v>45712.001388888886</v>
      </c>
      <c r="C44" s="28">
        <v>45716.66111111111</v>
      </c>
      <c r="D44" s="29" t="s">
        <v>32</v>
      </c>
      <c r="E44" s="11" t="b">
        <v>0</v>
      </c>
      <c r="F44" s="11" t="s">
        <v>33</v>
      </c>
      <c r="G44" s="11" t="s">
        <v>125</v>
      </c>
      <c r="H44" s="11" t="s">
        <v>133</v>
      </c>
      <c r="I44" s="31">
        <v>5.0</v>
      </c>
      <c r="J44" s="32">
        <v>7200.0</v>
      </c>
      <c r="K44" s="41">
        <v>1.0</v>
      </c>
      <c r="L44" s="33">
        <v>165.06</v>
      </c>
      <c r="M44" s="42">
        <v>0.0</v>
      </c>
      <c r="N44" s="43">
        <v>0.0</v>
      </c>
      <c r="O44" s="43">
        <v>0.0</v>
      </c>
      <c r="P44" s="44">
        <v>1.0</v>
      </c>
      <c r="Q44" s="35">
        <v>7200.0</v>
      </c>
      <c r="R44" s="45">
        <v>1188432.0</v>
      </c>
      <c r="S44" s="37"/>
      <c r="T44" s="37"/>
      <c r="U44" s="37"/>
      <c r="V44" s="37">
        <v>1188432.0</v>
      </c>
      <c r="W44" s="38">
        <v>165.06</v>
      </c>
      <c r="X44" s="45">
        <v>1188432.0</v>
      </c>
      <c r="Y44" s="37"/>
      <c r="Z44" s="37"/>
      <c r="AA44" s="37"/>
      <c r="AB44" s="37">
        <v>1188432.0</v>
      </c>
      <c r="AC44" s="38">
        <v>165.06</v>
      </c>
      <c r="AD44" s="32"/>
      <c r="AE44" s="11"/>
      <c r="AF44" s="11"/>
    </row>
    <row r="45">
      <c r="A45" s="11" t="s">
        <v>134</v>
      </c>
      <c r="B45" s="28">
        <v>45712.001388888886</v>
      </c>
      <c r="C45" s="28">
        <v>45713.43402777778</v>
      </c>
      <c r="D45" s="29" t="s">
        <v>32</v>
      </c>
      <c r="E45" s="11" t="b">
        <v>0</v>
      </c>
      <c r="F45" s="11" t="s">
        <v>33</v>
      </c>
      <c r="G45" s="11" t="s">
        <v>135</v>
      </c>
      <c r="H45" s="11" t="s">
        <v>54</v>
      </c>
      <c r="I45" s="31">
        <v>5.0</v>
      </c>
      <c r="J45" s="32">
        <v>84.0</v>
      </c>
      <c r="K45" s="41">
        <v>1.0</v>
      </c>
      <c r="L45" s="33">
        <v>11443.12</v>
      </c>
      <c r="M45" s="42">
        <v>0.0</v>
      </c>
      <c r="N45" s="43">
        <v>0.0</v>
      </c>
      <c r="O45" s="43">
        <v>0.0</v>
      </c>
      <c r="P45" s="44">
        <v>1.0</v>
      </c>
      <c r="Q45" s="35">
        <v>84.0</v>
      </c>
      <c r="R45" s="45">
        <v>961222.0800000001</v>
      </c>
      <c r="S45" s="37"/>
      <c r="T45" s="37"/>
      <c r="U45" s="37"/>
      <c r="V45" s="37">
        <v>961222.0800000001</v>
      </c>
      <c r="W45" s="38">
        <v>11443.12</v>
      </c>
      <c r="X45" s="45">
        <v>961222.0800000001</v>
      </c>
      <c r="Y45" s="37"/>
      <c r="Z45" s="37"/>
      <c r="AA45" s="37"/>
      <c r="AB45" s="37">
        <v>961222.0800000001</v>
      </c>
      <c r="AC45" s="38">
        <v>11443.12</v>
      </c>
      <c r="AD45" s="32"/>
      <c r="AE45" s="11"/>
      <c r="AF45" s="11"/>
    </row>
    <row r="46">
      <c r="A46" s="11" t="s">
        <v>136</v>
      </c>
      <c r="B46" s="28">
        <v>45712.763194444444</v>
      </c>
      <c r="C46" s="28">
        <v>45715.59375</v>
      </c>
      <c r="D46" s="29" t="s">
        <v>32</v>
      </c>
      <c r="E46" s="11" t="b">
        <v>0</v>
      </c>
      <c r="F46" s="11" t="s">
        <v>33</v>
      </c>
      <c r="G46" s="11" t="s">
        <v>106</v>
      </c>
      <c r="H46" s="11" t="s">
        <v>137</v>
      </c>
      <c r="I46" s="31">
        <v>5.0</v>
      </c>
      <c r="J46" s="32">
        <v>1897.0</v>
      </c>
      <c r="K46" s="41">
        <v>1.0</v>
      </c>
      <c r="L46" s="33">
        <v>1980.31</v>
      </c>
      <c r="M46" s="42">
        <v>0.0</v>
      </c>
      <c r="N46" s="43">
        <v>0.0</v>
      </c>
      <c r="O46" s="43">
        <v>0.0</v>
      </c>
      <c r="P46" s="44">
        <v>1.0</v>
      </c>
      <c r="Q46" s="35">
        <v>1897.0</v>
      </c>
      <c r="R46" s="45">
        <v>3756648.07</v>
      </c>
      <c r="S46" s="37"/>
      <c r="T46" s="37"/>
      <c r="U46" s="37"/>
      <c r="V46" s="37">
        <v>3756648.07</v>
      </c>
      <c r="W46" s="38">
        <v>1980.31</v>
      </c>
      <c r="X46" s="45">
        <v>3756648.07</v>
      </c>
      <c r="Y46" s="37"/>
      <c r="Z46" s="37"/>
      <c r="AA46" s="37"/>
      <c r="AB46" s="37">
        <v>3756648.07</v>
      </c>
      <c r="AC46" s="38">
        <v>1980.31</v>
      </c>
      <c r="AD46" s="32"/>
      <c r="AE46" s="11"/>
      <c r="AF46" s="11"/>
    </row>
    <row r="47">
      <c r="A47" s="11" t="s">
        <v>138</v>
      </c>
      <c r="B47" s="28">
        <v>45712.763194444444</v>
      </c>
      <c r="C47" s="28">
        <v>45713.30486111111</v>
      </c>
      <c r="D47" s="29" t="s">
        <v>32</v>
      </c>
      <c r="E47" s="11" t="b">
        <v>0</v>
      </c>
      <c r="F47" s="11" t="s">
        <v>33</v>
      </c>
      <c r="G47" s="11" t="s">
        <v>139</v>
      </c>
      <c r="H47" s="11" t="s">
        <v>140</v>
      </c>
      <c r="I47" s="31">
        <v>5.0</v>
      </c>
      <c r="J47" s="32">
        <v>30.0</v>
      </c>
      <c r="K47" s="41">
        <v>1.0</v>
      </c>
      <c r="L47" s="33">
        <v>11443.31</v>
      </c>
      <c r="M47" s="42">
        <v>0.0</v>
      </c>
      <c r="N47" s="43">
        <v>0.0</v>
      </c>
      <c r="O47" s="43">
        <v>0.0</v>
      </c>
      <c r="P47" s="44">
        <v>1.0</v>
      </c>
      <c r="Q47" s="35">
        <v>30.0</v>
      </c>
      <c r="R47" s="45">
        <v>343299.3</v>
      </c>
      <c r="S47" s="37"/>
      <c r="T47" s="37"/>
      <c r="U47" s="37"/>
      <c r="V47" s="37">
        <v>343299.3</v>
      </c>
      <c r="W47" s="38">
        <v>11443.31</v>
      </c>
      <c r="X47" s="45">
        <v>343299.3</v>
      </c>
      <c r="Y47" s="37"/>
      <c r="Z47" s="37"/>
      <c r="AA47" s="37"/>
      <c r="AB47" s="37">
        <v>343299.3</v>
      </c>
      <c r="AC47" s="38">
        <v>11443.31</v>
      </c>
      <c r="AD47" s="32"/>
      <c r="AE47" s="11"/>
      <c r="AF47" s="11"/>
    </row>
    <row r="48">
      <c r="A48" s="11" t="s">
        <v>141</v>
      </c>
      <c r="B48" s="28">
        <v>45713.57083333333</v>
      </c>
      <c r="C48" s="28">
        <v>45717.49236111111</v>
      </c>
      <c r="D48" s="29" t="s">
        <v>32</v>
      </c>
      <c r="E48" s="11" t="b">
        <v>0</v>
      </c>
      <c r="F48" s="11" t="s">
        <v>37</v>
      </c>
      <c r="G48" s="11" t="s">
        <v>103</v>
      </c>
      <c r="H48" s="11" t="s">
        <v>142</v>
      </c>
      <c r="I48" s="31">
        <v>5.0</v>
      </c>
      <c r="J48" s="32">
        <v>2888.0</v>
      </c>
      <c r="K48" s="41">
        <v>1.0</v>
      </c>
      <c r="L48" s="33">
        <v>76.63</v>
      </c>
      <c r="M48" s="42">
        <v>0.0</v>
      </c>
      <c r="N48" s="43">
        <v>0.0</v>
      </c>
      <c r="O48" s="43">
        <v>0.0</v>
      </c>
      <c r="P48" s="44">
        <v>1.0</v>
      </c>
      <c r="Q48" s="35">
        <v>2888.0</v>
      </c>
      <c r="R48" s="45">
        <v>221307.43999999997</v>
      </c>
      <c r="S48" s="37"/>
      <c r="T48" s="37"/>
      <c r="U48" s="37"/>
      <c r="V48" s="37">
        <v>221307.43999999997</v>
      </c>
      <c r="W48" s="38">
        <v>76.63</v>
      </c>
      <c r="X48" s="45">
        <v>221307.43999999997</v>
      </c>
      <c r="Y48" s="37"/>
      <c r="Z48" s="37"/>
      <c r="AA48" s="37"/>
      <c r="AB48" s="37">
        <v>221307.43999999997</v>
      </c>
      <c r="AC48" s="38">
        <v>76.63</v>
      </c>
      <c r="AD48" s="32"/>
      <c r="AE48" s="11"/>
      <c r="AF48" s="11"/>
    </row>
    <row r="49">
      <c r="A49" s="11" t="s">
        <v>143</v>
      </c>
      <c r="B49" s="28">
        <v>45719.75833333333</v>
      </c>
      <c r="C49" s="28">
        <v>45722.46597222222</v>
      </c>
      <c r="D49" s="29" t="s">
        <v>32</v>
      </c>
      <c r="E49" s="11" t="b">
        <v>0</v>
      </c>
      <c r="F49" s="11" t="s">
        <v>37</v>
      </c>
      <c r="G49" s="11" t="s">
        <v>97</v>
      </c>
      <c r="H49" s="11" t="s">
        <v>144</v>
      </c>
      <c r="I49" s="31">
        <v>5.0</v>
      </c>
      <c r="J49" s="32">
        <v>2424.0</v>
      </c>
      <c r="K49" s="41">
        <v>1.0</v>
      </c>
      <c r="L49" s="33">
        <v>855.5</v>
      </c>
      <c r="M49" s="42">
        <v>0.0</v>
      </c>
      <c r="N49" s="43">
        <v>0.0</v>
      </c>
      <c r="O49" s="43">
        <v>0.0</v>
      </c>
      <c r="P49" s="44">
        <v>1.0</v>
      </c>
      <c r="Q49" s="35">
        <v>2424.0</v>
      </c>
      <c r="R49" s="45">
        <v>2073732.0</v>
      </c>
      <c r="S49" s="37"/>
      <c r="T49" s="37"/>
      <c r="U49" s="37"/>
      <c r="V49" s="37">
        <v>2073732.0</v>
      </c>
      <c r="W49" s="38">
        <v>855.5</v>
      </c>
      <c r="X49" s="45">
        <v>2073732.0</v>
      </c>
      <c r="Y49" s="37"/>
      <c r="Z49" s="37"/>
      <c r="AA49" s="37"/>
      <c r="AB49" s="37">
        <v>2073732.0</v>
      </c>
      <c r="AC49" s="38">
        <v>855.5</v>
      </c>
      <c r="AD49" s="32"/>
      <c r="AE49" s="11"/>
      <c r="AF49" s="11"/>
    </row>
    <row r="50">
      <c r="A50" s="11" t="s">
        <v>145</v>
      </c>
      <c r="B50" s="28">
        <v>45751.76527777778</v>
      </c>
      <c r="C50" s="28">
        <v>45754.61041666667</v>
      </c>
      <c r="D50" s="29" t="s">
        <v>32</v>
      </c>
      <c r="E50" s="11" t="b">
        <v>0</v>
      </c>
      <c r="F50" s="11" t="s">
        <v>33</v>
      </c>
      <c r="G50" s="11" t="s">
        <v>139</v>
      </c>
      <c r="H50" s="11" t="s">
        <v>146</v>
      </c>
      <c r="I50" s="31">
        <v>5.0</v>
      </c>
      <c r="J50" s="32">
        <v>51.0</v>
      </c>
      <c r="K50" s="41">
        <v>1.0</v>
      </c>
      <c r="L50" s="33">
        <v>11352.67</v>
      </c>
      <c r="M50" s="42">
        <v>0.0</v>
      </c>
      <c r="N50" s="43">
        <v>0.0</v>
      </c>
      <c r="O50" s="43">
        <v>0.0</v>
      </c>
      <c r="P50" s="44">
        <v>1.0</v>
      </c>
      <c r="Q50" s="35">
        <v>51.0</v>
      </c>
      <c r="R50" s="45">
        <v>578986.17</v>
      </c>
      <c r="S50" s="37"/>
      <c r="T50" s="37"/>
      <c r="U50" s="37"/>
      <c r="V50" s="37">
        <v>578986.17</v>
      </c>
      <c r="W50" s="38">
        <v>11352.67</v>
      </c>
      <c r="X50" s="45">
        <v>578986.17</v>
      </c>
      <c r="Y50" s="37"/>
      <c r="Z50" s="37"/>
      <c r="AA50" s="37"/>
      <c r="AB50" s="37">
        <v>578986.17</v>
      </c>
      <c r="AC50" s="38">
        <v>11352.67</v>
      </c>
      <c r="AD50" s="32"/>
      <c r="AE50" s="11"/>
      <c r="AF50" s="11"/>
    </row>
    <row r="51">
      <c r="A51" s="11" t="s">
        <v>147</v>
      </c>
      <c r="B51" s="28">
        <v>45756.65416666667</v>
      </c>
      <c r="C51" s="28">
        <v>45772.5</v>
      </c>
      <c r="D51" s="29" t="s">
        <v>32</v>
      </c>
      <c r="E51" s="11" t="b">
        <v>0</v>
      </c>
      <c r="F51" s="11" t="s">
        <v>148</v>
      </c>
      <c r="G51" s="11" t="s">
        <v>149</v>
      </c>
      <c r="H51" s="11" t="s">
        <v>149</v>
      </c>
      <c r="I51" s="31">
        <v>5.0</v>
      </c>
      <c r="J51" s="32">
        <v>1044.0</v>
      </c>
      <c r="K51" s="41">
        <v>1.0</v>
      </c>
      <c r="L51" s="33">
        <v>3845.46</v>
      </c>
      <c r="M51" s="42">
        <v>0.0</v>
      </c>
      <c r="N51" s="43">
        <v>0.0</v>
      </c>
      <c r="O51" s="43">
        <v>0.0</v>
      </c>
      <c r="P51" s="44">
        <v>1.0</v>
      </c>
      <c r="Q51" s="35">
        <v>1044.0</v>
      </c>
      <c r="R51" s="45">
        <v>4014660.24</v>
      </c>
      <c r="S51" s="37"/>
      <c r="T51" s="37"/>
      <c r="U51" s="37"/>
      <c r="V51" s="37">
        <v>4014660.24</v>
      </c>
      <c r="W51" s="38">
        <v>3845.46</v>
      </c>
      <c r="X51" s="45">
        <v>4014660.24</v>
      </c>
      <c r="Y51" s="37"/>
      <c r="Z51" s="37"/>
      <c r="AA51" s="37"/>
      <c r="AB51" s="37">
        <v>4014660.24</v>
      </c>
      <c r="AC51" s="38">
        <v>3845.46</v>
      </c>
      <c r="AD51" s="32"/>
      <c r="AE51" s="11"/>
      <c r="AF51" s="11"/>
    </row>
    <row r="52">
      <c r="A52" s="11" t="s">
        <v>150</v>
      </c>
      <c r="B52" s="28">
        <v>45772.00347222222</v>
      </c>
      <c r="C52" s="28">
        <v>45775.402083333334</v>
      </c>
      <c r="D52" s="29" t="s">
        <v>32</v>
      </c>
      <c r="E52" s="11" t="b">
        <v>0</v>
      </c>
      <c r="F52" s="11" t="s">
        <v>33</v>
      </c>
      <c r="G52" s="11" t="s">
        <v>125</v>
      </c>
      <c r="H52" s="11" t="s">
        <v>151</v>
      </c>
      <c r="I52" s="31">
        <v>5.0</v>
      </c>
      <c r="J52" s="32">
        <v>7280.0</v>
      </c>
      <c r="K52" s="41">
        <v>1.0</v>
      </c>
      <c r="L52" s="33">
        <v>165.05</v>
      </c>
      <c r="M52" s="42">
        <v>0.0</v>
      </c>
      <c r="N52" s="43">
        <v>0.0</v>
      </c>
      <c r="O52" s="43">
        <v>0.0</v>
      </c>
      <c r="P52" s="44">
        <v>1.0</v>
      </c>
      <c r="Q52" s="35">
        <v>7280.0</v>
      </c>
      <c r="R52" s="45">
        <v>1201564.0</v>
      </c>
      <c r="S52" s="37"/>
      <c r="T52" s="37"/>
      <c r="U52" s="37"/>
      <c r="V52" s="37">
        <v>1201564.0</v>
      </c>
      <c r="W52" s="38">
        <v>165.05</v>
      </c>
      <c r="X52" s="45">
        <v>1201564.0</v>
      </c>
      <c r="Y52" s="37"/>
      <c r="Z52" s="37"/>
      <c r="AA52" s="37"/>
      <c r="AB52" s="37">
        <v>1201564.0</v>
      </c>
      <c r="AC52" s="38">
        <v>165.05</v>
      </c>
      <c r="AD52" s="32"/>
      <c r="AE52" s="11"/>
      <c r="AF52" s="11"/>
    </row>
    <row r="53">
      <c r="A53" s="11" t="s">
        <v>152</v>
      </c>
      <c r="B53" s="28">
        <v>45772.00347222222</v>
      </c>
      <c r="C53" s="28">
        <v>45410.558333333334</v>
      </c>
      <c r="D53" s="29" t="s">
        <v>32</v>
      </c>
      <c r="E53" s="11" t="b">
        <v>0</v>
      </c>
      <c r="F53" s="11" t="s">
        <v>33</v>
      </c>
      <c r="G53" s="11" t="s">
        <v>100</v>
      </c>
      <c r="H53" s="11" t="s">
        <v>153</v>
      </c>
      <c r="I53" s="31">
        <v>5.0</v>
      </c>
      <c r="J53" s="32">
        <v>91.0</v>
      </c>
      <c r="K53" s="41">
        <v>1.0</v>
      </c>
      <c r="L53" s="33">
        <v>35799.38</v>
      </c>
      <c r="M53" s="42">
        <v>0.0</v>
      </c>
      <c r="N53" s="43">
        <v>0.0</v>
      </c>
      <c r="O53" s="43">
        <v>0.0</v>
      </c>
      <c r="P53" s="44">
        <v>1.0</v>
      </c>
      <c r="Q53" s="35">
        <v>91.0</v>
      </c>
      <c r="R53" s="45">
        <v>3257743.5799999996</v>
      </c>
      <c r="S53" s="37"/>
      <c r="T53" s="37"/>
      <c r="U53" s="37"/>
      <c r="V53" s="37">
        <v>3257743.5799999996</v>
      </c>
      <c r="W53" s="38">
        <v>35799.38</v>
      </c>
      <c r="X53" s="45">
        <v>3257743.5799999996</v>
      </c>
      <c r="Y53" s="37"/>
      <c r="Z53" s="37"/>
      <c r="AA53" s="37"/>
      <c r="AB53" s="37">
        <v>3257743.5799999996</v>
      </c>
      <c r="AC53" s="38">
        <v>35799.38</v>
      </c>
      <c r="AD53" s="32"/>
      <c r="AE53" s="11"/>
      <c r="AF53" s="11"/>
    </row>
    <row r="54">
      <c r="A54" s="11" t="s">
        <v>154</v>
      </c>
      <c r="B54" s="28">
        <v>45773.73402777778</v>
      </c>
      <c r="C54" s="28">
        <v>45777.717361111114</v>
      </c>
      <c r="D54" s="29" t="s">
        <v>32</v>
      </c>
      <c r="E54" s="11" t="b">
        <v>0</v>
      </c>
      <c r="F54" s="11" t="s">
        <v>33</v>
      </c>
      <c r="G54" s="11" t="s">
        <v>155</v>
      </c>
      <c r="H54" s="11" t="s">
        <v>156</v>
      </c>
      <c r="I54" s="31">
        <v>5.0</v>
      </c>
      <c r="J54" s="32">
        <v>144.0</v>
      </c>
      <c r="K54" s="41">
        <v>1.0</v>
      </c>
      <c r="L54" s="33">
        <v>17514.11</v>
      </c>
      <c r="M54" s="42">
        <v>0.0</v>
      </c>
      <c r="N54" s="43">
        <v>0.0</v>
      </c>
      <c r="O54" s="43">
        <v>0.0</v>
      </c>
      <c r="P54" s="44">
        <v>1.0</v>
      </c>
      <c r="Q54" s="35">
        <v>144.0</v>
      </c>
      <c r="R54" s="45">
        <v>2522031.84</v>
      </c>
      <c r="S54" s="37"/>
      <c r="T54" s="37"/>
      <c r="U54" s="37"/>
      <c r="V54" s="37">
        <v>2522031.84</v>
      </c>
      <c r="W54" s="38">
        <v>17514.11</v>
      </c>
      <c r="X54" s="45">
        <v>2522031.84</v>
      </c>
      <c r="Y54" s="37"/>
      <c r="Z54" s="37"/>
      <c r="AA54" s="37"/>
      <c r="AB54" s="37">
        <v>2522031.84</v>
      </c>
      <c r="AC54" s="38">
        <v>17514.11</v>
      </c>
      <c r="AD54" s="32"/>
      <c r="AE54" s="11"/>
      <c r="AF54" s="11"/>
    </row>
    <row r="55">
      <c r="A55" s="11" t="s">
        <v>157</v>
      </c>
      <c r="B55" s="28">
        <v>45782.75555555556</v>
      </c>
      <c r="C55" s="28">
        <v>45789.53125</v>
      </c>
      <c r="D55" s="29" t="s">
        <v>32</v>
      </c>
      <c r="E55" s="11" t="b">
        <v>0</v>
      </c>
      <c r="F55" s="11" t="s">
        <v>33</v>
      </c>
      <c r="G55" s="11" t="s">
        <v>106</v>
      </c>
      <c r="H55" s="11" t="s">
        <v>158</v>
      </c>
      <c r="I55" s="31">
        <v>5.0</v>
      </c>
      <c r="J55" s="32">
        <v>172.0</v>
      </c>
      <c r="K55" s="41">
        <v>1.0</v>
      </c>
      <c r="L55" s="33">
        <v>1980.5</v>
      </c>
      <c r="M55" s="42">
        <v>0.0</v>
      </c>
      <c r="N55" s="43">
        <v>0.0</v>
      </c>
      <c r="O55" s="43">
        <v>0.0</v>
      </c>
      <c r="P55" s="44">
        <v>1.0</v>
      </c>
      <c r="Q55" s="35">
        <v>172.0</v>
      </c>
      <c r="R55" s="45">
        <v>340646.0</v>
      </c>
      <c r="S55" s="37"/>
      <c r="T55" s="37"/>
      <c r="U55" s="37"/>
      <c r="V55" s="37">
        <v>340646.0</v>
      </c>
      <c r="W55" s="38">
        <v>1980.5</v>
      </c>
      <c r="X55" s="45">
        <v>340646.0</v>
      </c>
      <c r="Y55" s="37"/>
      <c r="Z55" s="37"/>
      <c r="AA55" s="37"/>
      <c r="AB55" s="37">
        <v>340646.0</v>
      </c>
      <c r="AC55" s="38">
        <v>1980.5</v>
      </c>
      <c r="AD55" s="32"/>
      <c r="AE55" s="11"/>
      <c r="AF55" s="11"/>
    </row>
    <row r="56">
      <c r="A56" s="11" t="s">
        <v>159</v>
      </c>
      <c r="B56" s="28">
        <v>45795.775</v>
      </c>
      <c r="C56" s="28">
        <v>45797.44027777778</v>
      </c>
      <c r="D56" s="29" t="s">
        <v>32</v>
      </c>
      <c r="E56" s="11" t="b">
        <v>0</v>
      </c>
      <c r="F56" s="11" t="s">
        <v>33</v>
      </c>
      <c r="G56" s="11" t="s">
        <v>160</v>
      </c>
      <c r="H56" s="11" t="s">
        <v>161</v>
      </c>
      <c r="I56" s="31">
        <v>5.0</v>
      </c>
      <c r="J56" s="32">
        <v>7164.0</v>
      </c>
      <c r="K56" s="41">
        <v>1.0</v>
      </c>
      <c r="L56" s="33">
        <v>19.96</v>
      </c>
      <c r="M56" s="42">
        <v>0.0</v>
      </c>
      <c r="N56" s="43">
        <v>0.0</v>
      </c>
      <c r="O56" s="43">
        <v>0.0</v>
      </c>
      <c r="P56" s="44">
        <v>1.0</v>
      </c>
      <c r="Q56" s="35">
        <v>7164.0</v>
      </c>
      <c r="R56" s="45">
        <v>142993.44</v>
      </c>
      <c r="S56" s="37"/>
      <c r="T56" s="37"/>
      <c r="U56" s="37"/>
      <c r="V56" s="37">
        <v>142993.44</v>
      </c>
      <c r="W56" s="38">
        <v>19.96</v>
      </c>
      <c r="X56" s="45">
        <v>142993.44</v>
      </c>
      <c r="Y56" s="37"/>
      <c r="Z56" s="37"/>
      <c r="AA56" s="37"/>
      <c r="AB56" s="37">
        <v>142993.44</v>
      </c>
      <c r="AC56" s="38">
        <v>19.96</v>
      </c>
      <c r="AD56" s="32"/>
      <c r="AE56" s="11"/>
      <c r="AF56" s="11"/>
    </row>
    <row r="57">
      <c r="A57" s="11" t="s">
        <v>162</v>
      </c>
      <c r="B57" s="28">
        <v>45795.775</v>
      </c>
      <c r="C57" s="28">
        <v>45797.44027777778</v>
      </c>
      <c r="D57" s="29" t="s">
        <v>32</v>
      </c>
      <c r="E57" s="11" t="b">
        <v>0</v>
      </c>
      <c r="F57" s="11" t="s">
        <v>33</v>
      </c>
      <c r="G57" s="11" t="s">
        <v>160</v>
      </c>
      <c r="H57" s="11" t="s">
        <v>161</v>
      </c>
      <c r="I57" s="31">
        <v>5.0</v>
      </c>
      <c r="J57" s="32">
        <v>4373.0</v>
      </c>
      <c r="K57" s="41">
        <v>1.0</v>
      </c>
      <c r="L57" s="33">
        <v>19.96</v>
      </c>
      <c r="M57" s="42">
        <v>0.0</v>
      </c>
      <c r="N57" s="43">
        <v>0.0</v>
      </c>
      <c r="O57" s="43">
        <v>0.0</v>
      </c>
      <c r="P57" s="44">
        <v>1.0</v>
      </c>
      <c r="Q57" s="35">
        <v>4373.0</v>
      </c>
      <c r="R57" s="45">
        <v>87285.08</v>
      </c>
      <c r="S57" s="37"/>
      <c r="T57" s="37"/>
      <c r="U57" s="37"/>
      <c r="V57" s="37">
        <v>87285.08</v>
      </c>
      <c r="W57" s="38">
        <v>19.96</v>
      </c>
      <c r="X57" s="45">
        <v>87285.08</v>
      </c>
      <c r="Y57" s="37"/>
      <c r="Z57" s="37"/>
      <c r="AA57" s="37"/>
      <c r="AB57" s="37">
        <v>87285.08</v>
      </c>
      <c r="AC57" s="38">
        <v>19.96</v>
      </c>
      <c r="AD57" s="32"/>
      <c r="AE57" s="11"/>
      <c r="AF57" s="11"/>
    </row>
    <row r="58">
      <c r="A58" s="11" t="s">
        <v>163</v>
      </c>
      <c r="B58" s="28">
        <v>45795.775</v>
      </c>
      <c r="C58" s="28">
        <v>45797.44027777778</v>
      </c>
      <c r="D58" s="29" t="s">
        <v>32</v>
      </c>
      <c r="E58" s="11" t="b">
        <v>0</v>
      </c>
      <c r="F58" s="11" t="s">
        <v>33</v>
      </c>
      <c r="G58" s="11" t="s">
        <v>160</v>
      </c>
      <c r="H58" s="11" t="s">
        <v>161</v>
      </c>
      <c r="I58" s="31">
        <v>5.0</v>
      </c>
      <c r="J58" s="32">
        <v>3990.0</v>
      </c>
      <c r="K58" s="41">
        <v>1.0</v>
      </c>
      <c r="L58" s="33">
        <v>19.96</v>
      </c>
      <c r="M58" s="42">
        <v>0.0</v>
      </c>
      <c r="N58" s="43">
        <v>0.0</v>
      </c>
      <c r="O58" s="43">
        <v>0.0</v>
      </c>
      <c r="P58" s="44">
        <v>1.0</v>
      </c>
      <c r="Q58" s="35">
        <v>3990.0</v>
      </c>
      <c r="R58" s="45">
        <v>79640.40000000001</v>
      </c>
      <c r="S58" s="37"/>
      <c r="T58" s="37"/>
      <c r="U58" s="37"/>
      <c r="V58" s="37">
        <v>79640.40000000001</v>
      </c>
      <c r="W58" s="38">
        <v>19.96</v>
      </c>
      <c r="X58" s="45">
        <v>79640.40000000001</v>
      </c>
      <c r="Y58" s="37"/>
      <c r="Z58" s="37"/>
      <c r="AA58" s="37"/>
      <c r="AB58" s="37">
        <v>79640.40000000001</v>
      </c>
      <c r="AC58" s="38">
        <v>19.96</v>
      </c>
      <c r="AD58" s="32"/>
      <c r="AE58" s="11"/>
      <c r="AF58" s="11"/>
    </row>
    <row r="59">
      <c r="A59" s="11" t="s">
        <v>164</v>
      </c>
      <c r="B59" s="28">
        <v>45795.775</v>
      </c>
      <c r="C59" s="28">
        <v>45797.44027777778</v>
      </c>
      <c r="D59" s="29" t="s">
        <v>32</v>
      </c>
      <c r="E59" s="11" t="b">
        <v>0</v>
      </c>
      <c r="F59" s="11" t="s">
        <v>33</v>
      </c>
      <c r="G59" s="11" t="s">
        <v>160</v>
      </c>
      <c r="H59" s="11" t="s">
        <v>161</v>
      </c>
      <c r="I59" s="31">
        <v>5.0</v>
      </c>
      <c r="J59" s="32">
        <v>4494.0</v>
      </c>
      <c r="K59" s="41">
        <v>1.0</v>
      </c>
      <c r="L59" s="33">
        <v>19.96</v>
      </c>
      <c r="M59" s="42">
        <v>0.0</v>
      </c>
      <c r="N59" s="43">
        <v>0.0</v>
      </c>
      <c r="O59" s="43">
        <v>0.0</v>
      </c>
      <c r="P59" s="44">
        <v>1.0</v>
      </c>
      <c r="Q59" s="35">
        <v>4494.0</v>
      </c>
      <c r="R59" s="45">
        <v>89700.24</v>
      </c>
      <c r="S59" s="37"/>
      <c r="T59" s="37"/>
      <c r="U59" s="37"/>
      <c r="V59" s="37">
        <v>89700.24</v>
      </c>
      <c r="W59" s="38">
        <v>19.96</v>
      </c>
      <c r="X59" s="45">
        <v>89700.24</v>
      </c>
      <c r="Y59" s="37"/>
      <c r="Z59" s="37"/>
      <c r="AA59" s="37"/>
      <c r="AB59" s="37">
        <v>89700.24</v>
      </c>
      <c r="AC59" s="38">
        <v>19.96</v>
      </c>
      <c r="AD59" s="32"/>
      <c r="AE59" s="11"/>
      <c r="AF59" s="11"/>
    </row>
    <row r="60">
      <c r="A60" s="11" t="s">
        <v>165</v>
      </c>
      <c r="B60" s="28">
        <v>45795.775</v>
      </c>
      <c r="C60" s="28">
        <v>45797.44027777778</v>
      </c>
      <c r="D60" s="29" t="s">
        <v>32</v>
      </c>
      <c r="E60" s="11" t="b">
        <v>0</v>
      </c>
      <c r="F60" s="11" t="s">
        <v>33</v>
      </c>
      <c r="G60" s="11" t="s">
        <v>160</v>
      </c>
      <c r="H60" s="11" t="s">
        <v>161</v>
      </c>
      <c r="I60" s="31">
        <v>5.0</v>
      </c>
      <c r="J60" s="32">
        <v>2990.0</v>
      </c>
      <c r="K60" s="41">
        <v>1.0</v>
      </c>
      <c r="L60" s="33">
        <v>19.96</v>
      </c>
      <c r="M60" s="42">
        <v>0.0</v>
      </c>
      <c r="N60" s="43">
        <v>0.0</v>
      </c>
      <c r="O60" s="43">
        <v>0.0</v>
      </c>
      <c r="P60" s="44">
        <v>1.0</v>
      </c>
      <c r="Q60" s="35">
        <v>2990.0</v>
      </c>
      <c r="R60" s="45">
        <v>59680.4</v>
      </c>
      <c r="S60" s="37"/>
      <c r="T60" s="37"/>
      <c r="U60" s="37"/>
      <c r="V60" s="37">
        <v>59680.4</v>
      </c>
      <c r="W60" s="38">
        <v>19.96</v>
      </c>
      <c r="X60" s="45">
        <v>59680.4</v>
      </c>
      <c r="Y60" s="37"/>
      <c r="Z60" s="37"/>
      <c r="AA60" s="37"/>
      <c r="AB60" s="37">
        <v>59680.4</v>
      </c>
      <c r="AC60" s="38">
        <v>19.96</v>
      </c>
      <c r="AD60" s="32"/>
      <c r="AE60" s="11"/>
      <c r="AF60" s="11"/>
    </row>
    <row r="61">
      <c r="A61" s="11" t="s">
        <v>166</v>
      </c>
      <c r="B61" s="28">
        <v>45795.775</v>
      </c>
      <c r="C61" s="28">
        <v>45797.44027777778</v>
      </c>
      <c r="D61" s="29" t="s">
        <v>32</v>
      </c>
      <c r="E61" s="11" t="b">
        <v>0</v>
      </c>
      <c r="F61" s="11" t="s">
        <v>33</v>
      </c>
      <c r="G61" s="11" t="s">
        <v>160</v>
      </c>
      <c r="H61" s="11" t="s">
        <v>161</v>
      </c>
      <c r="I61" s="31">
        <v>5.0</v>
      </c>
      <c r="J61" s="32">
        <v>4457.0</v>
      </c>
      <c r="K61" s="41">
        <v>1.0</v>
      </c>
      <c r="L61" s="33">
        <v>19.96</v>
      </c>
      <c r="M61" s="42">
        <v>0.0</v>
      </c>
      <c r="N61" s="43">
        <v>0.0</v>
      </c>
      <c r="O61" s="43">
        <v>0.0</v>
      </c>
      <c r="P61" s="44">
        <v>1.0</v>
      </c>
      <c r="Q61" s="35">
        <v>4457.0</v>
      </c>
      <c r="R61" s="45">
        <v>88961.72</v>
      </c>
      <c r="S61" s="37"/>
      <c r="T61" s="37"/>
      <c r="U61" s="37"/>
      <c r="V61" s="37">
        <v>88961.72</v>
      </c>
      <c r="W61" s="38">
        <v>19.96</v>
      </c>
      <c r="X61" s="45">
        <v>88961.72</v>
      </c>
      <c r="Y61" s="37"/>
      <c r="Z61" s="37"/>
      <c r="AA61" s="37"/>
      <c r="AB61" s="37">
        <v>88961.72</v>
      </c>
      <c r="AC61" s="38">
        <v>19.96</v>
      </c>
      <c r="AD61" s="32"/>
      <c r="AE61" s="11"/>
      <c r="AF61" s="11"/>
    </row>
    <row r="62">
      <c r="A62" s="11" t="s">
        <v>167</v>
      </c>
      <c r="B62" s="28">
        <v>45795.775</v>
      </c>
      <c r="C62" s="28">
        <v>45797.44027777778</v>
      </c>
      <c r="D62" s="29" t="s">
        <v>32</v>
      </c>
      <c r="E62" s="11" t="b">
        <v>0</v>
      </c>
      <c r="F62" s="11" t="s">
        <v>33</v>
      </c>
      <c r="G62" s="11" t="s">
        <v>160</v>
      </c>
      <c r="H62" s="11" t="s">
        <v>161</v>
      </c>
      <c r="I62" s="31">
        <v>5.0</v>
      </c>
      <c r="J62" s="32">
        <v>6880.0</v>
      </c>
      <c r="K62" s="41">
        <v>1.0</v>
      </c>
      <c r="L62" s="33">
        <v>19.96</v>
      </c>
      <c r="M62" s="42">
        <v>0.0</v>
      </c>
      <c r="N62" s="43">
        <v>0.0</v>
      </c>
      <c r="O62" s="43">
        <v>0.0</v>
      </c>
      <c r="P62" s="44">
        <v>1.0</v>
      </c>
      <c r="Q62" s="35">
        <v>6880.0</v>
      </c>
      <c r="R62" s="45">
        <v>137324.80000000002</v>
      </c>
      <c r="S62" s="37"/>
      <c r="T62" s="37"/>
      <c r="U62" s="37"/>
      <c r="V62" s="37">
        <v>137324.80000000002</v>
      </c>
      <c r="W62" s="38">
        <v>19.96</v>
      </c>
      <c r="X62" s="45">
        <v>137324.80000000002</v>
      </c>
      <c r="Y62" s="37"/>
      <c r="Z62" s="37"/>
      <c r="AA62" s="37"/>
      <c r="AB62" s="37">
        <v>137324.80000000002</v>
      </c>
      <c r="AC62" s="38">
        <v>19.96</v>
      </c>
      <c r="AD62" s="32"/>
      <c r="AE62" s="11"/>
      <c r="AF62" s="11"/>
    </row>
    <row r="63">
      <c r="A63" s="11" t="s">
        <v>168</v>
      </c>
      <c r="B63" s="28">
        <v>45795.78125</v>
      </c>
      <c r="C63" s="28">
        <v>45798.552777777775</v>
      </c>
      <c r="D63" s="29" t="s">
        <v>32</v>
      </c>
      <c r="E63" s="11" t="b">
        <v>0</v>
      </c>
      <c r="F63" s="11" t="s">
        <v>33</v>
      </c>
      <c r="G63" s="11" t="s">
        <v>169</v>
      </c>
      <c r="H63" s="11" t="s">
        <v>170</v>
      </c>
      <c r="I63" s="31">
        <v>5.0</v>
      </c>
      <c r="J63" s="32">
        <v>4259.0</v>
      </c>
      <c r="K63" s="41">
        <v>1.0</v>
      </c>
      <c r="L63" s="33">
        <v>21.73</v>
      </c>
      <c r="M63" s="42">
        <v>0.0</v>
      </c>
      <c r="N63" s="43">
        <v>0.0</v>
      </c>
      <c r="O63" s="43">
        <v>0.0</v>
      </c>
      <c r="P63" s="44">
        <v>1.0</v>
      </c>
      <c r="Q63" s="35">
        <v>4259.0</v>
      </c>
      <c r="R63" s="45">
        <v>92548.07</v>
      </c>
      <c r="S63" s="37"/>
      <c r="T63" s="37"/>
      <c r="U63" s="37"/>
      <c r="V63" s="37">
        <v>92548.07</v>
      </c>
      <c r="W63" s="38">
        <v>21.73</v>
      </c>
      <c r="X63" s="45">
        <v>92548.07</v>
      </c>
      <c r="Y63" s="37"/>
      <c r="Z63" s="37"/>
      <c r="AA63" s="37"/>
      <c r="AB63" s="37">
        <v>92548.07</v>
      </c>
      <c r="AC63" s="38">
        <v>21.73</v>
      </c>
      <c r="AD63" s="32"/>
      <c r="AE63" s="11"/>
      <c r="AF63" s="11"/>
    </row>
    <row r="64">
      <c r="A64" s="11" t="s">
        <v>171</v>
      </c>
      <c r="B64" s="28">
        <v>45802.06805555556</v>
      </c>
      <c r="C64" s="28">
        <v>45810.728472222225</v>
      </c>
      <c r="D64" s="29" t="s">
        <v>32</v>
      </c>
      <c r="E64" s="11" t="b">
        <v>0</v>
      </c>
      <c r="F64" s="11" t="s">
        <v>33</v>
      </c>
      <c r="G64" s="11" t="s">
        <v>106</v>
      </c>
      <c r="H64" s="11" t="s">
        <v>172</v>
      </c>
      <c r="I64" s="31">
        <v>5.0</v>
      </c>
      <c r="J64" s="32">
        <v>3175.0</v>
      </c>
      <c r="K64" s="41">
        <v>1.0</v>
      </c>
      <c r="L64" s="33">
        <v>1170.31</v>
      </c>
      <c r="M64" s="42">
        <v>0.0</v>
      </c>
      <c r="N64" s="43">
        <v>0.0</v>
      </c>
      <c r="O64" s="43">
        <v>0.0</v>
      </c>
      <c r="P64" s="44">
        <v>1.0</v>
      </c>
      <c r="Q64" s="35">
        <v>3175.0</v>
      </c>
      <c r="R64" s="45">
        <v>3715734.25</v>
      </c>
      <c r="S64" s="37"/>
      <c r="T64" s="37"/>
      <c r="U64" s="37"/>
      <c r="V64" s="37">
        <v>3715734.25</v>
      </c>
      <c r="W64" s="38">
        <v>1170.31</v>
      </c>
      <c r="X64" s="45">
        <v>3715734.25</v>
      </c>
      <c r="Y64" s="37"/>
      <c r="Z64" s="37"/>
      <c r="AA64" s="37"/>
      <c r="AB64" s="37">
        <v>3715734.25</v>
      </c>
      <c r="AC64" s="38">
        <v>1170.31</v>
      </c>
      <c r="AD64" s="32"/>
      <c r="AE64" s="11"/>
      <c r="AF64" s="11"/>
    </row>
    <row r="65">
      <c r="A65" s="11" t="s">
        <v>173</v>
      </c>
      <c r="B65" s="28">
        <v>45802.65625</v>
      </c>
      <c r="C65" s="28">
        <v>45811.416666666664</v>
      </c>
      <c r="D65" s="29" t="s">
        <v>32</v>
      </c>
      <c r="E65" s="11" t="b">
        <v>0</v>
      </c>
      <c r="F65" s="11" t="s">
        <v>148</v>
      </c>
      <c r="G65" s="11" t="s">
        <v>149</v>
      </c>
      <c r="H65" s="11" t="s">
        <v>149</v>
      </c>
      <c r="I65" s="31">
        <v>5.0</v>
      </c>
      <c r="J65" s="32">
        <v>9.0</v>
      </c>
      <c r="K65" s="41">
        <v>1.0</v>
      </c>
      <c r="L65" s="33">
        <v>11211.0</v>
      </c>
      <c r="M65" s="42">
        <v>0.0</v>
      </c>
      <c r="N65" s="43">
        <v>0.0</v>
      </c>
      <c r="O65" s="43">
        <v>0.0</v>
      </c>
      <c r="P65" s="44">
        <v>1.0</v>
      </c>
      <c r="Q65" s="35">
        <v>9.0</v>
      </c>
      <c r="R65" s="45">
        <v>100899.0</v>
      </c>
      <c r="S65" s="37"/>
      <c r="T65" s="37"/>
      <c r="U65" s="37"/>
      <c r="V65" s="37">
        <v>100899.0</v>
      </c>
      <c r="W65" s="38">
        <v>11211.0</v>
      </c>
      <c r="X65" s="45">
        <v>100899.0</v>
      </c>
      <c r="Y65" s="37"/>
      <c r="Z65" s="37"/>
      <c r="AA65" s="37"/>
      <c r="AB65" s="37">
        <v>100899.0</v>
      </c>
      <c r="AC65" s="38">
        <v>11211.0</v>
      </c>
      <c r="AD65" s="32"/>
      <c r="AE65" s="11"/>
      <c r="AF65" s="11"/>
    </row>
    <row r="66">
      <c r="A66" s="11" t="s">
        <v>174</v>
      </c>
      <c r="B66" s="28">
        <v>45833.00555555556</v>
      </c>
      <c r="C66" s="28">
        <v>45835.532638888886</v>
      </c>
      <c r="D66" s="29" t="s">
        <v>32</v>
      </c>
      <c r="E66" s="11" t="b">
        <v>0</v>
      </c>
      <c r="F66" s="11" t="s">
        <v>33</v>
      </c>
      <c r="G66" s="11" t="s">
        <v>175</v>
      </c>
      <c r="H66" s="11" t="s">
        <v>176</v>
      </c>
      <c r="I66" s="31">
        <v>5.0</v>
      </c>
      <c r="J66" s="32">
        <v>283.0</v>
      </c>
      <c r="K66" s="41">
        <v>1.0</v>
      </c>
      <c r="L66" s="33">
        <v>6910.9</v>
      </c>
      <c r="M66" s="42">
        <v>0.0</v>
      </c>
      <c r="N66" s="43">
        <v>0.0</v>
      </c>
      <c r="O66" s="43">
        <v>0.0</v>
      </c>
      <c r="P66" s="44">
        <v>1.0</v>
      </c>
      <c r="Q66" s="35">
        <v>283.0</v>
      </c>
      <c r="R66" s="45">
        <v>1955784.7</v>
      </c>
      <c r="S66" s="37"/>
      <c r="T66" s="37"/>
      <c r="U66" s="37"/>
      <c r="V66" s="37">
        <v>1955784.7</v>
      </c>
      <c r="W66" s="38">
        <v>6910.9</v>
      </c>
      <c r="X66" s="45">
        <v>1955784.7</v>
      </c>
      <c r="Y66" s="37"/>
      <c r="Z66" s="37"/>
      <c r="AA66" s="37"/>
      <c r="AB66" s="37">
        <v>1955784.7</v>
      </c>
      <c r="AC66" s="38">
        <v>6910.9</v>
      </c>
      <c r="AD66" s="32"/>
      <c r="AE66" s="11"/>
      <c r="AF66" s="11"/>
    </row>
    <row r="67">
      <c r="A67" s="11" t="s">
        <v>177</v>
      </c>
      <c r="B67" s="28">
        <v>45856.61300925926</v>
      </c>
      <c r="C67" s="28">
        <v>45908.52361111111</v>
      </c>
      <c r="D67" s="29" t="s">
        <v>32</v>
      </c>
      <c r="E67" s="11" t="b">
        <v>1</v>
      </c>
      <c r="F67" s="11" t="s">
        <v>51</v>
      </c>
      <c r="G67" s="40" t="s">
        <v>178</v>
      </c>
      <c r="H67" s="11" t="s">
        <v>179</v>
      </c>
      <c r="I67" s="31">
        <v>5.0</v>
      </c>
      <c r="J67" s="32">
        <v>5267.0</v>
      </c>
      <c r="K67" s="41">
        <v>1.0</v>
      </c>
      <c r="L67" s="33">
        <v>288.89</v>
      </c>
      <c r="M67" s="42">
        <v>0.0</v>
      </c>
      <c r="N67" s="43">
        <v>0.0</v>
      </c>
      <c r="O67" s="43">
        <v>0.0</v>
      </c>
      <c r="P67" s="44">
        <v>1.0</v>
      </c>
      <c r="Q67" s="35">
        <v>5267.0</v>
      </c>
      <c r="R67" s="45">
        <v>1521583.63</v>
      </c>
      <c r="S67" s="37"/>
      <c r="T67" s="37"/>
      <c r="U67" s="37"/>
      <c r="V67" s="37">
        <v>1521583.63</v>
      </c>
      <c r="W67" s="38">
        <v>288.89</v>
      </c>
      <c r="X67" s="45">
        <v>1521583.63</v>
      </c>
      <c r="Y67" s="37"/>
      <c r="Z67" s="37"/>
      <c r="AA67" s="37"/>
      <c r="AB67" s="37">
        <v>1521583.63</v>
      </c>
      <c r="AC67" s="38">
        <v>288.89</v>
      </c>
      <c r="AD67" s="32"/>
      <c r="AE67" s="11"/>
      <c r="AF67" s="11"/>
    </row>
    <row r="68">
      <c r="A68" s="11" t="s">
        <v>180</v>
      </c>
      <c r="B68" s="28">
        <v>45863.006944444445</v>
      </c>
      <c r="C68" s="28">
        <v>45865.73263888889</v>
      </c>
      <c r="D68" s="29" t="s">
        <v>32</v>
      </c>
      <c r="E68" s="11" t="b">
        <v>0</v>
      </c>
      <c r="F68" s="11" t="s">
        <v>33</v>
      </c>
      <c r="G68" s="11" t="s">
        <v>181</v>
      </c>
      <c r="H68" s="11" t="s">
        <v>182</v>
      </c>
      <c r="I68" s="31">
        <v>5.0</v>
      </c>
      <c r="J68" s="32">
        <v>2117.0</v>
      </c>
      <c r="K68" s="41">
        <v>1.0</v>
      </c>
      <c r="L68" s="33">
        <v>3611.73</v>
      </c>
      <c r="M68" s="42">
        <v>0.0</v>
      </c>
      <c r="N68" s="43">
        <v>0.0</v>
      </c>
      <c r="O68" s="43">
        <v>0.0</v>
      </c>
      <c r="P68" s="44">
        <v>1.0</v>
      </c>
      <c r="Q68" s="35">
        <v>2117.0</v>
      </c>
      <c r="R68" s="45">
        <v>7646032.41</v>
      </c>
      <c r="S68" s="37"/>
      <c r="T68" s="37"/>
      <c r="U68" s="37"/>
      <c r="V68" s="37">
        <v>7646032.41</v>
      </c>
      <c r="W68" s="38">
        <v>3611.73</v>
      </c>
      <c r="X68" s="45">
        <v>7646032.41</v>
      </c>
      <c r="Y68" s="37"/>
      <c r="Z68" s="37"/>
      <c r="AA68" s="37"/>
      <c r="AB68" s="37">
        <v>7646032.41</v>
      </c>
      <c r="AC68" s="38">
        <v>3611.73</v>
      </c>
      <c r="AD68" s="32"/>
      <c r="AE68" s="11"/>
      <c r="AF68" s="11"/>
    </row>
    <row r="69">
      <c r="A69" s="11" t="s">
        <v>183</v>
      </c>
      <c r="B69" s="28">
        <v>45909.60277777778</v>
      </c>
      <c r="C69" s="28">
        <v>45912.44097222222</v>
      </c>
      <c r="D69" s="29" t="s">
        <v>32</v>
      </c>
      <c r="E69" s="11" t="b">
        <v>0</v>
      </c>
      <c r="F69" s="11" t="s">
        <v>33</v>
      </c>
      <c r="G69" s="11" t="s">
        <v>113</v>
      </c>
      <c r="H69" s="11" t="s">
        <v>184</v>
      </c>
      <c r="I69" s="31">
        <v>5.0</v>
      </c>
      <c r="J69" s="32">
        <v>190.0</v>
      </c>
      <c r="K69" s="41">
        <v>1.0</v>
      </c>
      <c r="L69" s="33">
        <v>27318.46</v>
      </c>
      <c r="M69" s="42">
        <v>0.0</v>
      </c>
      <c r="N69" s="43">
        <v>0.0</v>
      </c>
      <c r="O69" s="43">
        <v>0.0</v>
      </c>
      <c r="P69" s="44">
        <v>1.0</v>
      </c>
      <c r="Q69" s="35">
        <v>190.0</v>
      </c>
      <c r="R69" s="45">
        <v>5190507.399999999</v>
      </c>
      <c r="S69" s="37"/>
      <c r="T69" s="37"/>
      <c r="U69" s="37"/>
      <c r="V69" s="37">
        <v>5190507.399999999</v>
      </c>
      <c r="W69" s="38">
        <v>27318.459999999995</v>
      </c>
      <c r="X69" s="45">
        <v>5190507.399999999</v>
      </c>
      <c r="Y69" s="37"/>
      <c r="Z69" s="37"/>
      <c r="AA69" s="37"/>
      <c r="AB69" s="37">
        <v>5190507.399999999</v>
      </c>
      <c r="AC69" s="38">
        <v>27318.459999999995</v>
      </c>
      <c r="AD69" s="32"/>
      <c r="AE69" s="11"/>
      <c r="AF69" s="11"/>
    </row>
    <row r="70">
      <c r="A70" s="11" t="s">
        <v>185</v>
      </c>
      <c r="B70" s="28">
        <v>45925.12152777778</v>
      </c>
      <c r="C70" s="28">
        <v>45927.43263888889</v>
      </c>
      <c r="D70" s="29" t="s">
        <v>32</v>
      </c>
      <c r="E70" s="11" t="b">
        <v>0</v>
      </c>
      <c r="F70" s="11" t="s">
        <v>37</v>
      </c>
      <c r="G70" s="11" t="s">
        <v>118</v>
      </c>
      <c r="H70" s="11" t="s">
        <v>186</v>
      </c>
      <c r="I70" s="31">
        <v>5.0</v>
      </c>
      <c r="J70" s="32">
        <v>3339.0</v>
      </c>
      <c r="K70" s="41">
        <v>1.0</v>
      </c>
      <c r="L70" s="33">
        <v>157.5</v>
      </c>
      <c r="M70" s="42">
        <v>0.0</v>
      </c>
      <c r="N70" s="43">
        <v>0.0</v>
      </c>
      <c r="O70" s="43">
        <v>0.0</v>
      </c>
      <c r="P70" s="44">
        <v>1.0</v>
      </c>
      <c r="Q70" s="35">
        <v>3339.0</v>
      </c>
      <c r="R70" s="45">
        <v>525892.5</v>
      </c>
      <c r="S70" s="37"/>
      <c r="T70" s="37"/>
      <c r="U70" s="37"/>
      <c r="V70" s="37">
        <v>525892.5</v>
      </c>
      <c r="W70" s="38">
        <v>157.5</v>
      </c>
      <c r="X70" s="45">
        <v>525892.5</v>
      </c>
      <c r="Y70" s="37"/>
      <c r="Z70" s="37"/>
      <c r="AA70" s="37"/>
      <c r="AB70" s="37">
        <v>525892.5</v>
      </c>
      <c r="AC70" s="38">
        <v>157.5</v>
      </c>
      <c r="AD70" s="32"/>
      <c r="AE70" s="11"/>
      <c r="AF70" s="11"/>
    </row>
    <row r="71">
      <c r="A71" s="11" t="s">
        <v>187</v>
      </c>
      <c r="B71" s="28">
        <v>45940.01527777778</v>
      </c>
      <c r="C71" s="28">
        <v>45943.47361111111</v>
      </c>
      <c r="D71" s="29" t="s">
        <v>32</v>
      </c>
      <c r="E71" s="11" t="b">
        <v>0</v>
      </c>
      <c r="F71" s="11" t="s">
        <v>33</v>
      </c>
      <c r="G71" s="11" t="s">
        <v>188</v>
      </c>
      <c r="H71" s="11" t="s">
        <v>189</v>
      </c>
      <c r="I71" s="31">
        <v>5.0</v>
      </c>
      <c r="J71" s="32">
        <v>5560.0</v>
      </c>
      <c r="K71" s="41">
        <v>1.0</v>
      </c>
      <c r="L71" s="33">
        <v>179.24</v>
      </c>
      <c r="M71" s="42">
        <v>0.0</v>
      </c>
      <c r="N71" s="43">
        <v>0.0</v>
      </c>
      <c r="O71" s="43">
        <v>0.0</v>
      </c>
      <c r="P71" s="44">
        <v>1.0</v>
      </c>
      <c r="Q71" s="35">
        <v>5560.0</v>
      </c>
      <c r="R71" s="45">
        <v>996574.4</v>
      </c>
      <c r="S71" s="37"/>
      <c r="T71" s="37"/>
      <c r="U71" s="37"/>
      <c r="V71" s="37">
        <v>996574.4</v>
      </c>
      <c r="W71" s="38">
        <v>179.24</v>
      </c>
      <c r="X71" s="45">
        <v>996574.4</v>
      </c>
      <c r="Y71" s="37"/>
      <c r="Z71" s="37"/>
      <c r="AA71" s="37"/>
      <c r="AB71" s="37">
        <v>996574.4</v>
      </c>
      <c r="AC71" s="38">
        <v>179.24</v>
      </c>
      <c r="AD71" s="32"/>
      <c r="AE71" s="11"/>
      <c r="AF71" s="11"/>
    </row>
    <row r="72">
      <c r="A72" s="11" t="s">
        <v>190</v>
      </c>
      <c r="B72" s="28">
        <v>45940.01527777778</v>
      </c>
      <c r="C72" s="28">
        <v>45943.48333333333</v>
      </c>
      <c r="D72" s="29" t="s">
        <v>32</v>
      </c>
      <c r="E72" s="11" t="b">
        <v>0</v>
      </c>
      <c r="F72" s="11" t="s">
        <v>33</v>
      </c>
      <c r="G72" s="11" t="s">
        <v>191</v>
      </c>
      <c r="H72" s="11" t="s">
        <v>192</v>
      </c>
      <c r="I72" s="31">
        <v>5.0</v>
      </c>
      <c r="J72" s="32">
        <v>1230.0</v>
      </c>
      <c r="K72" s="41">
        <v>1.0</v>
      </c>
      <c r="L72" s="33">
        <v>110.3</v>
      </c>
      <c r="M72" s="42">
        <v>0.0</v>
      </c>
      <c r="N72" s="43">
        <v>0.0</v>
      </c>
      <c r="O72" s="43">
        <v>0.0</v>
      </c>
      <c r="P72" s="44">
        <v>1.0</v>
      </c>
      <c r="Q72" s="35">
        <v>1230.0</v>
      </c>
      <c r="R72" s="45">
        <v>135669.0</v>
      </c>
      <c r="S72" s="37"/>
      <c r="T72" s="37"/>
      <c r="U72" s="37"/>
      <c r="V72" s="37">
        <v>135669.0</v>
      </c>
      <c r="W72" s="38">
        <v>110.3</v>
      </c>
      <c r="X72" s="45">
        <v>135669.0</v>
      </c>
      <c r="Y72" s="37"/>
      <c r="Z72" s="37"/>
      <c r="AA72" s="37"/>
      <c r="AB72" s="37">
        <v>135669.0</v>
      </c>
      <c r="AC72" s="38">
        <v>110.3</v>
      </c>
      <c r="AD72" s="32"/>
      <c r="AE72" s="11"/>
      <c r="AF72" s="11"/>
    </row>
    <row r="73">
      <c r="A73" s="11" t="s">
        <v>193</v>
      </c>
      <c r="B73" s="28">
        <v>45940.73888888889</v>
      </c>
      <c r="C73" s="28">
        <v>45943.47361111111</v>
      </c>
      <c r="D73" s="29" t="s">
        <v>32</v>
      </c>
      <c r="E73" s="11" t="b">
        <v>0</v>
      </c>
      <c r="F73" s="11" t="s">
        <v>37</v>
      </c>
      <c r="G73" s="11" t="s">
        <v>194</v>
      </c>
      <c r="H73" s="11" t="s">
        <v>195</v>
      </c>
      <c r="I73" s="31">
        <v>5.0</v>
      </c>
      <c r="J73" s="32">
        <v>1000.0</v>
      </c>
      <c r="K73" s="41">
        <v>1.0</v>
      </c>
      <c r="L73" s="33">
        <v>15.59</v>
      </c>
      <c r="M73" s="42">
        <v>0.0</v>
      </c>
      <c r="N73" s="43">
        <v>0.0</v>
      </c>
      <c r="O73" s="43">
        <v>0.0</v>
      </c>
      <c r="P73" s="44">
        <v>1.0</v>
      </c>
      <c r="Q73" s="35">
        <v>1000.0</v>
      </c>
      <c r="R73" s="45">
        <v>15590.0</v>
      </c>
      <c r="S73" s="37"/>
      <c r="T73" s="37"/>
      <c r="U73" s="37"/>
      <c r="V73" s="37">
        <v>15590.0</v>
      </c>
      <c r="W73" s="38">
        <v>15.59</v>
      </c>
      <c r="X73" s="45">
        <v>15590.0</v>
      </c>
      <c r="Y73" s="37"/>
      <c r="Z73" s="37"/>
      <c r="AA73" s="37"/>
      <c r="AB73" s="37">
        <v>15590.0</v>
      </c>
      <c r="AC73" s="38">
        <v>15.59</v>
      </c>
      <c r="AD73" s="32"/>
      <c r="AE73" s="11"/>
      <c r="AF73" s="11"/>
    </row>
    <row r="74">
      <c r="A74" s="11" t="s">
        <v>196</v>
      </c>
      <c r="B74" s="28">
        <v>45940.73888888889</v>
      </c>
      <c r="C74" s="28">
        <v>45943.47361111111</v>
      </c>
      <c r="D74" s="29" t="s">
        <v>32</v>
      </c>
      <c r="E74" s="11" t="b">
        <v>0</v>
      </c>
      <c r="F74" s="11" t="s">
        <v>37</v>
      </c>
      <c r="G74" s="11" t="s">
        <v>194</v>
      </c>
      <c r="H74" s="11" t="s">
        <v>195</v>
      </c>
      <c r="I74" s="31">
        <v>5.0</v>
      </c>
      <c r="J74" s="32">
        <v>5608.0</v>
      </c>
      <c r="K74" s="41">
        <v>1.0</v>
      </c>
      <c r="L74" s="33">
        <v>15.59</v>
      </c>
      <c r="M74" s="42">
        <v>0.0</v>
      </c>
      <c r="N74" s="43">
        <v>0.0</v>
      </c>
      <c r="O74" s="43">
        <v>0.0</v>
      </c>
      <c r="P74" s="44">
        <v>1.0</v>
      </c>
      <c r="Q74" s="35">
        <v>5608.0</v>
      </c>
      <c r="R74" s="45">
        <v>87428.72</v>
      </c>
      <c r="S74" s="37"/>
      <c r="T74" s="37"/>
      <c r="U74" s="37"/>
      <c r="V74" s="37">
        <v>87428.72</v>
      </c>
      <c r="W74" s="38">
        <v>15.59</v>
      </c>
      <c r="X74" s="45">
        <v>87428.72</v>
      </c>
      <c r="Y74" s="37"/>
      <c r="Z74" s="37"/>
      <c r="AA74" s="37"/>
      <c r="AB74" s="37">
        <v>87428.72</v>
      </c>
      <c r="AC74" s="38">
        <v>15.59</v>
      </c>
      <c r="AD74" s="32"/>
      <c r="AE74" s="11"/>
      <c r="AF74" s="11"/>
    </row>
    <row r="75">
      <c r="A75" s="11" t="s">
        <v>197</v>
      </c>
      <c r="B75" s="28">
        <v>45940.73888888889</v>
      </c>
      <c r="C75" s="28">
        <v>45943.47361111111</v>
      </c>
      <c r="D75" s="29" t="s">
        <v>32</v>
      </c>
      <c r="E75" s="11" t="b">
        <v>0</v>
      </c>
      <c r="F75" s="11" t="s">
        <v>37</v>
      </c>
      <c r="G75" s="11" t="s">
        <v>194</v>
      </c>
      <c r="H75" s="11" t="s">
        <v>195</v>
      </c>
      <c r="I75" s="31">
        <v>5.0</v>
      </c>
      <c r="J75" s="32">
        <v>7918.0</v>
      </c>
      <c r="K75" s="41">
        <v>1.0</v>
      </c>
      <c r="L75" s="33">
        <v>15.59</v>
      </c>
      <c r="M75" s="42">
        <v>0.0</v>
      </c>
      <c r="N75" s="43">
        <v>0.0</v>
      </c>
      <c r="O75" s="43">
        <v>0.0</v>
      </c>
      <c r="P75" s="44">
        <v>1.0</v>
      </c>
      <c r="Q75" s="35">
        <v>7918.0</v>
      </c>
      <c r="R75" s="45">
        <v>123441.62</v>
      </c>
      <c r="S75" s="37"/>
      <c r="T75" s="37"/>
      <c r="U75" s="37"/>
      <c r="V75" s="37">
        <v>123441.62</v>
      </c>
      <c r="W75" s="38">
        <v>15.59</v>
      </c>
      <c r="X75" s="45">
        <v>123441.62</v>
      </c>
      <c r="Y75" s="37"/>
      <c r="Z75" s="37"/>
      <c r="AA75" s="37"/>
      <c r="AB75" s="37">
        <v>123441.62</v>
      </c>
      <c r="AC75" s="38">
        <v>15.59</v>
      </c>
      <c r="AD75" s="32"/>
      <c r="AE75" s="11"/>
      <c r="AF75" s="11"/>
    </row>
    <row r="76">
      <c r="A76" s="11" t="s">
        <v>198</v>
      </c>
      <c r="B76" s="28">
        <v>45940.73888888889</v>
      </c>
      <c r="C76" s="28">
        <v>45943.47361111111</v>
      </c>
      <c r="D76" s="29" t="s">
        <v>32</v>
      </c>
      <c r="E76" s="11" t="b">
        <v>0</v>
      </c>
      <c r="F76" s="11" t="s">
        <v>37</v>
      </c>
      <c r="G76" s="11" t="s">
        <v>194</v>
      </c>
      <c r="H76" s="11" t="s">
        <v>195</v>
      </c>
      <c r="I76" s="31">
        <v>5.0</v>
      </c>
      <c r="J76" s="32">
        <v>3975.0</v>
      </c>
      <c r="K76" s="41">
        <v>1.0</v>
      </c>
      <c r="L76" s="33">
        <v>15.59</v>
      </c>
      <c r="M76" s="42">
        <v>0.0</v>
      </c>
      <c r="N76" s="43">
        <v>0.0</v>
      </c>
      <c r="O76" s="43">
        <v>0.0</v>
      </c>
      <c r="P76" s="44">
        <v>1.0</v>
      </c>
      <c r="Q76" s="35">
        <v>3975.0</v>
      </c>
      <c r="R76" s="45">
        <v>61970.25</v>
      </c>
      <c r="S76" s="37"/>
      <c r="T76" s="37"/>
      <c r="U76" s="37"/>
      <c r="V76" s="37">
        <v>61970.25</v>
      </c>
      <c r="W76" s="38">
        <v>15.59</v>
      </c>
      <c r="X76" s="45">
        <v>61970.25</v>
      </c>
      <c r="Y76" s="37"/>
      <c r="Z76" s="37"/>
      <c r="AA76" s="37"/>
      <c r="AB76" s="37">
        <v>61970.25</v>
      </c>
      <c r="AC76" s="38">
        <v>15.59</v>
      </c>
      <c r="AD76" s="32"/>
      <c r="AE76" s="11"/>
      <c r="AF76" s="11"/>
    </row>
    <row r="77">
      <c r="A77" s="11" t="s">
        <v>199</v>
      </c>
      <c r="B77" s="28">
        <v>45940.73888888889</v>
      </c>
      <c r="C77" s="28">
        <v>45943.47361111111</v>
      </c>
      <c r="D77" s="29" t="s">
        <v>32</v>
      </c>
      <c r="E77" s="11" t="b">
        <v>0</v>
      </c>
      <c r="F77" s="11" t="s">
        <v>37</v>
      </c>
      <c r="G77" s="11" t="s">
        <v>194</v>
      </c>
      <c r="H77" s="11" t="s">
        <v>195</v>
      </c>
      <c r="I77" s="31">
        <v>5.0</v>
      </c>
      <c r="J77" s="32">
        <v>4970.0</v>
      </c>
      <c r="K77" s="41">
        <v>1.0</v>
      </c>
      <c r="L77" s="33">
        <v>15.59</v>
      </c>
      <c r="M77" s="42">
        <v>0.0</v>
      </c>
      <c r="N77" s="43">
        <v>0.0</v>
      </c>
      <c r="O77" s="43">
        <v>0.0</v>
      </c>
      <c r="P77" s="44">
        <v>1.0</v>
      </c>
      <c r="Q77" s="35">
        <v>4970.0</v>
      </c>
      <c r="R77" s="45">
        <v>77482.3</v>
      </c>
      <c r="S77" s="37"/>
      <c r="T77" s="37"/>
      <c r="U77" s="37"/>
      <c r="V77" s="37">
        <v>77482.3</v>
      </c>
      <c r="W77" s="38">
        <v>15.59</v>
      </c>
      <c r="X77" s="45">
        <v>77482.3</v>
      </c>
      <c r="Y77" s="37"/>
      <c r="Z77" s="37"/>
      <c r="AA77" s="37"/>
      <c r="AB77" s="37">
        <v>77482.3</v>
      </c>
      <c r="AC77" s="38">
        <v>15.59</v>
      </c>
      <c r="AD77" s="32"/>
      <c r="AE77" s="11"/>
      <c r="AF77" s="11"/>
    </row>
    <row r="78">
      <c r="A78" s="11" t="s">
        <v>200</v>
      </c>
      <c r="B78" s="28">
        <v>45940.73888888889</v>
      </c>
      <c r="C78" s="28">
        <v>45943.47361111111</v>
      </c>
      <c r="D78" s="29" t="s">
        <v>32</v>
      </c>
      <c r="E78" s="11" t="b">
        <v>0</v>
      </c>
      <c r="F78" s="11" t="s">
        <v>37</v>
      </c>
      <c r="G78" s="11" t="s">
        <v>194</v>
      </c>
      <c r="H78" s="11" t="s">
        <v>195</v>
      </c>
      <c r="I78" s="31">
        <v>5.0</v>
      </c>
      <c r="J78" s="32">
        <v>1890.0</v>
      </c>
      <c r="K78" s="41">
        <v>1.0</v>
      </c>
      <c r="L78" s="33">
        <v>15.59</v>
      </c>
      <c r="M78" s="42">
        <v>0.0</v>
      </c>
      <c r="N78" s="43">
        <v>0.0</v>
      </c>
      <c r="O78" s="43">
        <v>0.0</v>
      </c>
      <c r="P78" s="44">
        <v>1.0</v>
      </c>
      <c r="Q78" s="35">
        <v>1890.0</v>
      </c>
      <c r="R78" s="45">
        <v>29465.1</v>
      </c>
      <c r="S78" s="37"/>
      <c r="T78" s="37"/>
      <c r="U78" s="37"/>
      <c r="V78" s="37">
        <v>29465.1</v>
      </c>
      <c r="W78" s="38">
        <v>15.59</v>
      </c>
      <c r="X78" s="45">
        <v>29465.1</v>
      </c>
      <c r="Y78" s="37"/>
      <c r="Z78" s="37"/>
      <c r="AA78" s="37"/>
      <c r="AB78" s="37">
        <v>29465.1</v>
      </c>
      <c r="AC78" s="38">
        <v>15.59</v>
      </c>
      <c r="AD78" s="32"/>
      <c r="AE78" s="11"/>
      <c r="AF78" s="11"/>
    </row>
    <row r="79">
      <c r="A79" s="11" t="s">
        <v>201</v>
      </c>
      <c r="B79" s="28">
        <v>45940.74930555555</v>
      </c>
      <c r="C79" s="28">
        <v>45942.525</v>
      </c>
      <c r="D79" s="29" t="s">
        <v>32</v>
      </c>
      <c r="E79" s="11" t="b">
        <v>0</v>
      </c>
      <c r="F79" s="11" t="s">
        <v>33</v>
      </c>
      <c r="G79" s="11" t="s">
        <v>202</v>
      </c>
      <c r="H79" s="11" t="s">
        <v>203</v>
      </c>
      <c r="I79" s="31">
        <v>5.0</v>
      </c>
      <c r="J79" s="32">
        <v>172.0</v>
      </c>
      <c r="K79" s="41">
        <v>1.0</v>
      </c>
      <c r="L79" s="33">
        <v>8384.98</v>
      </c>
      <c r="M79" s="42">
        <v>0.0</v>
      </c>
      <c r="N79" s="43">
        <v>0.0</v>
      </c>
      <c r="O79" s="43">
        <v>0.0</v>
      </c>
      <c r="P79" s="44">
        <v>1.0</v>
      </c>
      <c r="Q79" s="35">
        <v>172.0</v>
      </c>
      <c r="R79" s="45">
        <v>1442216.5599999998</v>
      </c>
      <c r="S79" s="37"/>
      <c r="T79" s="37"/>
      <c r="U79" s="37"/>
      <c r="V79" s="37">
        <v>1442216.5599999998</v>
      </c>
      <c r="W79" s="38">
        <v>8384.98</v>
      </c>
      <c r="X79" s="45">
        <v>1442216.5599999998</v>
      </c>
      <c r="Y79" s="37"/>
      <c r="Z79" s="37"/>
      <c r="AA79" s="37"/>
      <c r="AB79" s="37">
        <v>1442216.5599999998</v>
      </c>
      <c r="AC79" s="38">
        <v>8384.98</v>
      </c>
      <c r="AD79" s="32"/>
      <c r="AE79" s="11"/>
      <c r="AF79" s="11"/>
    </row>
    <row r="80">
      <c r="A80" s="11" t="s">
        <v>204</v>
      </c>
      <c r="B80" s="28">
        <v>45940.76736111111</v>
      </c>
      <c r="C80" s="28">
        <v>45945.45625</v>
      </c>
      <c r="D80" s="29" t="s">
        <v>32</v>
      </c>
      <c r="E80" s="11" t="b">
        <v>0</v>
      </c>
      <c r="F80" s="11" t="s">
        <v>37</v>
      </c>
      <c r="G80" s="11" t="s">
        <v>205</v>
      </c>
      <c r="H80" s="11" t="s">
        <v>206</v>
      </c>
      <c r="I80" s="31">
        <v>5.0</v>
      </c>
      <c r="J80" s="32">
        <v>1215.0</v>
      </c>
      <c r="K80" s="41">
        <v>1.0</v>
      </c>
      <c r="L80" s="33">
        <v>730.0</v>
      </c>
      <c r="M80" s="42">
        <v>0.0</v>
      </c>
      <c r="N80" s="43">
        <v>0.0</v>
      </c>
      <c r="O80" s="43">
        <v>0.0</v>
      </c>
      <c r="P80" s="44">
        <v>1.0</v>
      </c>
      <c r="Q80" s="35">
        <v>1215.0</v>
      </c>
      <c r="R80" s="45">
        <v>886950.0</v>
      </c>
      <c r="S80" s="37"/>
      <c r="T80" s="37"/>
      <c r="U80" s="37"/>
      <c r="V80" s="37">
        <v>886950.0</v>
      </c>
      <c r="W80" s="38">
        <v>730.0</v>
      </c>
      <c r="X80" s="45">
        <v>886950.0</v>
      </c>
      <c r="Y80" s="37"/>
      <c r="Z80" s="37"/>
      <c r="AA80" s="37"/>
      <c r="AB80" s="37">
        <v>886950.0</v>
      </c>
      <c r="AC80" s="38">
        <v>730.0</v>
      </c>
      <c r="AD80" s="32"/>
      <c r="AE80" s="11"/>
      <c r="AF80" s="11"/>
    </row>
    <row r="81">
      <c r="A81" s="11" t="s">
        <v>207</v>
      </c>
      <c r="B81" s="28">
        <v>45955.01597222222</v>
      </c>
      <c r="C81" s="28">
        <v>45957.69097222222</v>
      </c>
      <c r="D81" s="29" t="s">
        <v>32</v>
      </c>
      <c r="E81" s="11" t="b">
        <v>0</v>
      </c>
      <c r="F81" s="11" t="s">
        <v>33</v>
      </c>
      <c r="G81" s="11" t="s">
        <v>202</v>
      </c>
      <c r="H81" s="11" t="s">
        <v>208</v>
      </c>
      <c r="I81" s="31">
        <v>5.0</v>
      </c>
      <c r="J81" s="32">
        <v>138.0</v>
      </c>
      <c r="K81" s="41">
        <v>1.0</v>
      </c>
      <c r="L81" s="33">
        <v>8461.03</v>
      </c>
      <c r="M81" s="42">
        <v>0.0</v>
      </c>
      <c r="N81" s="43">
        <v>0.0</v>
      </c>
      <c r="O81" s="43">
        <v>0.0</v>
      </c>
      <c r="P81" s="44">
        <v>1.0</v>
      </c>
      <c r="Q81" s="35">
        <v>138.0</v>
      </c>
      <c r="R81" s="45">
        <v>1167622.1400000001</v>
      </c>
      <c r="S81" s="37"/>
      <c r="T81" s="37"/>
      <c r="U81" s="37"/>
      <c r="V81" s="37">
        <v>1167622.1400000001</v>
      </c>
      <c r="W81" s="38">
        <v>8461.03</v>
      </c>
      <c r="X81" s="45">
        <v>1167622.1400000001</v>
      </c>
      <c r="Y81" s="37"/>
      <c r="Z81" s="37"/>
      <c r="AA81" s="37"/>
      <c r="AB81" s="37">
        <v>1167622.1400000001</v>
      </c>
      <c r="AC81" s="38">
        <v>8461.03</v>
      </c>
      <c r="AD81" s="32"/>
      <c r="AE81" s="11"/>
      <c r="AF81" s="11"/>
    </row>
    <row r="82">
      <c r="A82" s="11" t="s">
        <v>209</v>
      </c>
      <c r="B82" s="28">
        <v>45955.01597222222</v>
      </c>
      <c r="C82" s="28">
        <v>45957.41875</v>
      </c>
      <c r="D82" s="29" t="s">
        <v>32</v>
      </c>
      <c r="E82" s="11" t="b">
        <v>0</v>
      </c>
      <c r="F82" s="11" t="s">
        <v>33</v>
      </c>
      <c r="G82" s="11" t="s">
        <v>118</v>
      </c>
      <c r="H82" s="11" t="s">
        <v>210</v>
      </c>
      <c r="I82" s="31">
        <v>5.0</v>
      </c>
      <c r="J82" s="32">
        <v>2709.0</v>
      </c>
      <c r="K82" s="41">
        <v>1.0</v>
      </c>
      <c r="L82" s="33">
        <v>552.99</v>
      </c>
      <c r="M82" s="42">
        <v>0.0</v>
      </c>
      <c r="N82" s="43">
        <v>0.0</v>
      </c>
      <c r="O82" s="43">
        <v>0.0</v>
      </c>
      <c r="P82" s="44">
        <v>1.0</v>
      </c>
      <c r="Q82" s="35">
        <v>2709.0</v>
      </c>
      <c r="R82" s="45">
        <v>1498049.91</v>
      </c>
      <c r="S82" s="37"/>
      <c r="T82" s="37"/>
      <c r="U82" s="37"/>
      <c r="V82" s="37">
        <v>1498049.91</v>
      </c>
      <c r="W82" s="38">
        <v>552.99</v>
      </c>
      <c r="X82" s="45">
        <v>1498049.91</v>
      </c>
      <c r="Y82" s="37"/>
      <c r="Z82" s="37"/>
      <c r="AA82" s="37"/>
      <c r="AB82" s="37">
        <v>1498049.91</v>
      </c>
      <c r="AC82" s="38">
        <v>552.99</v>
      </c>
      <c r="AD82" s="32"/>
      <c r="AE82" s="11"/>
      <c r="AF82" s="11"/>
    </row>
    <row r="83">
      <c r="A83" s="11" t="s">
        <v>211</v>
      </c>
      <c r="B83" s="28">
        <v>45955.03194444445</v>
      </c>
      <c r="C83" s="28">
        <v>45958.885416666664</v>
      </c>
      <c r="D83" s="29" t="s">
        <v>32</v>
      </c>
      <c r="E83" s="11" t="b">
        <v>0</v>
      </c>
      <c r="F83" s="11" t="s">
        <v>33</v>
      </c>
      <c r="G83" s="11" t="s">
        <v>191</v>
      </c>
      <c r="H83" s="11" t="s">
        <v>212</v>
      </c>
      <c r="I83" s="31">
        <v>5.0</v>
      </c>
      <c r="J83" s="32">
        <v>2260.0</v>
      </c>
      <c r="K83" s="41">
        <v>1.0</v>
      </c>
      <c r="L83" s="33">
        <v>106.34</v>
      </c>
      <c r="M83" s="42">
        <v>0.0</v>
      </c>
      <c r="N83" s="43">
        <v>0.0</v>
      </c>
      <c r="O83" s="43">
        <v>0.0</v>
      </c>
      <c r="P83" s="44">
        <v>1.0</v>
      </c>
      <c r="Q83" s="35">
        <v>2260.0</v>
      </c>
      <c r="R83" s="45">
        <v>240328.4</v>
      </c>
      <c r="S83" s="37"/>
      <c r="T83" s="37"/>
      <c r="U83" s="37"/>
      <c r="V83" s="37">
        <v>240328.4</v>
      </c>
      <c r="W83" s="38">
        <v>106.34</v>
      </c>
      <c r="X83" s="45">
        <v>240328.4</v>
      </c>
      <c r="Y83" s="37"/>
      <c r="Z83" s="37"/>
      <c r="AA83" s="37"/>
      <c r="AB83" s="37">
        <v>240328.4</v>
      </c>
      <c r="AC83" s="38">
        <v>106.34</v>
      </c>
      <c r="AD83" s="32"/>
      <c r="AE83" s="11"/>
      <c r="AF83" s="11"/>
    </row>
    <row r="84">
      <c r="A84" s="11" t="s">
        <v>213</v>
      </c>
      <c r="B84" s="28">
        <v>45955.03194444445</v>
      </c>
      <c r="C84" s="28">
        <v>45958.885416666664</v>
      </c>
      <c r="D84" s="29" t="s">
        <v>32</v>
      </c>
      <c r="E84" s="11" t="b">
        <v>0</v>
      </c>
      <c r="F84" s="11" t="s">
        <v>33</v>
      </c>
      <c r="G84" s="11" t="s">
        <v>191</v>
      </c>
      <c r="H84" s="11" t="s">
        <v>212</v>
      </c>
      <c r="I84" s="31">
        <v>5.0</v>
      </c>
      <c r="J84" s="32">
        <v>3825.0</v>
      </c>
      <c r="K84" s="41">
        <v>1.0</v>
      </c>
      <c r="L84" s="33">
        <v>106.34</v>
      </c>
      <c r="M84" s="42">
        <v>0.0</v>
      </c>
      <c r="N84" s="43">
        <v>0.0</v>
      </c>
      <c r="O84" s="43">
        <v>0.0</v>
      </c>
      <c r="P84" s="44">
        <v>1.0</v>
      </c>
      <c r="Q84" s="35">
        <v>3825.0</v>
      </c>
      <c r="R84" s="45">
        <v>406750.5</v>
      </c>
      <c r="S84" s="37"/>
      <c r="T84" s="37"/>
      <c r="U84" s="37"/>
      <c r="V84" s="37">
        <v>406750.5</v>
      </c>
      <c r="W84" s="38">
        <v>106.34</v>
      </c>
      <c r="X84" s="45">
        <v>406750.5</v>
      </c>
      <c r="Y84" s="37"/>
      <c r="Z84" s="37"/>
      <c r="AA84" s="37"/>
      <c r="AB84" s="37">
        <v>406750.5</v>
      </c>
      <c r="AC84" s="38">
        <v>106.34</v>
      </c>
      <c r="AD84" s="32"/>
      <c r="AE84" s="11"/>
      <c r="AF84" s="11"/>
    </row>
    <row r="85">
      <c r="A85" s="11" t="s">
        <v>214</v>
      </c>
      <c r="B85" s="28">
        <v>45955.03194444445</v>
      </c>
      <c r="C85" s="28">
        <v>45958.885416666664</v>
      </c>
      <c r="D85" s="29" t="s">
        <v>32</v>
      </c>
      <c r="E85" s="11" t="b">
        <v>0</v>
      </c>
      <c r="F85" s="11" t="s">
        <v>33</v>
      </c>
      <c r="G85" s="11" t="s">
        <v>191</v>
      </c>
      <c r="H85" s="11" t="s">
        <v>212</v>
      </c>
      <c r="I85" s="31">
        <v>5.0</v>
      </c>
      <c r="J85" s="32">
        <v>1000.0</v>
      </c>
      <c r="K85" s="41">
        <v>1.0</v>
      </c>
      <c r="L85" s="33">
        <v>106.34</v>
      </c>
      <c r="M85" s="42">
        <v>0.0</v>
      </c>
      <c r="N85" s="43">
        <v>0.0</v>
      </c>
      <c r="O85" s="43">
        <v>0.0</v>
      </c>
      <c r="P85" s="44">
        <v>1.0</v>
      </c>
      <c r="Q85" s="35">
        <v>1000.0</v>
      </c>
      <c r="R85" s="45">
        <v>106340.0</v>
      </c>
      <c r="S85" s="37"/>
      <c r="T85" s="37"/>
      <c r="U85" s="37"/>
      <c r="V85" s="37">
        <v>106340.0</v>
      </c>
      <c r="W85" s="38">
        <v>106.34</v>
      </c>
      <c r="X85" s="45">
        <v>106340.0</v>
      </c>
      <c r="Y85" s="37"/>
      <c r="Z85" s="37"/>
      <c r="AA85" s="37"/>
      <c r="AB85" s="37">
        <v>106340.0</v>
      </c>
      <c r="AC85" s="38">
        <v>106.34</v>
      </c>
      <c r="AD85" s="32"/>
      <c r="AE85" s="11"/>
      <c r="AF85" s="11"/>
    </row>
    <row r="86">
      <c r="A86" s="11" t="s">
        <v>215</v>
      </c>
      <c r="B86" s="28">
        <v>45955.03194444445</v>
      </c>
      <c r="C86" s="28">
        <v>45958.885416666664</v>
      </c>
      <c r="D86" s="29" t="s">
        <v>32</v>
      </c>
      <c r="E86" s="11" t="b">
        <v>0</v>
      </c>
      <c r="F86" s="11" t="s">
        <v>33</v>
      </c>
      <c r="G86" s="11" t="s">
        <v>191</v>
      </c>
      <c r="H86" s="11" t="s">
        <v>212</v>
      </c>
      <c r="I86" s="31">
        <v>5.0</v>
      </c>
      <c r="J86" s="32">
        <v>1185.0</v>
      </c>
      <c r="K86" s="41">
        <v>1.0</v>
      </c>
      <c r="L86" s="33">
        <v>106.34</v>
      </c>
      <c r="M86" s="42">
        <v>0.0</v>
      </c>
      <c r="N86" s="43">
        <v>0.0</v>
      </c>
      <c r="O86" s="43">
        <v>0.0</v>
      </c>
      <c r="P86" s="44">
        <v>1.0</v>
      </c>
      <c r="Q86" s="35">
        <v>1185.0</v>
      </c>
      <c r="R86" s="45">
        <v>126012.90000000001</v>
      </c>
      <c r="S86" s="37"/>
      <c r="T86" s="37"/>
      <c r="U86" s="37"/>
      <c r="V86" s="37">
        <v>126012.90000000001</v>
      </c>
      <c r="W86" s="38">
        <v>106.34</v>
      </c>
      <c r="X86" s="45">
        <v>126012.90000000001</v>
      </c>
      <c r="Y86" s="37"/>
      <c r="Z86" s="37"/>
      <c r="AA86" s="37"/>
      <c r="AB86" s="37">
        <v>126012.90000000001</v>
      </c>
      <c r="AC86" s="38">
        <v>106.34</v>
      </c>
      <c r="AD86" s="32"/>
      <c r="AE86" s="11"/>
      <c r="AF86" s="11"/>
    </row>
    <row r="87">
      <c r="A87" s="11" t="s">
        <v>216</v>
      </c>
      <c r="B87" s="28">
        <v>45955.03194444445</v>
      </c>
      <c r="C87" s="28">
        <v>45958.885416666664</v>
      </c>
      <c r="D87" s="29" t="s">
        <v>32</v>
      </c>
      <c r="E87" s="11" t="b">
        <v>0</v>
      </c>
      <c r="F87" s="11" t="s">
        <v>33</v>
      </c>
      <c r="G87" s="11" t="s">
        <v>191</v>
      </c>
      <c r="H87" s="11" t="s">
        <v>212</v>
      </c>
      <c r="I87" s="31">
        <v>5.0</v>
      </c>
      <c r="J87" s="32">
        <v>2068.0</v>
      </c>
      <c r="K87" s="41">
        <v>1.0</v>
      </c>
      <c r="L87" s="33">
        <v>106.34</v>
      </c>
      <c r="M87" s="42">
        <v>0.0</v>
      </c>
      <c r="N87" s="43">
        <v>0.0</v>
      </c>
      <c r="O87" s="43">
        <v>0.0</v>
      </c>
      <c r="P87" s="44">
        <v>1.0</v>
      </c>
      <c r="Q87" s="35">
        <v>2068.0</v>
      </c>
      <c r="R87" s="45">
        <v>219911.12</v>
      </c>
      <c r="S87" s="37"/>
      <c r="T87" s="37"/>
      <c r="U87" s="37"/>
      <c r="V87" s="37">
        <v>219911.12</v>
      </c>
      <c r="W87" s="38">
        <v>106.34</v>
      </c>
      <c r="X87" s="45">
        <v>219911.12</v>
      </c>
      <c r="Y87" s="37"/>
      <c r="Z87" s="37"/>
      <c r="AA87" s="37"/>
      <c r="AB87" s="37">
        <v>219911.12</v>
      </c>
      <c r="AC87" s="38">
        <v>106.34</v>
      </c>
      <c r="AD87" s="32"/>
      <c r="AE87" s="11"/>
      <c r="AF87" s="11"/>
    </row>
    <row r="88">
      <c r="A88" s="11" t="s">
        <v>217</v>
      </c>
      <c r="B88" s="28">
        <v>45955.03194444445</v>
      </c>
      <c r="C88" s="28">
        <v>45958.885416666664</v>
      </c>
      <c r="D88" s="29" t="s">
        <v>32</v>
      </c>
      <c r="E88" s="11" t="b">
        <v>0</v>
      </c>
      <c r="F88" s="11" t="s">
        <v>33</v>
      </c>
      <c r="G88" s="11" t="s">
        <v>191</v>
      </c>
      <c r="H88" s="11" t="s">
        <v>212</v>
      </c>
      <c r="I88" s="31">
        <v>5.0</v>
      </c>
      <c r="J88" s="32">
        <v>800.0</v>
      </c>
      <c r="K88" s="41">
        <v>1.0</v>
      </c>
      <c r="L88" s="33">
        <v>106.34</v>
      </c>
      <c r="M88" s="42">
        <v>0.0</v>
      </c>
      <c r="N88" s="43">
        <v>0.0</v>
      </c>
      <c r="O88" s="43">
        <v>0.0</v>
      </c>
      <c r="P88" s="44">
        <v>1.0</v>
      </c>
      <c r="Q88" s="35">
        <v>800.0</v>
      </c>
      <c r="R88" s="45">
        <v>85072.0</v>
      </c>
      <c r="S88" s="37"/>
      <c r="T88" s="37"/>
      <c r="U88" s="37"/>
      <c r="V88" s="37">
        <v>85072.0</v>
      </c>
      <c r="W88" s="38">
        <v>106.34</v>
      </c>
      <c r="X88" s="45">
        <v>85072.0</v>
      </c>
      <c r="Y88" s="37"/>
      <c r="Z88" s="37"/>
      <c r="AA88" s="37"/>
      <c r="AB88" s="37">
        <v>85072.0</v>
      </c>
      <c r="AC88" s="38">
        <v>106.34</v>
      </c>
      <c r="AD88" s="32"/>
      <c r="AE88" s="11"/>
      <c r="AF88" s="11"/>
    </row>
    <row r="89">
      <c r="A89" s="11" t="s">
        <v>218</v>
      </c>
      <c r="B89" s="28">
        <v>45955.03680555556</v>
      </c>
      <c r="C89" s="28">
        <v>45956.57430555556</v>
      </c>
      <c r="D89" s="29" t="s">
        <v>32</v>
      </c>
      <c r="E89" s="11" t="b">
        <v>0</v>
      </c>
      <c r="F89" s="11" t="s">
        <v>33</v>
      </c>
      <c r="G89" s="11" t="s">
        <v>219</v>
      </c>
      <c r="H89" s="11" t="s">
        <v>220</v>
      </c>
      <c r="I89" s="31">
        <v>5.0</v>
      </c>
      <c r="J89" s="32">
        <v>29.0</v>
      </c>
      <c r="K89" s="41">
        <v>1.0</v>
      </c>
      <c r="L89" s="33">
        <v>7000.0</v>
      </c>
      <c r="M89" s="42">
        <v>0.0</v>
      </c>
      <c r="N89" s="43">
        <v>0.0</v>
      </c>
      <c r="O89" s="43">
        <v>0.0</v>
      </c>
      <c r="P89" s="44">
        <v>1.0</v>
      </c>
      <c r="Q89" s="35">
        <v>29.0</v>
      </c>
      <c r="R89" s="45">
        <v>203000.0</v>
      </c>
      <c r="S89" s="37"/>
      <c r="T89" s="37"/>
      <c r="U89" s="37"/>
      <c r="V89" s="37">
        <v>203000.0</v>
      </c>
      <c r="W89" s="38">
        <v>7000.0</v>
      </c>
      <c r="X89" s="45">
        <v>203000.0</v>
      </c>
      <c r="Y89" s="37"/>
      <c r="Z89" s="37"/>
      <c r="AA89" s="37"/>
      <c r="AB89" s="37">
        <v>203000.0</v>
      </c>
      <c r="AC89" s="38">
        <v>7000.0</v>
      </c>
      <c r="AD89" s="32"/>
      <c r="AE89" s="11"/>
      <c r="AF89" s="11"/>
    </row>
    <row r="90">
      <c r="A90" s="11" t="s">
        <v>221</v>
      </c>
      <c r="B90" s="28">
        <v>45957.56190972222</v>
      </c>
      <c r="C90" s="28">
        <v>46003.61041666667</v>
      </c>
      <c r="D90" s="29" t="s">
        <v>32</v>
      </c>
      <c r="E90" s="11" t="b">
        <v>1</v>
      </c>
      <c r="F90" s="46" t="s">
        <v>222</v>
      </c>
      <c r="G90" s="47" t="s">
        <v>223</v>
      </c>
      <c r="H90" s="46" t="s">
        <v>224</v>
      </c>
      <c r="I90" s="48">
        <v>5.0</v>
      </c>
      <c r="J90" s="32">
        <v>7305.0</v>
      </c>
      <c r="K90" s="41">
        <v>1.0</v>
      </c>
      <c r="L90" s="49">
        <v>675.92</v>
      </c>
      <c r="M90" s="42">
        <v>0.0</v>
      </c>
      <c r="N90" s="43">
        <v>0.0</v>
      </c>
      <c r="O90" s="43">
        <v>0.0</v>
      </c>
      <c r="P90" s="44">
        <v>1.0</v>
      </c>
      <c r="Q90" s="35">
        <v>7305.0</v>
      </c>
      <c r="R90" s="45">
        <v>4937595.6</v>
      </c>
      <c r="S90" s="37"/>
      <c r="T90" s="37"/>
      <c r="U90" s="37"/>
      <c r="V90" s="37">
        <v>4937595.6</v>
      </c>
      <c r="W90" s="38">
        <v>675.92</v>
      </c>
      <c r="X90" s="45">
        <v>4937595.6</v>
      </c>
      <c r="Y90" s="37"/>
      <c r="Z90" s="37"/>
      <c r="AA90" s="37"/>
      <c r="AB90" s="37">
        <v>4937595.6</v>
      </c>
      <c r="AC90" s="38">
        <v>675.92</v>
      </c>
      <c r="AD90" s="32"/>
      <c r="AE90" s="11"/>
      <c r="AF90" s="11"/>
    </row>
    <row r="91">
      <c r="A91" s="11" t="s">
        <v>225</v>
      </c>
      <c r="B91" s="28">
        <v>45957.56190972222</v>
      </c>
      <c r="C91" s="28">
        <v>46005.42847222222</v>
      </c>
      <c r="D91" s="29" t="s">
        <v>32</v>
      </c>
      <c r="E91" s="11" t="b">
        <v>1</v>
      </c>
      <c r="F91" s="11" t="s">
        <v>51</v>
      </c>
      <c r="G91" s="40" t="s">
        <v>226</v>
      </c>
      <c r="H91" s="11" t="s">
        <v>227</v>
      </c>
      <c r="I91" s="31">
        <v>5.0</v>
      </c>
      <c r="J91" s="32">
        <v>4084.0</v>
      </c>
      <c r="K91" s="41">
        <v>1.0</v>
      </c>
      <c r="L91" s="33">
        <v>639.42</v>
      </c>
      <c r="M91" s="42">
        <v>0.0</v>
      </c>
      <c r="N91" s="43">
        <v>0.0</v>
      </c>
      <c r="O91" s="43">
        <v>0.0</v>
      </c>
      <c r="P91" s="44">
        <v>1.0</v>
      </c>
      <c r="Q91" s="35">
        <v>4084.0</v>
      </c>
      <c r="R91" s="45">
        <v>2611391.28</v>
      </c>
      <c r="S91" s="37"/>
      <c r="T91" s="37"/>
      <c r="U91" s="37"/>
      <c r="V91" s="37">
        <v>2611391.28</v>
      </c>
      <c r="W91" s="38">
        <v>639.42</v>
      </c>
      <c r="X91" s="45">
        <v>2611391.28</v>
      </c>
      <c r="Y91" s="37"/>
      <c r="Z91" s="37"/>
      <c r="AA91" s="37"/>
      <c r="AB91" s="37">
        <v>2611391.28</v>
      </c>
      <c r="AC91" s="38">
        <v>639.42</v>
      </c>
      <c r="AD91" s="32"/>
      <c r="AE91" s="11"/>
      <c r="AF91" s="11"/>
    </row>
    <row r="92">
      <c r="A92" s="11" t="s">
        <v>228</v>
      </c>
      <c r="B92" s="28">
        <v>45957.56190972222</v>
      </c>
      <c r="C92" s="28">
        <v>46003.61041666667</v>
      </c>
      <c r="D92" s="29" t="s">
        <v>32</v>
      </c>
      <c r="E92" s="11" t="b">
        <v>1</v>
      </c>
      <c r="F92" s="11" t="s">
        <v>51</v>
      </c>
      <c r="G92" s="40" t="s">
        <v>229</v>
      </c>
      <c r="H92" s="11" t="s">
        <v>230</v>
      </c>
      <c r="I92" s="31">
        <v>5.0</v>
      </c>
      <c r="J92" s="32">
        <v>5166.0</v>
      </c>
      <c r="K92" s="41">
        <v>1.0</v>
      </c>
      <c r="L92" s="33">
        <v>727.96</v>
      </c>
      <c r="M92" s="42">
        <v>0.0</v>
      </c>
      <c r="N92" s="43">
        <v>0.0</v>
      </c>
      <c r="O92" s="43">
        <v>0.0</v>
      </c>
      <c r="P92" s="44">
        <v>1.0</v>
      </c>
      <c r="Q92" s="35">
        <v>5166.0</v>
      </c>
      <c r="R92" s="45">
        <v>3760641.3600000003</v>
      </c>
      <c r="S92" s="37"/>
      <c r="T92" s="37"/>
      <c r="U92" s="37"/>
      <c r="V92" s="37">
        <v>3760641.3600000003</v>
      </c>
      <c r="W92" s="38">
        <v>727.96</v>
      </c>
      <c r="X92" s="45">
        <v>3760641.3600000003</v>
      </c>
      <c r="Y92" s="37"/>
      <c r="Z92" s="37"/>
      <c r="AA92" s="37"/>
      <c r="AB92" s="37">
        <v>3760641.3600000003</v>
      </c>
      <c r="AC92" s="38">
        <v>727.96</v>
      </c>
      <c r="AD92" s="32"/>
      <c r="AE92" s="11"/>
      <c r="AF92" s="11"/>
    </row>
    <row r="93">
      <c r="A93" s="11" t="s">
        <v>231</v>
      </c>
      <c r="B93" s="28">
        <v>45957.56190972222</v>
      </c>
      <c r="C93" s="28">
        <v>46007.6625</v>
      </c>
      <c r="D93" s="29" t="s">
        <v>32</v>
      </c>
      <c r="E93" s="11" t="b">
        <v>1</v>
      </c>
      <c r="F93" s="11" t="s">
        <v>51</v>
      </c>
      <c r="G93" s="40" t="s">
        <v>232</v>
      </c>
      <c r="H93" s="11" t="s">
        <v>233</v>
      </c>
      <c r="I93" s="31">
        <v>5.0</v>
      </c>
      <c r="J93" s="32">
        <v>10000.0</v>
      </c>
      <c r="K93" s="41">
        <v>1.0</v>
      </c>
      <c r="L93" s="33">
        <v>779.54</v>
      </c>
      <c r="M93" s="42">
        <v>0.0</v>
      </c>
      <c r="N93" s="43">
        <v>0.0</v>
      </c>
      <c r="O93" s="43">
        <v>0.0</v>
      </c>
      <c r="P93" s="44">
        <v>1.0</v>
      </c>
      <c r="Q93" s="35">
        <v>10000.0</v>
      </c>
      <c r="R93" s="45">
        <v>7795400.0</v>
      </c>
      <c r="S93" s="37"/>
      <c r="T93" s="37"/>
      <c r="U93" s="37"/>
      <c r="V93" s="37">
        <v>7795400.0</v>
      </c>
      <c r="W93" s="38">
        <v>779.54</v>
      </c>
      <c r="X93" s="45">
        <v>7795400.0</v>
      </c>
      <c r="Y93" s="37"/>
      <c r="Z93" s="37"/>
      <c r="AA93" s="37"/>
      <c r="AB93" s="37">
        <v>7795400.0</v>
      </c>
      <c r="AC93" s="38">
        <v>779.54</v>
      </c>
      <c r="AD93" s="32"/>
      <c r="AE93" s="11"/>
      <c r="AF93" s="11"/>
    </row>
    <row r="94">
      <c r="A94" s="11" t="s">
        <v>234</v>
      </c>
      <c r="B94" s="28">
        <v>45969.65069444444</v>
      </c>
      <c r="C94" s="28">
        <v>45974.813888888886</v>
      </c>
      <c r="D94" s="29" t="s">
        <v>32</v>
      </c>
      <c r="E94" s="11" t="b">
        <v>0</v>
      </c>
      <c r="F94" s="11" t="s">
        <v>33</v>
      </c>
      <c r="G94" s="11" t="s">
        <v>235</v>
      </c>
      <c r="H94" s="11" t="s">
        <v>236</v>
      </c>
      <c r="I94" s="31">
        <v>5.0</v>
      </c>
      <c r="J94" s="32">
        <v>466.0</v>
      </c>
      <c r="K94" s="41">
        <v>1.0</v>
      </c>
      <c r="L94" s="33">
        <v>969.33</v>
      </c>
      <c r="M94" s="42">
        <v>0.0</v>
      </c>
      <c r="N94" s="43">
        <v>0.0</v>
      </c>
      <c r="O94" s="43">
        <v>0.0</v>
      </c>
      <c r="P94" s="44">
        <v>1.0</v>
      </c>
      <c r="Q94" s="35">
        <v>466.0</v>
      </c>
      <c r="R94" s="45">
        <v>451707.78</v>
      </c>
      <c r="S94" s="37"/>
      <c r="T94" s="37"/>
      <c r="U94" s="37"/>
      <c r="V94" s="37">
        <v>451707.78</v>
      </c>
      <c r="W94" s="38">
        <v>969.33</v>
      </c>
      <c r="X94" s="45">
        <v>451707.78</v>
      </c>
      <c r="Y94" s="37"/>
      <c r="Z94" s="37"/>
      <c r="AA94" s="37"/>
      <c r="AB94" s="37">
        <v>451707.78</v>
      </c>
      <c r="AC94" s="38">
        <v>969.33</v>
      </c>
      <c r="AD94" s="32"/>
      <c r="AE94" s="11"/>
      <c r="AF94" s="11"/>
    </row>
    <row r="95">
      <c r="A95" s="11" t="s">
        <v>237</v>
      </c>
      <c r="B95" s="28">
        <v>45972.01875</v>
      </c>
      <c r="C95" s="28">
        <v>45980.69236111111</v>
      </c>
      <c r="D95" s="29" t="s">
        <v>32</v>
      </c>
      <c r="E95" s="11" t="b">
        <v>0</v>
      </c>
      <c r="F95" s="11" t="s">
        <v>33</v>
      </c>
      <c r="G95" s="11" t="s">
        <v>106</v>
      </c>
      <c r="H95" s="11" t="s">
        <v>238</v>
      </c>
      <c r="I95" s="31">
        <v>5.0</v>
      </c>
      <c r="J95" s="32">
        <v>2542.0</v>
      </c>
      <c r="K95" s="41">
        <v>1.0</v>
      </c>
      <c r="L95" s="33">
        <v>325.97</v>
      </c>
      <c r="M95" s="42">
        <v>0.0</v>
      </c>
      <c r="N95" s="43">
        <v>0.0</v>
      </c>
      <c r="O95" s="43">
        <v>0.0</v>
      </c>
      <c r="P95" s="44">
        <v>1.0</v>
      </c>
      <c r="Q95" s="35">
        <v>2542.0</v>
      </c>
      <c r="R95" s="45">
        <v>828615.7400000001</v>
      </c>
      <c r="S95" s="37"/>
      <c r="T95" s="37"/>
      <c r="U95" s="37"/>
      <c r="V95" s="37">
        <v>828615.7400000001</v>
      </c>
      <c r="W95" s="38">
        <v>325.97</v>
      </c>
      <c r="X95" s="45">
        <v>828615.7400000001</v>
      </c>
      <c r="Y95" s="37"/>
      <c r="Z95" s="37"/>
      <c r="AA95" s="37"/>
      <c r="AB95" s="37">
        <v>828615.7400000001</v>
      </c>
      <c r="AC95" s="38">
        <v>325.97</v>
      </c>
      <c r="AD95" s="32"/>
      <c r="AE95" s="11"/>
      <c r="AF95" s="11"/>
    </row>
    <row r="96">
      <c r="A96" s="11" t="s">
        <v>239</v>
      </c>
      <c r="B96" s="28">
        <v>45972.10902777778</v>
      </c>
      <c r="C96" s="28">
        <v>45974.68125</v>
      </c>
      <c r="D96" s="29" t="s">
        <v>32</v>
      </c>
      <c r="E96" s="11" t="b">
        <v>0</v>
      </c>
      <c r="F96" s="11" t="s">
        <v>33</v>
      </c>
      <c r="G96" s="11" t="s">
        <v>240</v>
      </c>
      <c r="H96" s="11" t="s">
        <v>241</v>
      </c>
      <c r="I96" s="31">
        <v>5.0</v>
      </c>
      <c r="J96" s="32">
        <v>8.0</v>
      </c>
      <c r="K96" s="41">
        <v>1.0</v>
      </c>
      <c r="L96" s="33">
        <v>24820.0</v>
      </c>
      <c r="M96" s="42">
        <v>0.0</v>
      </c>
      <c r="N96" s="43">
        <v>0.0</v>
      </c>
      <c r="O96" s="43">
        <v>0.0</v>
      </c>
      <c r="P96" s="44">
        <v>1.0</v>
      </c>
      <c r="Q96" s="35">
        <v>8.0</v>
      </c>
      <c r="R96" s="45">
        <v>198560.0</v>
      </c>
      <c r="S96" s="37"/>
      <c r="T96" s="37"/>
      <c r="U96" s="37"/>
      <c r="V96" s="37">
        <v>198560.0</v>
      </c>
      <c r="W96" s="38">
        <v>24820.0</v>
      </c>
      <c r="X96" s="45">
        <v>198560.0</v>
      </c>
      <c r="Y96" s="37"/>
      <c r="Z96" s="37"/>
      <c r="AA96" s="37"/>
      <c r="AB96" s="37">
        <v>198560.0</v>
      </c>
      <c r="AC96" s="38">
        <v>24820.0</v>
      </c>
      <c r="AD96" s="32"/>
      <c r="AE96" s="11"/>
      <c r="AF96" s="11"/>
    </row>
    <row r="97">
      <c r="A97" s="11" t="s">
        <v>242</v>
      </c>
      <c r="B97" s="28">
        <v>45972.15</v>
      </c>
      <c r="C97" s="28">
        <v>45975.597916666666</v>
      </c>
      <c r="D97" s="29" t="s">
        <v>32</v>
      </c>
      <c r="E97" s="11" t="b">
        <v>0</v>
      </c>
      <c r="F97" s="11" t="s">
        <v>33</v>
      </c>
      <c r="G97" s="11" t="s">
        <v>191</v>
      </c>
      <c r="H97" s="11" t="s">
        <v>243</v>
      </c>
      <c r="I97" s="31">
        <v>5.0</v>
      </c>
      <c r="J97" s="32">
        <v>2223.0</v>
      </c>
      <c r="K97" s="41">
        <v>1.0</v>
      </c>
      <c r="L97" s="33">
        <v>106.44</v>
      </c>
      <c r="M97" s="42">
        <v>0.0</v>
      </c>
      <c r="N97" s="43">
        <v>0.0</v>
      </c>
      <c r="O97" s="43">
        <v>0.0</v>
      </c>
      <c r="P97" s="44">
        <v>1.0</v>
      </c>
      <c r="Q97" s="35">
        <v>2223.0</v>
      </c>
      <c r="R97" s="45">
        <v>236616.12</v>
      </c>
      <c r="S97" s="37"/>
      <c r="T97" s="37"/>
      <c r="U97" s="37"/>
      <c r="V97" s="37">
        <v>236616.12</v>
      </c>
      <c r="W97" s="38">
        <v>106.44</v>
      </c>
      <c r="X97" s="45">
        <v>236616.12</v>
      </c>
      <c r="Y97" s="37"/>
      <c r="Z97" s="37"/>
      <c r="AA97" s="37"/>
      <c r="AB97" s="37">
        <v>236616.12</v>
      </c>
      <c r="AC97" s="38">
        <v>106.44</v>
      </c>
      <c r="AD97" s="32"/>
      <c r="AE97" s="11"/>
      <c r="AF97" s="11"/>
    </row>
    <row r="98">
      <c r="A98" s="11" t="s">
        <v>244</v>
      </c>
      <c r="B98" s="28">
        <v>45972.15069444444</v>
      </c>
      <c r="C98" s="28">
        <v>46002.59444444445</v>
      </c>
      <c r="D98" s="29" t="s">
        <v>32</v>
      </c>
      <c r="E98" s="11" t="b">
        <v>0</v>
      </c>
      <c r="F98" s="11" t="s">
        <v>33</v>
      </c>
      <c r="G98" s="11" t="s">
        <v>245</v>
      </c>
      <c r="H98" s="11" t="s">
        <v>246</v>
      </c>
      <c r="I98" s="31">
        <v>5.0</v>
      </c>
      <c r="J98" s="32">
        <v>261.0</v>
      </c>
      <c r="K98" s="41">
        <v>1.0</v>
      </c>
      <c r="L98" s="33">
        <v>37978.26</v>
      </c>
      <c r="M98" s="42">
        <v>0.0</v>
      </c>
      <c r="N98" s="43">
        <v>0.0</v>
      </c>
      <c r="O98" s="43">
        <v>0.0</v>
      </c>
      <c r="P98" s="44">
        <v>1.0</v>
      </c>
      <c r="Q98" s="35">
        <v>261.0</v>
      </c>
      <c r="R98" s="45">
        <v>9912325.860000001</v>
      </c>
      <c r="S98" s="37"/>
      <c r="T98" s="37"/>
      <c r="U98" s="37"/>
      <c r="V98" s="37">
        <v>9912325.860000001</v>
      </c>
      <c r="W98" s="38">
        <v>37978.26</v>
      </c>
      <c r="X98" s="45">
        <v>9912325.860000001</v>
      </c>
      <c r="Y98" s="37"/>
      <c r="Z98" s="37"/>
      <c r="AA98" s="37"/>
      <c r="AB98" s="37">
        <v>9912325.860000001</v>
      </c>
      <c r="AC98" s="38">
        <v>37978.26</v>
      </c>
      <c r="AD98" s="32"/>
      <c r="AE98" s="11"/>
      <c r="AF98" s="11"/>
    </row>
    <row r="99">
      <c r="A99" s="11" t="s">
        <v>247</v>
      </c>
      <c r="B99" s="28">
        <v>45972.15069444444</v>
      </c>
      <c r="C99" s="28">
        <v>46002.59444444445</v>
      </c>
      <c r="D99" s="29" t="s">
        <v>32</v>
      </c>
      <c r="E99" s="11" t="b">
        <v>0</v>
      </c>
      <c r="F99" s="11" t="s">
        <v>33</v>
      </c>
      <c r="G99" s="11" t="s">
        <v>245</v>
      </c>
      <c r="H99" s="11" t="s">
        <v>246</v>
      </c>
      <c r="I99" s="31">
        <v>5.0</v>
      </c>
      <c r="J99" s="32">
        <v>465.0</v>
      </c>
      <c r="K99" s="41">
        <v>1.0</v>
      </c>
      <c r="L99" s="33">
        <v>1714.37</v>
      </c>
      <c r="M99" s="42">
        <v>0.0</v>
      </c>
      <c r="N99" s="43">
        <v>0.0</v>
      </c>
      <c r="O99" s="43">
        <v>0.0</v>
      </c>
      <c r="P99" s="44">
        <v>1.0</v>
      </c>
      <c r="Q99" s="35">
        <v>465.0</v>
      </c>
      <c r="R99" s="45">
        <v>797182.0499999999</v>
      </c>
      <c r="S99" s="37"/>
      <c r="T99" s="37"/>
      <c r="U99" s="37"/>
      <c r="V99" s="37">
        <v>797182.0499999999</v>
      </c>
      <c r="W99" s="38">
        <v>1714.37</v>
      </c>
      <c r="X99" s="45">
        <v>797182.0499999999</v>
      </c>
      <c r="Y99" s="37"/>
      <c r="Z99" s="37"/>
      <c r="AA99" s="37"/>
      <c r="AB99" s="37">
        <v>797182.0499999999</v>
      </c>
      <c r="AC99" s="38">
        <v>1714.37</v>
      </c>
      <c r="AD99" s="32"/>
      <c r="AE99" s="11"/>
      <c r="AF99" s="11"/>
    </row>
    <row r="100">
      <c r="A100" s="11" t="s">
        <v>248</v>
      </c>
      <c r="B100" s="28">
        <v>45972.166666666664</v>
      </c>
      <c r="C100" s="28">
        <v>45974.71875</v>
      </c>
      <c r="D100" s="29" t="s">
        <v>32</v>
      </c>
      <c r="E100" s="11" t="b">
        <v>0</v>
      </c>
      <c r="F100" s="11" t="s">
        <v>33</v>
      </c>
      <c r="G100" s="11" t="s">
        <v>249</v>
      </c>
      <c r="H100" s="11" t="s">
        <v>250</v>
      </c>
      <c r="I100" s="31">
        <v>5.0</v>
      </c>
      <c r="J100" s="32">
        <v>70.0</v>
      </c>
      <c r="K100" s="41">
        <v>1.0</v>
      </c>
      <c r="L100" s="33">
        <v>10459.32</v>
      </c>
      <c r="M100" s="42">
        <v>0.0</v>
      </c>
      <c r="N100" s="43">
        <v>0.0</v>
      </c>
      <c r="O100" s="43">
        <v>0.0</v>
      </c>
      <c r="P100" s="44">
        <v>1.0</v>
      </c>
      <c r="Q100" s="35">
        <v>70.0</v>
      </c>
      <c r="R100" s="45">
        <v>732152.4</v>
      </c>
      <c r="S100" s="37"/>
      <c r="T100" s="37"/>
      <c r="U100" s="37"/>
      <c r="V100" s="37">
        <v>732152.4</v>
      </c>
      <c r="W100" s="38">
        <v>10459.32</v>
      </c>
      <c r="X100" s="45">
        <v>732152.4</v>
      </c>
      <c r="Y100" s="37"/>
      <c r="Z100" s="37"/>
      <c r="AA100" s="37"/>
      <c r="AB100" s="37">
        <v>732152.4</v>
      </c>
      <c r="AC100" s="38">
        <v>10459.32</v>
      </c>
      <c r="AD100" s="32"/>
      <c r="AE100" s="11"/>
      <c r="AF100" s="11"/>
    </row>
    <row r="101">
      <c r="A101" s="11" t="s">
        <v>251</v>
      </c>
      <c r="B101" s="28">
        <v>45972.63958333333</v>
      </c>
      <c r="C101" s="28">
        <v>45974.467361111114</v>
      </c>
      <c r="D101" s="29" t="s">
        <v>32</v>
      </c>
      <c r="E101" s="11" t="b">
        <v>0</v>
      </c>
      <c r="F101" s="11" t="s">
        <v>33</v>
      </c>
      <c r="G101" s="11" t="s">
        <v>240</v>
      </c>
      <c r="H101" s="11" t="s">
        <v>252</v>
      </c>
      <c r="I101" s="31">
        <v>5.0</v>
      </c>
      <c r="J101" s="32">
        <v>140.0</v>
      </c>
      <c r="K101" s="41">
        <v>1.0</v>
      </c>
      <c r="L101" s="33">
        <v>13937.05</v>
      </c>
      <c r="M101" s="42">
        <v>0.0</v>
      </c>
      <c r="N101" s="43">
        <v>0.0</v>
      </c>
      <c r="O101" s="43">
        <v>0.0</v>
      </c>
      <c r="P101" s="44">
        <v>1.0</v>
      </c>
      <c r="Q101" s="35">
        <v>140.0</v>
      </c>
      <c r="R101" s="45">
        <v>1951187.0</v>
      </c>
      <c r="S101" s="37"/>
      <c r="T101" s="37"/>
      <c r="U101" s="37"/>
      <c r="V101" s="37">
        <v>1951187.0</v>
      </c>
      <c r="W101" s="38">
        <v>13937.05</v>
      </c>
      <c r="X101" s="45">
        <v>1951187.0</v>
      </c>
      <c r="Y101" s="37"/>
      <c r="Z101" s="37"/>
      <c r="AA101" s="37"/>
      <c r="AB101" s="37">
        <v>1951187.0</v>
      </c>
      <c r="AC101" s="38">
        <v>13937.05</v>
      </c>
      <c r="AD101" s="32"/>
      <c r="AE101" s="11"/>
      <c r="AF101" s="11"/>
    </row>
    <row r="102">
      <c r="A102" s="11" t="s">
        <v>253</v>
      </c>
      <c r="B102" s="28">
        <v>45981.64027777778</v>
      </c>
      <c r="C102" s="28">
        <v>45984.53333333333</v>
      </c>
      <c r="D102" s="29" t="s">
        <v>32</v>
      </c>
      <c r="E102" s="11" t="b">
        <v>0</v>
      </c>
      <c r="F102" s="11" t="s">
        <v>33</v>
      </c>
      <c r="G102" s="11" t="s">
        <v>254</v>
      </c>
      <c r="H102" s="11" t="s">
        <v>255</v>
      </c>
      <c r="I102" s="31">
        <v>5.0</v>
      </c>
      <c r="J102" s="32">
        <v>1016.0</v>
      </c>
      <c r="K102" s="41">
        <v>1.0</v>
      </c>
      <c r="L102" s="33">
        <v>64.35</v>
      </c>
      <c r="M102" s="42">
        <v>0.0</v>
      </c>
      <c r="N102" s="43">
        <v>0.0</v>
      </c>
      <c r="O102" s="43">
        <v>0.0</v>
      </c>
      <c r="P102" s="44">
        <v>1.0</v>
      </c>
      <c r="Q102" s="35">
        <v>1016.0</v>
      </c>
      <c r="R102" s="45">
        <v>65379.59999999999</v>
      </c>
      <c r="S102" s="37"/>
      <c r="T102" s="37"/>
      <c r="U102" s="37"/>
      <c r="V102" s="37">
        <v>65379.59999999999</v>
      </c>
      <c r="W102" s="38">
        <v>64.35</v>
      </c>
      <c r="X102" s="45">
        <v>65379.59999999999</v>
      </c>
      <c r="Y102" s="37"/>
      <c r="Z102" s="37"/>
      <c r="AA102" s="37"/>
      <c r="AB102" s="37">
        <v>65379.59999999999</v>
      </c>
      <c r="AC102" s="38">
        <v>64.35</v>
      </c>
      <c r="AD102" s="32"/>
      <c r="AE102" s="11"/>
      <c r="AF102" s="11"/>
    </row>
    <row r="103">
      <c r="A103" s="11" t="s">
        <v>256</v>
      </c>
      <c r="B103" s="28">
        <v>45986.02361111111</v>
      </c>
      <c r="C103" s="28">
        <v>45987.80694444444</v>
      </c>
      <c r="D103" s="29" t="s">
        <v>32</v>
      </c>
      <c r="E103" s="11" t="b">
        <v>0</v>
      </c>
      <c r="F103" s="11" t="s">
        <v>33</v>
      </c>
      <c r="G103" s="11" t="s">
        <v>257</v>
      </c>
      <c r="H103" s="11" t="s">
        <v>258</v>
      </c>
      <c r="I103" s="31">
        <v>5.0</v>
      </c>
      <c r="J103" s="32">
        <v>466.0</v>
      </c>
      <c r="K103" s="41">
        <v>1.0</v>
      </c>
      <c r="L103" s="33">
        <v>829.25</v>
      </c>
      <c r="M103" s="42">
        <v>0.0</v>
      </c>
      <c r="N103" s="43">
        <v>0.0</v>
      </c>
      <c r="O103" s="43">
        <v>0.0</v>
      </c>
      <c r="P103" s="44">
        <v>1.0</v>
      </c>
      <c r="Q103" s="35">
        <v>466.0</v>
      </c>
      <c r="R103" s="45">
        <v>386430.5</v>
      </c>
      <c r="S103" s="37"/>
      <c r="T103" s="37"/>
      <c r="U103" s="37"/>
      <c r="V103" s="37">
        <v>386430.5</v>
      </c>
      <c r="W103" s="38">
        <v>829.25</v>
      </c>
      <c r="X103" s="45">
        <v>386430.5</v>
      </c>
      <c r="Y103" s="37"/>
      <c r="Z103" s="37"/>
      <c r="AA103" s="37"/>
      <c r="AB103" s="37">
        <v>386430.5</v>
      </c>
      <c r="AC103" s="38">
        <v>829.25</v>
      </c>
      <c r="AD103" s="32"/>
      <c r="AE103" s="11"/>
      <c r="AF103" s="11"/>
    </row>
    <row r="104">
      <c r="A104" s="11" t="s">
        <v>259</v>
      </c>
      <c r="B104" s="28">
        <v>45986.02361111111</v>
      </c>
      <c r="C104" s="28">
        <v>45990.55416666667</v>
      </c>
      <c r="D104" s="29" t="s">
        <v>32</v>
      </c>
      <c r="E104" s="11" t="b">
        <v>0</v>
      </c>
      <c r="F104" s="11" t="s">
        <v>33</v>
      </c>
      <c r="G104" s="11" t="s">
        <v>191</v>
      </c>
      <c r="H104" s="11" t="s">
        <v>260</v>
      </c>
      <c r="I104" s="31">
        <v>5.0</v>
      </c>
      <c r="J104" s="32">
        <v>10119.0</v>
      </c>
      <c r="K104" s="41">
        <v>1.0</v>
      </c>
      <c r="L104" s="33">
        <v>106.37</v>
      </c>
      <c r="M104" s="42">
        <v>0.0</v>
      </c>
      <c r="N104" s="43">
        <v>0.0</v>
      </c>
      <c r="O104" s="43">
        <v>0.0</v>
      </c>
      <c r="P104" s="44">
        <v>1.0</v>
      </c>
      <c r="Q104" s="35">
        <v>10119.0</v>
      </c>
      <c r="R104" s="45">
        <v>1076358.03</v>
      </c>
      <c r="S104" s="37"/>
      <c r="T104" s="37"/>
      <c r="U104" s="37"/>
      <c r="V104" s="37">
        <v>1076358.03</v>
      </c>
      <c r="W104" s="38">
        <v>106.37</v>
      </c>
      <c r="X104" s="45">
        <v>1076358.03</v>
      </c>
      <c r="Y104" s="37"/>
      <c r="Z104" s="37"/>
      <c r="AA104" s="37"/>
      <c r="AB104" s="37">
        <v>1076358.03</v>
      </c>
      <c r="AC104" s="38">
        <v>106.37</v>
      </c>
      <c r="AD104" s="32"/>
      <c r="AE104" s="11"/>
      <c r="AF104" s="11"/>
    </row>
    <row r="105">
      <c r="A105" s="11" t="s">
        <v>261</v>
      </c>
      <c r="B105" s="28">
        <v>45986.02361111111</v>
      </c>
      <c r="C105" s="28">
        <v>45990.55416666667</v>
      </c>
      <c r="D105" s="29" t="s">
        <v>32</v>
      </c>
      <c r="E105" s="11" t="b">
        <v>0</v>
      </c>
      <c r="F105" s="11" t="s">
        <v>33</v>
      </c>
      <c r="G105" s="11" t="s">
        <v>191</v>
      </c>
      <c r="H105" s="11" t="s">
        <v>260</v>
      </c>
      <c r="I105" s="31">
        <v>5.0</v>
      </c>
      <c r="J105" s="32">
        <v>1200.0</v>
      </c>
      <c r="K105" s="41">
        <v>1.0</v>
      </c>
      <c r="L105" s="33">
        <v>106.43</v>
      </c>
      <c r="M105" s="42">
        <v>0.0</v>
      </c>
      <c r="N105" s="43">
        <v>0.0</v>
      </c>
      <c r="O105" s="43">
        <v>0.0</v>
      </c>
      <c r="P105" s="44">
        <v>1.0</v>
      </c>
      <c r="Q105" s="35">
        <v>1200.0</v>
      </c>
      <c r="R105" s="45">
        <v>127716.00000000001</v>
      </c>
      <c r="S105" s="37"/>
      <c r="T105" s="37"/>
      <c r="U105" s="37"/>
      <c r="V105" s="37">
        <v>127716.00000000001</v>
      </c>
      <c r="W105" s="38">
        <v>106.43</v>
      </c>
      <c r="X105" s="45">
        <v>127716.00000000001</v>
      </c>
      <c r="Y105" s="37"/>
      <c r="Z105" s="37"/>
      <c r="AA105" s="37"/>
      <c r="AB105" s="37">
        <v>127716.00000000001</v>
      </c>
      <c r="AC105" s="38">
        <v>106.43</v>
      </c>
      <c r="AD105" s="32"/>
      <c r="AE105" s="11"/>
      <c r="AF105" s="11"/>
    </row>
    <row r="106">
      <c r="A106" s="11" t="s">
        <v>262</v>
      </c>
      <c r="B106" s="28">
        <v>45986.02361111111</v>
      </c>
      <c r="C106" s="28">
        <v>45990.55416666667</v>
      </c>
      <c r="D106" s="29" t="s">
        <v>32</v>
      </c>
      <c r="E106" s="11" t="b">
        <v>0</v>
      </c>
      <c r="F106" s="11" t="s">
        <v>33</v>
      </c>
      <c r="G106" s="11" t="s">
        <v>191</v>
      </c>
      <c r="H106" s="11" t="s">
        <v>260</v>
      </c>
      <c r="I106" s="31">
        <v>5.0</v>
      </c>
      <c r="J106" s="32">
        <v>1650.0</v>
      </c>
      <c r="K106" s="41">
        <v>1.0</v>
      </c>
      <c r="L106" s="33">
        <v>106.29</v>
      </c>
      <c r="M106" s="42">
        <v>0.0</v>
      </c>
      <c r="N106" s="43">
        <v>0.0</v>
      </c>
      <c r="O106" s="43">
        <v>0.0</v>
      </c>
      <c r="P106" s="44">
        <v>1.0</v>
      </c>
      <c r="Q106" s="35">
        <v>1650.0</v>
      </c>
      <c r="R106" s="45">
        <v>175378.5</v>
      </c>
      <c r="S106" s="37"/>
      <c r="T106" s="37"/>
      <c r="U106" s="37"/>
      <c r="V106" s="37">
        <v>175378.5</v>
      </c>
      <c r="W106" s="38">
        <v>106.29</v>
      </c>
      <c r="X106" s="45">
        <v>175378.5</v>
      </c>
      <c r="Y106" s="37"/>
      <c r="Z106" s="37"/>
      <c r="AA106" s="37"/>
      <c r="AB106" s="37">
        <v>175378.5</v>
      </c>
      <c r="AC106" s="38">
        <v>106.29</v>
      </c>
      <c r="AD106" s="32"/>
      <c r="AE106" s="11"/>
      <c r="AF106" s="11"/>
    </row>
    <row r="107">
      <c r="A107" s="11" t="s">
        <v>263</v>
      </c>
      <c r="B107" s="28">
        <v>45986.02361111111</v>
      </c>
      <c r="C107" s="28">
        <v>45990.55416666667</v>
      </c>
      <c r="D107" s="29" t="s">
        <v>32</v>
      </c>
      <c r="E107" s="11" t="b">
        <v>0</v>
      </c>
      <c r="F107" s="11" t="s">
        <v>33</v>
      </c>
      <c r="G107" s="11" t="s">
        <v>191</v>
      </c>
      <c r="H107" s="11" t="s">
        <v>260</v>
      </c>
      <c r="I107" s="31">
        <v>5.0</v>
      </c>
      <c r="J107" s="32">
        <v>2000.0</v>
      </c>
      <c r="K107" s="41">
        <v>1.0</v>
      </c>
      <c r="L107" s="33">
        <v>106.29</v>
      </c>
      <c r="M107" s="42">
        <v>0.0</v>
      </c>
      <c r="N107" s="43">
        <v>0.0</v>
      </c>
      <c r="O107" s="43">
        <v>0.0</v>
      </c>
      <c r="P107" s="44">
        <v>1.0</v>
      </c>
      <c r="Q107" s="35">
        <v>2000.0</v>
      </c>
      <c r="R107" s="45">
        <v>212580.0</v>
      </c>
      <c r="S107" s="37"/>
      <c r="T107" s="37"/>
      <c r="U107" s="37"/>
      <c r="V107" s="37">
        <v>212580.0</v>
      </c>
      <c r="W107" s="38">
        <v>106.29</v>
      </c>
      <c r="X107" s="45">
        <v>212580.0</v>
      </c>
      <c r="Y107" s="37"/>
      <c r="Z107" s="37"/>
      <c r="AA107" s="37"/>
      <c r="AB107" s="37">
        <v>212580.0</v>
      </c>
      <c r="AC107" s="38">
        <v>106.29</v>
      </c>
      <c r="AD107" s="32"/>
      <c r="AE107" s="11"/>
      <c r="AF107" s="11"/>
    </row>
    <row r="108">
      <c r="A108" s="11" t="s">
        <v>264</v>
      </c>
      <c r="B108" s="28">
        <v>45986.02361111111</v>
      </c>
      <c r="C108" s="28">
        <v>45990.55416666667</v>
      </c>
      <c r="D108" s="29" t="s">
        <v>32</v>
      </c>
      <c r="E108" s="11" t="b">
        <v>0</v>
      </c>
      <c r="F108" s="11" t="s">
        <v>33</v>
      </c>
      <c r="G108" s="11" t="s">
        <v>191</v>
      </c>
      <c r="H108" s="11" t="s">
        <v>260</v>
      </c>
      <c r="I108" s="31">
        <v>5.0</v>
      </c>
      <c r="J108" s="32">
        <v>1480.0</v>
      </c>
      <c r="K108" s="41">
        <v>1.0</v>
      </c>
      <c r="L108" s="33">
        <v>106.32</v>
      </c>
      <c r="M108" s="42">
        <v>0.0</v>
      </c>
      <c r="N108" s="43">
        <v>0.0</v>
      </c>
      <c r="O108" s="43">
        <v>0.0</v>
      </c>
      <c r="P108" s="44">
        <v>1.0</v>
      </c>
      <c r="Q108" s="35">
        <v>1480.0</v>
      </c>
      <c r="R108" s="45">
        <v>157353.59999999998</v>
      </c>
      <c r="S108" s="37"/>
      <c r="T108" s="37"/>
      <c r="U108" s="37"/>
      <c r="V108" s="37">
        <v>157353.59999999998</v>
      </c>
      <c r="W108" s="38">
        <v>106.31999999999998</v>
      </c>
      <c r="X108" s="45">
        <v>157353.59999999998</v>
      </c>
      <c r="Y108" s="37"/>
      <c r="Z108" s="37"/>
      <c r="AA108" s="37"/>
      <c r="AB108" s="37">
        <v>157353.59999999998</v>
      </c>
      <c r="AC108" s="38">
        <v>106.31999999999998</v>
      </c>
      <c r="AD108" s="32"/>
      <c r="AE108" s="11"/>
      <c r="AF108" s="11"/>
    </row>
    <row r="109">
      <c r="A109" s="11" t="s">
        <v>265</v>
      </c>
      <c r="B109" s="28">
        <v>45986.02361111111</v>
      </c>
      <c r="C109" s="28">
        <v>45990.55416666667</v>
      </c>
      <c r="D109" s="29" t="s">
        <v>32</v>
      </c>
      <c r="E109" s="11" t="b">
        <v>0</v>
      </c>
      <c r="F109" s="11" t="s">
        <v>33</v>
      </c>
      <c r="G109" s="11" t="s">
        <v>191</v>
      </c>
      <c r="H109" s="11" t="s">
        <v>260</v>
      </c>
      <c r="I109" s="31">
        <v>5.0</v>
      </c>
      <c r="J109" s="32">
        <v>1370.0</v>
      </c>
      <c r="K109" s="41">
        <v>1.0</v>
      </c>
      <c r="L109" s="33">
        <v>106.34</v>
      </c>
      <c r="M109" s="42">
        <v>0.0</v>
      </c>
      <c r="N109" s="43">
        <v>0.0</v>
      </c>
      <c r="O109" s="43">
        <v>0.0</v>
      </c>
      <c r="P109" s="44">
        <v>1.0</v>
      </c>
      <c r="Q109" s="35">
        <v>1370.0</v>
      </c>
      <c r="R109" s="45">
        <v>145685.80000000002</v>
      </c>
      <c r="S109" s="37"/>
      <c r="T109" s="37"/>
      <c r="U109" s="37"/>
      <c r="V109" s="37">
        <v>145685.80000000002</v>
      </c>
      <c r="W109" s="38">
        <v>106.34000000000002</v>
      </c>
      <c r="X109" s="45">
        <v>145685.80000000002</v>
      </c>
      <c r="Y109" s="37"/>
      <c r="Z109" s="37"/>
      <c r="AA109" s="37"/>
      <c r="AB109" s="37">
        <v>145685.80000000002</v>
      </c>
      <c r="AC109" s="38">
        <v>106.34000000000002</v>
      </c>
      <c r="AD109" s="32"/>
      <c r="AE109" s="11"/>
      <c r="AF109" s="11"/>
    </row>
    <row r="110">
      <c r="A110" s="11" t="s">
        <v>266</v>
      </c>
      <c r="B110" s="28">
        <v>45986.02361111111</v>
      </c>
      <c r="C110" s="28">
        <v>45990.57083333333</v>
      </c>
      <c r="D110" s="29" t="s">
        <v>32</v>
      </c>
      <c r="E110" s="11" t="b">
        <v>0</v>
      </c>
      <c r="F110" s="11" t="s">
        <v>33</v>
      </c>
      <c r="G110" s="11" t="s">
        <v>100</v>
      </c>
      <c r="H110" s="11" t="s">
        <v>267</v>
      </c>
      <c r="I110" s="31">
        <v>5.0</v>
      </c>
      <c r="J110" s="32">
        <v>57.0</v>
      </c>
      <c r="K110" s="41">
        <v>1.0</v>
      </c>
      <c r="L110" s="33">
        <v>4252.52</v>
      </c>
      <c r="M110" s="42">
        <v>0.0</v>
      </c>
      <c r="N110" s="43">
        <v>0.0</v>
      </c>
      <c r="O110" s="43">
        <v>0.0</v>
      </c>
      <c r="P110" s="44">
        <v>1.0</v>
      </c>
      <c r="Q110" s="35">
        <v>57.0</v>
      </c>
      <c r="R110" s="45">
        <v>242393.64</v>
      </c>
      <c r="S110" s="37"/>
      <c r="T110" s="37"/>
      <c r="U110" s="37"/>
      <c r="V110" s="37">
        <v>242393.64</v>
      </c>
      <c r="W110" s="38">
        <v>4252.52</v>
      </c>
      <c r="X110" s="45">
        <v>242393.64</v>
      </c>
      <c r="Y110" s="37"/>
      <c r="Z110" s="37"/>
      <c r="AA110" s="37"/>
      <c r="AB110" s="37">
        <v>242393.64</v>
      </c>
      <c r="AC110" s="38">
        <v>4252.52</v>
      </c>
      <c r="AD110" s="32"/>
      <c r="AE110" s="11"/>
      <c r="AF110" s="11"/>
    </row>
    <row r="111">
      <c r="A111" s="11" t="s">
        <v>268</v>
      </c>
      <c r="B111" s="28">
        <v>45986.02361111111</v>
      </c>
      <c r="C111" s="28">
        <v>45990.43125</v>
      </c>
      <c r="D111" s="29" t="s">
        <v>32</v>
      </c>
      <c r="E111" s="11" t="b">
        <v>0</v>
      </c>
      <c r="F111" s="11" t="s">
        <v>33</v>
      </c>
      <c r="G111" s="11" t="s">
        <v>269</v>
      </c>
      <c r="H111" s="11" t="s">
        <v>270</v>
      </c>
      <c r="I111" s="31">
        <v>5.0</v>
      </c>
      <c r="J111" s="32">
        <v>1288.0</v>
      </c>
      <c r="K111" s="41">
        <v>1.0</v>
      </c>
      <c r="L111" s="33">
        <v>222.05</v>
      </c>
      <c r="M111" s="42">
        <v>0.0</v>
      </c>
      <c r="N111" s="43">
        <v>0.0</v>
      </c>
      <c r="O111" s="43">
        <v>0.0</v>
      </c>
      <c r="P111" s="44">
        <v>1.0</v>
      </c>
      <c r="Q111" s="35">
        <v>1288.0</v>
      </c>
      <c r="R111" s="45">
        <v>286000.4</v>
      </c>
      <c r="S111" s="37"/>
      <c r="T111" s="37"/>
      <c r="U111" s="37"/>
      <c r="V111" s="37">
        <v>286000.4</v>
      </c>
      <c r="W111" s="38">
        <v>222.05</v>
      </c>
      <c r="X111" s="45">
        <v>286000.4</v>
      </c>
      <c r="Y111" s="37"/>
      <c r="Z111" s="37"/>
      <c r="AA111" s="37"/>
      <c r="AB111" s="37">
        <v>286000.4</v>
      </c>
      <c r="AC111" s="38">
        <v>222.05</v>
      </c>
      <c r="AD111" s="32"/>
      <c r="AE111" s="11"/>
      <c r="AF111" s="11"/>
    </row>
    <row r="112">
      <c r="A112" s="11" t="s">
        <v>271</v>
      </c>
      <c r="B112" s="28">
        <v>45986.02361111111</v>
      </c>
      <c r="C112" s="28">
        <v>45990.43125</v>
      </c>
      <c r="D112" s="29" t="s">
        <v>32</v>
      </c>
      <c r="E112" s="11" t="b">
        <v>0</v>
      </c>
      <c r="F112" s="11" t="s">
        <v>33</v>
      </c>
      <c r="G112" s="11" t="s">
        <v>269</v>
      </c>
      <c r="H112" s="11" t="s">
        <v>270</v>
      </c>
      <c r="I112" s="31">
        <v>5.0</v>
      </c>
      <c r="J112" s="32">
        <v>1273.0</v>
      </c>
      <c r="K112" s="41">
        <v>1.0</v>
      </c>
      <c r="L112" s="33">
        <v>455.8</v>
      </c>
      <c r="M112" s="42">
        <v>0.0</v>
      </c>
      <c r="N112" s="43">
        <v>0.0</v>
      </c>
      <c r="O112" s="43">
        <v>0.0</v>
      </c>
      <c r="P112" s="44">
        <v>1.0</v>
      </c>
      <c r="Q112" s="35">
        <v>1273.0</v>
      </c>
      <c r="R112" s="45">
        <v>580233.4</v>
      </c>
      <c r="S112" s="37"/>
      <c r="T112" s="37"/>
      <c r="U112" s="37"/>
      <c r="V112" s="37">
        <v>580233.4</v>
      </c>
      <c r="W112" s="38">
        <v>455.8</v>
      </c>
      <c r="X112" s="45">
        <v>580233.4</v>
      </c>
      <c r="Y112" s="37"/>
      <c r="Z112" s="37"/>
      <c r="AA112" s="37"/>
      <c r="AB112" s="37">
        <v>580233.4</v>
      </c>
      <c r="AC112" s="38">
        <v>455.8</v>
      </c>
      <c r="AD112" s="32"/>
      <c r="AE112" s="11"/>
      <c r="AF112" s="11"/>
    </row>
    <row r="113">
      <c r="A113" s="11" t="s">
        <v>272</v>
      </c>
      <c r="B113" s="28">
        <v>45986.603472222225</v>
      </c>
      <c r="C113" s="28">
        <v>45988.61736111111</v>
      </c>
      <c r="D113" s="29" t="s">
        <v>32</v>
      </c>
      <c r="E113" s="11" t="b">
        <v>0</v>
      </c>
      <c r="F113" s="11" t="s">
        <v>37</v>
      </c>
      <c r="G113" s="11" t="s">
        <v>103</v>
      </c>
      <c r="H113" s="11" t="s">
        <v>273</v>
      </c>
      <c r="I113" s="31">
        <v>5.0</v>
      </c>
      <c r="J113" s="32">
        <v>5347.0</v>
      </c>
      <c r="K113" s="41">
        <v>1.0</v>
      </c>
      <c r="L113" s="33">
        <v>58.82</v>
      </c>
      <c r="M113" s="42">
        <v>0.0</v>
      </c>
      <c r="N113" s="43">
        <v>0.0</v>
      </c>
      <c r="O113" s="43">
        <v>0.0</v>
      </c>
      <c r="P113" s="44">
        <v>1.0</v>
      </c>
      <c r="Q113" s="35">
        <v>5347.0</v>
      </c>
      <c r="R113" s="45">
        <v>314510.54</v>
      </c>
      <c r="S113" s="37"/>
      <c r="T113" s="37"/>
      <c r="U113" s="37"/>
      <c r="V113" s="37">
        <v>314510.54</v>
      </c>
      <c r="W113" s="38">
        <v>58.81999999999999</v>
      </c>
      <c r="X113" s="45">
        <v>314510.54</v>
      </c>
      <c r="Y113" s="37"/>
      <c r="Z113" s="37"/>
      <c r="AA113" s="37"/>
      <c r="AB113" s="37">
        <v>314510.54</v>
      </c>
      <c r="AC113" s="38">
        <v>58.81999999999999</v>
      </c>
      <c r="AD113" s="32"/>
      <c r="AE113" s="11"/>
      <c r="AF113" s="11"/>
    </row>
    <row r="114">
      <c r="A114" s="11" t="s">
        <v>274</v>
      </c>
      <c r="B114" s="28">
        <v>45986.603472222225</v>
      </c>
      <c r="C114" s="28">
        <v>45988.61736111111</v>
      </c>
      <c r="D114" s="29" t="s">
        <v>32</v>
      </c>
      <c r="E114" s="11" t="b">
        <v>0</v>
      </c>
      <c r="F114" s="11" t="s">
        <v>37</v>
      </c>
      <c r="G114" s="11" t="s">
        <v>103</v>
      </c>
      <c r="H114" s="11" t="s">
        <v>273</v>
      </c>
      <c r="I114" s="31">
        <v>5.0</v>
      </c>
      <c r="J114" s="32">
        <v>5679.0</v>
      </c>
      <c r="K114" s="41">
        <v>1.0</v>
      </c>
      <c r="L114" s="33">
        <v>52.64</v>
      </c>
      <c r="M114" s="42">
        <v>0.0</v>
      </c>
      <c r="N114" s="43">
        <v>0.0</v>
      </c>
      <c r="O114" s="43">
        <v>0.0</v>
      </c>
      <c r="P114" s="44">
        <v>1.0</v>
      </c>
      <c r="Q114" s="35">
        <v>5679.0</v>
      </c>
      <c r="R114" s="45">
        <v>298942.56</v>
      </c>
      <c r="S114" s="37"/>
      <c r="T114" s="37"/>
      <c r="U114" s="37"/>
      <c r="V114" s="37">
        <v>298942.56</v>
      </c>
      <c r="W114" s="38">
        <v>52.64</v>
      </c>
      <c r="X114" s="45">
        <v>298942.56</v>
      </c>
      <c r="Y114" s="37"/>
      <c r="Z114" s="37"/>
      <c r="AA114" s="37"/>
      <c r="AB114" s="37">
        <v>298942.56</v>
      </c>
      <c r="AC114" s="38">
        <v>52.64</v>
      </c>
      <c r="AD114" s="32"/>
      <c r="AE114" s="11"/>
      <c r="AF114" s="11"/>
    </row>
    <row r="115">
      <c r="A115" s="11" t="s">
        <v>275</v>
      </c>
      <c r="B115" s="28">
        <v>45986.603472222225</v>
      </c>
      <c r="C115" s="28">
        <v>45988.43541666667</v>
      </c>
      <c r="D115" s="29" t="s">
        <v>32</v>
      </c>
      <c r="E115" s="11" t="b">
        <v>0</v>
      </c>
      <c r="F115" s="11" t="s">
        <v>37</v>
      </c>
      <c r="G115" s="11" t="s">
        <v>276</v>
      </c>
      <c r="H115" s="11" t="s">
        <v>277</v>
      </c>
      <c r="I115" s="31">
        <v>5.0</v>
      </c>
      <c r="J115" s="32">
        <v>1000.0</v>
      </c>
      <c r="K115" s="41">
        <v>1.0</v>
      </c>
      <c r="L115" s="33">
        <v>17.44</v>
      </c>
      <c r="M115" s="42">
        <v>0.0</v>
      </c>
      <c r="N115" s="43">
        <v>0.0</v>
      </c>
      <c r="O115" s="43">
        <v>0.0</v>
      </c>
      <c r="P115" s="44">
        <v>1.0</v>
      </c>
      <c r="Q115" s="35">
        <v>1000.0</v>
      </c>
      <c r="R115" s="45">
        <v>17440.0</v>
      </c>
      <c r="S115" s="37"/>
      <c r="T115" s="37"/>
      <c r="U115" s="37"/>
      <c r="V115" s="37">
        <v>17440.0</v>
      </c>
      <c r="W115" s="38">
        <v>17.44</v>
      </c>
      <c r="X115" s="45">
        <v>17440.0</v>
      </c>
      <c r="Y115" s="37"/>
      <c r="Z115" s="37"/>
      <c r="AA115" s="37"/>
      <c r="AB115" s="37">
        <v>17440.0</v>
      </c>
      <c r="AC115" s="38">
        <v>17.44</v>
      </c>
      <c r="AD115" s="32"/>
      <c r="AE115" s="11"/>
      <c r="AF115" s="11"/>
    </row>
    <row r="116">
      <c r="A116" s="11" t="s">
        <v>278</v>
      </c>
      <c r="B116" s="28">
        <v>45986.603472222225</v>
      </c>
      <c r="C116" s="28">
        <v>45988.43541666667</v>
      </c>
      <c r="D116" s="29" t="s">
        <v>32</v>
      </c>
      <c r="E116" s="11" t="b">
        <v>0</v>
      </c>
      <c r="F116" s="11" t="s">
        <v>37</v>
      </c>
      <c r="G116" s="11" t="s">
        <v>276</v>
      </c>
      <c r="H116" s="11" t="s">
        <v>277</v>
      </c>
      <c r="I116" s="31">
        <v>5.0</v>
      </c>
      <c r="J116" s="32">
        <v>1000.0</v>
      </c>
      <c r="K116" s="41">
        <v>1.0</v>
      </c>
      <c r="L116" s="33">
        <v>17.44</v>
      </c>
      <c r="M116" s="42">
        <v>0.0</v>
      </c>
      <c r="N116" s="43">
        <v>0.0</v>
      </c>
      <c r="O116" s="43">
        <v>0.0</v>
      </c>
      <c r="P116" s="44">
        <v>1.0</v>
      </c>
      <c r="Q116" s="35">
        <v>1000.0</v>
      </c>
      <c r="R116" s="45">
        <v>17440.0</v>
      </c>
      <c r="S116" s="37"/>
      <c r="T116" s="37"/>
      <c r="U116" s="37"/>
      <c r="V116" s="37">
        <v>17440.0</v>
      </c>
      <c r="W116" s="38">
        <v>17.44</v>
      </c>
      <c r="X116" s="45">
        <v>17440.0</v>
      </c>
      <c r="Y116" s="37"/>
      <c r="Z116" s="37"/>
      <c r="AA116" s="37"/>
      <c r="AB116" s="37">
        <v>17440.0</v>
      </c>
      <c r="AC116" s="38">
        <v>17.44</v>
      </c>
      <c r="AD116" s="32"/>
      <c r="AE116" s="11"/>
      <c r="AF116" s="11"/>
    </row>
    <row r="117">
      <c r="A117" s="11" t="s">
        <v>279</v>
      </c>
      <c r="B117" s="28">
        <v>45986.603472222225</v>
      </c>
      <c r="C117" s="28">
        <v>45988.43541666667</v>
      </c>
      <c r="D117" s="29" t="s">
        <v>32</v>
      </c>
      <c r="E117" s="11" t="b">
        <v>0</v>
      </c>
      <c r="F117" s="11" t="s">
        <v>37</v>
      </c>
      <c r="G117" s="11" t="s">
        <v>276</v>
      </c>
      <c r="H117" s="11" t="s">
        <v>277</v>
      </c>
      <c r="I117" s="31">
        <v>5.0</v>
      </c>
      <c r="J117" s="32">
        <v>2350.0</v>
      </c>
      <c r="K117" s="41">
        <v>1.0</v>
      </c>
      <c r="L117" s="33">
        <v>17.44</v>
      </c>
      <c r="M117" s="42">
        <v>0.0</v>
      </c>
      <c r="N117" s="43">
        <v>0.0</v>
      </c>
      <c r="O117" s="43">
        <v>0.0</v>
      </c>
      <c r="P117" s="44">
        <v>1.0</v>
      </c>
      <c r="Q117" s="35">
        <v>2350.0</v>
      </c>
      <c r="R117" s="45">
        <v>40984.0</v>
      </c>
      <c r="S117" s="37"/>
      <c r="T117" s="37"/>
      <c r="U117" s="37"/>
      <c r="V117" s="37">
        <v>40984.0</v>
      </c>
      <c r="W117" s="38">
        <v>17.44</v>
      </c>
      <c r="X117" s="45">
        <v>40984.0</v>
      </c>
      <c r="Y117" s="37"/>
      <c r="Z117" s="37"/>
      <c r="AA117" s="37"/>
      <c r="AB117" s="37">
        <v>40984.0</v>
      </c>
      <c r="AC117" s="38">
        <v>17.44</v>
      </c>
      <c r="AD117" s="32"/>
      <c r="AE117" s="11"/>
      <c r="AF117" s="11"/>
    </row>
    <row r="118">
      <c r="A118" s="11" t="s">
        <v>280</v>
      </c>
      <c r="B118" s="28">
        <v>45986.603472222225</v>
      </c>
      <c r="C118" s="28">
        <v>45988.43541666667</v>
      </c>
      <c r="D118" s="29" t="s">
        <v>32</v>
      </c>
      <c r="E118" s="11" t="b">
        <v>0</v>
      </c>
      <c r="F118" s="11" t="s">
        <v>37</v>
      </c>
      <c r="G118" s="11" t="s">
        <v>276</v>
      </c>
      <c r="H118" s="11" t="s">
        <v>277</v>
      </c>
      <c r="I118" s="31">
        <v>5.0</v>
      </c>
      <c r="J118" s="32">
        <v>1000.0</v>
      </c>
      <c r="K118" s="41">
        <v>1.0</v>
      </c>
      <c r="L118" s="33">
        <v>17.44</v>
      </c>
      <c r="M118" s="42">
        <v>0.0</v>
      </c>
      <c r="N118" s="43">
        <v>0.0</v>
      </c>
      <c r="O118" s="43">
        <v>0.0</v>
      </c>
      <c r="P118" s="44">
        <v>1.0</v>
      </c>
      <c r="Q118" s="35">
        <v>1000.0</v>
      </c>
      <c r="R118" s="45">
        <v>17440.0</v>
      </c>
      <c r="S118" s="37"/>
      <c r="T118" s="37"/>
      <c r="U118" s="37"/>
      <c r="V118" s="37">
        <v>17440.0</v>
      </c>
      <c r="W118" s="38">
        <v>17.44</v>
      </c>
      <c r="X118" s="45">
        <v>17440.0</v>
      </c>
      <c r="Y118" s="37"/>
      <c r="Z118" s="37"/>
      <c r="AA118" s="37"/>
      <c r="AB118" s="37">
        <v>17440.0</v>
      </c>
      <c r="AC118" s="38">
        <v>17.44</v>
      </c>
      <c r="AD118" s="32"/>
      <c r="AE118" s="11"/>
      <c r="AF118" s="11"/>
    </row>
    <row r="119">
      <c r="A119" s="11" t="s">
        <v>281</v>
      </c>
      <c r="B119" s="28">
        <v>45986.603472222225</v>
      </c>
      <c r="C119" s="28">
        <v>45987.64513888889</v>
      </c>
      <c r="D119" s="29" t="s">
        <v>32</v>
      </c>
      <c r="E119" s="11" t="b">
        <v>0</v>
      </c>
      <c r="F119" s="11" t="s">
        <v>37</v>
      </c>
      <c r="G119" s="11" t="s">
        <v>194</v>
      </c>
      <c r="H119" s="11" t="s">
        <v>282</v>
      </c>
      <c r="I119" s="31">
        <v>5.0</v>
      </c>
      <c r="J119" s="32">
        <v>5049.0</v>
      </c>
      <c r="K119" s="41">
        <v>1.0</v>
      </c>
      <c r="L119" s="33">
        <v>17.63</v>
      </c>
      <c r="M119" s="42">
        <v>0.0</v>
      </c>
      <c r="N119" s="43">
        <v>0.0</v>
      </c>
      <c r="O119" s="43">
        <v>0.0</v>
      </c>
      <c r="P119" s="44">
        <v>1.0</v>
      </c>
      <c r="Q119" s="35">
        <v>5049.0</v>
      </c>
      <c r="R119" s="45">
        <v>89013.87</v>
      </c>
      <c r="S119" s="37"/>
      <c r="T119" s="37"/>
      <c r="U119" s="37"/>
      <c r="V119" s="37">
        <v>89013.87</v>
      </c>
      <c r="W119" s="38">
        <v>17.63</v>
      </c>
      <c r="X119" s="45">
        <v>89013.87</v>
      </c>
      <c r="Y119" s="37"/>
      <c r="Z119" s="37"/>
      <c r="AA119" s="37"/>
      <c r="AB119" s="37">
        <v>89013.87</v>
      </c>
      <c r="AC119" s="38">
        <v>17.63</v>
      </c>
      <c r="AD119" s="32"/>
      <c r="AE119" s="11"/>
      <c r="AF119" s="11"/>
    </row>
    <row r="120">
      <c r="A120" s="11" t="s">
        <v>283</v>
      </c>
      <c r="B120" s="28">
        <v>45986.603472222225</v>
      </c>
      <c r="C120" s="28">
        <v>45987.64513888889</v>
      </c>
      <c r="D120" s="29" t="s">
        <v>32</v>
      </c>
      <c r="E120" s="11" t="b">
        <v>0</v>
      </c>
      <c r="F120" s="11" t="s">
        <v>37</v>
      </c>
      <c r="G120" s="11" t="s">
        <v>194</v>
      </c>
      <c r="H120" s="11" t="s">
        <v>282</v>
      </c>
      <c r="I120" s="31">
        <v>5.0</v>
      </c>
      <c r="J120" s="32">
        <v>2394.0</v>
      </c>
      <c r="K120" s="41">
        <v>1.0</v>
      </c>
      <c r="L120" s="33">
        <v>17.73</v>
      </c>
      <c r="M120" s="42">
        <v>0.0</v>
      </c>
      <c r="N120" s="43">
        <v>0.0</v>
      </c>
      <c r="O120" s="43">
        <v>0.0</v>
      </c>
      <c r="P120" s="44">
        <v>1.0</v>
      </c>
      <c r="Q120" s="35">
        <v>2394.0</v>
      </c>
      <c r="R120" s="45">
        <v>42445.62</v>
      </c>
      <c r="S120" s="37"/>
      <c r="T120" s="37"/>
      <c r="U120" s="37"/>
      <c r="V120" s="37">
        <v>42445.62</v>
      </c>
      <c r="W120" s="38">
        <v>17.73</v>
      </c>
      <c r="X120" s="45">
        <v>42445.62</v>
      </c>
      <c r="Y120" s="37"/>
      <c r="Z120" s="37"/>
      <c r="AA120" s="37"/>
      <c r="AB120" s="37">
        <v>42445.62</v>
      </c>
      <c r="AC120" s="38">
        <v>17.73</v>
      </c>
      <c r="AD120" s="32"/>
      <c r="AE120" s="11"/>
      <c r="AF120" s="11"/>
    </row>
    <row r="121">
      <c r="A121" s="11" t="s">
        <v>284</v>
      </c>
      <c r="B121" s="28">
        <v>45986.603472222225</v>
      </c>
      <c r="C121" s="28">
        <v>45987.64513888889</v>
      </c>
      <c r="D121" s="29" t="s">
        <v>32</v>
      </c>
      <c r="E121" s="11" t="b">
        <v>0</v>
      </c>
      <c r="F121" s="11" t="s">
        <v>37</v>
      </c>
      <c r="G121" s="11" t="s">
        <v>194</v>
      </c>
      <c r="H121" s="11" t="s">
        <v>282</v>
      </c>
      <c r="I121" s="31">
        <v>5.0</v>
      </c>
      <c r="J121" s="32">
        <v>3780.0</v>
      </c>
      <c r="K121" s="41">
        <v>1.0</v>
      </c>
      <c r="L121" s="33">
        <v>17.63</v>
      </c>
      <c r="M121" s="42">
        <v>0.0</v>
      </c>
      <c r="N121" s="43">
        <v>0.0</v>
      </c>
      <c r="O121" s="43">
        <v>0.0</v>
      </c>
      <c r="P121" s="44">
        <v>1.0</v>
      </c>
      <c r="Q121" s="35">
        <v>3780.0</v>
      </c>
      <c r="R121" s="45">
        <v>66641.4</v>
      </c>
      <c r="S121" s="37"/>
      <c r="T121" s="37"/>
      <c r="U121" s="37"/>
      <c r="V121" s="37">
        <v>66641.4</v>
      </c>
      <c r="W121" s="38">
        <v>17.63</v>
      </c>
      <c r="X121" s="45">
        <v>66641.4</v>
      </c>
      <c r="Y121" s="37"/>
      <c r="Z121" s="37"/>
      <c r="AA121" s="37"/>
      <c r="AB121" s="37">
        <v>66641.4</v>
      </c>
      <c r="AC121" s="38">
        <v>17.63</v>
      </c>
      <c r="AD121" s="32"/>
      <c r="AE121" s="11"/>
      <c r="AF121" s="11"/>
    </row>
    <row r="122">
      <c r="A122" s="11" t="s">
        <v>285</v>
      </c>
      <c r="B122" s="28">
        <v>45986.603472222225</v>
      </c>
      <c r="C122" s="28">
        <v>45988.43541666667</v>
      </c>
      <c r="D122" s="29" t="s">
        <v>32</v>
      </c>
      <c r="E122" s="11" t="b">
        <v>0</v>
      </c>
      <c r="F122" s="11" t="s">
        <v>37</v>
      </c>
      <c r="G122" s="11" t="s">
        <v>276</v>
      </c>
      <c r="H122" s="11" t="s">
        <v>277</v>
      </c>
      <c r="I122" s="31">
        <v>5.0</v>
      </c>
      <c r="J122" s="32">
        <v>1890.0</v>
      </c>
      <c r="K122" s="41">
        <v>1.0</v>
      </c>
      <c r="L122" s="33">
        <v>17.44</v>
      </c>
      <c r="M122" s="42">
        <v>0.0</v>
      </c>
      <c r="N122" s="43">
        <v>0.0</v>
      </c>
      <c r="O122" s="43">
        <v>0.0</v>
      </c>
      <c r="P122" s="44">
        <v>1.0</v>
      </c>
      <c r="Q122" s="35">
        <v>1890.0</v>
      </c>
      <c r="R122" s="45">
        <v>32961.600000000006</v>
      </c>
      <c r="S122" s="37"/>
      <c r="T122" s="37"/>
      <c r="U122" s="37"/>
      <c r="V122" s="37">
        <v>32961.600000000006</v>
      </c>
      <c r="W122" s="38">
        <v>17.440000000000005</v>
      </c>
      <c r="X122" s="45">
        <v>32961.600000000006</v>
      </c>
      <c r="Y122" s="37"/>
      <c r="Z122" s="37"/>
      <c r="AA122" s="37"/>
      <c r="AB122" s="37">
        <v>32961.600000000006</v>
      </c>
      <c r="AC122" s="38">
        <v>17.440000000000005</v>
      </c>
      <c r="AD122" s="32"/>
      <c r="AE122" s="11"/>
      <c r="AF122" s="11"/>
    </row>
    <row r="123">
      <c r="A123" s="11" t="s">
        <v>286</v>
      </c>
      <c r="B123" s="28">
        <v>45986.603472222225</v>
      </c>
      <c r="C123" s="28">
        <v>45987.64513888889</v>
      </c>
      <c r="D123" s="29" t="s">
        <v>32</v>
      </c>
      <c r="E123" s="11" t="b">
        <v>0</v>
      </c>
      <c r="F123" s="11" t="s">
        <v>37</v>
      </c>
      <c r="G123" s="11" t="s">
        <v>194</v>
      </c>
      <c r="H123" s="11" t="s">
        <v>282</v>
      </c>
      <c r="I123" s="31">
        <v>5.0</v>
      </c>
      <c r="J123" s="32">
        <v>3880.0</v>
      </c>
      <c r="K123" s="41">
        <v>1.0</v>
      </c>
      <c r="L123" s="33">
        <v>17.63</v>
      </c>
      <c r="M123" s="42">
        <v>0.0</v>
      </c>
      <c r="N123" s="43">
        <v>0.0</v>
      </c>
      <c r="O123" s="43">
        <v>0.0</v>
      </c>
      <c r="P123" s="44">
        <v>1.0</v>
      </c>
      <c r="Q123" s="35">
        <v>3880.0</v>
      </c>
      <c r="R123" s="45">
        <v>68404.4</v>
      </c>
      <c r="S123" s="37"/>
      <c r="T123" s="37"/>
      <c r="U123" s="37"/>
      <c r="V123" s="37">
        <v>68404.4</v>
      </c>
      <c r="W123" s="38">
        <v>17.63</v>
      </c>
      <c r="X123" s="45">
        <v>68404.4</v>
      </c>
      <c r="Y123" s="37"/>
      <c r="Z123" s="37"/>
      <c r="AA123" s="37"/>
      <c r="AB123" s="37">
        <v>68404.4</v>
      </c>
      <c r="AC123" s="38">
        <v>17.63</v>
      </c>
      <c r="AD123" s="32"/>
      <c r="AE123" s="11"/>
      <c r="AF123" s="11"/>
    </row>
    <row r="124">
      <c r="A124" s="11" t="s">
        <v>287</v>
      </c>
      <c r="B124" s="28">
        <v>45986.606944444444</v>
      </c>
      <c r="C124" s="28">
        <v>45989.623611111114</v>
      </c>
      <c r="D124" s="29" t="s">
        <v>32</v>
      </c>
      <c r="E124" s="11" t="b">
        <v>0</v>
      </c>
      <c r="F124" s="11" t="s">
        <v>37</v>
      </c>
      <c r="G124" s="11" t="s">
        <v>288</v>
      </c>
      <c r="H124" s="11" t="s">
        <v>289</v>
      </c>
      <c r="I124" s="31">
        <v>5.0</v>
      </c>
      <c r="J124" s="32">
        <v>5280.0</v>
      </c>
      <c r="K124" s="41">
        <v>1.0</v>
      </c>
      <c r="L124" s="33">
        <v>187.38</v>
      </c>
      <c r="M124" s="42">
        <v>0.0</v>
      </c>
      <c r="N124" s="43">
        <v>0.0</v>
      </c>
      <c r="O124" s="43">
        <v>0.0</v>
      </c>
      <c r="P124" s="44">
        <v>1.0</v>
      </c>
      <c r="Q124" s="35">
        <v>5280.0</v>
      </c>
      <c r="R124" s="45">
        <v>989366.4</v>
      </c>
      <c r="S124" s="37"/>
      <c r="T124" s="37"/>
      <c r="U124" s="37"/>
      <c r="V124" s="37">
        <v>989366.4</v>
      </c>
      <c r="W124" s="38">
        <v>187.38</v>
      </c>
      <c r="X124" s="45">
        <v>989366.4</v>
      </c>
      <c r="Y124" s="37"/>
      <c r="Z124" s="37"/>
      <c r="AA124" s="37"/>
      <c r="AB124" s="37">
        <v>989366.4</v>
      </c>
      <c r="AC124" s="38">
        <v>187.38</v>
      </c>
      <c r="AD124" s="32"/>
      <c r="AE124" s="11"/>
      <c r="AF124" s="11"/>
    </row>
    <row r="125">
      <c r="A125" s="11" t="s">
        <v>290</v>
      </c>
      <c r="B125" s="28">
        <v>45986.61111111111</v>
      </c>
      <c r="C125" s="28">
        <v>45987.67083333333</v>
      </c>
      <c r="D125" s="29" t="s">
        <v>32</v>
      </c>
      <c r="E125" s="11" t="b">
        <v>0</v>
      </c>
      <c r="F125" s="11" t="s">
        <v>37</v>
      </c>
      <c r="G125" s="11" t="s">
        <v>291</v>
      </c>
      <c r="H125" s="11" t="s">
        <v>292</v>
      </c>
      <c r="I125" s="31">
        <v>5.0</v>
      </c>
      <c r="J125" s="32">
        <v>872.0</v>
      </c>
      <c r="K125" s="41">
        <v>1.0</v>
      </c>
      <c r="L125" s="33">
        <v>874.83</v>
      </c>
      <c r="M125" s="42">
        <v>0.0</v>
      </c>
      <c r="N125" s="43">
        <v>0.0</v>
      </c>
      <c r="O125" s="43">
        <v>0.0</v>
      </c>
      <c r="P125" s="44">
        <v>1.0</v>
      </c>
      <c r="Q125" s="35">
        <v>872.0</v>
      </c>
      <c r="R125" s="45">
        <v>762851.76</v>
      </c>
      <c r="S125" s="37"/>
      <c r="T125" s="37"/>
      <c r="U125" s="37"/>
      <c r="V125" s="37">
        <v>762851.76</v>
      </c>
      <c r="W125" s="38">
        <v>874.83</v>
      </c>
      <c r="X125" s="45">
        <v>762851.76</v>
      </c>
      <c r="Y125" s="37"/>
      <c r="Z125" s="37"/>
      <c r="AA125" s="37"/>
      <c r="AB125" s="37">
        <v>762851.76</v>
      </c>
      <c r="AC125" s="38">
        <v>874.83</v>
      </c>
      <c r="AD125" s="32"/>
      <c r="AE125" s="11"/>
      <c r="AF125" s="11"/>
    </row>
    <row r="126">
      <c r="A126" s="11" t="s">
        <v>293</v>
      </c>
      <c r="B126" s="28">
        <v>45996.71597222222</v>
      </c>
      <c r="C126" s="28">
        <v>46012.67361111111</v>
      </c>
      <c r="D126" s="29" t="s">
        <v>32</v>
      </c>
      <c r="E126" s="11" t="b">
        <v>0</v>
      </c>
      <c r="F126" s="11" t="s">
        <v>148</v>
      </c>
      <c r="G126" s="11" t="s">
        <v>149</v>
      </c>
      <c r="H126" s="11" t="s">
        <v>149</v>
      </c>
      <c r="I126" s="31">
        <v>5.0</v>
      </c>
      <c r="J126" s="32">
        <v>1408.0</v>
      </c>
      <c r="K126" s="41">
        <v>1.0</v>
      </c>
      <c r="L126" s="33">
        <v>3612.53</v>
      </c>
      <c r="M126" s="42">
        <v>0.0</v>
      </c>
      <c r="N126" s="43">
        <v>0.0</v>
      </c>
      <c r="O126" s="43">
        <v>0.0</v>
      </c>
      <c r="P126" s="44">
        <v>1.0</v>
      </c>
      <c r="Q126" s="35">
        <v>1408.0</v>
      </c>
      <c r="R126" s="45">
        <v>5086442.24</v>
      </c>
      <c r="S126" s="37"/>
      <c r="T126" s="37"/>
      <c r="U126" s="37"/>
      <c r="V126" s="37">
        <v>5086442.24</v>
      </c>
      <c r="W126" s="38">
        <v>3612.53</v>
      </c>
      <c r="X126" s="45">
        <v>5086442.24</v>
      </c>
      <c r="Y126" s="37"/>
      <c r="Z126" s="37"/>
      <c r="AA126" s="37"/>
      <c r="AB126" s="37">
        <v>5086442.24</v>
      </c>
      <c r="AC126" s="38">
        <v>3612.53</v>
      </c>
      <c r="AD126" s="32"/>
      <c r="AE126" s="11"/>
      <c r="AF126" s="11"/>
    </row>
    <row r="127">
      <c r="A127" s="11" t="s">
        <v>294</v>
      </c>
      <c r="B127" s="28">
        <v>46002.67569444444</v>
      </c>
      <c r="C127" s="28">
        <v>46008.525</v>
      </c>
      <c r="D127" s="29" t="s">
        <v>32</v>
      </c>
      <c r="E127" s="11" t="b">
        <v>0</v>
      </c>
      <c r="F127" s="11" t="s">
        <v>33</v>
      </c>
      <c r="G127" s="11" t="s">
        <v>295</v>
      </c>
      <c r="H127" s="11" t="s">
        <v>296</v>
      </c>
      <c r="I127" s="31">
        <v>5.0</v>
      </c>
      <c r="J127" s="32">
        <v>3958.0</v>
      </c>
      <c r="K127" s="41">
        <v>1.0</v>
      </c>
      <c r="L127" s="33">
        <v>340.35</v>
      </c>
      <c r="M127" s="42">
        <v>0.0</v>
      </c>
      <c r="N127" s="43">
        <v>0.0</v>
      </c>
      <c r="O127" s="43">
        <v>0.0</v>
      </c>
      <c r="P127" s="44">
        <v>1.0</v>
      </c>
      <c r="Q127" s="35">
        <v>3958.0</v>
      </c>
      <c r="R127" s="45">
        <v>1347105.3</v>
      </c>
      <c r="S127" s="37"/>
      <c r="T127" s="37"/>
      <c r="U127" s="37"/>
      <c r="V127" s="37">
        <v>1347105.3</v>
      </c>
      <c r="W127" s="38">
        <v>340.35</v>
      </c>
      <c r="X127" s="45">
        <v>1347105.3</v>
      </c>
      <c r="Y127" s="37"/>
      <c r="Z127" s="37"/>
      <c r="AA127" s="37"/>
      <c r="AB127" s="37">
        <v>1347105.3</v>
      </c>
      <c r="AC127" s="38">
        <v>340.35</v>
      </c>
      <c r="AD127" s="32"/>
      <c r="AE127" s="11"/>
      <c r="AF127" s="11"/>
    </row>
    <row r="128">
      <c r="A128" s="11" t="s">
        <v>297</v>
      </c>
      <c r="B128" s="28">
        <v>46002.6875</v>
      </c>
      <c r="C128" s="28">
        <v>46005.80416666667</v>
      </c>
      <c r="D128" s="29" t="s">
        <v>32</v>
      </c>
      <c r="E128" s="11" t="b">
        <v>0</v>
      </c>
      <c r="F128" s="11" t="s">
        <v>33</v>
      </c>
      <c r="G128" s="11" t="s">
        <v>106</v>
      </c>
      <c r="H128" s="11" t="s">
        <v>298</v>
      </c>
      <c r="I128" s="31">
        <v>5.0</v>
      </c>
      <c r="J128" s="32">
        <v>509.0</v>
      </c>
      <c r="K128" s="41">
        <v>1.0</v>
      </c>
      <c r="L128" s="33">
        <v>285.14</v>
      </c>
      <c r="M128" s="42">
        <v>0.0</v>
      </c>
      <c r="N128" s="43">
        <v>0.0</v>
      </c>
      <c r="O128" s="43">
        <v>0.0</v>
      </c>
      <c r="P128" s="44">
        <v>1.0</v>
      </c>
      <c r="Q128" s="35">
        <v>509.0</v>
      </c>
      <c r="R128" s="45">
        <v>145136.25999999998</v>
      </c>
      <c r="S128" s="37"/>
      <c r="T128" s="37"/>
      <c r="U128" s="37"/>
      <c r="V128" s="37">
        <v>145136.25999999998</v>
      </c>
      <c r="W128" s="38">
        <v>285.14</v>
      </c>
      <c r="X128" s="45">
        <v>145136.25999999998</v>
      </c>
      <c r="Y128" s="37"/>
      <c r="Z128" s="37"/>
      <c r="AA128" s="37"/>
      <c r="AB128" s="37">
        <v>145136.25999999998</v>
      </c>
      <c r="AC128" s="38">
        <v>285.14</v>
      </c>
      <c r="AD128" s="32"/>
      <c r="AE128" s="11"/>
      <c r="AF128" s="11"/>
    </row>
    <row r="129">
      <c r="A129" s="11" t="s">
        <v>299</v>
      </c>
      <c r="B129" s="28">
        <v>46003.02013888889</v>
      </c>
      <c r="C129" s="28">
        <v>46004.799305555556</v>
      </c>
      <c r="D129" s="29" t="s">
        <v>32</v>
      </c>
      <c r="E129" s="11" t="b">
        <v>0</v>
      </c>
      <c r="F129" s="11" t="s">
        <v>33</v>
      </c>
      <c r="G129" s="11" t="s">
        <v>175</v>
      </c>
      <c r="H129" s="11" t="s">
        <v>300</v>
      </c>
      <c r="I129" s="31">
        <v>5.0</v>
      </c>
      <c r="J129" s="32">
        <v>226.0</v>
      </c>
      <c r="K129" s="41">
        <v>1.0</v>
      </c>
      <c r="L129" s="33">
        <v>4973.93</v>
      </c>
      <c r="M129" s="42">
        <v>0.0</v>
      </c>
      <c r="N129" s="43">
        <v>0.0</v>
      </c>
      <c r="O129" s="43">
        <v>0.0</v>
      </c>
      <c r="P129" s="44">
        <v>1.0</v>
      </c>
      <c r="Q129" s="35">
        <v>226.0</v>
      </c>
      <c r="R129" s="45">
        <v>1124108.1800000002</v>
      </c>
      <c r="S129" s="37"/>
      <c r="T129" s="37"/>
      <c r="U129" s="37"/>
      <c r="V129" s="37">
        <v>1124108.1800000002</v>
      </c>
      <c r="W129" s="38">
        <v>4973.93</v>
      </c>
      <c r="X129" s="45">
        <v>1124108.1800000002</v>
      </c>
      <c r="Y129" s="37"/>
      <c r="Z129" s="37"/>
      <c r="AA129" s="37"/>
      <c r="AB129" s="37">
        <v>1124108.1800000002</v>
      </c>
      <c r="AC129" s="38">
        <v>4973.93</v>
      </c>
      <c r="AD129" s="32"/>
      <c r="AE129" s="11"/>
      <c r="AF129" s="11"/>
    </row>
    <row r="130">
      <c r="A130" s="11" t="s">
        <v>301</v>
      </c>
      <c r="B130" s="28">
        <v>46003.02013888889</v>
      </c>
      <c r="C130" s="28">
        <v>46006.47708333333</v>
      </c>
      <c r="D130" s="29" t="s">
        <v>32</v>
      </c>
      <c r="E130" s="11" t="b">
        <v>0</v>
      </c>
      <c r="F130" s="11" t="s">
        <v>33</v>
      </c>
      <c r="G130" s="11" t="s">
        <v>302</v>
      </c>
      <c r="H130" s="11" t="s">
        <v>303</v>
      </c>
      <c r="I130" s="31">
        <v>5.0</v>
      </c>
      <c r="J130" s="32">
        <v>114.0</v>
      </c>
      <c r="K130" s="41">
        <v>1.0</v>
      </c>
      <c r="L130" s="33">
        <v>9482.48</v>
      </c>
      <c r="M130" s="42">
        <v>0.0</v>
      </c>
      <c r="N130" s="43">
        <v>0.0</v>
      </c>
      <c r="O130" s="43">
        <v>0.0</v>
      </c>
      <c r="P130" s="44">
        <v>1.0</v>
      </c>
      <c r="Q130" s="35">
        <v>114.0</v>
      </c>
      <c r="R130" s="45">
        <v>1081002.72</v>
      </c>
      <c r="S130" s="37"/>
      <c r="T130" s="37"/>
      <c r="U130" s="37"/>
      <c r="V130" s="37">
        <v>1081002.72</v>
      </c>
      <c r="W130" s="38">
        <v>9482.48</v>
      </c>
      <c r="X130" s="45">
        <v>1081002.72</v>
      </c>
      <c r="Y130" s="37"/>
      <c r="Z130" s="37"/>
      <c r="AA130" s="37"/>
      <c r="AB130" s="37">
        <v>1081002.72</v>
      </c>
      <c r="AC130" s="38">
        <v>9482.48</v>
      </c>
      <c r="AD130" s="32"/>
      <c r="AE130" s="11"/>
      <c r="AF130" s="11"/>
    </row>
    <row r="131">
      <c r="A131" s="11" t="s">
        <v>304</v>
      </c>
      <c r="B131" s="28">
        <v>46003.626388888886</v>
      </c>
      <c r="C131" s="28">
        <v>46008.92222222222</v>
      </c>
      <c r="D131" s="29" t="s">
        <v>32</v>
      </c>
      <c r="E131" s="11" t="b">
        <v>0</v>
      </c>
      <c r="F131" s="11" t="s">
        <v>33</v>
      </c>
      <c r="G131" s="11" t="s">
        <v>302</v>
      </c>
      <c r="H131" s="11" t="s">
        <v>305</v>
      </c>
      <c r="I131" s="31">
        <v>5.0</v>
      </c>
      <c r="J131" s="32">
        <v>17.0</v>
      </c>
      <c r="K131" s="41">
        <v>1.0</v>
      </c>
      <c r="L131" s="33">
        <v>23076.0</v>
      </c>
      <c r="M131" s="42">
        <v>0.0</v>
      </c>
      <c r="N131" s="43">
        <v>0.0</v>
      </c>
      <c r="O131" s="43">
        <v>0.0</v>
      </c>
      <c r="P131" s="44">
        <v>1.0</v>
      </c>
      <c r="Q131" s="35">
        <v>17.0</v>
      </c>
      <c r="R131" s="45">
        <v>392292.0</v>
      </c>
      <c r="S131" s="37"/>
      <c r="T131" s="37"/>
      <c r="U131" s="37"/>
      <c r="V131" s="37">
        <v>392292.0</v>
      </c>
      <c r="W131" s="38">
        <v>23076.0</v>
      </c>
      <c r="X131" s="45">
        <v>392292.0</v>
      </c>
      <c r="Y131" s="37"/>
      <c r="Z131" s="37"/>
      <c r="AA131" s="37"/>
      <c r="AB131" s="37">
        <v>392292.0</v>
      </c>
      <c r="AC131" s="38">
        <v>23076.0</v>
      </c>
      <c r="AD131" s="32"/>
      <c r="AE131" s="11"/>
      <c r="AF131" s="11"/>
    </row>
    <row r="132">
      <c r="A132" s="11" t="s">
        <v>306</v>
      </c>
      <c r="B132" s="28">
        <v>46003.63333333333</v>
      </c>
      <c r="C132" s="28">
        <v>46004.81597222222</v>
      </c>
      <c r="D132" s="29" t="s">
        <v>32</v>
      </c>
      <c r="E132" s="11" t="b">
        <v>0</v>
      </c>
      <c r="F132" s="11" t="s">
        <v>33</v>
      </c>
      <c r="G132" s="11" t="s">
        <v>307</v>
      </c>
      <c r="H132" s="11" t="s">
        <v>308</v>
      </c>
      <c r="I132" s="31">
        <v>5.0</v>
      </c>
      <c r="J132" s="32">
        <v>120.0</v>
      </c>
      <c r="K132" s="41">
        <v>1.0</v>
      </c>
      <c r="L132" s="33">
        <v>20791.2</v>
      </c>
      <c r="M132" s="42">
        <v>0.0</v>
      </c>
      <c r="N132" s="43">
        <v>0.0</v>
      </c>
      <c r="O132" s="43">
        <v>0.0</v>
      </c>
      <c r="P132" s="44">
        <v>1.0</v>
      </c>
      <c r="Q132" s="35">
        <v>120.0</v>
      </c>
      <c r="R132" s="45">
        <v>2494944.0</v>
      </c>
      <c r="S132" s="37"/>
      <c r="T132" s="37"/>
      <c r="U132" s="37"/>
      <c r="V132" s="37">
        <v>2494944.0</v>
      </c>
      <c r="W132" s="38">
        <v>20791.2</v>
      </c>
      <c r="X132" s="45">
        <v>2494944.0</v>
      </c>
      <c r="Y132" s="37"/>
      <c r="Z132" s="37"/>
      <c r="AA132" s="37"/>
      <c r="AB132" s="37">
        <v>2494944.0</v>
      </c>
      <c r="AC132" s="38">
        <v>20791.2</v>
      </c>
      <c r="AD132" s="32"/>
      <c r="AE132" s="11"/>
      <c r="AF132" s="11"/>
    </row>
    <row r="133">
      <c r="A133" s="11" t="s">
        <v>309</v>
      </c>
      <c r="B133" s="28">
        <v>46022.416666666664</v>
      </c>
      <c r="C133" s="28">
        <v>46022.458333333336</v>
      </c>
      <c r="D133" s="29" t="s">
        <v>32</v>
      </c>
      <c r="E133" s="11" t="b">
        <v>0</v>
      </c>
      <c r="F133" s="11" t="s">
        <v>310</v>
      </c>
      <c r="G133" s="11" t="s">
        <v>311</v>
      </c>
      <c r="H133" s="11"/>
      <c r="I133" s="31">
        <v>5.0</v>
      </c>
      <c r="J133" s="32">
        <v>70.0</v>
      </c>
      <c r="K133" s="41">
        <v>1.0</v>
      </c>
      <c r="L133" s="33"/>
      <c r="M133" s="42">
        <v>0.0</v>
      </c>
      <c r="N133" s="43">
        <v>0.0</v>
      </c>
      <c r="O133" s="43">
        <v>0.0</v>
      </c>
      <c r="P133" s="44">
        <v>1.0</v>
      </c>
      <c r="Q133" s="35">
        <v>70.0</v>
      </c>
      <c r="R133" s="45"/>
      <c r="S133" s="37"/>
      <c r="T133" s="37"/>
      <c r="U133" s="37"/>
      <c r="V133" s="37"/>
      <c r="W133" s="38"/>
      <c r="X133" s="45"/>
      <c r="Y133" s="37"/>
      <c r="Z133" s="37"/>
      <c r="AA133" s="37"/>
      <c r="AB133" s="37"/>
      <c r="AC133" s="38"/>
      <c r="AD133" s="32"/>
      <c r="AE133" s="11"/>
      <c r="AF133" s="11"/>
    </row>
    <row r="134">
      <c r="A134" s="11" t="s">
        <v>173</v>
      </c>
      <c r="B134" s="28">
        <v>46024.65902777778</v>
      </c>
      <c r="C134" s="28">
        <v>46036.748611111114</v>
      </c>
      <c r="D134" s="29" t="s">
        <v>32</v>
      </c>
      <c r="E134" s="11" t="b">
        <v>0</v>
      </c>
      <c r="F134" s="11" t="s">
        <v>149</v>
      </c>
      <c r="G134" s="11" t="s">
        <v>149</v>
      </c>
      <c r="H134" s="11" t="s">
        <v>149</v>
      </c>
      <c r="I134" s="31">
        <v>5.0</v>
      </c>
      <c r="J134" s="32">
        <v>1.0</v>
      </c>
      <c r="K134" s="46">
        <v>144.0</v>
      </c>
      <c r="L134" s="33">
        <f>(1614384)/P134</f>
        <v>1614384</v>
      </c>
      <c r="M134" s="49">
        <v>9.0</v>
      </c>
      <c r="N134" s="43">
        <v>9.0</v>
      </c>
      <c r="O134" s="43">
        <v>9.0</v>
      </c>
      <c r="P134" s="44">
        <v>1.0</v>
      </c>
      <c r="Q134" s="35">
        <v>144.0</v>
      </c>
      <c r="R134" s="45">
        <v>1614384.0</v>
      </c>
      <c r="S134" s="37">
        <v>9.0</v>
      </c>
      <c r="T134" s="37">
        <v>9.0</v>
      </c>
      <c r="U134" s="37">
        <v>9.0</v>
      </c>
      <c r="V134" s="37">
        <v>1614375.0</v>
      </c>
      <c r="W134" s="38">
        <v>11210.9375</v>
      </c>
      <c r="X134" s="45">
        <v>1614384.0</v>
      </c>
      <c r="Y134" s="37">
        <v>9.0</v>
      </c>
      <c r="Z134" s="37">
        <v>9.0</v>
      </c>
      <c r="AA134" s="37">
        <v>9.0</v>
      </c>
      <c r="AB134" s="37">
        <v>1614375.0</v>
      </c>
      <c r="AC134" s="38">
        <v>11210.9375</v>
      </c>
      <c r="AD134" s="32"/>
      <c r="AE134" s="11"/>
      <c r="AF134" s="11"/>
    </row>
    <row r="135">
      <c r="A135" s="11" t="s">
        <v>237</v>
      </c>
      <c r="B135" s="28">
        <v>46041.6875</v>
      </c>
      <c r="C135" s="28">
        <v>46047.597916666666</v>
      </c>
      <c r="D135" s="29" t="s">
        <v>312</v>
      </c>
      <c r="E135" s="11" t="b">
        <v>0</v>
      </c>
      <c r="F135" s="11" t="s">
        <v>313</v>
      </c>
      <c r="G135" s="11" t="s">
        <v>106</v>
      </c>
      <c r="H135" s="11" t="s">
        <v>314</v>
      </c>
      <c r="I135" s="31">
        <v>5.0</v>
      </c>
      <c r="J135" s="32">
        <v>99.0</v>
      </c>
      <c r="K135" s="46">
        <v>1.0</v>
      </c>
      <c r="L135" s="33">
        <f>(380)/P135</f>
        <v>380</v>
      </c>
      <c r="M135" s="42">
        <f>(2000)/P135</f>
        <v>2000</v>
      </c>
      <c r="N135" s="43">
        <f>(15000)/P135</f>
        <v>15000</v>
      </c>
      <c r="O135" s="43">
        <v>0.0</v>
      </c>
      <c r="P135" s="44">
        <v>1.0</v>
      </c>
      <c r="Q135" s="35">
        <v>99.0</v>
      </c>
      <c r="R135" s="45">
        <v>37620.0</v>
      </c>
      <c r="S135" s="37">
        <v>2000.0</v>
      </c>
      <c r="T135" s="37">
        <v>15000.0</v>
      </c>
      <c r="U135" s="37"/>
      <c r="V135" s="37">
        <v>24620.0</v>
      </c>
      <c r="W135" s="38">
        <v>248.68686868686868</v>
      </c>
      <c r="X135" s="45">
        <v>37620.0</v>
      </c>
      <c r="Y135" s="37">
        <v>2000.0</v>
      </c>
      <c r="Z135" s="37">
        <v>15000.0</v>
      </c>
      <c r="AA135" s="37"/>
      <c r="AB135" s="37">
        <v>24620.0</v>
      </c>
      <c r="AC135" s="38">
        <v>248.68686868686868</v>
      </c>
      <c r="AD135" s="32"/>
      <c r="AE135" s="11"/>
      <c r="AF135" s="11"/>
    </row>
    <row r="136">
      <c r="A136" s="11" t="s">
        <v>147</v>
      </c>
      <c r="B136" s="28">
        <v>46044.45763888889</v>
      </c>
      <c r="C136" s="28">
        <v>46047.370833333334</v>
      </c>
      <c r="D136" s="29" t="s">
        <v>312</v>
      </c>
      <c r="E136" s="11" t="b">
        <v>0</v>
      </c>
      <c r="F136" s="11" t="s">
        <v>313</v>
      </c>
      <c r="G136" s="11" t="s">
        <v>315</v>
      </c>
      <c r="H136" s="11" t="s">
        <v>316</v>
      </c>
      <c r="I136" s="31">
        <v>5.0</v>
      </c>
      <c r="J136" s="32">
        <v>5.0</v>
      </c>
      <c r="K136" s="46">
        <v>6.0</v>
      </c>
      <c r="L136" s="33">
        <f>(28950)/P136</f>
        <v>28950</v>
      </c>
      <c r="M136" s="42">
        <f t="shared" ref="M136:M137" si="1">(1200)/P136</f>
        <v>1200</v>
      </c>
      <c r="N136" s="43">
        <f>(28950)/P136</f>
        <v>28950</v>
      </c>
      <c r="O136" s="43">
        <v>0.0</v>
      </c>
      <c r="P136" s="44">
        <v>1.0</v>
      </c>
      <c r="Q136" s="35">
        <v>30.0</v>
      </c>
      <c r="R136" s="45">
        <v>144750.0</v>
      </c>
      <c r="S136" s="37">
        <v>1200.0</v>
      </c>
      <c r="T136" s="37">
        <v>28950.0</v>
      </c>
      <c r="U136" s="37"/>
      <c r="V136" s="37">
        <v>117000.0</v>
      </c>
      <c r="W136" s="38">
        <v>3900.0</v>
      </c>
      <c r="X136" s="45">
        <v>144750.0</v>
      </c>
      <c r="Y136" s="37">
        <v>1200.0</v>
      </c>
      <c r="Z136" s="37">
        <v>28950.0</v>
      </c>
      <c r="AA136" s="37"/>
      <c r="AB136" s="37">
        <v>117000.0</v>
      </c>
      <c r="AC136" s="38">
        <v>3900.0</v>
      </c>
      <c r="AD136" s="32"/>
      <c r="AE136" s="11"/>
      <c r="AF136" s="11"/>
    </row>
    <row r="137">
      <c r="A137" s="11" t="s">
        <v>117</v>
      </c>
      <c r="B137" s="28">
        <v>46047.99513888889</v>
      </c>
      <c r="C137" s="50">
        <v>46050.48263888889</v>
      </c>
      <c r="D137" s="29" t="s">
        <v>32</v>
      </c>
      <c r="E137" s="11" t="b">
        <v>0</v>
      </c>
      <c r="F137" s="11" t="s">
        <v>313</v>
      </c>
      <c r="G137" s="11" t="s">
        <v>317</v>
      </c>
      <c r="H137" s="11" t="s">
        <v>318</v>
      </c>
      <c r="I137" s="31">
        <v>5.0</v>
      </c>
      <c r="J137" s="32">
        <v>1020.0</v>
      </c>
      <c r="K137" s="46">
        <v>1.0</v>
      </c>
      <c r="L137" s="33">
        <f>(210)/P137</f>
        <v>210</v>
      </c>
      <c r="M137" s="42">
        <f t="shared" si="1"/>
        <v>1200</v>
      </c>
      <c r="N137" s="43">
        <f>(32130)/P137</f>
        <v>32130</v>
      </c>
      <c r="O137" s="43">
        <v>0.0</v>
      </c>
      <c r="P137" s="44">
        <v>1.0</v>
      </c>
      <c r="Q137" s="35">
        <v>1020.0</v>
      </c>
      <c r="R137" s="45">
        <v>214200.0</v>
      </c>
      <c r="S137" s="37">
        <v>1200.0</v>
      </c>
      <c r="T137" s="37">
        <v>32130.0</v>
      </c>
      <c r="U137" s="37"/>
      <c r="V137" s="37">
        <v>183270.0</v>
      </c>
      <c r="W137" s="38">
        <v>179.6764705882353</v>
      </c>
      <c r="X137" s="45">
        <v>214200.0</v>
      </c>
      <c r="Y137" s="37">
        <v>1200.0</v>
      </c>
      <c r="Z137" s="37">
        <v>32130.0</v>
      </c>
      <c r="AA137" s="37"/>
      <c r="AB137" s="37">
        <v>183270.0</v>
      </c>
      <c r="AC137" s="38">
        <v>179.6764705882353</v>
      </c>
      <c r="AD137" s="32"/>
      <c r="AE137" s="11"/>
      <c r="AF137" s="11"/>
    </row>
    <row r="138">
      <c r="A138" s="11" t="s">
        <v>319</v>
      </c>
      <c r="B138" s="28">
        <v>46052.48421296296</v>
      </c>
      <c r="C138" s="51">
        <v>46116.700694444444</v>
      </c>
      <c r="D138" s="29" t="s">
        <v>32</v>
      </c>
      <c r="E138" s="11" t="b">
        <v>1</v>
      </c>
      <c r="F138" s="11" t="s">
        <v>222</v>
      </c>
      <c r="G138" s="52" t="s">
        <v>320</v>
      </c>
      <c r="H138" s="11" t="s">
        <v>321</v>
      </c>
      <c r="I138" s="31">
        <v>5.0</v>
      </c>
      <c r="J138" s="32">
        <v>5000.0</v>
      </c>
      <c r="K138" s="46">
        <v>1.0</v>
      </c>
      <c r="L138" s="33">
        <f>(1435)/P138</f>
        <v>1435</v>
      </c>
      <c r="M138" s="42">
        <f>(25530)/P138</f>
        <v>25530</v>
      </c>
      <c r="N138" s="43">
        <f t="shared" ref="N138:N144" si="2">(500000)*(R138/50094000)</f>
        <v>71615.36312</v>
      </c>
      <c r="O138" s="43"/>
      <c r="P138" s="44">
        <v>1.0</v>
      </c>
      <c r="Q138" s="35">
        <v>5000.0</v>
      </c>
      <c r="R138" s="45">
        <v>7175000.0</v>
      </c>
      <c r="S138" s="37">
        <v>25530.0</v>
      </c>
      <c r="T138" s="37">
        <v>71615.36311733941</v>
      </c>
      <c r="U138" s="37"/>
      <c r="V138" s="37">
        <v>7128914.636882661</v>
      </c>
      <c r="W138" s="38">
        <v>1425.7829273765321</v>
      </c>
      <c r="X138" s="45">
        <v>7175000.0</v>
      </c>
      <c r="Y138" s="37">
        <v>25530.0</v>
      </c>
      <c r="Z138" s="37">
        <v>71615.36311733941</v>
      </c>
      <c r="AA138" s="37"/>
      <c r="AB138" s="37">
        <v>7128914.636882661</v>
      </c>
      <c r="AC138" s="38">
        <v>1425.7829273765321</v>
      </c>
      <c r="AD138" s="32"/>
      <c r="AE138" s="11"/>
      <c r="AF138" s="11"/>
    </row>
    <row r="139">
      <c r="A139" s="11" t="s">
        <v>88</v>
      </c>
      <c r="B139" s="28">
        <v>46052.48422453704</v>
      </c>
      <c r="C139" s="51">
        <v>46116.700694444444</v>
      </c>
      <c r="D139" s="29" t="s">
        <v>32</v>
      </c>
      <c r="E139" s="11" t="b">
        <v>1</v>
      </c>
      <c r="F139" s="11" t="s">
        <v>222</v>
      </c>
      <c r="G139" s="52" t="s">
        <v>86</v>
      </c>
      <c r="H139" s="11" t="s">
        <v>322</v>
      </c>
      <c r="I139" s="31">
        <v>5.0</v>
      </c>
      <c r="J139" s="32">
        <v>2000.0</v>
      </c>
      <c r="K139" s="46">
        <v>1.0</v>
      </c>
      <c r="L139" s="33">
        <f t="shared" ref="L139:L142" si="3">(1781)/P139</f>
        <v>1781</v>
      </c>
      <c r="M139" s="49">
        <f t="shared" ref="M139:M142" si="4">(233322)*(R139/33839000)</f>
        <v>24560.21053</v>
      </c>
      <c r="N139" s="43">
        <f t="shared" si="2"/>
        <v>35553.16006</v>
      </c>
      <c r="O139" s="43"/>
      <c r="P139" s="44">
        <v>1.0</v>
      </c>
      <c r="Q139" s="35">
        <v>2000.0</v>
      </c>
      <c r="R139" s="45">
        <v>3562000.0</v>
      </c>
      <c r="S139" s="37">
        <v>24560.210526315786</v>
      </c>
      <c r="T139" s="37">
        <v>35553.160059088914</v>
      </c>
      <c r="U139" s="37"/>
      <c r="V139" s="37">
        <v>3551007.050467227</v>
      </c>
      <c r="W139" s="38">
        <v>1775.5035252336136</v>
      </c>
      <c r="X139" s="45">
        <v>3562000.0</v>
      </c>
      <c r="Y139" s="37">
        <v>24560.210526315786</v>
      </c>
      <c r="Z139" s="37">
        <v>35553.160059088914</v>
      </c>
      <c r="AA139" s="37"/>
      <c r="AB139" s="37">
        <v>3551007.050467227</v>
      </c>
      <c r="AC139" s="38">
        <v>1775.5035252336136</v>
      </c>
      <c r="AD139" s="32"/>
      <c r="AE139" s="11"/>
      <c r="AF139" s="11"/>
    </row>
    <row r="140">
      <c r="A140" s="11" t="s">
        <v>85</v>
      </c>
      <c r="B140" s="28">
        <v>46052.48423611111</v>
      </c>
      <c r="C140" s="51">
        <v>46116.700694444444</v>
      </c>
      <c r="D140" s="29" t="s">
        <v>32</v>
      </c>
      <c r="E140" s="11" t="b">
        <v>1</v>
      </c>
      <c r="F140" s="11" t="s">
        <v>222</v>
      </c>
      <c r="G140" s="52" t="s">
        <v>86</v>
      </c>
      <c r="H140" s="11" t="s">
        <v>322</v>
      </c>
      <c r="I140" s="31">
        <v>5.0</v>
      </c>
      <c r="J140" s="32">
        <v>5000.0</v>
      </c>
      <c r="K140" s="46">
        <v>1.0</v>
      </c>
      <c r="L140" s="33">
        <f t="shared" si="3"/>
        <v>1781</v>
      </c>
      <c r="M140" s="49">
        <f t="shared" si="4"/>
        <v>61400.52632</v>
      </c>
      <c r="N140" s="43">
        <f t="shared" si="2"/>
        <v>88882.90015</v>
      </c>
      <c r="O140" s="43"/>
      <c r="P140" s="44">
        <v>1.0</v>
      </c>
      <c r="Q140" s="35">
        <v>5000.0</v>
      </c>
      <c r="R140" s="45">
        <v>8905000.0</v>
      </c>
      <c r="S140" s="37">
        <v>61400.52631578947</v>
      </c>
      <c r="T140" s="37">
        <v>88882.90014772228</v>
      </c>
      <c r="U140" s="37"/>
      <c r="V140" s="37">
        <v>8877517.626168067</v>
      </c>
      <c r="W140" s="38">
        <v>1775.5035252336133</v>
      </c>
      <c r="X140" s="45">
        <v>8905000.0</v>
      </c>
      <c r="Y140" s="37">
        <v>61400.52631578947</v>
      </c>
      <c r="Z140" s="37">
        <v>88882.90014772228</v>
      </c>
      <c r="AA140" s="37"/>
      <c r="AB140" s="37">
        <v>8877517.626168067</v>
      </c>
      <c r="AC140" s="38">
        <v>1775.5035252336133</v>
      </c>
      <c r="AD140" s="32"/>
      <c r="AE140" s="11"/>
      <c r="AF140" s="11"/>
    </row>
    <row r="141">
      <c r="A141" s="11" t="s">
        <v>157</v>
      </c>
      <c r="B141" s="28">
        <v>46052.484247685185</v>
      </c>
      <c r="C141" s="51">
        <v>46116.700694444444</v>
      </c>
      <c r="D141" s="29" t="s">
        <v>32</v>
      </c>
      <c r="E141" s="11" t="b">
        <v>1</v>
      </c>
      <c r="F141" s="11" t="s">
        <v>222</v>
      </c>
      <c r="G141" s="52" t="s">
        <v>86</v>
      </c>
      <c r="H141" s="11" t="s">
        <v>322</v>
      </c>
      <c r="I141" s="31">
        <v>5.0</v>
      </c>
      <c r="J141" s="32">
        <v>10000.0</v>
      </c>
      <c r="K141" s="46">
        <v>1.0</v>
      </c>
      <c r="L141" s="33">
        <f t="shared" si="3"/>
        <v>1781</v>
      </c>
      <c r="M141" s="49">
        <f t="shared" si="4"/>
        <v>122801.0526</v>
      </c>
      <c r="N141" s="43">
        <f t="shared" si="2"/>
        <v>177765.8003</v>
      </c>
      <c r="O141" s="43"/>
      <c r="P141" s="44">
        <v>1.0</v>
      </c>
      <c r="Q141" s="35">
        <v>10000.0</v>
      </c>
      <c r="R141" s="45">
        <v>1.781E7</v>
      </c>
      <c r="S141" s="37">
        <v>122801.05263157895</v>
      </c>
      <c r="T141" s="37">
        <v>177765.80029544455</v>
      </c>
      <c r="U141" s="37"/>
      <c r="V141" s="37">
        <v>1.7755035252336133E7</v>
      </c>
      <c r="W141" s="38">
        <v>1775.5035252336133</v>
      </c>
      <c r="X141" s="45">
        <v>1.781E7</v>
      </c>
      <c r="Y141" s="37">
        <v>122801.05263157895</v>
      </c>
      <c r="Z141" s="37">
        <v>177765.80029544455</v>
      </c>
      <c r="AA141" s="37"/>
      <c r="AB141" s="37">
        <v>1.7755035252336133E7</v>
      </c>
      <c r="AC141" s="38">
        <v>1775.5035252336133</v>
      </c>
      <c r="AD141" s="32"/>
      <c r="AE141" s="11"/>
      <c r="AF141" s="11"/>
    </row>
    <row r="142">
      <c r="A142" s="11" t="s">
        <v>136</v>
      </c>
      <c r="B142" s="28">
        <v>46052.48425925926</v>
      </c>
      <c r="C142" s="51">
        <v>46116.700694444444</v>
      </c>
      <c r="D142" s="29" t="s">
        <v>32</v>
      </c>
      <c r="E142" s="11" t="b">
        <v>1</v>
      </c>
      <c r="F142" s="11" t="s">
        <v>222</v>
      </c>
      <c r="G142" s="52" t="s">
        <v>86</v>
      </c>
      <c r="H142" s="11" t="s">
        <v>322</v>
      </c>
      <c r="I142" s="31">
        <v>5.0</v>
      </c>
      <c r="J142" s="32">
        <v>2000.0</v>
      </c>
      <c r="K142" s="46">
        <v>1.0</v>
      </c>
      <c r="L142" s="33">
        <f t="shared" si="3"/>
        <v>1781</v>
      </c>
      <c r="M142" s="49">
        <f t="shared" si="4"/>
        <v>24560.21053</v>
      </c>
      <c r="N142" s="43">
        <f t="shared" si="2"/>
        <v>35553.16006</v>
      </c>
      <c r="O142" s="43"/>
      <c r="P142" s="44">
        <v>1.0</v>
      </c>
      <c r="Q142" s="35">
        <v>2000.0</v>
      </c>
      <c r="R142" s="45">
        <v>3562000.0</v>
      </c>
      <c r="S142" s="37">
        <v>24560.210526315786</v>
      </c>
      <c r="T142" s="37">
        <v>35553.160059088914</v>
      </c>
      <c r="U142" s="37"/>
      <c r="V142" s="37">
        <v>3551007.050467227</v>
      </c>
      <c r="W142" s="38">
        <v>1775.5035252336136</v>
      </c>
      <c r="X142" s="45">
        <v>3562000.0</v>
      </c>
      <c r="Y142" s="37">
        <v>24560.210526315786</v>
      </c>
      <c r="Z142" s="37">
        <v>35553.160059088914</v>
      </c>
      <c r="AA142" s="37"/>
      <c r="AB142" s="37">
        <v>3551007.050467227</v>
      </c>
      <c r="AC142" s="38">
        <v>1775.5035252336136</v>
      </c>
      <c r="AD142" s="32"/>
      <c r="AE142" s="11"/>
      <c r="AF142" s="11"/>
    </row>
    <row r="143">
      <c r="A143" s="11" t="s">
        <v>290</v>
      </c>
      <c r="B143" s="28">
        <v>46052.48427083333</v>
      </c>
      <c r="C143" s="51">
        <v>46116.700694444444</v>
      </c>
      <c r="D143" s="29" t="s">
        <v>32</v>
      </c>
      <c r="E143" s="11" t="b">
        <v>1</v>
      </c>
      <c r="F143" s="11" t="s">
        <v>222</v>
      </c>
      <c r="G143" s="40" t="s">
        <v>323</v>
      </c>
      <c r="H143" s="11" t="s">
        <v>324</v>
      </c>
      <c r="I143" s="31">
        <v>5.0</v>
      </c>
      <c r="J143" s="32">
        <v>10000.0</v>
      </c>
      <c r="K143" s="46">
        <v>1.0</v>
      </c>
      <c r="L143" s="33">
        <f>(590)/P143</f>
        <v>590</v>
      </c>
      <c r="M143" s="42">
        <f t="shared" ref="M143:M144" si="5">(18870)/P143</f>
        <v>18870</v>
      </c>
      <c r="N143" s="43">
        <f t="shared" si="2"/>
        <v>58889.28814</v>
      </c>
      <c r="O143" s="43"/>
      <c r="P143" s="44">
        <v>1.0</v>
      </c>
      <c r="Q143" s="35">
        <v>10000.0</v>
      </c>
      <c r="R143" s="45">
        <v>5900000.0</v>
      </c>
      <c r="S143" s="37">
        <v>18870.0</v>
      </c>
      <c r="T143" s="37">
        <v>58889.28813829999</v>
      </c>
      <c r="U143" s="37"/>
      <c r="V143" s="37">
        <v>5859980.7118617</v>
      </c>
      <c r="W143" s="38">
        <v>585.99807118617</v>
      </c>
      <c r="X143" s="45">
        <v>5900000.0</v>
      </c>
      <c r="Y143" s="37">
        <v>18870.0</v>
      </c>
      <c r="Z143" s="37">
        <v>58889.28813829999</v>
      </c>
      <c r="AA143" s="37"/>
      <c r="AB143" s="37">
        <v>5859980.7118617</v>
      </c>
      <c r="AC143" s="38">
        <v>585.99807118617</v>
      </c>
      <c r="AD143" s="32"/>
      <c r="AE143" s="11"/>
      <c r="AF143" s="11"/>
    </row>
    <row r="144">
      <c r="A144" s="11" t="s">
        <v>177</v>
      </c>
      <c r="B144" s="28">
        <v>46052.48428240741</v>
      </c>
      <c r="C144" s="51">
        <v>46116.700694444444</v>
      </c>
      <c r="D144" s="29" t="s">
        <v>32</v>
      </c>
      <c r="E144" s="11" t="b">
        <v>1</v>
      </c>
      <c r="F144" s="11" t="s">
        <v>222</v>
      </c>
      <c r="G144" s="52" t="s">
        <v>178</v>
      </c>
      <c r="H144" s="11" t="s">
        <v>325</v>
      </c>
      <c r="I144" s="31">
        <v>5.0</v>
      </c>
      <c r="J144" s="32">
        <v>10000.0</v>
      </c>
      <c r="K144" s="46">
        <v>1.0</v>
      </c>
      <c r="L144" s="33">
        <f>(318)/P144</f>
        <v>318</v>
      </c>
      <c r="M144" s="42">
        <f t="shared" si="5"/>
        <v>18870</v>
      </c>
      <c r="N144" s="43">
        <f t="shared" si="2"/>
        <v>31740.32818</v>
      </c>
      <c r="O144" s="43"/>
      <c r="P144" s="44">
        <v>1.0</v>
      </c>
      <c r="Q144" s="35">
        <v>10000.0</v>
      </c>
      <c r="R144" s="45">
        <v>3180000.0</v>
      </c>
      <c r="S144" s="37">
        <v>18870.0</v>
      </c>
      <c r="T144" s="37">
        <v>31740.32818301593</v>
      </c>
      <c r="U144" s="37"/>
      <c r="V144" s="37">
        <v>3167129.671816984</v>
      </c>
      <c r="W144" s="38">
        <v>316.71296718169845</v>
      </c>
      <c r="X144" s="45">
        <v>3180000.0</v>
      </c>
      <c r="Y144" s="37">
        <v>18870.0</v>
      </c>
      <c r="Z144" s="37">
        <v>31740.32818301593</v>
      </c>
      <c r="AA144" s="37"/>
      <c r="AB144" s="37">
        <v>3167129.671816984</v>
      </c>
      <c r="AC144" s="38">
        <v>316.71296718169845</v>
      </c>
      <c r="AD144" s="32"/>
      <c r="AE144" s="11"/>
      <c r="AF144" s="11"/>
    </row>
    <row r="145">
      <c r="A145" s="11" t="s">
        <v>204</v>
      </c>
      <c r="B145" s="28">
        <v>46054.20486111111</v>
      </c>
      <c r="C145" s="51">
        <v>46060.506944444445</v>
      </c>
      <c r="D145" s="29" t="s">
        <v>32</v>
      </c>
      <c r="E145" s="11" t="b">
        <v>0</v>
      </c>
      <c r="F145" s="11" t="s">
        <v>313</v>
      </c>
      <c r="G145" s="11" t="s">
        <v>326</v>
      </c>
      <c r="H145" s="11" t="s">
        <v>327</v>
      </c>
      <c r="I145" s="31">
        <v>5.0</v>
      </c>
      <c r="J145" s="32">
        <v>27.0</v>
      </c>
      <c r="K145" s="46">
        <v>1.0</v>
      </c>
      <c r="L145" s="33">
        <f>(750)/P145</f>
        <v>750</v>
      </c>
      <c r="M145" s="42">
        <f>(1000)/P145</f>
        <v>1000</v>
      </c>
      <c r="N145" s="43">
        <f>(4000)/P145</f>
        <v>4000</v>
      </c>
      <c r="O145" s="43"/>
      <c r="P145" s="44">
        <v>1.0</v>
      </c>
      <c r="Q145" s="35">
        <v>27.0</v>
      </c>
      <c r="R145" s="45">
        <v>20250.0</v>
      </c>
      <c r="S145" s="37">
        <v>1000.0</v>
      </c>
      <c r="T145" s="37">
        <v>4000.0</v>
      </c>
      <c r="U145" s="37"/>
      <c r="V145" s="37">
        <v>17250.0</v>
      </c>
      <c r="W145" s="38">
        <v>638.8888888888889</v>
      </c>
      <c r="X145" s="45">
        <v>20250.0</v>
      </c>
      <c r="Y145" s="37">
        <v>1000.0</v>
      </c>
      <c r="Z145" s="37">
        <v>4000.0</v>
      </c>
      <c r="AA145" s="37"/>
      <c r="AB145" s="37">
        <v>17250.0</v>
      </c>
      <c r="AC145" s="38">
        <v>638.8888888888889</v>
      </c>
      <c r="AD145" s="32"/>
      <c r="AE145" s="11"/>
      <c r="AF145" s="11"/>
    </row>
    <row r="146">
      <c r="A146" s="11" t="s">
        <v>157</v>
      </c>
      <c r="B146" s="28">
        <v>46054.21597222222</v>
      </c>
      <c r="C146" s="51">
        <v>46060.48125</v>
      </c>
      <c r="D146" s="29" t="s">
        <v>32</v>
      </c>
      <c r="E146" s="11" t="b">
        <v>0</v>
      </c>
      <c r="F146" s="11" t="s">
        <v>313</v>
      </c>
      <c r="G146" s="11" t="s">
        <v>106</v>
      </c>
      <c r="H146" s="11" t="s">
        <v>328</v>
      </c>
      <c r="I146" s="31">
        <v>5.0</v>
      </c>
      <c r="J146" s="32">
        <v>580.0</v>
      </c>
      <c r="K146" s="46">
        <v>1.0</v>
      </c>
      <c r="L146" s="33">
        <f>(2300)/P146</f>
        <v>2300</v>
      </c>
      <c r="M146" s="42">
        <f t="shared" ref="M146:M149" si="6">(3000)/P146</f>
        <v>3000</v>
      </c>
      <c r="N146" s="43">
        <f>(199725 + 2500)/P146</f>
        <v>202225</v>
      </c>
      <c r="O146" s="43">
        <v>0.0</v>
      </c>
      <c r="P146" s="44">
        <v>1.0</v>
      </c>
      <c r="Q146" s="35">
        <v>580.0</v>
      </c>
      <c r="R146" s="45">
        <v>1334000.0</v>
      </c>
      <c r="S146" s="37">
        <v>3000.0</v>
      </c>
      <c r="T146" s="37">
        <v>202225.0</v>
      </c>
      <c r="U146" s="37"/>
      <c r="V146" s="37">
        <v>1134775.0</v>
      </c>
      <c r="W146" s="38">
        <v>1956.5086206896551</v>
      </c>
      <c r="X146" s="45">
        <v>1334000.0</v>
      </c>
      <c r="Y146" s="37">
        <v>3000.0</v>
      </c>
      <c r="Z146" s="37">
        <v>202225.0</v>
      </c>
      <c r="AA146" s="37"/>
      <c r="AB146" s="37">
        <v>1134775.0</v>
      </c>
      <c r="AC146" s="38">
        <v>1956.5086206896551</v>
      </c>
      <c r="AD146" s="32"/>
      <c r="AE146" s="11"/>
      <c r="AF146" s="11"/>
    </row>
    <row r="147">
      <c r="A147" s="11" t="s">
        <v>251</v>
      </c>
      <c r="B147" s="28">
        <v>46059.84027777778</v>
      </c>
      <c r="C147" s="51">
        <v>46062.61388888889</v>
      </c>
      <c r="D147" s="29" t="s">
        <v>32</v>
      </c>
      <c r="E147" s="11" t="b">
        <v>0</v>
      </c>
      <c r="F147" s="11" t="s">
        <v>313</v>
      </c>
      <c r="G147" s="11" t="s">
        <v>329</v>
      </c>
      <c r="H147" s="11" t="s">
        <v>330</v>
      </c>
      <c r="I147" s="31">
        <v>5.0</v>
      </c>
      <c r="J147" s="32">
        <v>16.0</v>
      </c>
      <c r="K147" s="46">
        <v>1.0</v>
      </c>
      <c r="L147" s="33">
        <f>(18800)/P147</f>
        <v>18800</v>
      </c>
      <c r="M147" s="42">
        <f t="shared" si="6"/>
        <v>3000</v>
      </c>
      <c r="N147" s="43">
        <f>(99264)/P147</f>
        <v>99264</v>
      </c>
      <c r="O147" s="43"/>
      <c r="P147" s="44">
        <v>1.0</v>
      </c>
      <c r="Q147" s="35">
        <v>16.0</v>
      </c>
      <c r="R147" s="45">
        <v>300800.0</v>
      </c>
      <c r="S147" s="37">
        <v>3000.0</v>
      </c>
      <c r="T147" s="37">
        <v>99264.0</v>
      </c>
      <c r="U147" s="37"/>
      <c r="V147" s="37">
        <v>204536.0</v>
      </c>
      <c r="W147" s="38">
        <v>12783.5</v>
      </c>
      <c r="X147" s="45">
        <v>300800.0</v>
      </c>
      <c r="Y147" s="37">
        <v>3000.0</v>
      </c>
      <c r="Z147" s="37">
        <v>99264.0</v>
      </c>
      <c r="AA147" s="37"/>
      <c r="AB147" s="37">
        <v>204536.0</v>
      </c>
      <c r="AC147" s="38">
        <v>12783.5</v>
      </c>
      <c r="AD147" s="32"/>
      <c r="AE147" s="11"/>
      <c r="AF147" s="11"/>
    </row>
    <row r="148">
      <c r="A148" s="11" t="s">
        <v>256</v>
      </c>
      <c r="B148" s="28">
        <v>46061.83472222222</v>
      </c>
      <c r="C148" s="51">
        <v>46064.58819444444</v>
      </c>
      <c r="D148" s="29" t="s">
        <v>312</v>
      </c>
      <c r="E148" s="11" t="b">
        <v>0</v>
      </c>
      <c r="F148" s="11" t="s">
        <v>313</v>
      </c>
      <c r="G148" s="11" t="s">
        <v>257</v>
      </c>
      <c r="H148" s="11" t="s">
        <v>331</v>
      </c>
      <c r="I148" s="31">
        <v>5.0</v>
      </c>
      <c r="J148" s="32">
        <v>310.0</v>
      </c>
      <c r="K148" s="46">
        <v>1.0</v>
      </c>
      <c r="L148" s="33">
        <f>(975)/P148</f>
        <v>975</v>
      </c>
      <c r="M148" s="42">
        <f t="shared" si="6"/>
        <v>3000</v>
      </c>
      <c r="N148" s="43">
        <f>(99743)/P148</f>
        <v>99743</v>
      </c>
      <c r="O148" s="43"/>
      <c r="P148" s="44">
        <v>1.0</v>
      </c>
      <c r="Q148" s="35">
        <v>310.0</v>
      </c>
      <c r="R148" s="45">
        <v>302250.0</v>
      </c>
      <c r="S148" s="37">
        <v>3000.0</v>
      </c>
      <c r="T148" s="37">
        <v>99743.0</v>
      </c>
      <c r="U148" s="37"/>
      <c r="V148" s="37">
        <v>205507.0</v>
      </c>
      <c r="W148" s="38">
        <v>662.9258064516129</v>
      </c>
      <c r="X148" s="45">
        <v>302250.0</v>
      </c>
      <c r="Y148" s="37">
        <v>3000.0</v>
      </c>
      <c r="Z148" s="37">
        <v>99743.0</v>
      </c>
      <c r="AA148" s="37"/>
      <c r="AB148" s="37">
        <v>205507.0</v>
      </c>
      <c r="AC148" s="38">
        <v>662.9258064516129</v>
      </c>
      <c r="AD148" s="32"/>
      <c r="AE148" s="11"/>
      <c r="AF148" s="11"/>
    </row>
    <row r="149">
      <c r="A149" s="11" t="s">
        <v>294</v>
      </c>
      <c r="B149" s="28">
        <v>46061.8375</v>
      </c>
      <c r="C149" s="51">
        <v>46065.319444444445</v>
      </c>
      <c r="D149" s="29" t="s">
        <v>32</v>
      </c>
      <c r="E149" s="11" t="b">
        <v>0</v>
      </c>
      <c r="F149" s="11" t="s">
        <v>313</v>
      </c>
      <c r="G149" s="11" t="s">
        <v>332</v>
      </c>
      <c r="H149" s="11" t="s">
        <v>333</v>
      </c>
      <c r="I149" s="31">
        <v>5.0</v>
      </c>
      <c r="J149" s="32">
        <v>759.0</v>
      </c>
      <c r="K149" s="46">
        <v>1.0</v>
      </c>
      <c r="L149" s="33">
        <f>(399)/P149</f>
        <v>399</v>
      </c>
      <c r="M149" s="42">
        <f t="shared" si="6"/>
        <v>3000</v>
      </c>
      <c r="N149" s="43">
        <f>(99938)/P149</f>
        <v>99938</v>
      </c>
      <c r="O149" s="43"/>
      <c r="P149" s="44">
        <v>1.0</v>
      </c>
      <c r="Q149" s="35">
        <v>759.0</v>
      </c>
      <c r="R149" s="45">
        <v>302841.0</v>
      </c>
      <c r="S149" s="37">
        <v>3000.0</v>
      </c>
      <c r="T149" s="37">
        <v>99938.0</v>
      </c>
      <c r="U149" s="37"/>
      <c r="V149" s="37">
        <v>205903.0</v>
      </c>
      <c r="W149" s="38">
        <v>271.2819499341239</v>
      </c>
      <c r="X149" s="45">
        <v>302841.0</v>
      </c>
      <c r="Y149" s="37">
        <v>3000.0</v>
      </c>
      <c r="Z149" s="37">
        <v>99938.0</v>
      </c>
      <c r="AA149" s="37"/>
      <c r="AB149" s="37">
        <v>205903.0</v>
      </c>
      <c r="AC149" s="38">
        <v>271.2819499341239</v>
      </c>
      <c r="AD149" s="32"/>
      <c r="AE149" s="11"/>
      <c r="AF149" s="11"/>
    </row>
    <row r="150">
      <c r="A150" s="11" t="s">
        <v>248</v>
      </c>
      <c r="B150" s="28">
        <v>46063.83541666667</v>
      </c>
      <c r="C150" s="51">
        <v>46065.78888888889</v>
      </c>
      <c r="D150" s="29" t="s">
        <v>32</v>
      </c>
      <c r="E150" s="11" t="b">
        <v>0</v>
      </c>
      <c r="F150" s="11" t="s">
        <v>313</v>
      </c>
      <c r="G150" s="11" t="s">
        <v>302</v>
      </c>
      <c r="H150" s="11" t="s">
        <v>334</v>
      </c>
      <c r="I150" s="31">
        <v>5.0</v>
      </c>
      <c r="J150" s="32">
        <v>25.0</v>
      </c>
      <c r="K150" s="46">
        <v>1.0</v>
      </c>
      <c r="L150" s="33">
        <f>(11852)/P150</f>
        <v>11852</v>
      </c>
      <c r="M150" s="42">
        <f t="shared" ref="M150:M151" si="7">(2200)/P150</f>
        <v>2200</v>
      </c>
      <c r="N150" s="43">
        <f>(97779)/P150</f>
        <v>97779</v>
      </c>
      <c r="O150" s="43"/>
      <c r="P150" s="44">
        <v>1.0</v>
      </c>
      <c r="Q150" s="35">
        <v>25.0</v>
      </c>
      <c r="R150" s="45">
        <v>296300.0</v>
      </c>
      <c r="S150" s="37">
        <v>2200.0</v>
      </c>
      <c r="T150" s="37">
        <v>97779.0</v>
      </c>
      <c r="U150" s="37"/>
      <c r="V150" s="37">
        <v>200721.0</v>
      </c>
      <c r="W150" s="38">
        <v>8028.84</v>
      </c>
      <c r="X150" s="45">
        <v>296300.0</v>
      </c>
      <c r="Y150" s="37">
        <v>2200.0</v>
      </c>
      <c r="Z150" s="37">
        <v>97779.0</v>
      </c>
      <c r="AA150" s="37"/>
      <c r="AB150" s="37">
        <v>200721.0</v>
      </c>
      <c r="AC150" s="38">
        <v>8028.84</v>
      </c>
      <c r="AD150" s="32"/>
      <c r="AE150" s="11"/>
      <c r="AF150" s="11"/>
    </row>
    <row r="151">
      <c r="A151" s="11" t="s">
        <v>187</v>
      </c>
      <c r="B151" s="28">
        <v>46064.86736111111</v>
      </c>
      <c r="C151" s="51">
        <v>46067.50555555556</v>
      </c>
      <c r="D151" s="29" t="s">
        <v>312</v>
      </c>
      <c r="E151" s="11" t="b">
        <v>0</v>
      </c>
      <c r="F151" s="11" t="s">
        <v>313</v>
      </c>
      <c r="G151" s="11" t="s">
        <v>302</v>
      </c>
      <c r="H151" s="11" t="s">
        <v>335</v>
      </c>
      <c r="I151" s="31">
        <v>5.0</v>
      </c>
      <c r="J151" s="32">
        <v>25.0</v>
      </c>
      <c r="K151" s="46">
        <v>40.0</v>
      </c>
      <c r="L151" s="33">
        <f>(5875)/P151</f>
        <v>5875</v>
      </c>
      <c r="M151" s="42">
        <f t="shared" si="7"/>
        <v>2200</v>
      </c>
      <c r="N151" s="43">
        <f>(29375)/P151</f>
        <v>29375</v>
      </c>
      <c r="O151" s="43"/>
      <c r="P151" s="44">
        <v>1.0</v>
      </c>
      <c r="Q151" s="35">
        <v>1000.0</v>
      </c>
      <c r="R151" s="45">
        <v>146875.0</v>
      </c>
      <c r="S151" s="37">
        <v>2200.0</v>
      </c>
      <c r="T151" s="37">
        <v>29375.0</v>
      </c>
      <c r="U151" s="37"/>
      <c r="V151" s="37">
        <v>119700.0</v>
      </c>
      <c r="W151" s="38">
        <v>119.7</v>
      </c>
      <c r="X151" s="45">
        <v>146875.0</v>
      </c>
      <c r="Y151" s="37">
        <v>2200.0</v>
      </c>
      <c r="Z151" s="37">
        <v>29375.0</v>
      </c>
      <c r="AA151" s="37"/>
      <c r="AB151" s="37">
        <v>119700.0</v>
      </c>
      <c r="AC151" s="38">
        <v>119.7</v>
      </c>
      <c r="AD151" s="32"/>
      <c r="AE151" s="11"/>
      <c r="AF151" s="11"/>
    </row>
    <row r="152">
      <c r="A152" s="11" t="s">
        <v>150</v>
      </c>
      <c r="B152" s="28">
        <v>46065.83472222222</v>
      </c>
      <c r="C152" s="51">
        <v>46067.6375</v>
      </c>
      <c r="D152" s="29" t="s">
        <v>32</v>
      </c>
      <c r="E152" s="11" t="b">
        <v>0</v>
      </c>
      <c r="F152" s="11" t="s">
        <v>313</v>
      </c>
      <c r="G152" s="11" t="s">
        <v>302</v>
      </c>
      <c r="H152" s="11" t="s">
        <v>336</v>
      </c>
      <c r="I152" s="31">
        <v>5.0</v>
      </c>
      <c r="J152" s="32">
        <v>9.0</v>
      </c>
      <c r="K152" s="46">
        <v>40.0</v>
      </c>
      <c r="L152" s="33">
        <f>(5315)/P152</f>
        <v>5315</v>
      </c>
      <c r="M152" s="42">
        <f>(2200*(47385/(248786 + 47385)))/P152</f>
        <v>351.9824696</v>
      </c>
      <c r="N152" s="43">
        <f>ROUNDDOWN((X152*33%)/P152,0)</f>
        <v>15785</v>
      </c>
      <c r="O152" s="43"/>
      <c r="P152" s="44">
        <v>1.0</v>
      </c>
      <c r="Q152" s="35">
        <v>360.0</v>
      </c>
      <c r="R152" s="45">
        <v>47835.0</v>
      </c>
      <c r="S152" s="37">
        <v>351.98246958682654</v>
      </c>
      <c r="T152" s="37">
        <v>15785.0</v>
      </c>
      <c r="U152" s="37"/>
      <c r="V152" s="37">
        <v>32401.98246958683</v>
      </c>
      <c r="W152" s="38">
        <v>90.00550685996342</v>
      </c>
      <c r="X152" s="45">
        <v>47835.0</v>
      </c>
      <c r="Y152" s="37">
        <v>351.98246958682654</v>
      </c>
      <c r="Z152" s="37">
        <v>15785.0</v>
      </c>
      <c r="AA152" s="37"/>
      <c r="AB152" s="37">
        <v>32401.98246958683</v>
      </c>
      <c r="AC152" s="38">
        <v>90.00550685996342</v>
      </c>
      <c r="AD152" s="32"/>
      <c r="AE152" s="11"/>
      <c r="AF152" s="11"/>
    </row>
    <row r="153">
      <c r="A153" s="11" t="s">
        <v>127</v>
      </c>
      <c r="B153" s="28">
        <v>46065.83472222222</v>
      </c>
      <c r="C153" s="51">
        <v>46067.6375</v>
      </c>
      <c r="D153" s="29" t="s">
        <v>32</v>
      </c>
      <c r="E153" s="11" t="b">
        <v>0</v>
      </c>
      <c r="F153" s="11" t="s">
        <v>313</v>
      </c>
      <c r="G153" s="11" t="s">
        <v>302</v>
      </c>
      <c r="H153" s="11" t="s">
        <v>336</v>
      </c>
      <c r="I153" s="31">
        <v>5.0</v>
      </c>
      <c r="J153" s="32">
        <v>38.0</v>
      </c>
      <c r="K153" s="46">
        <v>40.0</v>
      </c>
      <c r="L153" s="33">
        <f>(6547)/P153</f>
        <v>6547</v>
      </c>
      <c r="M153" s="42">
        <f>(2200*(248786/(248786 + 47385)))/P153</f>
        <v>1848.01753</v>
      </c>
      <c r="N153" s="43">
        <f>ROUNDUP((X153*33%)/P153,0)</f>
        <v>82100</v>
      </c>
      <c r="O153" s="43"/>
      <c r="P153" s="44">
        <v>1.0</v>
      </c>
      <c r="Q153" s="35">
        <v>1520.0</v>
      </c>
      <c r="R153" s="45">
        <v>248786.0</v>
      </c>
      <c r="S153" s="37">
        <v>1848.0175304131735</v>
      </c>
      <c r="T153" s="37">
        <v>82100.0</v>
      </c>
      <c r="U153" s="37"/>
      <c r="V153" s="37">
        <v>168534.01753041317</v>
      </c>
      <c r="W153" s="38">
        <v>110.87764311211393</v>
      </c>
      <c r="X153" s="45">
        <v>248786.0</v>
      </c>
      <c r="Y153" s="37">
        <v>1848.0175304131735</v>
      </c>
      <c r="Z153" s="37">
        <v>82100.0</v>
      </c>
      <c r="AA153" s="37"/>
      <c r="AB153" s="37">
        <v>168534.01753041317</v>
      </c>
      <c r="AC153" s="38">
        <v>110.87764311211393</v>
      </c>
      <c r="AD153" s="32"/>
      <c r="AE153" s="11"/>
      <c r="AF153" s="11"/>
    </row>
    <row r="154">
      <c r="A154" s="11" t="s">
        <v>290</v>
      </c>
      <c r="B154" s="28">
        <v>46065.836805555555</v>
      </c>
      <c r="C154" s="51">
        <v>46067.52569444444</v>
      </c>
      <c r="D154" s="29" t="s">
        <v>312</v>
      </c>
      <c r="E154" s="11" t="b">
        <v>0</v>
      </c>
      <c r="F154" s="11" t="s">
        <v>313</v>
      </c>
      <c r="G154" s="11" t="s">
        <v>337</v>
      </c>
      <c r="H154" s="11" t="s">
        <v>338</v>
      </c>
      <c r="I154" s="31">
        <v>5.0</v>
      </c>
      <c r="J154" s="32">
        <v>275.0</v>
      </c>
      <c r="K154" s="46">
        <v>1.0</v>
      </c>
      <c r="L154" s="33">
        <f>(1100)/P154</f>
        <v>1100</v>
      </c>
      <c r="M154" s="42">
        <f>(3000)/P154</f>
        <v>3000</v>
      </c>
      <c r="N154" s="43">
        <f>(99825)/P154</f>
        <v>99825</v>
      </c>
      <c r="O154" s="43"/>
      <c r="P154" s="44">
        <v>1.0</v>
      </c>
      <c r="Q154" s="35">
        <v>275.0</v>
      </c>
      <c r="R154" s="45">
        <v>302500.0</v>
      </c>
      <c r="S154" s="37">
        <v>3000.0</v>
      </c>
      <c r="T154" s="37">
        <v>99825.0</v>
      </c>
      <c r="U154" s="37"/>
      <c r="V154" s="37">
        <v>205675.0</v>
      </c>
      <c r="W154" s="38">
        <v>747.9090909090909</v>
      </c>
      <c r="X154" s="45">
        <v>302500.0</v>
      </c>
      <c r="Y154" s="37">
        <v>3000.0</v>
      </c>
      <c r="Z154" s="37">
        <v>99825.0</v>
      </c>
      <c r="AA154" s="37"/>
      <c r="AB154" s="37">
        <v>205675.0</v>
      </c>
      <c r="AC154" s="38">
        <v>747.9090909090909</v>
      </c>
      <c r="AD154" s="32"/>
      <c r="AE154" s="11"/>
      <c r="AF154" s="11"/>
    </row>
    <row r="155">
      <c r="A155" s="11" t="s">
        <v>154</v>
      </c>
      <c r="B155" s="28">
        <v>46068.02291666667</v>
      </c>
      <c r="C155" s="51">
        <v>46073.580555555556</v>
      </c>
      <c r="D155" s="29" t="s">
        <v>312</v>
      </c>
      <c r="E155" s="11" t="b">
        <v>0</v>
      </c>
      <c r="F155" s="11" t="s">
        <v>313</v>
      </c>
      <c r="G155" s="11" t="s">
        <v>155</v>
      </c>
      <c r="H155" s="11" t="s">
        <v>339</v>
      </c>
      <c r="I155" s="31">
        <v>5.0</v>
      </c>
      <c r="J155" s="32">
        <v>2.0</v>
      </c>
      <c r="K155" s="46">
        <v>1.0</v>
      </c>
      <c r="L155" s="33">
        <f t="shared" ref="L155:L156" si="8">(23100)/P155</f>
        <v>23100</v>
      </c>
      <c r="M155" s="42">
        <f t="shared" ref="M155:M158" si="9">(1000)/P155</f>
        <v>1000</v>
      </c>
      <c r="N155" s="43">
        <f>(15000)/P155</f>
        <v>15000</v>
      </c>
      <c r="O155" s="43"/>
      <c r="P155" s="44">
        <v>1.0</v>
      </c>
      <c r="Q155" s="35">
        <v>2.0</v>
      </c>
      <c r="R155" s="45">
        <v>46200.0</v>
      </c>
      <c r="S155" s="37">
        <v>1000.0</v>
      </c>
      <c r="T155" s="37">
        <v>15000.0</v>
      </c>
      <c r="U155" s="37"/>
      <c r="V155" s="37">
        <v>32200.0</v>
      </c>
      <c r="W155" s="38">
        <v>16100.0</v>
      </c>
      <c r="X155" s="45">
        <v>46200.0</v>
      </c>
      <c r="Y155" s="37">
        <v>1000.0</v>
      </c>
      <c r="Z155" s="37">
        <v>15000.0</v>
      </c>
      <c r="AA155" s="37"/>
      <c r="AB155" s="37">
        <v>32200.0</v>
      </c>
      <c r="AC155" s="38">
        <v>16100.0</v>
      </c>
      <c r="AD155" s="32"/>
      <c r="AE155" s="11"/>
      <c r="AF155" s="11"/>
    </row>
    <row r="156">
      <c r="A156" s="11" t="s">
        <v>154</v>
      </c>
      <c r="B156" s="28">
        <v>46068.02361111111</v>
      </c>
      <c r="C156" s="51">
        <v>46073.580555555556</v>
      </c>
      <c r="D156" s="29" t="s">
        <v>312</v>
      </c>
      <c r="E156" s="11" t="b">
        <v>0</v>
      </c>
      <c r="F156" s="11" t="s">
        <v>313</v>
      </c>
      <c r="G156" s="11" t="s">
        <v>155</v>
      </c>
      <c r="H156" s="11" t="s">
        <v>340</v>
      </c>
      <c r="I156" s="31">
        <v>5.0</v>
      </c>
      <c r="J156" s="32">
        <v>1.0</v>
      </c>
      <c r="K156" s="46">
        <v>1.0</v>
      </c>
      <c r="L156" s="33">
        <f t="shared" si="8"/>
        <v>23100</v>
      </c>
      <c r="M156" s="42">
        <f t="shared" si="9"/>
        <v>1000</v>
      </c>
      <c r="N156" s="43">
        <f>(4000)/P156</f>
        <v>4000</v>
      </c>
      <c r="O156" s="43"/>
      <c r="P156" s="44">
        <v>1.0</v>
      </c>
      <c r="Q156" s="35">
        <v>1.0</v>
      </c>
      <c r="R156" s="45">
        <v>23100.0</v>
      </c>
      <c r="S156" s="37">
        <v>1000.0</v>
      </c>
      <c r="T156" s="37">
        <v>4000.0</v>
      </c>
      <c r="U156" s="37"/>
      <c r="V156" s="37">
        <v>20100.0</v>
      </c>
      <c r="W156" s="38">
        <v>20100.0</v>
      </c>
      <c r="X156" s="45">
        <v>23100.0</v>
      </c>
      <c r="Y156" s="37">
        <v>1000.0</v>
      </c>
      <c r="Z156" s="37">
        <v>4000.0</v>
      </c>
      <c r="AA156" s="37"/>
      <c r="AB156" s="37">
        <v>20100.0</v>
      </c>
      <c r="AC156" s="38">
        <v>20100.0</v>
      </c>
      <c r="AD156" s="32"/>
      <c r="AE156" s="11"/>
      <c r="AF156" s="11"/>
    </row>
    <row r="157">
      <c r="A157" s="11" t="s">
        <v>294</v>
      </c>
      <c r="B157" s="28">
        <v>46068.02847222222</v>
      </c>
      <c r="C157" s="51">
        <v>46071.402083333334</v>
      </c>
      <c r="D157" s="29" t="s">
        <v>32</v>
      </c>
      <c r="E157" s="11" t="b">
        <v>0</v>
      </c>
      <c r="F157" s="11" t="s">
        <v>313</v>
      </c>
      <c r="G157" s="11" t="s">
        <v>332</v>
      </c>
      <c r="H157" s="11" t="s">
        <v>341</v>
      </c>
      <c r="I157" s="31">
        <v>5.0</v>
      </c>
      <c r="J157" s="32">
        <v>48.0</v>
      </c>
      <c r="K157" s="46">
        <v>1.0</v>
      </c>
      <c r="L157" s="33">
        <f t="shared" ref="L157:L158" si="10">(410)/P157</f>
        <v>410</v>
      </c>
      <c r="M157" s="42">
        <f t="shared" si="9"/>
        <v>1000</v>
      </c>
      <c r="N157" s="43">
        <f>(3936)/P157</f>
        <v>3936</v>
      </c>
      <c r="O157" s="43"/>
      <c r="P157" s="44">
        <v>1.0</v>
      </c>
      <c r="Q157" s="35">
        <v>48.0</v>
      </c>
      <c r="R157" s="45">
        <v>19680.0</v>
      </c>
      <c r="S157" s="37">
        <v>1000.0</v>
      </c>
      <c r="T157" s="37">
        <v>3936.0</v>
      </c>
      <c r="U157" s="37"/>
      <c r="V157" s="37">
        <v>16744.0</v>
      </c>
      <c r="W157" s="38">
        <v>348.8333333333333</v>
      </c>
      <c r="X157" s="45">
        <v>19680.0</v>
      </c>
      <c r="Y157" s="37">
        <v>1000.0</v>
      </c>
      <c r="Z157" s="37">
        <v>3936.0</v>
      </c>
      <c r="AA157" s="37"/>
      <c r="AB157" s="37">
        <v>16744.0</v>
      </c>
      <c r="AC157" s="38">
        <v>348.8333333333333</v>
      </c>
      <c r="AD157" s="32"/>
      <c r="AE157" s="11"/>
      <c r="AF157" s="11"/>
    </row>
    <row r="158">
      <c r="A158" s="11" t="s">
        <v>294</v>
      </c>
      <c r="B158" s="28">
        <v>46068.02916666667</v>
      </c>
      <c r="C158" s="51">
        <v>46071.402083333334</v>
      </c>
      <c r="D158" s="29" t="s">
        <v>32</v>
      </c>
      <c r="E158" s="11" t="b">
        <v>0</v>
      </c>
      <c r="F158" s="11" t="s">
        <v>313</v>
      </c>
      <c r="G158" s="11" t="s">
        <v>332</v>
      </c>
      <c r="H158" s="11" t="s">
        <v>342</v>
      </c>
      <c r="I158" s="31">
        <v>5.0</v>
      </c>
      <c r="J158" s="32">
        <v>74.0</v>
      </c>
      <c r="K158" s="46">
        <v>1.0</v>
      </c>
      <c r="L158" s="33">
        <f t="shared" si="10"/>
        <v>410</v>
      </c>
      <c r="M158" s="42">
        <f t="shared" si="9"/>
        <v>1000</v>
      </c>
      <c r="N158" s="43">
        <f>(15000)/P158</f>
        <v>15000</v>
      </c>
      <c r="O158" s="43"/>
      <c r="P158" s="44">
        <v>1.0</v>
      </c>
      <c r="Q158" s="35">
        <v>74.0</v>
      </c>
      <c r="R158" s="45">
        <v>30340.0</v>
      </c>
      <c r="S158" s="37">
        <v>1000.0</v>
      </c>
      <c r="T158" s="37">
        <v>15000.0</v>
      </c>
      <c r="U158" s="37"/>
      <c r="V158" s="37">
        <v>16340.0</v>
      </c>
      <c r="W158" s="38">
        <v>220.8108108108108</v>
      </c>
      <c r="X158" s="45">
        <v>30340.0</v>
      </c>
      <c r="Y158" s="37">
        <v>1000.0</v>
      </c>
      <c r="Z158" s="37">
        <v>15000.0</v>
      </c>
      <c r="AA158" s="37"/>
      <c r="AB158" s="37">
        <v>16340.0</v>
      </c>
      <c r="AC158" s="38">
        <v>220.8108108108108</v>
      </c>
      <c r="AD158" s="32"/>
      <c r="AE158" s="11"/>
      <c r="AF158" s="11"/>
    </row>
    <row r="159">
      <c r="A159" s="11" t="s">
        <v>294</v>
      </c>
      <c r="B159" s="28">
        <v>46068.041666666664</v>
      </c>
      <c r="C159" s="51">
        <v>46071.353472222225</v>
      </c>
      <c r="D159" s="29" t="s">
        <v>32</v>
      </c>
      <c r="E159" s="11" t="b">
        <v>0</v>
      </c>
      <c r="F159" s="11" t="s">
        <v>313</v>
      </c>
      <c r="G159" s="11" t="s">
        <v>343</v>
      </c>
      <c r="H159" s="11" t="s">
        <v>344</v>
      </c>
      <c r="I159" s="31">
        <v>5.0</v>
      </c>
      <c r="J159" s="32">
        <v>116.0</v>
      </c>
      <c r="K159" s="46">
        <v>10.0</v>
      </c>
      <c r="L159" s="33">
        <f>(4000)/P159</f>
        <v>4000</v>
      </c>
      <c r="M159" s="42">
        <f>(1044)/P159</f>
        <v>1044</v>
      </c>
      <c r="N159" s="43">
        <f>(69600)/P159</f>
        <v>69600</v>
      </c>
      <c r="O159" s="43"/>
      <c r="P159" s="44">
        <v>1.0</v>
      </c>
      <c r="Q159" s="35">
        <v>1160.0</v>
      </c>
      <c r="R159" s="45">
        <v>464000.0</v>
      </c>
      <c r="S159" s="37">
        <v>1044.0</v>
      </c>
      <c r="T159" s="37">
        <v>69600.0</v>
      </c>
      <c r="U159" s="37"/>
      <c r="V159" s="37">
        <v>395444.0</v>
      </c>
      <c r="W159" s="38">
        <v>340.9</v>
      </c>
      <c r="X159" s="45">
        <v>464000.0</v>
      </c>
      <c r="Y159" s="37">
        <v>1044.0</v>
      </c>
      <c r="Z159" s="37">
        <v>69600.0</v>
      </c>
      <c r="AA159" s="37"/>
      <c r="AB159" s="37">
        <v>395444.0</v>
      </c>
      <c r="AC159" s="38">
        <v>340.9</v>
      </c>
      <c r="AD159" s="32"/>
      <c r="AE159" s="11"/>
      <c r="AF159" s="11"/>
    </row>
    <row r="160">
      <c r="A160" s="11" t="s">
        <v>294</v>
      </c>
      <c r="B160" s="28">
        <v>46068.041666666664</v>
      </c>
      <c r="C160" s="51">
        <v>46071.65138888889</v>
      </c>
      <c r="D160" s="29" t="s">
        <v>32</v>
      </c>
      <c r="E160" s="11" t="b">
        <v>0</v>
      </c>
      <c r="F160" s="11" t="s">
        <v>313</v>
      </c>
      <c r="G160" s="11" t="s">
        <v>332</v>
      </c>
      <c r="H160" s="11" t="s">
        <v>345</v>
      </c>
      <c r="I160" s="31">
        <v>5.0</v>
      </c>
      <c r="J160" s="32">
        <v>2045.0</v>
      </c>
      <c r="K160" s="46">
        <v>1.0</v>
      </c>
      <c r="L160" s="33">
        <f>(425)/P160</f>
        <v>425</v>
      </c>
      <c r="M160" s="42">
        <f>(1956)/P160</f>
        <v>1956</v>
      </c>
      <c r="N160" s="43">
        <f>(130369)/P160</f>
        <v>130369</v>
      </c>
      <c r="O160" s="43"/>
      <c r="P160" s="44">
        <v>1.0</v>
      </c>
      <c r="Q160" s="35">
        <v>2045.0</v>
      </c>
      <c r="R160" s="45">
        <v>869125.0</v>
      </c>
      <c r="S160" s="37">
        <v>1956.0</v>
      </c>
      <c r="T160" s="37">
        <v>130369.0</v>
      </c>
      <c r="U160" s="37"/>
      <c r="V160" s="37">
        <v>740712.0</v>
      </c>
      <c r="W160" s="38">
        <v>362.2063569682152</v>
      </c>
      <c r="X160" s="45">
        <v>869125.0</v>
      </c>
      <c r="Y160" s="37">
        <v>1956.0</v>
      </c>
      <c r="Z160" s="37">
        <v>130369.0</v>
      </c>
      <c r="AA160" s="37"/>
      <c r="AB160" s="37">
        <v>740712.0</v>
      </c>
      <c r="AC160" s="38">
        <v>362.2063569682152</v>
      </c>
      <c r="AD160" s="32"/>
      <c r="AE160" s="11"/>
      <c r="AF160" s="11"/>
    </row>
    <row r="161">
      <c r="A161" s="11" t="s">
        <v>157</v>
      </c>
      <c r="B161" s="28">
        <v>46068.06180555555</v>
      </c>
      <c r="C161" s="51">
        <v>46076.558333333334</v>
      </c>
      <c r="D161" s="29" t="s">
        <v>32</v>
      </c>
      <c r="E161" s="11" t="b">
        <v>0</v>
      </c>
      <c r="F161" s="11" t="s">
        <v>313</v>
      </c>
      <c r="G161" s="11" t="s">
        <v>346</v>
      </c>
      <c r="H161" s="11" t="s">
        <v>347</v>
      </c>
      <c r="I161" s="31">
        <v>5.0</v>
      </c>
      <c r="J161" s="32">
        <v>580.0</v>
      </c>
      <c r="K161" s="46">
        <v>1.0</v>
      </c>
      <c r="L161" s="33">
        <f>(2300)/P161</f>
        <v>2300</v>
      </c>
      <c r="M161" s="42">
        <f>(3000)/P161</f>
        <v>3000</v>
      </c>
      <c r="N161" s="43">
        <f>(200000)/P161</f>
        <v>200000</v>
      </c>
      <c r="O161" s="43"/>
      <c r="P161" s="44">
        <v>1.0</v>
      </c>
      <c r="Q161" s="35">
        <v>580.0</v>
      </c>
      <c r="R161" s="45">
        <v>1334000.0</v>
      </c>
      <c r="S161" s="37">
        <v>3000.0</v>
      </c>
      <c r="T161" s="37">
        <v>200000.0</v>
      </c>
      <c r="U161" s="37"/>
      <c r="V161" s="37">
        <v>1137000.0</v>
      </c>
      <c r="W161" s="38">
        <v>1960.344827586207</v>
      </c>
      <c r="X161" s="45">
        <v>1334000.0</v>
      </c>
      <c r="Y161" s="37">
        <v>3000.0</v>
      </c>
      <c r="Z161" s="37">
        <v>200000.0</v>
      </c>
      <c r="AA161" s="37"/>
      <c r="AB161" s="37">
        <v>1137000.0</v>
      </c>
      <c r="AC161" s="38">
        <v>1960.344827586207</v>
      </c>
      <c r="AD161" s="32"/>
      <c r="AE161" s="11"/>
      <c r="AF161" s="11"/>
    </row>
    <row r="162">
      <c r="A162" s="11" t="s">
        <v>177</v>
      </c>
      <c r="B162" s="28">
        <v>46069.57638888889</v>
      </c>
      <c r="C162" s="51">
        <v>46073.802777777775</v>
      </c>
      <c r="D162" s="29" t="s">
        <v>312</v>
      </c>
      <c r="E162" s="11" t="b">
        <v>0</v>
      </c>
      <c r="F162" s="11" t="s">
        <v>313</v>
      </c>
      <c r="G162" s="11" t="s">
        <v>337</v>
      </c>
      <c r="H162" s="11" t="s">
        <v>348</v>
      </c>
      <c r="I162" s="31">
        <v>5.0</v>
      </c>
      <c r="J162" s="32">
        <v>41.0</v>
      </c>
      <c r="K162" s="46">
        <v>1.0</v>
      </c>
      <c r="L162" s="33">
        <f>(550)/P162</f>
        <v>550</v>
      </c>
      <c r="M162" s="42">
        <f>(1000)/P162</f>
        <v>1000</v>
      </c>
      <c r="N162" s="43">
        <f>(4000)/P162</f>
        <v>4000</v>
      </c>
      <c r="O162" s="43"/>
      <c r="P162" s="44">
        <v>1.0</v>
      </c>
      <c r="Q162" s="35">
        <v>41.0</v>
      </c>
      <c r="R162" s="45">
        <v>22550.0</v>
      </c>
      <c r="S162" s="37">
        <v>1000.0</v>
      </c>
      <c r="T162" s="37">
        <v>4000.0</v>
      </c>
      <c r="U162" s="37"/>
      <c r="V162" s="37">
        <v>19550.0</v>
      </c>
      <c r="W162" s="38">
        <v>476.8292682926829</v>
      </c>
      <c r="X162" s="45">
        <v>22550.0</v>
      </c>
      <c r="Y162" s="37">
        <v>1000.0</v>
      </c>
      <c r="Z162" s="37">
        <v>4000.0</v>
      </c>
      <c r="AA162" s="37"/>
      <c r="AB162" s="37">
        <v>19550.0</v>
      </c>
      <c r="AC162" s="38">
        <v>476.8292682926829</v>
      </c>
      <c r="AD162" s="32"/>
      <c r="AE162" s="11"/>
      <c r="AF162" s="11"/>
    </row>
    <row r="163">
      <c r="A163" s="11" t="s">
        <v>147</v>
      </c>
      <c r="B163" s="28">
        <v>46072.51736111111</v>
      </c>
      <c r="C163" s="51">
        <v>46079.583333333336</v>
      </c>
      <c r="D163" s="29" t="s">
        <v>32</v>
      </c>
      <c r="E163" s="11" t="b">
        <v>0</v>
      </c>
      <c r="F163" s="11" t="s">
        <v>149</v>
      </c>
      <c r="G163" s="11" t="s">
        <v>149</v>
      </c>
      <c r="H163" s="11" t="s">
        <v>149</v>
      </c>
      <c r="I163" s="31">
        <v>5.0</v>
      </c>
      <c r="J163" s="32">
        <v>2.0</v>
      </c>
      <c r="K163" s="46">
        <v>288.0</v>
      </c>
      <c r="L163" s="33">
        <f>(1578420)/P163</f>
        <v>1578420</v>
      </c>
      <c r="M163" s="49">
        <v>0.0</v>
      </c>
      <c r="N163" s="43">
        <f>(741857)/P163</f>
        <v>741857</v>
      </c>
      <c r="O163" s="43">
        <v>0.0</v>
      </c>
      <c r="P163" s="44">
        <v>1.0</v>
      </c>
      <c r="Q163" s="35">
        <v>576.0</v>
      </c>
      <c r="R163" s="45">
        <v>3156840.0</v>
      </c>
      <c r="S163" s="37"/>
      <c r="T163" s="37">
        <v>741857.0</v>
      </c>
      <c r="U163" s="37"/>
      <c r="V163" s="37">
        <v>2414983.0</v>
      </c>
      <c r="W163" s="38">
        <v>4192.678819444444</v>
      </c>
      <c r="X163" s="45">
        <v>3156840.0</v>
      </c>
      <c r="Y163" s="37"/>
      <c r="Z163" s="37">
        <v>741857.0</v>
      </c>
      <c r="AA163" s="37"/>
      <c r="AB163" s="37">
        <v>2414983.0</v>
      </c>
      <c r="AC163" s="38">
        <v>4192.678819444444</v>
      </c>
      <c r="AD163" s="32"/>
      <c r="AE163" s="11"/>
      <c r="AF163" s="11"/>
    </row>
    <row r="164">
      <c r="A164" s="11" t="s">
        <v>154</v>
      </c>
      <c r="B164" s="28">
        <v>46073.81458333333</v>
      </c>
      <c r="C164" s="51">
        <v>46076.69236111111</v>
      </c>
      <c r="D164" s="29" t="s">
        <v>312</v>
      </c>
      <c r="E164" s="11" t="b">
        <v>0</v>
      </c>
      <c r="F164" s="11" t="s">
        <v>313</v>
      </c>
      <c r="G164" s="11" t="s">
        <v>349</v>
      </c>
      <c r="H164" s="11" t="s">
        <v>350</v>
      </c>
      <c r="I164" s="31">
        <v>5.0</v>
      </c>
      <c r="J164" s="32">
        <v>1.0</v>
      </c>
      <c r="K164" s="46">
        <v>1.0</v>
      </c>
      <c r="L164" s="33">
        <f t="shared" ref="L164:L165" si="11">(22398)/P164</f>
        <v>22398</v>
      </c>
      <c r="M164" s="42">
        <f t="shared" ref="M164:M165" si="12">(1000)/P164</f>
        <v>1000</v>
      </c>
      <c r="N164" s="43">
        <f t="shared" ref="N164:N165" si="13">(4000)/P164</f>
        <v>4000</v>
      </c>
      <c r="O164" s="43"/>
      <c r="P164" s="44">
        <v>1.0</v>
      </c>
      <c r="Q164" s="35">
        <v>1.0</v>
      </c>
      <c r="R164" s="45">
        <v>22398.0</v>
      </c>
      <c r="S164" s="37">
        <v>1000.0</v>
      </c>
      <c r="T164" s="37">
        <v>4000.0</v>
      </c>
      <c r="U164" s="37"/>
      <c r="V164" s="37">
        <v>19398.0</v>
      </c>
      <c r="W164" s="38">
        <v>19398.0</v>
      </c>
      <c r="X164" s="45">
        <v>22398.0</v>
      </c>
      <c r="Y164" s="37">
        <v>1000.0</v>
      </c>
      <c r="Z164" s="37">
        <v>4000.0</v>
      </c>
      <c r="AA164" s="37"/>
      <c r="AB164" s="37">
        <v>19398.0</v>
      </c>
      <c r="AC164" s="38">
        <v>19398.0</v>
      </c>
      <c r="AD164" s="32"/>
      <c r="AE164" s="11"/>
      <c r="AF164" s="11"/>
    </row>
    <row r="165">
      <c r="A165" s="11" t="s">
        <v>154</v>
      </c>
      <c r="B165" s="28">
        <v>46081.73333333333</v>
      </c>
      <c r="C165" s="51">
        <v>46085.55486111111</v>
      </c>
      <c r="D165" s="29" t="s">
        <v>312</v>
      </c>
      <c r="E165" s="11" t="b">
        <v>0</v>
      </c>
      <c r="F165" s="11" t="s">
        <v>313</v>
      </c>
      <c r="G165" s="11" t="s">
        <v>349</v>
      </c>
      <c r="H165" s="11" t="s">
        <v>351</v>
      </c>
      <c r="I165" s="31">
        <v>5.0</v>
      </c>
      <c r="J165" s="32">
        <v>1.0</v>
      </c>
      <c r="K165" s="46">
        <v>1.0</v>
      </c>
      <c r="L165" s="33">
        <f t="shared" si="11"/>
        <v>22398</v>
      </c>
      <c r="M165" s="42">
        <f t="shared" si="12"/>
        <v>1000</v>
      </c>
      <c r="N165" s="43">
        <f t="shared" si="13"/>
        <v>4000</v>
      </c>
      <c r="O165" s="43"/>
      <c r="P165" s="44">
        <v>1.0</v>
      </c>
      <c r="Q165" s="35">
        <v>1.0</v>
      </c>
      <c r="R165" s="45">
        <v>22398.0</v>
      </c>
      <c r="S165" s="37">
        <v>1000.0</v>
      </c>
      <c r="T165" s="37">
        <v>4000.0</v>
      </c>
      <c r="U165" s="37"/>
      <c r="V165" s="37">
        <v>19398.0</v>
      </c>
      <c r="W165" s="38">
        <v>19398.0</v>
      </c>
      <c r="X165" s="45">
        <v>22398.0</v>
      </c>
      <c r="Y165" s="37">
        <v>1000.0</v>
      </c>
      <c r="Z165" s="37">
        <v>4000.0</v>
      </c>
      <c r="AA165" s="37"/>
      <c r="AB165" s="37">
        <v>19398.0</v>
      </c>
      <c r="AC165" s="38">
        <v>19398.0</v>
      </c>
      <c r="AD165" s="32"/>
      <c r="AE165" s="11"/>
      <c r="AF165" s="11"/>
    </row>
    <row r="166">
      <c r="A166" s="11" t="s">
        <v>294</v>
      </c>
      <c r="B166" s="28">
        <v>46081.85</v>
      </c>
      <c r="C166" s="51">
        <v>46088.788194444445</v>
      </c>
      <c r="D166" s="29" t="s">
        <v>312</v>
      </c>
      <c r="E166" s="11" t="b">
        <v>0</v>
      </c>
      <c r="F166" s="11" t="s">
        <v>313</v>
      </c>
      <c r="G166" s="11" t="s">
        <v>332</v>
      </c>
      <c r="H166" s="11" t="s">
        <v>352</v>
      </c>
      <c r="I166" s="31">
        <v>5.0</v>
      </c>
      <c r="J166" s="32">
        <v>2000.0</v>
      </c>
      <c r="K166" s="46">
        <v>1.0</v>
      </c>
      <c r="L166" s="33">
        <f>(410)/P166</f>
        <v>410</v>
      </c>
      <c r="M166" s="42">
        <f t="shared" ref="M166:M167" si="14">(3000)/P166</f>
        <v>3000</v>
      </c>
      <c r="N166" s="43">
        <f t="shared" ref="N166:N167" si="15">(X166*12%)/P166</f>
        <v>98400</v>
      </c>
      <c r="O166" s="43"/>
      <c r="P166" s="44">
        <v>1.0</v>
      </c>
      <c r="Q166" s="35">
        <v>2000.0</v>
      </c>
      <c r="R166" s="45">
        <v>820000.0</v>
      </c>
      <c r="S166" s="37">
        <v>3000.0</v>
      </c>
      <c r="T166" s="37">
        <v>98400.0</v>
      </c>
      <c r="U166" s="37"/>
      <c r="V166" s="37">
        <v>724600.0</v>
      </c>
      <c r="W166" s="38">
        <v>362.3</v>
      </c>
      <c r="X166" s="45">
        <v>820000.0</v>
      </c>
      <c r="Y166" s="37">
        <v>3000.0</v>
      </c>
      <c r="Z166" s="37">
        <v>98400.0</v>
      </c>
      <c r="AA166" s="37"/>
      <c r="AB166" s="37">
        <v>724600.0</v>
      </c>
      <c r="AC166" s="38">
        <v>362.3</v>
      </c>
      <c r="AD166" s="32"/>
      <c r="AE166" s="11"/>
      <c r="AF166" s="11"/>
    </row>
    <row r="167">
      <c r="A167" s="11" t="s">
        <v>157</v>
      </c>
      <c r="B167" s="28">
        <v>46082.188888888886</v>
      </c>
      <c r="C167" s="51">
        <v>46088.8125</v>
      </c>
      <c r="D167" s="29" t="s">
        <v>312</v>
      </c>
      <c r="E167" s="11" t="b">
        <v>0</v>
      </c>
      <c r="F167" s="11" t="s">
        <v>313</v>
      </c>
      <c r="G167" s="11" t="s">
        <v>346</v>
      </c>
      <c r="H167" s="11" t="s">
        <v>353</v>
      </c>
      <c r="I167" s="31">
        <v>5.0</v>
      </c>
      <c r="J167" s="32">
        <v>362.0</v>
      </c>
      <c r="K167" s="46">
        <v>1.0</v>
      </c>
      <c r="L167" s="33">
        <f>(2300)/P167</f>
        <v>2300</v>
      </c>
      <c r="M167" s="42">
        <f t="shared" si="14"/>
        <v>3000</v>
      </c>
      <c r="N167" s="43">
        <f t="shared" si="15"/>
        <v>99912</v>
      </c>
      <c r="O167" s="43"/>
      <c r="P167" s="44">
        <v>1.0</v>
      </c>
      <c r="Q167" s="35">
        <v>362.0</v>
      </c>
      <c r="R167" s="45">
        <v>832600.0</v>
      </c>
      <c r="S167" s="37">
        <v>3000.0</v>
      </c>
      <c r="T167" s="37">
        <v>99912.0</v>
      </c>
      <c r="U167" s="37"/>
      <c r="V167" s="37">
        <v>735688.0</v>
      </c>
      <c r="W167" s="38">
        <v>2032.2872928176796</v>
      </c>
      <c r="X167" s="45">
        <v>832600.0</v>
      </c>
      <c r="Y167" s="37">
        <v>3000.0</v>
      </c>
      <c r="Z167" s="37">
        <v>99912.0</v>
      </c>
      <c r="AA167" s="37"/>
      <c r="AB167" s="37">
        <v>735688.0</v>
      </c>
      <c r="AC167" s="38">
        <v>2032.2872928176796</v>
      </c>
      <c r="AD167" s="32"/>
      <c r="AE167" s="11"/>
      <c r="AF167" s="11"/>
    </row>
    <row r="168">
      <c r="A168" s="11" t="s">
        <v>154</v>
      </c>
      <c r="B168" s="28">
        <v>46084.57430555556</v>
      </c>
      <c r="C168" s="51">
        <v>46088.45347222222</v>
      </c>
      <c r="D168" s="29" t="s">
        <v>312</v>
      </c>
      <c r="E168" s="11" t="b">
        <v>0</v>
      </c>
      <c r="F168" s="11" t="s">
        <v>313</v>
      </c>
      <c r="G168" s="11" t="s">
        <v>349</v>
      </c>
      <c r="H168" s="11" t="s">
        <v>354</v>
      </c>
      <c r="I168" s="31">
        <v>5.0</v>
      </c>
      <c r="J168" s="32">
        <v>1.0</v>
      </c>
      <c r="K168" s="46">
        <v>1.0</v>
      </c>
      <c r="L168" s="33">
        <f>(22398)/P168</f>
        <v>22398</v>
      </c>
      <c r="M168" s="42">
        <f>(1000)/P168</f>
        <v>1000</v>
      </c>
      <c r="N168" s="43">
        <f>(4000)/P168</f>
        <v>4000</v>
      </c>
      <c r="O168" s="43"/>
      <c r="P168" s="44">
        <v>1.0</v>
      </c>
      <c r="Q168" s="35">
        <v>1.0</v>
      </c>
      <c r="R168" s="45">
        <v>22398.0</v>
      </c>
      <c r="S168" s="37">
        <v>1000.0</v>
      </c>
      <c r="T168" s="37">
        <v>4000.0</v>
      </c>
      <c r="U168" s="37"/>
      <c r="V168" s="37">
        <v>19398.0</v>
      </c>
      <c r="W168" s="38">
        <v>19398.0</v>
      </c>
      <c r="X168" s="45">
        <v>22398.0</v>
      </c>
      <c r="Y168" s="37">
        <v>1000.0</v>
      </c>
      <c r="Z168" s="37">
        <v>4000.0</v>
      </c>
      <c r="AA168" s="37"/>
      <c r="AB168" s="37">
        <v>19398.0</v>
      </c>
      <c r="AC168" s="38">
        <v>19398.0</v>
      </c>
      <c r="AD168" s="32"/>
      <c r="AE168" s="11"/>
      <c r="AF168" s="11"/>
    </row>
    <row r="169">
      <c r="A169" s="11" t="s">
        <v>154</v>
      </c>
      <c r="B169" s="28">
        <v>46084.60138888889</v>
      </c>
      <c r="C169" s="51">
        <v>46099.51666666667</v>
      </c>
      <c r="D169" s="29" t="s">
        <v>32</v>
      </c>
      <c r="E169" s="11" t="b">
        <v>0</v>
      </c>
      <c r="F169" s="11" t="s">
        <v>313</v>
      </c>
      <c r="G169" s="11" t="s">
        <v>155</v>
      </c>
      <c r="H169" s="11" t="s">
        <v>355</v>
      </c>
      <c r="I169" s="31">
        <v>5.0</v>
      </c>
      <c r="J169" s="32">
        <v>215.0</v>
      </c>
      <c r="K169" s="46">
        <v>1.0</v>
      </c>
      <c r="L169" s="33">
        <f>(23100)/P169</f>
        <v>23100</v>
      </c>
      <c r="M169" s="42">
        <f>(3000)/P169</f>
        <v>3000</v>
      </c>
      <c r="N169" s="43">
        <f>(X169*15%)/P169</f>
        <v>744975</v>
      </c>
      <c r="O169" s="43"/>
      <c r="P169" s="44">
        <v>1.0</v>
      </c>
      <c r="Q169" s="35">
        <v>215.0</v>
      </c>
      <c r="R169" s="45">
        <v>4966500.0</v>
      </c>
      <c r="S169" s="37">
        <v>3000.0</v>
      </c>
      <c r="T169" s="37">
        <v>744975.0</v>
      </c>
      <c r="U169" s="37"/>
      <c r="V169" s="37">
        <v>4224525.0</v>
      </c>
      <c r="W169" s="38">
        <v>19648.95348837209</v>
      </c>
      <c r="X169" s="45">
        <v>4966500.0</v>
      </c>
      <c r="Y169" s="37">
        <v>3000.0</v>
      </c>
      <c r="Z169" s="37">
        <v>744975.0</v>
      </c>
      <c r="AA169" s="37"/>
      <c r="AB169" s="37">
        <v>4224525.0</v>
      </c>
      <c r="AC169" s="38">
        <v>19648.95348837209</v>
      </c>
      <c r="AD169" s="32"/>
      <c r="AE169" s="11"/>
      <c r="AF169" s="11"/>
    </row>
    <row r="170">
      <c r="A170" s="11" t="s">
        <v>119</v>
      </c>
      <c r="B170" s="28">
        <v>46088.938888888886</v>
      </c>
      <c r="C170" s="51">
        <v>46092.8</v>
      </c>
      <c r="D170" s="29" t="s">
        <v>312</v>
      </c>
      <c r="E170" s="11" t="b">
        <v>0</v>
      </c>
      <c r="F170" s="11" t="s">
        <v>313</v>
      </c>
      <c r="G170" s="11" t="s">
        <v>356</v>
      </c>
      <c r="H170" s="11" t="s">
        <v>357</v>
      </c>
      <c r="I170" s="31">
        <v>5.0</v>
      </c>
      <c r="J170" s="32">
        <v>100.0</v>
      </c>
      <c r="K170" s="46">
        <v>1.0</v>
      </c>
      <c r="L170" s="33">
        <f>(25577)/P170</f>
        <v>25577</v>
      </c>
      <c r="M170" s="42">
        <f>(2304)/P170</f>
        <v>2304</v>
      </c>
      <c r="N170" s="43">
        <f t="shared" ref="N170:N171" si="16">ROUNDUP(X170*15% + 1,0)/P170</f>
        <v>383656</v>
      </c>
      <c r="O170" s="43"/>
      <c r="P170" s="44">
        <v>1.0</v>
      </c>
      <c r="Q170" s="35">
        <v>100.0</v>
      </c>
      <c r="R170" s="45">
        <v>2557700.0</v>
      </c>
      <c r="S170" s="37">
        <v>2304.0</v>
      </c>
      <c r="T170" s="37">
        <v>383656.0</v>
      </c>
      <c r="U170" s="37"/>
      <c r="V170" s="37">
        <v>2176348.0</v>
      </c>
      <c r="W170" s="38">
        <v>21763.48</v>
      </c>
      <c r="X170" s="45">
        <v>2557700.0</v>
      </c>
      <c r="Y170" s="37">
        <v>2304.0</v>
      </c>
      <c r="Z170" s="37">
        <v>383656.0</v>
      </c>
      <c r="AA170" s="37"/>
      <c r="AB170" s="37">
        <v>2176348.0</v>
      </c>
      <c r="AC170" s="38">
        <v>21763.48</v>
      </c>
      <c r="AD170" s="32"/>
      <c r="AE170" s="11"/>
      <c r="AF170" s="11"/>
    </row>
    <row r="171">
      <c r="A171" s="11" t="s">
        <v>218</v>
      </c>
      <c r="B171" s="28">
        <v>46088.938888888886</v>
      </c>
      <c r="C171" s="51">
        <v>46092.7875</v>
      </c>
      <c r="D171" s="29" t="s">
        <v>312</v>
      </c>
      <c r="E171" s="11" t="b">
        <v>0</v>
      </c>
      <c r="F171" s="11" t="s">
        <v>313</v>
      </c>
      <c r="G171" s="11" t="s">
        <v>358</v>
      </c>
      <c r="H171" s="11" t="s">
        <v>359</v>
      </c>
      <c r="I171" s="31">
        <v>5.0</v>
      </c>
      <c r="J171" s="32">
        <v>65.0</v>
      </c>
      <c r="K171" s="46">
        <v>1.0</v>
      </c>
      <c r="L171" s="33">
        <f>(8000)/P171</f>
        <v>8000</v>
      </c>
      <c r="M171" s="42">
        <f>(469)/P171</f>
        <v>469</v>
      </c>
      <c r="N171" s="43">
        <f t="shared" si="16"/>
        <v>78001</v>
      </c>
      <c r="O171" s="43"/>
      <c r="P171" s="44">
        <v>1.0</v>
      </c>
      <c r="Q171" s="35">
        <v>65.0</v>
      </c>
      <c r="R171" s="45">
        <v>520000.0</v>
      </c>
      <c r="S171" s="37">
        <v>469.0</v>
      </c>
      <c r="T171" s="37">
        <v>78001.0</v>
      </c>
      <c r="U171" s="37"/>
      <c r="V171" s="37">
        <v>442468.0</v>
      </c>
      <c r="W171" s="38">
        <v>6807.2</v>
      </c>
      <c r="X171" s="45">
        <v>520000.0</v>
      </c>
      <c r="Y171" s="37">
        <v>469.0</v>
      </c>
      <c r="Z171" s="37">
        <v>78001.0</v>
      </c>
      <c r="AA171" s="37"/>
      <c r="AB171" s="37">
        <v>442468.0</v>
      </c>
      <c r="AC171" s="38">
        <v>6807.2</v>
      </c>
      <c r="AD171" s="32"/>
      <c r="AE171" s="11"/>
      <c r="AF171" s="11"/>
    </row>
    <row r="172">
      <c r="A172" s="11" t="s">
        <v>266</v>
      </c>
      <c r="B172" s="28">
        <v>46088.938888888886</v>
      </c>
      <c r="C172" s="51">
        <v>46092.45</v>
      </c>
      <c r="D172" s="29" t="s">
        <v>312</v>
      </c>
      <c r="E172" s="11" t="b">
        <v>0</v>
      </c>
      <c r="F172" s="11" t="s">
        <v>313</v>
      </c>
      <c r="G172" s="11" t="s">
        <v>360</v>
      </c>
      <c r="H172" s="11" t="s">
        <v>361</v>
      </c>
      <c r="I172" s="31">
        <v>5.0</v>
      </c>
      <c r="J172" s="32">
        <v>50.0</v>
      </c>
      <c r="K172" s="46">
        <v>1.0</v>
      </c>
      <c r="L172" s="33">
        <f>(5029)/P172</f>
        <v>5029</v>
      </c>
      <c r="M172" s="42">
        <f>(227)/P172</f>
        <v>227</v>
      </c>
      <c r="N172" s="43">
        <f>ROUNDUP(X172*15% - 2,0)/P172</f>
        <v>37716</v>
      </c>
      <c r="O172" s="43"/>
      <c r="P172" s="44">
        <v>1.0</v>
      </c>
      <c r="Q172" s="35">
        <v>50.0</v>
      </c>
      <c r="R172" s="45">
        <v>251450.0</v>
      </c>
      <c r="S172" s="37">
        <v>227.0</v>
      </c>
      <c r="T172" s="37">
        <v>37716.0</v>
      </c>
      <c r="U172" s="37"/>
      <c r="V172" s="37">
        <v>213961.0</v>
      </c>
      <c r="W172" s="38">
        <v>4279.22</v>
      </c>
      <c r="X172" s="45">
        <v>251450.0</v>
      </c>
      <c r="Y172" s="37">
        <v>227.0</v>
      </c>
      <c r="Z172" s="37">
        <v>37716.0</v>
      </c>
      <c r="AA172" s="37"/>
      <c r="AB172" s="37">
        <v>213961.0</v>
      </c>
      <c r="AC172" s="38">
        <v>4279.22</v>
      </c>
      <c r="AD172" s="32"/>
      <c r="AE172" s="11"/>
      <c r="AF172" s="11"/>
    </row>
    <row r="173">
      <c r="A173" s="11" t="s">
        <v>119</v>
      </c>
      <c r="B173" s="28">
        <v>46088.99097222222</v>
      </c>
      <c r="C173" s="51">
        <v>46091.51180555556</v>
      </c>
      <c r="D173" s="29" t="s">
        <v>32</v>
      </c>
      <c r="E173" s="11" t="b">
        <v>0</v>
      </c>
      <c r="F173" s="11" t="s">
        <v>313</v>
      </c>
      <c r="G173" s="11" t="s">
        <v>356</v>
      </c>
      <c r="H173" s="11" t="s">
        <v>362</v>
      </c>
      <c r="I173" s="31">
        <v>5.0</v>
      </c>
      <c r="J173" s="32">
        <v>99.0</v>
      </c>
      <c r="K173" s="46">
        <v>1.0</v>
      </c>
      <c r="L173" s="33">
        <f>(25577)/P173</f>
        <v>25577</v>
      </c>
      <c r="M173" s="42">
        <f>(3040)/P173</f>
        <v>3040</v>
      </c>
      <c r="N173" s="43">
        <f t="shared" ref="N173:N174" si="17">ROUNDUP(X173*15%,0)/P173</f>
        <v>379819</v>
      </c>
      <c r="O173" s="43"/>
      <c r="P173" s="44">
        <v>1.0</v>
      </c>
      <c r="Q173" s="35">
        <v>99.0</v>
      </c>
      <c r="R173" s="45">
        <v>2532123.0</v>
      </c>
      <c r="S173" s="37">
        <v>3040.0</v>
      </c>
      <c r="T173" s="37">
        <v>379819.0</v>
      </c>
      <c r="U173" s="37"/>
      <c r="V173" s="37">
        <v>2155344.0</v>
      </c>
      <c r="W173" s="38">
        <v>21771.151515151516</v>
      </c>
      <c r="X173" s="45">
        <v>2532123.0</v>
      </c>
      <c r="Y173" s="37">
        <v>3040.0</v>
      </c>
      <c r="Z173" s="37">
        <v>379819.0</v>
      </c>
      <c r="AA173" s="37"/>
      <c r="AB173" s="37">
        <v>2155344.0</v>
      </c>
      <c r="AC173" s="38">
        <v>21771.151515151516</v>
      </c>
      <c r="AD173" s="32"/>
      <c r="AE173" s="11"/>
      <c r="AF173" s="11"/>
    </row>
    <row r="174">
      <c r="A174" s="11" t="s">
        <v>218</v>
      </c>
      <c r="B174" s="28">
        <v>46088.99097222222</v>
      </c>
      <c r="C174" s="51">
        <v>46090.427083333336</v>
      </c>
      <c r="D174" s="29" t="s">
        <v>32</v>
      </c>
      <c r="E174" s="11" t="b">
        <v>0</v>
      </c>
      <c r="F174" s="11" t="s">
        <v>313</v>
      </c>
      <c r="G174" s="11" t="s">
        <v>358</v>
      </c>
      <c r="H174" s="11" t="s">
        <v>363</v>
      </c>
      <c r="I174" s="31">
        <v>5.0</v>
      </c>
      <c r="J174" s="32">
        <v>100.0</v>
      </c>
      <c r="K174" s="46">
        <v>1.0</v>
      </c>
      <c r="L174" s="33">
        <f>(8000)/P174</f>
        <v>8000</v>
      </c>
      <c r="M174" s="42">
        <f>(960)/P174</f>
        <v>960</v>
      </c>
      <c r="N174" s="43">
        <f t="shared" si="17"/>
        <v>120000</v>
      </c>
      <c r="O174" s="43"/>
      <c r="P174" s="44">
        <v>1.0</v>
      </c>
      <c r="Q174" s="35">
        <v>100.0</v>
      </c>
      <c r="R174" s="45">
        <v>800000.0</v>
      </c>
      <c r="S174" s="37">
        <v>960.0</v>
      </c>
      <c r="T174" s="37">
        <v>120000.0</v>
      </c>
      <c r="U174" s="37"/>
      <c r="V174" s="37">
        <v>680960.0</v>
      </c>
      <c r="W174" s="38">
        <v>6809.6</v>
      </c>
      <c r="X174" s="45">
        <v>800000.0</v>
      </c>
      <c r="Y174" s="37">
        <v>960.0</v>
      </c>
      <c r="Z174" s="37">
        <v>120000.0</v>
      </c>
      <c r="AA174" s="37"/>
      <c r="AB174" s="37">
        <v>680960.0</v>
      </c>
      <c r="AC174" s="38">
        <v>6809.6</v>
      </c>
      <c r="AD174" s="32"/>
      <c r="AE174" s="11"/>
      <c r="AF174" s="11"/>
    </row>
    <row r="175">
      <c r="A175" s="11" t="s">
        <v>134</v>
      </c>
      <c r="B175" s="28">
        <v>46133.53958333333</v>
      </c>
      <c r="C175" s="51">
        <v>46137.393055555556</v>
      </c>
      <c r="D175" s="29" t="s">
        <v>32</v>
      </c>
      <c r="E175" s="11" t="b">
        <v>0</v>
      </c>
      <c r="F175" s="11" t="s">
        <v>313</v>
      </c>
      <c r="G175" s="11" t="s">
        <v>364</v>
      </c>
      <c r="H175" s="11" t="s">
        <v>365</v>
      </c>
      <c r="I175" s="31">
        <v>5.0</v>
      </c>
      <c r="J175" s="32">
        <v>2.0</v>
      </c>
      <c r="K175" s="46">
        <v>1.0</v>
      </c>
      <c r="L175" s="33">
        <f>(14500)/P175</f>
        <v>0.8459743291</v>
      </c>
      <c r="M175" s="49">
        <f>(14300+1000)/P175</f>
        <v>0.8926487748</v>
      </c>
      <c r="N175" s="43">
        <f>(4000)/P175</f>
        <v>0.2333722287</v>
      </c>
      <c r="O175" s="43">
        <f>(14300)/P175</f>
        <v>0.8343057176</v>
      </c>
      <c r="P175" s="44">
        <v>17140.0</v>
      </c>
      <c r="Q175" s="35">
        <v>2.0</v>
      </c>
      <c r="R175" s="45">
        <v>1.691948658109685</v>
      </c>
      <c r="S175" s="37">
        <v>0.8926487747957993</v>
      </c>
      <c r="T175" s="37">
        <v>0.23337222870478413</v>
      </c>
      <c r="U175" s="37">
        <v>0.8343057176196033</v>
      </c>
      <c r="V175" s="37">
        <v>1.5169194865810969</v>
      </c>
      <c r="W175" s="38">
        <v>0.7584597432905484</v>
      </c>
      <c r="X175" s="45">
        <v>29000.0</v>
      </c>
      <c r="Y175" s="37">
        <v>15300.0</v>
      </c>
      <c r="Z175" s="37">
        <v>4000.0</v>
      </c>
      <c r="AA175" s="37">
        <v>14300.0</v>
      </c>
      <c r="AB175" s="37">
        <v>26000.0</v>
      </c>
      <c r="AC175" s="38">
        <v>13000.0</v>
      </c>
      <c r="AD175" s="32"/>
      <c r="AE175" s="11"/>
      <c r="AF175" s="11"/>
    </row>
    <row r="176">
      <c r="A176" s="11" t="s">
        <v>204</v>
      </c>
      <c r="B176" s="28">
        <v>46135.39027777778</v>
      </c>
      <c r="C176" s="51">
        <v>46136.67361111111</v>
      </c>
      <c r="D176" s="29" t="s">
        <v>32</v>
      </c>
      <c r="E176" s="11" t="b">
        <v>0</v>
      </c>
      <c r="F176" s="11" t="s">
        <v>313</v>
      </c>
      <c r="G176" s="11" t="s">
        <v>366</v>
      </c>
      <c r="H176" s="11" t="s">
        <v>367</v>
      </c>
      <c r="I176" s="31">
        <v>5.0</v>
      </c>
      <c r="J176" s="32">
        <v>1000.0</v>
      </c>
      <c r="K176" s="46">
        <v>1.0</v>
      </c>
      <c r="L176" s="33">
        <f>(700)/P176</f>
        <v>0.04037840332</v>
      </c>
      <c r="M176" s="49">
        <f>((27200+1377)*700000/1411000)/P176</f>
        <v>0.817784289</v>
      </c>
      <c r="N176" s="43">
        <f>((168720+5000)*700000/1411000)/P176</f>
        <v>4.971322626</v>
      </c>
      <c r="O176" s="43">
        <f>(27200*700000/1411000)/P176</f>
        <v>0.7783788592</v>
      </c>
      <c r="P176" s="44">
        <v>17336.0</v>
      </c>
      <c r="Q176" s="35">
        <v>1000.0</v>
      </c>
      <c r="R176" s="45">
        <v>40.37840332256576</v>
      </c>
      <c r="S176" s="37">
        <v>0.8177842889787114</v>
      </c>
      <c r="T176" s="37">
        <v>4.971322625936303</v>
      </c>
      <c r="U176" s="37">
        <v>0.7783788592301834</v>
      </c>
      <c r="V176" s="37">
        <v>35.44648612637799</v>
      </c>
      <c r="W176" s="38">
        <v>0.03544648612637799</v>
      </c>
      <c r="X176" s="45">
        <v>700000.0</v>
      </c>
      <c r="Y176" s="37">
        <v>14177.10843373494</v>
      </c>
      <c r="Z176" s="37">
        <v>86182.84904323175</v>
      </c>
      <c r="AA176" s="37">
        <v>13493.975903614459</v>
      </c>
      <c r="AB176" s="37">
        <v>614500.2834868889</v>
      </c>
      <c r="AC176" s="38">
        <v>614.5002834868889</v>
      </c>
      <c r="AD176" s="32"/>
      <c r="AE176" s="11"/>
      <c r="AF176" s="11"/>
    </row>
    <row r="177">
      <c r="A177" s="11" t="s">
        <v>253</v>
      </c>
      <c r="B177" s="28">
        <v>46135.39027777778</v>
      </c>
      <c r="C177" s="51">
        <v>46136.67361111111</v>
      </c>
      <c r="D177" s="29" t="s">
        <v>32</v>
      </c>
      <c r="E177" s="11" t="b">
        <v>0</v>
      </c>
      <c r="F177" s="11" t="s">
        <v>313</v>
      </c>
      <c r="G177" s="11" t="s">
        <v>366</v>
      </c>
      <c r="H177" s="11" t="s">
        <v>367</v>
      </c>
      <c r="I177" s="31">
        <v>5.0</v>
      </c>
      <c r="J177" s="32">
        <v>9.0</v>
      </c>
      <c r="K177" s="46">
        <v>1000.0</v>
      </c>
      <c r="L177" s="33">
        <f>(711000/9)/P177</f>
        <v>4.556991232</v>
      </c>
      <c r="M177" s="49">
        <f>((27200+1377)*711000/1411000)/P177</f>
        <v>0.8306351849</v>
      </c>
      <c r="N177" s="43">
        <f>((168720+5000)*711000/1411000)/P177</f>
        <v>5.04944341</v>
      </c>
      <c r="O177" s="43">
        <f>(27200*711000/1411000)/P177</f>
        <v>0.790610527</v>
      </c>
      <c r="P177" s="44">
        <v>17336.0</v>
      </c>
      <c r="Q177" s="35">
        <v>9000.0</v>
      </c>
      <c r="R177" s="45">
        <v>41.01292108906322</v>
      </c>
      <c r="S177" s="37">
        <v>0.8306351849483767</v>
      </c>
      <c r="T177" s="37">
        <v>5.049443410058159</v>
      </c>
      <c r="U177" s="37">
        <v>0.7906105270180861</v>
      </c>
      <c r="V177" s="37">
        <v>36.00350233693535</v>
      </c>
      <c r="W177" s="38">
        <v>0.004000389148548372</v>
      </c>
      <c r="X177" s="45">
        <v>711000.0</v>
      </c>
      <c r="Y177" s="37">
        <v>14399.89156626506</v>
      </c>
      <c r="Z177" s="37">
        <v>87537.15095676825</v>
      </c>
      <c r="AA177" s="37">
        <v>13706.024096385541</v>
      </c>
      <c r="AB177" s="37">
        <v>624156.7165131111</v>
      </c>
      <c r="AC177" s="38">
        <v>69.35074627923457</v>
      </c>
      <c r="AD177" s="32"/>
      <c r="AE177" s="11"/>
      <c r="AF177" s="11"/>
    </row>
    <row r="178">
      <c r="A178" s="11" t="s">
        <v>294</v>
      </c>
      <c r="B178" s="28">
        <v>46137.00902777778</v>
      </c>
      <c r="C178" s="51">
        <v>46139.48333333333</v>
      </c>
      <c r="D178" s="29" t="s">
        <v>32</v>
      </c>
      <c r="E178" s="11" t="b">
        <v>0</v>
      </c>
      <c r="F178" s="11" t="s">
        <v>313</v>
      </c>
      <c r="G178" s="11" t="s">
        <v>332</v>
      </c>
      <c r="H178" s="11" t="s">
        <v>368</v>
      </c>
      <c r="I178" s="31">
        <v>5.0</v>
      </c>
      <c r="J178" s="32">
        <v>1000.0</v>
      </c>
      <c r="K178" s="46">
        <v>1.0</v>
      </c>
      <c r="L178" s="33">
        <f>(425)/P178</f>
        <v>0.02453527306</v>
      </c>
      <c r="M178" s="49">
        <f>(8000+1283)/P178</f>
        <v>0.5359080938</v>
      </c>
      <c r="N178" s="43">
        <f>(63750)/P178</f>
        <v>3.680290959</v>
      </c>
      <c r="O178" s="43">
        <f>(8000)/P178</f>
        <v>0.4618404341</v>
      </c>
      <c r="P178" s="44">
        <v>17322.0</v>
      </c>
      <c r="Q178" s="35">
        <v>1000.0</v>
      </c>
      <c r="R178" s="45">
        <v>24.53527306315668</v>
      </c>
      <c r="S178" s="37">
        <v>0.5359080937536082</v>
      </c>
      <c r="T178" s="37">
        <v>3.680290959473502</v>
      </c>
      <c r="U178" s="37">
        <v>0.4618404341300081</v>
      </c>
      <c r="V178" s="37">
        <v>20.92904976330678</v>
      </c>
      <c r="W178" s="38">
        <v>0.020929049763306777</v>
      </c>
      <c r="X178" s="45">
        <v>425000.0</v>
      </c>
      <c r="Y178" s="37">
        <v>9283.0</v>
      </c>
      <c r="Z178" s="37">
        <v>63750.0</v>
      </c>
      <c r="AA178" s="37">
        <v>8000.0</v>
      </c>
      <c r="AB178" s="37">
        <v>362533.0</v>
      </c>
      <c r="AC178" s="38">
        <v>362.533</v>
      </c>
      <c r="AD178" s="32"/>
      <c r="AE178" s="11"/>
      <c r="AF178" s="11"/>
    </row>
    <row r="179">
      <c r="A179" s="11" t="s">
        <v>204</v>
      </c>
      <c r="B179" s="28">
        <v>46137.00902777778</v>
      </c>
      <c r="C179" s="51">
        <v>46139.58819444444</v>
      </c>
      <c r="D179" s="29" t="s">
        <v>32</v>
      </c>
      <c r="E179" s="11" t="b">
        <v>0</v>
      </c>
      <c r="F179" s="11" t="s">
        <v>313</v>
      </c>
      <c r="G179" s="11" t="s">
        <v>369</v>
      </c>
      <c r="H179" s="11" t="s">
        <v>370</v>
      </c>
      <c r="I179" s="31">
        <v>5.0</v>
      </c>
      <c r="J179" s="32">
        <v>900.0</v>
      </c>
      <c r="K179" s="46">
        <v>1.0</v>
      </c>
      <c r="L179" s="33">
        <f>(1000)/P179</f>
        <v>0.05773005427</v>
      </c>
      <c r="M179" s="49">
        <f>(15000+2717)/P179</f>
        <v>1.022803371</v>
      </c>
      <c r="N179" s="43">
        <f>(135000)/P179</f>
        <v>7.793557326</v>
      </c>
      <c r="O179" s="43">
        <f>(15000)/P179</f>
        <v>0.865950814</v>
      </c>
      <c r="P179" s="44">
        <v>17322.0</v>
      </c>
      <c r="Q179" s="35">
        <v>900.0</v>
      </c>
      <c r="R179" s="45">
        <v>51.95704883962591</v>
      </c>
      <c r="S179" s="37">
        <v>1.0228033714351692</v>
      </c>
      <c r="T179" s="37">
        <v>7.793557325943886</v>
      </c>
      <c r="U179" s="37">
        <v>0.8659508139937652</v>
      </c>
      <c r="V179" s="37">
        <v>44.32034407112343</v>
      </c>
      <c r="W179" s="38">
        <v>0.0492448267456927</v>
      </c>
      <c r="X179" s="45">
        <v>900000.0</v>
      </c>
      <c r="Y179" s="37">
        <v>17717.0</v>
      </c>
      <c r="Z179" s="37">
        <v>135000.0</v>
      </c>
      <c r="AA179" s="37">
        <v>15000.0</v>
      </c>
      <c r="AB179" s="37">
        <v>767717.0</v>
      </c>
      <c r="AC179" s="38">
        <v>853.0188888888889</v>
      </c>
      <c r="AD179" s="32"/>
      <c r="AE179" s="11"/>
      <c r="AF179" s="11"/>
    </row>
    <row r="180">
      <c r="A180" s="11" t="s">
        <v>204</v>
      </c>
      <c r="B180" s="28">
        <v>46147.009722222225</v>
      </c>
      <c r="C180" s="51">
        <v>46147.82638888889</v>
      </c>
      <c r="D180" s="29" t="s">
        <v>32</v>
      </c>
      <c r="E180" s="11" t="b">
        <v>0</v>
      </c>
      <c r="F180" s="11" t="s">
        <v>313</v>
      </c>
      <c r="G180" s="11" t="s">
        <v>371</v>
      </c>
      <c r="H180" s="11" t="s">
        <v>372</v>
      </c>
      <c r="I180" s="31">
        <v>5.0</v>
      </c>
      <c r="J180" s="32">
        <v>300.0</v>
      </c>
      <c r="K180" s="11">
        <v>1.0</v>
      </c>
      <c r="L180" s="33">
        <f>780/P180</f>
        <v>0.0449671394</v>
      </c>
      <c r="M180" s="33">
        <f>(17500+151)/P180</f>
        <v>1.017583305</v>
      </c>
      <c r="N180" s="33">
        <f>114/P180</f>
        <v>0.006572120374</v>
      </c>
      <c r="O180" s="33">
        <f>17500/P180</f>
        <v>1.008878128</v>
      </c>
      <c r="P180" s="34">
        <v>17346.0</v>
      </c>
      <c r="Q180" s="35">
        <v>300.0</v>
      </c>
      <c r="R180" s="45">
        <v>13.490141819439641</v>
      </c>
      <c r="S180" s="37">
        <v>1.017583304508244</v>
      </c>
      <c r="T180" s="37">
        <v>0.006572120373573158</v>
      </c>
      <c r="U180" s="37">
        <v>1.0088781275221954</v>
      </c>
      <c r="V180" s="37">
        <v>13.492274876052118</v>
      </c>
      <c r="W180" s="38">
        <v>0.0449742495868404</v>
      </c>
      <c r="X180" s="45">
        <v>234000.0</v>
      </c>
      <c r="Y180" s="37">
        <v>17651.0</v>
      </c>
      <c r="Z180" s="37">
        <v>114.0</v>
      </c>
      <c r="AA180" s="37">
        <v>17500.0</v>
      </c>
      <c r="AB180" s="37">
        <v>234037.00000000003</v>
      </c>
      <c r="AC180" s="38">
        <v>780.1233333333334</v>
      </c>
      <c r="AD180" s="32"/>
      <c r="AE180" s="11"/>
      <c r="AF180" s="11"/>
    </row>
    <row r="181">
      <c r="A181" s="11" t="s">
        <v>171</v>
      </c>
      <c r="B181" s="28">
        <v>46147.009722222225</v>
      </c>
      <c r="C181" s="51">
        <v>46148.402083333334</v>
      </c>
      <c r="D181" s="29" t="s">
        <v>32</v>
      </c>
      <c r="E181" s="11" t="b">
        <v>0</v>
      </c>
      <c r="F181" s="11" t="s">
        <v>313</v>
      </c>
      <c r="G181" s="11" t="s">
        <v>373</v>
      </c>
      <c r="H181" s="11" t="s">
        <v>374</v>
      </c>
      <c r="I181" s="31">
        <v>5.0</v>
      </c>
      <c r="J181" s="32">
        <v>4000.0</v>
      </c>
      <c r="K181" s="11">
        <v>1.0</v>
      </c>
      <c r="L181" s="33">
        <f>1399/P181</f>
        <v>0.08065260002</v>
      </c>
      <c r="M181" s="33">
        <f>((50000+3573)*5596000/6929000)/P181</f>
        <v>2.494329191</v>
      </c>
      <c r="N181" s="33">
        <f>((1385800+2680-649481)*5596000/6929000)/P181</f>
        <v>34.4073839</v>
      </c>
      <c r="O181" s="33">
        <f>(50000*5596000/6929000)/P181</f>
        <v>2.327972291</v>
      </c>
      <c r="P181" s="34">
        <v>17346.0</v>
      </c>
      <c r="Q181" s="35">
        <v>4000.0</v>
      </c>
      <c r="R181" s="45">
        <v>322.6104000922403</v>
      </c>
      <c r="S181" s="37">
        <v>2.4943291909570773</v>
      </c>
      <c r="T181" s="37">
        <v>34.407383902116536</v>
      </c>
      <c r="U181" s="37">
        <v>2.327972291039402</v>
      </c>
      <c r="V181" s="37">
        <v>288.36937309004145</v>
      </c>
      <c r="W181" s="38">
        <v>0.07209234327251036</v>
      </c>
      <c r="X181" s="45">
        <v>5596000.0</v>
      </c>
      <c r="Y181" s="37">
        <v>43266.634146341465</v>
      </c>
      <c r="Z181" s="37">
        <v>596830.4811661134</v>
      </c>
      <c r="AA181" s="37">
        <v>40381.00736036946</v>
      </c>
      <c r="AB181" s="37">
        <v>5002055.145619859</v>
      </c>
      <c r="AC181" s="38">
        <v>1250.5137864049648</v>
      </c>
      <c r="AD181" s="32"/>
      <c r="AE181" s="11"/>
      <c r="AF181" s="11"/>
    </row>
    <row r="182">
      <c r="A182" s="11" t="s">
        <v>174</v>
      </c>
      <c r="B182" s="28">
        <v>46147.009722222225</v>
      </c>
      <c r="C182" s="51">
        <v>46148.402083333334</v>
      </c>
      <c r="D182" s="29" t="s">
        <v>32</v>
      </c>
      <c r="E182" s="11" t="b">
        <v>0</v>
      </c>
      <c r="F182" s="11" t="s">
        <v>313</v>
      </c>
      <c r="G182" s="11" t="s">
        <v>373</v>
      </c>
      <c r="H182" s="11" t="s">
        <v>374</v>
      </c>
      <c r="I182" s="31">
        <v>5.0</v>
      </c>
      <c r="J182" s="32">
        <v>110.0</v>
      </c>
      <c r="K182" s="11">
        <v>1.0</v>
      </c>
      <c r="L182" s="33">
        <f>8100/P182</f>
        <v>0.4669664476</v>
      </c>
      <c r="M182" s="33">
        <f>((50000+3573)*891000/6929000)/P182</f>
        <v>0.397149269</v>
      </c>
      <c r="N182" s="33">
        <f>((1385800+2680-649481)*891000/6929000)/P182</f>
        <v>5.47837367</v>
      </c>
      <c r="O182" s="33">
        <f>(50000*891000/6929000)/P182</f>
        <v>0.3706617783</v>
      </c>
      <c r="P182" s="34">
        <v>17346.0</v>
      </c>
      <c r="Q182" s="35">
        <v>110.0</v>
      </c>
      <c r="R182" s="45">
        <v>51.36630923555863</v>
      </c>
      <c r="S182" s="37">
        <v>0.3971492689676118</v>
      </c>
      <c r="T182" s="37">
        <v>5.478373669904545</v>
      </c>
      <c r="U182" s="37">
        <v>0.37066177829094116</v>
      </c>
      <c r="V182" s="37">
        <v>45.91442305633076</v>
      </c>
      <c r="W182" s="38">
        <v>0.41740384596664326</v>
      </c>
      <c r="X182" s="45">
        <v>891000.0</v>
      </c>
      <c r="Y182" s="37">
        <v>6888.951219512194</v>
      </c>
      <c r="Z182" s="37">
        <v>95027.86967816424</v>
      </c>
      <c r="AA182" s="37">
        <v>6429.4992062346655</v>
      </c>
      <c r="AB182" s="37">
        <v>796431.5823351134</v>
      </c>
      <c r="AC182" s="38">
        <v>7240.287112137395</v>
      </c>
      <c r="AD182" s="32"/>
      <c r="AE182" s="11"/>
      <c r="AF182" s="11"/>
    </row>
    <row r="183">
      <c r="A183" s="11" t="s">
        <v>122</v>
      </c>
      <c r="B183" s="28">
        <v>46147.009722222225</v>
      </c>
      <c r="C183" s="51">
        <v>46148.402083333334</v>
      </c>
      <c r="D183" s="29" t="s">
        <v>32</v>
      </c>
      <c r="E183" s="11" t="b">
        <v>0</v>
      </c>
      <c r="F183" s="11" t="s">
        <v>313</v>
      </c>
      <c r="G183" s="11" t="s">
        <v>373</v>
      </c>
      <c r="H183" s="11" t="s">
        <v>374</v>
      </c>
      <c r="I183" s="31">
        <v>5.0</v>
      </c>
      <c r="J183" s="32">
        <v>1000.0</v>
      </c>
      <c r="K183" s="11">
        <v>1.0</v>
      </c>
      <c r="L183" s="33">
        <f>442/P183</f>
        <v>0.02548137899</v>
      </c>
      <c r="M183" s="33">
        <f>((50000+3573)*442000/6929000)/P183</f>
        <v>0.1970145644</v>
      </c>
      <c r="N183" s="33">
        <f>((1385800+2680-649481)*442000/6929000)/P183</f>
        <v>2.717666849</v>
      </c>
      <c r="O183" s="33">
        <f>(50000*442000/6929000)/P183</f>
        <v>0.1838748664</v>
      </c>
      <c r="P183" s="34">
        <v>17346.0</v>
      </c>
      <c r="Q183" s="35">
        <v>1000.0</v>
      </c>
      <c r="R183" s="45">
        <v>25.481378992274877</v>
      </c>
      <c r="S183" s="37">
        <v>0.19701456440368625</v>
      </c>
      <c r="T183" s="37">
        <v>2.717666848594623</v>
      </c>
      <c r="U183" s="37">
        <v>0.183874866447358</v>
      </c>
      <c r="V183" s="37">
        <v>22.776851841636585</v>
      </c>
      <c r="W183" s="38">
        <v>0.022776851841636584</v>
      </c>
      <c r="X183" s="45">
        <v>442000.0</v>
      </c>
      <c r="Y183" s="37">
        <v>3417.4146341463415</v>
      </c>
      <c r="Z183" s="37">
        <v>47140.64915572233</v>
      </c>
      <c r="AA183" s="37">
        <v>3189.493433395872</v>
      </c>
      <c r="AB183" s="37">
        <v>395087.2720450282</v>
      </c>
      <c r="AC183" s="38">
        <v>395.0872720450282</v>
      </c>
      <c r="AD183" s="32"/>
      <c r="AE183" s="11"/>
      <c r="AF183" s="11"/>
    </row>
    <row r="184">
      <c r="A184" s="11" t="s">
        <v>294</v>
      </c>
      <c r="B184" s="28">
        <v>46147.009722222225</v>
      </c>
      <c r="C184" s="51">
        <v>46149.56041666667</v>
      </c>
      <c r="D184" s="29" t="s">
        <v>32</v>
      </c>
      <c r="E184" s="11" t="b">
        <v>0</v>
      </c>
      <c r="F184" s="11" t="s">
        <v>313</v>
      </c>
      <c r="G184" s="11" t="s">
        <v>375</v>
      </c>
      <c r="H184" s="11" t="s">
        <v>376</v>
      </c>
      <c r="I184" s="31">
        <v>5.0</v>
      </c>
      <c r="J184" s="32">
        <v>20.0</v>
      </c>
      <c r="K184" s="11">
        <v>10.0</v>
      </c>
      <c r="L184" s="33">
        <f>(85000/20)/P184</f>
        <v>0.2450132595</v>
      </c>
      <c r="M184" s="33">
        <f>(8000+44)/P184</f>
        <v>0.4637380376</v>
      </c>
      <c r="N184" s="33">
        <f>(17000+31)/P184</f>
        <v>0.9818401937</v>
      </c>
      <c r="O184" s="33">
        <f>8000/P184</f>
        <v>0.4612014297</v>
      </c>
      <c r="P184" s="34">
        <v>17346.0</v>
      </c>
      <c r="Q184" s="35">
        <v>200.0</v>
      </c>
      <c r="R184" s="45">
        <v>4.9002651908220916</v>
      </c>
      <c r="S184" s="37">
        <v>0.46373803758791654</v>
      </c>
      <c r="T184" s="37">
        <v>0.9818401937046005</v>
      </c>
      <c r="U184" s="37">
        <v>0.4612014297244321</v>
      </c>
      <c r="V184" s="37">
        <v>3.920961604980975</v>
      </c>
      <c r="W184" s="38">
        <v>0.019604808024904875</v>
      </c>
      <c r="X184" s="45">
        <v>85000.0</v>
      </c>
      <c r="Y184" s="37">
        <v>8044.0</v>
      </c>
      <c r="Z184" s="37">
        <v>17031.0</v>
      </c>
      <c r="AA184" s="37">
        <v>8000.0</v>
      </c>
      <c r="AB184" s="37">
        <v>68012.99999999999</v>
      </c>
      <c r="AC184" s="38">
        <v>340.06499999999994</v>
      </c>
      <c r="AD184" s="32"/>
      <c r="AE184" s="11"/>
      <c r="AF184" s="11"/>
    </row>
    <row r="185">
      <c r="A185" s="11" t="s">
        <v>204</v>
      </c>
      <c r="B185" s="28">
        <v>46150.93541666667</v>
      </c>
      <c r="C185" s="51"/>
      <c r="D185" s="29" t="s">
        <v>32</v>
      </c>
      <c r="E185" s="11" t="b">
        <v>1</v>
      </c>
      <c r="F185" s="11" t="s">
        <v>222</v>
      </c>
      <c r="G185" s="52" t="s">
        <v>377</v>
      </c>
      <c r="H185" s="11" t="s">
        <v>378</v>
      </c>
      <c r="I185" s="31">
        <v>5.0</v>
      </c>
      <c r="J185" s="32">
        <v>20000.0</v>
      </c>
      <c r="K185" s="11">
        <v>1.0</v>
      </c>
      <c r="L185" s="33">
        <f>368/P185</f>
        <v>0.02120059915</v>
      </c>
      <c r="M185" s="33">
        <f>(112110+(200000*7360000/50203000))/P185</f>
        <v>8.147883219</v>
      </c>
      <c r="N185" s="33">
        <f>(700000*7360000/50203000)/P185</f>
        <v>5.912164374</v>
      </c>
      <c r="O185" s="33"/>
      <c r="P185" s="34">
        <v>17358.0</v>
      </c>
      <c r="Q185" s="35">
        <v>20000.0</v>
      </c>
      <c r="R185" s="45">
        <v>424.01198294734417</v>
      </c>
      <c r="S185" s="37">
        <v>8.147883218972543</v>
      </c>
      <c r="T185" s="37">
        <v>5.912164373904765</v>
      </c>
      <c r="U185" s="37"/>
      <c r="V185" s="37">
        <v>426.24770179241193</v>
      </c>
      <c r="W185" s="38">
        <v>0.021312385089620595</v>
      </c>
      <c r="X185" s="45">
        <v>7360000.0</v>
      </c>
      <c r="Y185" s="37">
        <v>141430.9569149254</v>
      </c>
      <c r="Z185" s="37">
        <v>102623.34920223891</v>
      </c>
      <c r="AA185" s="37"/>
      <c r="AB185" s="37">
        <v>7398807.607712686</v>
      </c>
      <c r="AC185" s="38">
        <v>369.9403803856343</v>
      </c>
      <c r="AD185" s="32"/>
      <c r="AE185" s="11"/>
      <c r="AF185" s="11"/>
    </row>
    <row r="186">
      <c r="A186" s="11" t="s">
        <v>225</v>
      </c>
      <c r="B186" s="28">
        <v>46150.93541666667</v>
      </c>
      <c r="C186" s="51"/>
      <c r="D186" s="29" t="s">
        <v>32</v>
      </c>
      <c r="E186" s="11" t="b">
        <v>1</v>
      </c>
      <c r="F186" s="11" t="s">
        <v>222</v>
      </c>
      <c r="G186" s="52" t="s">
        <v>226</v>
      </c>
      <c r="H186" s="11" t="s">
        <v>379</v>
      </c>
      <c r="I186" s="31">
        <v>5.0</v>
      </c>
      <c r="J186" s="32">
        <v>20000.0</v>
      </c>
      <c r="K186" s="11">
        <v>1.0</v>
      </c>
      <c r="L186" s="33">
        <f>773/P186</f>
        <v>0.04453278027</v>
      </c>
      <c r="M186" s="33">
        <f>(58830+(200000*15460000/50203000))/P186</f>
        <v>6.93743201</v>
      </c>
      <c r="N186" s="33">
        <f>(700000*15460000/50203000)/P186</f>
        <v>12.41875832</v>
      </c>
      <c r="O186" s="33"/>
      <c r="P186" s="34">
        <v>17358.0</v>
      </c>
      <c r="Q186" s="35">
        <v>20000.0</v>
      </c>
      <c r="R186" s="45">
        <v>890.6556054845029</v>
      </c>
      <c r="S186" s="37">
        <v>6.93743200967937</v>
      </c>
      <c r="T186" s="37">
        <v>12.41875831801191</v>
      </c>
      <c r="U186" s="37"/>
      <c r="V186" s="37">
        <v>885.1742791761703</v>
      </c>
      <c r="W186" s="38">
        <v>0.04425871395880852</v>
      </c>
      <c r="X186" s="45">
        <v>1.546E7</v>
      </c>
      <c r="Y186" s="37">
        <v>120419.9448240145</v>
      </c>
      <c r="Z186" s="37">
        <v>215564.80688405075</v>
      </c>
      <c r="AA186" s="37"/>
      <c r="AB186" s="37">
        <v>1.5364855137939965E7</v>
      </c>
      <c r="AC186" s="38">
        <v>768.2427568969982</v>
      </c>
      <c r="AD186" s="32"/>
      <c r="AE186" s="11"/>
      <c r="AF186" s="11"/>
    </row>
    <row r="187">
      <c r="A187" s="11" t="s">
        <v>380</v>
      </c>
      <c r="B187" s="28">
        <v>46150.93541666667</v>
      </c>
      <c r="C187" s="51"/>
      <c r="D187" s="29" t="s">
        <v>32</v>
      </c>
      <c r="E187" s="11" t="b">
        <v>1</v>
      </c>
      <c r="F187" s="11" t="s">
        <v>222</v>
      </c>
      <c r="G187" s="40" t="s">
        <v>381</v>
      </c>
      <c r="H187" s="11" t="s">
        <v>382</v>
      </c>
      <c r="I187" s="31">
        <v>5.0</v>
      </c>
      <c r="J187" s="32">
        <v>11000.0</v>
      </c>
      <c r="K187" s="11">
        <v>1.0</v>
      </c>
      <c r="L187" s="33">
        <f>1013/P187</f>
        <v>0.05835925798</v>
      </c>
      <c r="M187" s="33">
        <f>(108114+(200000*11143000/50203000))/P187</f>
        <v>8.785906753</v>
      </c>
      <c r="N187" s="33">
        <f>(700000*11143000/50203000)/P187</f>
        <v>8.950984731</v>
      </c>
      <c r="O187" s="33"/>
      <c r="P187" s="34">
        <v>17358.0</v>
      </c>
      <c r="Q187" s="35">
        <v>11000.0</v>
      </c>
      <c r="R187" s="45">
        <v>641.9518377693282</v>
      </c>
      <c r="S187" s="37">
        <v>8.785906752861525</v>
      </c>
      <c r="T187" s="37">
        <v>8.950984730763695</v>
      </c>
      <c r="U187" s="37"/>
      <c r="V187" s="37">
        <v>641.786759791426</v>
      </c>
      <c r="W187" s="38">
        <v>0.05834425089012964</v>
      </c>
      <c r="X187" s="45">
        <v>1.1143E7</v>
      </c>
      <c r="Y187" s="37">
        <v>152505.76941617034</v>
      </c>
      <c r="Z187" s="37">
        <v>155371.1929565962</v>
      </c>
      <c r="AA187" s="37"/>
      <c r="AB187" s="37">
        <v>1.1140134576459572E7</v>
      </c>
      <c r="AC187" s="38">
        <v>1012.7395069508701</v>
      </c>
      <c r="AD187" s="32"/>
      <c r="AE187" s="11"/>
      <c r="AF187" s="11"/>
    </row>
    <row r="188">
      <c r="A188" s="11" t="s">
        <v>50</v>
      </c>
      <c r="B188" s="28">
        <v>46150.93541666667</v>
      </c>
      <c r="C188" s="51"/>
      <c r="D188" s="29" t="s">
        <v>32</v>
      </c>
      <c r="E188" s="11" t="b">
        <v>1</v>
      </c>
      <c r="F188" s="11" t="s">
        <v>222</v>
      </c>
      <c r="G188" s="40" t="s">
        <v>383</v>
      </c>
      <c r="H188" s="11" t="s">
        <v>384</v>
      </c>
      <c r="I188" s="31">
        <v>5.0</v>
      </c>
      <c r="J188" s="32">
        <v>500.0</v>
      </c>
      <c r="K188" s="11">
        <v>1.0</v>
      </c>
      <c r="L188" s="33">
        <f t="shared" ref="L188:L189" si="18">6496/P188</f>
        <v>0.3742366632</v>
      </c>
      <c r="M188" s="33">
        <f>((77478*3248000/16240000)+(200000*3248000/50203000))/P188</f>
        <v>1.638153345</v>
      </c>
      <c r="N188" s="33">
        <f>(700000*3248000/50203000)/P188</f>
        <v>2.609063843</v>
      </c>
      <c r="O188" s="33"/>
      <c r="P188" s="34">
        <v>17358.0</v>
      </c>
      <c r="Q188" s="35">
        <v>500.0</v>
      </c>
      <c r="R188" s="45">
        <v>187.11833160502363</v>
      </c>
      <c r="S188" s="37">
        <v>1.6381533453726205</v>
      </c>
      <c r="T188" s="37">
        <v>2.609063843266668</v>
      </c>
      <c r="U188" s="37"/>
      <c r="V188" s="37">
        <v>186.14742110712956</v>
      </c>
      <c r="W188" s="38">
        <v>0.3722948422142591</v>
      </c>
      <c r="X188" s="45">
        <v>3248000.0</v>
      </c>
      <c r="Y188" s="37">
        <v>28435.065768977947</v>
      </c>
      <c r="Z188" s="37">
        <v>45288.130191422824</v>
      </c>
      <c r="AA188" s="37"/>
      <c r="AB188" s="37">
        <v>3231146.935577555</v>
      </c>
      <c r="AC188" s="38">
        <v>6462.2938711551105</v>
      </c>
      <c r="AD188" s="32"/>
      <c r="AE188" s="11"/>
      <c r="AF188" s="11"/>
    </row>
    <row r="189">
      <c r="A189" s="11" t="s">
        <v>385</v>
      </c>
      <c r="B189" s="28">
        <v>46150.93541666667</v>
      </c>
      <c r="C189" s="51"/>
      <c r="D189" s="29" t="s">
        <v>32</v>
      </c>
      <c r="E189" s="11" t="b">
        <v>1</v>
      </c>
      <c r="F189" s="11" t="s">
        <v>222</v>
      </c>
      <c r="G189" s="40" t="s">
        <v>383</v>
      </c>
      <c r="H189" s="11" t="s">
        <v>384</v>
      </c>
      <c r="I189" s="31">
        <v>5.0</v>
      </c>
      <c r="J189" s="32">
        <v>2000.0</v>
      </c>
      <c r="K189" s="11">
        <v>1.0</v>
      </c>
      <c r="L189" s="33">
        <f t="shared" si="18"/>
        <v>0.3742366632</v>
      </c>
      <c r="M189" s="33">
        <f>((77478*12992000/16240000)+(200000*12992000/50203000))/P189</f>
        <v>6.552613381</v>
      </c>
      <c r="N189" s="33">
        <f>(700000*12992000/50203000)/P189</f>
        <v>10.43625537</v>
      </c>
      <c r="O189" s="33"/>
      <c r="P189" s="34">
        <v>17358.0</v>
      </c>
      <c r="Q189" s="35">
        <v>2000.0</v>
      </c>
      <c r="R189" s="45">
        <v>748.4733264200945</v>
      </c>
      <c r="S189" s="37">
        <v>6.552613381490482</v>
      </c>
      <c r="T189" s="37">
        <v>10.436255373066672</v>
      </c>
      <c r="U189" s="37"/>
      <c r="V189" s="37">
        <v>744.5896844285182</v>
      </c>
      <c r="W189" s="38">
        <v>0.3722948422142591</v>
      </c>
      <c r="X189" s="45">
        <v>1.2992E7</v>
      </c>
      <c r="Y189" s="37">
        <v>113740.26307591179</v>
      </c>
      <c r="Z189" s="37">
        <v>181152.5207656913</v>
      </c>
      <c r="AA189" s="37"/>
      <c r="AB189" s="37">
        <v>1.292458774231022E7</v>
      </c>
      <c r="AC189" s="38">
        <v>6462.2938711551105</v>
      </c>
      <c r="AD189" s="32"/>
      <c r="AE189" s="11"/>
      <c r="AF189" s="11"/>
    </row>
    <row r="190">
      <c r="A190" s="11" t="s">
        <v>117</v>
      </c>
      <c r="B190" s="28">
        <v>46154.381944444445</v>
      </c>
      <c r="C190" s="51">
        <v>46154.61388888889</v>
      </c>
      <c r="D190" s="29" t="s">
        <v>32</v>
      </c>
      <c r="E190" s="11" t="b">
        <v>0</v>
      </c>
      <c r="F190" s="11" t="s">
        <v>313</v>
      </c>
      <c r="G190" s="11" t="s">
        <v>386</v>
      </c>
      <c r="H190" s="11" t="s">
        <v>387</v>
      </c>
      <c r="I190" s="31">
        <v>5.0</v>
      </c>
      <c r="J190" s="32">
        <v>2760.0</v>
      </c>
      <c r="K190" s="11">
        <v>1.0</v>
      </c>
      <c r="L190" s="33">
        <f>185/P190</f>
        <v>0.01055996347</v>
      </c>
      <c r="M190" s="33">
        <f>(17500+3000)/P190</f>
        <v>1.170158114</v>
      </c>
      <c r="N190" s="33">
        <f>10212/P190</f>
        <v>0.5829099834</v>
      </c>
      <c r="O190" s="33">
        <f>17500/P190</f>
        <v>0.9989154632</v>
      </c>
      <c r="P190" s="34">
        <v>17519.0</v>
      </c>
      <c r="Q190" s="35">
        <v>2760.0</v>
      </c>
      <c r="R190" s="45">
        <v>29.145499172327188</v>
      </c>
      <c r="S190" s="37">
        <v>1.1701581140476054</v>
      </c>
      <c r="T190" s="37">
        <v>0.5829099834465438</v>
      </c>
      <c r="U190" s="37">
        <v>0.9989154632113705</v>
      </c>
      <c r="V190" s="37">
        <v>28.733831839716878</v>
      </c>
      <c r="W190" s="38">
        <v>0.010410808637578579</v>
      </c>
      <c r="X190" s="45">
        <v>510600.0</v>
      </c>
      <c r="Y190" s="37">
        <v>20500.0</v>
      </c>
      <c r="Z190" s="37">
        <v>10212.0</v>
      </c>
      <c r="AA190" s="37">
        <v>17500.0</v>
      </c>
      <c r="AB190" s="37">
        <v>503388.0</v>
      </c>
      <c r="AC190" s="38">
        <v>182.38695652173914</v>
      </c>
      <c r="AD190" s="32"/>
      <c r="AE190" s="11"/>
      <c r="AF190" s="11"/>
    </row>
    <row r="191">
      <c r="A191" s="11" t="s">
        <v>108</v>
      </c>
      <c r="B191" s="28">
        <v>46158.592361111114</v>
      </c>
      <c r="C191" s="51">
        <v>46163.370833333334</v>
      </c>
      <c r="D191" s="29" t="s">
        <v>32</v>
      </c>
      <c r="E191" s="11" t="b">
        <v>0</v>
      </c>
      <c r="F191" s="11" t="s">
        <v>313</v>
      </c>
      <c r="G191" s="11" t="s">
        <v>388</v>
      </c>
      <c r="H191" s="11" t="s">
        <v>389</v>
      </c>
      <c r="I191" s="31">
        <v>5.0</v>
      </c>
      <c r="J191" s="32">
        <v>52.0</v>
      </c>
      <c r="K191" s="11">
        <v>1.0</v>
      </c>
      <c r="L191" s="33">
        <f>6430/P191</f>
        <v>0.3667788489</v>
      </c>
      <c r="M191" s="33">
        <f>(8900+1005)/P191</f>
        <v>0.5649991444</v>
      </c>
      <c r="N191" s="33">
        <f>33436/P191</f>
        <v>1.907250014</v>
      </c>
      <c r="O191" s="33">
        <f>8900/P191</f>
        <v>0.5076721237</v>
      </c>
      <c r="P191" s="34">
        <v>17531.0</v>
      </c>
      <c r="Q191" s="35">
        <v>52.0</v>
      </c>
      <c r="R191" s="45">
        <v>19.07250014260453</v>
      </c>
      <c r="S191" s="37">
        <v>0.5649991443728253</v>
      </c>
      <c r="T191" s="37">
        <v>1.907250014260453</v>
      </c>
      <c r="U191" s="37">
        <v>0.5076721236666476</v>
      </c>
      <c r="V191" s="37">
        <v>17.222577149050256</v>
      </c>
      <c r="W191" s="38">
        <v>0.3312034067125049</v>
      </c>
      <c r="X191" s="45">
        <v>334360.0</v>
      </c>
      <c r="Y191" s="37">
        <v>9905.0</v>
      </c>
      <c r="Z191" s="37">
        <v>33436.0</v>
      </c>
      <c r="AA191" s="37">
        <v>8900.0</v>
      </c>
      <c r="AB191" s="37">
        <v>301929.00000000006</v>
      </c>
      <c r="AC191" s="38">
        <v>5806.326923076924</v>
      </c>
      <c r="AD191" s="32"/>
      <c r="AE191" s="11"/>
      <c r="AF191" s="11"/>
    </row>
    <row r="192">
      <c r="A192" s="11" t="s">
        <v>390</v>
      </c>
      <c r="B192" s="28">
        <v>46158.592361111114</v>
      </c>
      <c r="C192" s="51">
        <v>46160.50902777778</v>
      </c>
      <c r="D192" s="29" t="s">
        <v>32</v>
      </c>
      <c r="E192" s="11" t="b">
        <v>0</v>
      </c>
      <c r="F192" s="11" t="s">
        <v>313</v>
      </c>
      <c r="G192" s="11" t="s">
        <v>375</v>
      </c>
      <c r="H192" s="11" t="s">
        <v>391</v>
      </c>
      <c r="I192" s="31">
        <v>5.0</v>
      </c>
      <c r="J192" s="32">
        <v>2.0</v>
      </c>
      <c r="K192" s="11">
        <v>1000.0</v>
      </c>
      <c r="L192" s="33">
        <f>244000/2/P192</f>
        <v>6.959101021</v>
      </c>
      <c r="M192" s="33">
        <f>((19600+1929)*244000/642000)/P192</f>
        <v>0.4667367161</v>
      </c>
      <c r="N192" s="33">
        <f>(64200*244000/642000)/P192</f>
        <v>1.391820204</v>
      </c>
      <c r="O192" s="33">
        <f>(19600*244000/642000)/P192</f>
        <v>0.4249170717</v>
      </c>
      <c r="P192" s="34">
        <v>17531.0</v>
      </c>
      <c r="Q192" s="35">
        <v>2000.0</v>
      </c>
      <c r="R192" s="45">
        <v>13.918202042096857</v>
      </c>
      <c r="S192" s="37">
        <v>0.4667367161437745</v>
      </c>
      <c r="T192" s="37">
        <v>1.3918202042096857</v>
      </c>
      <c r="U192" s="37">
        <v>0.42491707169018444</v>
      </c>
      <c r="V192" s="37">
        <v>12.568201482340761</v>
      </c>
      <c r="W192" s="38">
        <v>0.006284100741170381</v>
      </c>
      <c r="X192" s="45">
        <v>244000.0</v>
      </c>
      <c r="Y192" s="37">
        <v>8182.3613707165105</v>
      </c>
      <c r="Z192" s="37">
        <v>24400.0</v>
      </c>
      <c r="AA192" s="37">
        <v>7449.221183800623</v>
      </c>
      <c r="AB192" s="37">
        <v>220333.14018691587</v>
      </c>
      <c r="AC192" s="38">
        <v>110.16657009345793</v>
      </c>
      <c r="AD192" s="32"/>
      <c r="AE192" s="11"/>
      <c r="AF192" s="11"/>
    </row>
    <row r="193">
      <c r="A193" s="11" t="s">
        <v>392</v>
      </c>
      <c r="B193" s="28">
        <v>46158.592361111114</v>
      </c>
      <c r="C193" s="51">
        <v>46160.50902777778</v>
      </c>
      <c r="D193" s="29" t="s">
        <v>32</v>
      </c>
      <c r="E193" s="11" t="b">
        <v>0</v>
      </c>
      <c r="F193" s="11" t="s">
        <v>313</v>
      </c>
      <c r="G193" s="11" t="s">
        <v>375</v>
      </c>
      <c r="H193" s="11" t="s">
        <v>391</v>
      </c>
      <c r="I193" s="31">
        <v>5.0</v>
      </c>
      <c r="J193" s="32">
        <v>2.0</v>
      </c>
      <c r="K193" s="11">
        <v>1000.0</v>
      </c>
      <c r="L193" s="33">
        <f>224000/2/P193</f>
        <v>6.388682905</v>
      </c>
      <c r="M193" s="33">
        <f>((19600+1929)*224000/642000)/P193</f>
        <v>0.4284796083</v>
      </c>
      <c r="N193" s="33">
        <f>(64200*224000/642000)/P193</f>
        <v>1.277736581</v>
      </c>
      <c r="O193" s="33">
        <f>(19600*224000/642000)/P193</f>
        <v>0.3900878035</v>
      </c>
      <c r="P193" s="34">
        <v>17531.0</v>
      </c>
      <c r="Q193" s="35">
        <v>2000.0</v>
      </c>
      <c r="R193" s="45">
        <v>12.777365809138098</v>
      </c>
      <c r="S193" s="37">
        <v>0.42847960826313725</v>
      </c>
      <c r="T193" s="37">
        <v>1.27773658091381</v>
      </c>
      <c r="U193" s="37">
        <v>0.3900878035188578</v>
      </c>
      <c r="V193" s="37">
        <v>11.538021032968567</v>
      </c>
      <c r="W193" s="38">
        <v>0.005769010516484284</v>
      </c>
      <c r="X193" s="45">
        <v>224000.0</v>
      </c>
      <c r="Y193" s="37">
        <v>7511.676012461059</v>
      </c>
      <c r="Z193" s="37">
        <v>22400.000000000004</v>
      </c>
      <c r="AA193" s="37">
        <v>6838.629283489096</v>
      </c>
      <c r="AB193" s="37">
        <v>202273.04672897194</v>
      </c>
      <c r="AC193" s="38">
        <v>101.13652336448597</v>
      </c>
      <c r="AD193" s="32"/>
      <c r="AE193" s="11"/>
      <c r="AF193" s="11"/>
    </row>
    <row r="194">
      <c r="A194" s="11" t="s">
        <v>393</v>
      </c>
      <c r="B194" s="28">
        <v>46158.592361111114</v>
      </c>
      <c r="C194" s="51">
        <v>46160.50902777778</v>
      </c>
      <c r="D194" s="29" t="s">
        <v>32</v>
      </c>
      <c r="E194" s="11" t="b">
        <v>0</v>
      </c>
      <c r="F194" s="11" t="s">
        <v>313</v>
      </c>
      <c r="G194" s="11" t="s">
        <v>375</v>
      </c>
      <c r="H194" s="11" t="s">
        <v>391</v>
      </c>
      <c r="I194" s="31">
        <v>5.0</v>
      </c>
      <c r="J194" s="32">
        <v>2.0</v>
      </c>
      <c r="K194" s="11">
        <v>1000.0</v>
      </c>
      <c r="L194" s="33">
        <f>174000/2/P194</f>
        <v>4.962637613</v>
      </c>
      <c r="M194" s="33">
        <f>((19600+1929)*174000/642000)/P194</f>
        <v>0.3328368386</v>
      </c>
      <c r="N194" s="33">
        <f>(64200*174000/642000)/P194</f>
        <v>0.9925275227</v>
      </c>
      <c r="O194" s="33">
        <f>(19600*174000/642000)/P194</f>
        <v>0.3030146331</v>
      </c>
      <c r="P194" s="34">
        <v>17531.0</v>
      </c>
      <c r="Q194" s="35">
        <v>2000.0</v>
      </c>
      <c r="R194" s="45">
        <v>9.925275226741201</v>
      </c>
      <c r="S194" s="37">
        <v>0.3328368385615441</v>
      </c>
      <c r="T194" s="37">
        <v>0.9925275226741201</v>
      </c>
      <c r="U194" s="37">
        <v>0.30301463309054133</v>
      </c>
      <c r="V194" s="37">
        <v>8.962569909538084</v>
      </c>
      <c r="W194" s="38">
        <v>0.004481284954769042</v>
      </c>
      <c r="X194" s="45">
        <v>174000.0</v>
      </c>
      <c r="Y194" s="37">
        <v>5834.9626168224295</v>
      </c>
      <c r="Z194" s="37">
        <v>17400.0</v>
      </c>
      <c r="AA194" s="37">
        <v>5312.14953271028</v>
      </c>
      <c r="AB194" s="37">
        <v>157122.81308411216</v>
      </c>
      <c r="AC194" s="38">
        <v>78.56140654205608</v>
      </c>
      <c r="AD194" s="32"/>
      <c r="AE194" s="11"/>
      <c r="AF194" s="11"/>
    </row>
    <row r="195">
      <c r="A195" s="11" t="s">
        <v>134</v>
      </c>
      <c r="B195" s="28">
        <v>46160.15138888889</v>
      </c>
      <c r="C195" s="51">
        <v>46162.55347222222</v>
      </c>
      <c r="D195" s="29" t="s">
        <v>32</v>
      </c>
      <c r="E195" s="11" t="b">
        <v>0</v>
      </c>
      <c r="F195" s="11" t="s">
        <v>313</v>
      </c>
      <c r="G195" s="11" t="s">
        <v>77</v>
      </c>
      <c r="H195" s="11" t="s">
        <v>394</v>
      </c>
      <c r="I195" s="31">
        <v>5.0</v>
      </c>
      <c r="J195" s="32">
        <v>1.0</v>
      </c>
      <c r="K195" s="11">
        <v>1.0</v>
      </c>
      <c r="L195" s="33">
        <f>14900/P195</f>
        <v>0.8444318504</v>
      </c>
      <c r="M195" s="33">
        <f>(6500+1000)/P195</f>
        <v>0.4250495891</v>
      </c>
      <c r="N195" s="33">
        <f>(2215+3828)/P195</f>
        <v>0.3424766223</v>
      </c>
      <c r="O195" s="33">
        <f>6500/P195</f>
        <v>0.3683763106</v>
      </c>
      <c r="P195" s="34">
        <v>17645.0</v>
      </c>
      <c r="Q195" s="35">
        <v>1.0</v>
      </c>
      <c r="R195" s="45">
        <v>0.8444318503825446</v>
      </c>
      <c r="S195" s="37">
        <v>0.42504958911873053</v>
      </c>
      <c r="T195" s="37">
        <v>0.34247662227259845</v>
      </c>
      <c r="U195" s="37">
        <v>0.36837631056956643</v>
      </c>
      <c r="V195" s="37">
        <v>0.5586285066591103</v>
      </c>
      <c r="W195" s="38">
        <v>0.5586285066591103</v>
      </c>
      <c r="X195" s="45">
        <v>14900.0</v>
      </c>
      <c r="Y195" s="37">
        <v>7500.0</v>
      </c>
      <c r="Z195" s="37">
        <v>6043.0</v>
      </c>
      <c r="AA195" s="37">
        <v>6500.0</v>
      </c>
      <c r="AB195" s="37">
        <v>9857.000000000002</v>
      </c>
      <c r="AC195" s="38">
        <v>9857.000000000002</v>
      </c>
      <c r="AD195" s="32"/>
      <c r="AE195" s="11"/>
      <c r="AF195" s="11"/>
    </row>
    <row r="196">
      <c r="A196" s="11" t="s">
        <v>147</v>
      </c>
      <c r="B196" s="28">
        <v>46162.53611111111</v>
      </c>
      <c r="C196" s="51">
        <v>46164.677083333336</v>
      </c>
      <c r="D196" s="29" t="s">
        <v>32</v>
      </c>
      <c r="E196" s="11" t="b">
        <v>0</v>
      </c>
      <c r="F196" s="11" t="s">
        <v>313</v>
      </c>
      <c r="G196" s="11" t="s">
        <v>395</v>
      </c>
      <c r="H196" s="11" t="s">
        <v>396</v>
      </c>
      <c r="I196" s="31">
        <v>5.0</v>
      </c>
      <c r="J196" s="32">
        <v>1.0</v>
      </c>
      <c r="K196" s="11">
        <v>6.0</v>
      </c>
      <c r="L196" s="33">
        <f>28278/1/P196</f>
        <v>1.606248225</v>
      </c>
      <c r="M196" s="33">
        <f t="shared" ref="M196:M199" si="19">(8000+1000)/P196</f>
        <v>0.5112184039</v>
      </c>
      <c r="N196" s="33">
        <f>(4000+6583)/P196</f>
        <v>0.6011360409</v>
      </c>
      <c r="O196" s="33">
        <f t="shared" ref="O196:O199" si="20">8000/P196</f>
        <v>0.454416359</v>
      </c>
      <c r="P196" s="34">
        <v>17605.0</v>
      </c>
      <c r="Q196" s="35">
        <v>6.0</v>
      </c>
      <c r="R196" s="45">
        <v>1.6062482249360976</v>
      </c>
      <c r="S196" s="37">
        <v>0.511218403862539</v>
      </c>
      <c r="T196" s="37">
        <v>0.6011360408974723</v>
      </c>
      <c r="U196" s="37">
        <v>0.4544163589889236</v>
      </c>
      <c r="V196" s="37">
        <v>1.0619142289122405</v>
      </c>
      <c r="W196" s="38">
        <v>0.17698570481870676</v>
      </c>
      <c r="X196" s="45">
        <v>28278.0</v>
      </c>
      <c r="Y196" s="37">
        <v>9000.0</v>
      </c>
      <c r="Z196" s="37">
        <v>10583.0</v>
      </c>
      <c r="AA196" s="37">
        <v>7999.999999999999</v>
      </c>
      <c r="AB196" s="37">
        <v>18694.999999999993</v>
      </c>
      <c r="AC196" s="38">
        <v>3115.833333333332</v>
      </c>
      <c r="AD196" s="32"/>
      <c r="AE196" s="11"/>
      <c r="AF196" s="11"/>
    </row>
    <row r="197">
      <c r="A197" s="11" t="s">
        <v>147</v>
      </c>
      <c r="B197" s="28">
        <v>46162.53680555556</v>
      </c>
      <c r="C197" s="51">
        <v>46163.45277777778</v>
      </c>
      <c r="D197" s="29" t="s">
        <v>32</v>
      </c>
      <c r="E197" s="11" t="b">
        <v>0</v>
      </c>
      <c r="F197" s="11" t="s">
        <v>313</v>
      </c>
      <c r="G197" s="11" t="s">
        <v>395</v>
      </c>
      <c r="H197" s="11" t="s">
        <v>397</v>
      </c>
      <c r="I197" s="31">
        <v>5.0</v>
      </c>
      <c r="J197" s="32">
        <v>1.0</v>
      </c>
      <c r="K197" s="11">
        <v>6.0</v>
      </c>
      <c r="L197" s="33">
        <f>29499/1/P197</f>
        <v>1.675603522</v>
      </c>
      <c r="M197" s="33">
        <f t="shared" si="19"/>
        <v>0.5112184039</v>
      </c>
      <c r="N197" s="33">
        <f>6783/P197</f>
        <v>0.3852882704</v>
      </c>
      <c r="O197" s="33">
        <f t="shared" si="20"/>
        <v>0.454416359</v>
      </c>
      <c r="P197" s="34">
        <v>17605.0</v>
      </c>
      <c r="Q197" s="35">
        <v>6.0</v>
      </c>
      <c r="R197" s="45">
        <v>1.6756035217267822</v>
      </c>
      <c r="S197" s="37">
        <v>0.511218403862539</v>
      </c>
      <c r="T197" s="37">
        <v>0.3852882703777336</v>
      </c>
      <c r="U197" s="37">
        <v>0.4544163589889236</v>
      </c>
      <c r="V197" s="37">
        <v>1.347117296222664</v>
      </c>
      <c r="W197" s="38">
        <v>0.22451954937044402</v>
      </c>
      <c r="X197" s="45">
        <v>29499.0</v>
      </c>
      <c r="Y197" s="37">
        <v>9000.0</v>
      </c>
      <c r="Z197" s="37">
        <v>6783.0</v>
      </c>
      <c r="AA197" s="37">
        <v>7999.999999999999</v>
      </c>
      <c r="AB197" s="37">
        <v>23716.0</v>
      </c>
      <c r="AC197" s="38">
        <v>3952.6666666666665</v>
      </c>
      <c r="AD197" s="32"/>
      <c r="AE197" s="11"/>
      <c r="AF197" s="11"/>
    </row>
    <row r="198">
      <c r="A198" s="11" t="s">
        <v>147</v>
      </c>
      <c r="B198" s="28">
        <v>46162.538194444445</v>
      </c>
      <c r="C198" s="51">
        <v>46165.66388888889</v>
      </c>
      <c r="D198" s="29" t="s">
        <v>32</v>
      </c>
      <c r="E198" s="11" t="b">
        <v>0</v>
      </c>
      <c r="F198" s="11" t="s">
        <v>313</v>
      </c>
      <c r="G198" s="11" t="s">
        <v>398</v>
      </c>
      <c r="H198" s="11" t="s">
        <v>399</v>
      </c>
      <c r="I198" s="31">
        <v>5.0</v>
      </c>
      <c r="J198" s="32">
        <v>1.0</v>
      </c>
      <c r="K198" s="11">
        <v>6.0</v>
      </c>
      <c r="L198" s="33">
        <f>29497/1/P198</f>
        <v>1.675489918</v>
      </c>
      <c r="M198" s="33">
        <f t="shared" si="19"/>
        <v>0.5112184039</v>
      </c>
      <c r="N198" s="33">
        <f>6572/P198</f>
        <v>0.3733030389</v>
      </c>
      <c r="O198" s="33">
        <f t="shared" si="20"/>
        <v>0.454416359</v>
      </c>
      <c r="P198" s="34">
        <v>17605.0</v>
      </c>
      <c r="Q198" s="35">
        <v>6.0</v>
      </c>
      <c r="R198" s="45">
        <v>1.675489917637035</v>
      </c>
      <c r="S198" s="37">
        <v>0.511218403862539</v>
      </c>
      <c r="T198" s="37">
        <v>0.37330303890940075</v>
      </c>
      <c r="U198" s="37">
        <v>0.4544163589889236</v>
      </c>
      <c r="V198" s="37">
        <v>1.3589889236012496</v>
      </c>
      <c r="W198" s="38">
        <v>0.22649815393354158</v>
      </c>
      <c r="X198" s="45">
        <v>29497.0</v>
      </c>
      <c r="Y198" s="37">
        <v>9000.0</v>
      </c>
      <c r="Z198" s="37">
        <v>6572.0</v>
      </c>
      <c r="AA198" s="37">
        <v>7999.999999999999</v>
      </c>
      <c r="AB198" s="37">
        <v>23925.0</v>
      </c>
      <c r="AC198" s="38">
        <v>3987.5</v>
      </c>
      <c r="AD198" s="32"/>
      <c r="AE198" s="11"/>
      <c r="AF198" s="11"/>
    </row>
    <row r="199">
      <c r="A199" s="11" t="s">
        <v>293</v>
      </c>
      <c r="B199" s="28">
        <v>46167.45277777778</v>
      </c>
      <c r="C199" s="51">
        <v>46168.353472222225</v>
      </c>
      <c r="D199" s="29" t="s">
        <v>32</v>
      </c>
      <c r="E199" s="11" t="b">
        <v>0</v>
      </c>
      <c r="F199" s="11" t="s">
        <v>313</v>
      </c>
      <c r="G199" s="11" t="s">
        <v>395</v>
      </c>
      <c r="H199" s="11" t="s">
        <v>400</v>
      </c>
      <c r="I199" s="31">
        <v>5.0</v>
      </c>
      <c r="J199" s="32">
        <v>1.0</v>
      </c>
      <c r="K199" s="11">
        <v>6.0</v>
      </c>
      <c r="L199" s="33">
        <f>28278/1/P199</f>
        <v>1.594474204</v>
      </c>
      <c r="M199" s="33">
        <f t="shared" si="19"/>
        <v>0.5074711023</v>
      </c>
      <c r="N199" s="33">
        <f>(4000+6575)/P199</f>
        <v>0.5962785452</v>
      </c>
      <c r="O199" s="33">
        <f t="shared" si="20"/>
        <v>0.4510854243</v>
      </c>
      <c r="P199" s="34">
        <v>17735.0</v>
      </c>
      <c r="Q199" s="35">
        <v>6.0</v>
      </c>
      <c r="R199" s="45">
        <v>1.5944742035522976</v>
      </c>
      <c r="S199" s="37">
        <v>0.5074711023400056</v>
      </c>
      <c r="T199" s="37">
        <v>0.5962785452495066</v>
      </c>
      <c r="U199" s="37">
        <v>0.45108542430222726</v>
      </c>
      <c r="V199" s="37">
        <v>1.0545813363405692</v>
      </c>
      <c r="W199" s="38">
        <v>0.17576355605676153</v>
      </c>
      <c r="X199" s="45">
        <v>28278.0</v>
      </c>
      <c r="Y199" s="37">
        <v>8999.999999999998</v>
      </c>
      <c r="Z199" s="37">
        <v>10575.0</v>
      </c>
      <c r="AA199" s="37">
        <v>8000.0</v>
      </c>
      <c r="AB199" s="37">
        <v>18702.999999999993</v>
      </c>
      <c r="AC199" s="38">
        <v>3117.1666666666656</v>
      </c>
      <c r="AD199" s="32"/>
      <c r="AE199" s="11"/>
      <c r="AF199" s="11"/>
    </row>
    <row r="200">
      <c r="A200" s="11" t="s">
        <v>228</v>
      </c>
      <c r="B200" s="28">
        <v>46169.679814814815</v>
      </c>
      <c r="C200" s="51"/>
      <c r="D200" s="29" t="s">
        <v>32</v>
      </c>
      <c r="E200" s="11" t="b">
        <v>1</v>
      </c>
      <c r="F200" s="11" t="s">
        <v>222</v>
      </c>
      <c r="G200" s="52" t="s">
        <v>401</v>
      </c>
      <c r="H200" s="11" t="s">
        <v>402</v>
      </c>
      <c r="I200" s="31">
        <v>5.0</v>
      </c>
      <c r="J200" s="32">
        <v>10000.0</v>
      </c>
      <c r="K200" s="11">
        <v>1.0</v>
      </c>
      <c r="L200" s="33">
        <f>683/P200</f>
        <v>0.03860501922</v>
      </c>
      <c r="M200" s="33">
        <f>(18870+(100000*6830000/50300000))/P200</f>
        <v>1.834079179</v>
      </c>
      <c r="N200" s="33">
        <f>(100000*6830000/50300000)/P200</f>
        <v>0.7674954119</v>
      </c>
      <c r="O200" s="33"/>
      <c r="P200" s="34">
        <v>17692.0</v>
      </c>
      <c r="Q200" s="35">
        <v>10000.0</v>
      </c>
      <c r="R200" s="45">
        <v>386.0501921772552</v>
      </c>
      <c r="S200" s="37">
        <v>1.8340791785574142</v>
      </c>
      <c r="T200" s="37">
        <v>0.7674954118832112</v>
      </c>
      <c r="U200" s="37"/>
      <c r="V200" s="37">
        <v>387.11677594392944</v>
      </c>
      <c r="W200" s="38">
        <v>0.038711677594392944</v>
      </c>
      <c r="X200" s="45">
        <v>6829999.999999999</v>
      </c>
      <c r="Y200" s="37">
        <v>32448.52882703777</v>
      </c>
      <c r="Z200" s="37">
        <v>13578.528827037773</v>
      </c>
      <c r="AA200" s="37"/>
      <c r="AB200" s="37">
        <v>6848870.0</v>
      </c>
      <c r="AC200" s="38">
        <v>684.887</v>
      </c>
      <c r="AD200" s="32"/>
      <c r="AE200" s="11"/>
      <c r="AF200" s="11"/>
    </row>
    <row r="201">
      <c r="A201" s="11" t="s">
        <v>136</v>
      </c>
      <c r="B201" s="28">
        <v>46169.679814814815</v>
      </c>
      <c r="C201" s="51"/>
      <c r="D201" s="29" t="s">
        <v>32</v>
      </c>
      <c r="E201" s="11" t="b">
        <v>1</v>
      </c>
      <c r="F201" s="11" t="s">
        <v>222</v>
      </c>
      <c r="G201" s="40" t="s">
        <v>86</v>
      </c>
      <c r="H201" s="11" t="s">
        <v>403</v>
      </c>
      <c r="I201" s="31">
        <v>5.0</v>
      </c>
      <c r="J201" s="32">
        <v>15000.0</v>
      </c>
      <c r="K201" s="11">
        <v>1.0</v>
      </c>
      <c r="L201" s="33">
        <f t="shared" ref="L201:L203" si="21">1890/P201</f>
        <v>0.1068279448</v>
      </c>
      <c r="M201" s="33">
        <f>((152070*28350000/43470000)+(100000*28350000/50300000))/P201</f>
        <v>8.791426406</v>
      </c>
      <c r="N201" s="33">
        <f>(100000*28350000/50300000)/P201</f>
        <v>3.185724001</v>
      </c>
      <c r="O201" s="33"/>
      <c r="P201" s="34">
        <v>17692.0</v>
      </c>
      <c r="Q201" s="35">
        <v>15000.0</v>
      </c>
      <c r="R201" s="45">
        <v>1602.419172507348</v>
      </c>
      <c r="S201" s="37">
        <v>8.791426406419097</v>
      </c>
      <c r="T201" s="37">
        <v>3.185724001008644</v>
      </c>
      <c r="U201" s="37"/>
      <c r="V201" s="37">
        <v>1608.0248749127586</v>
      </c>
      <c r="W201" s="38">
        <v>0.10720165832751724</v>
      </c>
      <c r="X201" s="45">
        <v>2.8350000000000004E7</v>
      </c>
      <c r="Y201" s="37">
        <v>155537.91598236666</v>
      </c>
      <c r="Z201" s="37">
        <v>56361.82902584493</v>
      </c>
      <c r="AA201" s="37"/>
      <c r="AB201" s="37">
        <v>2.8449176086956527E7</v>
      </c>
      <c r="AC201" s="38">
        <v>1896.6117391304351</v>
      </c>
      <c r="AD201" s="32"/>
      <c r="AE201" s="11"/>
      <c r="AF201" s="11"/>
    </row>
    <row r="202">
      <c r="A202" s="11" t="s">
        <v>404</v>
      </c>
      <c r="B202" s="28">
        <v>46169.679814814815</v>
      </c>
      <c r="C202" s="51"/>
      <c r="D202" s="29" t="s">
        <v>32</v>
      </c>
      <c r="E202" s="11" t="b">
        <v>1</v>
      </c>
      <c r="F202" s="11" t="s">
        <v>222</v>
      </c>
      <c r="G202" s="40" t="s">
        <v>86</v>
      </c>
      <c r="H202" s="11" t="s">
        <v>403</v>
      </c>
      <c r="I202" s="31">
        <v>5.0</v>
      </c>
      <c r="J202" s="32">
        <v>6000.0</v>
      </c>
      <c r="K202" s="11">
        <v>1.0</v>
      </c>
      <c r="L202" s="33">
        <f t="shared" si="21"/>
        <v>0.1068279448</v>
      </c>
      <c r="M202" s="33">
        <f>((152070*11340000/43470000)+(100000*11340000/50300000))/P202</f>
        <v>3.516570563</v>
      </c>
      <c r="N202" s="33">
        <f>(100000*11340000/50300000)/P202</f>
        <v>1.2742896</v>
      </c>
      <c r="O202" s="33"/>
      <c r="P202" s="34">
        <v>17692.0</v>
      </c>
      <c r="Q202" s="35">
        <v>6000.0</v>
      </c>
      <c r="R202" s="45">
        <v>640.9676690029391</v>
      </c>
      <c r="S202" s="37">
        <v>3.516570562567639</v>
      </c>
      <c r="T202" s="37">
        <v>1.2742896004034576</v>
      </c>
      <c r="U202" s="37"/>
      <c r="V202" s="37">
        <v>643.2099499651033</v>
      </c>
      <c r="W202" s="38">
        <v>0.10720165832751721</v>
      </c>
      <c r="X202" s="45">
        <v>1.134E7</v>
      </c>
      <c r="Y202" s="37">
        <v>62215.16639294667</v>
      </c>
      <c r="Z202" s="37">
        <v>22544.73161033797</v>
      </c>
      <c r="AA202" s="37"/>
      <c r="AB202" s="37">
        <v>1.1379670434782607E7</v>
      </c>
      <c r="AC202" s="38">
        <v>1896.6117391304347</v>
      </c>
      <c r="AD202" s="32"/>
      <c r="AE202" s="11"/>
      <c r="AF202" s="11"/>
    </row>
    <row r="203">
      <c r="A203" s="11" t="s">
        <v>405</v>
      </c>
      <c r="B203" s="28">
        <v>46169.679814814815</v>
      </c>
      <c r="C203" s="51"/>
      <c r="D203" s="29" t="s">
        <v>32</v>
      </c>
      <c r="E203" s="11" t="b">
        <v>1</v>
      </c>
      <c r="F203" s="11" t="s">
        <v>222</v>
      </c>
      <c r="G203" s="40" t="s">
        <v>86</v>
      </c>
      <c r="H203" s="11" t="s">
        <v>403</v>
      </c>
      <c r="I203" s="31">
        <v>5.0</v>
      </c>
      <c r="J203" s="32">
        <v>2000.0</v>
      </c>
      <c r="K203" s="11">
        <v>1.0</v>
      </c>
      <c r="L203" s="33">
        <f t="shared" si="21"/>
        <v>0.1068279448</v>
      </c>
      <c r="M203" s="33">
        <f>((152070*3780000/43470000)+(100000*3780000/50300000))/P203</f>
        <v>1.172190188</v>
      </c>
      <c r="N203" s="33">
        <f>(100000*3780000/50300000)/P203</f>
        <v>0.4247632001</v>
      </c>
      <c r="O203" s="33"/>
      <c r="P203" s="34">
        <v>17692.0</v>
      </c>
      <c r="Q203" s="35">
        <v>2000.0</v>
      </c>
      <c r="R203" s="45">
        <v>213.6558896676464</v>
      </c>
      <c r="S203" s="37">
        <v>1.1721901875225464</v>
      </c>
      <c r="T203" s="37">
        <v>0.4247632001344859</v>
      </c>
      <c r="U203" s="37"/>
      <c r="V203" s="37">
        <v>214.40331665503444</v>
      </c>
      <c r="W203" s="38">
        <v>0.10720165832751723</v>
      </c>
      <c r="X203" s="45">
        <v>3780000.0</v>
      </c>
      <c r="Y203" s="37">
        <v>20738.38879764889</v>
      </c>
      <c r="Z203" s="37">
        <v>7514.9105367793245</v>
      </c>
      <c r="AA203" s="37"/>
      <c r="AB203" s="37">
        <v>3793223.4782608696</v>
      </c>
      <c r="AC203" s="38">
        <v>1896.611739130435</v>
      </c>
      <c r="AD203" s="32"/>
      <c r="AE203" s="11"/>
      <c r="AF203" s="11"/>
    </row>
    <row r="204">
      <c r="A204" s="11" t="s">
        <v>134</v>
      </c>
      <c r="B204" s="53">
        <v>46189.19930555556</v>
      </c>
      <c r="C204" s="54">
        <v>46190.555555555555</v>
      </c>
      <c r="D204" s="29" t="s">
        <v>32</v>
      </c>
      <c r="E204" s="11" t="b">
        <v>0</v>
      </c>
      <c r="F204" s="11" t="s">
        <v>54</v>
      </c>
      <c r="G204" s="11" t="s">
        <v>406</v>
      </c>
      <c r="H204" s="11" t="s">
        <v>407</v>
      </c>
      <c r="I204" s="31">
        <v>5.0</v>
      </c>
      <c r="J204" s="32">
        <v>1.0</v>
      </c>
      <c r="K204" s="11">
        <v>1.0</v>
      </c>
      <c r="L204" s="33">
        <f t="shared" ref="L204:L205" si="22">16500/P204</f>
        <v>0.9325194981</v>
      </c>
      <c r="M204" s="33">
        <f t="shared" ref="M204:M205" si="23">(13980+1000)/P204</f>
        <v>0.8466146716</v>
      </c>
      <c r="N204" s="33">
        <f>(2653+3236)/P204</f>
        <v>0.3328246863</v>
      </c>
      <c r="O204" s="33">
        <f t="shared" ref="O204:O205" si="24">13980/P204</f>
        <v>0.7900983384</v>
      </c>
      <c r="P204" s="34">
        <v>17694.0</v>
      </c>
      <c r="Q204" s="35">
        <v>1.0</v>
      </c>
      <c r="R204" s="45">
        <v>0.932519498134961</v>
      </c>
      <c r="S204" s="37">
        <v>0.846614671640104</v>
      </c>
      <c r="T204" s="37">
        <v>0.33282468633435064</v>
      </c>
      <c r="U204" s="37">
        <v>0.7900983384198034</v>
      </c>
      <c r="V204" s="37">
        <v>0.656211145020911</v>
      </c>
      <c r="W204" s="38">
        <v>0.656211145020911</v>
      </c>
      <c r="X204" s="45">
        <v>16500.0</v>
      </c>
      <c r="Y204" s="37">
        <v>14980.0</v>
      </c>
      <c r="Z204" s="37">
        <v>5889.0</v>
      </c>
      <c r="AA204" s="37">
        <v>13980.0</v>
      </c>
      <c r="AB204" s="37">
        <v>11611.0</v>
      </c>
      <c r="AC204" s="38">
        <v>11611.0</v>
      </c>
      <c r="AD204" s="32"/>
      <c r="AE204" s="11"/>
      <c r="AF204" s="11"/>
    </row>
    <row r="205">
      <c r="A205" s="11" t="s">
        <v>134</v>
      </c>
      <c r="B205" s="53">
        <v>46186.20763888889</v>
      </c>
      <c r="C205" s="54">
        <v>46186.532638888886</v>
      </c>
      <c r="D205" s="29" t="s">
        <v>32</v>
      </c>
      <c r="E205" s="11" t="b">
        <v>0</v>
      </c>
      <c r="F205" s="11" t="s">
        <v>54</v>
      </c>
      <c r="G205" s="11" t="s">
        <v>406</v>
      </c>
      <c r="H205" s="11" t="s">
        <v>408</v>
      </c>
      <c r="I205" s="31">
        <v>5.0</v>
      </c>
      <c r="J205" s="32">
        <v>1.0</v>
      </c>
      <c r="K205" s="11">
        <v>1.0</v>
      </c>
      <c r="L205" s="33">
        <f t="shared" si="22"/>
        <v>0.9233351987</v>
      </c>
      <c r="M205" s="33">
        <f t="shared" si="23"/>
        <v>0.838276441</v>
      </c>
      <c r="N205" s="33">
        <f>(2655+3228)/P205</f>
        <v>0.3292109681</v>
      </c>
      <c r="O205" s="33">
        <f t="shared" si="24"/>
        <v>0.782316732</v>
      </c>
      <c r="P205" s="34">
        <v>17870.0</v>
      </c>
      <c r="Q205" s="35">
        <v>1.0</v>
      </c>
      <c r="R205" s="45">
        <v>0.923335198656967</v>
      </c>
      <c r="S205" s="37">
        <v>0.838276440962507</v>
      </c>
      <c r="T205" s="37">
        <v>0.32921096810296585</v>
      </c>
      <c r="U205" s="37">
        <v>0.7823167319529939</v>
      </c>
      <c r="V205" s="37">
        <v>0.6500839395635144</v>
      </c>
      <c r="W205" s="38">
        <v>0.6500839395635144</v>
      </c>
      <c r="X205" s="45">
        <v>16500.0</v>
      </c>
      <c r="Y205" s="37">
        <v>14980.0</v>
      </c>
      <c r="Z205" s="37">
        <v>5883.0</v>
      </c>
      <c r="AA205" s="37">
        <v>13980.0</v>
      </c>
      <c r="AB205" s="37">
        <v>11617.000000000002</v>
      </c>
      <c r="AC205" s="38">
        <v>11617.000000000002</v>
      </c>
      <c r="AD205" s="32"/>
      <c r="AE205" s="11"/>
      <c r="AF205" s="11"/>
    </row>
    <row r="206">
      <c r="A206" s="11"/>
      <c r="B206" s="55"/>
      <c r="C206" s="6"/>
      <c r="D206" s="29"/>
      <c r="E206" s="11" t="b">
        <v>0</v>
      </c>
      <c r="F206" s="11"/>
      <c r="G206" s="11"/>
      <c r="H206" s="11"/>
      <c r="I206" s="31"/>
      <c r="J206" s="32"/>
      <c r="K206" s="11"/>
      <c r="L206" s="33"/>
      <c r="M206" s="33"/>
      <c r="N206" s="33"/>
      <c r="O206" s="33"/>
      <c r="P206" s="34"/>
      <c r="Q206" s="35"/>
      <c r="R206" s="45"/>
      <c r="S206" s="37"/>
      <c r="T206" s="37"/>
      <c r="U206" s="37"/>
      <c r="V206" s="37"/>
      <c r="W206" s="38"/>
      <c r="X206" s="45"/>
      <c r="Y206" s="37"/>
      <c r="Z206" s="37"/>
      <c r="AA206" s="37"/>
      <c r="AB206" s="37"/>
      <c r="AC206" s="38"/>
      <c r="AD206" s="32"/>
      <c r="AE206" s="11"/>
      <c r="AF206" s="11"/>
    </row>
    <row r="207">
      <c r="A207" s="11"/>
      <c r="B207" s="55"/>
      <c r="C207" s="6"/>
      <c r="D207" s="29"/>
      <c r="E207" s="11" t="b">
        <v>0</v>
      </c>
      <c r="F207" s="11"/>
      <c r="G207" s="11"/>
      <c r="H207" s="11"/>
      <c r="I207" s="31"/>
      <c r="J207" s="32"/>
      <c r="K207" s="11"/>
      <c r="L207" s="33"/>
      <c r="M207" s="33"/>
      <c r="N207" s="33"/>
      <c r="O207" s="33"/>
      <c r="P207" s="34"/>
      <c r="Q207" s="35"/>
      <c r="R207" s="45"/>
      <c r="S207" s="37"/>
      <c r="T207" s="37"/>
      <c r="U207" s="37"/>
      <c r="V207" s="37"/>
      <c r="W207" s="38"/>
      <c r="X207" s="45"/>
      <c r="Y207" s="37"/>
      <c r="Z207" s="37"/>
      <c r="AA207" s="37"/>
      <c r="AB207" s="37"/>
      <c r="AC207" s="38"/>
      <c r="AD207" s="32"/>
      <c r="AE207" s="11"/>
      <c r="AF207" s="11"/>
    </row>
    <row r="208">
      <c r="A208" s="11"/>
      <c r="B208" s="55"/>
      <c r="C208" s="6"/>
      <c r="D208" s="29"/>
      <c r="E208" s="11" t="b">
        <v>0</v>
      </c>
      <c r="F208" s="11"/>
      <c r="G208" s="11"/>
      <c r="H208" s="11"/>
      <c r="I208" s="31"/>
      <c r="J208" s="32"/>
      <c r="K208" s="11"/>
      <c r="L208" s="33"/>
      <c r="M208" s="33"/>
      <c r="N208" s="33"/>
      <c r="O208" s="33"/>
      <c r="P208" s="34"/>
      <c r="Q208" s="35"/>
      <c r="R208" s="45"/>
      <c r="S208" s="37"/>
      <c r="T208" s="37"/>
      <c r="U208" s="37"/>
      <c r="V208" s="37"/>
      <c r="W208" s="38"/>
      <c r="X208" s="45"/>
      <c r="Y208" s="37"/>
      <c r="Z208" s="37"/>
      <c r="AA208" s="37"/>
      <c r="AB208" s="37"/>
      <c r="AC208" s="38"/>
      <c r="AD208" s="32"/>
      <c r="AE208" s="11"/>
      <c r="AF208" s="11"/>
    </row>
    <row r="209">
      <c r="A209" s="11"/>
      <c r="B209" s="55"/>
      <c r="C209" s="6"/>
      <c r="D209" s="29"/>
      <c r="E209" s="11" t="b">
        <v>0</v>
      </c>
      <c r="F209" s="11"/>
      <c r="G209" s="11"/>
      <c r="H209" s="11"/>
      <c r="I209" s="31"/>
      <c r="J209" s="32"/>
      <c r="K209" s="11"/>
      <c r="L209" s="33"/>
      <c r="M209" s="33"/>
      <c r="N209" s="33"/>
      <c r="O209" s="33"/>
      <c r="P209" s="34"/>
      <c r="Q209" s="35"/>
      <c r="R209" s="45"/>
      <c r="S209" s="37"/>
      <c r="T209" s="37"/>
      <c r="U209" s="37"/>
      <c r="V209" s="37"/>
      <c r="W209" s="38"/>
      <c r="X209" s="45"/>
      <c r="Y209" s="37"/>
      <c r="Z209" s="37"/>
      <c r="AA209" s="37"/>
      <c r="AB209" s="37"/>
      <c r="AC209" s="38"/>
      <c r="AD209" s="32"/>
      <c r="AE209" s="11"/>
      <c r="AF209" s="11"/>
    </row>
    <row r="210">
      <c r="A210" s="11"/>
      <c r="B210" s="55"/>
      <c r="C210" s="6"/>
      <c r="D210" s="29"/>
      <c r="E210" s="11" t="b">
        <v>0</v>
      </c>
      <c r="F210" s="11"/>
      <c r="G210" s="11"/>
      <c r="H210" s="11"/>
      <c r="I210" s="31"/>
      <c r="J210" s="32"/>
      <c r="K210" s="11"/>
      <c r="L210" s="33"/>
      <c r="M210" s="33"/>
      <c r="N210" s="33"/>
      <c r="O210" s="33"/>
      <c r="P210" s="34"/>
      <c r="Q210" s="35"/>
      <c r="R210" s="45"/>
      <c r="S210" s="37"/>
      <c r="T210" s="37"/>
      <c r="U210" s="37"/>
      <c r="V210" s="37"/>
      <c r="W210" s="38"/>
      <c r="X210" s="45"/>
      <c r="Y210" s="37"/>
      <c r="Z210" s="37"/>
      <c r="AA210" s="37"/>
      <c r="AB210" s="37"/>
      <c r="AC210" s="38"/>
      <c r="AD210" s="32"/>
      <c r="AE210" s="11"/>
      <c r="AF210" s="11"/>
    </row>
    <row r="211">
      <c r="A211" s="11"/>
      <c r="B211" s="55"/>
      <c r="C211" s="6"/>
      <c r="D211" s="29"/>
      <c r="E211" s="11" t="b">
        <v>0</v>
      </c>
      <c r="F211" s="11"/>
      <c r="G211" s="11"/>
      <c r="H211" s="11"/>
      <c r="I211" s="31"/>
      <c r="J211" s="32"/>
      <c r="K211" s="11"/>
      <c r="L211" s="33"/>
      <c r="M211" s="33"/>
      <c r="N211" s="33"/>
      <c r="O211" s="33"/>
      <c r="P211" s="34"/>
      <c r="Q211" s="35"/>
      <c r="R211" s="45"/>
      <c r="S211" s="37"/>
      <c r="T211" s="37"/>
      <c r="U211" s="37"/>
      <c r="V211" s="37"/>
      <c r="W211" s="38"/>
      <c r="X211" s="45"/>
      <c r="Y211" s="37"/>
      <c r="Z211" s="37"/>
      <c r="AA211" s="37"/>
      <c r="AB211" s="37"/>
      <c r="AC211" s="38"/>
      <c r="AD211" s="32"/>
      <c r="AE211" s="11"/>
      <c r="AF211" s="11"/>
    </row>
    <row r="212">
      <c r="A212" s="11"/>
      <c r="B212" s="55"/>
      <c r="C212" s="6"/>
      <c r="D212" s="29"/>
      <c r="E212" s="11" t="b">
        <v>0</v>
      </c>
      <c r="F212" s="11"/>
      <c r="G212" s="11"/>
      <c r="H212" s="11"/>
      <c r="I212" s="31"/>
      <c r="J212" s="32"/>
      <c r="K212" s="11"/>
      <c r="L212" s="33"/>
      <c r="M212" s="33"/>
      <c r="N212" s="33"/>
      <c r="O212" s="33"/>
      <c r="P212" s="34"/>
      <c r="Q212" s="35"/>
      <c r="R212" s="45"/>
      <c r="S212" s="37"/>
      <c r="T212" s="37"/>
      <c r="U212" s="37"/>
      <c r="V212" s="37"/>
      <c r="W212" s="38"/>
      <c r="X212" s="45"/>
      <c r="Y212" s="37"/>
      <c r="Z212" s="37"/>
      <c r="AA212" s="37"/>
      <c r="AB212" s="37"/>
      <c r="AC212" s="38"/>
      <c r="AD212" s="32"/>
      <c r="AE212" s="11"/>
      <c r="AF212" s="11"/>
    </row>
    <row r="213">
      <c r="A213" s="11"/>
      <c r="B213" s="55"/>
      <c r="C213" s="6"/>
      <c r="D213" s="29"/>
      <c r="E213" s="11" t="b">
        <v>0</v>
      </c>
      <c r="F213" s="11"/>
      <c r="G213" s="11"/>
      <c r="H213" s="11"/>
      <c r="I213" s="31"/>
      <c r="J213" s="32"/>
      <c r="K213" s="11"/>
      <c r="L213" s="33"/>
      <c r="M213" s="33"/>
      <c r="N213" s="33"/>
      <c r="O213" s="33"/>
      <c r="P213" s="34"/>
      <c r="Q213" s="35"/>
      <c r="R213" s="45"/>
      <c r="S213" s="37"/>
      <c r="T213" s="37"/>
      <c r="U213" s="37"/>
      <c r="V213" s="37"/>
      <c r="W213" s="38"/>
      <c r="X213" s="45"/>
      <c r="Y213" s="37"/>
      <c r="Z213" s="37"/>
      <c r="AA213" s="37"/>
      <c r="AB213" s="37"/>
      <c r="AC213" s="38"/>
      <c r="AD213" s="32"/>
      <c r="AE213" s="11"/>
      <c r="AF213" s="11"/>
    </row>
    <row r="214">
      <c r="A214" s="11"/>
      <c r="B214" s="55"/>
      <c r="C214" s="6"/>
      <c r="D214" s="29"/>
      <c r="E214" s="11" t="b">
        <v>0</v>
      </c>
      <c r="F214" s="11"/>
      <c r="G214" s="11"/>
      <c r="H214" s="11"/>
      <c r="I214" s="31"/>
      <c r="J214" s="32"/>
      <c r="K214" s="11"/>
      <c r="L214" s="33"/>
      <c r="M214" s="33"/>
      <c r="N214" s="33"/>
      <c r="O214" s="33"/>
      <c r="P214" s="34"/>
      <c r="Q214" s="35"/>
      <c r="R214" s="45"/>
      <c r="S214" s="37"/>
      <c r="T214" s="37"/>
      <c r="U214" s="37"/>
      <c r="V214" s="37"/>
      <c r="W214" s="38"/>
      <c r="X214" s="45"/>
      <c r="Y214" s="37"/>
      <c r="Z214" s="37"/>
      <c r="AA214" s="37"/>
      <c r="AB214" s="37"/>
      <c r="AC214" s="38"/>
      <c r="AD214" s="32"/>
      <c r="AE214" s="11"/>
      <c r="AF214" s="11"/>
    </row>
    <row r="215">
      <c r="A215" s="11"/>
      <c r="B215" s="55"/>
      <c r="C215" s="6"/>
      <c r="D215" s="29"/>
      <c r="E215" s="11" t="b">
        <v>0</v>
      </c>
      <c r="F215" s="11"/>
      <c r="G215" s="11"/>
      <c r="H215" s="11"/>
      <c r="I215" s="31"/>
      <c r="J215" s="32"/>
      <c r="K215" s="11"/>
      <c r="L215" s="33"/>
      <c r="M215" s="33"/>
      <c r="N215" s="33"/>
      <c r="O215" s="33"/>
      <c r="P215" s="34"/>
      <c r="Q215" s="35"/>
      <c r="R215" s="45"/>
      <c r="S215" s="37"/>
      <c r="T215" s="37"/>
      <c r="U215" s="37"/>
      <c r="V215" s="37"/>
      <c r="W215" s="38"/>
      <c r="X215" s="45"/>
      <c r="Y215" s="37"/>
      <c r="Z215" s="37"/>
      <c r="AA215" s="37"/>
      <c r="AB215" s="37"/>
      <c r="AC215" s="38"/>
      <c r="AD215" s="32"/>
      <c r="AE215" s="11"/>
      <c r="AF215" s="11"/>
    </row>
    <row r="216">
      <c r="A216" s="11"/>
      <c r="B216" s="55"/>
      <c r="C216" s="6"/>
      <c r="D216" s="29"/>
      <c r="E216" s="11" t="b">
        <v>0</v>
      </c>
      <c r="F216" s="11"/>
      <c r="G216" s="11"/>
      <c r="H216" s="11"/>
      <c r="I216" s="31"/>
      <c r="J216" s="32"/>
      <c r="K216" s="11"/>
      <c r="L216" s="33"/>
      <c r="M216" s="33"/>
      <c r="N216" s="33"/>
      <c r="O216" s="33"/>
      <c r="P216" s="34"/>
      <c r="Q216" s="35"/>
      <c r="R216" s="45"/>
      <c r="S216" s="37"/>
      <c r="T216" s="37"/>
      <c r="U216" s="37"/>
      <c r="V216" s="37"/>
      <c r="W216" s="38"/>
      <c r="X216" s="45"/>
      <c r="Y216" s="37"/>
      <c r="Z216" s="37"/>
      <c r="AA216" s="37"/>
      <c r="AB216" s="37"/>
      <c r="AC216" s="38"/>
      <c r="AD216" s="32"/>
      <c r="AE216" s="11"/>
      <c r="AF216" s="11"/>
    </row>
    <row r="217">
      <c r="A217" s="11"/>
      <c r="B217" s="55"/>
      <c r="C217" s="6"/>
      <c r="D217" s="29"/>
      <c r="E217" s="11" t="b">
        <v>0</v>
      </c>
      <c r="F217" s="11"/>
      <c r="G217" s="11"/>
      <c r="H217" s="11"/>
      <c r="I217" s="31"/>
      <c r="J217" s="32"/>
      <c r="K217" s="11"/>
      <c r="L217" s="33"/>
      <c r="M217" s="33"/>
      <c r="N217" s="33"/>
      <c r="O217" s="33"/>
      <c r="P217" s="34"/>
      <c r="Q217" s="35"/>
      <c r="R217" s="45"/>
      <c r="S217" s="37"/>
      <c r="T217" s="37"/>
      <c r="U217" s="37"/>
      <c r="V217" s="37"/>
      <c r="W217" s="38"/>
      <c r="X217" s="45"/>
      <c r="Y217" s="37"/>
      <c r="Z217" s="37"/>
      <c r="AA217" s="37"/>
      <c r="AB217" s="37"/>
      <c r="AC217" s="38"/>
      <c r="AD217" s="32"/>
      <c r="AE217" s="11"/>
      <c r="AF217" s="11"/>
    </row>
    <row r="218">
      <c r="A218" s="11"/>
      <c r="B218" s="55"/>
      <c r="C218" s="6"/>
      <c r="D218" s="29"/>
      <c r="E218" s="11" t="b">
        <v>0</v>
      </c>
      <c r="F218" s="11"/>
      <c r="G218" s="11"/>
      <c r="H218" s="11"/>
      <c r="I218" s="31"/>
      <c r="J218" s="32"/>
      <c r="K218" s="11"/>
      <c r="L218" s="33"/>
      <c r="M218" s="33"/>
      <c r="N218" s="33"/>
      <c r="O218" s="33"/>
      <c r="P218" s="34"/>
      <c r="Q218" s="35"/>
      <c r="R218" s="45"/>
      <c r="S218" s="37"/>
      <c r="T218" s="37"/>
      <c r="U218" s="37"/>
      <c r="V218" s="37"/>
      <c r="W218" s="38"/>
      <c r="X218" s="45"/>
      <c r="Y218" s="37"/>
      <c r="Z218" s="37"/>
      <c r="AA218" s="37"/>
      <c r="AB218" s="37"/>
      <c r="AC218" s="38"/>
      <c r="AD218" s="32"/>
      <c r="AE218" s="11"/>
      <c r="AF218" s="11"/>
    </row>
    <row r="219">
      <c r="A219" s="11"/>
      <c r="B219" s="55"/>
      <c r="C219" s="6"/>
      <c r="D219" s="29"/>
      <c r="E219" s="11" t="b">
        <v>0</v>
      </c>
      <c r="F219" s="11"/>
      <c r="G219" s="11"/>
      <c r="H219" s="11"/>
      <c r="I219" s="31"/>
      <c r="J219" s="32"/>
      <c r="K219" s="11"/>
      <c r="L219" s="33"/>
      <c r="M219" s="33"/>
      <c r="N219" s="33"/>
      <c r="O219" s="33"/>
      <c r="P219" s="34"/>
      <c r="Q219" s="35"/>
      <c r="R219" s="45"/>
      <c r="S219" s="37"/>
      <c r="T219" s="37"/>
      <c r="U219" s="37"/>
      <c r="V219" s="37"/>
      <c r="W219" s="38"/>
      <c r="X219" s="45"/>
      <c r="Y219" s="37"/>
      <c r="Z219" s="37"/>
      <c r="AA219" s="37"/>
      <c r="AB219" s="37"/>
      <c r="AC219" s="38"/>
      <c r="AD219" s="32"/>
      <c r="AE219" s="11"/>
      <c r="AF219" s="11"/>
    </row>
    <row r="220">
      <c r="A220" s="11"/>
      <c r="B220" s="55"/>
      <c r="C220" s="6"/>
      <c r="D220" s="29"/>
      <c r="E220" s="11" t="b">
        <v>0</v>
      </c>
      <c r="F220" s="11"/>
      <c r="G220" s="11"/>
      <c r="H220" s="11"/>
      <c r="I220" s="31"/>
      <c r="J220" s="32"/>
      <c r="K220" s="11"/>
      <c r="L220" s="33"/>
      <c r="M220" s="33"/>
      <c r="N220" s="33"/>
      <c r="O220" s="33"/>
      <c r="P220" s="34"/>
      <c r="Q220" s="35"/>
      <c r="R220" s="45"/>
      <c r="S220" s="37"/>
      <c r="T220" s="37"/>
      <c r="U220" s="37"/>
      <c r="V220" s="37"/>
      <c r="W220" s="38"/>
      <c r="X220" s="45"/>
      <c r="Y220" s="37"/>
      <c r="Z220" s="37"/>
      <c r="AA220" s="37"/>
      <c r="AB220" s="37"/>
      <c r="AC220" s="38"/>
      <c r="AD220" s="32"/>
      <c r="AE220" s="11"/>
      <c r="AF220" s="11"/>
    </row>
    <row r="221">
      <c r="A221" s="11"/>
      <c r="B221" s="55"/>
      <c r="C221" s="6"/>
      <c r="D221" s="29"/>
      <c r="E221" s="11" t="b">
        <v>0</v>
      </c>
      <c r="F221" s="11"/>
      <c r="G221" s="11"/>
      <c r="H221" s="11"/>
      <c r="I221" s="31"/>
      <c r="J221" s="32"/>
      <c r="K221" s="11"/>
      <c r="L221" s="33"/>
      <c r="M221" s="33"/>
      <c r="N221" s="33"/>
      <c r="O221" s="33"/>
      <c r="P221" s="34"/>
      <c r="Q221" s="35"/>
      <c r="R221" s="45"/>
      <c r="S221" s="37"/>
      <c r="T221" s="37"/>
      <c r="U221" s="37"/>
      <c r="V221" s="37"/>
      <c r="W221" s="38"/>
      <c r="X221" s="45"/>
      <c r="Y221" s="37"/>
      <c r="Z221" s="37"/>
      <c r="AA221" s="37"/>
      <c r="AB221" s="37"/>
      <c r="AC221" s="38"/>
      <c r="AD221" s="32"/>
      <c r="AE221" s="11"/>
      <c r="AF221" s="11"/>
    </row>
    <row r="222">
      <c r="A222" s="11"/>
      <c r="B222" s="55"/>
      <c r="C222" s="6"/>
      <c r="D222" s="29"/>
      <c r="E222" s="11" t="b">
        <v>0</v>
      </c>
      <c r="F222" s="11"/>
      <c r="G222" s="11"/>
      <c r="H222" s="11"/>
      <c r="I222" s="31"/>
      <c r="J222" s="32"/>
      <c r="K222" s="11"/>
      <c r="L222" s="33"/>
      <c r="M222" s="33"/>
      <c r="N222" s="33"/>
      <c r="O222" s="33"/>
      <c r="P222" s="34"/>
      <c r="Q222" s="35"/>
      <c r="R222" s="45"/>
      <c r="S222" s="37"/>
      <c r="T222" s="37"/>
      <c r="U222" s="37"/>
      <c r="V222" s="37"/>
      <c r="W222" s="38"/>
      <c r="X222" s="45"/>
      <c r="Y222" s="37"/>
      <c r="Z222" s="37"/>
      <c r="AA222" s="37"/>
      <c r="AB222" s="37"/>
      <c r="AC222" s="38"/>
      <c r="AD222" s="32"/>
      <c r="AE222" s="11"/>
      <c r="AF222" s="11"/>
    </row>
    <row r="223">
      <c r="A223" s="11"/>
      <c r="B223" s="55"/>
      <c r="C223" s="6"/>
      <c r="D223" s="29"/>
      <c r="E223" s="11" t="b">
        <v>0</v>
      </c>
      <c r="F223" s="11"/>
      <c r="G223" s="11"/>
      <c r="H223" s="11"/>
      <c r="I223" s="31"/>
      <c r="J223" s="32"/>
      <c r="K223" s="11"/>
      <c r="L223" s="33"/>
      <c r="M223" s="33"/>
      <c r="N223" s="33"/>
      <c r="O223" s="33"/>
      <c r="P223" s="34"/>
      <c r="Q223" s="35"/>
      <c r="R223" s="45"/>
      <c r="S223" s="37"/>
      <c r="T223" s="37"/>
      <c r="U223" s="37"/>
      <c r="V223" s="37"/>
      <c r="W223" s="38"/>
      <c r="X223" s="45"/>
      <c r="Y223" s="37"/>
      <c r="Z223" s="37"/>
      <c r="AA223" s="37"/>
      <c r="AB223" s="37"/>
      <c r="AC223" s="38"/>
      <c r="AD223" s="32"/>
      <c r="AE223" s="11"/>
      <c r="AF223" s="11"/>
    </row>
    <row r="224">
      <c r="A224" s="11"/>
      <c r="B224" s="55"/>
      <c r="C224" s="6"/>
      <c r="D224" s="29"/>
      <c r="E224" s="11" t="b">
        <v>0</v>
      </c>
      <c r="F224" s="11"/>
      <c r="G224" s="11"/>
      <c r="H224" s="11"/>
      <c r="I224" s="31"/>
      <c r="J224" s="32"/>
      <c r="K224" s="11"/>
      <c r="L224" s="33"/>
      <c r="M224" s="33"/>
      <c r="N224" s="33"/>
      <c r="O224" s="33"/>
      <c r="P224" s="34"/>
      <c r="Q224" s="35"/>
      <c r="R224" s="45"/>
      <c r="S224" s="37"/>
      <c r="T224" s="37"/>
      <c r="U224" s="37"/>
      <c r="V224" s="37"/>
      <c r="W224" s="38"/>
      <c r="X224" s="45"/>
      <c r="Y224" s="37"/>
      <c r="Z224" s="37"/>
      <c r="AA224" s="37"/>
      <c r="AB224" s="37"/>
      <c r="AC224" s="38"/>
      <c r="AD224" s="32"/>
      <c r="AE224" s="11"/>
      <c r="AF224" s="11"/>
    </row>
    <row r="225">
      <c r="A225" s="11"/>
      <c r="B225" s="55"/>
      <c r="C225" s="6"/>
      <c r="D225" s="29"/>
      <c r="E225" s="11" t="b">
        <v>0</v>
      </c>
      <c r="F225" s="11"/>
      <c r="G225" s="11"/>
      <c r="H225" s="11"/>
      <c r="I225" s="31"/>
      <c r="J225" s="32"/>
      <c r="K225" s="11"/>
      <c r="L225" s="33"/>
      <c r="M225" s="33"/>
      <c r="N225" s="33"/>
      <c r="O225" s="33"/>
      <c r="P225" s="34"/>
      <c r="Q225" s="35"/>
      <c r="R225" s="45"/>
      <c r="S225" s="37"/>
      <c r="T225" s="37"/>
      <c r="U225" s="37"/>
      <c r="V225" s="37"/>
      <c r="W225" s="38"/>
      <c r="X225" s="45"/>
      <c r="Y225" s="37"/>
      <c r="Z225" s="37"/>
      <c r="AA225" s="37"/>
      <c r="AB225" s="37"/>
      <c r="AC225" s="38"/>
      <c r="AD225" s="32"/>
      <c r="AE225" s="11"/>
      <c r="AF225" s="11"/>
    </row>
    <row r="226">
      <c r="A226" s="11"/>
      <c r="B226" s="55"/>
      <c r="C226" s="6"/>
      <c r="D226" s="29"/>
      <c r="E226" s="11" t="b">
        <v>0</v>
      </c>
      <c r="F226" s="11"/>
      <c r="G226" s="11"/>
      <c r="H226" s="11"/>
      <c r="I226" s="31"/>
      <c r="J226" s="32"/>
      <c r="K226" s="11"/>
      <c r="L226" s="33"/>
      <c r="M226" s="33"/>
      <c r="N226" s="33"/>
      <c r="O226" s="33"/>
      <c r="P226" s="34"/>
      <c r="Q226" s="35"/>
      <c r="R226" s="45"/>
      <c r="S226" s="37"/>
      <c r="T226" s="37"/>
      <c r="U226" s="37"/>
      <c r="V226" s="37"/>
      <c r="W226" s="38"/>
      <c r="X226" s="45"/>
      <c r="Y226" s="37"/>
      <c r="Z226" s="37"/>
      <c r="AA226" s="37"/>
      <c r="AB226" s="37"/>
      <c r="AC226" s="38"/>
      <c r="AD226" s="32"/>
      <c r="AE226" s="11"/>
      <c r="AF226" s="11"/>
    </row>
    <row r="227">
      <c r="A227" s="11"/>
      <c r="B227" s="55"/>
      <c r="C227" s="6"/>
      <c r="D227" s="29"/>
      <c r="E227" s="11" t="b">
        <v>0</v>
      </c>
      <c r="F227" s="11"/>
      <c r="G227" s="11"/>
      <c r="H227" s="11"/>
      <c r="I227" s="31"/>
      <c r="J227" s="32"/>
      <c r="K227" s="11"/>
      <c r="L227" s="33"/>
      <c r="M227" s="33"/>
      <c r="N227" s="33"/>
      <c r="O227" s="33"/>
      <c r="P227" s="34"/>
      <c r="Q227" s="35"/>
      <c r="R227" s="45"/>
      <c r="S227" s="37"/>
      <c r="T227" s="37"/>
      <c r="U227" s="37"/>
      <c r="V227" s="37"/>
      <c r="W227" s="38"/>
      <c r="X227" s="45"/>
      <c r="Y227" s="37"/>
      <c r="Z227" s="37"/>
      <c r="AA227" s="37"/>
      <c r="AB227" s="37"/>
      <c r="AC227" s="38"/>
      <c r="AD227" s="32"/>
      <c r="AE227" s="11"/>
      <c r="AF227" s="11"/>
    </row>
    <row r="228">
      <c r="A228" s="11"/>
      <c r="B228" s="55"/>
      <c r="C228" s="6"/>
      <c r="D228" s="29"/>
      <c r="E228" s="11" t="b">
        <v>0</v>
      </c>
      <c r="F228" s="11"/>
      <c r="G228" s="11"/>
      <c r="H228" s="11"/>
      <c r="I228" s="31"/>
      <c r="J228" s="32"/>
      <c r="K228" s="11"/>
      <c r="L228" s="33"/>
      <c r="M228" s="33"/>
      <c r="N228" s="33"/>
      <c r="O228" s="33"/>
      <c r="P228" s="34"/>
      <c r="Q228" s="35"/>
      <c r="R228" s="45"/>
      <c r="S228" s="37"/>
      <c r="T228" s="37"/>
      <c r="U228" s="37"/>
      <c r="V228" s="37"/>
      <c r="W228" s="38"/>
      <c r="X228" s="45"/>
      <c r="Y228" s="37"/>
      <c r="Z228" s="37"/>
      <c r="AA228" s="37"/>
      <c r="AB228" s="37"/>
      <c r="AC228" s="38"/>
      <c r="AD228" s="32"/>
      <c r="AE228" s="11"/>
      <c r="AF228" s="11"/>
    </row>
    <row r="229">
      <c r="A229" s="11"/>
      <c r="B229" s="55"/>
      <c r="C229" s="6"/>
      <c r="D229" s="29"/>
      <c r="E229" s="11" t="b">
        <v>0</v>
      </c>
      <c r="F229" s="11"/>
      <c r="G229" s="11"/>
      <c r="H229" s="11"/>
      <c r="I229" s="31"/>
      <c r="J229" s="32"/>
      <c r="K229" s="11"/>
      <c r="L229" s="33"/>
      <c r="M229" s="33"/>
      <c r="N229" s="33"/>
      <c r="O229" s="33"/>
      <c r="P229" s="34"/>
      <c r="Q229" s="35"/>
      <c r="R229" s="45"/>
      <c r="S229" s="37"/>
      <c r="T229" s="37"/>
      <c r="U229" s="37"/>
      <c r="V229" s="37"/>
      <c r="W229" s="38"/>
      <c r="X229" s="45"/>
      <c r="Y229" s="37"/>
      <c r="Z229" s="37"/>
      <c r="AA229" s="37"/>
      <c r="AB229" s="37"/>
      <c r="AC229" s="38"/>
      <c r="AD229" s="32"/>
      <c r="AE229" s="11"/>
      <c r="AF229" s="11"/>
    </row>
    <row r="230">
      <c r="A230" s="11"/>
      <c r="B230" s="55"/>
      <c r="C230" s="6"/>
      <c r="D230" s="29"/>
      <c r="E230" s="11" t="b">
        <v>0</v>
      </c>
      <c r="F230" s="11"/>
      <c r="G230" s="11"/>
      <c r="H230" s="11"/>
      <c r="I230" s="31"/>
      <c r="J230" s="32"/>
      <c r="K230" s="11"/>
      <c r="L230" s="33"/>
      <c r="M230" s="33"/>
      <c r="N230" s="33"/>
      <c r="O230" s="33"/>
      <c r="P230" s="34"/>
      <c r="Q230" s="35"/>
      <c r="R230" s="45"/>
      <c r="S230" s="37"/>
      <c r="T230" s="37"/>
      <c r="U230" s="37"/>
      <c r="V230" s="37"/>
      <c r="W230" s="38"/>
      <c r="X230" s="45"/>
      <c r="Y230" s="37"/>
      <c r="Z230" s="37"/>
      <c r="AA230" s="37"/>
      <c r="AB230" s="37"/>
      <c r="AC230" s="38"/>
      <c r="AD230" s="32"/>
      <c r="AE230" s="11"/>
      <c r="AF230" s="11"/>
    </row>
    <row r="231">
      <c r="A231" s="11"/>
      <c r="B231" s="55"/>
      <c r="C231" s="6"/>
      <c r="D231" s="29"/>
      <c r="E231" s="11" t="b">
        <v>0</v>
      </c>
      <c r="F231" s="11"/>
      <c r="G231" s="11"/>
      <c r="H231" s="11"/>
      <c r="I231" s="31"/>
      <c r="J231" s="32"/>
      <c r="K231" s="11"/>
      <c r="L231" s="33"/>
      <c r="M231" s="33"/>
      <c r="N231" s="33"/>
      <c r="O231" s="33"/>
      <c r="P231" s="34"/>
      <c r="Q231" s="35"/>
      <c r="R231" s="45"/>
      <c r="S231" s="37"/>
      <c r="T231" s="37"/>
      <c r="U231" s="37"/>
      <c r="V231" s="37"/>
      <c r="W231" s="38"/>
      <c r="X231" s="45"/>
      <c r="Y231" s="37"/>
      <c r="Z231" s="37"/>
      <c r="AA231" s="37"/>
      <c r="AB231" s="37"/>
      <c r="AC231" s="38"/>
      <c r="AD231" s="32"/>
      <c r="AE231" s="11"/>
      <c r="AF231" s="11"/>
    </row>
    <row r="232">
      <c r="A232" s="11"/>
      <c r="B232" s="55"/>
      <c r="C232" s="6"/>
      <c r="D232" s="29"/>
      <c r="E232" s="11" t="b">
        <v>0</v>
      </c>
      <c r="F232" s="11"/>
      <c r="G232" s="11"/>
      <c r="H232" s="11"/>
      <c r="I232" s="31"/>
      <c r="J232" s="32"/>
      <c r="K232" s="11"/>
      <c r="L232" s="33"/>
      <c r="M232" s="33"/>
      <c r="N232" s="33"/>
      <c r="O232" s="33"/>
      <c r="P232" s="34"/>
      <c r="Q232" s="35"/>
      <c r="R232" s="45"/>
      <c r="S232" s="37"/>
      <c r="T232" s="37"/>
      <c r="U232" s="37"/>
      <c r="V232" s="37"/>
      <c r="W232" s="38"/>
      <c r="X232" s="45"/>
      <c r="Y232" s="37"/>
      <c r="Z232" s="37"/>
      <c r="AA232" s="37"/>
      <c r="AB232" s="37"/>
      <c r="AC232" s="38"/>
      <c r="AD232" s="32"/>
      <c r="AE232" s="11"/>
      <c r="AF232" s="11"/>
    </row>
    <row r="233">
      <c r="A233" s="11"/>
      <c r="B233" s="55"/>
      <c r="C233" s="6"/>
      <c r="D233" s="29"/>
      <c r="E233" s="11" t="b">
        <v>0</v>
      </c>
      <c r="F233" s="11"/>
      <c r="G233" s="11"/>
      <c r="H233" s="11"/>
      <c r="I233" s="31"/>
      <c r="J233" s="32"/>
      <c r="K233" s="11"/>
      <c r="L233" s="33"/>
      <c r="M233" s="33"/>
      <c r="N233" s="33"/>
      <c r="O233" s="33"/>
      <c r="P233" s="34"/>
      <c r="Q233" s="35"/>
      <c r="R233" s="45"/>
      <c r="S233" s="37"/>
      <c r="T233" s="37"/>
      <c r="U233" s="37"/>
      <c r="V233" s="37"/>
      <c r="W233" s="38"/>
      <c r="X233" s="45"/>
      <c r="Y233" s="37"/>
      <c r="Z233" s="37"/>
      <c r="AA233" s="37"/>
      <c r="AB233" s="37"/>
      <c r="AC233" s="38"/>
      <c r="AD233" s="32"/>
      <c r="AE233" s="11"/>
      <c r="AF233" s="11"/>
    </row>
    <row r="234">
      <c r="A234" s="11"/>
      <c r="B234" s="55"/>
      <c r="C234" s="6"/>
      <c r="D234" s="29"/>
      <c r="E234" s="11" t="b">
        <v>0</v>
      </c>
      <c r="F234" s="11"/>
      <c r="G234" s="11"/>
      <c r="H234" s="11"/>
      <c r="I234" s="31"/>
      <c r="J234" s="32"/>
      <c r="K234" s="11"/>
      <c r="L234" s="33"/>
      <c r="M234" s="33"/>
      <c r="N234" s="33"/>
      <c r="O234" s="33"/>
      <c r="P234" s="34"/>
      <c r="Q234" s="35"/>
      <c r="R234" s="45"/>
      <c r="S234" s="37"/>
      <c r="T234" s="37"/>
      <c r="U234" s="37"/>
      <c r="V234" s="37"/>
      <c r="W234" s="38"/>
      <c r="X234" s="45"/>
      <c r="Y234" s="37"/>
      <c r="Z234" s="37"/>
      <c r="AA234" s="37"/>
      <c r="AB234" s="37"/>
      <c r="AC234" s="38"/>
      <c r="AD234" s="32"/>
      <c r="AE234" s="11"/>
      <c r="AF234" s="11"/>
    </row>
    <row r="235">
      <c r="A235" s="11"/>
      <c r="B235" s="55"/>
      <c r="C235" s="6"/>
      <c r="D235" s="29"/>
      <c r="E235" s="11" t="b">
        <v>0</v>
      </c>
      <c r="F235" s="11"/>
      <c r="G235" s="11"/>
      <c r="H235" s="11"/>
      <c r="I235" s="31"/>
      <c r="J235" s="32"/>
      <c r="K235" s="11"/>
      <c r="L235" s="33"/>
      <c r="M235" s="33"/>
      <c r="N235" s="33"/>
      <c r="O235" s="33"/>
      <c r="P235" s="34"/>
      <c r="Q235" s="35"/>
      <c r="R235" s="45"/>
      <c r="S235" s="37"/>
      <c r="T235" s="37"/>
      <c r="U235" s="37"/>
      <c r="V235" s="37"/>
      <c r="W235" s="38"/>
      <c r="X235" s="45"/>
      <c r="Y235" s="37"/>
      <c r="Z235" s="37"/>
      <c r="AA235" s="37"/>
      <c r="AB235" s="37"/>
      <c r="AC235" s="38"/>
      <c r="AD235" s="32"/>
      <c r="AE235" s="11"/>
      <c r="AF235" s="11"/>
    </row>
    <row r="236">
      <c r="A236" s="11"/>
      <c r="B236" s="55"/>
      <c r="C236" s="6"/>
      <c r="D236" s="29"/>
      <c r="E236" s="11" t="b">
        <v>0</v>
      </c>
      <c r="F236" s="11"/>
      <c r="G236" s="11"/>
      <c r="H236" s="11"/>
      <c r="I236" s="31"/>
      <c r="J236" s="32"/>
      <c r="K236" s="11"/>
      <c r="L236" s="33"/>
      <c r="M236" s="33"/>
      <c r="N236" s="33"/>
      <c r="O236" s="33"/>
      <c r="P236" s="34"/>
      <c r="Q236" s="35"/>
      <c r="R236" s="45"/>
      <c r="S236" s="37"/>
      <c r="T236" s="37"/>
      <c r="U236" s="37"/>
      <c r="V236" s="37"/>
      <c r="W236" s="38"/>
      <c r="X236" s="45"/>
      <c r="Y236" s="37"/>
      <c r="Z236" s="37"/>
      <c r="AA236" s="37"/>
      <c r="AB236" s="37"/>
      <c r="AC236" s="38"/>
      <c r="AD236" s="32"/>
      <c r="AE236" s="11"/>
      <c r="AF236" s="11"/>
    </row>
    <row r="237">
      <c r="A237" s="11"/>
      <c r="B237" s="55"/>
      <c r="C237" s="6"/>
      <c r="D237" s="29"/>
      <c r="E237" s="11" t="b">
        <v>0</v>
      </c>
      <c r="F237" s="11"/>
      <c r="G237" s="11"/>
      <c r="H237" s="11"/>
      <c r="I237" s="31"/>
      <c r="J237" s="32"/>
      <c r="K237" s="11"/>
      <c r="L237" s="33"/>
      <c r="M237" s="33"/>
      <c r="N237" s="33"/>
      <c r="O237" s="33"/>
      <c r="P237" s="34"/>
      <c r="Q237" s="35"/>
      <c r="R237" s="45"/>
      <c r="S237" s="37"/>
      <c r="T237" s="37"/>
      <c r="U237" s="37"/>
      <c r="V237" s="37"/>
      <c r="W237" s="38"/>
      <c r="X237" s="45"/>
      <c r="Y237" s="37"/>
      <c r="Z237" s="37"/>
      <c r="AA237" s="37"/>
      <c r="AB237" s="37"/>
      <c r="AC237" s="38"/>
      <c r="AD237" s="32"/>
      <c r="AE237" s="11"/>
      <c r="AF237" s="11"/>
    </row>
    <row r="238">
      <c r="A238" s="11"/>
      <c r="B238" s="55"/>
      <c r="C238" s="6"/>
      <c r="D238" s="29"/>
      <c r="E238" s="11" t="b">
        <v>0</v>
      </c>
      <c r="F238" s="11"/>
      <c r="G238" s="11"/>
      <c r="H238" s="11"/>
      <c r="I238" s="31"/>
      <c r="J238" s="32"/>
      <c r="K238" s="11"/>
      <c r="L238" s="33"/>
      <c r="M238" s="33"/>
      <c r="N238" s="33"/>
      <c r="O238" s="33"/>
      <c r="P238" s="34"/>
      <c r="Q238" s="35"/>
      <c r="R238" s="45"/>
      <c r="S238" s="37"/>
      <c r="T238" s="37"/>
      <c r="U238" s="37"/>
      <c r="V238" s="37"/>
      <c r="W238" s="38"/>
      <c r="X238" s="45"/>
      <c r="Y238" s="37"/>
      <c r="Z238" s="37"/>
      <c r="AA238" s="37"/>
      <c r="AB238" s="37"/>
      <c r="AC238" s="38"/>
      <c r="AD238" s="32"/>
      <c r="AE238" s="11"/>
      <c r="AF238" s="11"/>
    </row>
    <row r="239">
      <c r="A239" s="11"/>
      <c r="B239" s="55"/>
      <c r="C239" s="6"/>
      <c r="D239" s="29"/>
      <c r="E239" s="11" t="b">
        <v>0</v>
      </c>
      <c r="F239" s="11"/>
      <c r="G239" s="11"/>
      <c r="H239" s="11"/>
      <c r="I239" s="31"/>
      <c r="J239" s="32"/>
      <c r="K239" s="11"/>
      <c r="L239" s="33"/>
      <c r="M239" s="33"/>
      <c r="N239" s="33"/>
      <c r="O239" s="33"/>
      <c r="P239" s="34"/>
      <c r="Q239" s="35"/>
      <c r="R239" s="45"/>
      <c r="S239" s="37"/>
      <c r="T239" s="37"/>
      <c r="U239" s="37"/>
      <c r="V239" s="37"/>
      <c r="W239" s="38"/>
      <c r="X239" s="45"/>
      <c r="Y239" s="37"/>
      <c r="Z239" s="37"/>
      <c r="AA239" s="37"/>
      <c r="AB239" s="37"/>
      <c r="AC239" s="38"/>
      <c r="AD239" s="32"/>
      <c r="AE239" s="11"/>
      <c r="AF239" s="11"/>
    </row>
    <row r="240">
      <c r="A240" s="11"/>
      <c r="B240" s="55"/>
      <c r="C240" s="6"/>
      <c r="D240" s="29"/>
      <c r="E240" s="11" t="b">
        <v>0</v>
      </c>
      <c r="F240" s="11"/>
      <c r="G240" s="11"/>
      <c r="H240" s="11"/>
      <c r="I240" s="31"/>
      <c r="J240" s="32"/>
      <c r="K240" s="11"/>
      <c r="L240" s="33"/>
      <c r="M240" s="33"/>
      <c r="N240" s="33"/>
      <c r="O240" s="33"/>
      <c r="P240" s="34"/>
      <c r="Q240" s="35"/>
      <c r="R240" s="45"/>
      <c r="S240" s="37"/>
      <c r="T240" s="37"/>
      <c r="U240" s="37"/>
      <c r="V240" s="37"/>
      <c r="W240" s="38"/>
      <c r="X240" s="45"/>
      <c r="Y240" s="37"/>
      <c r="Z240" s="37"/>
      <c r="AA240" s="37"/>
      <c r="AB240" s="37"/>
      <c r="AC240" s="38"/>
      <c r="AD240" s="32"/>
      <c r="AE240" s="11"/>
      <c r="AF240" s="11"/>
    </row>
    <row r="241">
      <c r="A241" s="11"/>
      <c r="B241" s="55"/>
      <c r="C241" s="6"/>
      <c r="D241" s="29"/>
      <c r="E241" s="11" t="b">
        <v>0</v>
      </c>
      <c r="F241" s="11"/>
      <c r="G241" s="11"/>
      <c r="H241" s="11"/>
      <c r="I241" s="31"/>
      <c r="J241" s="32"/>
      <c r="K241" s="11"/>
      <c r="L241" s="33"/>
      <c r="M241" s="33"/>
      <c r="N241" s="33"/>
      <c r="O241" s="33"/>
      <c r="P241" s="34"/>
      <c r="Q241" s="35"/>
      <c r="R241" s="45"/>
      <c r="S241" s="37"/>
      <c r="T241" s="37"/>
      <c r="U241" s="37"/>
      <c r="V241" s="37"/>
      <c r="W241" s="38"/>
      <c r="X241" s="45"/>
      <c r="Y241" s="37"/>
      <c r="Z241" s="37"/>
      <c r="AA241" s="37"/>
      <c r="AB241" s="37"/>
      <c r="AC241" s="38"/>
      <c r="AD241" s="32"/>
      <c r="AE241" s="11"/>
      <c r="AF241" s="11"/>
    </row>
    <row r="242">
      <c r="A242" s="11"/>
      <c r="B242" s="55"/>
      <c r="C242" s="6"/>
      <c r="D242" s="29"/>
      <c r="E242" s="11" t="b">
        <v>0</v>
      </c>
      <c r="F242" s="11"/>
      <c r="G242" s="11"/>
      <c r="H242" s="11"/>
      <c r="I242" s="31"/>
      <c r="J242" s="32"/>
      <c r="K242" s="11"/>
      <c r="L242" s="33"/>
      <c r="M242" s="33"/>
      <c r="N242" s="33"/>
      <c r="O242" s="33"/>
      <c r="P242" s="34"/>
      <c r="Q242" s="35"/>
      <c r="R242" s="45"/>
      <c r="S242" s="37"/>
      <c r="T242" s="37"/>
      <c r="U242" s="37"/>
      <c r="V242" s="37"/>
      <c r="W242" s="38"/>
      <c r="X242" s="45"/>
      <c r="Y242" s="37"/>
      <c r="Z242" s="37"/>
      <c r="AA242" s="37"/>
      <c r="AB242" s="37"/>
      <c r="AC242" s="38"/>
      <c r="AD242" s="32"/>
      <c r="AE242" s="11"/>
      <c r="AF242" s="11"/>
    </row>
    <row r="243">
      <c r="A243" s="11"/>
      <c r="B243" s="55"/>
      <c r="C243" s="6"/>
      <c r="D243" s="29"/>
      <c r="E243" s="11" t="b">
        <v>0</v>
      </c>
      <c r="F243" s="11"/>
      <c r="G243" s="11"/>
      <c r="H243" s="11"/>
      <c r="I243" s="31"/>
      <c r="J243" s="32"/>
      <c r="K243" s="11"/>
      <c r="L243" s="33"/>
      <c r="M243" s="33"/>
      <c r="N243" s="33"/>
      <c r="O243" s="33"/>
      <c r="P243" s="34"/>
      <c r="Q243" s="35"/>
      <c r="R243" s="45"/>
      <c r="S243" s="37"/>
      <c r="T243" s="37"/>
      <c r="U243" s="37"/>
      <c r="V243" s="37"/>
      <c r="W243" s="38"/>
      <c r="X243" s="45"/>
      <c r="Y243" s="37"/>
      <c r="Z243" s="37"/>
      <c r="AA243" s="37"/>
      <c r="AB243" s="37"/>
      <c r="AC243" s="38"/>
      <c r="AD243" s="32"/>
      <c r="AE243" s="11"/>
      <c r="AF243" s="11"/>
    </row>
    <row r="244">
      <c r="A244" s="11"/>
      <c r="B244" s="55"/>
      <c r="C244" s="6"/>
      <c r="D244" s="29"/>
      <c r="E244" s="11" t="b">
        <v>0</v>
      </c>
      <c r="F244" s="11"/>
      <c r="G244" s="11"/>
      <c r="H244" s="11"/>
      <c r="I244" s="31"/>
      <c r="J244" s="32"/>
      <c r="K244" s="11"/>
      <c r="L244" s="33"/>
      <c r="M244" s="33"/>
      <c r="N244" s="33"/>
      <c r="O244" s="33"/>
      <c r="P244" s="34"/>
      <c r="Q244" s="35"/>
      <c r="R244" s="45"/>
      <c r="S244" s="37"/>
      <c r="T244" s="37"/>
      <c r="U244" s="37"/>
      <c r="V244" s="37"/>
      <c r="W244" s="38"/>
      <c r="X244" s="45"/>
      <c r="Y244" s="37"/>
      <c r="Z244" s="37"/>
      <c r="AA244" s="37"/>
      <c r="AB244" s="37"/>
      <c r="AC244" s="38"/>
      <c r="AD244" s="32"/>
      <c r="AE244" s="11"/>
      <c r="AF244" s="11"/>
    </row>
    <row r="245">
      <c r="A245" s="11"/>
      <c r="B245" s="55"/>
      <c r="C245" s="6"/>
      <c r="D245" s="29"/>
      <c r="E245" s="11" t="b">
        <v>0</v>
      </c>
      <c r="F245" s="11"/>
      <c r="G245" s="11"/>
      <c r="H245" s="11"/>
      <c r="I245" s="31"/>
      <c r="J245" s="32"/>
      <c r="K245" s="11"/>
      <c r="L245" s="33"/>
      <c r="M245" s="33"/>
      <c r="N245" s="33"/>
      <c r="O245" s="33"/>
      <c r="P245" s="34"/>
      <c r="Q245" s="35"/>
      <c r="R245" s="45"/>
      <c r="S245" s="37"/>
      <c r="T245" s="37"/>
      <c r="U245" s="37"/>
      <c r="V245" s="37"/>
      <c r="W245" s="38"/>
      <c r="X245" s="45"/>
      <c r="Y245" s="37"/>
      <c r="Z245" s="37"/>
      <c r="AA245" s="37"/>
      <c r="AB245" s="37"/>
      <c r="AC245" s="38"/>
      <c r="AD245" s="32"/>
      <c r="AE245" s="11"/>
      <c r="AF245" s="11"/>
    </row>
    <row r="246">
      <c r="A246" s="11"/>
      <c r="B246" s="55"/>
      <c r="C246" s="6"/>
      <c r="D246" s="29"/>
      <c r="E246" s="11" t="b">
        <v>0</v>
      </c>
      <c r="F246" s="11"/>
      <c r="G246" s="11"/>
      <c r="H246" s="11"/>
      <c r="I246" s="31"/>
      <c r="J246" s="32"/>
      <c r="K246" s="11"/>
      <c r="L246" s="33"/>
      <c r="M246" s="33"/>
      <c r="N246" s="33"/>
      <c r="O246" s="33"/>
      <c r="P246" s="34"/>
      <c r="Q246" s="35"/>
      <c r="R246" s="45"/>
      <c r="S246" s="37"/>
      <c r="T246" s="37"/>
      <c r="U246" s="37"/>
      <c r="V246" s="37"/>
      <c r="W246" s="38"/>
      <c r="X246" s="45"/>
      <c r="Y246" s="37"/>
      <c r="Z246" s="37"/>
      <c r="AA246" s="37"/>
      <c r="AB246" s="37"/>
      <c r="AC246" s="38"/>
      <c r="AD246" s="32"/>
      <c r="AE246" s="11"/>
      <c r="AF246" s="11"/>
    </row>
    <row r="247">
      <c r="A247" s="11"/>
      <c r="B247" s="55"/>
      <c r="C247" s="6"/>
      <c r="D247" s="29"/>
      <c r="E247" s="11" t="b">
        <v>0</v>
      </c>
      <c r="F247" s="11"/>
      <c r="G247" s="11"/>
      <c r="H247" s="11"/>
      <c r="I247" s="31"/>
      <c r="J247" s="32"/>
      <c r="K247" s="11"/>
      <c r="L247" s="33"/>
      <c r="M247" s="33"/>
      <c r="N247" s="33"/>
      <c r="O247" s="33"/>
      <c r="P247" s="34"/>
      <c r="Q247" s="35"/>
      <c r="R247" s="45"/>
      <c r="S247" s="37"/>
      <c r="T247" s="37"/>
      <c r="U247" s="37"/>
      <c r="V247" s="37"/>
      <c r="W247" s="38"/>
      <c r="X247" s="45"/>
      <c r="Y247" s="37"/>
      <c r="Z247" s="37"/>
      <c r="AA247" s="37"/>
      <c r="AB247" s="37"/>
      <c r="AC247" s="38"/>
      <c r="AD247" s="32"/>
      <c r="AE247" s="11"/>
      <c r="AF247" s="11"/>
    </row>
    <row r="248">
      <c r="A248" s="11"/>
      <c r="B248" s="55"/>
      <c r="C248" s="6"/>
      <c r="D248" s="29"/>
      <c r="E248" s="11" t="b">
        <v>0</v>
      </c>
      <c r="F248" s="11"/>
      <c r="G248" s="11"/>
      <c r="H248" s="11"/>
      <c r="I248" s="31"/>
      <c r="J248" s="32"/>
      <c r="K248" s="11"/>
      <c r="L248" s="33"/>
      <c r="M248" s="33"/>
      <c r="N248" s="33"/>
      <c r="O248" s="33"/>
      <c r="P248" s="34"/>
      <c r="Q248" s="35"/>
      <c r="R248" s="45"/>
      <c r="S248" s="37"/>
      <c r="T248" s="37"/>
      <c r="U248" s="37"/>
      <c r="V248" s="37"/>
      <c r="W248" s="38"/>
      <c r="X248" s="45"/>
      <c r="Y248" s="37"/>
      <c r="Z248" s="37"/>
      <c r="AA248" s="37"/>
      <c r="AB248" s="37"/>
      <c r="AC248" s="38"/>
      <c r="AD248" s="32"/>
      <c r="AE248" s="11"/>
      <c r="AF248" s="11"/>
    </row>
    <row r="249">
      <c r="A249" s="11"/>
      <c r="B249" s="55"/>
      <c r="C249" s="6"/>
      <c r="D249" s="29"/>
      <c r="E249" s="11" t="b">
        <v>0</v>
      </c>
      <c r="F249" s="11"/>
      <c r="G249" s="11"/>
      <c r="H249" s="11"/>
      <c r="I249" s="31"/>
      <c r="J249" s="32"/>
      <c r="K249" s="11"/>
      <c r="L249" s="33"/>
      <c r="M249" s="33"/>
      <c r="N249" s="33"/>
      <c r="O249" s="33"/>
      <c r="P249" s="34"/>
      <c r="Q249" s="35"/>
      <c r="R249" s="45"/>
      <c r="S249" s="37"/>
      <c r="T249" s="37"/>
      <c r="U249" s="37"/>
      <c r="V249" s="37"/>
      <c r="W249" s="38"/>
      <c r="X249" s="45"/>
      <c r="Y249" s="37"/>
      <c r="Z249" s="37"/>
      <c r="AA249" s="37"/>
      <c r="AB249" s="37"/>
      <c r="AC249" s="38"/>
      <c r="AD249" s="32"/>
      <c r="AE249" s="11"/>
      <c r="AF249" s="11"/>
    </row>
    <row r="250">
      <c r="A250" s="11"/>
      <c r="B250" s="55"/>
      <c r="C250" s="6"/>
      <c r="D250" s="29"/>
      <c r="E250" s="11" t="b">
        <v>0</v>
      </c>
      <c r="F250" s="11"/>
      <c r="G250" s="11"/>
      <c r="H250" s="11"/>
      <c r="I250" s="31"/>
      <c r="J250" s="32"/>
      <c r="K250" s="11"/>
      <c r="L250" s="33"/>
      <c r="M250" s="33"/>
      <c r="N250" s="33"/>
      <c r="O250" s="33"/>
      <c r="P250" s="34"/>
      <c r="Q250" s="35"/>
      <c r="R250" s="45"/>
      <c r="S250" s="37"/>
      <c r="T250" s="37"/>
      <c r="U250" s="37"/>
      <c r="V250" s="37"/>
      <c r="W250" s="38"/>
      <c r="X250" s="45"/>
      <c r="Y250" s="37"/>
      <c r="Z250" s="37"/>
      <c r="AA250" s="37"/>
      <c r="AB250" s="37"/>
      <c r="AC250" s="38"/>
      <c r="AD250" s="32"/>
      <c r="AE250" s="11"/>
      <c r="AF250" s="11"/>
    </row>
    <row r="251">
      <c r="A251" s="11"/>
      <c r="B251" s="55"/>
      <c r="C251" s="6"/>
      <c r="D251" s="29"/>
      <c r="E251" s="11" t="b">
        <v>0</v>
      </c>
      <c r="F251" s="11"/>
      <c r="G251" s="11"/>
      <c r="H251" s="11"/>
      <c r="I251" s="31"/>
      <c r="J251" s="32"/>
      <c r="K251" s="11"/>
      <c r="L251" s="33"/>
      <c r="M251" s="33"/>
      <c r="N251" s="33"/>
      <c r="O251" s="33"/>
      <c r="P251" s="34"/>
      <c r="Q251" s="35"/>
      <c r="R251" s="45"/>
      <c r="S251" s="37"/>
      <c r="T251" s="37"/>
      <c r="U251" s="37"/>
      <c r="V251" s="37"/>
      <c r="W251" s="38"/>
      <c r="X251" s="45"/>
      <c r="Y251" s="37"/>
      <c r="Z251" s="37"/>
      <c r="AA251" s="37"/>
      <c r="AB251" s="37"/>
      <c r="AC251" s="38"/>
      <c r="AD251" s="32"/>
      <c r="AE251" s="11"/>
      <c r="AF251" s="11"/>
    </row>
    <row r="252">
      <c r="A252" s="11"/>
      <c r="B252" s="55"/>
      <c r="C252" s="6"/>
      <c r="D252" s="29"/>
      <c r="E252" s="11" t="b">
        <v>0</v>
      </c>
      <c r="F252" s="11"/>
      <c r="G252" s="11"/>
      <c r="H252" s="11"/>
      <c r="I252" s="31"/>
      <c r="J252" s="32"/>
      <c r="K252" s="11"/>
      <c r="L252" s="33"/>
      <c r="M252" s="33"/>
      <c r="N252" s="33"/>
      <c r="O252" s="33"/>
      <c r="P252" s="34"/>
      <c r="Q252" s="35"/>
      <c r="R252" s="45"/>
      <c r="S252" s="37"/>
      <c r="T252" s="37"/>
      <c r="U252" s="37"/>
      <c r="V252" s="37"/>
      <c r="W252" s="38"/>
      <c r="X252" s="45"/>
      <c r="Y252" s="37"/>
      <c r="Z252" s="37"/>
      <c r="AA252" s="37"/>
      <c r="AB252" s="37"/>
      <c r="AC252" s="38"/>
      <c r="AD252" s="32"/>
      <c r="AE252" s="11"/>
      <c r="AF252" s="11"/>
    </row>
    <row r="253">
      <c r="A253" s="11"/>
      <c r="B253" s="55"/>
      <c r="C253" s="6"/>
      <c r="D253" s="29"/>
      <c r="E253" s="11" t="b">
        <v>0</v>
      </c>
      <c r="F253" s="11"/>
      <c r="G253" s="11"/>
      <c r="H253" s="11"/>
      <c r="I253" s="31"/>
      <c r="J253" s="32"/>
      <c r="K253" s="11"/>
      <c r="L253" s="33"/>
      <c r="M253" s="33"/>
      <c r="N253" s="33"/>
      <c r="O253" s="33"/>
      <c r="P253" s="34"/>
      <c r="Q253" s="35"/>
      <c r="R253" s="45"/>
      <c r="S253" s="37"/>
      <c r="T253" s="37"/>
      <c r="U253" s="37"/>
      <c r="V253" s="37"/>
      <c r="W253" s="38"/>
      <c r="X253" s="45"/>
      <c r="Y253" s="37"/>
      <c r="Z253" s="37"/>
      <c r="AA253" s="37"/>
      <c r="AB253" s="37"/>
      <c r="AC253" s="38"/>
      <c r="AD253" s="32"/>
      <c r="AE253" s="11"/>
      <c r="AF253" s="11"/>
    </row>
    <row r="254">
      <c r="A254" s="11"/>
      <c r="B254" s="55"/>
      <c r="C254" s="6"/>
      <c r="D254" s="29"/>
      <c r="E254" s="11" t="b">
        <v>0</v>
      </c>
      <c r="F254" s="11"/>
      <c r="G254" s="11"/>
      <c r="H254" s="11"/>
      <c r="I254" s="31"/>
      <c r="J254" s="32"/>
      <c r="K254" s="11"/>
      <c r="L254" s="33"/>
      <c r="M254" s="33"/>
      <c r="N254" s="33"/>
      <c r="O254" s="33"/>
      <c r="P254" s="34"/>
      <c r="Q254" s="35"/>
      <c r="R254" s="45"/>
      <c r="S254" s="37"/>
      <c r="T254" s="37"/>
      <c r="U254" s="37"/>
      <c r="V254" s="37"/>
      <c r="W254" s="38"/>
      <c r="X254" s="45"/>
      <c r="Y254" s="37"/>
      <c r="Z254" s="37"/>
      <c r="AA254" s="37"/>
      <c r="AB254" s="37"/>
      <c r="AC254" s="38"/>
      <c r="AD254" s="32"/>
      <c r="AE254" s="11"/>
      <c r="AF254" s="11"/>
    </row>
    <row r="255">
      <c r="A255" s="11"/>
      <c r="B255" s="55"/>
      <c r="C255" s="6"/>
      <c r="D255" s="29"/>
      <c r="E255" s="11" t="b">
        <v>0</v>
      </c>
      <c r="F255" s="11"/>
      <c r="G255" s="11"/>
      <c r="H255" s="11"/>
      <c r="I255" s="31"/>
      <c r="J255" s="32"/>
      <c r="K255" s="11"/>
      <c r="L255" s="33"/>
      <c r="M255" s="33"/>
      <c r="N255" s="33"/>
      <c r="O255" s="33"/>
      <c r="P255" s="34"/>
      <c r="Q255" s="35"/>
      <c r="R255" s="45"/>
      <c r="S255" s="37"/>
      <c r="T255" s="37"/>
      <c r="U255" s="37"/>
      <c r="V255" s="37"/>
      <c r="W255" s="38"/>
      <c r="X255" s="45"/>
      <c r="Y255" s="37"/>
      <c r="Z255" s="37"/>
      <c r="AA255" s="37"/>
      <c r="AB255" s="37"/>
      <c r="AC255" s="38"/>
      <c r="AD255" s="32"/>
      <c r="AE255" s="11"/>
      <c r="AF255" s="11"/>
    </row>
    <row r="256">
      <c r="A256" s="11"/>
      <c r="B256" s="55"/>
      <c r="C256" s="6"/>
      <c r="D256" s="29"/>
      <c r="E256" s="11" t="b">
        <v>0</v>
      </c>
      <c r="F256" s="11"/>
      <c r="G256" s="11"/>
      <c r="H256" s="11"/>
      <c r="I256" s="31"/>
      <c r="J256" s="32"/>
      <c r="K256" s="11"/>
      <c r="L256" s="33"/>
      <c r="M256" s="33"/>
      <c r="N256" s="33"/>
      <c r="O256" s="33"/>
      <c r="P256" s="34"/>
      <c r="Q256" s="35"/>
      <c r="R256" s="45"/>
      <c r="S256" s="37"/>
      <c r="T256" s="37"/>
      <c r="U256" s="37"/>
      <c r="V256" s="37"/>
      <c r="W256" s="38"/>
      <c r="X256" s="45"/>
      <c r="Y256" s="37"/>
      <c r="Z256" s="37"/>
      <c r="AA256" s="37"/>
      <c r="AB256" s="37"/>
      <c r="AC256" s="38"/>
      <c r="AD256" s="32"/>
      <c r="AE256" s="11"/>
      <c r="AF256" s="11"/>
    </row>
    <row r="257">
      <c r="A257" s="11"/>
      <c r="B257" s="55"/>
      <c r="C257" s="6"/>
      <c r="D257" s="29"/>
      <c r="E257" s="11" t="b">
        <v>0</v>
      </c>
      <c r="F257" s="11"/>
      <c r="G257" s="11"/>
      <c r="H257" s="11"/>
      <c r="I257" s="31"/>
      <c r="J257" s="32"/>
      <c r="K257" s="11"/>
      <c r="L257" s="33"/>
      <c r="M257" s="33"/>
      <c r="N257" s="33"/>
      <c r="O257" s="33"/>
      <c r="P257" s="34"/>
      <c r="Q257" s="35"/>
      <c r="R257" s="45"/>
      <c r="S257" s="37"/>
      <c r="T257" s="37"/>
      <c r="U257" s="37"/>
      <c r="V257" s="37"/>
      <c r="W257" s="38"/>
      <c r="X257" s="45"/>
      <c r="Y257" s="37"/>
      <c r="Z257" s="37"/>
      <c r="AA257" s="37"/>
      <c r="AB257" s="37"/>
      <c r="AC257" s="38"/>
      <c r="AD257" s="32"/>
      <c r="AE257" s="11"/>
      <c r="AF257" s="11"/>
    </row>
    <row r="258">
      <c r="A258" s="11"/>
      <c r="B258" s="55"/>
      <c r="C258" s="6"/>
      <c r="D258" s="29"/>
      <c r="E258" s="11" t="b">
        <v>0</v>
      </c>
      <c r="F258" s="11"/>
      <c r="G258" s="11"/>
      <c r="H258" s="11"/>
      <c r="I258" s="31"/>
      <c r="J258" s="32"/>
      <c r="K258" s="11"/>
      <c r="L258" s="33"/>
      <c r="M258" s="33"/>
      <c r="N258" s="33"/>
      <c r="O258" s="33"/>
      <c r="P258" s="34"/>
      <c r="Q258" s="35"/>
      <c r="R258" s="45"/>
      <c r="S258" s="37"/>
      <c r="T258" s="37"/>
      <c r="U258" s="37"/>
      <c r="V258" s="37"/>
      <c r="W258" s="38"/>
      <c r="X258" s="45"/>
      <c r="Y258" s="37"/>
      <c r="Z258" s="37"/>
      <c r="AA258" s="37"/>
      <c r="AB258" s="37"/>
      <c r="AC258" s="38"/>
      <c r="AD258" s="32"/>
      <c r="AE258" s="11"/>
      <c r="AF258" s="11"/>
    </row>
    <row r="259">
      <c r="A259" s="11"/>
      <c r="B259" s="55"/>
      <c r="C259" s="6"/>
      <c r="D259" s="29"/>
      <c r="E259" s="11" t="b">
        <v>0</v>
      </c>
      <c r="F259" s="11"/>
      <c r="G259" s="11"/>
      <c r="H259" s="11"/>
      <c r="I259" s="31"/>
      <c r="J259" s="32"/>
      <c r="K259" s="11"/>
      <c r="L259" s="33"/>
      <c r="M259" s="33"/>
      <c r="N259" s="33"/>
      <c r="O259" s="33"/>
      <c r="P259" s="34"/>
      <c r="Q259" s="35"/>
      <c r="R259" s="45"/>
      <c r="S259" s="37"/>
      <c r="T259" s="37"/>
      <c r="U259" s="37"/>
      <c r="V259" s="37"/>
      <c r="W259" s="38"/>
      <c r="X259" s="45"/>
      <c r="Y259" s="37"/>
      <c r="Z259" s="37"/>
      <c r="AA259" s="37"/>
      <c r="AB259" s="37"/>
      <c r="AC259" s="38"/>
      <c r="AD259" s="32"/>
      <c r="AE259" s="11"/>
      <c r="AF259" s="11"/>
    </row>
    <row r="260">
      <c r="A260" s="11"/>
      <c r="B260" s="55"/>
      <c r="C260" s="6"/>
      <c r="D260" s="29"/>
      <c r="E260" s="11" t="b">
        <v>0</v>
      </c>
      <c r="F260" s="11"/>
      <c r="G260" s="11"/>
      <c r="H260" s="11"/>
      <c r="I260" s="31"/>
      <c r="J260" s="32"/>
      <c r="K260" s="11"/>
      <c r="L260" s="33"/>
      <c r="M260" s="33"/>
      <c r="N260" s="33"/>
      <c r="O260" s="33"/>
      <c r="P260" s="34"/>
      <c r="Q260" s="35"/>
      <c r="R260" s="45"/>
      <c r="S260" s="37"/>
      <c r="T260" s="37"/>
      <c r="U260" s="37"/>
      <c r="V260" s="37"/>
      <c r="W260" s="38"/>
      <c r="X260" s="45"/>
      <c r="Y260" s="37"/>
      <c r="Z260" s="37"/>
      <c r="AA260" s="37"/>
      <c r="AB260" s="37"/>
      <c r="AC260" s="38"/>
      <c r="AD260" s="32"/>
      <c r="AE260" s="11"/>
      <c r="AF260" s="11"/>
    </row>
    <row r="261">
      <c r="A261" s="11"/>
      <c r="B261" s="55"/>
      <c r="C261" s="6"/>
      <c r="D261" s="29"/>
      <c r="E261" s="11" t="b">
        <v>0</v>
      </c>
      <c r="F261" s="11"/>
      <c r="G261" s="11"/>
      <c r="H261" s="11"/>
      <c r="I261" s="31"/>
      <c r="J261" s="32"/>
      <c r="K261" s="11"/>
      <c r="L261" s="33"/>
      <c r="M261" s="33"/>
      <c r="N261" s="33"/>
      <c r="O261" s="33"/>
      <c r="P261" s="34"/>
      <c r="Q261" s="35"/>
      <c r="R261" s="45"/>
      <c r="S261" s="37"/>
      <c r="T261" s="37"/>
      <c r="U261" s="37"/>
      <c r="V261" s="37"/>
      <c r="W261" s="38"/>
      <c r="X261" s="45"/>
      <c r="Y261" s="37"/>
      <c r="Z261" s="37"/>
      <c r="AA261" s="37"/>
      <c r="AB261" s="37"/>
      <c r="AC261" s="38"/>
      <c r="AD261" s="32"/>
      <c r="AE261" s="11"/>
      <c r="AF261" s="11"/>
    </row>
    <row r="262">
      <c r="A262" s="11"/>
      <c r="B262" s="55"/>
      <c r="C262" s="6"/>
      <c r="D262" s="29"/>
      <c r="E262" s="11" t="b">
        <v>0</v>
      </c>
      <c r="F262" s="11"/>
      <c r="G262" s="11"/>
      <c r="H262" s="11"/>
      <c r="I262" s="31"/>
      <c r="J262" s="32"/>
      <c r="K262" s="11"/>
      <c r="L262" s="33"/>
      <c r="M262" s="33"/>
      <c r="N262" s="33"/>
      <c r="O262" s="33"/>
      <c r="P262" s="34"/>
      <c r="Q262" s="35"/>
      <c r="R262" s="45"/>
      <c r="S262" s="37"/>
      <c r="T262" s="37"/>
      <c r="U262" s="37"/>
      <c r="V262" s="37"/>
      <c r="W262" s="38"/>
      <c r="X262" s="45"/>
      <c r="Y262" s="37"/>
      <c r="Z262" s="37"/>
      <c r="AA262" s="37"/>
      <c r="AB262" s="37"/>
      <c r="AC262" s="38"/>
      <c r="AD262" s="32"/>
      <c r="AE262" s="11"/>
      <c r="AF262" s="11"/>
    </row>
    <row r="263">
      <c r="A263" s="11"/>
      <c r="B263" s="55"/>
      <c r="C263" s="6"/>
      <c r="D263" s="29"/>
      <c r="E263" s="11" t="b">
        <v>0</v>
      </c>
      <c r="F263" s="11"/>
      <c r="G263" s="11"/>
      <c r="H263" s="11"/>
      <c r="I263" s="31"/>
      <c r="J263" s="32"/>
      <c r="K263" s="11"/>
      <c r="L263" s="33"/>
      <c r="M263" s="33"/>
      <c r="N263" s="33"/>
      <c r="O263" s="33"/>
      <c r="P263" s="34"/>
      <c r="Q263" s="35"/>
      <c r="R263" s="45"/>
      <c r="S263" s="37"/>
      <c r="T263" s="37"/>
      <c r="U263" s="37"/>
      <c r="V263" s="37"/>
      <c r="W263" s="38"/>
      <c r="X263" s="45"/>
      <c r="Y263" s="37"/>
      <c r="Z263" s="37"/>
      <c r="AA263" s="37"/>
      <c r="AB263" s="37"/>
      <c r="AC263" s="38"/>
      <c r="AD263" s="32"/>
      <c r="AE263" s="11"/>
      <c r="AF263" s="11"/>
    </row>
  </sheetData>
  <autoFilter ref="$A$2:$AF$263">
    <sortState ref="A2:AF263">
      <sortCondition ref="B2:B263"/>
      <sortCondition ref="A2:A263"/>
      <sortCondition ref="F2:F263"/>
      <sortCondition ref="H2:H263"/>
      <sortCondition ref="C2:C263"/>
      <sortCondition ref="AC2:AC263"/>
    </sortState>
  </autoFilter>
  <mergeCells count="5">
    <mergeCell ref="F1:I1"/>
    <mergeCell ref="J1:P1"/>
    <mergeCell ref="R1:W1"/>
    <mergeCell ref="X1:AC1"/>
    <mergeCell ref="AD1:AF1"/>
  </mergeCells>
  <conditionalFormatting sqref="B2:C203">
    <cfRule type="cellIs" dxfId="0" priority="1" operator="between">
      <formula>0.001</formula>
      <formula>-0.001</formula>
    </cfRule>
  </conditionalFormatting>
  <conditionalFormatting sqref="B2:C203">
    <cfRule type="cellIs" dxfId="1" priority="2" operator="lessThan">
      <formula>0</formula>
    </cfRule>
  </conditionalFormatting>
  <conditionalFormatting sqref="I1:I263">
    <cfRule type="expression" dxfId="1" priority="3">
      <formula>(C:C&lt;&gt;"")*(I:I="")</formula>
    </cfRule>
  </conditionalFormatting>
  <dataValidations>
    <dataValidation type="list" allowBlank="1" showInputMessage="1" showErrorMessage="1" prompt="SKU harus sesuai dengan daftar di BisaSEO, jika belum ada silakan tambahkan terlebih dahulu" sqref="A3:A263">
      <formula1>BisaRekapBarangBackend!$D$2:$D263</formula1>
    </dataValidation>
    <dataValidation type="list" allowBlank="1" sqref="D3:D263">
      <formula1>BisaRekapBarangBackend!$A$2:$A263</formula1>
    </dataValidation>
    <dataValidation type="custom" allowBlank="1" showDropDown="1" showInputMessage="1" showErrorMessage="1" prompt="Format Tanggal : dd-MMM-yyyy dalam Bahasa Inggris, misal 01-May-2019" sqref="B1 B3:C263">
      <formula1>OR(NOT(ISERROR(DATEVALUE(B1))), AND(ISNUMBER(B1), LEFT(CELL("format", B1))="D"))</formula1>
    </dataValidation>
  </dataValidations>
  <hyperlinks>
    <hyperlink r:id="rId1" ref="G4"/>
    <hyperlink r:id="rId2" ref="G5"/>
    <hyperlink r:id="rId3" ref="G6"/>
    <hyperlink r:id="rId4" ref="G7"/>
    <hyperlink r:id="rId5" ref="G14"/>
    <hyperlink r:id="rId6" ref="G25"/>
    <hyperlink r:id="rId7" ref="G26"/>
    <hyperlink r:id="rId8" ref="G67"/>
    <hyperlink r:id="rId9" ref="G90"/>
    <hyperlink r:id="rId10" ref="G91"/>
    <hyperlink r:id="rId11" ref="G92"/>
    <hyperlink r:id="rId12" ref="G93"/>
    <hyperlink r:id="rId13" ref="G138"/>
    <hyperlink r:id="rId14" ref="G139"/>
    <hyperlink r:id="rId15" ref="G140"/>
    <hyperlink r:id="rId16" ref="G141"/>
    <hyperlink r:id="rId17" ref="G142"/>
    <hyperlink r:id="rId18" ref="G143"/>
    <hyperlink r:id="rId19" ref="G144"/>
    <hyperlink r:id="rId20" ref="G185"/>
    <hyperlink r:id="rId21" ref="G186"/>
    <hyperlink r:id="rId22" ref="G187"/>
    <hyperlink r:id="rId23" ref="G188"/>
    <hyperlink r:id="rId24" ref="G189"/>
    <hyperlink r:id="rId25" ref="G200"/>
    <hyperlink r:id="rId26" ref="G201"/>
    <hyperlink r:id="rId27" ref="G202"/>
    <hyperlink r:id="rId28" ref="G203"/>
  </hyperlinks>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44.0"/>
    <col customWidth="1" min="3" max="3" width="6.75"/>
    <col customWidth="1" min="4" max="4" width="8.5"/>
    <col customWidth="1" min="5" max="5" width="6.63"/>
    <col customWidth="1" min="6" max="6" width="8.5"/>
    <col customWidth="1" min="7" max="7" width="21.75"/>
    <col customWidth="1" min="8" max="8" width="71.75"/>
  </cols>
  <sheetData>
    <row r="1">
      <c r="A1" s="56" t="s">
        <v>409</v>
      </c>
      <c r="B1" s="57" t="s">
        <v>12</v>
      </c>
      <c r="C1" s="58" t="s">
        <v>410</v>
      </c>
      <c r="D1" s="57" t="s">
        <v>411</v>
      </c>
      <c r="E1" s="58" t="s">
        <v>412</v>
      </c>
      <c r="F1" s="57" t="s">
        <v>413</v>
      </c>
      <c r="G1" s="59" t="s">
        <v>414</v>
      </c>
      <c r="H1" s="60" t="s">
        <v>415</v>
      </c>
    </row>
    <row r="2" hidden="1">
      <c r="A2" s="61"/>
      <c r="B2" s="62"/>
      <c r="C2" s="63"/>
      <c r="D2" s="64"/>
      <c r="E2" s="58"/>
      <c r="F2" s="64"/>
      <c r="G2" s="65"/>
      <c r="H2" s="66"/>
    </row>
    <row r="3">
      <c r="A3" s="61">
        <v>46023.041666666664</v>
      </c>
      <c r="B3" s="67" t="s">
        <v>309</v>
      </c>
      <c r="C3" s="68">
        <v>1.0</v>
      </c>
      <c r="D3" s="69">
        <v>1.0</v>
      </c>
      <c r="E3" s="58"/>
      <c r="F3" s="69"/>
      <c r="G3" s="70" t="s">
        <v>32</v>
      </c>
      <c r="H3" s="71"/>
    </row>
    <row r="4">
      <c r="A4" s="61">
        <v>46023.041666666664</v>
      </c>
      <c r="B4" s="67" t="s">
        <v>309</v>
      </c>
      <c r="C4" s="68"/>
      <c r="D4" s="69"/>
      <c r="E4" s="58">
        <v>1.0</v>
      </c>
      <c r="F4" s="69">
        <v>1.0</v>
      </c>
      <c r="G4" s="70" t="s">
        <v>32</v>
      </c>
      <c r="H4" s="71"/>
    </row>
    <row r="5">
      <c r="A5" s="61"/>
      <c r="B5" s="67"/>
      <c r="C5" s="68"/>
      <c r="D5" s="69"/>
      <c r="E5" s="58"/>
      <c r="F5" s="69"/>
      <c r="G5" s="70"/>
      <c r="H5" s="71"/>
    </row>
    <row r="6">
      <c r="A6" s="61">
        <v>46044.16856164351</v>
      </c>
      <c r="B6" s="67" t="s">
        <v>31</v>
      </c>
      <c r="C6" s="68"/>
      <c r="D6" s="69"/>
      <c r="E6" s="58">
        <v>20.0</v>
      </c>
      <c r="F6" s="69">
        <f>E6*1291.1</f>
        <v>25822</v>
      </c>
      <c r="G6" s="70" t="s">
        <v>32</v>
      </c>
      <c r="H6" s="71"/>
    </row>
    <row r="7">
      <c r="A7" s="61">
        <v>46044.16856164351</v>
      </c>
      <c r="B7" s="67" t="s">
        <v>47</v>
      </c>
      <c r="C7" s="58">
        <v>20.0</v>
      </c>
      <c r="D7" s="69">
        <f>C7*572</f>
        <v>11440</v>
      </c>
      <c r="E7" s="58"/>
      <c r="F7" s="69"/>
      <c r="G7" s="70" t="s">
        <v>32</v>
      </c>
      <c r="H7" s="71"/>
    </row>
    <row r="8">
      <c r="A8" s="61">
        <v>46044.16856164351</v>
      </c>
      <c r="B8" s="67" t="s">
        <v>49</v>
      </c>
      <c r="C8" s="68">
        <f>(339 - 292)</f>
        <v>47</v>
      </c>
      <c r="D8" s="69">
        <f>C8*2756</f>
        <v>129532</v>
      </c>
      <c r="E8" s="58"/>
      <c r="F8" s="69"/>
      <c r="G8" s="70" t="s">
        <v>32</v>
      </c>
      <c r="H8" s="71"/>
    </row>
    <row r="9">
      <c r="A9" s="61">
        <v>46044.16856164351</v>
      </c>
      <c r="B9" s="67" t="s">
        <v>50</v>
      </c>
      <c r="C9" s="68">
        <f>(58-42)</f>
        <v>16</v>
      </c>
      <c r="D9" s="69">
        <f>C9*6028</f>
        <v>96448</v>
      </c>
      <c r="E9" s="58"/>
      <c r="F9" s="69"/>
      <c r="G9" s="70" t="s">
        <v>32</v>
      </c>
      <c r="H9" s="71"/>
    </row>
    <row r="10">
      <c r="A10" s="61">
        <v>46044.16856164351</v>
      </c>
      <c r="B10" s="67" t="s">
        <v>119</v>
      </c>
      <c r="C10" s="68"/>
      <c r="D10" s="69"/>
      <c r="E10" s="58">
        <f>(27-15)</f>
        <v>12</v>
      </c>
      <c r="F10" s="69">
        <f>E10*29027</f>
        <v>348324</v>
      </c>
      <c r="G10" s="70" t="s">
        <v>32</v>
      </c>
      <c r="H10" s="71"/>
    </row>
    <row r="11">
      <c r="A11" s="61">
        <v>46044.16856164351</v>
      </c>
      <c r="B11" s="67" t="s">
        <v>177</v>
      </c>
      <c r="C11" s="68"/>
      <c r="D11" s="69"/>
      <c r="E11" s="68">
        <f>(825-313)</f>
        <v>512</v>
      </c>
      <c r="F11" s="69">
        <f>E11*288.89</f>
        <v>147911.68</v>
      </c>
      <c r="G11" s="70" t="s">
        <v>32</v>
      </c>
      <c r="H11" s="71"/>
    </row>
    <row r="12">
      <c r="A12" s="61">
        <v>46044.16856164351</v>
      </c>
      <c r="B12" s="67" t="s">
        <v>294</v>
      </c>
      <c r="C12" s="68"/>
      <c r="D12" s="69"/>
      <c r="E12" s="68">
        <f>(852-473)</f>
        <v>379</v>
      </c>
      <c r="F12" s="69">
        <f>E12*340.35</f>
        <v>128992.65</v>
      </c>
      <c r="G12" s="70" t="s">
        <v>32</v>
      </c>
      <c r="H12" s="71"/>
    </row>
    <row r="13">
      <c r="A13" s="61">
        <v>46044.16856164351</v>
      </c>
      <c r="B13" s="67" t="s">
        <v>266</v>
      </c>
      <c r="C13" s="68"/>
      <c r="D13" s="69"/>
      <c r="E13" s="68">
        <f>(8-5)</f>
        <v>3</v>
      </c>
      <c r="F13" s="69">
        <f>E13*4252.52</f>
        <v>12757.56</v>
      </c>
      <c r="G13" s="70" t="s">
        <v>32</v>
      </c>
      <c r="H13" s="71"/>
    </row>
    <row r="14">
      <c r="A14" s="61">
        <v>46044.16856164351</v>
      </c>
      <c r="B14" s="67" t="s">
        <v>248</v>
      </c>
      <c r="C14" s="68">
        <f>(13-8)</f>
        <v>5</v>
      </c>
      <c r="D14" s="72">
        <f>C14* 10459.32</f>
        <v>52296.6</v>
      </c>
      <c r="E14" s="58"/>
      <c r="F14" s="69"/>
      <c r="G14" s="70" t="s">
        <v>32</v>
      </c>
      <c r="H14" s="71"/>
    </row>
    <row r="15">
      <c r="A15" s="61">
        <v>46044.16856164351</v>
      </c>
      <c r="B15" s="67" t="s">
        <v>145</v>
      </c>
      <c r="C15" s="68">
        <f>(5-3)</f>
        <v>2</v>
      </c>
      <c r="D15" s="72">
        <f>C15* 11352.67</f>
        <v>22705.34</v>
      </c>
      <c r="E15" s="58"/>
      <c r="F15" s="69"/>
      <c r="G15" s="70" t="s">
        <v>32</v>
      </c>
      <c r="H15" s="71"/>
    </row>
    <row r="16">
      <c r="A16" s="61">
        <v>46044.16856164351</v>
      </c>
      <c r="B16" s="67" t="s">
        <v>268</v>
      </c>
      <c r="C16" s="68">
        <f>(123-25)</f>
        <v>98</v>
      </c>
      <c r="D16" s="72">
        <f>C16* 222.05</f>
        <v>21760.9</v>
      </c>
      <c r="E16" s="58"/>
      <c r="F16" s="69"/>
      <c r="G16" s="70" t="s">
        <v>32</v>
      </c>
      <c r="H16" s="71"/>
    </row>
    <row r="17">
      <c r="A17" s="61">
        <v>46044.16856164351</v>
      </c>
      <c r="B17" s="67" t="s">
        <v>239</v>
      </c>
      <c r="C17" s="68"/>
      <c r="D17" s="69"/>
      <c r="E17" s="58">
        <v>6.0</v>
      </c>
      <c r="F17" s="69">
        <f>E17*24820</f>
        <v>148920</v>
      </c>
      <c r="G17" s="70" t="s">
        <v>32</v>
      </c>
      <c r="H17" s="71"/>
    </row>
    <row r="18">
      <c r="A18" s="61"/>
      <c r="B18" s="67"/>
      <c r="C18" s="68"/>
      <c r="D18" s="69"/>
      <c r="E18" s="58"/>
      <c r="F18" s="69"/>
      <c r="G18" s="70"/>
      <c r="H18" s="71"/>
    </row>
    <row r="19">
      <c r="A19" s="61">
        <v>46046.136944259255</v>
      </c>
      <c r="B19" s="67" t="s">
        <v>221</v>
      </c>
      <c r="C19" s="68"/>
      <c r="D19" s="69"/>
      <c r="E19" s="58">
        <v>160.0</v>
      </c>
      <c r="F19" s="69">
        <f>E19*675.92</f>
        <v>108147.2</v>
      </c>
      <c r="G19" s="70" t="s">
        <v>312</v>
      </c>
      <c r="H19" s="71"/>
    </row>
    <row r="20">
      <c r="A20" s="61">
        <v>46046.136944259255</v>
      </c>
      <c r="B20" s="67" t="s">
        <v>290</v>
      </c>
      <c r="C20" s="68"/>
      <c r="D20" s="69"/>
      <c r="E20" s="58">
        <f>494-130</f>
        <v>364</v>
      </c>
      <c r="F20" s="69">
        <f t="shared" ref="F20:F21" si="1">E20*874.83</f>
        <v>318438.12</v>
      </c>
      <c r="G20" s="70" t="s">
        <v>312</v>
      </c>
      <c r="H20" s="71"/>
    </row>
    <row r="21">
      <c r="A21" s="61">
        <v>46046.136944259255</v>
      </c>
      <c r="B21" s="67" t="s">
        <v>290</v>
      </c>
      <c r="C21" s="68"/>
      <c r="D21" s="69"/>
      <c r="E21" s="58">
        <v>45.0</v>
      </c>
      <c r="F21" s="69">
        <f t="shared" si="1"/>
        <v>39367.35</v>
      </c>
      <c r="G21" s="70" t="s">
        <v>312</v>
      </c>
      <c r="H21" s="71"/>
    </row>
    <row r="22">
      <c r="A22" s="61">
        <v>46046.136944259255</v>
      </c>
      <c r="B22" s="67" t="s">
        <v>49</v>
      </c>
      <c r="C22" s="68"/>
      <c r="D22" s="69"/>
      <c r="E22" s="58">
        <f>(87-52)</f>
        <v>35</v>
      </c>
      <c r="F22" s="69">
        <f>E22*2756</f>
        <v>96460</v>
      </c>
      <c r="G22" s="70" t="s">
        <v>312</v>
      </c>
      <c r="H22" s="71"/>
    </row>
    <row r="23">
      <c r="A23" s="61">
        <v>46046.136944259255</v>
      </c>
      <c r="B23" s="67" t="s">
        <v>50</v>
      </c>
      <c r="C23" s="58">
        <f>(36-8)</f>
        <v>28</v>
      </c>
      <c r="D23" s="69">
        <f>C23*6028</f>
        <v>168784</v>
      </c>
      <c r="E23" s="58"/>
      <c r="F23" s="69"/>
      <c r="G23" s="70" t="s">
        <v>312</v>
      </c>
      <c r="H23" s="71"/>
    </row>
    <row r="24">
      <c r="A24" s="61">
        <v>46046.136944259255</v>
      </c>
      <c r="B24" s="67" t="s">
        <v>147</v>
      </c>
      <c r="C24" s="68"/>
      <c r="D24" s="69"/>
      <c r="E24" s="58">
        <f>(155-94)</f>
        <v>61</v>
      </c>
      <c r="F24" s="69">
        <f>E24*3900</f>
        <v>237900</v>
      </c>
      <c r="G24" s="70" t="s">
        <v>312</v>
      </c>
      <c r="H24" s="71"/>
    </row>
    <row r="25">
      <c r="A25" s="61">
        <v>46046.136944259255</v>
      </c>
      <c r="B25" s="67" t="s">
        <v>293</v>
      </c>
      <c r="C25" s="68">
        <f>(38-35)</f>
        <v>3</v>
      </c>
      <c r="D25" s="69">
        <f>C25*3612.53</f>
        <v>10837.59</v>
      </c>
      <c r="E25" s="58"/>
      <c r="F25" s="69"/>
      <c r="G25" s="70" t="s">
        <v>312</v>
      </c>
      <c r="H25" s="71"/>
    </row>
    <row r="26">
      <c r="A26" s="61">
        <v>46046.136944259255</v>
      </c>
      <c r="B26" s="67" t="s">
        <v>218</v>
      </c>
      <c r="C26" s="68">
        <f>(32-23)</f>
        <v>9</v>
      </c>
      <c r="D26" s="69">
        <f>C26*7000</f>
        <v>63000</v>
      </c>
      <c r="E26" s="58"/>
      <c r="F26" s="69"/>
      <c r="G26" s="70" t="s">
        <v>312</v>
      </c>
      <c r="H26" s="71"/>
    </row>
    <row r="27">
      <c r="A27" s="61">
        <v>46046.136944259255</v>
      </c>
      <c r="B27" s="67" t="s">
        <v>304</v>
      </c>
      <c r="C27" s="68">
        <f>(21-14)</f>
        <v>7</v>
      </c>
      <c r="D27" s="69">
        <f>(C27*23076)</f>
        <v>161532</v>
      </c>
      <c r="E27" s="58"/>
      <c r="F27" s="69"/>
      <c r="G27" s="70" t="s">
        <v>312</v>
      </c>
      <c r="H27" s="71"/>
    </row>
    <row r="28">
      <c r="A28" s="61">
        <v>46046.136944259255</v>
      </c>
      <c r="B28" s="67" t="s">
        <v>108</v>
      </c>
      <c r="C28" s="68">
        <f>(44-31)</f>
        <v>13</v>
      </c>
      <c r="D28" s="69">
        <f>C28*5617.6</f>
        <v>73028.8</v>
      </c>
      <c r="E28" s="58"/>
      <c r="F28" s="69"/>
      <c r="G28" s="70" t="s">
        <v>312</v>
      </c>
      <c r="H28" s="71"/>
    </row>
    <row r="29">
      <c r="A29" s="61">
        <v>46046.136944259255</v>
      </c>
      <c r="B29" s="67" t="s">
        <v>297</v>
      </c>
      <c r="C29" s="68"/>
      <c r="D29" s="69"/>
      <c r="E29" s="58">
        <f>(79-47)</f>
        <v>32</v>
      </c>
      <c r="F29" s="69">
        <f>E29*285.14</f>
        <v>9124.48</v>
      </c>
      <c r="G29" s="70" t="s">
        <v>312</v>
      </c>
      <c r="H29" s="71"/>
    </row>
    <row r="30">
      <c r="A30" s="61">
        <v>46046.136944259255</v>
      </c>
      <c r="B30" s="67" t="s">
        <v>152</v>
      </c>
      <c r="C30" s="68"/>
      <c r="D30" s="69"/>
      <c r="E30" s="58">
        <v>1.0</v>
      </c>
      <c r="F30" s="69">
        <f>E30*35799.38</f>
        <v>35799.38</v>
      </c>
      <c r="G30" s="70" t="s">
        <v>312</v>
      </c>
      <c r="H30" s="71"/>
    </row>
    <row r="31">
      <c r="A31" s="61">
        <v>46046.136944259255</v>
      </c>
      <c r="B31" s="67" t="s">
        <v>93</v>
      </c>
      <c r="C31" s="68"/>
      <c r="D31" s="69"/>
      <c r="E31" s="58">
        <v>7.0</v>
      </c>
      <c r="F31" s="69">
        <f>E31*726.09</f>
        <v>5082.63</v>
      </c>
      <c r="G31" s="70" t="s">
        <v>312</v>
      </c>
      <c r="H31" s="71"/>
    </row>
    <row r="32">
      <c r="A32" s="61">
        <v>46046.136944259255</v>
      </c>
      <c r="B32" s="67" t="s">
        <v>85</v>
      </c>
      <c r="C32" s="68">
        <f>(400)-291</f>
        <v>109</v>
      </c>
      <c r="D32" s="69">
        <f>C32*1637</f>
        <v>178433</v>
      </c>
      <c r="E32" s="58"/>
      <c r="F32" s="69"/>
      <c r="G32" s="70" t="s">
        <v>312</v>
      </c>
      <c r="H32" s="71"/>
    </row>
    <row r="33">
      <c r="A33" s="61">
        <v>46046.136944259255</v>
      </c>
      <c r="B33" s="67" t="s">
        <v>157</v>
      </c>
      <c r="C33" s="68"/>
      <c r="D33" s="69"/>
      <c r="E33" s="58">
        <v>10.0</v>
      </c>
      <c r="F33" s="69">
        <f>E33*1980.5</f>
        <v>19805</v>
      </c>
      <c r="G33" s="70" t="s">
        <v>312</v>
      </c>
      <c r="H33" s="71"/>
    </row>
    <row r="34">
      <c r="A34" s="61">
        <v>46046.136944259255</v>
      </c>
      <c r="B34" s="73" t="s">
        <v>248</v>
      </c>
      <c r="C34" s="68"/>
      <c r="D34" s="69"/>
      <c r="E34" s="58">
        <f>(56-37)</f>
        <v>19</v>
      </c>
      <c r="F34" s="74">
        <f>E34* 10459.32</f>
        <v>198727.08</v>
      </c>
      <c r="G34" s="70" t="s">
        <v>312</v>
      </c>
      <c r="H34" s="71"/>
    </row>
    <row r="35">
      <c r="A35" s="61">
        <v>46046.136944259255</v>
      </c>
      <c r="B35" s="73" t="s">
        <v>145</v>
      </c>
      <c r="C35" s="68"/>
      <c r="D35" s="69"/>
      <c r="E35" s="58">
        <f>(35-30)</f>
        <v>5</v>
      </c>
      <c r="F35" s="74">
        <f>E35* 11352.67</f>
        <v>56763.35</v>
      </c>
      <c r="G35" s="70" t="s">
        <v>312</v>
      </c>
      <c r="H35" s="71"/>
    </row>
    <row r="36">
      <c r="A36" s="61">
        <v>46046.136944259255</v>
      </c>
      <c r="B36" s="67" t="s">
        <v>90</v>
      </c>
      <c r="C36" s="68">
        <f>(103-33)</f>
        <v>70</v>
      </c>
      <c r="D36" s="69">
        <f>C36*535</f>
        <v>37450</v>
      </c>
      <c r="E36" s="58"/>
      <c r="F36" s="69"/>
      <c r="G36" s="70" t="s">
        <v>312</v>
      </c>
      <c r="H36" s="71"/>
    </row>
    <row r="37">
      <c r="A37" s="61">
        <v>46046.136944259255</v>
      </c>
      <c r="B37" s="67" t="s">
        <v>306</v>
      </c>
      <c r="C37" s="68"/>
      <c r="D37" s="69"/>
      <c r="E37" s="58">
        <v>1.0</v>
      </c>
      <c r="F37" s="69">
        <f>E37*20791.2</f>
        <v>20791.2</v>
      </c>
      <c r="G37" s="70" t="s">
        <v>312</v>
      </c>
      <c r="H37" s="71"/>
    </row>
    <row r="38">
      <c r="A38" s="61">
        <v>46046.136944259255</v>
      </c>
      <c r="B38" s="67" t="s">
        <v>177</v>
      </c>
      <c r="C38" s="68"/>
      <c r="D38" s="69"/>
      <c r="E38" s="58">
        <f>(161-58)</f>
        <v>103</v>
      </c>
      <c r="F38" s="69">
        <f>E38*316.71</f>
        <v>32621.13</v>
      </c>
      <c r="G38" s="70" t="s">
        <v>32</v>
      </c>
      <c r="H38" s="71"/>
    </row>
    <row r="39">
      <c r="A39" s="61"/>
      <c r="B39" s="67"/>
      <c r="C39" s="68"/>
      <c r="D39" s="69"/>
      <c r="E39" s="58"/>
      <c r="F39" s="69"/>
      <c r="G39" s="70"/>
      <c r="H39" s="71"/>
    </row>
    <row r="40">
      <c r="A40" s="61">
        <v>46081.673676307866</v>
      </c>
      <c r="B40" s="67" t="s">
        <v>251</v>
      </c>
      <c r="C40" s="68"/>
      <c r="D40" s="69"/>
      <c r="E40" s="58">
        <v>17.0</v>
      </c>
      <c r="F40" s="69">
        <f>E40*12783.5</f>
        <v>217319.5</v>
      </c>
      <c r="G40" s="70" t="s">
        <v>312</v>
      </c>
      <c r="H40" s="71"/>
    </row>
    <row r="41">
      <c r="A41" s="61">
        <v>46081.673676307866</v>
      </c>
      <c r="B41" s="67" t="s">
        <v>154</v>
      </c>
      <c r="C41" s="68"/>
      <c r="D41" s="69"/>
      <c r="E41" s="58">
        <v>4.0</v>
      </c>
      <c r="F41" s="69">
        <f>E41*19398</f>
        <v>77592</v>
      </c>
      <c r="G41" s="70" t="s">
        <v>32</v>
      </c>
      <c r="H41" s="71"/>
    </row>
    <row r="42">
      <c r="A42" s="61">
        <v>46081.673676307866</v>
      </c>
      <c r="B42" s="67" t="s">
        <v>145</v>
      </c>
      <c r="C42" s="68">
        <v>3.0</v>
      </c>
      <c r="D42" s="69">
        <f>C42* 11352.67</f>
        <v>34058.01</v>
      </c>
      <c r="E42" s="58"/>
      <c r="F42" s="69"/>
      <c r="G42" s="70" t="s">
        <v>32</v>
      </c>
      <c r="H42" s="71"/>
    </row>
    <row r="43">
      <c r="A43" s="61">
        <v>46081.673676307866</v>
      </c>
      <c r="B43" s="67" t="s">
        <v>251</v>
      </c>
      <c r="C43" s="68"/>
      <c r="D43" s="69"/>
      <c r="E43" s="58">
        <v>3.0</v>
      </c>
      <c r="F43" s="69">
        <f t="shared" ref="F43:F44" si="2">E43*12783.5</f>
        <v>38350.5</v>
      </c>
      <c r="G43" s="70" t="s">
        <v>312</v>
      </c>
      <c r="H43" s="71"/>
    </row>
    <row r="44">
      <c r="A44" s="61">
        <v>46081.673676307866</v>
      </c>
      <c r="B44" s="67" t="s">
        <v>251</v>
      </c>
      <c r="C44" s="68"/>
      <c r="D44" s="69"/>
      <c r="E44" s="58">
        <v>18.0</v>
      </c>
      <c r="F44" s="69">
        <f t="shared" si="2"/>
        <v>230103</v>
      </c>
      <c r="G44" s="70" t="s">
        <v>312</v>
      </c>
      <c r="H44" s="71"/>
    </row>
    <row r="45">
      <c r="A45" s="61">
        <v>46081.673676307866</v>
      </c>
      <c r="B45" s="67" t="s">
        <v>157</v>
      </c>
      <c r="C45" s="68"/>
      <c r="D45" s="69"/>
      <c r="E45" s="58">
        <v>10.0</v>
      </c>
      <c r="F45" s="69">
        <f>E45*1960.34482758621</f>
        <v>19603.44828</v>
      </c>
      <c r="G45" s="70" t="s">
        <v>312</v>
      </c>
      <c r="H45" s="71"/>
    </row>
    <row r="46">
      <c r="A46" s="61">
        <v>46081.673676307866</v>
      </c>
      <c r="B46" s="67" t="s">
        <v>177</v>
      </c>
      <c r="C46" s="68"/>
      <c r="D46" s="69"/>
      <c r="E46" s="58">
        <v>200.0</v>
      </c>
      <c r="F46" s="69">
        <f>E46*476.829268292683</f>
        <v>95365.85366</v>
      </c>
      <c r="G46" s="70" t="s">
        <v>312</v>
      </c>
      <c r="H46" s="71"/>
    </row>
    <row r="47">
      <c r="A47" s="61"/>
      <c r="B47" s="67"/>
      <c r="C47" s="68"/>
      <c r="D47" s="69"/>
      <c r="E47" s="58"/>
      <c r="F47" s="69"/>
      <c r="G47" s="70"/>
      <c r="H47" s="71"/>
    </row>
    <row r="48">
      <c r="A48" s="61">
        <v>46147.541666666664</v>
      </c>
      <c r="B48" s="67" t="s">
        <v>154</v>
      </c>
      <c r="C48" s="68">
        <v>18.0</v>
      </c>
      <c r="D48" s="69">
        <f>C48*19648.9534883721</f>
        <v>353681.1628</v>
      </c>
      <c r="E48" s="58"/>
      <c r="F48" s="69"/>
      <c r="G48" s="70" t="s">
        <v>32</v>
      </c>
      <c r="H48" s="71"/>
    </row>
    <row r="49">
      <c r="A49" s="61">
        <v>46147.541666666664</v>
      </c>
      <c r="B49" s="67" t="s">
        <v>99</v>
      </c>
      <c r="C49" s="68"/>
      <c r="D49" s="69"/>
      <c r="E49" s="58">
        <v>118.0</v>
      </c>
      <c r="F49" s="69">
        <f>E49*18007.86</f>
        <v>2124927.48</v>
      </c>
      <c r="G49" s="70" t="s">
        <v>32</v>
      </c>
      <c r="H49" s="71"/>
    </row>
    <row r="50">
      <c r="A50" s="61"/>
      <c r="B50" s="67"/>
      <c r="C50" s="68"/>
      <c r="D50" s="69"/>
      <c r="E50" s="58"/>
      <c r="F50" s="69"/>
      <c r="G50" s="70"/>
      <c r="H50" s="71"/>
    </row>
    <row r="51">
      <c r="A51" s="61">
        <v>46172.99930555555</v>
      </c>
      <c r="B51" s="67" t="s">
        <v>79</v>
      </c>
      <c r="C51" s="68"/>
      <c r="D51" s="69"/>
      <c r="E51" s="58">
        <f>38-12</f>
        <v>26</v>
      </c>
      <c r="F51" s="69">
        <f>E51*1057</f>
        <v>27482</v>
      </c>
      <c r="G51" s="70" t="s">
        <v>32</v>
      </c>
      <c r="H51" s="71"/>
    </row>
    <row r="52">
      <c r="A52" s="61">
        <v>46172.99930555555</v>
      </c>
      <c r="B52" s="67" t="s">
        <v>74</v>
      </c>
      <c r="C52" s="68"/>
      <c r="D52" s="69"/>
      <c r="E52" s="58">
        <f>283-18</f>
        <v>265</v>
      </c>
      <c r="F52" s="69">
        <f>E52*1018</f>
        <v>269770</v>
      </c>
      <c r="G52" s="70" t="s">
        <v>32</v>
      </c>
      <c r="H52" s="71"/>
    </row>
    <row r="53">
      <c r="A53" s="61"/>
      <c r="B53" s="67"/>
      <c r="C53" s="68"/>
      <c r="D53" s="69"/>
      <c r="E53" s="58"/>
      <c r="F53" s="69"/>
      <c r="G53" s="70"/>
      <c r="H53" s="71"/>
    </row>
    <row r="54">
      <c r="A54" s="61">
        <v>46178.416666666664</v>
      </c>
      <c r="B54" s="67" t="s">
        <v>136</v>
      </c>
      <c r="C54" s="68">
        <v>20.0</v>
      </c>
      <c r="D54" s="69">
        <v>53980.0</v>
      </c>
      <c r="E54" s="58"/>
      <c r="F54" s="69"/>
      <c r="G54" s="70" t="s">
        <v>32</v>
      </c>
      <c r="H54" s="71"/>
    </row>
    <row r="55">
      <c r="A55" s="61">
        <v>46178.416666666664</v>
      </c>
      <c r="B55" s="67" t="s">
        <v>225</v>
      </c>
      <c r="C55" s="68">
        <v>84.0</v>
      </c>
      <c r="D55" s="69">
        <f>C55*768.242756896998</f>
        <v>64532.39158</v>
      </c>
      <c r="E55" s="58"/>
      <c r="F55" s="69"/>
      <c r="G55" s="70" t="s">
        <v>32</v>
      </c>
      <c r="H55" s="71"/>
    </row>
    <row r="56">
      <c r="A56" s="61">
        <v>46178.416666666664</v>
      </c>
      <c r="B56" s="67" t="s">
        <v>228</v>
      </c>
      <c r="C56" s="68">
        <v>286.0</v>
      </c>
      <c r="D56" s="69">
        <f>C56*684.887</f>
        <v>195877.682</v>
      </c>
      <c r="E56" s="58"/>
      <c r="F56" s="69"/>
      <c r="G56" s="70" t="s">
        <v>32</v>
      </c>
      <c r="H56" s="71"/>
    </row>
    <row r="57">
      <c r="A57" s="61"/>
      <c r="B57" s="67"/>
      <c r="C57" s="68"/>
      <c r="D57" s="69"/>
      <c r="E57" s="58"/>
      <c r="F57" s="69"/>
      <c r="G57" s="70"/>
      <c r="H57" s="71"/>
    </row>
    <row r="58">
      <c r="A58" s="61">
        <v>46198.592469780095</v>
      </c>
      <c r="B58" s="67" t="s">
        <v>44</v>
      </c>
      <c r="C58" s="68"/>
      <c r="D58" s="69"/>
      <c r="E58" s="58">
        <v>312.0</v>
      </c>
      <c r="F58" s="69">
        <v>254746.0</v>
      </c>
      <c r="G58" s="70" t="s">
        <v>32</v>
      </c>
      <c r="H58" s="71" t="s">
        <v>416</v>
      </c>
    </row>
    <row r="59">
      <c r="A59" s="61">
        <v>46198.592469780095</v>
      </c>
      <c r="B59" s="67" t="s">
        <v>49</v>
      </c>
      <c r="C59" s="68"/>
      <c r="D59" s="69"/>
      <c r="E59" s="58">
        <v>26.0</v>
      </c>
      <c r="F59" s="69">
        <v>72843.0</v>
      </c>
      <c r="G59" s="70" t="s">
        <v>32</v>
      </c>
      <c r="H59" s="71" t="s">
        <v>416</v>
      </c>
    </row>
    <row r="60">
      <c r="A60" s="61">
        <v>46198.592469780095</v>
      </c>
      <c r="B60" s="67" t="s">
        <v>50</v>
      </c>
      <c r="C60" s="68">
        <v>2.0</v>
      </c>
      <c r="D60" s="69">
        <v>12490.0</v>
      </c>
      <c r="E60" s="58"/>
      <c r="F60" s="69"/>
      <c r="G60" s="70" t="s">
        <v>32</v>
      </c>
      <c r="H60" s="71" t="s">
        <v>416</v>
      </c>
    </row>
    <row r="61">
      <c r="A61" s="61">
        <v>46198.592469780095</v>
      </c>
      <c r="B61" s="67" t="s">
        <v>218</v>
      </c>
      <c r="C61" s="68"/>
      <c r="D61" s="69"/>
      <c r="E61" s="58">
        <v>20.0</v>
      </c>
      <c r="F61" s="69">
        <v>129596.0</v>
      </c>
      <c r="G61" s="70" t="s">
        <v>32</v>
      </c>
      <c r="H61" s="71" t="s">
        <v>416</v>
      </c>
    </row>
    <row r="62">
      <c r="A62" s="61">
        <v>46198.592469780095</v>
      </c>
      <c r="B62" s="67" t="s">
        <v>239</v>
      </c>
      <c r="C62" s="68"/>
      <c r="D62" s="69"/>
      <c r="E62" s="58">
        <v>1.0</v>
      </c>
      <c r="F62" s="69">
        <v>22100.0</v>
      </c>
      <c r="G62" s="70" t="s">
        <v>32</v>
      </c>
      <c r="H62" s="71" t="s">
        <v>416</v>
      </c>
    </row>
    <row r="63">
      <c r="A63" s="61">
        <v>46198.592469780095</v>
      </c>
      <c r="B63" s="67" t="s">
        <v>251</v>
      </c>
      <c r="C63" s="68">
        <v>38.0</v>
      </c>
      <c r="D63" s="69">
        <v>535306.0</v>
      </c>
      <c r="E63" s="58"/>
      <c r="F63" s="69"/>
      <c r="G63" s="70" t="s">
        <v>32</v>
      </c>
      <c r="H63" s="71" t="s">
        <v>416</v>
      </c>
    </row>
    <row r="64">
      <c r="A64" s="61">
        <v>46198.592469780095</v>
      </c>
      <c r="B64" s="67" t="s">
        <v>299</v>
      </c>
      <c r="C64" s="68"/>
      <c r="D64" s="69"/>
      <c r="E64" s="58">
        <v>28.0</v>
      </c>
      <c r="F64" s="69">
        <v>151500.0</v>
      </c>
      <c r="G64" s="70" t="s">
        <v>32</v>
      </c>
      <c r="H64" s="71" t="s">
        <v>416</v>
      </c>
    </row>
    <row r="65">
      <c r="A65" s="61">
        <v>46198.592469780095</v>
      </c>
      <c r="B65" s="67" t="s">
        <v>207</v>
      </c>
      <c r="C65" s="68"/>
      <c r="D65" s="69"/>
      <c r="E65" s="58">
        <v>5.0</v>
      </c>
      <c r="F65" s="69">
        <v>43916.0</v>
      </c>
      <c r="G65" s="70" t="s">
        <v>32</v>
      </c>
      <c r="H65" s="71" t="s">
        <v>416</v>
      </c>
    </row>
    <row r="66">
      <c r="A66" s="61">
        <v>46198.592469780095</v>
      </c>
      <c r="B66" s="67" t="s">
        <v>201</v>
      </c>
      <c r="C66" s="68"/>
      <c r="D66" s="69"/>
      <c r="E66" s="58">
        <v>110.0</v>
      </c>
      <c r="F66" s="69">
        <v>955567.0</v>
      </c>
      <c r="G66" s="70" t="s">
        <v>32</v>
      </c>
      <c r="H66" s="71" t="s">
        <v>416</v>
      </c>
    </row>
    <row r="67">
      <c r="A67" s="61">
        <v>46198.592469780095</v>
      </c>
      <c r="B67" s="67" t="s">
        <v>174</v>
      </c>
      <c r="C67" s="68"/>
      <c r="D67" s="69"/>
      <c r="E67" s="58">
        <v>14.0</v>
      </c>
      <c r="F67" s="69">
        <v>98818.0</v>
      </c>
      <c r="G67" s="70" t="s">
        <v>32</v>
      </c>
      <c r="H67" s="71" t="s">
        <v>416</v>
      </c>
    </row>
    <row r="68">
      <c r="A68" s="61">
        <v>46198.592469780095</v>
      </c>
      <c r="B68" s="67" t="s">
        <v>228</v>
      </c>
      <c r="C68" s="68"/>
      <c r="D68" s="69"/>
      <c r="E68" s="58">
        <v>1.0</v>
      </c>
      <c r="F68" s="69">
        <v>682.0</v>
      </c>
      <c r="G68" s="70" t="s">
        <v>32</v>
      </c>
      <c r="H68" s="71" t="s">
        <v>416</v>
      </c>
    </row>
    <row r="69">
      <c r="A69" s="61">
        <v>46198.592469780095</v>
      </c>
      <c r="B69" s="67" t="s">
        <v>76</v>
      </c>
      <c r="C69" s="68"/>
      <c r="D69" s="69"/>
      <c r="E69" s="58">
        <v>82.0</v>
      </c>
      <c r="F69" s="69">
        <v>71870.0</v>
      </c>
      <c r="G69" s="70" t="s">
        <v>32</v>
      </c>
      <c r="H69" s="71" t="s">
        <v>416</v>
      </c>
    </row>
    <row r="70">
      <c r="A70" s="61">
        <v>46198.592469780095</v>
      </c>
      <c r="B70" s="67" t="s">
        <v>105</v>
      </c>
      <c r="C70" s="68"/>
      <c r="D70" s="69"/>
      <c r="E70" s="58">
        <v>16.0</v>
      </c>
      <c r="F70" s="69">
        <v>9835.0</v>
      </c>
      <c r="G70" s="70" t="s">
        <v>32</v>
      </c>
      <c r="H70" s="71" t="s">
        <v>416</v>
      </c>
    </row>
    <row r="71">
      <c r="A71" s="61">
        <v>46198.592469780095</v>
      </c>
      <c r="B71" s="67" t="s">
        <v>63</v>
      </c>
      <c r="C71" s="68"/>
      <c r="D71" s="69"/>
      <c r="E71" s="58">
        <v>6.0</v>
      </c>
      <c r="F71" s="69">
        <v>142717.0</v>
      </c>
      <c r="G71" s="70" t="s">
        <v>32</v>
      </c>
      <c r="H71" s="71" t="s">
        <v>416</v>
      </c>
    </row>
    <row r="72">
      <c r="A72" s="61">
        <v>46198.592469780095</v>
      </c>
      <c r="B72" s="67" t="s">
        <v>306</v>
      </c>
      <c r="C72" s="68">
        <v>2.0</v>
      </c>
      <c r="D72" s="69">
        <v>43690.0</v>
      </c>
      <c r="E72" s="58"/>
      <c r="F72" s="69"/>
      <c r="G72" s="70" t="s">
        <v>32</v>
      </c>
      <c r="H72" s="71" t="s">
        <v>416</v>
      </c>
    </row>
    <row r="73">
      <c r="A73" s="61">
        <v>46198.592469780095</v>
      </c>
      <c r="B73" s="67" t="s">
        <v>117</v>
      </c>
      <c r="C73" s="68"/>
      <c r="D73" s="69"/>
      <c r="E73" s="58">
        <v>612.0</v>
      </c>
      <c r="F73" s="69">
        <v>117309.0</v>
      </c>
      <c r="G73" s="70" t="s">
        <v>32</v>
      </c>
      <c r="H73" s="71" t="s">
        <v>416</v>
      </c>
    </row>
    <row r="74">
      <c r="A74" s="61"/>
      <c r="B74" s="67"/>
      <c r="C74" s="68"/>
      <c r="D74" s="69"/>
      <c r="E74" s="58"/>
      <c r="F74" s="69"/>
      <c r="G74" s="70"/>
      <c r="H74" s="71"/>
    </row>
    <row r="75">
      <c r="A75" s="61"/>
      <c r="B75" s="67"/>
      <c r="C75" s="68"/>
      <c r="D75" s="69"/>
      <c r="E75" s="58"/>
      <c r="F75" s="69"/>
      <c r="G75" s="70"/>
      <c r="H75" s="71"/>
    </row>
    <row r="76">
      <c r="A76" s="61"/>
      <c r="B76" s="67"/>
      <c r="C76" s="68"/>
      <c r="D76" s="69"/>
      <c r="E76" s="58"/>
      <c r="F76" s="69"/>
      <c r="G76" s="70"/>
      <c r="H76" s="71"/>
    </row>
    <row r="77">
      <c r="A77" s="61"/>
      <c r="B77" s="67"/>
      <c r="C77" s="68"/>
      <c r="D77" s="69"/>
      <c r="E77" s="58"/>
      <c r="F77" s="69"/>
      <c r="G77" s="70"/>
      <c r="H77" s="71"/>
    </row>
    <row r="78">
      <c r="A78" s="61"/>
      <c r="B78" s="67"/>
      <c r="C78" s="68"/>
      <c r="D78" s="69"/>
      <c r="E78" s="58"/>
      <c r="F78" s="69"/>
      <c r="G78" s="70"/>
      <c r="H78" s="71"/>
    </row>
    <row r="79">
      <c r="A79" s="61"/>
      <c r="B79" s="67"/>
      <c r="C79" s="68"/>
      <c r="D79" s="69"/>
      <c r="E79" s="58"/>
      <c r="F79" s="69"/>
      <c r="G79" s="70"/>
      <c r="H79" s="71"/>
    </row>
    <row r="80">
      <c r="A80" s="61"/>
      <c r="B80" s="67"/>
      <c r="C80" s="68"/>
      <c r="D80" s="69"/>
      <c r="E80" s="58"/>
      <c r="F80" s="69"/>
      <c r="G80" s="70"/>
      <c r="H80" s="71"/>
    </row>
    <row r="81">
      <c r="A81" s="61"/>
      <c r="B81" s="67"/>
      <c r="C81" s="68"/>
      <c r="D81" s="69"/>
      <c r="E81" s="58"/>
      <c r="F81" s="69"/>
      <c r="G81" s="70"/>
      <c r="H81" s="71"/>
    </row>
    <row r="82">
      <c r="A82" s="61"/>
      <c r="B82" s="67"/>
      <c r="C82" s="68"/>
      <c r="D82" s="69"/>
      <c r="E82" s="58"/>
      <c r="F82" s="69"/>
      <c r="G82" s="70"/>
      <c r="H82" s="71"/>
    </row>
    <row r="83">
      <c r="A83" s="61"/>
      <c r="B83" s="67"/>
      <c r="C83" s="68"/>
      <c r="D83" s="69"/>
      <c r="E83" s="58"/>
      <c r="F83" s="69"/>
      <c r="G83" s="70"/>
      <c r="H83" s="71"/>
    </row>
    <row r="84">
      <c r="A84" s="61"/>
      <c r="B84" s="67"/>
      <c r="C84" s="68"/>
      <c r="D84" s="69"/>
      <c r="E84" s="58"/>
      <c r="F84" s="69"/>
      <c r="G84" s="70"/>
      <c r="H84" s="71"/>
    </row>
    <row r="85">
      <c r="A85" s="61"/>
      <c r="B85" s="67"/>
      <c r="C85" s="68"/>
      <c r="D85" s="69"/>
      <c r="E85" s="58"/>
      <c r="F85" s="69"/>
      <c r="G85" s="70"/>
      <c r="H85" s="71"/>
    </row>
    <row r="86">
      <c r="A86" s="61"/>
      <c r="B86" s="67"/>
      <c r="C86" s="68"/>
      <c r="D86" s="69"/>
      <c r="E86" s="58"/>
      <c r="F86" s="69"/>
      <c r="G86" s="70"/>
      <c r="H86" s="71"/>
    </row>
    <row r="87">
      <c r="A87" s="61"/>
      <c r="B87" s="67"/>
      <c r="C87" s="68"/>
      <c r="D87" s="69"/>
      <c r="E87" s="58"/>
      <c r="F87" s="69"/>
      <c r="G87" s="70"/>
      <c r="H87" s="71"/>
    </row>
    <row r="88">
      <c r="A88" s="61"/>
      <c r="B88" s="67"/>
      <c r="C88" s="68"/>
      <c r="D88" s="69"/>
      <c r="E88" s="58"/>
      <c r="F88" s="69"/>
      <c r="G88" s="70"/>
      <c r="H88" s="71"/>
    </row>
    <row r="89">
      <c r="A89" s="61"/>
      <c r="B89" s="67"/>
      <c r="C89" s="68"/>
      <c r="D89" s="69"/>
      <c r="E89" s="58"/>
      <c r="F89" s="69"/>
      <c r="G89" s="70"/>
      <c r="H89" s="71"/>
    </row>
    <row r="90">
      <c r="A90" s="61"/>
      <c r="B90" s="67"/>
      <c r="C90" s="68"/>
      <c r="D90" s="69"/>
      <c r="E90" s="58"/>
      <c r="F90" s="69"/>
      <c r="G90" s="70"/>
      <c r="H90" s="71"/>
    </row>
    <row r="91">
      <c r="A91" s="61"/>
      <c r="B91" s="67"/>
      <c r="C91" s="68"/>
      <c r="D91" s="69"/>
      <c r="E91" s="58"/>
      <c r="F91" s="69"/>
      <c r="G91" s="70"/>
      <c r="H91" s="71"/>
    </row>
    <row r="92">
      <c r="A92" s="61"/>
      <c r="B92" s="67"/>
      <c r="C92" s="68"/>
      <c r="D92" s="69"/>
      <c r="E92" s="58"/>
      <c r="F92" s="69"/>
      <c r="G92" s="70"/>
      <c r="H92" s="71"/>
    </row>
    <row r="93">
      <c r="A93" s="61"/>
      <c r="B93" s="67"/>
      <c r="C93" s="68"/>
      <c r="D93" s="69"/>
      <c r="E93" s="58"/>
      <c r="F93" s="69"/>
      <c r="G93" s="70"/>
      <c r="H93" s="71"/>
    </row>
    <row r="94">
      <c r="A94" s="61"/>
      <c r="B94" s="67"/>
      <c r="C94" s="68"/>
      <c r="D94" s="69"/>
      <c r="E94" s="58"/>
      <c r="F94" s="69"/>
      <c r="G94" s="70"/>
      <c r="H94" s="71"/>
    </row>
    <row r="95">
      <c r="A95" s="61"/>
      <c r="B95" s="67"/>
      <c r="C95" s="68"/>
      <c r="D95" s="69"/>
      <c r="E95" s="58"/>
      <c r="F95" s="69"/>
      <c r="G95" s="70"/>
      <c r="H95" s="71"/>
    </row>
    <row r="96">
      <c r="A96" s="61"/>
      <c r="B96" s="67"/>
      <c r="C96" s="68"/>
      <c r="D96" s="69"/>
      <c r="E96" s="58"/>
      <c r="F96" s="69"/>
      <c r="G96" s="70"/>
      <c r="H96" s="71"/>
    </row>
    <row r="97">
      <c r="A97" s="61"/>
      <c r="B97" s="67"/>
      <c r="C97" s="68"/>
      <c r="D97" s="69"/>
      <c r="E97" s="58"/>
      <c r="F97" s="69"/>
      <c r="G97" s="70"/>
      <c r="H97" s="71"/>
    </row>
    <row r="98">
      <c r="A98" s="61"/>
      <c r="B98" s="67"/>
      <c r="C98" s="68"/>
      <c r="D98" s="69"/>
      <c r="E98" s="58"/>
      <c r="F98" s="69"/>
      <c r="G98" s="70"/>
      <c r="H98" s="71"/>
    </row>
    <row r="99">
      <c r="A99" s="61"/>
      <c r="B99" s="67"/>
      <c r="C99" s="68"/>
      <c r="D99" s="69"/>
      <c r="E99" s="58"/>
      <c r="F99" s="69"/>
      <c r="G99" s="70"/>
      <c r="H99" s="71"/>
    </row>
    <row r="100">
      <c r="A100" s="61"/>
      <c r="B100" s="67"/>
      <c r="C100" s="68"/>
      <c r="D100" s="69"/>
      <c r="E100" s="58"/>
      <c r="F100" s="69"/>
      <c r="G100" s="70"/>
      <c r="H100" s="71"/>
    </row>
    <row r="101">
      <c r="A101" s="61"/>
      <c r="B101" s="67"/>
      <c r="C101" s="68"/>
      <c r="D101" s="69"/>
      <c r="E101" s="58"/>
      <c r="F101" s="69"/>
      <c r="G101" s="70"/>
      <c r="H101" s="71"/>
    </row>
    <row r="102">
      <c r="A102" s="61"/>
      <c r="B102" s="67"/>
      <c r="C102" s="68"/>
      <c r="D102" s="69"/>
      <c r="E102" s="58"/>
      <c r="F102" s="69"/>
      <c r="G102" s="70"/>
      <c r="H102" s="71"/>
    </row>
    <row r="103">
      <c r="A103" s="61"/>
      <c r="B103" s="67"/>
      <c r="C103" s="68"/>
      <c r="D103" s="69"/>
      <c r="E103" s="58"/>
      <c r="F103" s="69"/>
      <c r="G103" s="70"/>
      <c r="H103" s="71"/>
    </row>
    <row r="104">
      <c r="A104" s="61"/>
      <c r="B104" s="67"/>
      <c r="C104" s="68"/>
      <c r="D104" s="69"/>
      <c r="E104" s="58"/>
      <c r="F104" s="69"/>
      <c r="G104" s="70"/>
      <c r="H104" s="71"/>
    </row>
    <row r="105">
      <c r="A105" s="61"/>
      <c r="B105" s="67"/>
      <c r="C105" s="68"/>
      <c r="D105" s="69"/>
      <c r="E105" s="58"/>
      <c r="F105" s="69"/>
      <c r="G105" s="70"/>
      <c r="H105" s="71"/>
    </row>
    <row r="106">
      <c r="A106" s="61"/>
      <c r="B106" s="67"/>
      <c r="C106" s="68"/>
      <c r="D106" s="69"/>
      <c r="E106" s="58"/>
      <c r="F106" s="69"/>
      <c r="G106" s="70"/>
      <c r="H106" s="71"/>
    </row>
    <row r="107">
      <c r="A107" s="61"/>
      <c r="B107" s="67"/>
      <c r="C107" s="68"/>
      <c r="D107" s="69"/>
      <c r="E107" s="58"/>
      <c r="F107" s="69"/>
      <c r="G107" s="70"/>
      <c r="H107" s="71"/>
    </row>
    <row r="108">
      <c r="A108" s="61"/>
      <c r="B108" s="67"/>
      <c r="C108" s="68"/>
      <c r="D108" s="69"/>
      <c r="E108" s="58"/>
      <c r="F108" s="69"/>
      <c r="G108" s="70"/>
      <c r="H108" s="71"/>
    </row>
    <row r="109">
      <c r="A109" s="61"/>
      <c r="B109" s="67"/>
      <c r="C109" s="68"/>
      <c r="D109" s="69"/>
      <c r="E109" s="58"/>
      <c r="F109" s="69"/>
      <c r="G109" s="70"/>
      <c r="H109" s="71"/>
    </row>
    <row r="110">
      <c r="A110" s="61"/>
      <c r="B110" s="67"/>
      <c r="C110" s="68"/>
      <c r="D110" s="69"/>
      <c r="E110" s="58"/>
      <c r="F110" s="69"/>
      <c r="G110" s="70"/>
      <c r="H110" s="71"/>
    </row>
    <row r="111">
      <c r="A111" s="61"/>
      <c r="B111" s="67"/>
      <c r="C111" s="68"/>
      <c r="D111" s="69"/>
      <c r="E111" s="58"/>
      <c r="F111" s="69"/>
      <c r="G111" s="70"/>
      <c r="H111" s="71"/>
    </row>
    <row r="112">
      <c r="A112" s="61"/>
      <c r="B112" s="67"/>
      <c r="C112" s="68"/>
      <c r="D112" s="69"/>
      <c r="E112" s="58"/>
      <c r="F112" s="69"/>
      <c r="G112" s="70"/>
      <c r="H112" s="71"/>
    </row>
    <row r="113">
      <c r="A113" s="61"/>
      <c r="B113" s="67"/>
      <c r="C113" s="68"/>
      <c r="D113" s="69"/>
      <c r="E113" s="58"/>
      <c r="F113" s="69"/>
      <c r="G113" s="70"/>
      <c r="H113" s="71"/>
    </row>
    <row r="114">
      <c r="A114" s="61"/>
      <c r="B114" s="67"/>
      <c r="C114" s="68"/>
      <c r="D114" s="69"/>
      <c r="E114" s="58"/>
      <c r="F114" s="69"/>
      <c r="G114" s="70"/>
      <c r="H114" s="71"/>
    </row>
    <row r="115">
      <c r="A115" s="61"/>
      <c r="B115" s="67"/>
      <c r="C115" s="68"/>
      <c r="D115" s="69"/>
      <c r="E115" s="58"/>
      <c r="F115" s="69"/>
      <c r="G115" s="70"/>
      <c r="H115" s="71"/>
    </row>
    <row r="116">
      <c r="A116" s="61"/>
      <c r="B116" s="67"/>
      <c r="C116" s="68"/>
      <c r="D116" s="69"/>
      <c r="E116" s="58"/>
      <c r="F116" s="69"/>
      <c r="G116" s="70"/>
      <c r="H116" s="71"/>
    </row>
    <row r="117">
      <c r="A117" s="61"/>
      <c r="B117" s="67"/>
      <c r="C117" s="68"/>
      <c r="D117" s="69"/>
      <c r="E117" s="58"/>
      <c r="F117" s="69"/>
      <c r="G117" s="70"/>
      <c r="H117" s="71"/>
    </row>
    <row r="118">
      <c r="A118" s="61"/>
      <c r="B118" s="67"/>
      <c r="C118" s="68"/>
      <c r="D118" s="69"/>
      <c r="E118" s="58"/>
      <c r="F118" s="69"/>
      <c r="G118" s="70"/>
      <c r="H118" s="71"/>
    </row>
    <row r="119">
      <c r="A119" s="61"/>
      <c r="B119" s="67"/>
      <c r="C119" s="68"/>
      <c r="D119" s="69"/>
      <c r="E119" s="58"/>
      <c r="F119" s="69"/>
      <c r="G119" s="70"/>
      <c r="H119" s="71"/>
    </row>
    <row r="120">
      <c r="A120" s="61"/>
      <c r="B120" s="67"/>
      <c r="C120" s="68"/>
      <c r="D120" s="69"/>
      <c r="E120" s="58"/>
      <c r="F120" s="69"/>
      <c r="G120" s="70"/>
      <c r="H120" s="71"/>
    </row>
    <row r="121">
      <c r="A121" s="61"/>
      <c r="B121" s="67"/>
      <c r="C121" s="68"/>
      <c r="D121" s="69"/>
      <c r="E121" s="58"/>
      <c r="F121" s="69"/>
      <c r="G121" s="70"/>
      <c r="H121" s="71"/>
    </row>
    <row r="122">
      <c r="A122" s="61"/>
      <c r="B122" s="67"/>
      <c r="C122" s="68"/>
      <c r="D122" s="69"/>
      <c r="E122" s="58"/>
      <c r="F122" s="69"/>
      <c r="G122" s="70"/>
      <c r="H122" s="71"/>
    </row>
    <row r="123">
      <c r="A123" s="61"/>
      <c r="B123" s="67"/>
      <c r="C123" s="68"/>
      <c r="D123" s="69"/>
      <c r="E123" s="58"/>
      <c r="F123" s="69"/>
      <c r="G123" s="70"/>
      <c r="H123" s="71"/>
    </row>
    <row r="124">
      <c r="A124" s="61"/>
      <c r="B124" s="67"/>
      <c r="C124" s="68"/>
      <c r="D124" s="69"/>
      <c r="E124" s="58"/>
      <c r="F124" s="69"/>
      <c r="G124" s="70"/>
      <c r="H124" s="71"/>
    </row>
    <row r="125">
      <c r="A125" s="61"/>
      <c r="B125" s="67"/>
      <c r="C125" s="68"/>
      <c r="D125" s="69"/>
      <c r="E125" s="58"/>
      <c r="F125" s="69"/>
      <c r="G125" s="70"/>
      <c r="H125" s="71"/>
    </row>
    <row r="126">
      <c r="A126" s="61"/>
      <c r="B126" s="67"/>
      <c r="C126" s="68"/>
      <c r="D126" s="69"/>
      <c r="E126" s="58"/>
      <c r="F126" s="69"/>
      <c r="G126" s="70"/>
      <c r="H126" s="71"/>
    </row>
    <row r="127">
      <c r="A127" s="61"/>
      <c r="B127" s="67"/>
      <c r="C127" s="68"/>
      <c r="D127" s="69"/>
      <c r="E127" s="58"/>
      <c r="F127" s="69"/>
      <c r="G127" s="70"/>
      <c r="H127" s="71"/>
    </row>
    <row r="128">
      <c r="A128" s="61"/>
      <c r="B128" s="67"/>
      <c r="C128" s="68"/>
      <c r="D128" s="69"/>
      <c r="E128" s="58"/>
      <c r="F128" s="69"/>
      <c r="G128" s="70"/>
      <c r="H128" s="71"/>
    </row>
    <row r="129">
      <c r="A129" s="61"/>
      <c r="B129" s="67"/>
      <c r="C129" s="68"/>
      <c r="D129" s="69"/>
      <c r="E129" s="58"/>
      <c r="F129" s="69"/>
      <c r="G129" s="70"/>
      <c r="H129" s="71"/>
    </row>
    <row r="130">
      <c r="A130" s="61"/>
      <c r="B130" s="67"/>
      <c r="C130" s="68"/>
      <c r="D130" s="69"/>
      <c r="E130" s="58"/>
      <c r="F130" s="69"/>
      <c r="G130" s="70"/>
      <c r="H130" s="71"/>
    </row>
    <row r="131">
      <c r="A131" s="61"/>
      <c r="B131" s="67"/>
      <c r="C131" s="68"/>
      <c r="D131" s="69"/>
      <c r="E131" s="58"/>
      <c r="F131" s="69"/>
      <c r="G131" s="70"/>
      <c r="H131" s="71"/>
    </row>
    <row r="132">
      <c r="A132" s="61"/>
      <c r="B132" s="67"/>
      <c r="C132" s="68"/>
      <c r="D132" s="69"/>
      <c r="E132" s="58"/>
      <c r="F132" s="69"/>
      <c r="G132" s="70"/>
      <c r="H132" s="71"/>
    </row>
    <row r="133">
      <c r="A133" s="61"/>
      <c r="B133" s="67"/>
      <c r="C133" s="68"/>
      <c r="D133" s="69"/>
      <c r="E133" s="58"/>
      <c r="F133" s="69"/>
      <c r="G133" s="70"/>
      <c r="H133" s="71"/>
    </row>
    <row r="134">
      <c r="A134" s="61"/>
      <c r="B134" s="67"/>
      <c r="C134" s="68"/>
      <c r="D134" s="69"/>
      <c r="E134" s="58"/>
      <c r="F134" s="69"/>
      <c r="G134" s="70"/>
      <c r="H134" s="71"/>
    </row>
    <row r="135">
      <c r="A135" s="61"/>
      <c r="B135" s="67"/>
      <c r="C135" s="68"/>
      <c r="D135" s="69"/>
      <c r="E135" s="58"/>
      <c r="F135" s="69"/>
      <c r="G135" s="70"/>
      <c r="H135" s="71"/>
    </row>
    <row r="136">
      <c r="A136" s="61"/>
      <c r="B136" s="67"/>
      <c r="C136" s="68"/>
      <c r="D136" s="69"/>
      <c r="E136" s="58"/>
      <c r="F136" s="69"/>
      <c r="G136" s="70"/>
      <c r="H136" s="71"/>
    </row>
    <row r="137">
      <c r="A137" s="61"/>
      <c r="B137" s="67"/>
      <c r="C137" s="68"/>
      <c r="D137" s="69"/>
      <c r="E137" s="58"/>
      <c r="F137" s="69"/>
      <c r="G137" s="70"/>
      <c r="H137" s="71"/>
    </row>
    <row r="138">
      <c r="A138" s="61"/>
      <c r="B138" s="67"/>
      <c r="C138" s="68"/>
      <c r="D138" s="69"/>
      <c r="E138" s="58"/>
      <c r="F138" s="69"/>
      <c r="G138" s="70"/>
      <c r="H138" s="71"/>
    </row>
    <row r="139">
      <c r="A139" s="61"/>
      <c r="B139" s="67"/>
      <c r="C139" s="68"/>
      <c r="D139" s="69"/>
      <c r="E139" s="58"/>
      <c r="F139" s="69"/>
      <c r="G139" s="70"/>
      <c r="H139" s="71"/>
    </row>
    <row r="140">
      <c r="A140" s="61"/>
      <c r="B140" s="67"/>
      <c r="C140" s="68"/>
      <c r="D140" s="69"/>
      <c r="E140" s="58"/>
      <c r="F140" s="69"/>
      <c r="G140" s="70"/>
      <c r="H140" s="71"/>
    </row>
    <row r="141">
      <c r="A141" s="61"/>
      <c r="B141" s="67"/>
      <c r="C141" s="68"/>
      <c r="D141" s="69"/>
      <c r="E141" s="58"/>
      <c r="F141" s="69"/>
      <c r="G141" s="70"/>
      <c r="H141" s="71"/>
    </row>
    <row r="142">
      <c r="A142" s="61"/>
      <c r="B142" s="67"/>
      <c r="C142" s="68"/>
      <c r="D142" s="69"/>
      <c r="E142" s="58"/>
      <c r="F142" s="69"/>
      <c r="G142" s="70"/>
      <c r="H142" s="71"/>
    </row>
    <row r="143">
      <c r="A143" s="61"/>
      <c r="B143" s="67"/>
      <c r="C143" s="68"/>
      <c r="D143" s="69"/>
      <c r="E143" s="58"/>
      <c r="F143" s="69"/>
      <c r="G143" s="70"/>
      <c r="H143" s="71"/>
    </row>
    <row r="144">
      <c r="A144" s="61"/>
      <c r="B144" s="67"/>
      <c r="C144" s="68"/>
      <c r="D144" s="69"/>
      <c r="E144" s="58"/>
      <c r="F144" s="69"/>
      <c r="G144" s="70"/>
      <c r="H144" s="71"/>
    </row>
    <row r="145">
      <c r="A145" s="61"/>
      <c r="B145" s="67"/>
      <c r="C145" s="68"/>
      <c r="D145" s="69"/>
      <c r="E145" s="58"/>
      <c r="F145" s="69"/>
      <c r="G145" s="70"/>
      <c r="H145" s="71"/>
    </row>
    <row r="146">
      <c r="A146" s="61"/>
      <c r="B146" s="67"/>
      <c r="C146" s="68"/>
      <c r="D146" s="69"/>
      <c r="E146" s="58"/>
      <c r="F146" s="69"/>
      <c r="G146" s="70"/>
      <c r="H146" s="71"/>
    </row>
    <row r="147">
      <c r="A147" s="61"/>
      <c r="B147" s="67"/>
      <c r="C147" s="68"/>
      <c r="D147" s="69"/>
      <c r="E147" s="58"/>
      <c r="F147" s="69"/>
      <c r="G147" s="70"/>
      <c r="H147" s="71"/>
    </row>
    <row r="148">
      <c r="A148" s="61"/>
      <c r="B148" s="67"/>
      <c r="C148" s="68"/>
      <c r="D148" s="69"/>
      <c r="E148" s="58"/>
      <c r="F148" s="69"/>
      <c r="G148" s="70"/>
      <c r="H148" s="71"/>
    </row>
    <row r="149">
      <c r="A149" s="61"/>
      <c r="B149" s="67"/>
      <c r="C149" s="68"/>
      <c r="D149" s="69"/>
      <c r="E149" s="58"/>
      <c r="F149" s="69"/>
      <c r="G149" s="70"/>
      <c r="H149" s="71"/>
    </row>
    <row r="150">
      <c r="A150" s="61"/>
      <c r="B150" s="67"/>
      <c r="C150" s="68"/>
      <c r="D150" s="69"/>
      <c r="E150" s="58"/>
      <c r="F150" s="69"/>
      <c r="G150" s="70"/>
      <c r="H150" s="71"/>
    </row>
    <row r="151">
      <c r="A151" s="61"/>
      <c r="B151" s="67"/>
      <c r="C151" s="68"/>
      <c r="D151" s="69"/>
      <c r="E151" s="58"/>
      <c r="F151" s="69"/>
      <c r="G151" s="70"/>
      <c r="H151" s="71"/>
    </row>
    <row r="152">
      <c r="A152" s="61"/>
      <c r="B152" s="67"/>
      <c r="C152" s="68"/>
      <c r="D152" s="69"/>
      <c r="E152" s="58"/>
      <c r="F152" s="69"/>
      <c r="G152" s="70"/>
      <c r="H152" s="71"/>
    </row>
    <row r="153">
      <c r="A153" s="61"/>
      <c r="B153" s="67"/>
      <c r="C153" s="68"/>
      <c r="D153" s="69"/>
      <c r="E153" s="58"/>
      <c r="F153" s="69"/>
      <c r="G153" s="70"/>
      <c r="H153" s="71"/>
    </row>
    <row r="154">
      <c r="A154" s="61"/>
      <c r="B154" s="67"/>
      <c r="C154" s="68"/>
      <c r="D154" s="69"/>
      <c r="E154" s="58"/>
      <c r="F154" s="69"/>
      <c r="G154" s="70"/>
      <c r="H154" s="71"/>
    </row>
    <row r="155">
      <c r="A155" s="61"/>
      <c r="B155" s="67"/>
      <c r="C155" s="68"/>
      <c r="D155" s="69"/>
      <c r="E155" s="58"/>
      <c r="F155" s="69"/>
      <c r="G155" s="70"/>
      <c r="H155" s="71"/>
    </row>
    <row r="156">
      <c r="A156" s="61"/>
      <c r="B156" s="67"/>
      <c r="C156" s="68"/>
      <c r="D156" s="69"/>
      <c r="E156" s="58"/>
      <c r="F156" s="69"/>
      <c r="G156" s="70"/>
      <c r="H156" s="71"/>
    </row>
  </sheetData>
  <conditionalFormatting sqref="D14:D16">
    <cfRule type="cellIs" dxfId="0" priority="1" operator="between">
      <formula>0.001</formula>
      <formula>-0.001</formula>
    </cfRule>
  </conditionalFormatting>
  <conditionalFormatting sqref="D14:D16">
    <cfRule type="cellIs" dxfId="1" priority="2" operator="lessThan">
      <formula>0</formula>
    </cfRule>
  </conditionalFormatting>
  <dataValidations>
    <dataValidation type="list" allowBlank="1" showInputMessage="1" showErrorMessage="1" prompt="SKU harus sesuai dengan daftar di BisaSEO, jika belum ada silakan tambahkan terlebih dahulu" sqref="B3:B156">
      <formula1>BisaRekapBarangBackend!$D$2:$D156</formula1>
    </dataValidation>
    <dataValidation type="list" allowBlank="1" sqref="B2">
      <formula1>BisaSEO!$A$2:$A$187</formula1>
    </dataValidation>
    <dataValidation type="list" allowBlank="1" sqref="G3:G156">
      <formula1>BisaRekapBarangBackend!$A$2:$A156</formula1>
    </dataValidation>
    <dataValidation type="custom" allowBlank="1" showDropDown="1" showInputMessage="1" showErrorMessage="1" prompt="Format Tanggal : dd-MMM-yyyy dalam Bahasa Inggris, misal 01-May-2019" sqref="A2:A156">
      <formula1>OR(NOT(ISERROR(DATEVALUE(A2))), AND(ISNUMBER(A2), LEFT(CELL("format", A2))="D"))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5"/>
    <col customWidth="1" min="2" max="2" width="11.5"/>
    <col customWidth="1" min="3" max="3" width="7.63"/>
    <col customWidth="1" min="4" max="4" width="41.5"/>
    <col customWidth="1" min="5" max="5" width="10.63"/>
    <col customWidth="1" min="6" max="6" width="8.38"/>
    <col customWidth="1" min="7" max="7" width="9.5"/>
    <col customWidth="1" hidden="1" min="8" max="8" width="6.25"/>
    <col customWidth="1" min="9" max="9" width="5.13"/>
    <col customWidth="1" hidden="1" min="10" max="11" width="5.13"/>
    <col customWidth="1" hidden="1" min="12" max="12" width="5.25"/>
    <col customWidth="1" min="13" max="13" width="10.63"/>
    <col customWidth="1" min="14" max="14" width="9.5"/>
  </cols>
  <sheetData>
    <row r="1">
      <c r="A1" s="75"/>
      <c r="B1" s="75"/>
      <c r="C1" s="76"/>
      <c r="D1" s="77" t="b">
        <v>1</v>
      </c>
      <c r="E1" s="78" t="b">
        <v>0</v>
      </c>
      <c r="F1" s="79" t="b">
        <v>0</v>
      </c>
      <c r="G1" s="80" t="b">
        <v>0</v>
      </c>
      <c r="H1" s="81" t="b">
        <v>0</v>
      </c>
      <c r="I1" s="79" t="b">
        <v>0</v>
      </c>
      <c r="J1" s="79" t="b">
        <v>0</v>
      </c>
      <c r="K1" s="79" t="b">
        <v>0</v>
      </c>
      <c r="L1" s="82" t="b">
        <v>0</v>
      </c>
      <c r="M1" s="81" t="b">
        <v>0</v>
      </c>
      <c r="N1" s="79" t="b">
        <v>0</v>
      </c>
    </row>
    <row r="2">
      <c r="A2" s="75" t="str">
        <f t="array" ref="A2:C1746">{BisaRekapBarangBackend!A1:C1;SORT(IF(BisaRekapBarangBackend!B2:B140&lt;1,,BisaRekapBarangBackend!A2:C140),1,TRUE)}</f>
        <v>Alamat Penerima</v>
      </c>
      <c r="B2" s="75" t="s">
        <v>417</v>
      </c>
      <c r="C2" s="76" t="s">
        <v>418</v>
      </c>
      <c r="D2" s="83" t="str">
        <f t="array" ref="D2:O1746">{BisaRekapBarangBackend!D1:O1;
SORT(IF(
(BisaRekapBarangBackend!D2:D140="ITBISA-KODE-UNIK")+(BisaRekapBarangBackend!H2:H140=0),,BisaRekapBarangBackend!D2:O140),
IF(D1=TRUE,1,
IF(E1=TRUE,2,
IF(F1=TRUE,3,
IF(G1=TRUE,4,
IF(H1=TRUE,5,
IF(I1=TRUE,6,
IF(J1=TRUE,7,
IF(K1=TRUE,8,
IF(L1=TRUE,9,
IF(M1=TRUE,10,
IF(N1=TRUE,11,
IF(#REF!=TRUE,12,1)))))))))))),
IF(D1=TRUE,TRUE,
IF(E1=TRUE,TRUE,
IF(F1=TRUE,TRUE,
IF(G1=TRUE,FALSE,
IF(H1=TRUE,FALSE,
IF(I1=TRUE,FALSE,
IF(J1=TRUE,FALSE,
IF(K1=TRUE,FALSE,
IF(L1=TRUE,FALSE,
IF(M1=TRUE,FALSE,
IF(N1=TRUE,FALSE,
IF(#REF!=TRUE,FALSE)))))))))))),
1,TRUE)}</f>
        <v>SKU</v>
      </c>
      <c r="E2" s="84" t="s">
        <v>419</v>
      </c>
      <c r="F2" s="79" t="s">
        <v>420</v>
      </c>
      <c r="G2" s="80" t="s">
        <v>421</v>
      </c>
      <c r="H2" s="81" t="s">
        <v>422</v>
      </c>
      <c r="I2" s="79" t="s">
        <v>423</v>
      </c>
      <c r="J2" s="79" t="s">
        <v>424</v>
      </c>
      <c r="K2" s="79" t="s">
        <v>425</v>
      </c>
      <c r="L2" s="82" t="s">
        <v>426</v>
      </c>
      <c r="M2" s="85" t="s">
        <v>312</v>
      </c>
      <c r="N2" s="86" t="s">
        <v>32</v>
      </c>
    </row>
    <row r="3">
      <c r="A3" s="87" t="s">
        <v>32</v>
      </c>
      <c r="B3" s="37">
        <v>1.00503E8</v>
      </c>
      <c r="C3" s="38">
        <v>5600.300902708124</v>
      </c>
      <c r="D3" s="88" t="s">
        <v>221</v>
      </c>
      <c r="E3" s="89">
        <v>46197.0</v>
      </c>
      <c r="F3" s="72">
        <v>675.92</v>
      </c>
      <c r="G3" s="90">
        <v>2867252.6399999997</v>
      </c>
      <c r="H3" s="91">
        <v>4242.0</v>
      </c>
      <c r="I3" s="92">
        <v>2121.0</v>
      </c>
      <c r="J3" s="92">
        <v>1414.0</v>
      </c>
      <c r="K3" s="92">
        <v>1696.0</v>
      </c>
      <c r="L3" s="90">
        <v>848.0</v>
      </c>
      <c r="M3" s="93"/>
      <c r="N3" s="94">
        <v>4242.0</v>
      </c>
    </row>
    <row r="4">
      <c r="A4" s="87"/>
      <c r="B4" s="37"/>
      <c r="C4" s="38"/>
      <c r="D4" s="95" t="s">
        <v>58</v>
      </c>
      <c r="E4" s="89">
        <v>46197.0</v>
      </c>
      <c r="F4" s="72">
        <v>2000.0</v>
      </c>
      <c r="G4" s="90">
        <v>4016000.0</v>
      </c>
      <c r="H4" s="91">
        <v>2008.0</v>
      </c>
      <c r="I4" s="92">
        <v>1004.0</v>
      </c>
      <c r="J4" s="92">
        <v>669.0</v>
      </c>
      <c r="K4" s="92">
        <v>803.0</v>
      </c>
      <c r="L4" s="90">
        <v>401.0</v>
      </c>
      <c r="M4" s="93"/>
      <c r="N4" s="94">
        <v>2008.0</v>
      </c>
    </row>
    <row r="5">
      <c r="A5" s="87"/>
      <c r="B5" s="37"/>
      <c r="C5" s="38"/>
      <c r="D5" s="95" t="s">
        <v>180</v>
      </c>
      <c r="E5" s="89">
        <v>46193.0</v>
      </c>
      <c r="F5" s="72">
        <v>3611.73</v>
      </c>
      <c r="G5" s="90">
        <v>2235660.87</v>
      </c>
      <c r="H5" s="91">
        <v>619.0</v>
      </c>
      <c r="I5" s="92">
        <v>309.0</v>
      </c>
      <c r="J5" s="92">
        <v>206.0</v>
      </c>
      <c r="K5" s="92">
        <v>247.0</v>
      </c>
      <c r="L5" s="90">
        <v>123.0</v>
      </c>
      <c r="M5" s="93"/>
      <c r="N5" s="94">
        <v>619.0</v>
      </c>
    </row>
    <row r="6">
      <c r="A6" s="87"/>
      <c r="B6" s="37"/>
      <c r="C6" s="38"/>
      <c r="D6" s="95" t="s">
        <v>44</v>
      </c>
      <c r="E6" s="89">
        <v>46196.0</v>
      </c>
      <c r="F6" s="72">
        <v>731.0</v>
      </c>
      <c r="G6" s="90">
        <v>3655.0</v>
      </c>
      <c r="H6" s="91">
        <v>5.0</v>
      </c>
      <c r="I6" s="92">
        <v>2.0</v>
      </c>
      <c r="J6" s="92">
        <v>1.0</v>
      </c>
      <c r="K6" s="92">
        <v>2.0</v>
      </c>
      <c r="L6" s="90">
        <v>1.0</v>
      </c>
      <c r="M6" s="93"/>
      <c r="N6" s="94">
        <v>5.0</v>
      </c>
    </row>
    <row r="7">
      <c r="A7" s="87"/>
      <c r="B7" s="37"/>
      <c r="C7" s="38"/>
      <c r="D7" s="95" t="s">
        <v>49</v>
      </c>
      <c r="E7" s="89">
        <v>46176.0</v>
      </c>
      <c r="F7" s="72">
        <v>2756.0</v>
      </c>
      <c r="G7" s="90">
        <v>55120.0</v>
      </c>
      <c r="H7" s="91">
        <v>20.0</v>
      </c>
      <c r="I7" s="92">
        <v>10.0</v>
      </c>
      <c r="J7" s="92">
        <v>6.0</v>
      </c>
      <c r="K7" s="92">
        <v>8.0</v>
      </c>
      <c r="L7" s="90">
        <v>4.0</v>
      </c>
      <c r="M7" s="93"/>
      <c r="N7" s="94">
        <v>20.0</v>
      </c>
    </row>
    <row r="8">
      <c r="A8" s="87"/>
      <c r="B8" s="37"/>
      <c r="C8" s="38"/>
      <c r="D8" s="95" t="s">
        <v>50</v>
      </c>
      <c r="E8" s="89">
        <v>46179.0</v>
      </c>
      <c r="F8" s="72">
        <v>6462.2938711551105</v>
      </c>
      <c r="G8" s="90">
        <v>38773.76322693066</v>
      </c>
      <c r="H8" s="91">
        <v>6.0</v>
      </c>
      <c r="I8" s="92">
        <v>3.0</v>
      </c>
      <c r="J8" s="92">
        <v>2.0</v>
      </c>
      <c r="K8" s="92">
        <v>2.0</v>
      </c>
      <c r="L8" s="90">
        <v>1.0</v>
      </c>
      <c r="M8" s="93"/>
      <c r="N8" s="94">
        <v>6.0</v>
      </c>
    </row>
    <row r="9">
      <c r="A9" s="87"/>
      <c r="B9" s="37"/>
      <c r="C9" s="38"/>
      <c r="D9" s="95" t="s">
        <v>173</v>
      </c>
      <c r="E9" s="89">
        <v>46192.0</v>
      </c>
      <c r="F9" s="72">
        <v>11210.9375</v>
      </c>
      <c r="G9" s="90">
        <v>1244414.0625</v>
      </c>
      <c r="H9" s="91">
        <v>111.0</v>
      </c>
      <c r="I9" s="92">
        <v>55.0</v>
      </c>
      <c r="J9" s="92">
        <v>37.0</v>
      </c>
      <c r="K9" s="92">
        <v>44.0</v>
      </c>
      <c r="L9" s="90">
        <v>22.0</v>
      </c>
      <c r="M9" s="93"/>
      <c r="N9" s="94">
        <v>111.0</v>
      </c>
    </row>
    <row r="10">
      <c r="A10" s="87"/>
      <c r="B10" s="37"/>
      <c r="C10" s="38"/>
      <c r="D10" s="95" t="s">
        <v>147</v>
      </c>
      <c r="E10" s="89">
        <v>46198.0</v>
      </c>
      <c r="F10" s="72">
        <v>3987.5</v>
      </c>
      <c r="G10" s="90">
        <v>1375687.5</v>
      </c>
      <c r="H10" s="91">
        <v>345.0</v>
      </c>
      <c r="I10" s="92">
        <v>172.0</v>
      </c>
      <c r="J10" s="92">
        <v>115.0</v>
      </c>
      <c r="K10" s="92">
        <v>138.0</v>
      </c>
      <c r="L10" s="90">
        <v>69.0</v>
      </c>
      <c r="M10" s="93"/>
      <c r="N10" s="94">
        <v>345.0</v>
      </c>
    </row>
    <row r="11">
      <c r="A11" s="87"/>
      <c r="B11" s="37"/>
      <c r="C11" s="38"/>
      <c r="D11" s="95" t="s">
        <v>293</v>
      </c>
      <c r="E11" s="89">
        <v>46198.0</v>
      </c>
      <c r="F11" s="72">
        <v>3117.1666666666656</v>
      </c>
      <c r="G11" s="90">
        <v>1362201.8333333328</v>
      </c>
      <c r="H11" s="91">
        <v>437.0</v>
      </c>
      <c r="I11" s="92">
        <v>218.0</v>
      </c>
      <c r="J11" s="92">
        <v>145.0</v>
      </c>
      <c r="K11" s="92">
        <v>174.0</v>
      </c>
      <c r="L11" s="90">
        <v>87.0</v>
      </c>
      <c r="M11" s="93"/>
      <c r="N11" s="94">
        <v>437.0</v>
      </c>
    </row>
    <row r="12">
      <c r="A12" s="87"/>
      <c r="B12" s="37"/>
      <c r="C12" s="38"/>
      <c r="D12" s="95" t="s">
        <v>67</v>
      </c>
      <c r="E12" s="89"/>
      <c r="F12" s="72">
        <v>5166.67</v>
      </c>
      <c r="G12" s="90">
        <v>5166.67</v>
      </c>
      <c r="H12" s="91">
        <v>1.0</v>
      </c>
      <c r="I12" s="92">
        <v>0.0</v>
      </c>
      <c r="J12" s="92">
        <v>0.0</v>
      </c>
      <c r="K12" s="92">
        <v>0.0</v>
      </c>
      <c r="L12" s="90">
        <v>0.0</v>
      </c>
      <c r="M12" s="93"/>
      <c r="N12" s="94">
        <v>1.0</v>
      </c>
    </row>
    <row r="13">
      <c r="A13" s="87"/>
      <c r="B13" s="37"/>
      <c r="C13" s="38"/>
      <c r="D13" s="95" t="s">
        <v>244</v>
      </c>
      <c r="E13" s="89">
        <v>46196.0</v>
      </c>
      <c r="F13" s="72">
        <v>37978.26</v>
      </c>
      <c r="G13" s="90">
        <v>8469151.98</v>
      </c>
      <c r="H13" s="91">
        <v>223.0</v>
      </c>
      <c r="I13" s="92">
        <v>111.0</v>
      </c>
      <c r="J13" s="92">
        <v>74.0</v>
      </c>
      <c r="K13" s="92">
        <v>89.0</v>
      </c>
      <c r="L13" s="90">
        <v>44.0</v>
      </c>
      <c r="M13" s="93"/>
      <c r="N13" s="94">
        <v>223.0</v>
      </c>
    </row>
    <row r="14">
      <c r="A14" s="87"/>
      <c r="B14" s="37"/>
      <c r="C14" s="38"/>
      <c r="D14" s="95" t="s">
        <v>119</v>
      </c>
      <c r="E14" s="89">
        <v>46196.0</v>
      </c>
      <c r="F14" s="72">
        <v>21771.151515151516</v>
      </c>
      <c r="G14" s="90">
        <v>4288916.848484849</v>
      </c>
      <c r="H14" s="91">
        <v>197.0</v>
      </c>
      <c r="I14" s="92">
        <v>98.0</v>
      </c>
      <c r="J14" s="92">
        <v>65.0</v>
      </c>
      <c r="K14" s="92">
        <v>78.0</v>
      </c>
      <c r="L14" s="90">
        <v>39.0</v>
      </c>
      <c r="M14" s="93"/>
      <c r="N14" s="94">
        <v>197.0</v>
      </c>
    </row>
    <row r="15">
      <c r="A15" s="87"/>
      <c r="B15" s="37"/>
      <c r="C15" s="38"/>
      <c r="D15" s="95" t="s">
        <v>309</v>
      </c>
      <c r="E15" s="89">
        <v>46134.0</v>
      </c>
      <c r="F15" s="72"/>
      <c r="G15" s="90">
        <v>0.0</v>
      </c>
      <c r="H15" s="91">
        <v>12.0</v>
      </c>
      <c r="I15" s="92">
        <v>6.0</v>
      </c>
      <c r="J15" s="92">
        <v>4.0</v>
      </c>
      <c r="K15" s="92">
        <v>4.0</v>
      </c>
      <c r="L15" s="90">
        <v>2.0</v>
      </c>
      <c r="M15" s="93"/>
      <c r="N15" s="94">
        <v>12.0</v>
      </c>
    </row>
    <row r="16">
      <c r="A16" s="87"/>
      <c r="B16" s="37"/>
      <c r="C16" s="38"/>
      <c r="D16" s="95" t="s">
        <v>171</v>
      </c>
      <c r="E16" s="89">
        <v>46198.0</v>
      </c>
      <c r="F16" s="72">
        <v>1250.5137864049648</v>
      </c>
      <c r="G16" s="90">
        <v>3372635.68193419</v>
      </c>
      <c r="H16" s="91">
        <v>2697.0</v>
      </c>
      <c r="I16" s="92">
        <v>1348.0</v>
      </c>
      <c r="J16" s="92">
        <v>899.0</v>
      </c>
      <c r="K16" s="92">
        <v>1078.0</v>
      </c>
      <c r="L16" s="90">
        <v>539.0</v>
      </c>
      <c r="M16" s="93"/>
      <c r="N16" s="94">
        <v>2697.0</v>
      </c>
    </row>
    <row r="17">
      <c r="A17" s="87"/>
      <c r="B17" s="37"/>
      <c r="C17" s="38"/>
      <c r="D17" s="95" t="s">
        <v>251</v>
      </c>
      <c r="E17" s="89">
        <v>46077.0</v>
      </c>
      <c r="F17" s="72">
        <v>12783.5</v>
      </c>
      <c r="G17" s="90">
        <v>485773.0</v>
      </c>
      <c r="H17" s="91">
        <v>38.0</v>
      </c>
      <c r="I17" s="92">
        <v>19.0</v>
      </c>
      <c r="J17" s="92">
        <v>12.0</v>
      </c>
      <c r="K17" s="92">
        <v>15.0</v>
      </c>
      <c r="L17" s="90">
        <v>7.0</v>
      </c>
      <c r="M17" s="93"/>
      <c r="N17" s="94">
        <v>38.0</v>
      </c>
    </row>
    <row r="18">
      <c r="A18" s="87"/>
      <c r="B18" s="37"/>
      <c r="C18" s="38"/>
      <c r="D18" s="95" t="s">
        <v>207</v>
      </c>
      <c r="E18" s="89">
        <v>46198.0</v>
      </c>
      <c r="F18" s="72">
        <v>8461.03</v>
      </c>
      <c r="G18" s="90">
        <v>126915.45000000001</v>
      </c>
      <c r="H18" s="91">
        <v>15.0</v>
      </c>
      <c r="I18" s="92">
        <v>7.0</v>
      </c>
      <c r="J18" s="92">
        <v>5.0</v>
      </c>
      <c r="K18" s="92">
        <v>6.0</v>
      </c>
      <c r="L18" s="90">
        <v>3.0</v>
      </c>
      <c r="M18" s="93"/>
      <c r="N18" s="94">
        <v>15.0</v>
      </c>
    </row>
    <row r="19">
      <c r="A19" s="87"/>
      <c r="B19" s="37"/>
      <c r="C19" s="38"/>
      <c r="D19" s="95" t="s">
        <v>174</v>
      </c>
      <c r="E19" s="89">
        <v>46197.0</v>
      </c>
      <c r="F19" s="72">
        <v>7240.287112137395</v>
      </c>
      <c r="G19" s="90">
        <v>202728.03913984704</v>
      </c>
      <c r="H19" s="91">
        <v>28.0</v>
      </c>
      <c r="I19" s="92">
        <v>14.0</v>
      </c>
      <c r="J19" s="92">
        <v>9.0</v>
      </c>
      <c r="K19" s="92">
        <v>11.0</v>
      </c>
      <c r="L19" s="90">
        <v>5.0</v>
      </c>
      <c r="M19" s="93"/>
      <c r="N19" s="94">
        <v>28.0</v>
      </c>
    </row>
    <row r="20">
      <c r="A20" s="87"/>
      <c r="B20" s="37"/>
      <c r="C20" s="38"/>
      <c r="D20" s="95" t="s">
        <v>393</v>
      </c>
      <c r="E20" s="89">
        <v>46185.0</v>
      </c>
      <c r="F20" s="72">
        <v>78.56140654205608</v>
      </c>
      <c r="G20" s="90">
        <v>154765.97088785048</v>
      </c>
      <c r="H20" s="91">
        <v>1970.0</v>
      </c>
      <c r="I20" s="92">
        <v>985.0</v>
      </c>
      <c r="J20" s="92">
        <v>656.0</v>
      </c>
      <c r="K20" s="92">
        <v>788.0</v>
      </c>
      <c r="L20" s="90">
        <v>394.0</v>
      </c>
      <c r="M20" s="93"/>
      <c r="N20" s="94">
        <v>1970.0</v>
      </c>
    </row>
    <row r="21">
      <c r="A21" s="87"/>
      <c r="B21" s="37"/>
      <c r="C21" s="38"/>
      <c r="D21" s="95" t="s">
        <v>108</v>
      </c>
      <c r="E21" s="89">
        <v>46198.0</v>
      </c>
      <c r="F21" s="72">
        <v>5806.326923076924</v>
      </c>
      <c r="G21" s="90">
        <v>168383.48076923078</v>
      </c>
      <c r="H21" s="91">
        <v>29.0</v>
      </c>
      <c r="I21" s="92">
        <v>14.0</v>
      </c>
      <c r="J21" s="92">
        <v>9.0</v>
      </c>
      <c r="K21" s="92">
        <v>11.0</v>
      </c>
      <c r="L21" s="90">
        <v>5.0</v>
      </c>
      <c r="M21" s="93"/>
      <c r="N21" s="94">
        <v>29.0</v>
      </c>
    </row>
    <row r="22">
      <c r="A22" s="87"/>
      <c r="B22" s="37"/>
      <c r="C22" s="38"/>
      <c r="D22" s="95" t="s">
        <v>319</v>
      </c>
      <c r="E22" s="89">
        <v>46195.0</v>
      </c>
      <c r="F22" s="72">
        <v>1425.7829273765321</v>
      </c>
      <c r="G22" s="90">
        <v>4030688.335693456</v>
      </c>
      <c r="H22" s="91">
        <v>2827.0</v>
      </c>
      <c r="I22" s="92">
        <v>1413.0</v>
      </c>
      <c r="J22" s="92">
        <v>942.0</v>
      </c>
      <c r="K22" s="92">
        <v>1130.0</v>
      </c>
      <c r="L22" s="90">
        <v>565.0</v>
      </c>
      <c r="M22" s="93"/>
      <c r="N22" s="94">
        <v>2827.0</v>
      </c>
    </row>
    <row r="23">
      <c r="A23" s="87"/>
      <c r="B23" s="37"/>
      <c r="C23" s="38"/>
      <c r="D23" s="95" t="s">
        <v>225</v>
      </c>
      <c r="E23" s="89">
        <v>46185.0</v>
      </c>
      <c r="F23" s="72">
        <v>768.2427568969982</v>
      </c>
      <c r="G23" s="90">
        <v>768.2427568969982</v>
      </c>
      <c r="H23" s="91">
        <v>1.0</v>
      </c>
      <c r="I23" s="92">
        <v>0.0</v>
      </c>
      <c r="J23" s="92">
        <v>0.0</v>
      </c>
      <c r="K23" s="92">
        <v>0.0</v>
      </c>
      <c r="L23" s="90">
        <v>0.0</v>
      </c>
      <c r="M23" s="93"/>
      <c r="N23" s="94">
        <v>1.0</v>
      </c>
    </row>
    <row r="24">
      <c r="A24" s="87"/>
      <c r="B24" s="37"/>
      <c r="C24" s="38"/>
      <c r="D24" s="95" t="s">
        <v>183</v>
      </c>
      <c r="E24" s="89">
        <v>46197.0</v>
      </c>
      <c r="F24" s="72">
        <v>27318.459999999995</v>
      </c>
      <c r="G24" s="90">
        <v>4125087.4599999995</v>
      </c>
      <c r="H24" s="91">
        <v>151.0</v>
      </c>
      <c r="I24" s="92">
        <v>75.0</v>
      </c>
      <c r="J24" s="92">
        <v>50.0</v>
      </c>
      <c r="K24" s="92">
        <v>60.0</v>
      </c>
      <c r="L24" s="90">
        <v>30.0</v>
      </c>
      <c r="M24" s="93"/>
      <c r="N24" s="94">
        <v>151.0</v>
      </c>
    </row>
    <row r="25">
      <c r="A25" s="87"/>
      <c r="B25" s="37"/>
      <c r="C25" s="38"/>
      <c r="D25" s="95" t="s">
        <v>228</v>
      </c>
      <c r="E25" s="89">
        <v>46195.0</v>
      </c>
      <c r="F25" s="72">
        <v>684.887</v>
      </c>
      <c r="G25" s="90">
        <v>4794.209</v>
      </c>
      <c r="H25" s="91">
        <v>7.0</v>
      </c>
      <c r="I25" s="92">
        <v>3.0</v>
      </c>
      <c r="J25" s="92">
        <v>2.0</v>
      </c>
      <c r="K25" s="92">
        <v>2.0</v>
      </c>
      <c r="L25" s="90">
        <v>1.0</v>
      </c>
      <c r="M25" s="93"/>
      <c r="N25" s="94">
        <v>7.0</v>
      </c>
    </row>
    <row r="26">
      <c r="A26" s="87"/>
      <c r="B26" s="37"/>
      <c r="C26" s="38"/>
      <c r="D26" s="95" t="s">
        <v>231</v>
      </c>
      <c r="E26" s="89">
        <v>46198.0</v>
      </c>
      <c r="F26" s="72">
        <v>779.54</v>
      </c>
      <c r="G26" s="90">
        <v>6587113.0</v>
      </c>
      <c r="H26" s="91">
        <v>8450.0</v>
      </c>
      <c r="I26" s="92">
        <v>4225.0</v>
      </c>
      <c r="J26" s="92">
        <v>2816.0</v>
      </c>
      <c r="K26" s="92">
        <v>3380.0</v>
      </c>
      <c r="L26" s="90">
        <v>1690.0</v>
      </c>
      <c r="M26" s="93"/>
      <c r="N26" s="94">
        <v>8450.0</v>
      </c>
    </row>
    <row r="27">
      <c r="A27" s="87"/>
      <c r="B27" s="37"/>
      <c r="C27" s="38"/>
      <c r="D27" s="95" t="s">
        <v>290</v>
      </c>
      <c r="E27" s="89">
        <v>46195.0</v>
      </c>
      <c r="F27" s="72">
        <v>747.9090909090909</v>
      </c>
      <c r="G27" s="90">
        <v>3343153.6363636362</v>
      </c>
      <c r="H27" s="91">
        <v>4470.0</v>
      </c>
      <c r="I27" s="92">
        <v>2235.0</v>
      </c>
      <c r="J27" s="92">
        <v>1490.0</v>
      </c>
      <c r="K27" s="92">
        <v>1788.0</v>
      </c>
      <c r="L27" s="90">
        <v>894.0</v>
      </c>
      <c r="M27" s="93"/>
      <c r="N27" s="94">
        <v>4470.0</v>
      </c>
    </row>
    <row r="28">
      <c r="A28" s="87"/>
      <c r="B28" s="37"/>
      <c r="C28" s="38"/>
      <c r="D28" s="95" t="s">
        <v>209</v>
      </c>
      <c r="E28" s="89">
        <v>46192.0</v>
      </c>
      <c r="F28" s="72">
        <v>552.99</v>
      </c>
      <c r="G28" s="90">
        <v>1373074.17</v>
      </c>
      <c r="H28" s="91">
        <v>2483.0</v>
      </c>
      <c r="I28" s="92">
        <v>1241.0</v>
      </c>
      <c r="J28" s="92">
        <v>827.0</v>
      </c>
      <c r="K28" s="92">
        <v>993.0</v>
      </c>
      <c r="L28" s="90">
        <v>496.0</v>
      </c>
      <c r="M28" s="93"/>
      <c r="N28" s="94">
        <v>2483.0</v>
      </c>
    </row>
    <row r="29">
      <c r="A29" s="87"/>
      <c r="B29" s="37"/>
      <c r="C29" s="38"/>
      <c r="D29" s="95" t="s">
        <v>76</v>
      </c>
      <c r="E29" s="89">
        <v>46195.0</v>
      </c>
      <c r="F29" s="72">
        <v>1140.72</v>
      </c>
      <c r="G29" s="90">
        <v>1140.72</v>
      </c>
      <c r="H29" s="91">
        <v>1.0</v>
      </c>
      <c r="I29" s="92">
        <v>0.0</v>
      </c>
      <c r="J29" s="92">
        <v>0.0</v>
      </c>
      <c r="K29" s="92">
        <v>0.0</v>
      </c>
      <c r="L29" s="90">
        <v>0.0</v>
      </c>
      <c r="M29" s="93"/>
      <c r="N29" s="94">
        <v>1.0</v>
      </c>
    </row>
    <row r="30">
      <c r="A30" s="87"/>
      <c r="B30" s="37"/>
      <c r="C30" s="38"/>
      <c r="D30" s="95" t="s">
        <v>79</v>
      </c>
      <c r="E30" s="89">
        <v>46197.0</v>
      </c>
      <c r="F30" s="72">
        <v>1057.0</v>
      </c>
      <c r="G30" s="90">
        <v>1057.0</v>
      </c>
      <c r="H30" s="91">
        <v>1.0</v>
      </c>
      <c r="I30" s="92">
        <v>0.0</v>
      </c>
      <c r="J30" s="92">
        <v>0.0</v>
      </c>
      <c r="K30" s="92">
        <v>0.0</v>
      </c>
      <c r="L30" s="90">
        <v>0.0</v>
      </c>
      <c r="M30" s="93"/>
      <c r="N30" s="94">
        <v>1.0</v>
      </c>
    </row>
    <row r="31">
      <c r="A31" s="87"/>
      <c r="B31" s="37"/>
      <c r="C31" s="38"/>
      <c r="D31" s="95" t="s">
        <v>31</v>
      </c>
      <c r="E31" s="89"/>
      <c r="F31" s="72">
        <v>1291.1</v>
      </c>
      <c r="G31" s="90">
        <v>1291.1</v>
      </c>
      <c r="H31" s="91">
        <v>1.0</v>
      </c>
      <c r="I31" s="92">
        <v>0.0</v>
      </c>
      <c r="J31" s="92">
        <v>0.0</v>
      </c>
      <c r="K31" s="92">
        <v>0.0</v>
      </c>
      <c r="L31" s="90">
        <v>0.0</v>
      </c>
      <c r="M31" s="93"/>
      <c r="N31" s="94">
        <v>1.0</v>
      </c>
    </row>
    <row r="32">
      <c r="A32" s="87"/>
      <c r="B32" s="37"/>
      <c r="C32" s="38"/>
      <c r="D32" s="95" t="s">
        <v>177</v>
      </c>
      <c r="E32" s="89">
        <v>46197.0</v>
      </c>
      <c r="F32" s="72">
        <v>476.8292682926829</v>
      </c>
      <c r="G32" s="90">
        <v>185486.58536585365</v>
      </c>
      <c r="H32" s="91">
        <v>389.0</v>
      </c>
      <c r="I32" s="92">
        <v>194.0</v>
      </c>
      <c r="J32" s="92">
        <v>129.0</v>
      </c>
      <c r="K32" s="92">
        <v>155.0</v>
      </c>
      <c r="L32" s="90">
        <v>77.0</v>
      </c>
      <c r="M32" s="93"/>
      <c r="N32" s="94">
        <v>389.0</v>
      </c>
    </row>
    <row r="33">
      <c r="A33" s="87"/>
      <c r="B33" s="37"/>
      <c r="C33" s="38"/>
      <c r="D33" s="95" t="s">
        <v>294</v>
      </c>
      <c r="E33" s="89">
        <v>46198.0</v>
      </c>
      <c r="F33" s="72">
        <v>340.06499999999994</v>
      </c>
      <c r="G33" s="90">
        <v>1305509.5349999997</v>
      </c>
      <c r="H33" s="91">
        <v>3839.0</v>
      </c>
      <c r="I33" s="92">
        <v>1919.0</v>
      </c>
      <c r="J33" s="92">
        <v>1279.0</v>
      </c>
      <c r="K33" s="92">
        <v>1535.0</v>
      </c>
      <c r="L33" s="90">
        <v>767.0</v>
      </c>
      <c r="M33" s="93"/>
      <c r="N33" s="94">
        <v>3839.0</v>
      </c>
    </row>
    <row r="34">
      <c r="A34" s="87"/>
      <c r="B34" s="37"/>
      <c r="C34" s="38"/>
      <c r="D34" s="95" t="s">
        <v>47</v>
      </c>
      <c r="E34" s="89">
        <v>46198.0</v>
      </c>
      <c r="F34" s="72">
        <v>572.0</v>
      </c>
      <c r="G34" s="90">
        <v>787644.0</v>
      </c>
      <c r="H34" s="91">
        <v>1377.0</v>
      </c>
      <c r="I34" s="92">
        <v>688.0</v>
      </c>
      <c r="J34" s="92">
        <v>459.0</v>
      </c>
      <c r="K34" s="92">
        <v>550.0</v>
      </c>
      <c r="L34" s="90">
        <v>275.0</v>
      </c>
      <c r="M34" s="93"/>
      <c r="N34" s="94">
        <v>1377.0</v>
      </c>
    </row>
    <row r="35">
      <c r="A35" s="87"/>
      <c r="B35" s="37"/>
      <c r="C35" s="38"/>
      <c r="D35" s="95" t="s">
        <v>143</v>
      </c>
      <c r="E35" s="89">
        <v>46196.0</v>
      </c>
      <c r="F35" s="72">
        <v>855.5</v>
      </c>
      <c r="G35" s="90">
        <v>1255018.5</v>
      </c>
      <c r="H35" s="91">
        <v>1467.0</v>
      </c>
      <c r="I35" s="92">
        <v>733.0</v>
      </c>
      <c r="J35" s="92">
        <v>489.0</v>
      </c>
      <c r="K35" s="92">
        <v>586.0</v>
      </c>
      <c r="L35" s="90">
        <v>293.0</v>
      </c>
      <c r="M35" s="93"/>
      <c r="N35" s="94">
        <v>1467.0</v>
      </c>
    </row>
    <row r="36">
      <c r="A36" s="87"/>
      <c r="B36" s="37"/>
      <c r="C36" s="38"/>
      <c r="D36" s="95" t="s">
        <v>74</v>
      </c>
      <c r="E36" s="89">
        <v>46191.0</v>
      </c>
      <c r="F36" s="72">
        <v>1018.0</v>
      </c>
      <c r="G36" s="90">
        <v>1018.0</v>
      </c>
      <c r="H36" s="91">
        <v>1.0</v>
      </c>
      <c r="I36" s="92">
        <v>0.0</v>
      </c>
      <c r="J36" s="92">
        <v>0.0</v>
      </c>
      <c r="K36" s="92">
        <v>0.0</v>
      </c>
      <c r="L36" s="90">
        <v>0.0</v>
      </c>
      <c r="M36" s="93"/>
      <c r="N36" s="94">
        <v>1.0</v>
      </c>
    </row>
    <row r="37">
      <c r="A37" s="87"/>
      <c r="B37" s="37"/>
      <c r="C37" s="38"/>
      <c r="D37" s="95" t="s">
        <v>204</v>
      </c>
      <c r="E37" s="89">
        <v>46179.0</v>
      </c>
      <c r="F37" s="72">
        <v>369.9403803856343</v>
      </c>
      <c r="G37" s="90">
        <v>723603.3840343007</v>
      </c>
      <c r="H37" s="91">
        <v>1956.0</v>
      </c>
      <c r="I37" s="92">
        <v>978.0</v>
      </c>
      <c r="J37" s="92">
        <v>652.0</v>
      </c>
      <c r="K37" s="92">
        <v>782.0</v>
      </c>
      <c r="L37" s="90">
        <v>391.0</v>
      </c>
      <c r="M37" s="93"/>
      <c r="N37" s="94">
        <v>1956.0</v>
      </c>
    </row>
    <row r="38">
      <c r="A38" s="87"/>
      <c r="B38" s="37"/>
      <c r="C38" s="38"/>
      <c r="D38" s="95" t="s">
        <v>115</v>
      </c>
      <c r="E38" s="89">
        <v>46158.0</v>
      </c>
      <c r="F38" s="72">
        <v>585.4</v>
      </c>
      <c r="G38" s="90">
        <v>440220.8</v>
      </c>
      <c r="H38" s="91">
        <v>752.0</v>
      </c>
      <c r="I38" s="92">
        <v>376.0</v>
      </c>
      <c r="J38" s="92">
        <v>250.0</v>
      </c>
      <c r="K38" s="92">
        <v>300.0</v>
      </c>
      <c r="L38" s="90">
        <v>150.0</v>
      </c>
      <c r="M38" s="93"/>
      <c r="N38" s="94">
        <v>752.0</v>
      </c>
    </row>
    <row r="39">
      <c r="A39" s="87"/>
      <c r="B39" s="37"/>
      <c r="C39" s="38"/>
      <c r="D39" s="95" t="s">
        <v>237</v>
      </c>
      <c r="E39" s="89">
        <v>46198.0</v>
      </c>
      <c r="F39" s="72">
        <v>248.68686868686868</v>
      </c>
      <c r="G39" s="90">
        <v>438186.2626262626</v>
      </c>
      <c r="H39" s="91">
        <v>1762.0</v>
      </c>
      <c r="I39" s="92">
        <v>881.0</v>
      </c>
      <c r="J39" s="92">
        <v>587.0</v>
      </c>
      <c r="K39" s="92">
        <v>704.0</v>
      </c>
      <c r="L39" s="90">
        <v>352.0</v>
      </c>
      <c r="M39" s="93"/>
      <c r="N39" s="94">
        <v>1762.0</v>
      </c>
    </row>
    <row r="40">
      <c r="A40" s="87"/>
      <c r="B40" s="37"/>
      <c r="C40" s="38"/>
      <c r="D40" s="95" t="s">
        <v>150</v>
      </c>
      <c r="E40" s="89">
        <v>46196.0</v>
      </c>
      <c r="F40" s="72">
        <v>90.00550685996342</v>
      </c>
      <c r="G40" s="90">
        <v>500430.6181413966</v>
      </c>
      <c r="H40" s="91">
        <v>5560.0</v>
      </c>
      <c r="I40" s="92">
        <v>2780.0</v>
      </c>
      <c r="J40" s="92">
        <v>1853.0</v>
      </c>
      <c r="K40" s="92">
        <v>2224.0</v>
      </c>
      <c r="L40" s="90">
        <v>1112.0</v>
      </c>
      <c r="M40" s="93"/>
      <c r="N40" s="94">
        <v>5560.0</v>
      </c>
    </row>
    <row r="41">
      <c r="A41" s="87"/>
      <c r="B41" s="37"/>
      <c r="C41" s="38"/>
      <c r="D41" s="95" t="s">
        <v>132</v>
      </c>
      <c r="E41" s="89">
        <v>46196.0</v>
      </c>
      <c r="F41" s="72">
        <v>165.06</v>
      </c>
      <c r="G41" s="90">
        <v>1023372.0</v>
      </c>
      <c r="H41" s="91">
        <v>6200.0</v>
      </c>
      <c r="I41" s="92">
        <v>3100.0</v>
      </c>
      <c r="J41" s="92">
        <v>2066.0</v>
      </c>
      <c r="K41" s="92">
        <v>2480.0</v>
      </c>
      <c r="L41" s="90">
        <v>1240.0</v>
      </c>
      <c r="M41" s="93"/>
      <c r="N41" s="94">
        <v>6200.0</v>
      </c>
    </row>
    <row r="42">
      <c r="A42" s="87"/>
      <c r="B42" s="37"/>
      <c r="C42" s="38"/>
      <c r="D42" s="95" t="s">
        <v>124</v>
      </c>
      <c r="E42" s="89">
        <v>46197.0</v>
      </c>
      <c r="F42" s="72">
        <v>165.05</v>
      </c>
      <c r="G42" s="90">
        <v>1089330.0</v>
      </c>
      <c r="H42" s="91">
        <v>6600.0</v>
      </c>
      <c r="I42" s="92">
        <v>3300.0</v>
      </c>
      <c r="J42" s="92">
        <v>2200.0</v>
      </c>
      <c r="K42" s="92">
        <v>2640.0</v>
      </c>
      <c r="L42" s="90">
        <v>1320.0</v>
      </c>
      <c r="M42" s="93"/>
      <c r="N42" s="94">
        <v>6600.0</v>
      </c>
    </row>
    <row r="43">
      <c r="A43" s="87"/>
      <c r="B43" s="37"/>
      <c r="C43" s="38"/>
      <c r="D43" s="95" t="s">
        <v>187</v>
      </c>
      <c r="E43" s="89">
        <v>46196.0</v>
      </c>
      <c r="F43" s="72">
        <v>119.7</v>
      </c>
      <c r="G43" s="90">
        <v>545832.0</v>
      </c>
      <c r="H43" s="91">
        <v>4560.0</v>
      </c>
      <c r="I43" s="92">
        <v>2280.0</v>
      </c>
      <c r="J43" s="92">
        <v>1520.0</v>
      </c>
      <c r="K43" s="92">
        <v>1824.0</v>
      </c>
      <c r="L43" s="90">
        <v>912.0</v>
      </c>
      <c r="M43" s="93"/>
      <c r="N43" s="94">
        <v>4560.0</v>
      </c>
    </row>
    <row r="44">
      <c r="A44" s="87"/>
      <c r="B44" s="37"/>
      <c r="C44" s="38"/>
      <c r="D44" s="95" t="s">
        <v>127</v>
      </c>
      <c r="E44" s="89">
        <v>46197.0</v>
      </c>
      <c r="F44" s="72">
        <v>110.87764311211393</v>
      </c>
      <c r="G44" s="90">
        <v>385854.1980301565</v>
      </c>
      <c r="H44" s="91">
        <v>3480.0</v>
      </c>
      <c r="I44" s="92">
        <v>1740.0</v>
      </c>
      <c r="J44" s="92">
        <v>1160.0</v>
      </c>
      <c r="K44" s="92">
        <v>1392.0</v>
      </c>
      <c r="L44" s="90">
        <v>696.0</v>
      </c>
      <c r="M44" s="93"/>
      <c r="N44" s="94">
        <v>3480.0</v>
      </c>
    </row>
    <row r="45">
      <c r="A45" s="87"/>
      <c r="B45" s="37"/>
      <c r="C45" s="38"/>
      <c r="D45" s="95" t="s">
        <v>287</v>
      </c>
      <c r="E45" s="89">
        <v>46196.0</v>
      </c>
      <c r="F45" s="72">
        <v>187.38</v>
      </c>
      <c r="G45" s="90">
        <v>652082.4</v>
      </c>
      <c r="H45" s="91">
        <v>3480.0</v>
      </c>
      <c r="I45" s="92">
        <v>1740.0</v>
      </c>
      <c r="J45" s="92">
        <v>1160.0</v>
      </c>
      <c r="K45" s="92">
        <v>1392.0</v>
      </c>
      <c r="L45" s="90">
        <v>696.0</v>
      </c>
      <c r="M45" s="93"/>
      <c r="N45" s="94">
        <v>3480.0</v>
      </c>
    </row>
    <row r="46">
      <c r="A46" s="87"/>
      <c r="B46" s="37"/>
      <c r="C46" s="38"/>
      <c r="D46" s="95" t="s">
        <v>392</v>
      </c>
      <c r="E46" s="89">
        <v>46167.0</v>
      </c>
      <c r="F46" s="72">
        <v>101.13652336448597</v>
      </c>
      <c r="G46" s="90">
        <v>201261.68149532707</v>
      </c>
      <c r="H46" s="91">
        <v>1990.0</v>
      </c>
      <c r="I46" s="92">
        <v>995.0</v>
      </c>
      <c r="J46" s="92">
        <v>663.0</v>
      </c>
      <c r="K46" s="92">
        <v>796.0</v>
      </c>
      <c r="L46" s="90">
        <v>398.0</v>
      </c>
      <c r="M46" s="93"/>
      <c r="N46" s="94">
        <v>1990.0</v>
      </c>
    </row>
    <row r="47">
      <c r="A47" s="87"/>
      <c r="B47" s="37"/>
      <c r="C47" s="38"/>
      <c r="D47" s="95" t="s">
        <v>256</v>
      </c>
      <c r="E47" s="89">
        <v>46190.0</v>
      </c>
      <c r="F47" s="72">
        <v>662.9258064516129</v>
      </c>
      <c r="G47" s="90">
        <v>384496.96774193546</v>
      </c>
      <c r="H47" s="91">
        <v>580.0</v>
      </c>
      <c r="I47" s="92">
        <v>290.0</v>
      </c>
      <c r="J47" s="92">
        <v>193.0</v>
      </c>
      <c r="K47" s="92">
        <v>232.0</v>
      </c>
      <c r="L47" s="90">
        <v>116.0</v>
      </c>
      <c r="M47" s="93"/>
      <c r="N47" s="94">
        <v>580.0</v>
      </c>
    </row>
    <row r="48">
      <c r="A48" s="87"/>
      <c r="B48" s="37"/>
      <c r="C48" s="38"/>
      <c r="D48" s="95" t="s">
        <v>390</v>
      </c>
      <c r="E48" s="89"/>
      <c r="F48" s="72">
        <v>110.16657009345793</v>
      </c>
      <c r="G48" s="90">
        <v>220333.14018691587</v>
      </c>
      <c r="H48" s="91">
        <v>2000.0</v>
      </c>
      <c r="I48" s="92">
        <v>1000.0</v>
      </c>
      <c r="J48" s="92">
        <v>666.0</v>
      </c>
      <c r="K48" s="92">
        <v>800.0</v>
      </c>
      <c r="L48" s="90">
        <v>400.0</v>
      </c>
      <c r="M48" s="93"/>
      <c r="N48" s="94">
        <v>2000.0</v>
      </c>
    </row>
    <row r="49">
      <c r="A49" s="87"/>
      <c r="B49" s="37"/>
      <c r="C49" s="38"/>
      <c r="D49" s="95" t="s">
        <v>301</v>
      </c>
      <c r="E49" s="89">
        <v>46181.0</v>
      </c>
      <c r="F49" s="72">
        <v>9482.48</v>
      </c>
      <c r="G49" s="90">
        <v>246544.47999999998</v>
      </c>
      <c r="H49" s="91">
        <v>26.0</v>
      </c>
      <c r="I49" s="92">
        <v>13.0</v>
      </c>
      <c r="J49" s="92">
        <v>8.0</v>
      </c>
      <c r="K49" s="92">
        <v>10.0</v>
      </c>
      <c r="L49" s="90">
        <v>5.0</v>
      </c>
      <c r="M49" s="93"/>
      <c r="N49" s="94">
        <v>26.0</v>
      </c>
    </row>
    <row r="50">
      <c r="A50" s="87"/>
      <c r="B50" s="37"/>
      <c r="C50" s="38"/>
      <c r="D50" s="95" t="s">
        <v>134</v>
      </c>
      <c r="E50" s="89">
        <v>46181.0</v>
      </c>
      <c r="F50" s="72">
        <v>11611.0</v>
      </c>
      <c r="G50" s="90">
        <v>46444.0</v>
      </c>
      <c r="H50" s="91">
        <v>4.0</v>
      </c>
      <c r="I50" s="92">
        <v>2.0</v>
      </c>
      <c r="J50" s="92">
        <v>1.0</v>
      </c>
      <c r="K50" s="92">
        <v>1.0</v>
      </c>
      <c r="L50" s="90">
        <v>0.0</v>
      </c>
      <c r="M50" s="93"/>
      <c r="N50" s="94">
        <v>4.0</v>
      </c>
    </row>
    <row r="51">
      <c r="A51" s="87"/>
      <c r="B51" s="37"/>
      <c r="C51" s="38"/>
      <c r="D51" s="95" t="s">
        <v>297</v>
      </c>
      <c r="E51" s="89">
        <v>46192.0</v>
      </c>
      <c r="F51" s="72">
        <v>285.14</v>
      </c>
      <c r="G51" s="90">
        <v>20815.219999999998</v>
      </c>
      <c r="H51" s="91">
        <v>73.0</v>
      </c>
      <c r="I51" s="92">
        <v>36.0</v>
      </c>
      <c r="J51" s="92">
        <v>24.0</v>
      </c>
      <c r="K51" s="92">
        <v>29.0</v>
      </c>
      <c r="L51" s="90">
        <v>14.0</v>
      </c>
      <c r="M51" s="93"/>
      <c r="N51" s="94">
        <v>73.0</v>
      </c>
    </row>
    <row r="52">
      <c r="A52" s="87"/>
      <c r="B52" s="37"/>
      <c r="C52" s="38"/>
      <c r="D52" s="95" t="s">
        <v>55</v>
      </c>
      <c r="E52" s="89"/>
      <c r="F52" s="72">
        <v>36500.0</v>
      </c>
      <c r="G52" s="90">
        <v>182500.0</v>
      </c>
      <c r="H52" s="91">
        <v>5.0</v>
      </c>
      <c r="I52" s="92">
        <v>2.0</v>
      </c>
      <c r="J52" s="92">
        <v>1.0</v>
      </c>
      <c r="K52" s="92">
        <v>2.0</v>
      </c>
      <c r="L52" s="90">
        <v>1.0</v>
      </c>
      <c r="M52" s="93"/>
      <c r="N52" s="94">
        <v>5.0</v>
      </c>
    </row>
    <row r="53">
      <c r="A53" s="87"/>
      <c r="B53" s="37"/>
      <c r="C53" s="38"/>
      <c r="D53" s="95" t="s">
        <v>152</v>
      </c>
      <c r="E53" s="89">
        <v>46196.0</v>
      </c>
      <c r="F53" s="72">
        <v>35799.38</v>
      </c>
      <c r="G53" s="90">
        <v>2720752.88</v>
      </c>
      <c r="H53" s="91">
        <v>76.0</v>
      </c>
      <c r="I53" s="92">
        <v>38.0</v>
      </c>
      <c r="J53" s="92">
        <v>25.0</v>
      </c>
      <c r="K53" s="92">
        <v>30.0</v>
      </c>
      <c r="L53" s="90">
        <v>15.0</v>
      </c>
      <c r="M53" s="93"/>
      <c r="N53" s="94">
        <v>76.0</v>
      </c>
    </row>
    <row r="54">
      <c r="A54" s="87"/>
      <c r="B54" s="37"/>
      <c r="C54" s="38"/>
      <c r="D54" s="95" t="s">
        <v>272</v>
      </c>
      <c r="E54" s="89">
        <v>46177.0</v>
      </c>
      <c r="F54" s="72">
        <v>58.81999999999999</v>
      </c>
      <c r="G54" s="90">
        <v>293041.24</v>
      </c>
      <c r="H54" s="91">
        <v>4982.0</v>
      </c>
      <c r="I54" s="92">
        <v>2491.0</v>
      </c>
      <c r="J54" s="92">
        <v>1660.0</v>
      </c>
      <c r="K54" s="92">
        <v>1992.0</v>
      </c>
      <c r="L54" s="90">
        <v>996.0</v>
      </c>
      <c r="M54" s="93"/>
      <c r="N54" s="94">
        <v>4982.0</v>
      </c>
    </row>
    <row r="55">
      <c r="A55" s="87"/>
      <c r="B55" s="37"/>
      <c r="C55" s="38"/>
      <c r="D55" s="95" t="s">
        <v>253</v>
      </c>
      <c r="E55" s="89">
        <v>46196.0</v>
      </c>
      <c r="F55" s="72">
        <v>69.35074627923457</v>
      </c>
      <c r="G55" s="90">
        <v>680261.4702530119</v>
      </c>
      <c r="H55" s="91">
        <v>9809.0</v>
      </c>
      <c r="I55" s="92">
        <v>4904.0</v>
      </c>
      <c r="J55" s="92">
        <v>3269.0</v>
      </c>
      <c r="K55" s="92">
        <v>3923.0</v>
      </c>
      <c r="L55" s="90">
        <v>1961.0</v>
      </c>
      <c r="M55" s="93"/>
      <c r="N55" s="94">
        <v>9809.0</v>
      </c>
    </row>
    <row r="56">
      <c r="A56" s="87"/>
      <c r="B56" s="37"/>
      <c r="C56" s="38"/>
      <c r="D56" s="95" t="s">
        <v>274</v>
      </c>
      <c r="E56" s="89">
        <v>46196.0</v>
      </c>
      <c r="F56" s="72">
        <v>52.64</v>
      </c>
      <c r="G56" s="90">
        <v>214771.2</v>
      </c>
      <c r="H56" s="91">
        <v>4080.0</v>
      </c>
      <c r="I56" s="92">
        <v>2040.0</v>
      </c>
      <c r="J56" s="92">
        <v>1360.0</v>
      </c>
      <c r="K56" s="92">
        <v>1632.0</v>
      </c>
      <c r="L56" s="90">
        <v>816.0</v>
      </c>
      <c r="M56" s="93"/>
      <c r="N56" s="94">
        <v>4080.0</v>
      </c>
    </row>
    <row r="57">
      <c r="A57" s="87"/>
      <c r="B57" s="37"/>
      <c r="C57" s="38"/>
      <c r="D57" s="95" t="s">
        <v>141</v>
      </c>
      <c r="E57" s="89">
        <v>46188.0</v>
      </c>
      <c r="F57" s="72">
        <v>76.63</v>
      </c>
      <c r="G57" s="90">
        <v>132340.00999999998</v>
      </c>
      <c r="H57" s="91">
        <v>1727.0</v>
      </c>
      <c r="I57" s="92">
        <v>863.0</v>
      </c>
      <c r="J57" s="92">
        <v>575.0</v>
      </c>
      <c r="K57" s="92">
        <v>690.0</v>
      </c>
      <c r="L57" s="90">
        <v>345.0</v>
      </c>
      <c r="M57" s="93"/>
      <c r="N57" s="94">
        <v>1727.0</v>
      </c>
    </row>
    <row r="58">
      <c r="A58" s="87"/>
      <c r="B58" s="37"/>
      <c r="C58" s="38"/>
      <c r="D58" s="95" t="s">
        <v>102</v>
      </c>
      <c r="E58" s="89">
        <v>46196.0</v>
      </c>
      <c r="F58" s="72">
        <v>66.67</v>
      </c>
      <c r="G58" s="90">
        <v>24467.89</v>
      </c>
      <c r="H58" s="91">
        <v>367.0</v>
      </c>
      <c r="I58" s="92">
        <v>183.0</v>
      </c>
      <c r="J58" s="92">
        <v>122.0</v>
      </c>
      <c r="K58" s="92">
        <v>146.0</v>
      </c>
      <c r="L58" s="90">
        <v>73.0</v>
      </c>
      <c r="M58" s="93"/>
      <c r="N58" s="94">
        <v>367.0</v>
      </c>
    </row>
    <row r="59">
      <c r="A59" s="87"/>
      <c r="B59" s="37"/>
      <c r="C59" s="38"/>
      <c r="D59" s="95" t="s">
        <v>63</v>
      </c>
      <c r="E59" s="89">
        <v>46193.0</v>
      </c>
      <c r="F59" s="72">
        <v>23261.03</v>
      </c>
      <c r="G59" s="90">
        <v>23261.03</v>
      </c>
      <c r="H59" s="91">
        <v>1.0</v>
      </c>
      <c r="I59" s="92">
        <v>0.0</v>
      </c>
      <c r="J59" s="92">
        <v>0.0</v>
      </c>
      <c r="K59" s="92">
        <v>0.0</v>
      </c>
      <c r="L59" s="90">
        <v>0.0</v>
      </c>
      <c r="M59" s="93"/>
      <c r="N59" s="94">
        <v>1.0</v>
      </c>
    </row>
    <row r="60">
      <c r="A60" s="87"/>
      <c r="B60" s="37"/>
      <c r="C60" s="38"/>
      <c r="D60" s="95" t="s">
        <v>259</v>
      </c>
      <c r="E60" s="89">
        <v>46193.0</v>
      </c>
      <c r="F60" s="72">
        <v>106.37</v>
      </c>
      <c r="G60" s="90">
        <v>1042106.89</v>
      </c>
      <c r="H60" s="91">
        <v>9797.0</v>
      </c>
      <c r="I60" s="92">
        <v>4898.0</v>
      </c>
      <c r="J60" s="92">
        <v>3265.0</v>
      </c>
      <c r="K60" s="92">
        <v>3918.0</v>
      </c>
      <c r="L60" s="90">
        <v>1959.0</v>
      </c>
      <c r="M60" s="93"/>
      <c r="N60" s="94">
        <v>9797.0</v>
      </c>
    </row>
    <row r="61">
      <c r="A61" s="87"/>
      <c r="B61" s="37"/>
      <c r="C61" s="38"/>
      <c r="D61" s="95" t="s">
        <v>211</v>
      </c>
      <c r="E61" s="89">
        <v>46193.0</v>
      </c>
      <c r="F61" s="72">
        <v>106.34</v>
      </c>
      <c r="G61" s="90">
        <v>235117.74000000002</v>
      </c>
      <c r="H61" s="91">
        <v>2211.0</v>
      </c>
      <c r="I61" s="92">
        <v>1105.0</v>
      </c>
      <c r="J61" s="92">
        <v>737.0</v>
      </c>
      <c r="K61" s="92">
        <v>884.0</v>
      </c>
      <c r="L61" s="90">
        <v>442.0</v>
      </c>
      <c r="M61" s="93"/>
      <c r="N61" s="94">
        <v>2211.0</v>
      </c>
    </row>
    <row r="62">
      <c r="A62" s="87"/>
      <c r="B62" s="37"/>
      <c r="C62" s="38"/>
      <c r="D62" s="95" t="s">
        <v>261</v>
      </c>
      <c r="E62" s="89">
        <v>46193.0</v>
      </c>
      <c r="F62" s="72">
        <v>106.43</v>
      </c>
      <c r="G62" s="90">
        <v>126651.70000000001</v>
      </c>
      <c r="H62" s="91">
        <v>1190.0</v>
      </c>
      <c r="I62" s="92">
        <v>595.0</v>
      </c>
      <c r="J62" s="92">
        <v>396.0</v>
      </c>
      <c r="K62" s="92">
        <v>476.0</v>
      </c>
      <c r="L62" s="90">
        <v>238.0</v>
      </c>
      <c r="M62" s="93"/>
      <c r="N62" s="94">
        <v>1190.0</v>
      </c>
    </row>
    <row r="63">
      <c r="A63" s="87"/>
      <c r="B63" s="37"/>
      <c r="C63" s="38"/>
      <c r="D63" s="95" t="s">
        <v>242</v>
      </c>
      <c r="E63" s="89">
        <v>46193.0</v>
      </c>
      <c r="F63" s="72">
        <v>106.44</v>
      </c>
      <c r="G63" s="90">
        <v>232358.52</v>
      </c>
      <c r="H63" s="91">
        <v>2183.0</v>
      </c>
      <c r="I63" s="92">
        <v>1091.0</v>
      </c>
      <c r="J63" s="92">
        <v>727.0</v>
      </c>
      <c r="K63" s="92">
        <v>873.0</v>
      </c>
      <c r="L63" s="90">
        <v>436.0</v>
      </c>
      <c r="M63" s="93"/>
      <c r="N63" s="94">
        <v>2183.0</v>
      </c>
    </row>
    <row r="64">
      <c r="A64" s="87"/>
      <c r="B64" s="37"/>
      <c r="C64" s="38"/>
      <c r="D64" s="95" t="s">
        <v>213</v>
      </c>
      <c r="E64" s="89">
        <v>46194.0</v>
      </c>
      <c r="F64" s="72">
        <v>106.34</v>
      </c>
      <c r="G64" s="90">
        <v>349645.92</v>
      </c>
      <c r="H64" s="91">
        <v>3288.0</v>
      </c>
      <c r="I64" s="92">
        <v>1644.0</v>
      </c>
      <c r="J64" s="92">
        <v>1096.0</v>
      </c>
      <c r="K64" s="92">
        <v>1315.0</v>
      </c>
      <c r="L64" s="90">
        <v>657.0</v>
      </c>
      <c r="M64" s="93"/>
      <c r="N64" s="94">
        <v>3288.0</v>
      </c>
    </row>
    <row r="65">
      <c r="A65" s="87"/>
      <c r="B65" s="37"/>
      <c r="C65" s="38"/>
      <c r="D65" s="95" t="s">
        <v>190</v>
      </c>
      <c r="E65" s="89">
        <v>46193.0</v>
      </c>
      <c r="F65" s="72">
        <v>110.3</v>
      </c>
      <c r="G65" s="90">
        <v>135117.5</v>
      </c>
      <c r="H65" s="91">
        <v>1225.0</v>
      </c>
      <c r="I65" s="92">
        <v>612.0</v>
      </c>
      <c r="J65" s="92">
        <v>408.0</v>
      </c>
      <c r="K65" s="92">
        <v>490.0</v>
      </c>
      <c r="L65" s="90">
        <v>245.0</v>
      </c>
      <c r="M65" s="93"/>
      <c r="N65" s="94">
        <v>1225.0</v>
      </c>
    </row>
    <row r="66">
      <c r="A66" s="87"/>
      <c r="B66" s="37"/>
      <c r="C66" s="38"/>
      <c r="D66" s="95" t="s">
        <v>214</v>
      </c>
      <c r="E66" s="89">
        <v>46193.0</v>
      </c>
      <c r="F66" s="72">
        <v>106.34</v>
      </c>
      <c r="G66" s="90">
        <v>103681.5</v>
      </c>
      <c r="H66" s="91">
        <v>975.0</v>
      </c>
      <c r="I66" s="92">
        <v>487.0</v>
      </c>
      <c r="J66" s="92">
        <v>325.0</v>
      </c>
      <c r="K66" s="92">
        <v>390.0</v>
      </c>
      <c r="L66" s="90">
        <v>195.0</v>
      </c>
      <c r="M66" s="93"/>
      <c r="N66" s="94">
        <v>975.0</v>
      </c>
    </row>
    <row r="67">
      <c r="A67" s="87"/>
      <c r="B67" s="37"/>
      <c r="C67" s="38"/>
      <c r="D67" s="95" t="s">
        <v>234</v>
      </c>
      <c r="E67" s="89">
        <v>46166.0</v>
      </c>
      <c r="F67" s="72">
        <v>969.33</v>
      </c>
      <c r="G67" s="90">
        <v>43619.85</v>
      </c>
      <c r="H67" s="91">
        <v>45.0</v>
      </c>
      <c r="I67" s="92">
        <v>22.0</v>
      </c>
      <c r="J67" s="92">
        <v>15.0</v>
      </c>
      <c r="K67" s="92">
        <v>18.0</v>
      </c>
      <c r="L67" s="90">
        <v>9.0</v>
      </c>
      <c r="M67" s="93"/>
      <c r="N67" s="94">
        <v>45.0</v>
      </c>
    </row>
    <row r="68">
      <c r="A68" s="87"/>
      <c r="B68" s="37"/>
      <c r="C68" s="38"/>
      <c r="D68" s="95" t="s">
        <v>96</v>
      </c>
      <c r="E68" s="89">
        <v>46196.0</v>
      </c>
      <c r="F68" s="72">
        <v>315.0</v>
      </c>
      <c r="G68" s="90">
        <v>351540.0</v>
      </c>
      <c r="H68" s="91">
        <v>1116.0</v>
      </c>
      <c r="I68" s="92">
        <v>558.0</v>
      </c>
      <c r="J68" s="92">
        <v>372.0</v>
      </c>
      <c r="K68" s="92">
        <v>446.0</v>
      </c>
      <c r="L68" s="90">
        <v>223.0</v>
      </c>
      <c r="M68" s="93"/>
      <c r="N68" s="94">
        <v>1116.0</v>
      </c>
    </row>
    <row r="69">
      <c r="A69" s="87"/>
      <c r="B69" s="37"/>
      <c r="C69" s="38"/>
      <c r="D69" s="95" t="s">
        <v>215</v>
      </c>
      <c r="E69" s="89">
        <v>46193.0</v>
      </c>
      <c r="F69" s="72">
        <v>106.34</v>
      </c>
      <c r="G69" s="90">
        <v>114102.82</v>
      </c>
      <c r="H69" s="91">
        <v>1073.0</v>
      </c>
      <c r="I69" s="92">
        <v>536.0</v>
      </c>
      <c r="J69" s="92">
        <v>357.0</v>
      </c>
      <c r="K69" s="92">
        <v>429.0</v>
      </c>
      <c r="L69" s="90">
        <v>214.0</v>
      </c>
      <c r="M69" s="93"/>
      <c r="N69" s="94">
        <v>1073.0</v>
      </c>
    </row>
    <row r="70">
      <c r="A70" s="87"/>
      <c r="B70" s="37"/>
      <c r="C70" s="38"/>
      <c r="D70" s="95" t="s">
        <v>262</v>
      </c>
      <c r="E70" s="89">
        <v>46193.0</v>
      </c>
      <c r="F70" s="72">
        <v>106.29</v>
      </c>
      <c r="G70" s="90">
        <v>172721.25</v>
      </c>
      <c r="H70" s="91">
        <v>1625.0</v>
      </c>
      <c r="I70" s="92">
        <v>812.0</v>
      </c>
      <c r="J70" s="92">
        <v>541.0</v>
      </c>
      <c r="K70" s="92">
        <v>650.0</v>
      </c>
      <c r="L70" s="90">
        <v>325.0</v>
      </c>
      <c r="M70" s="93"/>
      <c r="N70" s="94">
        <v>1625.0</v>
      </c>
    </row>
    <row r="71">
      <c r="A71" s="87"/>
      <c r="B71" s="37"/>
      <c r="C71" s="38"/>
      <c r="D71" s="95" t="s">
        <v>263</v>
      </c>
      <c r="E71" s="89">
        <v>46193.0</v>
      </c>
      <c r="F71" s="72">
        <v>106.29</v>
      </c>
      <c r="G71" s="90">
        <v>212048.55000000002</v>
      </c>
      <c r="H71" s="91">
        <v>1995.0</v>
      </c>
      <c r="I71" s="92">
        <v>997.0</v>
      </c>
      <c r="J71" s="92">
        <v>665.0</v>
      </c>
      <c r="K71" s="92">
        <v>798.0</v>
      </c>
      <c r="L71" s="90">
        <v>399.0</v>
      </c>
      <c r="M71" s="93"/>
      <c r="N71" s="94">
        <v>1995.0</v>
      </c>
    </row>
    <row r="72">
      <c r="A72" s="87"/>
      <c r="B72" s="37"/>
      <c r="C72" s="38"/>
      <c r="D72" s="95" t="s">
        <v>216</v>
      </c>
      <c r="E72" s="89">
        <v>46193.0</v>
      </c>
      <c r="F72" s="72">
        <v>106.34</v>
      </c>
      <c r="G72" s="90">
        <v>217784.32</v>
      </c>
      <c r="H72" s="91">
        <v>2048.0</v>
      </c>
      <c r="I72" s="92">
        <v>1024.0</v>
      </c>
      <c r="J72" s="92">
        <v>682.0</v>
      </c>
      <c r="K72" s="92">
        <v>819.0</v>
      </c>
      <c r="L72" s="90">
        <v>409.0</v>
      </c>
      <c r="M72" s="93"/>
      <c r="N72" s="94">
        <v>2048.0</v>
      </c>
    </row>
    <row r="73">
      <c r="A73" s="87"/>
      <c r="B73" s="37"/>
      <c r="C73" s="38"/>
      <c r="D73" s="95" t="s">
        <v>264</v>
      </c>
      <c r="E73" s="89">
        <v>46193.0</v>
      </c>
      <c r="F73" s="72">
        <v>106.31999999999998</v>
      </c>
      <c r="G73" s="90">
        <v>156609.35999999996</v>
      </c>
      <c r="H73" s="91">
        <v>1473.0</v>
      </c>
      <c r="I73" s="92">
        <v>736.0</v>
      </c>
      <c r="J73" s="92">
        <v>491.0</v>
      </c>
      <c r="K73" s="92">
        <v>589.0</v>
      </c>
      <c r="L73" s="90">
        <v>294.0</v>
      </c>
      <c r="M73" s="93"/>
      <c r="N73" s="94">
        <v>1473.0</v>
      </c>
    </row>
    <row r="74">
      <c r="A74" s="87"/>
      <c r="B74" s="37"/>
      <c r="C74" s="38"/>
      <c r="D74" s="95" t="s">
        <v>265</v>
      </c>
      <c r="E74" s="89">
        <v>46193.0</v>
      </c>
      <c r="F74" s="72">
        <v>106.34000000000002</v>
      </c>
      <c r="G74" s="90">
        <v>145154.10000000003</v>
      </c>
      <c r="H74" s="91">
        <v>1365.0</v>
      </c>
      <c r="I74" s="92">
        <v>682.0</v>
      </c>
      <c r="J74" s="92">
        <v>455.0</v>
      </c>
      <c r="K74" s="92">
        <v>546.0</v>
      </c>
      <c r="L74" s="90">
        <v>273.0</v>
      </c>
      <c r="M74" s="93"/>
      <c r="N74" s="94">
        <v>1365.0</v>
      </c>
    </row>
    <row r="75">
      <c r="A75" s="87"/>
      <c r="B75" s="37"/>
      <c r="C75" s="38"/>
      <c r="D75" s="95" t="s">
        <v>217</v>
      </c>
      <c r="E75" s="89">
        <v>46193.0</v>
      </c>
      <c r="F75" s="72">
        <v>106.34</v>
      </c>
      <c r="G75" s="90">
        <v>84008.6</v>
      </c>
      <c r="H75" s="91">
        <v>790.0</v>
      </c>
      <c r="I75" s="92">
        <v>395.0</v>
      </c>
      <c r="J75" s="92">
        <v>263.0</v>
      </c>
      <c r="K75" s="92">
        <v>316.0</v>
      </c>
      <c r="L75" s="90">
        <v>158.0</v>
      </c>
      <c r="M75" s="93"/>
      <c r="N75" s="94">
        <v>790.0</v>
      </c>
    </row>
    <row r="76">
      <c r="A76" s="87"/>
      <c r="B76" s="37"/>
      <c r="C76" s="38"/>
      <c r="D76" s="95" t="s">
        <v>65</v>
      </c>
      <c r="E76" s="89">
        <v>46195.0</v>
      </c>
      <c r="F76" s="72">
        <v>640.67</v>
      </c>
      <c r="G76" s="90">
        <v>413872.81999999995</v>
      </c>
      <c r="H76" s="91">
        <v>646.0</v>
      </c>
      <c r="I76" s="92">
        <v>323.0</v>
      </c>
      <c r="J76" s="92">
        <v>215.0</v>
      </c>
      <c r="K76" s="92">
        <v>258.0</v>
      </c>
      <c r="L76" s="90">
        <v>129.0</v>
      </c>
      <c r="M76" s="93"/>
      <c r="N76" s="94">
        <v>646.0</v>
      </c>
    </row>
    <row r="77">
      <c r="A77" s="87"/>
      <c r="B77" s="37"/>
      <c r="C77" s="38"/>
      <c r="D77" s="95" t="s">
        <v>42</v>
      </c>
      <c r="E77" s="89">
        <v>46198.0</v>
      </c>
      <c r="F77" s="72">
        <v>559.96</v>
      </c>
      <c r="G77" s="90">
        <v>309097.92000000004</v>
      </c>
      <c r="H77" s="91">
        <v>552.0</v>
      </c>
      <c r="I77" s="92">
        <v>276.0</v>
      </c>
      <c r="J77" s="92">
        <v>184.0</v>
      </c>
      <c r="K77" s="92">
        <v>220.0</v>
      </c>
      <c r="L77" s="90">
        <v>110.0</v>
      </c>
      <c r="M77" s="93"/>
      <c r="N77" s="94">
        <v>552.0</v>
      </c>
    </row>
    <row r="78">
      <c r="A78" s="87"/>
      <c r="B78" s="37"/>
      <c r="C78" s="38"/>
      <c r="D78" s="95" t="s">
        <v>85</v>
      </c>
      <c r="E78" s="89">
        <v>46198.0</v>
      </c>
      <c r="F78" s="72">
        <v>1775.5035252336133</v>
      </c>
      <c r="G78" s="90">
        <v>1423953.8272373579</v>
      </c>
      <c r="H78" s="91">
        <v>802.0</v>
      </c>
      <c r="I78" s="92">
        <v>401.0</v>
      </c>
      <c r="J78" s="92">
        <v>267.0</v>
      </c>
      <c r="K78" s="92">
        <v>320.0</v>
      </c>
      <c r="L78" s="90">
        <v>160.0</v>
      </c>
      <c r="M78" s="93"/>
      <c r="N78" s="94">
        <v>802.0</v>
      </c>
    </row>
    <row r="79">
      <c r="A79" s="87"/>
      <c r="B79" s="37"/>
      <c r="C79" s="38"/>
      <c r="D79" s="95" t="s">
        <v>157</v>
      </c>
      <c r="E79" s="89">
        <v>46196.0</v>
      </c>
      <c r="F79" s="72">
        <v>2032.2872928176796</v>
      </c>
      <c r="G79" s="90">
        <v>1.3211899690607736E7</v>
      </c>
      <c r="H79" s="91">
        <v>6501.0</v>
      </c>
      <c r="I79" s="92">
        <v>3250.0</v>
      </c>
      <c r="J79" s="92">
        <v>2167.0</v>
      </c>
      <c r="K79" s="92">
        <v>2600.0</v>
      </c>
      <c r="L79" s="90">
        <v>1300.0</v>
      </c>
      <c r="M79" s="93"/>
      <c r="N79" s="94">
        <v>6501.0</v>
      </c>
    </row>
    <row r="80">
      <c r="A80" s="87"/>
      <c r="B80" s="37"/>
      <c r="C80" s="38"/>
      <c r="D80" s="95" t="s">
        <v>266</v>
      </c>
      <c r="E80" s="89">
        <v>46196.0</v>
      </c>
      <c r="F80" s="72">
        <v>4279.22</v>
      </c>
      <c r="G80" s="90">
        <v>-4279.22</v>
      </c>
      <c r="H80" s="91">
        <v>-1.0</v>
      </c>
      <c r="I80" s="92">
        <v>0.0</v>
      </c>
      <c r="J80" s="92">
        <v>0.0</v>
      </c>
      <c r="K80" s="92">
        <v>0.0</v>
      </c>
      <c r="L80" s="90">
        <v>0.0</v>
      </c>
      <c r="M80" s="93"/>
      <c r="N80" s="94">
        <v>-1.0</v>
      </c>
    </row>
    <row r="81">
      <c r="A81" s="87"/>
      <c r="B81" s="37"/>
      <c r="C81" s="38"/>
      <c r="D81" s="95" t="s">
        <v>88</v>
      </c>
      <c r="E81" s="89">
        <v>46195.0</v>
      </c>
      <c r="F81" s="72">
        <v>1775.5035252336136</v>
      </c>
      <c r="G81" s="90">
        <v>3520823.490538256</v>
      </c>
      <c r="H81" s="91">
        <v>1983.0</v>
      </c>
      <c r="I81" s="92">
        <v>991.0</v>
      </c>
      <c r="J81" s="92">
        <v>661.0</v>
      </c>
      <c r="K81" s="92">
        <v>793.0</v>
      </c>
      <c r="L81" s="90">
        <v>396.0</v>
      </c>
      <c r="M81" s="93"/>
      <c r="N81" s="94">
        <v>1983.0</v>
      </c>
    </row>
    <row r="82">
      <c r="A82" s="87"/>
      <c r="B82" s="37"/>
      <c r="C82" s="38"/>
      <c r="D82" s="95" t="s">
        <v>136</v>
      </c>
      <c r="E82" s="89">
        <v>46186.0</v>
      </c>
      <c r="F82" s="72">
        <v>1896.6117391304351</v>
      </c>
      <c r="G82" s="90">
        <v>352769.7834782609</v>
      </c>
      <c r="H82" s="91">
        <v>186.0</v>
      </c>
      <c r="I82" s="92">
        <v>93.0</v>
      </c>
      <c r="J82" s="92">
        <v>62.0</v>
      </c>
      <c r="K82" s="92">
        <v>74.0</v>
      </c>
      <c r="L82" s="90">
        <v>37.0</v>
      </c>
      <c r="M82" s="93"/>
      <c r="N82" s="94">
        <v>186.0</v>
      </c>
    </row>
    <row r="83">
      <c r="A83" s="87"/>
      <c r="B83" s="37"/>
      <c r="C83" s="38"/>
      <c r="D83" s="95" t="s">
        <v>159</v>
      </c>
      <c r="E83" s="89">
        <v>46191.0</v>
      </c>
      <c r="F83" s="72">
        <v>19.96</v>
      </c>
      <c r="G83" s="90">
        <v>138981.48</v>
      </c>
      <c r="H83" s="91">
        <v>6963.0</v>
      </c>
      <c r="I83" s="92">
        <v>3481.0</v>
      </c>
      <c r="J83" s="92">
        <v>2321.0</v>
      </c>
      <c r="K83" s="92">
        <v>2785.0</v>
      </c>
      <c r="L83" s="90">
        <v>1392.0</v>
      </c>
      <c r="M83" s="93"/>
      <c r="N83" s="94">
        <v>6963.0</v>
      </c>
    </row>
    <row r="84">
      <c r="A84" s="87"/>
      <c r="B84" s="37"/>
      <c r="C84" s="38"/>
      <c r="D84" s="95" t="s">
        <v>162</v>
      </c>
      <c r="E84" s="89">
        <v>46196.0</v>
      </c>
      <c r="F84" s="72">
        <v>19.96</v>
      </c>
      <c r="G84" s="90">
        <v>68063.6</v>
      </c>
      <c r="H84" s="91">
        <v>3410.0</v>
      </c>
      <c r="I84" s="92">
        <v>1705.0</v>
      </c>
      <c r="J84" s="92">
        <v>1136.0</v>
      </c>
      <c r="K84" s="92">
        <v>1364.0</v>
      </c>
      <c r="L84" s="90">
        <v>682.0</v>
      </c>
      <c r="M84" s="93"/>
      <c r="N84" s="94">
        <v>3410.0</v>
      </c>
    </row>
    <row r="85">
      <c r="A85" s="87"/>
      <c r="B85" s="37"/>
      <c r="C85" s="38"/>
      <c r="D85" s="95" t="s">
        <v>275</v>
      </c>
      <c r="E85" s="89">
        <v>46190.0</v>
      </c>
      <c r="F85" s="72">
        <v>17.44</v>
      </c>
      <c r="G85" s="90">
        <v>17091.2</v>
      </c>
      <c r="H85" s="91">
        <v>980.0</v>
      </c>
      <c r="I85" s="92">
        <v>490.0</v>
      </c>
      <c r="J85" s="92">
        <v>326.0</v>
      </c>
      <c r="K85" s="92">
        <v>392.0</v>
      </c>
      <c r="L85" s="90">
        <v>196.0</v>
      </c>
      <c r="M85" s="93"/>
      <c r="N85" s="94">
        <v>980.0</v>
      </c>
    </row>
    <row r="86">
      <c r="A86" s="87"/>
      <c r="B86" s="37"/>
      <c r="C86" s="38"/>
      <c r="D86" s="95" t="s">
        <v>278</v>
      </c>
      <c r="E86" s="89">
        <v>46187.0</v>
      </c>
      <c r="F86" s="72">
        <v>17.44</v>
      </c>
      <c r="G86" s="90">
        <v>17091.2</v>
      </c>
      <c r="H86" s="91">
        <v>980.0</v>
      </c>
      <c r="I86" s="92">
        <v>490.0</v>
      </c>
      <c r="J86" s="92">
        <v>326.0</v>
      </c>
      <c r="K86" s="92">
        <v>392.0</v>
      </c>
      <c r="L86" s="90">
        <v>196.0</v>
      </c>
      <c r="M86" s="93"/>
      <c r="N86" s="94">
        <v>980.0</v>
      </c>
    </row>
    <row r="87">
      <c r="A87" s="87"/>
      <c r="B87" s="37"/>
      <c r="C87" s="38"/>
      <c r="D87" s="95" t="s">
        <v>193</v>
      </c>
      <c r="E87" s="89">
        <v>46090.0</v>
      </c>
      <c r="F87" s="72">
        <v>15.59</v>
      </c>
      <c r="G87" s="90">
        <v>-389.75</v>
      </c>
      <c r="H87" s="91">
        <v>-25.0</v>
      </c>
      <c r="I87" s="92">
        <v>-12.0</v>
      </c>
      <c r="J87" s="92">
        <v>-8.0</v>
      </c>
      <c r="K87" s="92">
        <v>-10.0</v>
      </c>
      <c r="L87" s="90">
        <v>-5.0</v>
      </c>
      <c r="M87" s="93"/>
      <c r="N87" s="94">
        <v>-25.0</v>
      </c>
    </row>
    <row r="88">
      <c r="A88" s="87"/>
      <c r="B88" s="37"/>
      <c r="C88" s="38"/>
      <c r="D88" s="95" t="s">
        <v>196</v>
      </c>
      <c r="E88" s="89">
        <v>46190.0</v>
      </c>
      <c r="F88" s="72">
        <v>15.59</v>
      </c>
      <c r="G88" s="90">
        <v>85246.12</v>
      </c>
      <c r="H88" s="91">
        <v>5468.0</v>
      </c>
      <c r="I88" s="92">
        <v>2734.0</v>
      </c>
      <c r="J88" s="92">
        <v>1822.0</v>
      </c>
      <c r="K88" s="92">
        <v>2187.0</v>
      </c>
      <c r="L88" s="90">
        <v>1093.0</v>
      </c>
      <c r="M88" s="93"/>
      <c r="N88" s="94">
        <v>5468.0</v>
      </c>
    </row>
    <row r="89">
      <c r="A89" s="87"/>
      <c r="B89" s="37"/>
      <c r="C89" s="38"/>
      <c r="D89" s="95" t="s">
        <v>163</v>
      </c>
      <c r="E89" s="89">
        <v>46087.0</v>
      </c>
      <c r="F89" s="72">
        <v>19.96</v>
      </c>
      <c r="G89" s="90">
        <v>78442.8</v>
      </c>
      <c r="H89" s="91">
        <v>3930.0</v>
      </c>
      <c r="I89" s="92">
        <v>1965.0</v>
      </c>
      <c r="J89" s="92">
        <v>1310.0</v>
      </c>
      <c r="K89" s="92">
        <v>1572.0</v>
      </c>
      <c r="L89" s="90">
        <v>786.0</v>
      </c>
      <c r="M89" s="93"/>
      <c r="N89" s="94">
        <v>3930.0</v>
      </c>
    </row>
    <row r="90">
      <c r="A90" s="87"/>
      <c r="B90" s="37"/>
      <c r="C90" s="38"/>
      <c r="D90" s="95" t="s">
        <v>279</v>
      </c>
      <c r="E90" s="89">
        <v>46194.0</v>
      </c>
      <c r="F90" s="72">
        <v>17.44</v>
      </c>
      <c r="G90" s="90">
        <v>29613.120000000003</v>
      </c>
      <c r="H90" s="91">
        <v>1698.0</v>
      </c>
      <c r="I90" s="92">
        <v>849.0</v>
      </c>
      <c r="J90" s="92">
        <v>566.0</v>
      </c>
      <c r="K90" s="92">
        <v>679.0</v>
      </c>
      <c r="L90" s="90">
        <v>339.0</v>
      </c>
      <c r="M90" s="93"/>
      <c r="N90" s="94">
        <v>1698.0</v>
      </c>
    </row>
    <row r="91">
      <c r="A91" s="87"/>
      <c r="B91" s="37"/>
      <c r="C91" s="38"/>
      <c r="D91" s="95" t="s">
        <v>280</v>
      </c>
      <c r="E91" s="89">
        <v>46191.0</v>
      </c>
      <c r="F91" s="72">
        <v>17.44</v>
      </c>
      <c r="G91" s="90">
        <v>16393.600000000002</v>
      </c>
      <c r="H91" s="91">
        <v>940.0</v>
      </c>
      <c r="I91" s="92">
        <v>470.0</v>
      </c>
      <c r="J91" s="92">
        <v>313.0</v>
      </c>
      <c r="K91" s="92">
        <v>376.0</v>
      </c>
      <c r="L91" s="90">
        <v>188.0</v>
      </c>
      <c r="M91" s="93"/>
      <c r="N91" s="94">
        <v>940.0</v>
      </c>
    </row>
    <row r="92">
      <c r="A92" s="87"/>
      <c r="B92" s="37"/>
      <c r="C92" s="38"/>
      <c r="D92" s="95" t="s">
        <v>128</v>
      </c>
      <c r="E92" s="89">
        <v>46194.0</v>
      </c>
      <c r="F92" s="72">
        <v>21.17</v>
      </c>
      <c r="G92" s="90">
        <v>79451.01000000001</v>
      </c>
      <c r="H92" s="91">
        <v>3753.0</v>
      </c>
      <c r="I92" s="92">
        <v>1876.0</v>
      </c>
      <c r="J92" s="92">
        <v>1251.0</v>
      </c>
      <c r="K92" s="92">
        <v>1501.0</v>
      </c>
      <c r="L92" s="90">
        <v>750.0</v>
      </c>
      <c r="M92" s="93"/>
      <c r="N92" s="94">
        <v>3753.0</v>
      </c>
    </row>
    <row r="93">
      <c r="A93" s="87"/>
      <c r="B93" s="37"/>
      <c r="C93" s="38"/>
      <c r="D93" s="95" t="s">
        <v>197</v>
      </c>
      <c r="E93" s="89">
        <v>46192.0</v>
      </c>
      <c r="F93" s="72">
        <v>15.59</v>
      </c>
      <c r="G93" s="90">
        <v>121742.31</v>
      </c>
      <c r="H93" s="91">
        <v>7809.0</v>
      </c>
      <c r="I93" s="92">
        <v>3904.0</v>
      </c>
      <c r="J93" s="92">
        <v>2603.0</v>
      </c>
      <c r="K93" s="92">
        <v>3123.0</v>
      </c>
      <c r="L93" s="90">
        <v>1561.0</v>
      </c>
      <c r="M93" s="93"/>
      <c r="N93" s="94">
        <v>7809.0</v>
      </c>
    </row>
    <row r="94">
      <c r="A94" s="87"/>
      <c r="B94" s="37"/>
      <c r="C94" s="38"/>
      <c r="D94" s="95" t="s">
        <v>131</v>
      </c>
      <c r="E94" s="89">
        <v>46194.0</v>
      </c>
      <c r="F94" s="72">
        <v>21.17</v>
      </c>
      <c r="G94" s="90">
        <v>104283.42000000001</v>
      </c>
      <c r="H94" s="91">
        <v>4926.0</v>
      </c>
      <c r="I94" s="92">
        <v>2463.0</v>
      </c>
      <c r="J94" s="92">
        <v>1642.0</v>
      </c>
      <c r="K94" s="92">
        <v>1970.0</v>
      </c>
      <c r="L94" s="90">
        <v>985.0</v>
      </c>
      <c r="M94" s="93"/>
      <c r="N94" s="94">
        <v>4926.0</v>
      </c>
    </row>
    <row r="95">
      <c r="A95" s="87"/>
      <c r="B95" s="37"/>
      <c r="C95" s="38"/>
      <c r="D95" s="95" t="s">
        <v>198</v>
      </c>
      <c r="E95" s="89">
        <v>46191.0</v>
      </c>
      <c r="F95" s="72">
        <v>15.59</v>
      </c>
      <c r="G95" s="90">
        <v>61814.35</v>
      </c>
      <c r="H95" s="91">
        <v>3965.0</v>
      </c>
      <c r="I95" s="92">
        <v>1982.0</v>
      </c>
      <c r="J95" s="92">
        <v>1321.0</v>
      </c>
      <c r="K95" s="92">
        <v>1586.0</v>
      </c>
      <c r="L95" s="90">
        <v>793.0</v>
      </c>
      <c r="M95" s="93"/>
      <c r="N95" s="94">
        <v>3965.0</v>
      </c>
    </row>
    <row r="96">
      <c r="A96" s="87"/>
      <c r="B96" s="37"/>
      <c r="C96" s="38"/>
      <c r="D96" s="95" t="s">
        <v>164</v>
      </c>
      <c r="E96" s="89">
        <v>46187.0</v>
      </c>
      <c r="F96" s="72">
        <v>19.96</v>
      </c>
      <c r="G96" s="90">
        <v>87604.44</v>
      </c>
      <c r="H96" s="91">
        <v>4389.0</v>
      </c>
      <c r="I96" s="92">
        <v>2194.0</v>
      </c>
      <c r="J96" s="92">
        <v>1463.0</v>
      </c>
      <c r="K96" s="92">
        <v>1755.0</v>
      </c>
      <c r="L96" s="90">
        <v>877.0</v>
      </c>
      <c r="M96" s="93"/>
      <c r="N96" s="94">
        <v>4389.0</v>
      </c>
    </row>
    <row r="97">
      <c r="A97" s="87"/>
      <c r="B97" s="37"/>
      <c r="C97" s="38"/>
      <c r="D97" s="95" t="s">
        <v>281</v>
      </c>
      <c r="E97" s="89">
        <v>46190.0</v>
      </c>
      <c r="F97" s="72">
        <v>17.63</v>
      </c>
      <c r="G97" s="90">
        <v>82596.54999999999</v>
      </c>
      <c r="H97" s="91">
        <v>4685.0</v>
      </c>
      <c r="I97" s="92">
        <v>2342.0</v>
      </c>
      <c r="J97" s="92">
        <v>1561.0</v>
      </c>
      <c r="K97" s="92">
        <v>1874.0</v>
      </c>
      <c r="L97" s="90">
        <v>937.0</v>
      </c>
      <c r="M97" s="93"/>
      <c r="N97" s="94">
        <v>4685.0</v>
      </c>
    </row>
    <row r="98">
      <c r="A98" s="87"/>
      <c r="B98" s="37"/>
      <c r="C98" s="38"/>
      <c r="D98" s="95" t="s">
        <v>199</v>
      </c>
      <c r="E98" s="89">
        <v>46191.0</v>
      </c>
      <c r="F98" s="72">
        <v>15.59</v>
      </c>
      <c r="G98" s="90">
        <v>77123.73</v>
      </c>
      <c r="H98" s="91">
        <v>4947.0</v>
      </c>
      <c r="I98" s="92">
        <v>2473.0</v>
      </c>
      <c r="J98" s="92">
        <v>1649.0</v>
      </c>
      <c r="K98" s="92">
        <v>1978.0</v>
      </c>
      <c r="L98" s="90">
        <v>989.0</v>
      </c>
      <c r="M98" s="93"/>
      <c r="N98" s="94">
        <v>4947.0</v>
      </c>
    </row>
    <row r="99">
      <c r="A99" s="87"/>
      <c r="B99" s="37"/>
      <c r="C99" s="38"/>
      <c r="D99" s="95" t="s">
        <v>168</v>
      </c>
      <c r="E99" s="89">
        <v>46195.0</v>
      </c>
      <c r="F99" s="72">
        <v>21.73</v>
      </c>
      <c r="G99" s="90">
        <v>78423.57</v>
      </c>
      <c r="H99" s="91">
        <v>3609.0</v>
      </c>
      <c r="I99" s="92">
        <v>1804.0</v>
      </c>
      <c r="J99" s="92">
        <v>1203.0</v>
      </c>
      <c r="K99" s="92">
        <v>1443.0</v>
      </c>
      <c r="L99" s="90">
        <v>721.0</v>
      </c>
      <c r="M99" s="93"/>
      <c r="N99" s="94">
        <v>3609.0</v>
      </c>
    </row>
    <row r="100">
      <c r="A100" s="87"/>
      <c r="B100" s="37"/>
      <c r="C100" s="38"/>
      <c r="D100" s="95" t="s">
        <v>61</v>
      </c>
      <c r="E100" s="89">
        <v>46195.0</v>
      </c>
      <c r="F100" s="72">
        <v>21.75</v>
      </c>
      <c r="G100" s="90">
        <v>34800.0</v>
      </c>
      <c r="H100" s="91">
        <v>1600.0</v>
      </c>
      <c r="I100" s="92">
        <v>800.0</v>
      </c>
      <c r="J100" s="92">
        <v>533.0</v>
      </c>
      <c r="K100" s="92">
        <v>640.0</v>
      </c>
      <c r="L100" s="90">
        <v>320.0</v>
      </c>
      <c r="M100" s="93"/>
      <c r="N100" s="94">
        <v>1600.0</v>
      </c>
    </row>
    <row r="101">
      <c r="A101" s="87"/>
      <c r="B101" s="37"/>
      <c r="C101" s="38"/>
      <c r="D101" s="95" t="s">
        <v>200</v>
      </c>
      <c r="E101" s="89"/>
      <c r="F101" s="72">
        <v>15.59</v>
      </c>
      <c r="G101" s="90">
        <v>29465.1</v>
      </c>
      <c r="H101" s="91">
        <v>1890.0</v>
      </c>
      <c r="I101" s="92">
        <v>945.0</v>
      </c>
      <c r="J101" s="92">
        <v>630.0</v>
      </c>
      <c r="K101" s="92">
        <v>756.0</v>
      </c>
      <c r="L101" s="90">
        <v>378.0</v>
      </c>
      <c r="M101" s="93"/>
      <c r="N101" s="94">
        <v>1890.0</v>
      </c>
    </row>
    <row r="102">
      <c r="A102" s="87"/>
      <c r="B102" s="37"/>
      <c r="C102" s="38"/>
      <c r="D102" s="95" t="s">
        <v>165</v>
      </c>
      <c r="E102" s="89">
        <v>46190.0</v>
      </c>
      <c r="F102" s="72">
        <v>19.96</v>
      </c>
      <c r="G102" s="90">
        <v>58283.200000000004</v>
      </c>
      <c r="H102" s="91">
        <v>2920.0</v>
      </c>
      <c r="I102" s="92">
        <v>1460.0</v>
      </c>
      <c r="J102" s="92">
        <v>973.0</v>
      </c>
      <c r="K102" s="92">
        <v>1168.0</v>
      </c>
      <c r="L102" s="90">
        <v>584.0</v>
      </c>
      <c r="M102" s="93"/>
      <c r="N102" s="94">
        <v>2920.0</v>
      </c>
    </row>
    <row r="103">
      <c r="A103" s="87"/>
      <c r="B103" s="37"/>
      <c r="C103" s="38"/>
      <c r="D103" s="95" t="s">
        <v>283</v>
      </c>
      <c r="E103" s="89">
        <v>46195.0</v>
      </c>
      <c r="F103" s="72">
        <v>17.73</v>
      </c>
      <c r="G103" s="90">
        <v>40140.72</v>
      </c>
      <c r="H103" s="91">
        <v>2264.0</v>
      </c>
      <c r="I103" s="92">
        <v>1132.0</v>
      </c>
      <c r="J103" s="92">
        <v>754.0</v>
      </c>
      <c r="K103" s="92">
        <v>905.0</v>
      </c>
      <c r="L103" s="90">
        <v>452.0</v>
      </c>
      <c r="M103" s="93"/>
      <c r="N103" s="94">
        <v>2264.0</v>
      </c>
    </row>
    <row r="104">
      <c r="A104" s="87"/>
      <c r="B104" s="37"/>
      <c r="C104" s="38"/>
      <c r="D104" s="95" t="s">
        <v>36</v>
      </c>
      <c r="E104" s="89">
        <v>46191.0</v>
      </c>
      <c r="F104" s="72">
        <v>22.43</v>
      </c>
      <c r="G104" s="90">
        <v>17831.85</v>
      </c>
      <c r="H104" s="91">
        <v>795.0</v>
      </c>
      <c r="I104" s="92">
        <v>397.0</v>
      </c>
      <c r="J104" s="92">
        <v>265.0</v>
      </c>
      <c r="K104" s="92">
        <v>318.0</v>
      </c>
      <c r="L104" s="90">
        <v>159.0</v>
      </c>
      <c r="M104" s="93"/>
      <c r="N104" s="94">
        <v>795.0</v>
      </c>
    </row>
    <row r="105">
      <c r="A105" s="87"/>
      <c r="B105" s="37"/>
      <c r="C105" s="38"/>
      <c r="D105" s="95" t="s">
        <v>284</v>
      </c>
      <c r="E105" s="89">
        <v>46195.0</v>
      </c>
      <c r="F105" s="72">
        <v>17.63</v>
      </c>
      <c r="G105" s="90">
        <v>61705.0</v>
      </c>
      <c r="H105" s="91">
        <v>3500.0</v>
      </c>
      <c r="I105" s="92">
        <v>1750.0</v>
      </c>
      <c r="J105" s="92">
        <v>1166.0</v>
      </c>
      <c r="K105" s="92">
        <v>1400.0</v>
      </c>
      <c r="L105" s="90">
        <v>700.0</v>
      </c>
      <c r="M105" s="93"/>
      <c r="N105" s="94">
        <v>3500.0</v>
      </c>
    </row>
    <row r="106">
      <c r="A106" s="87"/>
      <c r="B106" s="37"/>
      <c r="C106" s="38"/>
      <c r="D106" s="95" t="s">
        <v>71</v>
      </c>
      <c r="E106" s="89">
        <v>46196.0</v>
      </c>
      <c r="F106" s="72">
        <v>21.7</v>
      </c>
      <c r="G106" s="90">
        <v>58438.1</v>
      </c>
      <c r="H106" s="91">
        <v>2693.0</v>
      </c>
      <c r="I106" s="92">
        <v>1346.0</v>
      </c>
      <c r="J106" s="92">
        <v>897.0</v>
      </c>
      <c r="K106" s="92">
        <v>1077.0</v>
      </c>
      <c r="L106" s="90">
        <v>538.0</v>
      </c>
      <c r="M106" s="93"/>
      <c r="N106" s="94">
        <v>2693.0</v>
      </c>
    </row>
    <row r="107">
      <c r="A107" s="87"/>
      <c r="B107" s="37"/>
      <c r="C107" s="38"/>
      <c r="D107" s="95" t="s">
        <v>166</v>
      </c>
      <c r="E107" s="89">
        <v>46195.0</v>
      </c>
      <c r="F107" s="72">
        <v>19.96</v>
      </c>
      <c r="G107" s="90">
        <v>88762.12000000001</v>
      </c>
      <c r="H107" s="91">
        <v>4447.0</v>
      </c>
      <c r="I107" s="92">
        <v>2223.0</v>
      </c>
      <c r="J107" s="92">
        <v>1482.0</v>
      </c>
      <c r="K107" s="92">
        <v>1778.0</v>
      </c>
      <c r="L107" s="90">
        <v>889.0</v>
      </c>
      <c r="M107" s="93"/>
      <c r="N107" s="94">
        <v>4447.0</v>
      </c>
    </row>
    <row r="108">
      <c r="A108" s="87"/>
      <c r="B108" s="37"/>
      <c r="C108" s="38"/>
      <c r="D108" s="95" t="s">
        <v>40</v>
      </c>
      <c r="E108" s="89">
        <v>46190.0</v>
      </c>
      <c r="F108" s="72">
        <v>20.0</v>
      </c>
      <c r="G108" s="90">
        <v>11600.0</v>
      </c>
      <c r="H108" s="91">
        <v>580.0</v>
      </c>
      <c r="I108" s="92">
        <v>290.0</v>
      </c>
      <c r="J108" s="92">
        <v>193.0</v>
      </c>
      <c r="K108" s="92">
        <v>232.0</v>
      </c>
      <c r="L108" s="90">
        <v>116.0</v>
      </c>
      <c r="M108" s="93"/>
      <c r="N108" s="94">
        <v>580.0</v>
      </c>
    </row>
    <row r="109">
      <c r="A109" s="87"/>
      <c r="B109" s="37"/>
      <c r="C109" s="38"/>
      <c r="D109" s="95" t="s">
        <v>167</v>
      </c>
      <c r="E109" s="89">
        <v>46190.0</v>
      </c>
      <c r="F109" s="72">
        <v>19.96</v>
      </c>
      <c r="G109" s="90">
        <v>136167.12</v>
      </c>
      <c r="H109" s="91">
        <v>6822.0</v>
      </c>
      <c r="I109" s="92">
        <v>3411.0</v>
      </c>
      <c r="J109" s="92">
        <v>2274.0</v>
      </c>
      <c r="K109" s="92">
        <v>2728.0</v>
      </c>
      <c r="L109" s="90">
        <v>1364.0</v>
      </c>
      <c r="M109" s="93"/>
      <c r="N109" s="94">
        <v>6822.0</v>
      </c>
    </row>
    <row r="110">
      <c r="A110" s="87"/>
      <c r="B110" s="37"/>
      <c r="C110" s="38"/>
      <c r="D110" s="95" t="s">
        <v>285</v>
      </c>
      <c r="E110" s="89">
        <v>46124.0</v>
      </c>
      <c r="F110" s="72">
        <v>17.440000000000005</v>
      </c>
      <c r="G110" s="90">
        <v>32525.60000000001</v>
      </c>
      <c r="H110" s="91">
        <v>1865.0</v>
      </c>
      <c r="I110" s="92">
        <v>932.0</v>
      </c>
      <c r="J110" s="92">
        <v>621.0</v>
      </c>
      <c r="K110" s="92">
        <v>746.0</v>
      </c>
      <c r="L110" s="90">
        <v>373.0</v>
      </c>
      <c r="M110" s="93"/>
      <c r="N110" s="94">
        <v>1865.0</v>
      </c>
    </row>
    <row r="111">
      <c r="A111" s="87"/>
      <c r="B111" s="37"/>
      <c r="C111" s="38"/>
      <c r="D111" s="95" t="s">
        <v>286</v>
      </c>
      <c r="E111" s="89">
        <v>46190.0</v>
      </c>
      <c r="F111" s="72">
        <v>17.63</v>
      </c>
      <c r="G111" s="90">
        <v>68051.8</v>
      </c>
      <c r="H111" s="91">
        <v>3860.0</v>
      </c>
      <c r="I111" s="92">
        <v>1930.0</v>
      </c>
      <c r="J111" s="92">
        <v>1286.0</v>
      </c>
      <c r="K111" s="92">
        <v>1544.0</v>
      </c>
      <c r="L111" s="90">
        <v>772.0</v>
      </c>
      <c r="M111" s="93"/>
      <c r="N111" s="94">
        <v>3860.0</v>
      </c>
    </row>
    <row r="112">
      <c r="A112" s="87"/>
      <c r="B112" s="37"/>
      <c r="C112" s="38"/>
      <c r="D112" s="95" t="s">
        <v>110</v>
      </c>
      <c r="E112" s="89">
        <v>46194.0</v>
      </c>
      <c r="F112" s="72">
        <v>13200.0</v>
      </c>
      <c r="G112" s="90">
        <v>1927200.0</v>
      </c>
      <c r="H112" s="91">
        <v>146.0</v>
      </c>
      <c r="I112" s="92">
        <v>73.0</v>
      </c>
      <c r="J112" s="92">
        <v>48.0</v>
      </c>
      <c r="K112" s="92">
        <v>58.0</v>
      </c>
      <c r="L112" s="90">
        <v>29.0</v>
      </c>
      <c r="M112" s="93"/>
      <c r="N112" s="94">
        <v>146.0</v>
      </c>
    </row>
    <row r="113">
      <c r="A113" s="87"/>
      <c r="B113" s="37"/>
      <c r="C113" s="38"/>
      <c r="D113" s="95" t="s">
        <v>69</v>
      </c>
      <c r="E113" s="89">
        <v>46127.0</v>
      </c>
      <c r="F113" s="72">
        <v>8283.86</v>
      </c>
      <c r="G113" s="90">
        <v>248515.80000000002</v>
      </c>
      <c r="H113" s="91">
        <v>30.0</v>
      </c>
      <c r="I113" s="92">
        <v>15.0</v>
      </c>
      <c r="J113" s="92">
        <v>10.0</v>
      </c>
      <c r="K113" s="92">
        <v>12.0</v>
      </c>
      <c r="L113" s="90">
        <v>6.0</v>
      </c>
      <c r="M113" s="93"/>
      <c r="N113" s="94">
        <v>30.0</v>
      </c>
    </row>
    <row r="114">
      <c r="A114" s="87"/>
      <c r="B114" s="37"/>
      <c r="C114" s="38"/>
      <c r="D114" s="95" t="s">
        <v>112</v>
      </c>
      <c r="E114" s="89">
        <v>46182.0</v>
      </c>
      <c r="F114" s="72">
        <v>6801.53</v>
      </c>
      <c r="G114" s="90">
        <v>95221.42</v>
      </c>
      <c r="H114" s="91">
        <v>14.0</v>
      </c>
      <c r="I114" s="92">
        <v>7.0</v>
      </c>
      <c r="J114" s="92">
        <v>4.0</v>
      </c>
      <c r="K114" s="92">
        <v>5.0</v>
      </c>
      <c r="L114" s="90">
        <v>2.0</v>
      </c>
      <c r="M114" s="93"/>
      <c r="N114" s="94">
        <v>14.0</v>
      </c>
    </row>
    <row r="115">
      <c r="A115" s="87"/>
      <c r="B115" s="37"/>
      <c r="C115" s="38"/>
      <c r="D115" s="95" t="s">
        <v>248</v>
      </c>
      <c r="E115" s="89">
        <v>46198.0</v>
      </c>
      <c r="F115" s="72">
        <v>8028.84</v>
      </c>
      <c r="G115" s="90">
        <v>8028.84</v>
      </c>
      <c r="H115" s="91">
        <v>1.0</v>
      </c>
      <c r="I115" s="92">
        <v>0.0</v>
      </c>
      <c r="J115" s="92">
        <v>0.0</v>
      </c>
      <c r="K115" s="92">
        <v>0.0</v>
      </c>
      <c r="L115" s="90">
        <v>0.0</v>
      </c>
      <c r="M115" s="93"/>
      <c r="N115" s="94">
        <v>1.0</v>
      </c>
    </row>
    <row r="116">
      <c r="A116" s="87"/>
      <c r="B116" s="37"/>
      <c r="C116" s="38"/>
      <c r="D116" s="95" t="s">
        <v>82</v>
      </c>
      <c r="E116" s="89">
        <v>46157.0</v>
      </c>
      <c r="F116" s="72">
        <v>2904.07</v>
      </c>
      <c r="G116" s="90">
        <v>2904.07</v>
      </c>
      <c r="H116" s="91">
        <v>1.0</v>
      </c>
      <c r="I116" s="92">
        <v>0.0</v>
      </c>
      <c r="J116" s="92">
        <v>0.0</v>
      </c>
      <c r="K116" s="92">
        <v>0.0</v>
      </c>
      <c r="L116" s="90">
        <v>0.0</v>
      </c>
      <c r="M116" s="93"/>
      <c r="N116" s="94">
        <v>1.0</v>
      </c>
    </row>
    <row r="117">
      <c r="A117" s="87"/>
      <c r="B117" s="37"/>
      <c r="C117" s="38"/>
      <c r="D117" s="95" t="s">
        <v>268</v>
      </c>
      <c r="E117" s="89">
        <v>46194.0</v>
      </c>
      <c r="F117" s="72">
        <v>222.05</v>
      </c>
      <c r="G117" s="90">
        <v>266015.9</v>
      </c>
      <c r="H117" s="91">
        <v>1198.0</v>
      </c>
      <c r="I117" s="92">
        <v>599.0</v>
      </c>
      <c r="J117" s="92">
        <v>399.0</v>
      </c>
      <c r="K117" s="92">
        <v>479.0</v>
      </c>
      <c r="L117" s="90">
        <v>239.0</v>
      </c>
      <c r="M117" s="93"/>
      <c r="N117" s="94">
        <v>1198.0</v>
      </c>
    </row>
    <row r="118">
      <c r="A118" s="87"/>
      <c r="B118" s="37"/>
      <c r="C118" s="38"/>
      <c r="D118" s="95" t="s">
        <v>185</v>
      </c>
      <c r="E118" s="89">
        <v>46196.0</v>
      </c>
      <c r="F118" s="72">
        <v>157.5</v>
      </c>
      <c r="G118" s="90">
        <v>15120.0</v>
      </c>
      <c r="H118" s="91">
        <v>96.0</v>
      </c>
      <c r="I118" s="92">
        <v>48.0</v>
      </c>
      <c r="J118" s="92">
        <v>32.0</v>
      </c>
      <c r="K118" s="92">
        <v>38.0</v>
      </c>
      <c r="L118" s="90">
        <v>19.0</v>
      </c>
      <c r="M118" s="93"/>
      <c r="N118" s="94">
        <v>96.0</v>
      </c>
    </row>
    <row r="119">
      <c r="A119" s="87"/>
      <c r="B119" s="37"/>
      <c r="C119" s="38"/>
      <c r="D119" s="95" t="s">
        <v>90</v>
      </c>
      <c r="E119" s="89">
        <v>46172.0</v>
      </c>
      <c r="F119" s="72">
        <v>535.0</v>
      </c>
      <c r="G119" s="90">
        <v>175480.0</v>
      </c>
      <c r="H119" s="91">
        <v>328.0</v>
      </c>
      <c r="I119" s="92">
        <v>164.0</v>
      </c>
      <c r="J119" s="92">
        <v>109.0</v>
      </c>
      <c r="K119" s="92">
        <v>131.0</v>
      </c>
      <c r="L119" s="90">
        <v>65.0</v>
      </c>
      <c r="M119" s="93"/>
      <c r="N119" s="94">
        <v>328.0</v>
      </c>
    </row>
    <row r="120">
      <c r="A120" s="87"/>
      <c r="B120" s="37"/>
      <c r="C120" s="38"/>
      <c r="D120" s="95" t="s">
        <v>271</v>
      </c>
      <c r="E120" s="89">
        <v>46172.0</v>
      </c>
      <c r="F120" s="72">
        <v>455.8</v>
      </c>
      <c r="G120" s="90">
        <v>555164.4</v>
      </c>
      <c r="H120" s="91">
        <v>1218.0</v>
      </c>
      <c r="I120" s="92">
        <v>609.0</v>
      </c>
      <c r="J120" s="92">
        <v>406.0</v>
      </c>
      <c r="K120" s="92">
        <v>487.0</v>
      </c>
      <c r="L120" s="90">
        <v>243.0</v>
      </c>
      <c r="M120" s="93"/>
      <c r="N120" s="94">
        <v>1218.0</v>
      </c>
    </row>
    <row r="121">
      <c r="A121" s="87"/>
      <c r="B121" s="37"/>
      <c r="C121" s="38"/>
      <c r="D121" s="95" t="s">
        <v>122</v>
      </c>
      <c r="E121" s="89">
        <v>46145.0</v>
      </c>
      <c r="F121" s="72">
        <v>395.0872720450282</v>
      </c>
      <c r="G121" s="90">
        <v>437756.69742589124</v>
      </c>
      <c r="H121" s="91">
        <v>1108.0</v>
      </c>
      <c r="I121" s="92">
        <v>554.0</v>
      </c>
      <c r="J121" s="92">
        <v>369.0</v>
      </c>
      <c r="K121" s="92">
        <v>443.0</v>
      </c>
      <c r="L121" s="90">
        <v>221.0</v>
      </c>
      <c r="M121" s="93"/>
      <c r="N121" s="94">
        <v>1108.0</v>
      </c>
    </row>
    <row r="122">
      <c r="A122" s="87"/>
      <c r="B122" s="37"/>
      <c r="C122" s="38"/>
      <c r="D122" s="95" t="s">
        <v>53</v>
      </c>
      <c r="E122" s="89"/>
      <c r="F122" s="72">
        <v>10607.58</v>
      </c>
      <c r="G122" s="90">
        <v>10607.58</v>
      </c>
      <c r="H122" s="91">
        <v>1.0</v>
      </c>
      <c r="I122" s="92">
        <v>0.0</v>
      </c>
      <c r="J122" s="92">
        <v>0.0</v>
      </c>
      <c r="K122" s="92">
        <v>0.0</v>
      </c>
      <c r="L122" s="90">
        <v>0.0</v>
      </c>
      <c r="M122" s="93"/>
      <c r="N122" s="94">
        <v>1.0</v>
      </c>
    </row>
    <row r="123">
      <c r="A123" s="87"/>
      <c r="B123" s="37"/>
      <c r="C123" s="38"/>
      <c r="D123" s="95" t="s">
        <v>247</v>
      </c>
      <c r="E123" s="89">
        <v>46193.0</v>
      </c>
      <c r="F123" s="72">
        <v>1714.37</v>
      </c>
      <c r="G123" s="90">
        <v>533169.07</v>
      </c>
      <c r="H123" s="91">
        <v>311.0</v>
      </c>
      <c r="I123" s="92">
        <v>155.0</v>
      </c>
      <c r="J123" s="92">
        <v>103.0</v>
      </c>
      <c r="K123" s="92">
        <v>124.0</v>
      </c>
      <c r="L123" s="90">
        <v>62.0</v>
      </c>
      <c r="M123" s="93"/>
      <c r="N123" s="94">
        <v>311.0</v>
      </c>
    </row>
    <row r="124">
      <c r="A124" s="87"/>
      <c r="B124" s="37"/>
      <c r="C124" s="38"/>
      <c r="D124" s="95"/>
      <c r="E124" s="89"/>
      <c r="F124" s="72"/>
      <c r="G124" s="90"/>
      <c r="H124" s="91"/>
      <c r="I124" s="92"/>
      <c r="J124" s="92"/>
      <c r="K124" s="92"/>
      <c r="L124" s="90"/>
      <c r="M124" s="93"/>
      <c r="N124" s="94"/>
    </row>
    <row r="125">
      <c r="A125" s="87"/>
      <c r="B125" s="37"/>
      <c r="C125" s="38"/>
      <c r="D125" s="95"/>
      <c r="E125" s="89"/>
      <c r="F125" s="72"/>
      <c r="G125" s="90"/>
      <c r="H125" s="91"/>
      <c r="I125" s="92"/>
      <c r="J125" s="92"/>
      <c r="K125" s="92"/>
      <c r="L125" s="90"/>
      <c r="M125" s="93"/>
      <c r="N125" s="94"/>
    </row>
    <row r="126">
      <c r="A126" s="87"/>
      <c r="B126" s="37"/>
      <c r="C126" s="38"/>
      <c r="D126" s="95"/>
      <c r="E126" s="89"/>
      <c r="F126" s="72"/>
      <c r="G126" s="90"/>
      <c r="H126" s="91"/>
      <c r="I126" s="92"/>
      <c r="J126" s="92"/>
      <c r="K126" s="92"/>
      <c r="L126" s="90"/>
      <c r="M126" s="93"/>
      <c r="N126" s="94"/>
    </row>
    <row r="127">
      <c r="A127" s="87"/>
      <c r="B127" s="37"/>
      <c r="C127" s="38"/>
      <c r="D127" s="95"/>
      <c r="E127" s="89"/>
      <c r="F127" s="72"/>
      <c r="G127" s="90"/>
      <c r="H127" s="91"/>
      <c r="I127" s="92"/>
      <c r="J127" s="92"/>
      <c r="K127" s="92"/>
      <c r="L127" s="90"/>
      <c r="M127" s="93"/>
      <c r="N127" s="94"/>
    </row>
    <row r="128">
      <c r="A128" s="87"/>
      <c r="B128" s="37"/>
      <c r="C128" s="38"/>
      <c r="D128" s="95"/>
      <c r="E128" s="89"/>
      <c r="F128" s="72"/>
      <c r="G128" s="90"/>
      <c r="H128" s="91"/>
      <c r="I128" s="92"/>
      <c r="J128" s="92"/>
      <c r="K128" s="92"/>
      <c r="L128" s="90"/>
      <c r="M128" s="93"/>
      <c r="N128" s="94"/>
    </row>
    <row r="129">
      <c r="A129" s="87"/>
      <c r="B129" s="37"/>
      <c r="C129" s="38"/>
      <c r="D129" s="95"/>
      <c r="E129" s="89"/>
      <c r="F129" s="72"/>
      <c r="G129" s="90"/>
      <c r="H129" s="91"/>
      <c r="I129" s="92"/>
      <c r="J129" s="92"/>
      <c r="K129" s="92"/>
      <c r="L129" s="90"/>
      <c r="M129" s="93"/>
      <c r="N129" s="94"/>
    </row>
    <row r="130">
      <c r="A130" s="87"/>
      <c r="B130" s="37"/>
      <c r="C130" s="38"/>
      <c r="D130" s="95"/>
      <c r="E130" s="89"/>
      <c r="F130" s="72"/>
      <c r="G130" s="90"/>
      <c r="H130" s="91"/>
      <c r="I130" s="92"/>
      <c r="J130" s="92"/>
      <c r="K130" s="92"/>
      <c r="L130" s="90"/>
      <c r="M130" s="93"/>
      <c r="N130" s="94"/>
    </row>
    <row r="131">
      <c r="A131" s="87"/>
      <c r="B131" s="37"/>
      <c r="C131" s="38"/>
      <c r="D131" s="95"/>
      <c r="E131" s="89"/>
      <c r="F131" s="72"/>
      <c r="G131" s="90"/>
      <c r="H131" s="91"/>
      <c r="I131" s="92"/>
      <c r="J131" s="92"/>
      <c r="K131" s="92"/>
      <c r="L131" s="90"/>
      <c r="M131" s="93"/>
      <c r="N131" s="94"/>
    </row>
    <row r="132">
      <c r="A132" s="87"/>
      <c r="B132" s="37"/>
      <c r="C132" s="38"/>
      <c r="D132" s="95"/>
      <c r="E132" s="89"/>
      <c r="F132" s="72"/>
      <c r="G132" s="90"/>
      <c r="H132" s="91"/>
      <c r="I132" s="92"/>
      <c r="J132" s="92"/>
      <c r="K132" s="92"/>
      <c r="L132" s="90"/>
      <c r="M132" s="93"/>
      <c r="N132" s="94"/>
    </row>
    <row r="133">
      <c r="A133" s="87"/>
      <c r="B133" s="37"/>
      <c r="C133" s="38"/>
      <c r="D133" s="95"/>
      <c r="E133" s="89"/>
      <c r="F133" s="72"/>
      <c r="G133" s="90"/>
      <c r="H133" s="91"/>
      <c r="I133" s="92"/>
      <c r="J133" s="92"/>
      <c r="K133" s="92"/>
      <c r="L133" s="90"/>
      <c r="M133" s="93"/>
      <c r="N133" s="94"/>
    </row>
    <row r="134">
      <c r="A134" s="87"/>
      <c r="B134" s="37"/>
      <c r="C134" s="38"/>
      <c r="D134" s="95"/>
      <c r="E134" s="89"/>
      <c r="F134" s="72"/>
      <c r="G134" s="90"/>
      <c r="H134" s="91"/>
      <c r="I134" s="92"/>
      <c r="J134" s="92"/>
      <c r="K134" s="92"/>
      <c r="L134" s="90"/>
      <c r="M134" s="93"/>
      <c r="N134" s="94"/>
    </row>
    <row r="135">
      <c r="A135" s="87"/>
      <c r="B135" s="37"/>
      <c r="C135" s="38"/>
      <c r="D135" s="95"/>
      <c r="E135" s="89"/>
      <c r="F135" s="72"/>
      <c r="G135" s="90"/>
      <c r="H135" s="91"/>
      <c r="I135" s="92"/>
      <c r="J135" s="92"/>
      <c r="K135" s="92"/>
      <c r="L135" s="90"/>
      <c r="M135" s="93"/>
      <c r="N135" s="94"/>
    </row>
    <row r="136">
      <c r="A136" s="87"/>
      <c r="B136" s="37"/>
      <c r="C136" s="38"/>
      <c r="D136" s="95"/>
      <c r="E136" s="89"/>
      <c r="F136" s="72"/>
      <c r="G136" s="90"/>
      <c r="H136" s="91"/>
      <c r="I136" s="92"/>
      <c r="J136" s="92"/>
      <c r="K136" s="92"/>
      <c r="L136" s="90"/>
      <c r="M136" s="93"/>
      <c r="N136" s="94"/>
    </row>
    <row r="137">
      <c r="A137" s="87"/>
      <c r="B137" s="37"/>
      <c r="C137" s="38"/>
      <c r="D137" s="95"/>
      <c r="E137" s="89"/>
      <c r="F137" s="72"/>
      <c r="G137" s="90"/>
      <c r="H137" s="91"/>
      <c r="I137" s="92"/>
      <c r="J137" s="92"/>
      <c r="K137" s="92"/>
      <c r="L137" s="90"/>
      <c r="M137" s="93"/>
      <c r="N137" s="94"/>
    </row>
    <row r="138">
      <c r="A138" s="87"/>
      <c r="B138" s="37"/>
      <c r="C138" s="38"/>
      <c r="D138" s="95"/>
      <c r="E138" s="89"/>
      <c r="F138" s="72"/>
      <c r="G138" s="90"/>
      <c r="H138" s="91"/>
      <c r="I138" s="92"/>
      <c r="J138" s="92"/>
      <c r="K138" s="92"/>
      <c r="L138" s="90"/>
      <c r="M138" s="93"/>
      <c r="N138" s="94"/>
    </row>
    <row r="139">
      <c r="A139" s="87"/>
      <c r="B139" s="37"/>
      <c r="C139" s="38"/>
      <c r="D139" s="95"/>
      <c r="E139" s="89"/>
      <c r="F139" s="72"/>
      <c r="G139" s="90"/>
      <c r="H139" s="91"/>
      <c r="I139" s="92"/>
      <c r="J139" s="92"/>
      <c r="K139" s="92"/>
      <c r="L139" s="90"/>
      <c r="M139" s="93"/>
      <c r="N139" s="94"/>
    </row>
    <row r="140">
      <c r="A140" s="87"/>
      <c r="B140" s="37"/>
      <c r="C140" s="38"/>
      <c r="D140" s="95"/>
      <c r="E140" s="89"/>
      <c r="F140" s="72"/>
      <c r="G140" s="90"/>
      <c r="H140" s="91"/>
      <c r="I140" s="92"/>
      <c r="J140" s="92"/>
      <c r="K140" s="92"/>
      <c r="L140" s="90"/>
      <c r="M140" s="93"/>
      <c r="N140" s="94"/>
    </row>
  </sheetData>
  <conditionalFormatting sqref="D1 E1:G140 H1:J2 K1:N140 D12">
    <cfRule type="cellIs" dxfId="0" priority="1" operator="between">
      <formula>0.001</formula>
      <formula>-0.001</formula>
    </cfRule>
  </conditionalFormatting>
  <conditionalFormatting sqref="D1 E1:G140 H1:J2 K1:N140 D12">
    <cfRule type="cellIs" dxfId="1" priority="2" operator="less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88"/>
    <col customWidth="1" min="3" max="4" width="21.25"/>
    <col customWidth="1" min="5" max="5" width="12.38"/>
    <col customWidth="1" min="6" max="6" width="90.0"/>
  </cols>
  <sheetData>
    <row r="1">
      <c r="A1" s="96" t="s">
        <v>427</v>
      </c>
      <c r="B1" s="97"/>
      <c r="C1" s="97" t="s">
        <v>428</v>
      </c>
      <c r="D1" s="97" t="s">
        <v>429</v>
      </c>
      <c r="E1" s="98" t="s">
        <v>430</v>
      </c>
      <c r="F1" s="98" t="s">
        <v>415</v>
      </c>
    </row>
    <row r="2" hidden="1">
      <c r="E2" s="94"/>
      <c r="F2" s="99"/>
    </row>
    <row r="3">
      <c r="A3" s="55">
        <v>46023.0</v>
      </c>
      <c r="B3" s="11" t="s">
        <v>221</v>
      </c>
      <c r="C3" s="100" t="s">
        <v>312</v>
      </c>
      <c r="D3" s="100" t="s">
        <v>32</v>
      </c>
      <c r="E3" s="101">
        <v>255.0</v>
      </c>
      <c r="F3" s="102"/>
    </row>
    <row r="4">
      <c r="A4" s="55">
        <v>46023.0</v>
      </c>
      <c r="B4" s="11" t="s">
        <v>58</v>
      </c>
      <c r="C4" s="100" t="s">
        <v>312</v>
      </c>
      <c r="D4" s="100" t="s">
        <v>32</v>
      </c>
      <c r="E4" s="101">
        <v>519.0</v>
      </c>
      <c r="F4" s="102"/>
    </row>
    <row r="5">
      <c r="A5" s="55">
        <v>46023.0</v>
      </c>
      <c r="B5" s="11" t="s">
        <v>180</v>
      </c>
      <c r="C5" s="100" t="s">
        <v>312</v>
      </c>
      <c r="D5" s="100" t="s">
        <v>32</v>
      </c>
      <c r="E5" s="101">
        <v>782.0</v>
      </c>
      <c r="F5" s="99"/>
    </row>
    <row r="6">
      <c r="A6" s="55">
        <v>46023.0</v>
      </c>
      <c r="B6" s="11" t="s">
        <v>44</v>
      </c>
      <c r="C6" s="100" t="s">
        <v>312</v>
      </c>
      <c r="D6" s="100" t="s">
        <v>32</v>
      </c>
      <c r="E6" s="101">
        <v>1752.0</v>
      </c>
      <c r="F6" s="99"/>
    </row>
    <row r="7">
      <c r="A7" s="55">
        <v>46023.0</v>
      </c>
      <c r="B7" s="11" t="s">
        <v>49</v>
      </c>
      <c r="C7" s="100" t="s">
        <v>312</v>
      </c>
      <c r="D7" s="100" t="s">
        <v>32</v>
      </c>
      <c r="E7" s="101">
        <v>87.0</v>
      </c>
      <c r="F7" s="99"/>
    </row>
    <row r="8">
      <c r="A8" s="55">
        <v>46023.0</v>
      </c>
      <c r="B8" s="11" t="s">
        <v>50</v>
      </c>
      <c r="C8" s="100" t="s">
        <v>312</v>
      </c>
      <c r="D8" s="100" t="s">
        <v>32</v>
      </c>
      <c r="E8" s="101">
        <v>8.0</v>
      </c>
      <c r="F8" s="99"/>
    </row>
    <row r="9">
      <c r="A9" s="55">
        <v>46023.0</v>
      </c>
      <c r="B9" s="11" t="s">
        <v>173</v>
      </c>
      <c r="C9" s="100" t="s">
        <v>312</v>
      </c>
      <c r="D9" s="100" t="s">
        <v>32</v>
      </c>
      <c r="E9" s="101">
        <v>8.0</v>
      </c>
      <c r="F9" s="99"/>
    </row>
    <row r="10">
      <c r="A10" s="55">
        <v>46023.0</v>
      </c>
      <c r="B10" s="11" t="s">
        <v>147</v>
      </c>
      <c r="C10" s="100" t="s">
        <v>312</v>
      </c>
      <c r="D10" s="100" t="s">
        <v>32</v>
      </c>
      <c r="E10" s="101">
        <v>250.0</v>
      </c>
      <c r="F10" s="99"/>
    </row>
    <row r="11">
      <c r="A11" s="55">
        <v>46023.0</v>
      </c>
      <c r="B11" s="11" t="s">
        <v>293</v>
      </c>
      <c r="C11" s="100" t="s">
        <v>312</v>
      </c>
      <c r="D11" s="100" t="s">
        <v>32</v>
      </c>
      <c r="E11" s="101">
        <v>35.0</v>
      </c>
      <c r="F11" s="99"/>
    </row>
    <row r="12">
      <c r="A12" s="55">
        <v>46023.0</v>
      </c>
      <c r="B12" s="11" t="s">
        <v>67</v>
      </c>
      <c r="C12" s="100" t="s">
        <v>312</v>
      </c>
      <c r="D12" s="100" t="s">
        <v>32</v>
      </c>
      <c r="E12" s="101"/>
      <c r="F12" s="99"/>
    </row>
    <row r="13">
      <c r="A13" s="55">
        <v>46023.0</v>
      </c>
      <c r="B13" s="11" t="s">
        <v>244</v>
      </c>
      <c r="C13" s="100" t="s">
        <v>312</v>
      </c>
      <c r="D13" s="100" t="s">
        <v>32</v>
      </c>
      <c r="E13" s="101">
        <v>221.0</v>
      </c>
      <c r="F13" s="99"/>
    </row>
    <row r="14">
      <c r="A14" s="55">
        <v>46023.0</v>
      </c>
      <c r="B14" s="11" t="s">
        <v>119</v>
      </c>
      <c r="C14" s="100" t="s">
        <v>312</v>
      </c>
      <c r="D14" s="100" t="s">
        <v>32</v>
      </c>
      <c r="E14" s="101">
        <v>6.0</v>
      </c>
      <c r="F14" s="99"/>
    </row>
    <row r="15">
      <c r="A15" s="55">
        <v>46023.0</v>
      </c>
      <c r="B15" s="11" t="s">
        <v>218</v>
      </c>
      <c r="C15" s="100" t="s">
        <v>312</v>
      </c>
      <c r="D15" s="100" t="s">
        <v>32</v>
      </c>
      <c r="E15" s="101">
        <v>24.0</v>
      </c>
      <c r="F15" s="99"/>
    </row>
    <row r="16">
      <c r="A16" s="55">
        <v>46023.0</v>
      </c>
      <c r="B16" s="11" t="s">
        <v>309</v>
      </c>
      <c r="C16" s="100" t="s">
        <v>312</v>
      </c>
      <c r="D16" s="100" t="s">
        <v>32</v>
      </c>
      <c r="E16" s="101">
        <v>-11.0</v>
      </c>
      <c r="F16" s="99"/>
    </row>
    <row r="17">
      <c r="A17" s="55">
        <v>46023.0</v>
      </c>
      <c r="B17" s="11" t="s">
        <v>171</v>
      </c>
      <c r="C17" s="100" t="s">
        <v>312</v>
      </c>
      <c r="D17" s="100" t="s">
        <v>32</v>
      </c>
      <c r="E17" s="101">
        <v>1037.0</v>
      </c>
      <c r="F17" s="99"/>
    </row>
    <row r="18">
      <c r="A18" s="55">
        <v>46023.0</v>
      </c>
      <c r="B18" s="11" t="s">
        <v>304</v>
      </c>
      <c r="C18" s="100" t="s">
        <v>312</v>
      </c>
      <c r="D18" s="100" t="s">
        <v>32</v>
      </c>
      <c r="E18" s="101">
        <v>22.0</v>
      </c>
      <c r="F18" s="99"/>
    </row>
    <row r="19">
      <c r="A19" s="55">
        <v>46023.0</v>
      </c>
      <c r="B19" s="11" t="s">
        <v>239</v>
      </c>
      <c r="C19" s="100" t="s">
        <v>312</v>
      </c>
      <c r="D19" s="100" t="s">
        <v>32</v>
      </c>
      <c r="E19" s="101"/>
      <c r="F19" s="99"/>
    </row>
    <row r="20">
      <c r="A20" s="55">
        <v>46023.0</v>
      </c>
      <c r="B20" s="11" t="s">
        <v>271</v>
      </c>
      <c r="C20" s="100" t="s">
        <v>312</v>
      </c>
      <c r="D20" s="100" t="s">
        <v>32</v>
      </c>
      <c r="E20" s="101">
        <v>20.0</v>
      </c>
      <c r="F20" s="99"/>
    </row>
    <row r="21">
      <c r="A21" s="55">
        <v>46023.0</v>
      </c>
      <c r="B21" s="11" t="s">
        <v>299</v>
      </c>
      <c r="C21" s="100" t="s">
        <v>312</v>
      </c>
      <c r="D21" s="100" t="s">
        <v>32</v>
      </c>
      <c r="E21" s="101">
        <v>101.0</v>
      </c>
      <c r="F21" s="99"/>
    </row>
    <row r="22">
      <c r="A22" s="55">
        <v>46023.0</v>
      </c>
      <c r="B22" s="11" t="s">
        <v>207</v>
      </c>
      <c r="C22" s="100" t="s">
        <v>312</v>
      </c>
      <c r="D22" s="100" t="s">
        <v>32</v>
      </c>
      <c r="E22" s="101">
        <v>67.0</v>
      </c>
      <c r="F22" s="99"/>
    </row>
    <row r="23">
      <c r="A23" s="55">
        <v>46023.0</v>
      </c>
      <c r="B23" s="11" t="s">
        <v>201</v>
      </c>
      <c r="C23" s="100" t="s">
        <v>312</v>
      </c>
      <c r="D23" s="100" t="s">
        <v>32</v>
      </c>
      <c r="E23" s="101">
        <v>119.0</v>
      </c>
      <c r="F23" s="99"/>
    </row>
    <row r="24">
      <c r="A24" s="55">
        <v>46023.0</v>
      </c>
      <c r="B24" s="11" t="s">
        <v>174</v>
      </c>
      <c r="C24" s="100" t="s">
        <v>312</v>
      </c>
      <c r="D24" s="100" t="s">
        <v>32</v>
      </c>
      <c r="E24" s="101">
        <v>191.0</v>
      </c>
      <c r="F24" s="99"/>
    </row>
    <row r="25">
      <c r="A25" s="55">
        <v>46023.0</v>
      </c>
      <c r="B25" s="11" t="s">
        <v>108</v>
      </c>
      <c r="C25" s="100" t="s">
        <v>312</v>
      </c>
      <c r="D25" s="100" t="s">
        <v>32</v>
      </c>
      <c r="E25" s="101">
        <v>31.0</v>
      </c>
      <c r="F25" s="99"/>
    </row>
    <row r="26">
      <c r="A26" s="55">
        <v>46023.0</v>
      </c>
      <c r="B26" s="11" t="s">
        <v>225</v>
      </c>
      <c r="C26" s="100" t="s">
        <v>312</v>
      </c>
      <c r="D26" s="100" t="s">
        <v>32</v>
      </c>
      <c r="E26" s="101">
        <v>14.0</v>
      </c>
      <c r="F26" s="99"/>
    </row>
    <row r="27">
      <c r="A27" s="55">
        <v>46023.0</v>
      </c>
      <c r="B27" s="11" t="s">
        <v>183</v>
      </c>
      <c r="C27" s="100" t="s">
        <v>312</v>
      </c>
      <c r="D27" s="100" t="s">
        <v>32</v>
      </c>
      <c r="E27" s="101">
        <v>159.0</v>
      </c>
      <c r="F27" s="99"/>
    </row>
    <row r="28">
      <c r="A28" s="55">
        <v>46023.0</v>
      </c>
      <c r="B28" s="11" t="s">
        <v>228</v>
      </c>
      <c r="C28" s="100" t="s">
        <v>312</v>
      </c>
      <c r="D28" s="100" t="s">
        <v>32</v>
      </c>
      <c r="E28" s="101"/>
      <c r="F28" s="99"/>
    </row>
    <row r="29">
      <c r="A29" s="55">
        <v>46023.0</v>
      </c>
      <c r="B29" s="11" t="s">
        <v>231</v>
      </c>
      <c r="C29" s="100" t="s">
        <v>312</v>
      </c>
      <c r="D29" s="100" t="s">
        <v>32</v>
      </c>
      <c r="E29" s="101"/>
      <c r="F29" s="99"/>
    </row>
    <row r="30">
      <c r="A30" s="55">
        <v>46023.0</v>
      </c>
      <c r="B30" s="11" t="s">
        <v>290</v>
      </c>
      <c r="C30" s="100" t="s">
        <v>312</v>
      </c>
      <c r="D30" s="100" t="s">
        <v>32</v>
      </c>
      <c r="E30" s="101">
        <v>494.0</v>
      </c>
      <c r="F30" s="99"/>
    </row>
    <row r="31">
      <c r="A31" s="55">
        <v>46023.0</v>
      </c>
      <c r="B31" s="11" t="s">
        <v>209</v>
      </c>
      <c r="C31" s="100" t="s">
        <v>312</v>
      </c>
      <c r="D31" s="100" t="s">
        <v>32</v>
      </c>
      <c r="E31" s="101">
        <v>1000.0</v>
      </c>
      <c r="F31" s="99"/>
    </row>
    <row r="32">
      <c r="A32" s="55">
        <v>46023.0</v>
      </c>
      <c r="B32" s="11" t="s">
        <v>76</v>
      </c>
      <c r="C32" s="100" t="s">
        <v>312</v>
      </c>
      <c r="D32" s="100" t="s">
        <v>32</v>
      </c>
      <c r="E32" s="101">
        <v>932.0</v>
      </c>
      <c r="F32" s="99"/>
    </row>
    <row r="33">
      <c r="A33" s="55">
        <v>46023.0</v>
      </c>
      <c r="B33" s="11" t="s">
        <v>79</v>
      </c>
      <c r="C33" s="100" t="s">
        <v>312</v>
      </c>
      <c r="D33" s="100" t="s">
        <v>32</v>
      </c>
      <c r="E33" s="101">
        <v>802.0</v>
      </c>
      <c r="F33" s="99"/>
    </row>
    <row r="34">
      <c r="A34" s="55">
        <v>46023.0</v>
      </c>
      <c r="B34" s="11" t="s">
        <v>31</v>
      </c>
      <c r="C34" s="100" t="s">
        <v>312</v>
      </c>
      <c r="D34" s="100" t="s">
        <v>32</v>
      </c>
      <c r="E34" s="101"/>
      <c r="F34" s="99"/>
    </row>
    <row r="35">
      <c r="A35" s="55">
        <v>46023.0</v>
      </c>
      <c r="B35" s="11" t="s">
        <v>177</v>
      </c>
      <c r="C35" s="100" t="s">
        <v>312</v>
      </c>
      <c r="D35" s="100" t="s">
        <v>32</v>
      </c>
      <c r="E35" s="101">
        <v>2992.0</v>
      </c>
      <c r="F35" s="99"/>
    </row>
    <row r="36">
      <c r="A36" s="55">
        <v>46023.0</v>
      </c>
      <c r="B36" s="11" t="s">
        <v>294</v>
      </c>
      <c r="C36" s="100" t="s">
        <v>312</v>
      </c>
      <c r="D36" s="100" t="s">
        <v>32</v>
      </c>
      <c r="E36" s="101">
        <v>1748.0</v>
      </c>
      <c r="F36" s="99"/>
    </row>
    <row r="37">
      <c r="A37" s="55">
        <v>46023.0</v>
      </c>
      <c r="B37" s="11" t="s">
        <v>47</v>
      </c>
      <c r="C37" s="100" t="s">
        <v>312</v>
      </c>
      <c r="D37" s="100" t="s">
        <v>32</v>
      </c>
      <c r="E37" s="101">
        <v>4619.0</v>
      </c>
      <c r="F37" s="99"/>
    </row>
    <row r="38">
      <c r="A38" s="55">
        <v>46023.0</v>
      </c>
      <c r="B38" s="11" t="s">
        <v>143</v>
      </c>
      <c r="C38" s="100" t="s">
        <v>312</v>
      </c>
      <c r="D38" s="100" t="s">
        <v>32</v>
      </c>
      <c r="E38" s="101">
        <v>1214.0</v>
      </c>
      <c r="F38" s="99"/>
    </row>
    <row r="39">
      <c r="A39" s="55">
        <v>46023.0</v>
      </c>
      <c r="B39" s="11" t="s">
        <v>74</v>
      </c>
      <c r="C39" s="100" t="s">
        <v>312</v>
      </c>
      <c r="D39" s="100" t="s">
        <v>32</v>
      </c>
      <c r="E39" s="101">
        <v>423.0</v>
      </c>
      <c r="F39" s="99"/>
    </row>
    <row r="40">
      <c r="A40" s="55">
        <v>46023.0</v>
      </c>
      <c r="B40" s="11" t="s">
        <v>204</v>
      </c>
      <c r="C40" s="100" t="s">
        <v>312</v>
      </c>
      <c r="D40" s="100" t="s">
        <v>32</v>
      </c>
      <c r="E40" s="101">
        <v>1021.0</v>
      </c>
      <c r="F40" s="99"/>
    </row>
    <row r="41">
      <c r="A41" s="55">
        <v>46023.0</v>
      </c>
      <c r="B41" s="11" t="s">
        <v>115</v>
      </c>
      <c r="C41" s="100" t="s">
        <v>312</v>
      </c>
      <c r="D41" s="100" t="s">
        <v>32</v>
      </c>
      <c r="E41" s="101">
        <v>412.0</v>
      </c>
      <c r="F41" s="99"/>
    </row>
    <row r="42">
      <c r="A42" s="55">
        <v>46023.0</v>
      </c>
      <c r="B42" s="11" t="s">
        <v>105</v>
      </c>
      <c r="C42" s="100" t="s">
        <v>312</v>
      </c>
      <c r="D42" s="100" t="s">
        <v>32</v>
      </c>
      <c r="E42" s="101">
        <v>552.0</v>
      </c>
      <c r="F42" s="99"/>
    </row>
    <row r="43">
      <c r="A43" s="55">
        <v>46023.0</v>
      </c>
      <c r="B43" s="11" t="s">
        <v>237</v>
      </c>
      <c r="C43" s="100" t="s">
        <v>312</v>
      </c>
      <c r="D43" s="100" t="s">
        <v>32</v>
      </c>
      <c r="E43" s="101">
        <v>344.0</v>
      </c>
      <c r="F43" s="99"/>
    </row>
    <row r="44">
      <c r="A44" s="55">
        <v>46023.0</v>
      </c>
      <c r="B44" s="11" t="s">
        <v>150</v>
      </c>
      <c r="C44" s="100" t="s">
        <v>312</v>
      </c>
      <c r="D44" s="100" t="s">
        <v>32</v>
      </c>
      <c r="E44" s="101">
        <v>5600.0</v>
      </c>
      <c r="F44" s="99"/>
    </row>
    <row r="45">
      <c r="A45" s="55">
        <v>46023.0</v>
      </c>
      <c r="B45" s="11" t="s">
        <v>132</v>
      </c>
      <c r="C45" s="100" t="s">
        <v>312</v>
      </c>
      <c r="D45" s="100" t="s">
        <v>32</v>
      </c>
      <c r="E45" s="101">
        <v>3120.0</v>
      </c>
      <c r="F45" s="99"/>
    </row>
    <row r="46">
      <c r="A46" s="55">
        <v>46023.0</v>
      </c>
      <c r="B46" s="11" t="s">
        <v>124</v>
      </c>
      <c r="C46" s="100" t="s">
        <v>312</v>
      </c>
      <c r="D46" s="100" t="s">
        <v>32</v>
      </c>
      <c r="E46" s="101">
        <v>5240.0</v>
      </c>
      <c r="F46" s="99"/>
    </row>
    <row r="47">
      <c r="A47" s="55">
        <v>46023.0</v>
      </c>
      <c r="B47" s="11" t="s">
        <v>187</v>
      </c>
      <c r="C47" s="100" t="s">
        <v>312</v>
      </c>
      <c r="D47" s="100" t="s">
        <v>32</v>
      </c>
      <c r="E47" s="101">
        <v>2440.0</v>
      </c>
      <c r="F47" s="99"/>
    </row>
    <row r="48">
      <c r="A48" s="55">
        <v>46023.0</v>
      </c>
      <c r="B48" s="11" t="s">
        <v>127</v>
      </c>
      <c r="C48" s="100" t="s">
        <v>312</v>
      </c>
      <c r="D48" s="100" t="s">
        <v>32</v>
      </c>
      <c r="E48" s="101">
        <v>1560.0</v>
      </c>
      <c r="F48" s="99"/>
    </row>
    <row r="49">
      <c r="A49" s="55">
        <v>46023.0</v>
      </c>
      <c r="B49" s="11" t="s">
        <v>287</v>
      </c>
      <c r="C49" s="100" t="s">
        <v>312</v>
      </c>
      <c r="D49" s="100" t="s">
        <v>32</v>
      </c>
      <c r="E49" s="101">
        <v>2600.0</v>
      </c>
      <c r="F49" s="99"/>
    </row>
    <row r="50">
      <c r="A50" s="55">
        <v>46023.0</v>
      </c>
      <c r="B50" s="11" t="s">
        <v>256</v>
      </c>
      <c r="C50" s="100" t="s">
        <v>312</v>
      </c>
      <c r="D50" s="100" t="s">
        <v>32</v>
      </c>
      <c r="E50" s="101"/>
      <c r="F50" s="99"/>
    </row>
    <row r="51">
      <c r="A51" s="55">
        <v>46023.0</v>
      </c>
      <c r="B51" s="11" t="s">
        <v>301</v>
      </c>
      <c r="C51" s="100" t="s">
        <v>312</v>
      </c>
      <c r="D51" s="100" t="s">
        <v>32</v>
      </c>
      <c r="E51" s="101">
        <v>23.0</v>
      </c>
      <c r="F51" s="99"/>
    </row>
    <row r="52">
      <c r="A52" s="55">
        <v>46023.0</v>
      </c>
      <c r="B52" s="11" t="s">
        <v>134</v>
      </c>
      <c r="C52" s="100" t="s">
        <v>312</v>
      </c>
      <c r="D52" s="100" t="s">
        <v>32</v>
      </c>
      <c r="E52" s="101">
        <v>24.0</v>
      </c>
      <c r="F52" s="99"/>
    </row>
    <row r="53">
      <c r="A53" s="55">
        <v>46023.0</v>
      </c>
      <c r="B53" s="11" t="s">
        <v>297</v>
      </c>
      <c r="C53" s="100" t="s">
        <v>312</v>
      </c>
      <c r="D53" s="100" t="s">
        <v>32</v>
      </c>
      <c r="E53" s="101">
        <v>109.0</v>
      </c>
      <c r="F53" s="99"/>
    </row>
    <row r="54">
      <c r="A54" s="55">
        <v>46023.0</v>
      </c>
      <c r="B54" s="11" t="s">
        <v>55</v>
      </c>
      <c r="C54" s="100" t="s">
        <v>312</v>
      </c>
      <c r="D54" s="100" t="s">
        <v>32</v>
      </c>
      <c r="E54" s="101">
        <v>5.0</v>
      </c>
      <c r="F54" s="99"/>
    </row>
    <row r="55">
      <c r="A55" s="55">
        <v>46023.0</v>
      </c>
      <c r="B55" s="11" t="s">
        <v>152</v>
      </c>
      <c r="C55" s="100" t="s">
        <v>312</v>
      </c>
      <c r="D55" s="100" t="s">
        <v>32</v>
      </c>
      <c r="E55" s="101">
        <v>62.0</v>
      </c>
      <c r="F55" s="99"/>
    </row>
    <row r="56">
      <c r="A56" s="55">
        <v>46023.0</v>
      </c>
      <c r="B56" s="11" t="s">
        <v>272</v>
      </c>
      <c r="C56" s="100" t="s">
        <v>312</v>
      </c>
      <c r="D56" s="100" t="s">
        <v>32</v>
      </c>
      <c r="E56" s="101">
        <v>2690.0</v>
      </c>
      <c r="F56" s="99"/>
    </row>
    <row r="57">
      <c r="A57" s="55">
        <v>46023.0</v>
      </c>
      <c r="B57" s="11" t="s">
        <v>253</v>
      </c>
      <c r="C57" s="100" t="s">
        <v>312</v>
      </c>
      <c r="D57" s="100" t="s">
        <v>32</v>
      </c>
      <c r="E57" s="101">
        <v>964.0</v>
      </c>
      <c r="F57" s="99"/>
    </row>
    <row r="58">
      <c r="A58" s="55">
        <v>46023.0</v>
      </c>
      <c r="B58" s="11" t="s">
        <v>274</v>
      </c>
      <c r="C58" s="100" t="s">
        <v>312</v>
      </c>
      <c r="D58" s="100" t="s">
        <v>32</v>
      </c>
      <c r="E58" s="101">
        <v>983.0</v>
      </c>
      <c r="F58" s="99"/>
    </row>
    <row r="59">
      <c r="A59" s="55">
        <v>46023.0</v>
      </c>
      <c r="B59" s="11" t="s">
        <v>141</v>
      </c>
      <c r="C59" s="100" t="s">
        <v>312</v>
      </c>
      <c r="D59" s="100" t="s">
        <v>32</v>
      </c>
      <c r="E59" s="101">
        <v>2525.0</v>
      </c>
      <c r="F59" s="99"/>
    </row>
    <row r="60">
      <c r="A60" s="55">
        <v>46023.0</v>
      </c>
      <c r="B60" s="11" t="s">
        <v>102</v>
      </c>
      <c r="C60" s="100" t="s">
        <v>312</v>
      </c>
      <c r="D60" s="100" t="s">
        <v>32</v>
      </c>
      <c r="E60" s="101">
        <v>490.0</v>
      </c>
      <c r="F60" s="99"/>
    </row>
    <row r="61">
      <c r="A61" s="55">
        <v>46023.0</v>
      </c>
      <c r="B61" s="11" t="s">
        <v>63</v>
      </c>
      <c r="C61" s="100" t="s">
        <v>312</v>
      </c>
      <c r="D61" s="100" t="s">
        <v>32</v>
      </c>
      <c r="E61" s="101">
        <v>119.0</v>
      </c>
      <c r="F61" s="99"/>
    </row>
    <row r="62">
      <c r="A62" s="55">
        <v>46023.0</v>
      </c>
      <c r="B62" s="11" t="s">
        <v>259</v>
      </c>
      <c r="C62" s="100" t="s">
        <v>312</v>
      </c>
      <c r="D62" s="100" t="s">
        <v>32</v>
      </c>
      <c r="E62" s="101">
        <v>1825.0</v>
      </c>
      <c r="F62" s="99"/>
    </row>
    <row r="63">
      <c r="A63" s="55">
        <v>46023.0</v>
      </c>
      <c r="B63" s="11" t="s">
        <v>211</v>
      </c>
      <c r="C63" s="100" t="s">
        <v>312</v>
      </c>
      <c r="D63" s="100" t="s">
        <v>32</v>
      </c>
      <c r="E63" s="101">
        <v>1070.0</v>
      </c>
      <c r="F63" s="99"/>
    </row>
    <row r="64">
      <c r="A64" s="55">
        <v>46023.0</v>
      </c>
      <c r="B64" s="11" t="s">
        <v>261</v>
      </c>
      <c r="C64" s="100" t="s">
        <v>312</v>
      </c>
      <c r="D64" s="100" t="s">
        <v>32</v>
      </c>
      <c r="E64" s="101">
        <v>200.0</v>
      </c>
      <c r="F64" s="99"/>
    </row>
    <row r="65">
      <c r="A65" s="55">
        <v>46023.0</v>
      </c>
      <c r="B65" s="11" t="s">
        <v>242</v>
      </c>
      <c r="C65" s="100" t="s">
        <v>312</v>
      </c>
      <c r="D65" s="100" t="s">
        <v>32</v>
      </c>
      <c r="E65" s="101">
        <v>1490.0</v>
      </c>
      <c r="F65" s="99"/>
    </row>
    <row r="66">
      <c r="A66" s="55">
        <v>46023.0</v>
      </c>
      <c r="B66" s="11" t="s">
        <v>213</v>
      </c>
      <c r="C66" s="100" t="s">
        <v>312</v>
      </c>
      <c r="D66" s="100" t="s">
        <v>32</v>
      </c>
      <c r="E66" s="101">
        <v>1954.0</v>
      </c>
      <c r="F66" s="99"/>
    </row>
    <row r="67">
      <c r="A67" s="55">
        <v>46023.0</v>
      </c>
      <c r="B67" s="11" t="s">
        <v>190</v>
      </c>
      <c r="C67" s="100" t="s">
        <v>312</v>
      </c>
      <c r="D67" s="100" t="s">
        <v>32</v>
      </c>
      <c r="E67" s="101">
        <v>1080.0</v>
      </c>
      <c r="F67" s="99"/>
    </row>
    <row r="68">
      <c r="A68" s="55">
        <v>46023.0</v>
      </c>
      <c r="B68" s="11" t="s">
        <v>214</v>
      </c>
      <c r="C68" s="100" t="s">
        <v>312</v>
      </c>
      <c r="D68" s="100" t="s">
        <v>32</v>
      </c>
      <c r="E68" s="101"/>
      <c r="F68" s="99"/>
    </row>
    <row r="69">
      <c r="A69" s="55">
        <v>46023.0</v>
      </c>
      <c r="B69" s="11" t="s">
        <v>234</v>
      </c>
      <c r="C69" s="100" t="s">
        <v>312</v>
      </c>
      <c r="D69" s="100" t="s">
        <v>32</v>
      </c>
      <c r="E69" s="101">
        <v>75.0</v>
      </c>
      <c r="F69" s="99"/>
    </row>
    <row r="70">
      <c r="A70" s="55">
        <v>46023.0</v>
      </c>
      <c r="B70" s="11" t="s">
        <v>93</v>
      </c>
      <c r="C70" s="100" t="s">
        <v>312</v>
      </c>
      <c r="D70" s="100" t="s">
        <v>32</v>
      </c>
      <c r="E70" s="101">
        <v>17.0</v>
      </c>
      <c r="F70" s="99"/>
    </row>
    <row r="71">
      <c r="A71" s="55">
        <v>46023.0</v>
      </c>
      <c r="B71" s="11" t="s">
        <v>96</v>
      </c>
      <c r="C71" s="100" t="s">
        <v>312</v>
      </c>
      <c r="D71" s="100" t="s">
        <v>32</v>
      </c>
      <c r="E71" s="101">
        <v>794.0</v>
      </c>
      <c r="F71" s="99"/>
    </row>
    <row r="72">
      <c r="A72" s="55">
        <v>46023.0</v>
      </c>
      <c r="B72" s="11" t="s">
        <v>215</v>
      </c>
      <c r="C72" s="100" t="s">
        <v>312</v>
      </c>
      <c r="D72" s="100" t="s">
        <v>32</v>
      </c>
      <c r="E72" s="101">
        <v>90.0</v>
      </c>
      <c r="F72" s="99"/>
    </row>
    <row r="73">
      <c r="A73" s="55">
        <v>46023.0</v>
      </c>
      <c r="B73" s="11" t="s">
        <v>262</v>
      </c>
      <c r="C73" s="100" t="s">
        <v>312</v>
      </c>
      <c r="D73" s="100" t="s">
        <v>32</v>
      </c>
      <c r="E73" s="101">
        <v>1000.0</v>
      </c>
      <c r="F73" s="99"/>
    </row>
    <row r="74">
      <c r="A74" s="55">
        <v>46023.0</v>
      </c>
      <c r="B74" s="11" t="s">
        <v>263</v>
      </c>
      <c r="C74" s="100" t="s">
        <v>312</v>
      </c>
      <c r="D74" s="100" t="s">
        <v>32</v>
      </c>
      <c r="E74" s="101">
        <v>1000.0</v>
      </c>
      <c r="F74" s="99"/>
    </row>
    <row r="75">
      <c r="A75" s="55">
        <v>46023.0</v>
      </c>
      <c r="B75" s="11" t="s">
        <v>216</v>
      </c>
      <c r="C75" s="100" t="s">
        <v>312</v>
      </c>
      <c r="D75" s="100" t="s">
        <v>32</v>
      </c>
      <c r="E75" s="101">
        <v>1000.0</v>
      </c>
      <c r="F75" s="99"/>
    </row>
    <row r="76">
      <c r="A76" s="55">
        <v>46023.0</v>
      </c>
      <c r="B76" s="11" t="s">
        <v>264</v>
      </c>
      <c r="C76" s="100" t="s">
        <v>312</v>
      </c>
      <c r="D76" s="100" t="s">
        <v>32</v>
      </c>
      <c r="E76" s="101">
        <v>480.0</v>
      </c>
      <c r="F76" s="99"/>
    </row>
    <row r="77">
      <c r="A77" s="55">
        <v>46023.0</v>
      </c>
      <c r="B77" s="11" t="s">
        <v>265</v>
      </c>
      <c r="C77" s="100" t="s">
        <v>312</v>
      </c>
      <c r="D77" s="100" t="s">
        <v>32</v>
      </c>
      <c r="E77" s="101">
        <v>400.0</v>
      </c>
      <c r="F77" s="99"/>
    </row>
    <row r="78">
      <c r="A78" s="55">
        <v>46023.0</v>
      </c>
      <c r="B78" s="11" t="s">
        <v>217</v>
      </c>
      <c r="C78" s="100" t="s">
        <v>312</v>
      </c>
      <c r="D78" s="100" t="s">
        <v>32</v>
      </c>
      <c r="E78" s="101"/>
      <c r="F78" s="99"/>
    </row>
    <row r="79">
      <c r="A79" s="55">
        <v>46023.0</v>
      </c>
      <c r="B79" s="11" t="s">
        <v>65</v>
      </c>
      <c r="C79" s="100" t="s">
        <v>312</v>
      </c>
      <c r="D79" s="100" t="s">
        <v>32</v>
      </c>
      <c r="E79" s="101">
        <v>103.0</v>
      </c>
      <c r="F79" s="99"/>
    </row>
    <row r="80">
      <c r="A80" s="55">
        <v>46023.0</v>
      </c>
      <c r="B80" s="11" t="s">
        <v>42</v>
      </c>
      <c r="C80" s="100" t="s">
        <v>312</v>
      </c>
      <c r="D80" s="100" t="s">
        <v>32</v>
      </c>
      <c r="E80" s="101"/>
      <c r="F80" s="99"/>
    </row>
    <row r="81">
      <c r="A81" s="55">
        <v>46023.0</v>
      </c>
      <c r="B81" s="11" t="s">
        <v>85</v>
      </c>
      <c r="C81" s="100" t="s">
        <v>312</v>
      </c>
      <c r="D81" s="100" t="s">
        <v>32</v>
      </c>
      <c r="E81" s="101">
        <v>295.0</v>
      </c>
      <c r="F81" s="99"/>
    </row>
    <row r="82">
      <c r="A82" s="55">
        <v>46023.0</v>
      </c>
      <c r="B82" s="11" t="s">
        <v>157</v>
      </c>
      <c r="C82" s="100" t="s">
        <v>312</v>
      </c>
      <c r="D82" s="100" t="s">
        <v>32</v>
      </c>
      <c r="E82" s="101">
        <v>171.0</v>
      </c>
      <c r="F82" s="99"/>
    </row>
    <row r="83">
      <c r="A83" s="55">
        <v>46023.0</v>
      </c>
      <c r="B83" s="11" t="s">
        <v>266</v>
      </c>
      <c r="C83" s="100" t="s">
        <v>312</v>
      </c>
      <c r="D83" s="100" t="s">
        <v>32</v>
      </c>
      <c r="E83" s="101">
        <v>47.0</v>
      </c>
      <c r="F83" s="99"/>
    </row>
    <row r="84">
      <c r="A84" s="55">
        <v>46023.0</v>
      </c>
      <c r="B84" s="11" t="s">
        <v>88</v>
      </c>
      <c r="C84" s="100" t="s">
        <v>312</v>
      </c>
      <c r="D84" s="100" t="s">
        <v>32</v>
      </c>
      <c r="E84" s="101">
        <v>1254.0</v>
      </c>
      <c r="F84" s="99"/>
    </row>
    <row r="85">
      <c r="A85" s="55">
        <v>46023.0</v>
      </c>
      <c r="B85" s="11" t="s">
        <v>136</v>
      </c>
      <c r="C85" s="100" t="s">
        <v>312</v>
      </c>
      <c r="D85" s="100" t="s">
        <v>32</v>
      </c>
      <c r="E85" s="101">
        <v>930.0</v>
      </c>
      <c r="F85" s="99"/>
    </row>
    <row r="86">
      <c r="A86" s="55">
        <v>46023.0</v>
      </c>
      <c r="B86" s="11" t="s">
        <v>159</v>
      </c>
      <c r="C86" s="100" t="s">
        <v>312</v>
      </c>
      <c r="D86" s="100" t="s">
        <v>32</v>
      </c>
      <c r="E86" s="101">
        <v>900.0</v>
      </c>
      <c r="F86" s="99"/>
    </row>
    <row r="87">
      <c r="A87" s="55">
        <v>46023.0</v>
      </c>
      <c r="B87" s="11" t="s">
        <v>162</v>
      </c>
      <c r="C87" s="100" t="s">
        <v>312</v>
      </c>
      <c r="D87" s="100" t="s">
        <v>32</v>
      </c>
      <c r="E87" s="101">
        <v>1585.0</v>
      </c>
      <c r="F87" s="99"/>
    </row>
    <row r="88">
      <c r="A88" s="55">
        <v>46023.0</v>
      </c>
      <c r="B88" s="11" t="s">
        <v>275</v>
      </c>
      <c r="C88" s="100" t="s">
        <v>312</v>
      </c>
      <c r="D88" s="100" t="s">
        <v>32</v>
      </c>
      <c r="E88" s="101">
        <v>1000.0</v>
      </c>
      <c r="F88" s="99"/>
    </row>
    <row r="89">
      <c r="A89" s="55">
        <v>46023.0</v>
      </c>
      <c r="B89" s="11" t="s">
        <v>278</v>
      </c>
      <c r="C89" s="100" t="s">
        <v>312</v>
      </c>
      <c r="D89" s="100" t="s">
        <v>32</v>
      </c>
      <c r="E89" s="101">
        <v>1000.0</v>
      </c>
      <c r="F89" s="99"/>
    </row>
    <row r="90">
      <c r="A90" s="55">
        <v>46023.0</v>
      </c>
      <c r="B90" s="11" t="s">
        <v>193</v>
      </c>
      <c r="C90" s="100" t="s">
        <v>312</v>
      </c>
      <c r="D90" s="100" t="s">
        <v>32</v>
      </c>
      <c r="E90" s="101">
        <v>1000.0</v>
      </c>
      <c r="F90" s="99"/>
    </row>
    <row r="91">
      <c r="A91" s="55">
        <v>46023.0</v>
      </c>
      <c r="B91" s="11" t="s">
        <v>196</v>
      </c>
      <c r="C91" s="100" t="s">
        <v>312</v>
      </c>
      <c r="D91" s="100" t="s">
        <v>32</v>
      </c>
      <c r="E91" s="101">
        <v>1890.0</v>
      </c>
      <c r="F91" s="99"/>
    </row>
    <row r="92">
      <c r="A92" s="55">
        <v>46023.0</v>
      </c>
      <c r="B92" s="11" t="s">
        <v>163</v>
      </c>
      <c r="C92" s="100" t="s">
        <v>312</v>
      </c>
      <c r="D92" s="100" t="s">
        <v>32</v>
      </c>
      <c r="E92" s="101">
        <v>1000.0</v>
      </c>
      <c r="F92" s="99"/>
    </row>
    <row r="93">
      <c r="A93" s="55">
        <v>46023.0</v>
      </c>
      <c r="B93" s="11" t="s">
        <v>279</v>
      </c>
      <c r="C93" s="100" t="s">
        <v>312</v>
      </c>
      <c r="D93" s="100" t="s">
        <v>32</v>
      </c>
      <c r="E93" s="101">
        <v>1270.0</v>
      </c>
      <c r="F93" s="99"/>
    </row>
    <row r="94">
      <c r="A94" s="55">
        <v>46023.0</v>
      </c>
      <c r="B94" s="11" t="s">
        <v>280</v>
      </c>
      <c r="C94" s="100" t="s">
        <v>312</v>
      </c>
      <c r="D94" s="100" t="s">
        <v>32</v>
      </c>
      <c r="E94" s="101">
        <v>1000.0</v>
      </c>
      <c r="F94" s="99"/>
    </row>
    <row r="95">
      <c r="A95" s="55">
        <v>46023.0</v>
      </c>
      <c r="B95" s="11" t="s">
        <v>128</v>
      </c>
      <c r="C95" s="100" t="s">
        <v>312</v>
      </c>
      <c r="D95" s="100" t="s">
        <v>32</v>
      </c>
      <c r="E95" s="101">
        <v>4562.0</v>
      </c>
      <c r="F95" s="99"/>
    </row>
    <row r="96">
      <c r="A96" s="55">
        <v>46023.0</v>
      </c>
      <c r="B96" s="11" t="s">
        <v>197</v>
      </c>
      <c r="C96" s="100" t="s">
        <v>312</v>
      </c>
      <c r="D96" s="100" t="s">
        <v>32</v>
      </c>
      <c r="E96" s="101">
        <v>1960.0</v>
      </c>
      <c r="F96" s="99"/>
    </row>
    <row r="97">
      <c r="A97" s="55">
        <v>46023.0</v>
      </c>
      <c r="B97" s="11" t="s">
        <v>131</v>
      </c>
      <c r="C97" s="100" t="s">
        <v>312</v>
      </c>
      <c r="D97" s="100" t="s">
        <v>32</v>
      </c>
      <c r="E97" s="101">
        <v>4995.0</v>
      </c>
      <c r="F97" s="99"/>
    </row>
    <row r="98">
      <c r="A98" s="55">
        <v>46023.0</v>
      </c>
      <c r="B98" s="11" t="s">
        <v>198</v>
      </c>
      <c r="C98" s="100" t="s">
        <v>312</v>
      </c>
      <c r="D98" s="100" t="s">
        <v>32</v>
      </c>
      <c r="E98" s="101">
        <v>1000.0</v>
      </c>
      <c r="F98" s="99"/>
    </row>
    <row r="99">
      <c r="A99" s="55">
        <v>46023.0</v>
      </c>
      <c r="B99" s="11" t="s">
        <v>164</v>
      </c>
      <c r="C99" s="100" t="s">
        <v>312</v>
      </c>
      <c r="D99" s="100" t="s">
        <v>32</v>
      </c>
      <c r="E99" s="101">
        <v>1000.0</v>
      </c>
      <c r="F99" s="99"/>
    </row>
    <row r="100">
      <c r="A100" s="55">
        <v>46023.0</v>
      </c>
      <c r="B100" s="11" t="s">
        <v>281</v>
      </c>
      <c r="C100" s="100" t="s">
        <v>312</v>
      </c>
      <c r="D100" s="100" t="s">
        <v>32</v>
      </c>
      <c r="E100" s="101">
        <v>870.0</v>
      </c>
      <c r="F100" s="99"/>
    </row>
    <row r="101">
      <c r="A101" s="55">
        <v>46023.0</v>
      </c>
      <c r="B101" s="11" t="s">
        <v>199</v>
      </c>
      <c r="C101" s="100" t="s">
        <v>312</v>
      </c>
      <c r="D101" s="100" t="s">
        <v>32</v>
      </c>
      <c r="E101" s="101">
        <v>1980.0</v>
      </c>
      <c r="F101" s="99"/>
    </row>
    <row r="102">
      <c r="A102" s="55">
        <v>46023.0</v>
      </c>
      <c r="B102" s="11" t="s">
        <v>168</v>
      </c>
      <c r="C102" s="100" t="s">
        <v>312</v>
      </c>
      <c r="D102" s="100" t="s">
        <v>32</v>
      </c>
      <c r="E102" s="101">
        <v>1289.0</v>
      </c>
      <c r="F102" s="99"/>
    </row>
    <row r="103">
      <c r="A103" s="55">
        <v>46023.0</v>
      </c>
      <c r="B103" s="11" t="s">
        <v>61</v>
      </c>
      <c r="C103" s="100" t="s">
        <v>312</v>
      </c>
      <c r="D103" s="100" t="s">
        <v>32</v>
      </c>
      <c r="E103" s="101">
        <v>1000.0</v>
      </c>
      <c r="F103" s="99"/>
    </row>
    <row r="104">
      <c r="A104" s="55">
        <v>46023.0</v>
      </c>
      <c r="B104" s="11" t="s">
        <v>200</v>
      </c>
      <c r="C104" s="100" t="s">
        <v>312</v>
      </c>
      <c r="D104" s="100" t="s">
        <v>32</v>
      </c>
      <c r="E104" s="101">
        <v>1890.0</v>
      </c>
      <c r="F104" s="99"/>
    </row>
    <row r="105">
      <c r="A105" s="55">
        <v>46023.0</v>
      </c>
      <c r="B105" s="11" t="s">
        <v>165</v>
      </c>
      <c r="C105" s="100" t="s">
        <v>312</v>
      </c>
      <c r="D105" s="100" t="s">
        <v>32</v>
      </c>
      <c r="E105" s="101"/>
      <c r="F105" s="99"/>
    </row>
    <row r="106">
      <c r="A106" s="55">
        <v>46023.0</v>
      </c>
      <c r="B106" s="11" t="s">
        <v>283</v>
      </c>
      <c r="C106" s="100" t="s">
        <v>312</v>
      </c>
      <c r="D106" s="100" t="s">
        <v>32</v>
      </c>
      <c r="E106" s="101">
        <v>900.0</v>
      </c>
      <c r="F106" s="99"/>
    </row>
    <row r="107">
      <c r="A107" s="55">
        <v>46023.0</v>
      </c>
      <c r="B107" s="11" t="s">
        <v>36</v>
      </c>
      <c r="C107" s="100" t="s">
        <v>312</v>
      </c>
      <c r="D107" s="100" t="s">
        <v>32</v>
      </c>
      <c r="E107" s="101"/>
      <c r="F107" s="99"/>
    </row>
    <row r="108">
      <c r="A108" s="55">
        <v>46023.0</v>
      </c>
      <c r="B108" s="11" t="s">
        <v>284</v>
      </c>
      <c r="C108" s="100" t="s">
        <v>312</v>
      </c>
      <c r="D108" s="100" t="s">
        <v>32</v>
      </c>
      <c r="E108" s="101"/>
      <c r="F108" s="99"/>
    </row>
    <row r="109">
      <c r="A109" s="55">
        <v>46023.0</v>
      </c>
      <c r="B109" s="11" t="s">
        <v>71</v>
      </c>
      <c r="C109" s="100" t="s">
        <v>312</v>
      </c>
      <c r="D109" s="100" t="s">
        <v>32</v>
      </c>
      <c r="E109" s="101">
        <v>1960.0</v>
      </c>
      <c r="F109" s="99"/>
    </row>
    <row r="110">
      <c r="A110" s="55">
        <v>46023.0</v>
      </c>
      <c r="B110" s="11" t="s">
        <v>166</v>
      </c>
      <c r="C110" s="100" t="s">
        <v>312</v>
      </c>
      <c r="D110" s="100" t="s">
        <v>32</v>
      </c>
      <c r="E110" s="101">
        <v>990.0</v>
      </c>
      <c r="F110" s="99"/>
    </row>
    <row r="111">
      <c r="A111" s="55">
        <v>46023.0</v>
      </c>
      <c r="B111" s="11" t="s">
        <v>40</v>
      </c>
      <c r="C111" s="100" t="s">
        <v>312</v>
      </c>
      <c r="D111" s="100" t="s">
        <v>32</v>
      </c>
      <c r="E111" s="101"/>
      <c r="F111" s="99"/>
    </row>
    <row r="112">
      <c r="A112" s="55">
        <v>46023.0</v>
      </c>
      <c r="B112" s="11" t="s">
        <v>167</v>
      </c>
      <c r="C112" s="100" t="s">
        <v>312</v>
      </c>
      <c r="D112" s="100" t="s">
        <v>32</v>
      </c>
      <c r="E112" s="101">
        <v>4000.0</v>
      </c>
      <c r="F112" s="99"/>
    </row>
    <row r="113">
      <c r="A113" s="55">
        <v>46023.0</v>
      </c>
      <c r="B113" s="11" t="s">
        <v>285</v>
      </c>
      <c r="C113" s="100" t="s">
        <v>312</v>
      </c>
      <c r="D113" s="100" t="s">
        <v>32</v>
      </c>
      <c r="E113" s="101">
        <v>1000.0</v>
      </c>
      <c r="F113" s="99"/>
    </row>
    <row r="114">
      <c r="A114" s="55">
        <v>46023.0</v>
      </c>
      <c r="B114" s="11" t="s">
        <v>286</v>
      </c>
      <c r="C114" s="100" t="s">
        <v>312</v>
      </c>
      <c r="D114" s="100" t="s">
        <v>32</v>
      </c>
      <c r="E114" s="101"/>
      <c r="F114" s="99"/>
    </row>
    <row r="115">
      <c r="A115" s="55">
        <v>46023.0</v>
      </c>
      <c r="B115" s="11" t="s">
        <v>110</v>
      </c>
      <c r="C115" s="100" t="s">
        <v>312</v>
      </c>
      <c r="D115" s="100" t="s">
        <v>32</v>
      </c>
      <c r="E115" s="101">
        <v>66.0</v>
      </c>
      <c r="F115" s="99"/>
    </row>
    <row r="116">
      <c r="A116" s="55">
        <v>46023.0</v>
      </c>
      <c r="B116" s="11" t="s">
        <v>99</v>
      </c>
      <c r="C116" s="100" t="s">
        <v>312</v>
      </c>
      <c r="D116" s="100" t="s">
        <v>32</v>
      </c>
      <c r="E116" s="101">
        <v>174.0</v>
      </c>
      <c r="F116" s="99"/>
    </row>
    <row r="117">
      <c r="A117" s="55">
        <v>46023.0</v>
      </c>
      <c r="B117" s="11" t="s">
        <v>154</v>
      </c>
      <c r="C117" s="100" t="s">
        <v>312</v>
      </c>
      <c r="D117" s="100" t="s">
        <v>32</v>
      </c>
      <c r="E117" s="101">
        <v>96.0</v>
      </c>
      <c r="F117" s="99"/>
    </row>
    <row r="118">
      <c r="A118" s="55">
        <v>46023.0</v>
      </c>
      <c r="B118" s="11" t="s">
        <v>69</v>
      </c>
      <c r="C118" s="100" t="s">
        <v>312</v>
      </c>
      <c r="D118" s="100" t="s">
        <v>32</v>
      </c>
      <c r="E118" s="101"/>
      <c r="F118" s="99"/>
    </row>
    <row r="119">
      <c r="A119" s="55">
        <v>46023.0</v>
      </c>
      <c r="B119" s="11" t="s">
        <v>112</v>
      </c>
      <c r="C119" s="100" t="s">
        <v>312</v>
      </c>
      <c r="D119" s="100" t="s">
        <v>32</v>
      </c>
      <c r="E119" s="101">
        <v>65.0</v>
      </c>
      <c r="F119" s="99"/>
    </row>
    <row r="120">
      <c r="A120" s="55">
        <v>46023.0</v>
      </c>
      <c r="B120" s="11" t="s">
        <v>138</v>
      </c>
      <c r="C120" s="100" t="s">
        <v>312</v>
      </c>
      <c r="D120" s="100" t="s">
        <v>32</v>
      </c>
      <c r="E120" s="101"/>
      <c r="F120" s="99"/>
    </row>
    <row r="121">
      <c r="A121" s="55">
        <v>46023.0</v>
      </c>
      <c r="B121" s="11" t="s">
        <v>248</v>
      </c>
      <c r="C121" s="100" t="s">
        <v>312</v>
      </c>
      <c r="D121" s="100" t="s">
        <v>32</v>
      </c>
      <c r="E121" s="101">
        <v>56.0</v>
      </c>
      <c r="F121" s="99"/>
    </row>
    <row r="122">
      <c r="A122" s="55">
        <v>46023.0</v>
      </c>
      <c r="B122" s="11" t="s">
        <v>145</v>
      </c>
      <c r="C122" s="100" t="s">
        <v>312</v>
      </c>
      <c r="D122" s="100" t="s">
        <v>32</v>
      </c>
      <c r="E122" s="101">
        <v>51.0</v>
      </c>
      <c r="F122" s="99"/>
    </row>
    <row r="123">
      <c r="A123" s="55">
        <v>46023.0</v>
      </c>
      <c r="B123" s="11" t="s">
        <v>82</v>
      </c>
      <c r="C123" s="100" t="s">
        <v>312</v>
      </c>
      <c r="D123" s="100" t="s">
        <v>32</v>
      </c>
      <c r="E123" s="101"/>
      <c r="F123" s="99"/>
    </row>
    <row r="124">
      <c r="A124" s="55">
        <v>46023.0</v>
      </c>
      <c r="B124" s="11" t="s">
        <v>268</v>
      </c>
      <c r="C124" s="100" t="s">
        <v>312</v>
      </c>
      <c r="D124" s="100" t="s">
        <v>32</v>
      </c>
      <c r="E124" s="101">
        <v>1261.0</v>
      </c>
      <c r="F124" s="99"/>
    </row>
    <row r="125">
      <c r="A125" s="55">
        <v>46023.0</v>
      </c>
      <c r="B125" s="11" t="s">
        <v>185</v>
      </c>
      <c r="C125" s="100" t="s">
        <v>312</v>
      </c>
      <c r="D125" s="100" t="s">
        <v>32</v>
      </c>
      <c r="E125" s="101">
        <v>1760.0</v>
      </c>
      <c r="F125" s="99"/>
    </row>
    <row r="126">
      <c r="A126" s="55">
        <v>46023.0</v>
      </c>
      <c r="B126" s="11" t="s">
        <v>90</v>
      </c>
      <c r="C126" s="100" t="s">
        <v>312</v>
      </c>
      <c r="D126" s="100" t="s">
        <v>32</v>
      </c>
      <c r="E126" s="101">
        <v>33.0</v>
      </c>
      <c r="F126" s="99"/>
    </row>
    <row r="127">
      <c r="A127" s="55">
        <v>46023.0</v>
      </c>
      <c r="B127" s="11" t="s">
        <v>271</v>
      </c>
      <c r="C127" s="100" t="s">
        <v>312</v>
      </c>
      <c r="D127" s="100" t="s">
        <v>32</v>
      </c>
      <c r="E127" s="101">
        <v>998.0</v>
      </c>
      <c r="F127" s="99"/>
    </row>
    <row r="128">
      <c r="A128" s="55">
        <v>46023.0</v>
      </c>
      <c r="B128" s="11" t="s">
        <v>117</v>
      </c>
      <c r="C128" s="100" t="s">
        <v>312</v>
      </c>
      <c r="D128" s="100" t="s">
        <v>32</v>
      </c>
      <c r="E128" s="101">
        <v>1102.0</v>
      </c>
      <c r="F128" s="99"/>
    </row>
    <row r="129">
      <c r="A129" s="55">
        <v>46023.0</v>
      </c>
      <c r="B129" s="11" t="s">
        <v>122</v>
      </c>
      <c r="C129" s="100" t="s">
        <v>312</v>
      </c>
      <c r="D129" s="100" t="s">
        <v>32</v>
      </c>
      <c r="E129" s="101">
        <v>55.0</v>
      </c>
      <c r="F129" s="99"/>
    </row>
    <row r="130">
      <c r="A130" s="55">
        <v>46023.0</v>
      </c>
      <c r="B130" s="11" t="s">
        <v>53</v>
      </c>
      <c r="C130" s="100" t="s">
        <v>312</v>
      </c>
      <c r="D130" s="100" t="s">
        <v>32</v>
      </c>
      <c r="E130" s="101"/>
      <c r="F130" s="99"/>
    </row>
    <row r="131">
      <c r="A131" s="55">
        <v>46023.0</v>
      </c>
      <c r="B131" s="11" t="s">
        <v>247</v>
      </c>
      <c r="C131" s="100" t="s">
        <v>312</v>
      </c>
      <c r="D131" s="100" t="s">
        <v>32</v>
      </c>
      <c r="E131" s="101">
        <v>161.0</v>
      </c>
      <c r="F131" s="99"/>
    </row>
    <row r="132">
      <c r="A132" s="55">
        <v>46023.0</v>
      </c>
      <c r="B132" s="11" t="s">
        <v>306</v>
      </c>
      <c r="C132" s="100" t="s">
        <v>312</v>
      </c>
      <c r="D132" s="100" t="s">
        <v>32</v>
      </c>
      <c r="E132" s="101">
        <v>20.0</v>
      </c>
      <c r="F132" s="99"/>
    </row>
    <row r="133">
      <c r="A133" s="103"/>
      <c r="B133" s="11"/>
      <c r="C133" s="100"/>
      <c r="D133" s="100"/>
      <c r="E133" s="101"/>
      <c r="F133" s="99"/>
    </row>
    <row r="134">
      <c r="A134" s="103">
        <v>46041.958333333336</v>
      </c>
      <c r="B134" s="11" t="s">
        <v>225</v>
      </c>
      <c r="C134" s="100" t="s">
        <v>312</v>
      </c>
      <c r="D134" s="100" t="s">
        <v>32</v>
      </c>
      <c r="E134" s="101">
        <v>60.0</v>
      </c>
      <c r="F134" s="99"/>
    </row>
    <row r="135">
      <c r="A135" s="103">
        <v>46041.958333333336</v>
      </c>
      <c r="B135" s="11" t="s">
        <v>141</v>
      </c>
      <c r="C135" s="100" t="s">
        <v>312</v>
      </c>
      <c r="D135" s="100" t="s">
        <v>32</v>
      </c>
      <c r="E135" s="101">
        <v>43.0</v>
      </c>
      <c r="F135" s="99"/>
    </row>
    <row r="136">
      <c r="A136" s="103">
        <v>46041.958333333336</v>
      </c>
      <c r="B136" s="11" t="s">
        <v>145</v>
      </c>
      <c r="C136" s="100" t="s">
        <v>32</v>
      </c>
      <c r="D136" s="100" t="s">
        <v>312</v>
      </c>
      <c r="E136" s="101">
        <v>12.0</v>
      </c>
      <c r="F136" s="99"/>
    </row>
    <row r="137">
      <c r="A137" s="103">
        <v>46041.958333333336</v>
      </c>
      <c r="B137" s="11" t="s">
        <v>304</v>
      </c>
      <c r="C137" s="100" t="s">
        <v>32</v>
      </c>
      <c r="D137" s="100" t="s">
        <v>312</v>
      </c>
      <c r="E137" s="101">
        <v>8.0</v>
      </c>
      <c r="F137" s="99"/>
    </row>
    <row r="138">
      <c r="A138" s="103">
        <v>46041.958333333336</v>
      </c>
      <c r="B138" s="11" t="s">
        <v>117</v>
      </c>
      <c r="C138" s="100" t="s">
        <v>32</v>
      </c>
      <c r="D138" s="100" t="s">
        <v>312</v>
      </c>
      <c r="E138" s="101">
        <v>154.0</v>
      </c>
      <c r="F138" s="99"/>
    </row>
    <row r="139">
      <c r="A139" s="103">
        <v>46041.958333333336</v>
      </c>
      <c r="B139" s="11" t="s">
        <v>234</v>
      </c>
      <c r="C139" s="100" t="s">
        <v>32</v>
      </c>
      <c r="D139" s="100" t="s">
        <v>312</v>
      </c>
      <c r="E139" s="101">
        <v>24.0</v>
      </c>
      <c r="F139" s="99"/>
    </row>
    <row r="140">
      <c r="A140" s="103">
        <v>46041.958333333336</v>
      </c>
      <c r="B140" s="11" t="s">
        <v>47</v>
      </c>
      <c r="C140" s="100" t="s">
        <v>312</v>
      </c>
      <c r="D140" s="100" t="s">
        <v>32</v>
      </c>
      <c r="E140" s="101">
        <v>137.0</v>
      </c>
      <c r="F140" s="99"/>
    </row>
    <row r="141">
      <c r="A141" s="103">
        <v>46041.958333333336</v>
      </c>
      <c r="B141" s="11" t="s">
        <v>204</v>
      </c>
      <c r="C141" s="100" t="s">
        <v>32</v>
      </c>
      <c r="D141" s="100" t="s">
        <v>312</v>
      </c>
      <c r="E141" s="101">
        <v>166.0</v>
      </c>
      <c r="F141" s="99"/>
    </row>
    <row r="142">
      <c r="A142" s="103">
        <v>46041.958333333336</v>
      </c>
      <c r="B142" s="11" t="s">
        <v>253</v>
      </c>
      <c r="C142" s="100" t="s">
        <v>312</v>
      </c>
      <c r="D142" s="100" t="s">
        <v>32</v>
      </c>
      <c r="E142" s="101">
        <v>12.0</v>
      </c>
      <c r="F142" s="99"/>
    </row>
    <row r="143">
      <c r="A143" s="103">
        <v>46041.958333333336</v>
      </c>
      <c r="B143" s="11" t="s">
        <v>128</v>
      </c>
      <c r="C143" s="100" t="s">
        <v>32</v>
      </c>
      <c r="D143" s="100" t="s">
        <v>312</v>
      </c>
      <c r="E143" s="101">
        <v>74.0</v>
      </c>
      <c r="F143" s="99"/>
    </row>
    <row r="144">
      <c r="A144" s="103">
        <v>46041.958333333336</v>
      </c>
      <c r="B144" s="11" t="s">
        <v>157</v>
      </c>
      <c r="C144" s="100" t="s">
        <v>312</v>
      </c>
      <c r="D144" s="100" t="s">
        <v>32</v>
      </c>
      <c r="E144" s="101">
        <v>1.0</v>
      </c>
      <c r="F144" s="99"/>
    </row>
    <row r="145">
      <c r="A145" s="103"/>
      <c r="B145" s="11"/>
      <c r="C145" s="100"/>
      <c r="D145" s="100"/>
      <c r="E145" s="101"/>
      <c r="F145" s="99"/>
    </row>
    <row r="146">
      <c r="A146" s="103">
        <v>46045.6625</v>
      </c>
      <c r="B146" s="11" t="s">
        <v>221</v>
      </c>
      <c r="C146" s="100" t="s">
        <v>32</v>
      </c>
      <c r="D146" s="100" t="s">
        <v>312</v>
      </c>
      <c r="E146" s="101">
        <v>35.0</v>
      </c>
      <c r="F146" s="99"/>
    </row>
    <row r="147">
      <c r="A147" s="103">
        <v>46045.6625</v>
      </c>
      <c r="B147" s="11" t="s">
        <v>180</v>
      </c>
      <c r="C147" s="100" t="s">
        <v>32</v>
      </c>
      <c r="D147" s="100" t="s">
        <v>312</v>
      </c>
      <c r="E147" s="101">
        <v>22.0</v>
      </c>
      <c r="F147" s="99"/>
    </row>
    <row r="148">
      <c r="A148" s="103">
        <v>46045.72222222222</v>
      </c>
      <c r="B148" s="11" t="s">
        <v>47</v>
      </c>
      <c r="C148" s="100" t="s">
        <v>32</v>
      </c>
      <c r="D148" s="100" t="s">
        <v>312</v>
      </c>
      <c r="E148" s="101">
        <v>2000.0</v>
      </c>
      <c r="F148" s="99"/>
    </row>
    <row r="149">
      <c r="A149" s="103">
        <v>46045.72222222222</v>
      </c>
      <c r="B149" s="11" t="s">
        <v>141</v>
      </c>
      <c r="C149" s="100" t="s">
        <v>32</v>
      </c>
      <c r="D149" s="100" t="s">
        <v>312</v>
      </c>
      <c r="E149" s="101">
        <v>1000.0</v>
      </c>
      <c r="F149" s="99"/>
    </row>
    <row r="150">
      <c r="A150" s="103">
        <v>46045.72222222222</v>
      </c>
      <c r="B150" s="11" t="s">
        <v>128</v>
      </c>
      <c r="C150" s="100" t="s">
        <v>32</v>
      </c>
      <c r="D150" s="100" t="s">
        <v>312</v>
      </c>
      <c r="E150" s="101">
        <v>2000.0</v>
      </c>
      <c r="F150" s="99"/>
    </row>
    <row r="151">
      <c r="A151" s="103">
        <v>46045.72222222222</v>
      </c>
      <c r="B151" s="11" t="s">
        <v>154</v>
      </c>
      <c r="C151" s="100" t="s">
        <v>312</v>
      </c>
      <c r="D151" s="100" t="s">
        <v>32</v>
      </c>
      <c r="E151" s="101">
        <v>6.0</v>
      </c>
      <c r="F151" s="99"/>
    </row>
    <row r="152">
      <c r="A152" s="103">
        <v>46045.72222222222</v>
      </c>
      <c r="B152" s="11" t="s">
        <v>177</v>
      </c>
      <c r="C152" s="100" t="s">
        <v>312</v>
      </c>
      <c r="D152" s="100" t="s">
        <v>32</v>
      </c>
      <c r="E152" s="101">
        <f>(159-72)</f>
        <v>87</v>
      </c>
      <c r="F152" s="99"/>
    </row>
    <row r="153">
      <c r="A153" s="103">
        <v>46045.72222222222</v>
      </c>
      <c r="B153" s="11" t="s">
        <v>290</v>
      </c>
      <c r="C153" s="100" t="s">
        <v>312</v>
      </c>
      <c r="D153" s="100" t="s">
        <v>32</v>
      </c>
      <c r="E153" s="101">
        <v>45.0</v>
      </c>
      <c r="F153" s="99"/>
    </row>
    <row r="154">
      <c r="A154" s="103"/>
      <c r="B154" s="11"/>
      <c r="C154" s="100"/>
      <c r="D154" s="100"/>
      <c r="E154" s="101"/>
      <c r="F154" s="99"/>
    </row>
    <row r="155">
      <c r="A155" s="103">
        <v>46067.18541666667</v>
      </c>
      <c r="B155" s="11" t="s">
        <v>221</v>
      </c>
      <c r="C155" s="100" t="s">
        <v>312</v>
      </c>
      <c r="D155" s="100" t="s">
        <v>32</v>
      </c>
      <c r="E155" s="101">
        <v>272.0</v>
      </c>
      <c r="F155" s="99"/>
    </row>
    <row r="156">
      <c r="A156" s="103">
        <v>46067.18541666667</v>
      </c>
      <c r="B156" s="11" t="s">
        <v>183</v>
      </c>
      <c r="C156" s="100" t="s">
        <v>312</v>
      </c>
      <c r="D156" s="100" t="s">
        <v>32</v>
      </c>
      <c r="E156" s="101">
        <v>1.0</v>
      </c>
      <c r="F156" s="99"/>
    </row>
    <row r="157">
      <c r="A157" s="103">
        <v>46067.18541666667</v>
      </c>
      <c r="B157" s="11" t="s">
        <v>251</v>
      </c>
      <c r="C157" s="100" t="s">
        <v>32</v>
      </c>
      <c r="D157" s="100" t="s">
        <v>312</v>
      </c>
      <c r="E157" s="101">
        <v>18.0</v>
      </c>
      <c r="F157" s="99"/>
    </row>
    <row r="158">
      <c r="A158" s="103">
        <v>46067.18541666667</v>
      </c>
      <c r="B158" s="11" t="s">
        <v>294</v>
      </c>
      <c r="C158" s="100" t="s">
        <v>312</v>
      </c>
      <c r="D158" s="100" t="s">
        <v>32</v>
      </c>
      <c r="E158" s="101">
        <v>138.0</v>
      </c>
      <c r="F158" s="99"/>
    </row>
    <row r="159">
      <c r="A159" s="103">
        <v>46067.18541666667</v>
      </c>
      <c r="B159" s="11" t="s">
        <v>93</v>
      </c>
      <c r="C159" s="100" t="s">
        <v>32</v>
      </c>
      <c r="D159" s="100" t="s">
        <v>312</v>
      </c>
      <c r="E159" s="101">
        <v>3.0</v>
      </c>
      <c r="F159" s="99"/>
    </row>
    <row r="160">
      <c r="A160" s="103"/>
      <c r="B160" s="11"/>
      <c r="C160" s="100"/>
      <c r="D160" s="100"/>
      <c r="E160" s="101"/>
      <c r="F160" s="99"/>
    </row>
    <row r="161">
      <c r="A161" s="103">
        <v>46093.77847222222</v>
      </c>
      <c r="B161" s="11" t="s">
        <v>221</v>
      </c>
      <c r="C161" s="100" t="s">
        <v>312</v>
      </c>
      <c r="D161" s="100" t="s">
        <v>32</v>
      </c>
      <c r="E161" s="101">
        <v>3000.0</v>
      </c>
      <c r="F161" s="99"/>
    </row>
    <row r="162">
      <c r="A162" s="103">
        <v>46093.77847222222</v>
      </c>
      <c r="B162" s="11" t="s">
        <v>228</v>
      </c>
      <c r="C162" s="100" t="s">
        <v>312</v>
      </c>
      <c r="D162" s="100" t="s">
        <v>32</v>
      </c>
      <c r="E162" s="101">
        <v>1000.0</v>
      </c>
      <c r="F162" s="99"/>
    </row>
    <row r="163">
      <c r="A163" s="103">
        <v>46093.77847222222</v>
      </c>
      <c r="B163" s="11" t="s">
        <v>231</v>
      </c>
      <c r="C163" s="100" t="s">
        <v>312</v>
      </c>
      <c r="D163" s="100" t="s">
        <v>32</v>
      </c>
      <c r="E163" s="101">
        <v>3000.0</v>
      </c>
      <c r="F163" s="99"/>
    </row>
    <row r="164">
      <c r="A164" s="103">
        <v>46093.77847222222</v>
      </c>
      <c r="B164" s="11" t="s">
        <v>76</v>
      </c>
      <c r="C164" s="100" t="s">
        <v>312</v>
      </c>
      <c r="D164" s="100" t="s">
        <v>32</v>
      </c>
      <c r="E164" s="101">
        <v>1000.0</v>
      </c>
      <c r="F164" s="99"/>
    </row>
    <row r="165">
      <c r="A165" s="103">
        <v>46093.77847222222</v>
      </c>
      <c r="B165" s="11" t="s">
        <v>225</v>
      </c>
      <c r="C165" s="100" t="s">
        <v>312</v>
      </c>
      <c r="D165" s="100" t="s">
        <v>32</v>
      </c>
      <c r="E165" s="101">
        <v>1000.0</v>
      </c>
      <c r="F165" s="99"/>
    </row>
    <row r="166">
      <c r="A166" s="103"/>
      <c r="B166" s="11"/>
      <c r="C166" s="100"/>
      <c r="D166" s="100"/>
      <c r="E166" s="101"/>
      <c r="F166" s="99"/>
    </row>
    <row r="167">
      <c r="A167" s="103">
        <v>46142.625</v>
      </c>
      <c r="B167" s="37" t="s">
        <v>221</v>
      </c>
      <c r="C167" s="104" t="s">
        <v>32</v>
      </c>
      <c r="D167" s="104" t="s">
        <v>312</v>
      </c>
      <c r="E167" s="94">
        <v>3000.0</v>
      </c>
      <c r="F167" s="99"/>
    </row>
    <row r="168">
      <c r="A168" s="103">
        <v>46142.625</v>
      </c>
      <c r="B168" s="37" t="s">
        <v>58</v>
      </c>
      <c r="C168" s="104" t="s">
        <v>32</v>
      </c>
      <c r="D168" s="104" t="s">
        <v>312</v>
      </c>
      <c r="E168" s="94">
        <v>469.0</v>
      </c>
      <c r="F168" s="99"/>
    </row>
    <row r="169">
      <c r="A169" s="103">
        <v>46142.625</v>
      </c>
      <c r="B169" s="37" t="s">
        <v>180</v>
      </c>
      <c r="C169" s="104" t="s">
        <v>32</v>
      </c>
      <c r="D169" s="104" t="s">
        <v>312</v>
      </c>
      <c r="E169" s="94">
        <v>336.0</v>
      </c>
      <c r="F169" s="99"/>
    </row>
    <row r="170">
      <c r="A170" s="103">
        <v>46142.625</v>
      </c>
      <c r="B170" s="37" t="s">
        <v>44</v>
      </c>
      <c r="C170" s="104" t="s">
        <v>32</v>
      </c>
      <c r="D170" s="104" t="s">
        <v>312</v>
      </c>
      <c r="E170" s="94">
        <v>1592.0</v>
      </c>
      <c r="F170" s="99"/>
    </row>
    <row r="171">
      <c r="A171" s="103">
        <v>46142.625</v>
      </c>
      <c r="B171" s="37" t="s">
        <v>49</v>
      </c>
      <c r="C171" s="104" t="s">
        <v>32</v>
      </c>
      <c r="D171" s="104" t="s">
        <v>312</v>
      </c>
      <c r="E171" s="94">
        <v>22.0</v>
      </c>
      <c r="F171" s="99"/>
    </row>
    <row r="172">
      <c r="A172" s="103">
        <v>46142.625</v>
      </c>
      <c r="B172" s="37" t="s">
        <v>50</v>
      </c>
      <c r="C172" s="104" t="s">
        <v>32</v>
      </c>
      <c r="D172" s="104" t="s">
        <v>312</v>
      </c>
      <c r="E172" s="94">
        <v>30.0</v>
      </c>
      <c r="F172" s="99"/>
    </row>
    <row r="173">
      <c r="A173" s="103">
        <v>46142.625</v>
      </c>
      <c r="B173" s="37" t="s">
        <v>173</v>
      </c>
      <c r="C173" s="104" t="s">
        <v>32</v>
      </c>
      <c r="D173" s="104" t="s">
        <v>312</v>
      </c>
      <c r="E173" s="94">
        <v>6.0</v>
      </c>
      <c r="F173" s="99"/>
    </row>
    <row r="174">
      <c r="A174" s="103">
        <v>46142.625</v>
      </c>
      <c r="B174" s="37" t="s">
        <v>147</v>
      </c>
      <c r="C174" s="104" t="s">
        <v>32</v>
      </c>
      <c r="D174" s="104" t="s">
        <v>312</v>
      </c>
      <c r="E174" s="94">
        <v>63.0</v>
      </c>
      <c r="F174" s="99"/>
    </row>
    <row r="175">
      <c r="A175" s="103">
        <v>46142.625</v>
      </c>
      <c r="B175" s="37" t="s">
        <v>293</v>
      </c>
      <c r="C175" s="104" t="s">
        <v>32</v>
      </c>
      <c r="D175" s="104" t="s">
        <v>312</v>
      </c>
      <c r="E175" s="94">
        <v>32.0</v>
      </c>
      <c r="F175" s="99"/>
    </row>
    <row r="176">
      <c r="A176" s="103">
        <v>46142.625</v>
      </c>
      <c r="B176" s="37" t="s">
        <v>67</v>
      </c>
      <c r="C176" s="104" t="s">
        <v>32</v>
      </c>
      <c r="D176" s="104" t="s">
        <v>312</v>
      </c>
      <c r="E176" s="94"/>
      <c r="F176" s="99"/>
    </row>
    <row r="177">
      <c r="A177" s="103">
        <v>46142.625</v>
      </c>
      <c r="B177" s="37" t="s">
        <v>244</v>
      </c>
      <c r="C177" s="104" t="s">
        <v>32</v>
      </c>
      <c r="D177" s="104" t="s">
        <v>312</v>
      </c>
      <c r="E177" s="94">
        <v>218.0</v>
      </c>
      <c r="F177" s="99"/>
    </row>
    <row r="178">
      <c r="A178" s="103">
        <v>46142.625</v>
      </c>
      <c r="B178" s="37" t="s">
        <v>119</v>
      </c>
      <c r="C178" s="104" t="s">
        <v>32</v>
      </c>
      <c r="D178" s="104" t="s">
        <v>312</v>
      </c>
      <c r="E178" s="94">
        <v>100.0</v>
      </c>
      <c r="F178" s="99"/>
    </row>
    <row r="179">
      <c r="A179" s="103">
        <v>46142.625</v>
      </c>
      <c r="B179" s="37" t="s">
        <v>218</v>
      </c>
      <c r="C179" s="104" t="s">
        <v>32</v>
      </c>
      <c r="D179" s="104" t="s">
        <v>312</v>
      </c>
      <c r="E179" s="94">
        <v>97.0</v>
      </c>
      <c r="F179" s="99"/>
    </row>
    <row r="180">
      <c r="A180" s="103">
        <v>46142.625</v>
      </c>
      <c r="B180" s="37" t="s">
        <v>309</v>
      </c>
      <c r="C180" s="104" t="s">
        <v>32</v>
      </c>
      <c r="D180" s="104" t="s">
        <v>312</v>
      </c>
      <c r="E180" s="94">
        <v>-11.0</v>
      </c>
      <c r="F180" s="99"/>
    </row>
    <row r="181">
      <c r="A181" s="103">
        <v>46142.625</v>
      </c>
      <c r="B181" s="37" t="s">
        <v>171</v>
      </c>
      <c r="C181" s="104" t="s">
        <v>32</v>
      </c>
      <c r="D181" s="104" t="s">
        <v>312</v>
      </c>
      <c r="E181" s="94">
        <v>632.0</v>
      </c>
      <c r="F181" s="99"/>
    </row>
    <row r="182">
      <c r="A182" s="103">
        <v>46142.625</v>
      </c>
      <c r="B182" s="37" t="s">
        <v>239</v>
      </c>
      <c r="C182" s="104" t="s">
        <v>32</v>
      </c>
      <c r="D182" s="104" t="s">
        <v>312</v>
      </c>
      <c r="E182" s="94"/>
      <c r="F182" s="99"/>
    </row>
    <row r="183">
      <c r="A183" s="103">
        <v>46142.625</v>
      </c>
      <c r="B183" s="37" t="s">
        <v>299</v>
      </c>
      <c r="C183" s="104" t="s">
        <v>32</v>
      </c>
      <c r="D183" s="104" t="s">
        <v>312</v>
      </c>
      <c r="E183" s="94">
        <v>85.0</v>
      </c>
      <c r="F183" s="99"/>
    </row>
    <row r="184">
      <c r="A184" s="103">
        <v>46142.625</v>
      </c>
      <c r="B184" s="37" t="s">
        <v>207</v>
      </c>
      <c r="C184" s="104" t="s">
        <v>32</v>
      </c>
      <c r="D184" s="104" t="s">
        <v>312</v>
      </c>
      <c r="E184" s="94">
        <v>67.0</v>
      </c>
      <c r="F184" s="99"/>
    </row>
    <row r="185">
      <c r="A185" s="103">
        <v>46142.625</v>
      </c>
      <c r="B185" s="37" t="s">
        <v>201</v>
      </c>
      <c r="C185" s="104" t="s">
        <v>32</v>
      </c>
      <c r="D185" s="104" t="s">
        <v>312</v>
      </c>
      <c r="E185" s="94">
        <v>117.0</v>
      </c>
      <c r="F185" s="99"/>
    </row>
    <row r="186">
      <c r="A186" s="103">
        <v>46142.625</v>
      </c>
      <c r="B186" s="37" t="s">
        <v>174</v>
      </c>
      <c r="C186" s="104" t="s">
        <v>32</v>
      </c>
      <c r="D186" s="104" t="s">
        <v>312</v>
      </c>
      <c r="E186" s="94">
        <v>182.0</v>
      </c>
      <c r="F186" s="99"/>
    </row>
    <row r="187">
      <c r="A187" s="103">
        <v>46142.625</v>
      </c>
      <c r="B187" s="37" t="s">
        <v>108</v>
      </c>
      <c r="C187" s="104" t="s">
        <v>32</v>
      </c>
      <c r="D187" s="104" t="s">
        <v>312</v>
      </c>
      <c r="E187" s="94">
        <v>44.0</v>
      </c>
      <c r="F187" s="99"/>
    </row>
    <row r="188">
      <c r="A188" s="103">
        <v>46142.625</v>
      </c>
      <c r="B188" s="37" t="s">
        <v>319</v>
      </c>
      <c r="C188" s="104" t="s">
        <v>32</v>
      </c>
      <c r="D188" s="104" t="s">
        <v>312</v>
      </c>
      <c r="E188" s="94"/>
      <c r="F188" s="99"/>
    </row>
    <row r="189">
      <c r="A189" s="103">
        <v>46142.625</v>
      </c>
      <c r="B189" s="37" t="s">
        <v>225</v>
      </c>
      <c r="C189" s="104" t="s">
        <v>32</v>
      </c>
      <c r="D189" s="104" t="s">
        <v>312</v>
      </c>
      <c r="E189" s="94">
        <v>1001.0</v>
      </c>
      <c r="F189" s="99"/>
    </row>
    <row r="190">
      <c r="A190" s="103">
        <v>46142.625</v>
      </c>
      <c r="B190" s="37" t="s">
        <v>183</v>
      </c>
      <c r="C190" s="104" t="s">
        <v>32</v>
      </c>
      <c r="D190" s="104" t="s">
        <v>312</v>
      </c>
      <c r="E190" s="94">
        <v>147.0</v>
      </c>
      <c r="F190" s="99"/>
    </row>
    <row r="191">
      <c r="A191" s="103">
        <v>46142.625</v>
      </c>
      <c r="B191" s="37" t="s">
        <v>228</v>
      </c>
      <c r="C191" s="104" t="s">
        <v>32</v>
      </c>
      <c r="D191" s="104" t="s">
        <v>312</v>
      </c>
      <c r="E191" s="94">
        <v>1000.0</v>
      </c>
      <c r="F191" s="99"/>
    </row>
    <row r="192">
      <c r="A192" s="103">
        <v>46142.625</v>
      </c>
      <c r="B192" s="37" t="s">
        <v>231</v>
      </c>
      <c r="C192" s="104" t="s">
        <v>32</v>
      </c>
      <c r="D192" s="104" t="s">
        <v>312</v>
      </c>
      <c r="E192" s="94">
        <v>3000.0</v>
      </c>
      <c r="F192" s="99"/>
    </row>
    <row r="193">
      <c r="A193" s="103">
        <v>46142.625</v>
      </c>
      <c r="B193" s="37" t="s">
        <v>290</v>
      </c>
      <c r="C193" s="104" t="s">
        <v>32</v>
      </c>
      <c r="D193" s="104" t="s">
        <v>312</v>
      </c>
      <c r="E193" s="94"/>
      <c r="F193" s="99"/>
    </row>
    <row r="194">
      <c r="A194" s="103">
        <v>46142.625</v>
      </c>
      <c r="B194" s="37" t="s">
        <v>209</v>
      </c>
      <c r="C194" s="104" t="s">
        <v>32</v>
      </c>
      <c r="D194" s="104" t="s">
        <v>312</v>
      </c>
      <c r="E194" s="94">
        <v>901.0</v>
      </c>
      <c r="F194" s="99"/>
    </row>
    <row r="195">
      <c r="A195" s="103">
        <v>46142.625</v>
      </c>
      <c r="B195" s="37" t="s">
        <v>76</v>
      </c>
      <c r="C195" s="104" t="s">
        <v>32</v>
      </c>
      <c r="D195" s="104" t="s">
        <v>312</v>
      </c>
      <c r="E195" s="94">
        <v>1727.0</v>
      </c>
      <c r="F195" s="99"/>
    </row>
    <row r="196">
      <c r="A196" s="103">
        <v>46142.625</v>
      </c>
      <c r="B196" s="37" t="s">
        <v>79</v>
      </c>
      <c r="C196" s="104" t="s">
        <v>32</v>
      </c>
      <c r="D196" s="104" t="s">
        <v>312</v>
      </c>
      <c r="E196" s="94">
        <v>792.0</v>
      </c>
      <c r="F196" s="99"/>
    </row>
    <row r="197">
      <c r="A197" s="103">
        <v>46142.625</v>
      </c>
      <c r="B197" s="37" t="s">
        <v>31</v>
      </c>
      <c r="C197" s="104" t="s">
        <v>32</v>
      </c>
      <c r="D197" s="104" t="s">
        <v>312</v>
      </c>
      <c r="E197" s="94"/>
      <c r="F197" s="99"/>
    </row>
    <row r="198">
      <c r="A198" s="103">
        <v>46142.625</v>
      </c>
      <c r="B198" s="37" t="s">
        <v>177</v>
      </c>
      <c r="C198" s="104" t="s">
        <v>32</v>
      </c>
      <c r="D198" s="104" t="s">
        <v>312</v>
      </c>
      <c r="E198" s="94">
        <v>-200.0</v>
      </c>
      <c r="F198" s="99"/>
    </row>
    <row r="199">
      <c r="A199" s="103">
        <v>46142.625</v>
      </c>
      <c r="B199" s="37" t="s">
        <v>294</v>
      </c>
      <c r="C199" s="104" t="s">
        <v>32</v>
      </c>
      <c r="D199" s="104" t="s">
        <v>312</v>
      </c>
      <c r="E199" s="94">
        <v>2006.0</v>
      </c>
      <c r="F199" s="99"/>
    </row>
    <row r="200">
      <c r="A200" s="103">
        <v>46142.625</v>
      </c>
      <c r="B200" s="37" t="s">
        <v>47</v>
      </c>
      <c r="C200" s="104" t="s">
        <v>32</v>
      </c>
      <c r="D200" s="104" t="s">
        <v>312</v>
      </c>
      <c r="E200" s="94">
        <v>2362.0</v>
      </c>
      <c r="F200" s="99"/>
    </row>
    <row r="201">
      <c r="A201" s="103">
        <v>46142.625</v>
      </c>
      <c r="B201" s="37" t="s">
        <v>143</v>
      </c>
      <c r="C201" s="104" t="s">
        <v>32</v>
      </c>
      <c r="D201" s="104" t="s">
        <v>312</v>
      </c>
      <c r="E201" s="94">
        <v>1204.0</v>
      </c>
      <c r="F201" s="99"/>
    </row>
    <row r="202">
      <c r="A202" s="103">
        <v>46142.625</v>
      </c>
      <c r="B202" s="37" t="s">
        <v>74</v>
      </c>
      <c r="C202" s="104" t="s">
        <v>32</v>
      </c>
      <c r="D202" s="104" t="s">
        <v>312</v>
      </c>
      <c r="E202" s="94">
        <v>267.0</v>
      </c>
      <c r="F202" s="99"/>
    </row>
    <row r="203">
      <c r="A203" s="103">
        <v>46142.625</v>
      </c>
      <c r="B203" s="37" t="s">
        <v>204</v>
      </c>
      <c r="C203" s="104" t="s">
        <v>32</v>
      </c>
      <c r="D203" s="104" t="s">
        <v>312</v>
      </c>
      <c r="E203" s="94">
        <v>215.0</v>
      </c>
      <c r="F203" s="99"/>
    </row>
    <row r="204">
      <c r="A204" s="103">
        <v>46142.625</v>
      </c>
      <c r="B204" s="37" t="s">
        <v>115</v>
      </c>
      <c r="C204" s="104" t="s">
        <v>32</v>
      </c>
      <c r="D204" s="104" t="s">
        <v>312</v>
      </c>
      <c r="E204" s="94">
        <v>412.0</v>
      </c>
      <c r="F204" s="99"/>
    </row>
    <row r="205">
      <c r="A205" s="103">
        <v>46142.625</v>
      </c>
      <c r="B205" s="37" t="s">
        <v>105</v>
      </c>
      <c r="C205" s="104" t="s">
        <v>32</v>
      </c>
      <c r="D205" s="104" t="s">
        <v>312</v>
      </c>
      <c r="E205" s="94">
        <v>477.0</v>
      </c>
      <c r="F205" s="99"/>
    </row>
    <row r="206">
      <c r="A206" s="103">
        <v>46142.625</v>
      </c>
      <c r="B206" s="37" t="s">
        <v>237</v>
      </c>
      <c r="C206" s="104" t="s">
        <v>32</v>
      </c>
      <c r="D206" s="104" t="s">
        <v>312</v>
      </c>
      <c r="E206" s="94">
        <v>76.0</v>
      </c>
      <c r="F206" s="99"/>
    </row>
    <row r="207">
      <c r="A207" s="103">
        <v>46142.625</v>
      </c>
      <c r="B207" s="37" t="s">
        <v>150</v>
      </c>
      <c r="C207" s="104" t="s">
        <v>32</v>
      </c>
      <c r="D207" s="104" t="s">
        <v>312</v>
      </c>
      <c r="E207" s="94">
        <v>5600.0</v>
      </c>
      <c r="F207" s="99"/>
    </row>
    <row r="208">
      <c r="A208" s="103">
        <v>46142.625</v>
      </c>
      <c r="B208" s="37" t="s">
        <v>132</v>
      </c>
      <c r="C208" s="104" t="s">
        <v>32</v>
      </c>
      <c r="D208" s="104" t="s">
        <v>312</v>
      </c>
      <c r="E208" s="94">
        <v>3120.0</v>
      </c>
      <c r="F208" s="99"/>
    </row>
    <row r="209">
      <c r="A209" s="103">
        <v>46142.625</v>
      </c>
      <c r="B209" s="37" t="s">
        <v>124</v>
      </c>
      <c r="C209" s="104" t="s">
        <v>32</v>
      </c>
      <c r="D209" s="104" t="s">
        <v>312</v>
      </c>
      <c r="E209" s="94">
        <v>5240.0</v>
      </c>
      <c r="F209" s="99"/>
    </row>
    <row r="210">
      <c r="A210" s="103">
        <v>46142.625</v>
      </c>
      <c r="B210" s="37" t="s">
        <v>187</v>
      </c>
      <c r="C210" s="104" t="s">
        <v>32</v>
      </c>
      <c r="D210" s="104" t="s">
        <v>312</v>
      </c>
      <c r="E210" s="94">
        <v>3360.0</v>
      </c>
      <c r="F210" s="99"/>
    </row>
    <row r="211">
      <c r="A211" s="103">
        <v>46142.625</v>
      </c>
      <c r="B211" s="37" t="s">
        <v>127</v>
      </c>
      <c r="C211" s="104" t="s">
        <v>32</v>
      </c>
      <c r="D211" s="104" t="s">
        <v>312</v>
      </c>
      <c r="E211" s="94">
        <v>1560.0</v>
      </c>
      <c r="F211" s="99"/>
    </row>
    <row r="212">
      <c r="A212" s="103">
        <v>46142.625</v>
      </c>
      <c r="B212" s="37" t="s">
        <v>287</v>
      </c>
      <c r="C212" s="104" t="s">
        <v>32</v>
      </c>
      <c r="D212" s="104" t="s">
        <v>312</v>
      </c>
      <c r="E212" s="94">
        <v>2600.0</v>
      </c>
      <c r="F212" s="99"/>
    </row>
    <row r="213">
      <c r="A213" s="103">
        <v>46142.625</v>
      </c>
      <c r="B213" s="37" t="s">
        <v>256</v>
      </c>
      <c r="C213" s="104" t="s">
        <v>32</v>
      </c>
      <c r="D213" s="104" t="s">
        <v>312</v>
      </c>
      <c r="E213" s="94">
        <v>260.0</v>
      </c>
      <c r="F213" s="99"/>
    </row>
    <row r="214">
      <c r="A214" s="103">
        <v>46142.625</v>
      </c>
      <c r="B214" s="37" t="s">
        <v>301</v>
      </c>
      <c r="C214" s="104" t="s">
        <v>32</v>
      </c>
      <c r="D214" s="104" t="s">
        <v>312</v>
      </c>
      <c r="E214" s="94">
        <v>12.0</v>
      </c>
      <c r="F214" s="99"/>
    </row>
    <row r="215">
      <c r="A215" s="103">
        <v>46142.625</v>
      </c>
      <c r="B215" s="37" t="s">
        <v>134</v>
      </c>
      <c r="C215" s="104" t="s">
        <v>32</v>
      </c>
      <c r="D215" s="104" t="s">
        <v>312</v>
      </c>
      <c r="E215" s="94">
        <v>24.0</v>
      </c>
      <c r="F215" s="99"/>
    </row>
    <row r="216">
      <c r="A216" s="103">
        <v>46142.625</v>
      </c>
      <c r="B216" s="37" t="s">
        <v>297</v>
      </c>
      <c r="C216" s="104" t="s">
        <v>32</v>
      </c>
      <c r="D216" s="104" t="s">
        <v>312</v>
      </c>
      <c r="E216" s="94">
        <v>27.0</v>
      </c>
      <c r="F216" s="99"/>
    </row>
    <row r="217">
      <c r="A217" s="103">
        <v>46142.625</v>
      </c>
      <c r="B217" s="37" t="s">
        <v>55</v>
      </c>
      <c r="C217" s="104" t="s">
        <v>32</v>
      </c>
      <c r="D217" s="104" t="s">
        <v>312</v>
      </c>
      <c r="E217" s="94">
        <v>5.0</v>
      </c>
      <c r="F217" s="99"/>
    </row>
    <row r="218">
      <c r="A218" s="103">
        <v>46142.625</v>
      </c>
      <c r="B218" s="37" t="s">
        <v>152</v>
      </c>
      <c r="C218" s="104" t="s">
        <v>32</v>
      </c>
      <c r="D218" s="104" t="s">
        <v>312</v>
      </c>
      <c r="E218" s="94">
        <v>60.0</v>
      </c>
      <c r="F218" s="99"/>
    </row>
    <row r="219">
      <c r="A219" s="103">
        <v>46142.625</v>
      </c>
      <c r="B219" s="37" t="s">
        <v>272</v>
      </c>
      <c r="C219" s="104" t="s">
        <v>32</v>
      </c>
      <c r="D219" s="104" t="s">
        <v>312</v>
      </c>
      <c r="E219" s="94">
        <v>2617.0</v>
      </c>
      <c r="F219" s="99"/>
    </row>
    <row r="220">
      <c r="A220" s="103">
        <v>46142.625</v>
      </c>
      <c r="B220" s="37" t="s">
        <v>253</v>
      </c>
      <c r="C220" s="104" t="s">
        <v>32</v>
      </c>
      <c r="D220" s="104" t="s">
        <v>312</v>
      </c>
      <c r="E220" s="94">
        <v>931.0</v>
      </c>
      <c r="F220" s="99"/>
    </row>
    <row r="221">
      <c r="A221" s="103">
        <v>46142.625</v>
      </c>
      <c r="B221" s="37" t="s">
        <v>274</v>
      </c>
      <c r="C221" s="104" t="s">
        <v>32</v>
      </c>
      <c r="D221" s="104" t="s">
        <v>312</v>
      </c>
      <c r="E221" s="94">
        <v>787.0</v>
      </c>
      <c r="F221" s="99"/>
    </row>
    <row r="222">
      <c r="A222" s="103">
        <v>46142.625</v>
      </c>
      <c r="B222" s="37" t="s">
        <v>141</v>
      </c>
      <c r="C222" s="104" t="s">
        <v>32</v>
      </c>
      <c r="D222" s="104" t="s">
        <v>312</v>
      </c>
      <c r="E222" s="94">
        <v>1040.0</v>
      </c>
      <c r="F222" s="99"/>
    </row>
    <row r="223">
      <c r="A223" s="103">
        <v>46142.625</v>
      </c>
      <c r="B223" s="37" t="s">
        <v>102</v>
      </c>
      <c r="C223" s="104" t="s">
        <v>32</v>
      </c>
      <c r="D223" s="104" t="s">
        <v>312</v>
      </c>
      <c r="E223" s="94">
        <v>331.0</v>
      </c>
      <c r="F223" s="99"/>
    </row>
    <row r="224">
      <c r="A224" s="103">
        <v>46142.625</v>
      </c>
      <c r="B224" s="37" t="s">
        <v>63</v>
      </c>
      <c r="C224" s="104" t="s">
        <v>32</v>
      </c>
      <c r="D224" s="104" t="s">
        <v>312</v>
      </c>
      <c r="E224" s="94">
        <v>119.0</v>
      </c>
      <c r="F224" s="99"/>
    </row>
    <row r="225">
      <c r="A225" s="103">
        <v>46142.625</v>
      </c>
      <c r="B225" s="33" t="s">
        <v>259</v>
      </c>
      <c r="C225" s="104" t="s">
        <v>32</v>
      </c>
      <c r="D225" s="104" t="s">
        <v>312</v>
      </c>
      <c r="E225" s="94">
        <v>1805.0</v>
      </c>
      <c r="F225" s="99"/>
    </row>
    <row r="226">
      <c r="A226" s="103">
        <v>46142.625</v>
      </c>
      <c r="B226" s="37" t="s">
        <v>211</v>
      </c>
      <c r="C226" s="104" t="s">
        <v>32</v>
      </c>
      <c r="D226" s="104" t="s">
        <v>312</v>
      </c>
      <c r="E226" s="94">
        <v>1070.0</v>
      </c>
      <c r="F226" s="99"/>
    </row>
    <row r="227">
      <c r="A227" s="103">
        <v>46142.625</v>
      </c>
      <c r="B227" s="37" t="s">
        <v>261</v>
      </c>
      <c r="C227" s="104" t="s">
        <v>32</v>
      </c>
      <c r="D227" s="104" t="s">
        <v>312</v>
      </c>
      <c r="E227" s="94">
        <v>200.0</v>
      </c>
      <c r="F227" s="99"/>
    </row>
    <row r="228">
      <c r="A228" s="103">
        <v>46142.625</v>
      </c>
      <c r="B228" s="37" t="s">
        <v>242</v>
      </c>
      <c r="C228" s="104" t="s">
        <v>32</v>
      </c>
      <c r="D228" s="104" t="s">
        <v>312</v>
      </c>
      <c r="E228" s="94">
        <v>1475.0</v>
      </c>
      <c r="F228" s="99"/>
    </row>
    <row r="229">
      <c r="A229" s="103">
        <v>46142.625</v>
      </c>
      <c r="B229" s="37" t="s">
        <v>213</v>
      </c>
      <c r="C229" s="104" t="s">
        <v>32</v>
      </c>
      <c r="D229" s="104" t="s">
        <v>312</v>
      </c>
      <c r="E229" s="94">
        <v>1948.0</v>
      </c>
      <c r="F229" s="99"/>
    </row>
    <row r="230">
      <c r="A230" s="103">
        <v>46142.625</v>
      </c>
      <c r="B230" s="37" t="s">
        <v>190</v>
      </c>
      <c r="C230" s="104" t="s">
        <v>32</v>
      </c>
      <c r="D230" s="104" t="s">
        <v>312</v>
      </c>
      <c r="E230" s="94">
        <v>1080.0</v>
      </c>
      <c r="F230" s="99"/>
    </row>
    <row r="231">
      <c r="A231" s="103">
        <v>46142.625</v>
      </c>
      <c r="B231" s="37" t="s">
        <v>214</v>
      </c>
      <c r="C231" s="104" t="s">
        <v>32</v>
      </c>
      <c r="D231" s="104" t="s">
        <v>312</v>
      </c>
      <c r="E231" s="94"/>
      <c r="F231" s="99"/>
    </row>
    <row r="232">
      <c r="A232" s="103">
        <v>46142.625</v>
      </c>
      <c r="B232" s="33" t="s">
        <v>234</v>
      </c>
      <c r="C232" s="104" t="s">
        <v>32</v>
      </c>
      <c r="D232" s="104" t="s">
        <v>312</v>
      </c>
      <c r="E232" s="94"/>
      <c r="F232" s="99"/>
    </row>
    <row r="233">
      <c r="A233" s="103">
        <v>46142.625</v>
      </c>
      <c r="B233" s="37" t="s">
        <v>96</v>
      </c>
      <c r="C233" s="104" t="s">
        <v>32</v>
      </c>
      <c r="D233" s="104" t="s">
        <v>312</v>
      </c>
      <c r="E233" s="94">
        <v>736.0</v>
      </c>
      <c r="F233" s="99"/>
    </row>
    <row r="234">
      <c r="A234" s="103">
        <v>46142.625</v>
      </c>
      <c r="B234" s="37" t="s">
        <v>215</v>
      </c>
      <c r="C234" s="104" t="s">
        <v>32</v>
      </c>
      <c r="D234" s="104" t="s">
        <v>312</v>
      </c>
      <c r="E234" s="94">
        <v>90.0</v>
      </c>
      <c r="F234" s="99"/>
    </row>
    <row r="235">
      <c r="A235" s="103">
        <v>46142.625</v>
      </c>
      <c r="B235" s="37" t="s">
        <v>262</v>
      </c>
      <c r="C235" s="104" t="s">
        <v>32</v>
      </c>
      <c r="D235" s="104" t="s">
        <v>312</v>
      </c>
      <c r="E235" s="94">
        <v>1000.0</v>
      </c>
      <c r="F235" s="99"/>
    </row>
    <row r="236">
      <c r="A236" s="103">
        <v>46142.625</v>
      </c>
      <c r="B236" s="37" t="s">
        <v>263</v>
      </c>
      <c r="C236" s="104" t="s">
        <v>32</v>
      </c>
      <c r="D236" s="104" t="s">
        <v>312</v>
      </c>
      <c r="E236" s="94">
        <v>1000.0</v>
      </c>
      <c r="F236" s="99"/>
    </row>
    <row r="237">
      <c r="A237" s="103">
        <v>46142.625</v>
      </c>
      <c r="B237" s="37" t="s">
        <v>216</v>
      </c>
      <c r="C237" s="104" t="s">
        <v>32</v>
      </c>
      <c r="D237" s="104" t="s">
        <v>312</v>
      </c>
      <c r="E237" s="94">
        <v>990.0</v>
      </c>
      <c r="F237" s="99"/>
    </row>
    <row r="238">
      <c r="A238" s="103">
        <v>46142.625</v>
      </c>
      <c r="B238" s="37" t="s">
        <v>264</v>
      </c>
      <c r="C238" s="104" t="s">
        <v>32</v>
      </c>
      <c r="D238" s="104" t="s">
        <v>312</v>
      </c>
      <c r="E238" s="94">
        <v>480.0</v>
      </c>
      <c r="F238" s="99"/>
    </row>
    <row r="239">
      <c r="A239" s="103">
        <v>46142.625</v>
      </c>
      <c r="B239" s="37" t="s">
        <v>265</v>
      </c>
      <c r="C239" s="104" t="s">
        <v>32</v>
      </c>
      <c r="D239" s="104" t="s">
        <v>312</v>
      </c>
      <c r="E239" s="94">
        <v>400.0</v>
      </c>
      <c r="F239" s="99"/>
    </row>
    <row r="240">
      <c r="A240" s="103">
        <v>46142.625</v>
      </c>
      <c r="B240" s="37" t="s">
        <v>217</v>
      </c>
      <c r="C240" s="104" t="s">
        <v>32</v>
      </c>
      <c r="D240" s="104" t="s">
        <v>312</v>
      </c>
      <c r="E240" s="94"/>
      <c r="F240" s="99"/>
    </row>
    <row r="241">
      <c r="A241" s="103">
        <v>46142.625</v>
      </c>
      <c r="B241" s="37" t="s">
        <v>65</v>
      </c>
      <c r="C241" s="104" t="s">
        <v>32</v>
      </c>
      <c r="D241" s="104" t="s">
        <v>312</v>
      </c>
      <c r="E241" s="94">
        <v>27.0</v>
      </c>
      <c r="F241" s="99"/>
    </row>
    <row r="242">
      <c r="A242" s="103">
        <v>46142.625</v>
      </c>
      <c r="B242" s="37" t="s">
        <v>42</v>
      </c>
      <c r="C242" s="104" t="s">
        <v>32</v>
      </c>
      <c r="D242" s="104" t="s">
        <v>312</v>
      </c>
      <c r="E242" s="94"/>
      <c r="F242" s="99"/>
    </row>
    <row r="243">
      <c r="A243" s="103">
        <v>46142.625</v>
      </c>
      <c r="B243" s="37" t="s">
        <v>85</v>
      </c>
      <c r="C243" s="104" t="s">
        <v>32</v>
      </c>
      <c r="D243" s="104" t="s">
        <v>312</v>
      </c>
      <c r="E243" s="94">
        <v>3.0</v>
      </c>
      <c r="F243" s="99"/>
    </row>
    <row r="244">
      <c r="A244" s="103">
        <v>46142.625</v>
      </c>
      <c r="B244" s="37" t="s">
        <v>157</v>
      </c>
      <c r="C244" s="104" t="s">
        <v>32</v>
      </c>
      <c r="D244" s="104" t="s">
        <v>312</v>
      </c>
      <c r="E244" s="94">
        <v>362.0</v>
      </c>
      <c r="F244" s="99"/>
    </row>
    <row r="245">
      <c r="A245" s="103">
        <v>46142.625</v>
      </c>
      <c r="B245" s="33" t="s">
        <v>266</v>
      </c>
      <c r="C245" s="104" t="s">
        <v>32</v>
      </c>
      <c r="D245" s="104" t="s">
        <v>312</v>
      </c>
      <c r="E245" s="94">
        <v>67.0</v>
      </c>
      <c r="F245" s="99"/>
    </row>
    <row r="246">
      <c r="A246" s="103">
        <v>46142.625</v>
      </c>
      <c r="B246" s="37" t="s">
        <v>88</v>
      </c>
      <c r="C246" s="104" t="s">
        <v>32</v>
      </c>
      <c r="D246" s="104" t="s">
        <v>312</v>
      </c>
      <c r="E246" s="94">
        <v>1128.0</v>
      </c>
      <c r="F246" s="99"/>
    </row>
    <row r="247">
      <c r="A247" s="103">
        <v>46142.625</v>
      </c>
      <c r="B247" s="37" t="s">
        <v>136</v>
      </c>
      <c r="C247" s="104" t="s">
        <v>32</v>
      </c>
      <c r="D247" s="104" t="s">
        <v>312</v>
      </c>
      <c r="E247" s="94">
        <v>749.0</v>
      </c>
      <c r="F247" s="99"/>
    </row>
    <row r="248">
      <c r="A248" s="103">
        <v>46142.625</v>
      </c>
      <c r="B248" s="37" t="s">
        <v>159</v>
      </c>
      <c r="C248" s="104" t="s">
        <v>32</v>
      </c>
      <c r="D248" s="104" t="s">
        <v>312</v>
      </c>
      <c r="E248" s="94">
        <v>890.0</v>
      </c>
      <c r="F248" s="99"/>
    </row>
    <row r="249">
      <c r="A249" s="103">
        <v>46142.625</v>
      </c>
      <c r="B249" s="37" t="s">
        <v>162</v>
      </c>
      <c r="C249" s="104" t="s">
        <v>32</v>
      </c>
      <c r="D249" s="104" t="s">
        <v>312</v>
      </c>
      <c r="E249" s="94">
        <v>1355.0</v>
      </c>
      <c r="F249" s="99"/>
    </row>
    <row r="250">
      <c r="A250" s="103">
        <v>46142.625</v>
      </c>
      <c r="B250" s="37" t="s">
        <v>275</v>
      </c>
      <c r="C250" s="104" t="s">
        <v>32</v>
      </c>
      <c r="D250" s="104" t="s">
        <v>312</v>
      </c>
      <c r="E250" s="94">
        <v>1000.0</v>
      </c>
      <c r="F250" s="99"/>
    </row>
    <row r="251">
      <c r="A251" s="103">
        <v>46142.625</v>
      </c>
      <c r="B251" s="37" t="s">
        <v>278</v>
      </c>
      <c r="C251" s="104" t="s">
        <v>32</v>
      </c>
      <c r="D251" s="104" t="s">
        <v>312</v>
      </c>
      <c r="E251" s="94">
        <v>1000.0</v>
      </c>
      <c r="F251" s="99"/>
    </row>
    <row r="252">
      <c r="A252" s="103">
        <v>46142.625</v>
      </c>
      <c r="B252" s="37" t="s">
        <v>193</v>
      </c>
      <c r="C252" s="104" t="s">
        <v>32</v>
      </c>
      <c r="D252" s="104" t="s">
        <v>312</v>
      </c>
      <c r="E252" s="94"/>
      <c r="F252" s="99"/>
    </row>
    <row r="253">
      <c r="A253" s="103">
        <v>46142.625</v>
      </c>
      <c r="B253" s="37" t="s">
        <v>196</v>
      </c>
      <c r="C253" s="104" t="s">
        <v>32</v>
      </c>
      <c r="D253" s="104" t="s">
        <v>312</v>
      </c>
      <c r="E253" s="94">
        <v>1870.0</v>
      </c>
      <c r="F253" s="99"/>
    </row>
    <row r="254">
      <c r="A254" s="103">
        <v>46142.625</v>
      </c>
      <c r="B254" s="37" t="s">
        <v>163</v>
      </c>
      <c r="C254" s="104" t="s">
        <v>32</v>
      </c>
      <c r="D254" s="104" t="s">
        <v>312</v>
      </c>
      <c r="E254" s="94">
        <v>1000.0</v>
      </c>
      <c r="F254" s="99"/>
    </row>
    <row r="255">
      <c r="A255" s="103">
        <v>46142.625</v>
      </c>
      <c r="B255" s="37" t="s">
        <v>279</v>
      </c>
      <c r="C255" s="104" t="s">
        <v>32</v>
      </c>
      <c r="D255" s="104" t="s">
        <v>312</v>
      </c>
      <c r="E255" s="94">
        <v>1270.0</v>
      </c>
      <c r="F255" s="99"/>
    </row>
    <row r="256">
      <c r="A256" s="103">
        <v>46142.625</v>
      </c>
      <c r="B256" s="37" t="s">
        <v>280</v>
      </c>
      <c r="C256" s="104" t="s">
        <v>32</v>
      </c>
      <c r="D256" s="104" t="s">
        <v>312</v>
      </c>
      <c r="E256" s="94">
        <v>1000.0</v>
      </c>
      <c r="F256" s="99"/>
    </row>
    <row r="257">
      <c r="A257" s="103">
        <v>46142.625</v>
      </c>
      <c r="B257" s="37" t="s">
        <v>128</v>
      </c>
      <c r="C257" s="104" t="s">
        <v>32</v>
      </c>
      <c r="D257" s="104" t="s">
        <v>312</v>
      </c>
      <c r="E257" s="94">
        <v>2138.0</v>
      </c>
      <c r="F257" s="99"/>
    </row>
    <row r="258">
      <c r="A258" s="103">
        <v>46142.625</v>
      </c>
      <c r="B258" s="37" t="s">
        <v>197</v>
      </c>
      <c r="C258" s="104" t="s">
        <v>32</v>
      </c>
      <c r="D258" s="104" t="s">
        <v>312</v>
      </c>
      <c r="E258" s="94">
        <v>1960.0</v>
      </c>
      <c r="F258" s="99"/>
    </row>
    <row r="259">
      <c r="A259" s="103">
        <v>46142.625</v>
      </c>
      <c r="B259" s="37" t="s">
        <v>131</v>
      </c>
      <c r="C259" s="104" t="s">
        <v>32</v>
      </c>
      <c r="D259" s="104" t="s">
        <v>312</v>
      </c>
      <c r="E259" s="94">
        <v>4995.0</v>
      </c>
      <c r="F259" s="99"/>
    </row>
    <row r="260">
      <c r="A260" s="103">
        <v>46142.625</v>
      </c>
      <c r="B260" s="37" t="s">
        <v>198</v>
      </c>
      <c r="C260" s="104" t="s">
        <v>32</v>
      </c>
      <c r="D260" s="104" t="s">
        <v>312</v>
      </c>
      <c r="E260" s="94">
        <v>1000.0</v>
      </c>
      <c r="F260" s="99"/>
    </row>
    <row r="261">
      <c r="A261" s="103">
        <v>46142.625</v>
      </c>
      <c r="B261" s="37" t="s">
        <v>164</v>
      </c>
      <c r="C261" s="104" t="s">
        <v>32</v>
      </c>
      <c r="D261" s="104" t="s">
        <v>312</v>
      </c>
      <c r="E261" s="94">
        <v>1000.0</v>
      </c>
      <c r="F261" s="99"/>
    </row>
    <row r="262">
      <c r="A262" s="103">
        <v>46142.625</v>
      </c>
      <c r="B262" s="37" t="s">
        <v>281</v>
      </c>
      <c r="C262" s="104" t="s">
        <v>32</v>
      </c>
      <c r="D262" s="104" t="s">
        <v>312</v>
      </c>
      <c r="E262" s="94">
        <v>820.0</v>
      </c>
      <c r="F262" s="99"/>
    </row>
    <row r="263">
      <c r="A263" s="103">
        <v>46142.625</v>
      </c>
      <c r="B263" s="37" t="s">
        <v>199</v>
      </c>
      <c r="C263" s="104" t="s">
        <v>32</v>
      </c>
      <c r="D263" s="104" t="s">
        <v>312</v>
      </c>
      <c r="E263" s="94">
        <v>1980.0</v>
      </c>
      <c r="F263" s="99"/>
    </row>
    <row r="264">
      <c r="A264" s="103">
        <v>46142.625</v>
      </c>
      <c r="B264" s="37" t="s">
        <v>168</v>
      </c>
      <c r="C264" s="104" t="s">
        <v>32</v>
      </c>
      <c r="D264" s="104" t="s">
        <v>312</v>
      </c>
      <c r="E264" s="94">
        <v>1089.0</v>
      </c>
      <c r="F264" s="99"/>
    </row>
    <row r="265">
      <c r="A265" s="103">
        <v>46142.625</v>
      </c>
      <c r="B265" s="37" t="s">
        <v>61</v>
      </c>
      <c r="C265" s="104" t="s">
        <v>32</v>
      </c>
      <c r="D265" s="104" t="s">
        <v>312</v>
      </c>
      <c r="E265" s="94">
        <v>1000.0</v>
      </c>
      <c r="F265" s="99"/>
    </row>
    <row r="266">
      <c r="A266" s="103">
        <v>46142.625</v>
      </c>
      <c r="B266" s="37" t="s">
        <v>200</v>
      </c>
      <c r="C266" s="104" t="s">
        <v>32</v>
      </c>
      <c r="D266" s="104" t="s">
        <v>312</v>
      </c>
      <c r="E266" s="94">
        <v>1890.0</v>
      </c>
      <c r="F266" s="99"/>
    </row>
    <row r="267">
      <c r="A267" s="103">
        <v>46142.625</v>
      </c>
      <c r="B267" s="37" t="s">
        <v>165</v>
      </c>
      <c r="C267" s="104" t="s">
        <v>32</v>
      </c>
      <c r="D267" s="104" t="s">
        <v>312</v>
      </c>
      <c r="E267" s="94"/>
      <c r="F267" s="99"/>
    </row>
    <row r="268">
      <c r="A268" s="103">
        <v>46142.625</v>
      </c>
      <c r="B268" s="37" t="s">
        <v>283</v>
      </c>
      <c r="C268" s="104" t="s">
        <v>32</v>
      </c>
      <c r="D268" s="104" t="s">
        <v>312</v>
      </c>
      <c r="E268" s="94">
        <v>900.0</v>
      </c>
      <c r="F268" s="99"/>
    </row>
    <row r="269">
      <c r="A269" s="103">
        <v>46142.625</v>
      </c>
      <c r="B269" s="37" t="s">
        <v>36</v>
      </c>
      <c r="C269" s="104" t="s">
        <v>32</v>
      </c>
      <c r="D269" s="104" t="s">
        <v>312</v>
      </c>
      <c r="E269" s="94"/>
      <c r="F269" s="99"/>
    </row>
    <row r="270">
      <c r="A270" s="103">
        <v>46142.625</v>
      </c>
      <c r="B270" s="37" t="s">
        <v>284</v>
      </c>
      <c r="C270" s="104" t="s">
        <v>32</v>
      </c>
      <c r="D270" s="104" t="s">
        <v>312</v>
      </c>
      <c r="E270" s="94"/>
      <c r="F270" s="99"/>
    </row>
    <row r="271">
      <c r="A271" s="103">
        <v>46142.625</v>
      </c>
      <c r="B271" s="37" t="s">
        <v>71</v>
      </c>
      <c r="C271" s="104" t="s">
        <v>32</v>
      </c>
      <c r="D271" s="104" t="s">
        <v>312</v>
      </c>
      <c r="E271" s="94">
        <v>1960.0</v>
      </c>
      <c r="F271" s="99"/>
    </row>
    <row r="272">
      <c r="A272" s="103">
        <v>46142.625</v>
      </c>
      <c r="B272" s="37" t="s">
        <v>166</v>
      </c>
      <c r="C272" s="104" t="s">
        <v>32</v>
      </c>
      <c r="D272" s="104" t="s">
        <v>312</v>
      </c>
      <c r="E272" s="94">
        <v>990.0</v>
      </c>
      <c r="F272" s="99"/>
    </row>
    <row r="273">
      <c r="A273" s="103">
        <v>46142.625</v>
      </c>
      <c r="B273" s="37" t="s">
        <v>40</v>
      </c>
      <c r="C273" s="104" t="s">
        <v>32</v>
      </c>
      <c r="D273" s="104" t="s">
        <v>312</v>
      </c>
      <c r="E273" s="94"/>
      <c r="F273" s="99"/>
    </row>
    <row r="274">
      <c r="A274" s="103">
        <v>46142.625</v>
      </c>
      <c r="B274" s="37" t="s">
        <v>167</v>
      </c>
      <c r="C274" s="104" t="s">
        <v>32</v>
      </c>
      <c r="D274" s="104" t="s">
        <v>312</v>
      </c>
      <c r="E274" s="94">
        <v>4000.0</v>
      </c>
      <c r="F274" s="99"/>
    </row>
    <row r="275">
      <c r="A275" s="103">
        <v>46142.625</v>
      </c>
      <c r="B275" s="37" t="s">
        <v>285</v>
      </c>
      <c r="C275" s="104" t="s">
        <v>32</v>
      </c>
      <c r="D275" s="104" t="s">
        <v>312</v>
      </c>
      <c r="E275" s="94">
        <v>1000.0</v>
      </c>
      <c r="F275" s="99"/>
    </row>
    <row r="276">
      <c r="A276" s="103">
        <v>46142.625</v>
      </c>
      <c r="B276" s="37" t="s">
        <v>286</v>
      </c>
      <c r="C276" s="104" t="s">
        <v>32</v>
      </c>
      <c r="D276" s="104" t="s">
        <v>312</v>
      </c>
      <c r="E276" s="94"/>
      <c r="F276" s="99"/>
    </row>
    <row r="277">
      <c r="A277" s="103">
        <v>46142.625</v>
      </c>
      <c r="B277" s="37" t="s">
        <v>110</v>
      </c>
      <c r="C277" s="104" t="s">
        <v>32</v>
      </c>
      <c r="D277" s="104" t="s">
        <v>312</v>
      </c>
      <c r="E277" s="94">
        <v>66.0</v>
      </c>
      <c r="F277" s="99"/>
    </row>
    <row r="278">
      <c r="A278" s="103">
        <v>46142.625</v>
      </c>
      <c r="B278" s="37" t="s">
        <v>99</v>
      </c>
      <c r="C278" s="104" t="s">
        <v>32</v>
      </c>
      <c r="D278" s="104" t="s">
        <v>312</v>
      </c>
      <c r="E278" s="94">
        <v>171.0</v>
      </c>
      <c r="F278" s="99"/>
    </row>
    <row r="279">
      <c r="A279" s="103">
        <v>46142.625</v>
      </c>
      <c r="B279" s="37" t="s">
        <v>154</v>
      </c>
      <c r="C279" s="104" t="s">
        <v>32</v>
      </c>
      <c r="D279" s="104" t="s">
        <v>312</v>
      </c>
      <c r="E279" s="94">
        <v>4.0</v>
      </c>
      <c r="F279" s="99"/>
    </row>
    <row r="280">
      <c r="A280" s="103">
        <v>46142.625</v>
      </c>
      <c r="B280" s="37" t="s">
        <v>69</v>
      </c>
      <c r="C280" s="104" t="s">
        <v>32</v>
      </c>
      <c r="D280" s="104" t="s">
        <v>312</v>
      </c>
      <c r="E280" s="94"/>
      <c r="F280" s="99"/>
    </row>
    <row r="281">
      <c r="A281" s="103">
        <v>46142.625</v>
      </c>
      <c r="B281" s="37" t="s">
        <v>112</v>
      </c>
      <c r="C281" s="104" t="s">
        <v>32</v>
      </c>
      <c r="D281" s="104" t="s">
        <v>312</v>
      </c>
      <c r="E281" s="94">
        <v>63.0</v>
      </c>
      <c r="F281" s="99"/>
    </row>
    <row r="282">
      <c r="A282" s="103">
        <v>46142.625</v>
      </c>
      <c r="B282" s="37" t="s">
        <v>138</v>
      </c>
      <c r="C282" s="104" t="s">
        <v>32</v>
      </c>
      <c r="D282" s="104" t="s">
        <v>312</v>
      </c>
      <c r="E282" s="94"/>
      <c r="F282" s="99"/>
    </row>
    <row r="283">
      <c r="A283" s="103">
        <v>46142.625</v>
      </c>
      <c r="B283" s="37" t="s">
        <v>248</v>
      </c>
      <c r="C283" s="104" t="s">
        <v>32</v>
      </c>
      <c r="D283" s="104" t="s">
        <v>312</v>
      </c>
      <c r="E283" s="94">
        <v>22.0</v>
      </c>
      <c r="F283" s="99"/>
    </row>
    <row r="284">
      <c r="A284" s="103">
        <v>46142.625</v>
      </c>
      <c r="B284" s="37" t="s">
        <v>145</v>
      </c>
      <c r="C284" s="104" t="s">
        <v>32</v>
      </c>
      <c r="D284" s="104" t="s">
        <v>312</v>
      </c>
      <c r="E284" s="94">
        <v>16.0</v>
      </c>
      <c r="F284" s="99"/>
    </row>
    <row r="285">
      <c r="A285" s="103">
        <v>46142.625</v>
      </c>
      <c r="B285" s="37" t="s">
        <v>82</v>
      </c>
      <c r="C285" s="104" t="s">
        <v>32</v>
      </c>
      <c r="D285" s="104" t="s">
        <v>312</v>
      </c>
      <c r="E285" s="94"/>
      <c r="F285" s="99"/>
    </row>
    <row r="286">
      <c r="A286" s="103">
        <v>46142.625</v>
      </c>
      <c r="B286" s="37" t="s">
        <v>268</v>
      </c>
      <c r="C286" s="104" t="s">
        <v>32</v>
      </c>
      <c r="D286" s="104" t="s">
        <v>312</v>
      </c>
      <c r="E286" s="94">
        <v>1255.0</v>
      </c>
      <c r="F286" s="99"/>
    </row>
    <row r="287">
      <c r="A287" s="103">
        <v>46142.625</v>
      </c>
      <c r="B287" s="37" t="s">
        <v>185</v>
      </c>
      <c r="C287" s="104" t="s">
        <v>32</v>
      </c>
      <c r="D287" s="104" t="s">
        <v>312</v>
      </c>
      <c r="E287" s="94">
        <v>1081.0</v>
      </c>
      <c r="F287" s="99"/>
    </row>
    <row r="288">
      <c r="A288" s="103">
        <v>46142.625</v>
      </c>
      <c r="B288" s="37" t="s">
        <v>90</v>
      </c>
      <c r="C288" s="104" t="s">
        <v>32</v>
      </c>
      <c r="D288" s="104" t="s">
        <v>312</v>
      </c>
      <c r="E288" s="94">
        <v>103.0</v>
      </c>
      <c r="F288" s="99"/>
    </row>
    <row r="289">
      <c r="A289" s="103">
        <v>46142.625</v>
      </c>
      <c r="B289" s="37" t="s">
        <v>271</v>
      </c>
      <c r="C289" s="104" t="s">
        <v>32</v>
      </c>
      <c r="D289" s="104" t="s">
        <v>312</v>
      </c>
      <c r="E289" s="94">
        <v>998.0</v>
      </c>
      <c r="F289" s="99"/>
    </row>
    <row r="290">
      <c r="A290" s="103">
        <v>46142.625</v>
      </c>
      <c r="B290" s="37" t="s">
        <v>117</v>
      </c>
      <c r="C290" s="104" t="s">
        <v>32</v>
      </c>
      <c r="D290" s="104" t="s">
        <v>312</v>
      </c>
      <c r="E290" s="94">
        <v>846.0</v>
      </c>
      <c r="F290" s="99"/>
    </row>
    <row r="291">
      <c r="A291" s="103">
        <v>46142.625</v>
      </c>
      <c r="B291" s="37" t="s">
        <v>122</v>
      </c>
      <c r="C291" s="104" t="s">
        <v>32</v>
      </c>
      <c r="D291" s="104" t="s">
        <v>312</v>
      </c>
      <c r="E291" s="94">
        <v>39.0</v>
      </c>
      <c r="F291" s="99"/>
    </row>
    <row r="292">
      <c r="A292" s="103">
        <v>46142.625</v>
      </c>
      <c r="B292" s="37" t="s">
        <v>53</v>
      </c>
      <c r="C292" s="104" t="s">
        <v>32</v>
      </c>
      <c r="D292" s="104" t="s">
        <v>312</v>
      </c>
      <c r="E292" s="94"/>
      <c r="F292" s="99"/>
    </row>
    <row r="293">
      <c r="A293" s="103">
        <v>46142.625</v>
      </c>
      <c r="B293" s="37" t="s">
        <v>247</v>
      </c>
      <c r="C293" s="104" t="s">
        <v>32</v>
      </c>
      <c r="D293" s="104" t="s">
        <v>312</v>
      </c>
      <c r="E293" s="94">
        <v>144.0</v>
      </c>
      <c r="F293" s="99"/>
    </row>
    <row r="294">
      <c r="A294" s="103">
        <v>46142.625</v>
      </c>
      <c r="B294" s="37" t="s">
        <v>306</v>
      </c>
      <c r="C294" s="104" t="s">
        <v>32</v>
      </c>
      <c r="D294" s="104" t="s">
        <v>312</v>
      </c>
      <c r="E294" s="94">
        <v>13.0</v>
      </c>
      <c r="F294" s="99"/>
    </row>
    <row r="295">
      <c r="A295" s="103"/>
      <c r="B295" s="11"/>
      <c r="C295" s="100"/>
      <c r="D295" s="100"/>
      <c r="E295" s="101"/>
      <c r="F295" s="99"/>
    </row>
    <row r="296">
      <c r="A296" s="103">
        <v>46198.5935794213</v>
      </c>
      <c r="B296" s="11" t="s">
        <v>251</v>
      </c>
      <c r="C296" s="100" t="s">
        <v>312</v>
      </c>
      <c r="D296" s="100" t="s">
        <v>32</v>
      </c>
      <c r="E296" s="101">
        <v>156.0</v>
      </c>
      <c r="F296" s="99"/>
    </row>
    <row r="297">
      <c r="A297" s="103"/>
      <c r="B297" s="11"/>
      <c r="C297" s="100"/>
      <c r="D297" s="100"/>
      <c r="E297" s="101"/>
      <c r="F297" s="99"/>
    </row>
    <row r="298">
      <c r="A298" s="103"/>
      <c r="B298" s="11"/>
      <c r="C298" s="100"/>
      <c r="D298" s="100"/>
      <c r="E298" s="101"/>
      <c r="F298" s="99"/>
    </row>
    <row r="299">
      <c r="A299" s="103"/>
      <c r="B299" s="11"/>
      <c r="C299" s="100"/>
      <c r="D299" s="100"/>
      <c r="E299" s="101"/>
      <c r="F299" s="99"/>
    </row>
    <row r="300">
      <c r="A300" s="103"/>
      <c r="B300" s="11"/>
      <c r="C300" s="100"/>
      <c r="D300" s="100"/>
      <c r="E300" s="101"/>
      <c r="F300" s="99"/>
    </row>
    <row r="301">
      <c r="A301" s="103"/>
      <c r="B301" s="11"/>
      <c r="C301" s="100"/>
      <c r="D301" s="100"/>
      <c r="E301" s="101"/>
      <c r="F301" s="99"/>
    </row>
    <row r="302">
      <c r="A302" s="103"/>
      <c r="B302" s="11"/>
      <c r="C302" s="100"/>
      <c r="D302" s="100"/>
      <c r="E302" s="101"/>
      <c r="F302" s="99"/>
    </row>
    <row r="303">
      <c r="A303" s="103"/>
      <c r="B303" s="11"/>
      <c r="C303" s="100"/>
      <c r="D303" s="100"/>
      <c r="E303" s="101"/>
      <c r="F303" s="99"/>
    </row>
    <row r="304">
      <c r="A304" s="103"/>
      <c r="B304" s="11"/>
      <c r="C304" s="100"/>
      <c r="D304" s="100"/>
      <c r="E304" s="101"/>
      <c r="F304" s="99"/>
    </row>
    <row r="305">
      <c r="A305" s="103"/>
      <c r="B305" s="11"/>
      <c r="C305" s="100"/>
      <c r="D305" s="100"/>
      <c r="E305" s="101"/>
      <c r="F305" s="99"/>
    </row>
    <row r="306">
      <c r="A306" s="103"/>
      <c r="B306" s="11"/>
      <c r="C306" s="100"/>
      <c r="D306" s="100"/>
      <c r="E306" s="101"/>
      <c r="F306" s="99"/>
    </row>
    <row r="307">
      <c r="A307" s="103"/>
      <c r="B307" s="11"/>
      <c r="C307" s="100"/>
      <c r="D307" s="100"/>
      <c r="E307" s="101"/>
      <c r="F307" s="99"/>
    </row>
    <row r="308">
      <c r="A308" s="103"/>
      <c r="B308" s="11"/>
      <c r="C308" s="100"/>
      <c r="D308" s="100"/>
      <c r="E308" s="101"/>
      <c r="F308" s="99"/>
    </row>
    <row r="309">
      <c r="A309" s="103"/>
      <c r="B309" s="11"/>
      <c r="C309" s="100"/>
      <c r="D309" s="100"/>
      <c r="E309" s="101"/>
      <c r="F309" s="99"/>
    </row>
    <row r="310">
      <c r="A310" s="103"/>
      <c r="B310" s="11"/>
      <c r="C310" s="100"/>
      <c r="D310" s="100"/>
      <c r="E310" s="101"/>
      <c r="F310" s="99"/>
    </row>
    <row r="311">
      <c r="A311" s="103"/>
      <c r="B311" s="11"/>
      <c r="C311" s="100"/>
      <c r="D311" s="100"/>
      <c r="E311" s="101"/>
      <c r="F311" s="99"/>
    </row>
    <row r="312">
      <c r="A312" s="103"/>
      <c r="B312" s="11"/>
      <c r="C312" s="100"/>
      <c r="D312" s="100"/>
      <c r="E312" s="101"/>
      <c r="F312" s="99"/>
    </row>
    <row r="313">
      <c r="A313" s="103"/>
      <c r="B313" s="11"/>
      <c r="C313" s="100"/>
      <c r="D313" s="100"/>
      <c r="E313" s="101"/>
      <c r="F313" s="99"/>
    </row>
    <row r="314">
      <c r="A314" s="103"/>
      <c r="B314" s="11"/>
      <c r="C314" s="100"/>
      <c r="D314" s="100"/>
      <c r="E314" s="101"/>
      <c r="F314" s="99"/>
    </row>
    <row r="315">
      <c r="A315" s="103"/>
      <c r="B315" s="11"/>
      <c r="C315" s="100"/>
      <c r="D315" s="100"/>
      <c r="E315" s="101"/>
      <c r="F315" s="99"/>
    </row>
    <row r="316">
      <c r="A316" s="103"/>
      <c r="B316" s="11"/>
      <c r="C316" s="100"/>
      <c r="D316" s="100"/>
      <c r="E316" s="101"/>
      <c r="F316" s="99"/>
    </row>
    <row r="317">
      <c r="A317" s="103"/>
      <c r="B317" s="11"/>
      <c r="C317" s="100"/>
      <c r="D317" s="100"/>
      <c r="E317" s="101"/>
      <c r="F317" s="99"/>
    </row>
    <row r="318">
      <c r="A318" s="103"/>
      <c r="B318" s="11"/>
      <c r="C318" s="100"/>
      <c r="D318" s="100"/>
      <c r="E318" s="101"/>
      <c r="F318" s="99"/>
    </row>
    <row r="319">
      <c r="A319" s="103"/>
      <c r="B319" s="11"/>
      <c r="C319" s="100"/>
      <c r="D319" s="100"/>
      <c r="E319" s="101"/>
      <c r="F319" s="99"/>
    </row>
    <row r="320">
      <c r="A320" s="103"/>
      <c r="B320" s="11"/>
      <c r="C320" s="100"/>
      <c r="D320" s="100"/>
      <c r="E320" s="101"/>
      <c r="F320" s="99"/>
    </row>
    <row r="321">
      <c r="A321" s="103"/>
      <c r="B321" s="11"/>
      <c r="C321" s="100"/>
      <c r="D321" s="100"/>
      <c r="E321" s="101"/>
      <c r="F321" s="99"/>
    </row>
    <row r="322">
      <c r="A322" s="103"/>
      <c r="B322" s="11"/>
      <c r="C322" s="100"/>
      <c r="D322" s="100"/>
      <c r="E322" s="101"/>
      <c r="F322" s="99"/>
    </row>
    <row r="323">
      <c r="A323" s="103"/>
      <c r="B323" s="11"/>
      <c r="C323" s="100"/>
      <c r="D323" s="100"/>
      <c r="E323" s="101"/>
      <c r="F323" s="99"/>
    </row>
    <row r="324">
      <c r="A324" s="103"/>
      <c r="B324" s="11"/>
      <c r="C324" s="100"/>
      <c r="D324" s="100"/>
      <c r="E324" s="101"/>
      <c r="F324" s="99"/>
    </row>
    <row r="325">
      <c r="A325" s="103"/>
      <c r="B325" s="11"/>
      <c r="C325" s="100"/>
      <c r="D325" s="100"/>
      <c r="E325" s="101"/>
      <c r="F325" s="99"/>
    </row>
    <row r="326">
      <c r="A326" s="103"/>
      <c r="B326" s="11"/>
      <c r="C326" s="100"/>
      <c r="D326" s="100"/>
      <c r="E326" s="101"/>
      <c r="F326" s="99"/>
    </row>
    <row r="327">
      <c r="A327" s="103"/>
      <c r="B327" s="11"/>
      <c r="C327" s="100"/>
      <c r="D327" s="100"/>
      <c r="E327" s="101"/>
      <c r="F327" s="99"/>
    </row>
    <row r="328">
      <c r="A328" s="103"/>
      <c r="B328" s="11"/>
      <c r="C328" s="100"/>
      <c r="D328" s="100"/>
      <c r="E328" s="101"/>
      <c r="F328" s="99"/>
    </row>
    <row r="329">
      <c r="A329" s="103"/>
      <c r="B329" s="11"/>
      <c r="C329" s="100"/>
      <c r="D329" s="100"/>
      <c r="E329" s="101"/>
      <c r="F329" s="99"/>
    </row>
    <row r="330">
      <c r="A330" s="103"/>
      <c r="B330" s="11"/>
      <c r="C330" s="100"/>
      <c r="D330" s="100"/>
      <c r="E330" s="101"/>
      <c r="F330" s="99"/>
    </row>
    <row r="331">
      <c r="A331" s="103"/>
      <c r="B331" s="11"/>
      <c r="C331" s="100"/>
      <c r="D331" s="100"/>
      <c r="E331" s="101"/>
      <c r="F331" s="99"/>
    </row>
    <row r="332">
      <c r="A332" s="103"/>
      <c r="B332" s="11"/>
      <c r="C332" s="100"/>
      <c r="D332" s="100"/>
      <c r="E332" s="101"/>
      <c r="F332" s="99"/>
    </row>
    <row r="333">
      <c r="A333" s="103"/>
      <c r="B333" s="11"/>
      <c r="C333" s="100"/>
      <c r="D333" s="100"/>
      <c r="E333" s="101"/>
      <c r="F333" s="99"/>
    </row>
    <row r="334">
      <c r="A334" s="103"/>
      <c r="B334" s="11"/>
      <c r="C334" s="100"/>
      <c r="D334" s="100"/>
      <c r="E334" s="101"/>
      <c r="F334" s="99"/>
    </row>
    <row r="335">
      <c r="A335" s="103"/>
      <c r="B335" s="11"/>
      <c r="C335" s="100"/>
      <c r="D335" s="100"/>
      <c r="E335" s="101"/>
      <c r="F335" s="99"/>
    </row>
    <row r="336">
      <c r="A336" s="103"/>
      <c r="B336" s="11"/>
      <c r="C336" s="100"/>
      <c r="D336" s="100"/>
      <c r="E336" s="101"/>
      <c r="F336" s="99"/>
    </row>
    <row r="337">
      <c r="A337" s="103"/>
      <c r="B337" s="11"/>
      <c r="C337" s="100"/>
      <c r="D337" s="100"/>
      <c r="E337" s="101"/>
      <c r="F337" s="99"/>
    </row>
    <row r="338">
      <c r="A338" s="103"/>
      <c r="B338" s="11"/>
      <c r="C338" s="100"/>
      <c r="D338" s="100"/>
      <c r="E338" s="101"/>
      <c r="F338" s="99"/>
    </row>
    <row r="339">
      <c r="A339" s="103"/>
      <c r="B339" s="11"/>
      <c r="C339" s="100"/>
      <c r="D339" s="100"/>
      <c r="E339" s="101"/>
      <c r="F339" s="99"/>
    </row>
    <row r="340">
      <c r="A340" s="103"/>
      <c r="B340" s="11"/>
      <c r="C340" s="100"/>
      <c r="D340" s="100"/>
      <c r="E340" s="101"/>
      <c r="F340" s="99"/>
    </row>
    <row r="341">
      <c r="A341" s="103"/>
      <c r="B341" s="11"/>
      <c r="C341" s="100"/>
      <c r="D341" s="100"/>
      <c r="E341" s="101"/>
      <c r="F341" s="99"/>
    </row>
    <row r="342">
      <c r="A342" s="103"/>
      <c r="B342" s="11"/>
      <c r="C342" s="100"/>
      <c r="D342" s="100"/>
      <c r="E342" s="101"/>
      <c r="F342" s="99"/>
    </row>
    <row r="343">
      <c r="A343" s="103"/>
      <c r="B343" s="11"/>
      <c r="C343" s="100"/>
      <c r="D343" s="100"/>
      <c r="E343" s="101"/>
      <c r="F343" s="99"/>
    </row>
    <row r="344">
      <c r="A344" s="103"/>
      <c r="B344" s="11"/>
      <c r="C344" s="100"/>
      <c r="D344" s="100"/>
      <c r="E344" s="101"/>
      <c r="F344" s="99"/>
    </row>
    <row r="345">
      <c r="A345" s="103"/>
      <c r="B345" s="11"/>
      <c r="C345" s="100"/>
      <c r="D345" s="100"/>
      <c r="E345" s="101"/>
      <c r="F345" s="99"/>
    </row>
    <row r="346">
      <c r="A346" s="103"/>
      <c r="B346" s="11"/>
      <c r="C346" s="100"/>
      <c r="D346" s="100"/>
      <c r="E346" s="101"/>
      <c r="F346" s="99"/>
    </row>
    <row r="347">
      <c r="A347" s="103"/>
      <c r="B347" s="11"/>
      <c r="C347" s="100"/>
      <c r="D347" s="100"/>
      <c r="E347" s="101"/>
      <c r="F347" s="99"/>
    </row>
    <row r="348">
      <c r="A348" s="103"/>
      <c r="B348" s="11"/>
      <c r="C348" s="100"/>
      <c r="D348" s="100"/>
      <c r="E348" s="101"/>
      <c r="F348" s="99"/>
    </row>
    <row r="349">
      <c r="A349" s="103"/>
      <c r="B349" s="11"/>
      <c r="C349" s="100"/>
      <c r="D349" s="100"/>
      <c r="E349" s="101"/>
      <c r="F349" s="99"/>
    </row>
    <row r="350">
      <c r="A350" s="103"/>
      <c r="B350" s="11"/>
      <c r="C350" s="100"/>
      <c r="D350" s="100"/>
      <c r="E350" s="101"/>
      <c r="F350" s="99"/>
    </row>
    <row r="351">
      <c r="A351" s="103"/>
      <c r="B351" s="11"/>
      <c r="C351" s="100"/>
      <c r="D351" s="100"/>
      <c r="E351" s="101"/>
      <c r="F351" s="99"/>
    </row>
    <row r="352">
      <c r="A352" s="103"/>
      <c r="B352" s="11"/>
      <c r="C352" s="100"/>
      <c r="D352" s="100"/>
      <c r="E352" s="101"/>
      <c r="F352" s="99"/>
    </row>
    <row r="353">
      <c r="A353" s="103"/>
      <c r="B353" s="11"/>
      <c r="C353" s="100"/>
      <c r="D353" s="100"/>
      <c r="E353" s="101"/>
      <c r="F353" s="99"/>
    </row>
    <row r="354">
      <c r="A354" s="103"/>
      <c r="B354" s="11"/>
      <c r="C354" s="100"/>
      <c r="D354" s="100"/>
      <c r="E354" s="101"/>
      <c r="F354" s="99"/>
    </row>
    <row r="355">
      <c r="A355" s="103"/>
      <c r="B355" s="11"/>
      <c r="C355" s="100"/>
      <c r="D355" s="100"/>
      <c r="E355" s="101"/>
      <c r="F355" s="99"/>
    </row>
    <row r="356">
      <c r="A356" s="103"/>
      <c r="B356" s="11"/>
      <c r="C356" s="100"/>
      <c r="D356" s="100"/>
      <c r="E356" s="101"/>
      <c r="F356" s="99"/>
    </row>
    <row r="357">
      <c r="A357" s="103"/>
      <c r="B357" s="11"/>
      <c r="C357" s="100"/>
      <c r="D357" s="100"/>
      <c r="E357" s="101"/>
      <c r="F357" s="99"/>
    </row>
    <row r="358">
      <c r="A358" s="103"/>
      <c r="B358" s="11"/>
      <c r="C358" s="100"/>
      <c r="D358" s="100"/>
      <c r="E358" s="101"/>
      <c r="F358" s="99"/>
    </row>
    <row r="359">
      <c r="A359" s="103"/>
      <c r="B359" s="11"/>
      <c r="C359" s="100"/>
      <c r="D359" s="100"/>
      <c r="E359" s="101"/>
      <c r="F359" s="99"/>
    </row>
    <row r="360">
      <c r="A360" s="103"/>
      <c r="B360" s="11"/>
      <c r="C360" s="100"/>
      <c r="D360" s="100"/>
      <c r="E360" s="101"/>
      <c r="F360" s="99"/>
    </row>
    <row r="361">
      <c r="A361" s="103"/>
      <c r="B361" s="11"/>
      <c r="C361" s="100"/>
      <c r="D361" s="100"/>
      <c r="E361" s="101"/>
      <c r="F361" s="99"/>
    </row>
    <row r="362">
      <c r="A362" s="103"/>
      <c r="B362" s="11"/>
      <c r="C362" s="100"/>
      <c r="D362" s="100"/>
      <c r="E362" s="101"/>
      <c r="F362" s="99"/>
    </row>
    <row r="363">
      <c r="A363" s="103"/>
      <c r="B363" s="11"/>
      <c r="C363" s="100"/>
      <c r="D363" s="100"/>
      <c r="E363" s="101"/>
      <c r="F363" s="99"/>
    </row>
    <row r="364">
      <c r="A364" s="103"/>
      <c r="B364" s="11"/>
      <c r="C364" s="100"/>
      <c r="D364" s="100"/>
      <c r="E364" s="101"/>
      <c r="F364" s="99"/>
    </row>
    <row r="365">
      <c r="A365" s="103"/>
      <c r="B365" s="11"/>
      <c r="C365" s="100"/>
      <c r="D365" s="100"/>
      <c r="E365" s="101"/>
      <c r="F365" s="99"/>
    </row>
    <row r="366">
      <c r="A366" s="103"/>
      <c r="B366" s="11"/>
      <c r="C366" s="100"/>
      <c r="D366" s="100"/>
      <c r="E366" s="101"/>
      <c r="F366" s="99"/>
    </row>
    <row r="367">
      <c r="A367" s="103"/>
      <c r="B367" s="11"/>
      <c r="C367" s="100"/>
      <c r="D367" s="100"/>
      <c r="E367" s="101"/>
      <c r="F367" s="99"/>
    </row>
    <row r="368">
      <c r="A368" s="103"/>
      <c r="B368" s="11"/>
      <c r="C368" s="100"/>
      <c r="D368" s="100"/>
      <c r="E368" s="101"/>
      <c r="F368" s="99"/>
    </row>
    <row r="369">
      <c r="A369" s="103"/>
      <c r="B369" s="11"/>
      <c r="C369" s="100"/>
      <c r="D369" s="100"/>
      <c r="E369" s="101"/>
      <c r="F369" s="99"/>
    </row>
    <row r="370">
      <c r="A370" s="103"/>
      <c r="B370" s="11"/>
      <c r="C370" s="100"/>
      <c r="D370" s="100"/>
      <c r="E370" s="101"/>
      <c r="F370" s="99"/>
    </row>
    <row r="371">
      <c r="A371" s="103"/>
      <c r="B371" s="11"/>
      <c r="C371" s="100"/>
      <c r="D371" s="100"/>
      <c r="E371" s="101"/>
      <c r="F371" s="99"/>
    </row>
    <row r="372">
      <c r="A372" s="103"/>
      <c r="B372" s="11"/>
      <c r="C372" s="100"/>
      <c r="D372" s="100"/>
      <c r="E372" s="101"/>
      <c r="F372" s="99"/>
    </row>
    <row r="373">
      <c r="A373" s="103"/>
      <c r="B373" s="11"/>
      <c r="C373" s="100"/>
      <c r="D373" s="100"/>
      <c r="E373" s="101"/>
      <c r="F373" s="99"/>
    </row>
    <row r="374">
      <c r="A374" s="103"/>
      <c r="B374" s="11"/>
      <c r="C374" s="100"/>
      <c r="D374" s="100"/>
      <c r="E374" s="101"/>
      <c r="F374" s="99"/>
    </row>
    <row r="375">
      <c r="A375" s="103"/>
      <c r="B375" s="11"/>
      <c r="C375" s="100"/>
      <c r="D375" s="100"/>
      <c r="E375" s="101"/>
      <c r="F375" s="99"/>
    </row>
    <row r="376">
      <c r="A376" s="103"/>
      <c r="B376" s="11"/>
      <c r="C376" s="100"/>
      <c r="D376" s="100"/>
      <c r="E376" s="101"/>
      <c r="F376" s="99"/>
    </row>
    <row r="377">
      <c r="A377" s="103"/>
      <c r="B377" s="11"/>
      <c r="C377" s="100"/>
      <c r="D377" s="100"/>
      <c r="E377" s="101"/>
      <c r="F377" s="99"/>
    </row>
    <row r="378">
      <c r="A378" s="103"/>
      <c r="B378" s="11"/>
      <c r="C378" s="100"/>
      <c r="D378" s="100"/>
      <c r="E378" s="101"/>
      <c r="F378" s="99"/>
    </row>
    <row r="379">
      <c r="A379" s="103"/>
      <c r="B379" s="11"/>
      <c r="C379" s="100"/>
      <c r="D379" s="100"/>
      <c r="E379" s="101"/>
      <c r="F379" s="99"/>
    </row>
    <row r="380">
      <c r="A380" s="103"/>
      <c r="B380" s="11"/>
      <c r="C380" s="100"/>
      <c r="D380" s="100"/>
      <c r="E380" s="101"/>
      <c r="F380" s="99"/>
    </row>
    <row r="381">
      <c r="A381" s="103"/>
      <c r="B381" s="11"/>
      <c r="C381" s="100"/>
      <c r="D381" s="100"/>
      <c r="E381" s="101"/>
      <c r="F381" s="99"/>
    </row>
    <row r="382">
      <c r="A382" s="103"/>
      <c r="B382" s="11"/>
      <c r="C382" s="100"/>
      <c r="D382" s="100"/>
      <c r="E382" s="101"/>
      <c r="F382" s="99"/>
    </row>
    <row r="383">
      <c r="A383" s="103"/>
      <c r="B383" s="11"/>
      <c r="C383" s="100"/>
      <c r="D383" s="100"/>
      <c r="E383" s="101"/>
      <c r="F383" s="99"/>
    </row>
    <row r="384">
      <c r="A384" s="103"/>
      <c r="B384" s="11"/>
      <c r="C384" s="100"/>
      <c r="D384" s="100"/>
      <c r="E384" s="101"/>
      <c r="F384" s="99"/>
    </row>
    <row r="385">
      <c r="A385" s="103"/>
      <c r="B385" s="11"/>
      <c r="C385" s="100"/>
      <c r="D385" s="100"/>
      <c r="E385" s="101"/>
      <c r="F385" s="99"/>
    </row>
    <row r="386">
      <c r="A386" s="103"/>
      <c r="B386" s="11"/>
      <c r="C386" s="100"/>
      <c r="D386" s="100"/>
      <c r="E386" s="101"/>
      <c r="F386" s="99"/>
    </row>
    <row r="387">
      <c r="A387" s="103"/>
      <c r="B387" s="11"/>
      <c r="C387" s="100"/>
      <c r="D387" s="100"/>
      <c r="E387" s="101"/>
      <c r="F387" s="99"/>
    </row>
    <row r="388">
      <c r="A388" s="103"/>
      <c r="B388" s="11"/>
      <c r="C388" s="100"/>
      <c r="D388" s="100"/>
      <c r="E388" s="101"/>
      <c r="F388" s="99"/>
    </row>
    <row r="389">
      <c r="A389" s="103"/>
      <c r="B389" s="11"/>
      <c r="C389" s="100"/>
      <c r="D389" s="100"/>
      <c r="E389" s="101"/>
      <c r="F389" s="99"/>
    </row>
    <row r="390">
      <c r="A390" s="103"/>
      <c r="B390" s="11"/>
      <c r="C390" s="100"/>
      <c r="D390" s="100"/>
      <c r="E390" s="101"/>
      <c r="F390" s="99"/>
    </row>
    <row r="391">
      <c r="A391" s="103"/>
      <c r="B391" s="11"/>
      <c r="C391" s="100"/>
      <c r="D391" s="100"/>
      <c r="E391" s="101"/>
      <c r="F391" s="99"/>
    </row>
    <row r="392">
      <c r="A392" s="103"/>
      <c r="B392" s="11"/>
      <c r="C392" s="100"/>
      <c r="D392" s="100"/>
      <c r="E392" s="101"/>
      <c r="F392" s="99"/>
    </row>
    <row r="393">
      <c r="A393" s="103"/>
      <c r="B393" s="11"/>
      <c r="C393" s="100"/>
      <c r="D393" s="100"/>
      <c r="E393" s="101"/>
      <c r="F393" s="99"/>
    </row>
    <row r="394">
      <c r="A394" s="103"/>
      <c r="B394" s="11"/>
      <c r="C394" s="100"/>
      <c r="D394" s="100"/>
      <c r="E394" s="101"/>
      <c r="F394" s="99"/>
    </row>
    <row r="395">
      <c r="A395" s="103"/>
      <c r="B395" s="11"/>
      <c r="C395" s="100"/>
      <c r="D395" s="100"/>
      <c r="E395" s="101"/>
      <c r="F395" s="99"/>
    </row>
    <row r="396">
      <c r="A396" s="103"/>
      <c r="B396" s="11"/>
      <c r="C396" s="100"/>
      <c r="D396" s="100"/>
      <c r="E396" s="101"/>
      <c r="F396" s="99"/>
    </row>
    <row r="397">
      <c r="A397" s="103"/>
      <c r="B397" s="11"/>
      <c r="C397" s="100"/>
      <c r="D397" s="100"/>
      <c r="E397" s="101"/>
      <c r="F397" s="99"/>
    </row>
    <row r="398">
      <c r="A398" s="103"/>
      <c r="B398" s="11"/>
      <c r="C398" s="100"/>
      <c r="D398" s="100"/>
      <c r="E398" s="101"/>
      <c r="F398" s="99"/>
    </row>
    <row r="399">
      <c r="A399" s="103"/>
      <c r="B399" s="11"/>
      <c r="C399" s="100"/>
      <c r="D399" s="100"/>
      <c r="E399" s="101"/>
      <c r="F399" s="99"/>
    </row>
    <row r="400">
      <c r="A400" s="103"/>
      <c r="B400" s="11"/>
      <c r="C400" s="100"/>
      <c r="D400" s="100"/>
      <c r="E400" s="101"/>
      <c r="F400" s="99"/>
    </row>
    <row r="401">
      <c r="A401" s="103"/>
      <c r="B401" s="11"/>
      <c r="C401" s="100"/>
      <c r="D401" s="100"/>
      <c r="E401" s="101"/>
      <c r="F401" s="99"/>
    </row>
    <row r="402">
      <c r="A402" s="103"/>
      <c r="B402" s="11"/>
      <c r="C402" s="100"/>
      <c r="D402" s="100"/>
      <c r="E402" s="101"/>
      <c r="F402" s="99"/>
    </row>
    <row r="403">
      <c r="A403" s="103"/>
      <c r="B403" s="11"/>
      <c r="C403" s="100"/>
      <c r="D403" s="100"/>
      <c r="E403" s="101"/>
      <c r="F403" s="99"/>
    </row>
    <row r="404">
      <c r="A404" s="103"/>
      <c r="B404" s="11"/>
      <c r="C404" s="100"/>
      <c r="D404" s="100"/>
      <c r="E404" s="101"/>
      <c r="F404" s="99"/>
    </row>
    <row r="405">
      <c r="A405" s="103"/>
      <c r="B405" s="11"/>
      <c r="C405" s="100"/>
      <c r="D405" s="100"/>
      <c r="E405" s="101"/>
      <c r="F405" s="99"/>
    </row>
    <row r="406">
      <c r="A406" s="103"/>
      <c r="B406" s="11"/>
      <c r="C406" s="100"/>
      <c r="D406" s="100"/>
      <c r="E406" s="101"/>
      <c r="F406" s="99"/>
    </row>
    <row r="407">
      <c r="A407" s="103"/>
      <c r="B407" s="11"/>
      <c r="C407" s="100"/>
      <c r="D407" s="100"/>
      <c r="E407" s="101"/>
      <c r="F407" s="99"/>
    </row>
    <row r="408">
      <c r="A408" s="103"/>
      <c r="B408" s="11"/>
      <c r="C408" s="100"/>
      <c r="D408" s="100"/>
      <c r="E408" s="101"/>
      <c r="F408" s="99"/>
    </row>
    <row r="409">
      <c r="A409" s="103"/>
      <c r="B409" s="11"/>
      <c r="C409" s="100"/>
      <c r="D409" s="100"/>
      <c r="E409" s="101"/>
      <c r="F409" s="99"/>
    </row>
    <row r="410">
      <c r="A410" s="103"/>
      <c r="B410" s="11"/>
      <c r="C410" s="100"/>
      <c r="D410" s="100"/>
      <c r="E410" s="101"/>
      <c r="F410" s="99"/>
    </row>
    <row r="411">
      <c r="A411" s="103"/>
      <c r="B411" s="11"/>
      <c r="C411" s="100"/>
      <c r="D411" s="100"/>
      <c r="E411" s="101"/>
      <c r="F411" s="99"/>
    </row>
    <row r="412">
      <c r="A412" s="103"/>
      <c r="B412" s="11"/>
      <c r="C412" s="100"/>
      <c r="D412" s="100"/>
      <c r="E412" s="101"/>
      <c r="F412" s="99"/>
    </row>
    <row r="413">
      <c r="A413" s="103"/>
      <c r="B413" s="11"/>
      <c r="C413" s="100"/>
      <c r="D413" s="100"/>
      <c r="E413" s="101"/>
      <c r="F413" s="99"/>
    </row>
    <row r="414">
      <c r="A414" s="103"/>
      <c r="B414" s="11"/>
      <c r="C414" s="100"/>
      <c r="D414" s="100"/>
      <c r="E414" s="101"/>
      <c r="F414" s="99"/>
    </row>
    <row r="415">
      <c r="A415" s="103"/>
      <c r="B415" s="11"/>
      <c r="C415" s="100"/>
      <c r="D415" s="100"/>
      <c r="E415" s="101"/>
      <c r="F415" s="99"/>
    </row>
    <row r="416">
      <c r="A416" s="103"/>
      <c r="B416" s="11"/>
      <c r="C416" s="100"/>
      <c r="D416" s="100"/>
      <c r="E416" s="101"/>
      <c r="F416" s="99"/>
    </row>
    <row r="417">
      <c r="A417" s="103"/>
      <c r="B417" s="11"/>
      <c r="C417" s="100"/>
      <c r="D417" s="100"/>
      <c r="E417" s="101"/>
      <c r="F417" s="99"/>
    </row>
    <row r="418">
      <c r="A418" s="103"/>
      <c r="B418" s="11"/>
      <c r="C418" s="100"/>
      <c r="D418" s="100"/>
      <c r="E418" s="101"/>
      <c r="F418" s="99"/>
    </row>
    <row r="419">
      <c r="A419" s="103"/>
      <c r="B419" s="11"/>
      <c r="C419" s="100"/>
      <c r="D419" s="100"/>
      <c r="E419" s="101"/>
      <c r="F419" s="99"/>
    </row>
    <row r="420">
      <c r="A420" s="103"/>
      <c r="B420" s="11"/>
      <c r="C420" s="100"/>
      <c r="D420" s="100"/>
      <c r="E420" s="101"/>
      <c r="F420" s="99"/>
    </row>
    <row r="421">
      <c r="A421" s="103"/>
      <c r="B421" s="11"/>
      <c r="C421" s="100"/>
      <c r="D421" s="100"/>
      <c r="E421" s="101"/>
      <c r="F421" s="99"/>
    </row>
    <row r="422">
      <c r="A422" s="103"/>
      <c r="B422" s="11"/>
      <c r="C422" s="100"/>
      <c r="D422" s="100"/>
      <c r="E422" s="101"/>
      <c r="F422" s="99"/>
    </row>
    <row r="423">
      <c r="A423" s="103"/>
      <c r="B423" s="11"/>
      <c r="C423" s="100"/>
      <c r="D423" s="100"/>
      <c r="E423" s="101"/>
      <c r="F423" s="99"/>
    </row>
    <row r="424">
      <c r="A424" s="103"/>
      <c r="B424" s="11"/>
      <c r="C424" s="100"/>
      <c r="D424" s="100"/>
      <c r="E424" s="101"/>
      <c r="F424" s="99"/>
    </row>
    <row r="425">
      <c r="A425" s="103"/>
      <c r="B425" s="11"/>
      <c r="C425" s="100"/>
      <c r="D425" s="100"/>
      <c r="E425" s="101"/>
      <c r="F425" s="99"/>
    </row>
    <row r="426">
      <c r="A426" s="103"/>
      <c r="B426" s="11"/>
      <c r="C426" s="100"/>
      <c r="D426" s="100"/>
      <c r="E426" s="101"/>
      <c r="F426" s="99"/>
    </row>
    <row r="427">
      <c r="A427" s="103"/>
      <c r="B427" s="11"/>
      <c r="C427" s="100"/>
      <c r="D427" s="100"/>
      <c r="E427" s="101"/>
      <c r="F427" s="99"/>
    </row>
    <row r="428">
      <c r="A428" s="103"/>
      <c r="B428" s="11"/>
      <c r="C428" s="100"/>
      <c r="D428" s="100"/>
      <c r="E428" s="101"/>
      <c r="F428" s="99"/>
    </row>
    <row r="429">
      <c r="A429" s="103"/>
      <c r="B429" s="11"/>
      <c r="C429" s="100"/>
      <c r="D429" s="100"/>
      <c r="E429" s="101"/>
      <c r="F429" s="99"/>
    </row>
    <row r="430">
      <c r="A430" s="103"/>
      <c r="B430" s="11"/>
      <c r="C430" s="100"/>
      <c r="D430" s="100"/>
      <c r="E430" s="101"/>
      <c r="F430" s="99"/>
    </row>
    <row r="431">
      <c r="A431" s="103"/>
      <c r="B431" s="11"/>
      <c r="C431" s="100"/>
      <c r="D431" s="100"/>
      <c r="E431" s="101"/>
      <c r="F431" s="99"/>
    </row>
    <row r="432">
      <c r="A432" s="103"/>
      <c r="B432" s="11"/>
      <c r="C432" s="100"/>
      <c r="D432" s="100"/>
      <c r="E432" s="101"/>
      <c r="F432" s="99"/>
    </row>
    <row r="433">
      <c r="A433" s="103"/>
      <c r="B433" s="11"/>
      <c r="C433" s="100"/>
      <c r="D433" s="100"/>
      <c r="E433" s="101"/>
      <c r="F433" s="99"/>
    </row>
    <row r="434">
      <c r="A434" s="103"/>
      <c r="B434" s="11"/>
      <c r="C434" s="100"/>
      <c r="D434" s="100"/>
      <c r="E434" s="101"/>
      <c r="F434" s="99"/>
    </row>
    <row r="435">
      <c r="A435" s="103"/>
      <c r="B435" s="11"/>
      <c r="C435" s="100"/>
      <c r="D435" s="100"/>
      <c r="E435" s="101"/>
      <c r="F435" s="99"/>
    </row>
    <row r="436">
      <c r="A436" s="103"/>
      <c r="B436" s="11"/>
      <c r="C436" s="100"/>
      <c r="D436" s="100"/>
      <c r="E436" s="101"/>
      <c r="F436" s="99"/>
    </row>
    <row r="437">
      <c r="A437" s="103"/>
      <c r="B437" s="11"/>
      <c r="C437" s="100"/>
      <c r="D437" s="100"/>
      <c r="E437" s="101"/>
      <c r="F437" s="99"/>
    </row>
    <row r="438">
      <c r="A438" s="103"/>
      <c r="B438" s="11"/>
      <c r="C438" s="100"/>
      <c r="D438" s="100"/>
      <c r="E438" s="101"/>
      <c r="F438" s="99"/>
    </row>
    <row r="439">
      <c r="A439" s="103"/>
      <c r="B439" s="11"/>
      <c r="C439" s="100"/>
      <c r="D439" s="100"/>
      <c r="E439" s="101"/>
      <c r="F439" s="99"/>
    </row>
    <row r="440">
      <c r="A440" s="103"/>
      <c r="B440" s="11"/>
      <c r="C440" s="100"/>
      <c r="D440" s="100"/>
      <c r="E440" s="101"/>
      <c r="F440" s="99"/>
    </row>
    <row r="441">
      <c r="A441" s="103"/>
      <c r="B441" s="11"/>
      <c r="C441" s="100"/>
      <c r="D441" s="100"/>
      <c r="E441" s="101"/>
      <c r="F441" s="99"/>
    </row>
    <row r="442">
      <c r="A442" s="103"/>
      <c r="B442" s="11"/>
      <c r="C442" s="100"/>
      <c r="D442" s="100"/>
      <c r="E442" s="101"/>
      <c r="F442" s="99"/>
    </row>
    <row r="443">
      <c r="A443" s="103"/>
      <c r="B443" s="11"/>
      <c r="C443" s="100"/>
      <c r="D443" s="100"/>
      <c r="E443" s="101"/>
      <c r="F443" s="99"/>
    </row>
    <row r="444">
      <c r="A444" s="103"/>
      <c r="B444" s="11"/>
      <c r="C444" s="100"/>
      <c r="D444" s="100"/>
      <c r="E444" s="101"/>
      <c r="F444" s="99"/>
    </row>
    <row r="445">
      <c r="A445" s="103"/>
      <c r="B445" s="11"/>
      <c r="C445" s="100"/>
      <c r="D445" s="100"/>
      <c r="E445" s="101"/>
      <c r="F445" s="99"/>
    </row>
    <row r="446">
      <c r="A446" s="103"/>
      <c r="B446" s="11"/>
      <c r="C446" s="100"/>
      <c r="D446" s="100"/>
      <c r="E446" s="101"/>
      <c r="F446" s="99"/>
    </row>
    <row r="447">
      <c r="A447" s="103"/>
      <c r="B447" s="11"/>
      <c r="C447" s="100"/>
      <c r="D447" s="100"/>
      <c r="E447" s="101"/>
      <c r="F447" s="99"/>
    </row>
    <row r="448">
      <c r="A448" s="103"/>
      <c r="B448" s="11"/>
      <c r="C448" s="100"/>
      <c r="D448" s="100"/>
      <c r="E448" s="101"/>
      <c r="F448" s="99"/>
    </row>
    <row r="449">
      <c r="A449" s="103"/>
      <c r="B449" s="11"/>
      <c r="C449" s="100"/>
      <c r="D449" s="100"/>
      <c r="E449" s="101"/>
      <c r="F449" s="99"/>
    </row>
    <row r="450">
      <c r="A450" s="103"/>
      <c r="B450" s="11"/>
      <c r="C450" s="100"/>
      <c r="D450" s="100"/>
      <c r="E450" s="101"/>
      <c r="F450" s="99"/>
    </row>
    <row r="451">
      <c r="A451" s="103"/>
      <c r="B451" s="11"/>
      <c r="C451" s="100"/>
      <c r="D451" s="100"/>
      <c r="E451" s="101"/>
      <c r="F451" s="99"/>
    </row>
    <row r="452">
      <c r="A452" s="103"/>
      <c r="B452" s="11"/>
      <c r="C452" s="100"/>
      <c r="D452" s="100"/>
      <c r="E452" s="101"/>
      <c r="F452" s="99"/>
    </row>
    <row r="453">
      <c r="A453" s="103"/>
      <c r="B453" s="11"/>
      <c r="C453" s="100"/>
      <c r="D453" s="100"/>
      <c r="E453" s="101"/>
      <c r="F453" s="99"/>
    </row>
    <row r="454">
      <c r="A454" s="103"/>
      <c r="B454" s="11"/>
      <c r="C454" s="100"/>
      <c r="D454" s="100"/>
      <c r="E454" s="101"/>
      <c r="F454" s="99"/>
    </row>
    <row r="455">
      <c r="A455" s="103"/>
      <c r="B455" s="11"/>
      <c r="C455" s="100"/>
      <c r="D455" s="100"/>
      <c r="E455" s="101"/>
      <c r="F455" s="99"/>
    </row>
    <row r="456">
      <c r="A456" s="103"/>
      <c r="B456" s="11"/>
      <c r="C456" s="100"/>
      <c r="D456" s="100"/>
      <c r="E456" s="101"/>
      <c r="F456" s="99"/>
    </row>
    <row r="457">
      <c r="A457" s="103"/>
      <c r="B457" s="11"/>
      <c r="C457" s="100"/>
      <c r="D457" s="100"/>
      <c r="E457" s="101"/>
      <c r="F457" s="99"/>
    </row>
    <row r="458">
      <c r="A458" s="103"/>
      <c r="B458" s="11"/>
      <c r="C458" s="100"/>
      <c r="D458" s="100"/>
      <c r="E458" s="101"/>
      <c r="F458" s="99"/>
    </row>
    <row r="459">
      <c r="A459" s="103"/>
      <c r="B459" s="11"/>
      <c r="C459" s="100"/>
      <c r="D459" s="100"/>
      <c r="E459" s="101"/>
      <c r="F459" s="99"/>
    </row>
    <row r="460">
      <c r="A460" s="103"/>
      <c r="B460" s="11"/>
      <c r="C460" s="100"/>
      <c r="D460" s="100"/>
      <c r="E460" s="101"/>
      <c r="F460" s="99"/>
    </row>
    <row r="461">
      <c r="A461" s="103"/>
      <c r="B461" s="11"/>
      <c r="C461" s="100"/>
      <c r="D461" s="100"/>
      <c r="E461" s="101"/>
      <c r="F461" s="99"/>
    </row>
    <row r="462">
      <c r="A462" s="103"/>
      <c r="B462" s="11"/>
      <c r="C462" s="100"/>
      <c r="D462" s="100"/>
      <c r="E462" s="101"/>
      <c r="F462" s="99"/>
    </row>
    <row r="463">
      <c r="A463" s="103"/>
      <c r="B463" s="11"/>
      <c r="C463" s="100"/>
      <c r="D463" s="100"/>
      <c r="E463" s="101"/>
      <c r="F463" s="99"/>
    </row>
    <row r="464">
      <c r="A464" s="103"/>
      <c r="B464" s="11"/>
      <c r="C464" s="100"/>
      <c r="D464" s="100"/>
      <c r="E464" s="101"/>
      <c r="F464" s="99"/>
    </row>
    <row r="465">
      <c r="A465" s="103"/>
      <c r="B465" s="11"/>
      <c r="C465" s="100"/>
      <c r="D465" s="100"/>
      <c r="E465" s="101"/>
      <c r="F465" s="99"/>
    </row>
    <row r="466">
      <c r="A466" s="103"/>
      <c r="B466" s="11"/>
      <c r="C466" s="100"/>
      <c r="D466" s="100"/>
      <c r="E466" s="101"/>
      <c r="F466" s="99"/>
    </row>
    <row r="467">
      <c r="A467" s="103"/>
      <c r="B467" s="11"/>
      <c r="C467" s="100"/>
      <c r="D467" s="100"/>
      <c r="E467" s="101"/>
      <c r="F467" s="99"/>
    </row>
    <row r="468">
      <c r="A468" s="103"/>
      <c r="B468" s="11"/>
      <c r="C468" s="100"/>
      <c r="D468" s="100"/>
      <c r="E468" s="101"/>
      <c r="F468" s="99"/>
    </row>
    <row r="469">
      <c r="A469" s="103"/>
      <c r="B469" s="11"/>
      <c r="C469" s="100"/>
      <c r="D469" s="100"/>
      <c r="E469" s="101"/>
      <c r="F469" s="99"/>
    </row>
    <row r="470">
      <c r="A470" s="103"/>
      <c r="B470" s="11"/>
      <c r="C470" s="100"/>
      <c r="D470" s="100"/>
      <c r="E470" s="101"/>
      <c r="F470" s="99"/>
    </row>
    <row r="471">
      <c r="A471" s="103"/>
      <c r="B471" s="11"/>
      <c r="C471" s="100"/>
      <c r="D471" s="100"/>
      <c r="E471" s="101"/>
      <c r="F471" s="99"/>
    </row>
    <row r="472">
      <c r="A472" s="103"/>
      <c r="B472" s="11"/>
      <c r="C472" s="100"/>
      <c r="D472" s="100"/>
      <c r="E472" s="101"/>
      <c r="F472" s="99"/>
    </row>
    <row r="473">
      <c r="A473" s="103"/>
      <c r="B473" s="11"/>
      <c r="C473" s="100"/>
      <c r="D473" s="100"/>
      <c r="E473" s="101"/>
      <c r="F473" s="99"/>
    </row>
    <row r="474">
      <c r="A474" s="103"/>
      <c r="B474" s="11"/>
      <c r="C474" s="100"/>
      <c r="D474" s="100"/>
      <c r="E474" s="101"/>
      <c r="F474" s="99"/>
    </row>
    <row r="475">
      <c r="A475" s="103"/>
      <c r="B475" s="11"/>
      <c r="C475" s="100"/>
      <c r="D475" s="100"/>
      <c r="E475" s="101"/>
      <c r="F475" s="99"/>
    </row>
    <row r="476">
      <c r="A476" s="103"/>
      <c r="B476" s="11"/>
      <c r="C476" s="100"/>
      <c r="D476" s="100"/>
      <c r="E476" s="101"/>
      <c r="F476" s="99"/>
    </row>
    <row r="477">
      <c r="A477" s="103"/>
      <c r="B477" s="11"/>
      <c r="C477" s="100"/>
      <c r="D477" s="100"/>
      <c r="E477" s="101"/>
      <c r="F477" s="99"/>
    </row>
    <row r="478">
      <c r="A478" s="103"/>
      <c r="B478" s="11"/>
      <c r="C478" s="100"/>
      <c r="D478" s="100"/>
      <c r="E478" s="101"/>
      <c r="F478" s="99"/>
    </row>
    <row r="479">
      <c r="A479" s="103"/>
      <c r="B479" s="11"/>
      <c r="C479" s="100"/>
      <c r="D479" s="100"/>
      <c r="E479" s="101"/>
      <c r="F479" s="99"/>
    </row>
    <row r="480">
      <c r="A480" s="103"/>
      <c r="B480" s="11"/>
      <c r="C480" s="100"/>
      <c r="D480" s="100"/>
      <c r="E480" s="101"/>
      <c r="F480" s="99"/>
    </row>
    <row r="481">
      <c r="A481" s="103"/>
      <c r="B481" s="11"/>
      <c r="C481" s="100"/>
      <c r="D481" s="100"/>
      <c r="E481" s="101"/>
      <c r="F481" s="99"/>
    </row>
    <row r="482">
      <c r="A482" s="103"/>
      <c r="B482" s="11"/>
      <c r="C482" s="100"/>
      <c r="D482" s="100"/>
      <c r="E482" s="101"/>
      <c r="F482" s="99"/>
    </row>
    <row r="483">
      <c r="A483" s="103"/>
      <c r="B483" s="11"/>
      <c r="C483" s="100"/>
      <c r="D483" s="100"/>
      <c r="E483" s="101"/>
      <c r="F483" s="99"/>
    </row>
    <row r="484">
      <c r="A484" s="103"/>
      <c r="B484" s="11"/>
      <c r="C484" s="100"/>
      <c r="D484" s="100"/>
      <c r="E484" s="101"/>
      <c r="F484" s="99"/>
    </row>
    <row r="485">
      <c r="A485" s="103"/>
      <c r="B485" s="11"/>
      <c r="C485" s="100"/>
      <c r="D485" s="100"/>
      <c r="E485" s="101"/>
      <c r="F485" s="99"/>
    </row>
    <row r="486">
      <c r="A486" s="103"/>
      <c r="B486" s="11"/>
      <c r="C486" s="100"/>
      <c r="D486" s="100"/>
      <c r="E486" s="101"/>
      <c r="F486" s="99"/>
    </row>
    <row r="487">
      <c r="A487" s="103"/>
      <c r="B487" s="11"/>
      <c r="C487" s="100"/>
      <c r="D487" s="100"/>
      <c r="E487" s="101"/>
      <c r="F487" s="99"/>
    </row>
    <row r="488">
      <c r="A488" s="103"/>
      <c r="B488" s="11"/>
      <c r="C488" s="100"/>
      <c r="D488" s="100"/>
      <c r="E488" s="101"/>
      <c r="F488" s="99"/>
    </row>
    <row r="489">
      <c r="A489" s="103"/>
      <c r="B489" s="11"/>
      <c r="C489" s="100"/>
      <c r="D489" s="100"/>
      <c r="E489" s="101"/>
      <c r="F489" s="99"/>
    </row>
    <row r="490">
      <c r="A490" s="103"/>
      <c r="B490" s="11"/>
      <c r="C490" s="100"/>
      <c r="D490" s="100"/>
      <c r="E490" s="101"/>
      <c r="F490" s="99"/>
    </row>
    <row r="491">
      <c r="A491" s="103"/>
      <c r="B491" s="11"/>
      <c r="C491" s="100"/>
      <c r="D491" s="100"/>
      <c r="E491" s="101"/>
      <c r="F491" s="99"/>
    </row>
    <row r="492">
      <c r="A492" s="103"/>
      <c r="B492" s="11"/>
      <c r="C492" s="100"/>
      <c r="D492" s="100"/>
      <c r="E492" s="101"/>
      <c r="F492" s="99"/>
    </row>
    <row r="493">
      <c r="A493" s="103"/>
      <c r="B493" s="11"/>
      <c r="C493" s="100"/>
      <c r="D493" s="100"/>
      <c r="E493" s="101"/>
      <c r="F493" s="99"/>
    </row>
    <row r="494">
      <c r="A494" s="103"/>
      <c r="B494" s="11"/>
      <c r="C494" s="100"/>
      <c r="D494" s="100"/>
      <c r="E494" s="101"/>
      <c r="F494" s="99"/>
    </row>
    <row r="495">
      <c r="A495" s="103"/>
      <c r="B495" s="11"/>
      <c r="C495" s="100"/>
      <c r="D495" s="100"/>
      <c r="E495" s="101"/>
      <c r="F495" s="99"/>
    </row>
    <row r="496">
      <c r="A496" s="103"/>
      <c r="B496" s="11"/>
      <c r="C496" s="100"/>
      <c r="D496" s="100"/>
      <c r="E496" s="101"/>
      <c r="F496" s="99"/>
    </row>
    <row r="497">
      <c r="A497" s="103"/>
      <c r="B497" s="11"/>
      <c r="C497" s="100"/>
      <c r="D497" s="100"/>
      <c r="E497" s="101"/>
      <c r="F497" s="99"/>
    </row>
    <row r="498">
      <c r="A498" s="103"/>
      <c r="B498" s="11"/>
      <c r="C498" s="100"/>
      <c r="D498" s="100"/>
      <c r="E498" s="101"/>
      <c r="F498" s="99"/>
    </row>
    <row r="499">
      <c r="A499" s="103"/>
      <c r="B499" s="11"/>
      <c r="C499" s="100"/>
      <c r="D499" s="100"/>
      <c r="E499" s="101"/>
      <c r="F499" s="99"/>
    </row>
    <row r="500">
      <c r="A500" s="103"/>
      <c r="B500" s="11"/>
      <c r="C500" s="100"/>
      <c r="D500" s="100"/>
      <c r="E500" s="101"/>
      <c r="F500" s="99"/>
    </row>
    <row r="501">
      <c r="A501" s="103"/>
      <c r="B501" s="11"/>
      <c r="C501" s="100"/>
      <c r="D501" s="100"/>
      <c r="E501" s="101"/>
      <c r="F501" s="99"/>
    </row>
    <row r="502">
      <c r="A502" s="103"/>
      <c r="B502" s="11"/>
      <c r="C502" s="100"/>
      <c r="D502" s="100"/>
      <c r="E502" s="101"/>
      <c r="F502" s="99"/>
    </row>
    <row r="503">
      <c r="A503" s="103"/>
      <c r="B503" s="11"/>
      <c r="C503" s="100"/>
      <c r="D503" s="100"/>
      <c r="E503" s="101"/>
      <c r="F503" s="99"/>
    </row>
    <row r="504">
      <c r="A504" s="103"/>
      <c r="B504" s="11"/>
      <c r="C504" s="100"/>
      <c r="D504" s="100"/>
      <c r="E504" s="101"/>
      <c r="F504" s="99"/>
    </row>
    <row r="505">
      <c r="A505" s="103"/>
      <c r="B505" s="11"/>
      <c r="C505" s="100"/>
      <c r="D505" s="100"/>
      <c r="E505" s="101"/>
      <c r="F505" s="99"/>
    </row>
    <row r="506">
      <c r="A506" s="103"/>
      <c r="B506" s="11"/>
      <c r="C506" s="100"/>
      <c r="D506" s="100"/>
      <c r="E506" s="101"/>
      <c r="F506" s="99"/>
    </row>
    <row r="507">
      <c r="A507" s="103"/>
      <c r="B507" s="11"/>
      <c r="C507" s="100"/>
      <c r="D507" s="100"/>
      <c r="E507" s="101"/>
      <c r="F507" s="99"/>
    </row>
    <row r="508">
      <c r="A508" s="103"/>
      <c r="B508" s="11"/>
      <c r="C508" s="100"/>
      <c r="D508" s="100"/>
      <c r="E508" s="101"/>
      <c r="F508" s="99"/>
    </row>
    <row r="509">
      <c r="A509" s="103"/>
      <c r="B509" s="11"/>
      <c r="C509" s="100"/>
      <c r="D509" s="100"/>
      <c r="E509" s="101"/>
      <c r="F509" s="99"/>
    </row>
    <row r="510">
      <c r="A510" s="103"/>
      <c r="B510" s="11"/>
      <c r="C510" s="100"/>
      <c r="D510" s="100"/>
      <c r="E510" s="101"/>
      <c r="F510" s="99"/>
    </row>
    <row r="511">
      <c r="A511" s="103"/>
      <c r="B511" s="11"/>
      <c r="C511" s="100"/>
      <c r="D511" s="100"/>
      <c r="E511" s="101"/>
      <c r="F511" s="99"/>
    </row>
    <row r="512">
      <c r="A512" s="103"/>
      <c r="B512" s="11"/>
      <c r="C512" s="100"/>
      <c r="D512" s="100"/>
      <c r="E512" s="101"/>
      <c r="F512" s="99"/>
    </row>
    <row r="513">
      <c r="A513" s="103"/>
      <c r="B513" s="11"/>
      <c r="C513" s="100"/>
      <c r="D513" s="100"/>
      <c r="E513" s="101"/>
      <c r="F513" s="99"/>
    </row>
    <row r="514">
      <c r="A514" s="103"/>
      <c r="B514" s="11"/>
      <c r="C514" s="100"/>
      <c r="D514" s="100"/>
      <c r="E514" s="101"/>
      <c r="F514" s="99"/>
    </row>
    <row r="515">
      <c r="A515" s="103"/>
      <c r="B515" s="11"/>
      <c r="C515" s="100"/>
      <c r="D515" s="100"/>
      <c r="E515" s="101"/>
      <c r="F515" s="99"/>
    </row>
    <row r="516">
      <c r="A516" s="103"/>
      <c r="B516" s="11"/>
      <c r="C516" s="100"/>
      <c r="D516" s="100"/>
      <c r="E516" s="101"/>
      <c r="F516" s="99"/>
    </row>
    <row r="517">
      <c r="A517" s="103"/>
      <c r="B517" s="11"/>
      <c r="C517" s="100"/>
      <c r="D517" s="100"/>
      <c r="E517" s="101"/>
      <c r="F517" s="99"/>
    </row>
    <row r="518">
      <c r="A518" s="103"/>
      <c r="B518" s="11"/>
      <c r="C518" s="100"/>
      <c r="D518" s="100"/>
      <c r="E518" s="101"/>
      <c r="F518" s="99"/>
    </row>
    <row r="519">
      <c r="A519" s="103"/>
      <c r="B519" s="11"/>
      <c r="C519" s="100"/>
      <c r="D519" s="100"/>
      <c r="E519" s="101"/>
      <c r="F519" s="99"/>
    </row>
    <row r="520">
      <c r="A520" s="103"/>
      <c r="B520" s="11"/>
      <c r="C520" s="100"/>
      <c r="D520" s="100"/>
      <c r="E520" s="101"/>
      <c r="F520" s="99"/>
    </row>
    <row r="521">
      <c r="A521" s="103"/>
      <c r="B521" s="11"/>
      <c r="C521" s="100"/>
      <c r="D521" s="100"/>
      <c r="E521" s="101"/>
      <c r="F521" s="99"/>
    </row>
    <row r="522">
      <c r="A522" s="103"/>
      <c r="B522" s="11"/>
      <c r="C522" s="100"/>
      <c r="D522" s="100"/>
      <c r="E522" s="101"/>
      <c r="F522" s="99"/>
    </row>
    <row r="523">
      <c r="A523" s="103"/>
      <c r="B523" s="11"/>
      <c r="C523" s="100"/>
      <c r="D523" s="100"/>
      <c r="E523" s="101"/>
      <c r="F523" s="99"/>
    </row>
    <row r="524">
      <c r="A524" s="103"/>
      <c r="B524" s="11"/>
      <c r="C524" s="100"/>
      <c r="D524" s="100"/>
      <c r="E524" s="101"/>
      <c r="F524" s="99"/>
    </row>
    <row r="525">
      <c r="A525" s="103"/>
      <c r="B525" s="11"/>
      <c r="C525" s="100"/>
      <c r="D525" s="100"/>
      <c r="E525" s="101"/>
      <c r="F525" s="99"/>
    </row>
    <row r="526">
      <c r="A526" s="103"/>
      <c r="B526" s="11"/>
      <c r="C526" s="100"/>
      <c r="D526" s="100"/>
      <c r="E526" s="101"/>
      <c r="F526" s="99"/>
    </row>
    <row r="527">
      <c r="A527" s="103"/>
      <c r="B527" s="11"/>
      <c r="C527" s="100"/>
      <c r="D527" s="100"/>
      <c r="E527" s="101"/>
      <c r="F527" s="99"/>
    </row>
    <row r="528">
      <c r="A528" s="103"/>
      <c r="B528" s="11"/>
      <c r="C528" s="100"/>
      <c r="D528" s="100"/>
      <c r="E528" s="101"/>
      <c r="F528" s="99"/>
    </row>
    <row r="529">
      <c r="A529" s="103"/>
      <c r="B529" s="11"/>
      <c r="C529" s="100"/>
      <c r="D529" s="100"/>
      <c r="E529" s="101"/>
      <c r="F529" s="99"/>
    </row>
    <row r="530">
      <c r="A530" s="103"/>
      <c r="B530" s="11"/>
      <c r="C530" s="100"/>
      <c r="D530" s="100"/>
      <c r="E530" s="101"/>
      <c r="F530" s="99"/>
    </row>
    <row r="531">
      <c r="A531" s="103"/>
      <c r="B531" s="11"/>
      <c r="C531" s="100"/>
      <c r="D531" s="100"/>
      <c r="E531" s="101"/>
      <c r="F531" s="99"/>
    </row>
    <row r="532">
      <c r="A532" s="103"/>
      <c r="B532" s="11"/>
      <c r="C532" s="100"/>
      <c r="D532" s="100"/>
      <c r="E532" s="101"/>
      <c r="F532" s="99"/>
    </row>
    <row r="533">
      <c r="A533" s="103"/>
      <c r="B533" s="11"/>
      <c r="C533" s="100"/>
      <c r="D533" s="100"/>
      <c r="E533" s="101"/>
      <c r="F533" s="99"/>
    </row>
    <row r="534">
      <c r="A534" s="103"/>
      <c r="B534" s="11"/>
      <c r="C534" s="100"/>
      <c r="D534" s="100"/>
      <c r="E534" s="101"/>
      <c r="F534" s="99"/>
    </row>
    <row r="535">
      <c r="A535" s="103"/>
      <c r="B535" s="11"/>
      <c r="C535" s="100"/>
      <c r="D535" s="100"/>
      <c r="E535" s="101"/>
      <c r="F535" s="99"/>
    </row>
    <row r="536">
      <c r="A536" s="103"/>
      <c r="B536" s="11"/>
      <c r="C536" s="100"/>
      <c r="D536" s="100"/>
      <c r="E536" s="101"/>
      <c r="F536" s="99"/>
    </row>
    <row r="537">
      <c r="A537" s="103"/>
      <c r="B537" s="11"/>
      <c r="C537" s="100"/>
      <c r="D537" s="100"/>
      <c r="E537" s="101"/>
      <c r="F537" s="99"/>
    </row>
    <row r="538">
      <c r="A538" s="103"/>
      <c r="B538" s="11"/>
      <c r="C538" s="100"/>
      <c r="D538" s="100"/>
      <c r="E538" s="101"/>
      <c r="F538" s="99"/>
    </row>
    <row r="539">
      <c r="A539" s="103"/>
      <c r="B539" s="11"/>
      <c r="C539" s="100"/>
      <c r="D539" s="100"/>
      <c r="E539" s="101"/>
      <c r="F539" s="99"/>
    </row>
    <row r="540">
      <c r="A540" s="103"/>
      <c r="B540" s="11"/>
      <c r="C540" s="100"/>
      <c r="D540" s="100"/>
      <c r="E540" s="101"/>
      <c r="F540" s="99"/>
    </row>
    <row r="541">
      <c r="A541" s="103"/>
      <c r="B541" s="11"/>
      <c r="C541" s="100"/>
      <c r="D541" s="100"/>
      <c r="E541" s="101"/>
      <c r="F541" s="99"/>
    </row>
    <row r="542">
      <c r="A542" s="103"/>
      <c r="B542" s="11"/>
      <c r="C542" s="100"/>
      <c r="D542" s="100"/>
      <c r="E542" s="101"/>
      <c r="F542" s="99"/>
    </row>
    <row r="543">
      <c r="A543" s="103"/>
      <c r="B543" s="11"/>
      <c r="C543" s="100"/>
      <c r="D543" s="100"/>
      <c r="E543" s="101"/>
      <c r="F543" s="99"/>
    </row>
    <row r="544">
      <c r="A544" s="103"/>
      <c r="B544" s="11"/>
      <c r="C544" s="100"/>
      <c r="D544" s="100"/>
      <c r="E544" s="101"/>
      <c r="F544" s="99"/>
    </row>
    <row r="545">
      <c r="A545" s="103"/>
      <c r="B545" s="11"/>
      <c r="C545" s="100"/>
      <c r="D545" s="100"/>
      <c r="E545" s="101"/>
      <c r="F545" s="99"/>
    </row>
    <row r="546">
      <c r="A546" s="103"/>
      <c r="B546" s="11"/>
      <c r="C546" s="100"/>
      <c r="D546" s="100"/>
      <c r="E546" s="101"/>
      <c r="F546" s="99"/>
    </row>
    <row r="547">
      <c r="A547" s="103"/>
      <c r="B547" s="11"/>
      <c r="C547" s="100"/>
      <c r="D547" s="100"/>
      <c r="E547" s="101"/>
      <c r="F547" s="99"/>
    </row>
    <row r="548">
      <c r="A548" s="103"/>
      <c r="B548" s="11"/>
      <c r="C548" s="100"/>
      <c r="D548" s="100"/>
      <c r="E548" s="101"/>
      <c r="F548" s="99"/>
    </row>
    <row r="549">
      <c r="A549" s="103"/>
      <c r="B549" s="11"/>
      <c r="C549" s="100"/>
      <c r="D549" s="100"/>
      <c r="E549" s="101"/>
      <c r="F549" s="99"/>
    </row>
    <row r="550">
      <c r="A550" s="103"/>
      <c r="B550" s="11"/>
      <c r="C550" s="100"/>
      <c r="D550" s="100"/>
      <c r="E550" s="101"/>
      <c r="F550" s="99"/>
    </row>
    <row r="551">
      <c r="A551" s="103"/>
      <c r="B551" s="11"/>
      <c r="C551" s="100"/>
      <c r="D551" s="100"/>
      <c r="E551" s="101"/>
      <c r="F551" s="99"/>
    </row>
    <row r="552">
      <c r="A552" s="103"/>
      <c r="B552" s="11"/>
      <c r="C552" s="100"/>
      <c r="D552" s="100"/>
      <c r="E552" s="101"/>
      <c r="F552" s="99"/>
    </row>
    <row r="553">
      <c r="A553" s="103"/>
      <c r="B553" s="11"/>
      <c r="C553" s="100"/>
      <c r="D553" s="100"/>
      <c r="E553" s="101"/>
      <c r="F553" s="99"/>
    </row>
    <row r="554">
      <c r="A554" s="103"/>
      <c r="B554" s="11"/>
      <c r="C554" s="100"/>
      <c r="D554" s="100"/>
      <c r="E554" s="101"/>
      <c r="F554" s="99"/>
    </row>
    <row r="555">
      <c r="A555" s="103"/>
      <c r="B555" s="11"/>
      <c r="C555" s="100"/>
      <c r="D555" s="100"/>
      <c r="E555" s="101"/>
      <c r="F555" s="99"/>
    </row>
    <row r="556">
      <c r="A556" s="103"/>
      <c r="B556" s="11"/>
      <c r="C556" s="100"/>
      <c r="D556" s="100"/>
      <c r="E556" s="101"/>
      <c r="F556" s="99"/>
    </row>
    <row r="557">
      <c r="A557" s="103"/>
      <c r="B557" s="11"/>
      <c r="C557" s="100"/>
      <c r="D557" s="100"/>
      <c r="E557" s="101"/>
      <c r="F557" s="99"/>
    </row>
    <row r="558">
      <c r="A558" s="103"/>
      <c r="B558" s="11"/>
      <c r="C558" s="100"/>
      <c r="D558" s="100"/>
      <c r="E558" s="101"/>
      <c r="F558" s="99"/>
    </row>
    <row r="559">
      <c r="A559" s="103"/>
      <c r="B559" s="11"/>
      <c r="C559" s="100"/>
      <c r="D559" s="100"/>
      <c r="E559" s="101"/>
      <c r="F559" s="99"/>
    </row>
    <row r="560">
      <c r="A560" s="103"/>
      <c r="B560" s="11"/>
      <c r="C560" s="100"/>
      <c r="D560" s="100"/>
      <c r="E560" s="101"/>
      <c r="F560" s="99"/>
    </row>
    <row r="561">
      <c r="A561" s="103"/>
      <c r="B561" s="11"/>
      <c r="C561" s="100"/>
      <c r="D561" s="100"/>
      <c r="E561" s="101"/>
      <c r="F561" s="99"/>
    </row>
    <row r="562">
      <c r="A562" s="103"/>
      <c r="B562" s="11"/>
      <c r="C562" s="100"/>
      <c r="D562" s="100"/>
      <c r="E562" s="101"/>
      <c r="F562" s="99"/>
    </row>
    <row r="563">
      <c r="A563" s="103"/>
      <c r="B563" s="11"/>
      <c r="C563" s="100"/>
      <c r="D563" s="100"/>
      <c r="E563" s="101"/>
      <c r="F563" s="99"/>
    </row>
    <row r="564">
      <c r="A564" s="103"/>
      <c r="B564" s="11"/>
      <c r="C564" s="100"/>
      <c r="D564" s="100"/>
      <c r="E564" s="101"/>
      <c r="F564" s="99"/>
    </row>
    <row r="565">
      <c r="A565" s="103"/>
      <c r="B565" s="11"/>
      <c r="C565" s="100"/>
      <c r="D565" s="100"/>
      <c r="E565" s="101"/>
      <c r="F565" s="99"/>
    </row>
    <row r="566">
      <c r="A566" s="103"/>
      <c r="B566" s="11"/>
      <c r="C566" s="100"/>
      <c r="D566" s="100"/>
      <c r="E566" s="101"/>
      <c r="F566" s="99"/>
    </row>
    <row r="567">
      <c r="A567" s="103"/>
      <c r="B567" s="11"/>
      <c r="C567" s="100"/>
      <c r="D567" s="100"/>
      <c r="E567" s="101"/>
      <c r="F567" s="99"/>
    </row>
    <row r="568">
      <c r="A568" s="103"/>
      <c r="B568" s="11"/>
      <c r="C568" s="100"/>
      <c r="D568" s="100"/>
      <c r="E568" s="101"/>
      <c r="F568" s="99"/>
    </row>
    <row r="569">
      <c r="A569" s="103"/>
      <c r="B569" s="11"/>
      <c r="C569" s="100"/>
      <c r="D569" s="100"/>
      <c r="E569" s="101"/>
      <c r="F569" s="99"/>
    </row>
    <row r="570">
      <c r="A570" s="103"/>
      <c r="B570" s="11"/>
      <c r="C570" s="100"/>
      <c r="D570" s="100"/>
      <c r="E570" s="101"/>
      <c r="F570" s="99"/>
    </row>
    <row r="571">
      <c r="A571" s="103"/>
      <c r="B571" s="11"/>
      <c r="C571" s="100"/>
      <c r="D571" s="100"/>
      <c r="E571" s="101"/>
      <c r="F571" s="99"/>
    </row>
    <row r="572">
      <c r="A572" s="103"/>
      <c r="B572" s="11"/>
      <c r="C572" s="100"/>
      <c r="D572" s="100"/>
      <c r="E572" s="101"/>
      <c r="F572" s="99"/>
    </row>
    <row r="573">
      <c r="A573" s="103"/>
      <c r="B573" s="11"/>
      <c r="C573" s="100"/>
      <c r="D573" s="100"/>
      <c r="E573" s="101"/>
      <c r="F573" s="99"/>
    </row>
    <row r="574">
      <c r="A574" s="103"/>
      <c r="B574" s="11"/>
      <c r="C574" s="100"/>
      <c r="D574" s="100"/>
      <c r="E574" s="101"/>
      <c r="F574" s="99"/>
    </row>
    <row r="575">
      <c r="A575" s="103"/>
      <c r="B575" s="11"/>
      <c r="C575" s="100"/>
      <c r="D575" s="100"/>
      <c r="E575" s="101"/>
      <c r="F575" s="99"/>
    </row>
    <row r="576">
      <c r="A576" s="103"/>
      <c r="B576" s="11"/>
      <c r="C576" s="100"/>
      <c r="D576" s="100"/>
      <c r="E576" s="101"/>
      <c r="F576" s="99"/>
    </row>
    <row r="577">
      <c r="A577" s="103"/>
      <c r="B577" s="11"/>
      <c r="C577" s="100"/>
      <c r="D577" s="100"/>
      <c r="E577" s="101"/>
      <c r="F577" s="99"/>
    </row>
    <row r="578">
      <c r="A578" s="103"/>
      <c r="B578" s="11"/>
      <c r="C578" s="100"/>
      <c r="D578" s="100"/>
      <c r="E578" s="101"/>
      <c r="F578" s="99"/>
    </row>
    <row r="579">
      <c r="A579" s="103"/>
      <c r="B579" s="11"/>
      <c r="C579" s="100"/>
      <c r="D579" s="100"/>
      <c r="E579" s="101"/>
      <c r="F579" s="99"/>
    </row>
    <row r="580">
      <c r="A580" s="103"/>
      <c r="B580" s="11"/>
      <c r="C580" s="100"/>
      <c r="D580" s="100"/>
      <c r="E580" s="101"/>
      <c r="F580" s="99"/>
    </row>
    <row r="581">
      <c r="A581" s="103"/>
      <c r="B581" s="11"/>
      <c r="C581" s="100"/>
      <c r="D581" s="100"/>
      <c r="E581" s="101"/>
      <c r="F581" s="99"/>
    </row>
    <row r="582">
      <c r="A582" s="103"/>
      <c r="B582" s="11"/>
      <c r="C582" s="100"/>
      <c r="D582" s="100"/>
      <c r="E582" s="101"/>
      <c r="F582" s="99"/>
    </row>
    <row r="583">
      <c r="A583" s="103"/>
      <c r="B583" s="11"/>
      <c r="C583" s="100"/>
      <c r="D583" s="100"/>
      <c r="E583" s="101"/>
      <c r="F583" s="99"/>
    </row>
    <row r="584">
      <c r="A584" s="103"/>
      <c r="B584" s="11"/>
      <c r="C584" s="100"/>
      <c r="D584" s="100"/>
      <c r="E584" s="101"/>
      <c r="F584" s="99"/>
    </row>
    <row r="585">
      <c r="A585" s="103"/>
      <c r="B585" s="11"/>
      <c r="C585" s="100"/>
      <c r="D585" s="100"/>
      <c r="E585" s="101"/>
      <c r="F585" s="99"/>
    </row>
    <row r="586">
      <c r="A586" s="103"/>
      <c r="B586" s="11"/>
      <c r="C586" s="100"/>
      <c r="D586" s="100"/>
      <c r="E586" s="101"/>
      <c r="F586" s="99"/>
    </row>
    <row r="587">
      <c r="A587" s="103"/>
      <c r="B587" s="11"/>
      <c r="C587" s="100"/>
      <c r="D587" s="100"/>
      <c r="E587" s="101"/>
      <c r="F587" s="99"/>
    </row>
    <row r="588">
      <c r="A588" s="103"/>
      <c r="B588" s="11"/>
      <c r="C588" s="100"/>
      <c r="D588" s="100"/>
      <c r="E588" s="101"/>
      <c r="F588" s="99"/>
    </row>
    <row r="589">
      <c r="A589" s="103"/>
      <c r="B589" s="11"/>
      <c r="C589" s="100"/>
      <c r="D589" s="100"/>
      <c r="E589" s="101"/>
      <c r="F589" s="99"/>
    </row>
    <row r="590">
      <c r="A590" s="103"/>
      <c r="B590" s="11"/>
      <c r="C590" s="100"/>
      <c r="D590" s="100"/>
      <c r="E590" s="101"/>
      <c r="F590" s="99"/>
    </row>
    <row r="591">
      <c r="A591" s="103"/>
      <c r="B591" s="11"/>
      <c r="C591" s="100"/>
      <c r="D591" s="100"/>
      <c r="E591" s="101"/>
      <c r="F591" s="99"/>
    </row>
    <row r="592">
      <c r="A592" s="103"/>
      <c r="B592" s="11"/>
      <c r="C592" s="100"/>
      <c r="D592" s="100"/>
      <c r="E592" s="101"/>
      <c r="F592" s="99"/>
    </row>
    <row r="593">
      <c r="A593" s="103"/>
      <c r="B593" s="11"/>
      <c r="C593" s="100"/>
      <c r="D593" s="100"/>
      <c r="E593" s="101"/>
      <c r="F593" s="99"/>
    </row>
    <row r="594">
      <c r="A594" s="103"/>
      <c r="B594" s="11"/>
      <c r="C594" s="100"/>
      <c r="D594" s="100"/>
      <c r="E594" s="101"/>
      <c r="F594" s="99"/>
    </row>
    <row r="595">
      <c r="A595" s="103"/>
      <c r="B595" s="11"/>
      <c r="C595" s="100"/>
      <c r="D595" s="100"/>
      <c r="E595" s="101"/>
      <c r="F595" s="99"/>
    </row>
    <row r="596">
      <c r="A596" s="103"/>
      <c r="B596" s="11"/>
      <c r="C596" s="100"/>
      <c r="D596" s="100"/>
      <c r="E596" s="101"/>
      <c r="F596" s="99"/>
    </row>
    <row r="597">
      <c r="A597" s="103"/>
      <c r="B597" s="11"/>
      <c r="C597" s="100"/>
      <c r="D597" s="100"/>
      <c r="E597" s="101"/>
      <c r="F597" s="99"/>
    </row>
    <row r="598">
      <c r="A598" s="103"/>
      <c r="B598" s="11"/>
      <c r="C598" s="100"/>
      <c r="D598" s="100"/>
      <c r="E598" s="101"/>
      <c r="F598" s="99"/>
    </row>
    <row r="599">
      <c r="A599" s="103"/>
      <c r="B599" s="11"/>
      <c r="C599" s="100"/>
      <c r="D599" s="100"/>
      <c r="E599" s="101"/>
      <c r="F599" s="99"/>
    </row>
    <row r="600">
      <c r="A600" s="103"/>
      <c r="B600" s="11"/>
      <c r="C600" s="100"/>
      <c r="D600" s="100"/>
      <c r="E600" s="101"/>
      <c r="F600" s="99"/>
    </row>
    <row r="601">
      <c r="A601" s="103"/>
      <c r="B601" s="11"/>
      <c r="C601" s="100"/>
      <c r="D601" s="100"/>
      <c r="E601" s="101"/>
      <c r="F601" s="99"/>
    </row>
    <row r="602">
      <c r="A602" s="103"/>
      <c r="B602" s="11"/>
      <c r="C602" s="100"/>
      <c r="D602" s="100"/>
      <c r="E602" s="101"/>
      <c r="F602" s="99"/>
    </row>
    <row r="603">
      <c r="A603" s="103"/>
      <c r="B603" s="11"/>
      <c r="C603" s="100"/>
      <c r="D603" s="100"/>
      <c r="E603" s="101"/>
      <c r="F603" s="99"/>
    </row>
    <row r="604">
      <c r="A604" s="103"/>
      <c r="B604" s="11"/>
      <c r="C604" s="100"/>
      <c r="D604" s="100"/>
      <c r="E604" s="101"/>
      <c r="F604" s="99"/>
    </row>
    <row r="605">
      <c r="A605" s="103"/>
      <c r="B605" s="11"/>
      <c r="C605" s="100"/>
      <c r="D605" s="100"/>
      <c r="E605" s="101"/>
      <c r="F605" s="99"/>
    </row>
    <row r="606">
      <c r="A606" s="103"/>
      <c r="B606" s="11"/>
      <c r="C606" s="100"/>
      <c r="D606" s="100"/>
      <c r="E606" s="101"/>
      <c r="F606" s="99"/>
    </row>
    <row r="607">
      <c r="A607" s="103"/>
      <c r="B607" s="11"/>
      <c r="C607" s="100"/>
      <c r="D607" s="100"/>
      <c r="E607" s="101"/>
      <c r="F607" s="99"/>
    </row>
    <row r="608">
      <c r="A608" s="103"/>
      <c r="B608" s="11"/>
      <c r="C608" s="100"/>
      <c r="D608" s="100"/>
      <c r="E608" s="101"/>
      <c r="F608" s="99"/>
    </row>
    <row r="609">
      <c r="A609" s="103"/>
      <c r="B609" s="11"/>
      <c r="C609" s="100"/>
      <c r="D609" s="100"/>
      <c r="E609" s="101"/>
      <c r="F609" s="99"/>
    </row>
    <row r="610">
      <c r="A610" s="103"/>
      <c r="B610" s="11"/>
      <c r="C610" s="100"/>
      <c r="D610" s="100"/>
      <c r="E610" s="101"/>
      <c r="F610" s="99"/>
    </row>
    <row r="611">
      <c r="A611" s="103"/>
      <c r="B611" s="11"/>
      <c r="C611" s="100"/>
      <c r="D611" s="100"/>
      <c r="E611" s="101"/>
      <c r="F611" s="99"/>
    </row>
    <row r="612">
      <c r="A612" s="103"/>
      <c r="B612" s="11"/>
      <c r="C612" s="100"/>
      <c r="D612" s="100"/>
      <c r="E612" s="101"/>
      <c r="F612" s="99"/>
    </row>
    <row r="613">
      <c r="A613" s="103"/>
      <c r="B613" s="11"/>
      <c r="C613" s="100"/>
      <c r="D613" s="100"/>
      <c r="E613" s="101"/>
      <c r="F613" s="99"/>
    </row>
    <row r="614">
      <c r="A614" s="103"/>
      <c r="B614" s="11"/>
      <c r="C614" s="100"/>
      <c r="D614" s="100"/>
      <c r="E614" s="101"/>
      <c r="F614" s="99"/>
    </row>
    <row r="615">
      <c r="A615" s="103"/>
      <c r="B615" s="11"/>
      <c r="C615" s="100"/>
      <c r="D615" s="100"/>
      <c r="E615" s="101"/>
      <c r="F615" s="99"/>
    </row>
    <row r="616">
      <c r="A616" s="103"/>
      <c r="B616" s="11"/>
      <c r="C616" s="100"/>
      <c r="D616" s="100"/>
      <c r="E616" s="101"/>
      <c r="F616" s="99"/>
    </row>
    <row r="617">
      <c r="A617" s="103"/>
      <c r="B617" s="11"/>
      <c r="C617" s="100"/>
      <c r="D617" s="100"/>
      <c r="E617" s="101"/>
      <c r="F617" s="99"/>
    </row>
    <row r="618">
      <c r="A618" s="103"/>
      <c r="B618" s="11"/>
      <c r="C618" s="100"/>
      <c r="D618" s="100"/>
      <c r="E618" s="101"/>
      <c r="F618" s="99"/>
    </row>
    <row r="619">
      <c r="A619" s="103"/>
      <c r="B619" s="11"/>
      <c r="C619" s="100"/>
      <c r="D619" s="100"/>
      <c r="E619" s="101"/>
      <c r="F619" s="99"/>
    </row>
    <row r="620">
      <c r="A620" s="103"/>
      <c r="B620" s="11"/>
      <c r="C620" s="100"/>
      <c r="D620" s="100"/>
      <c r="E620" s="101"/>
      <c r="F620" s="99"/>
    </row>
    <row r="621">
      <c r="A621" s="103"/>
      <c r="B621" s="11"/>
      <c r="C621" s="100"/>
      <c r="D621" s="100"/>
      <c r="E621" s="101"/>
      <c r="F621" s="99"/>
    </row>
    <row r="622">
      <c r="A622" s="103"/>
      <c r="B622" s="11"/>
      <c r="C622" s="100"/>
      <c r="D622" s="100"/>
      <c r="E622" s="101"/>
      <c r="F622" s="99"/>
    </row>
    <row r="623">
      <c r="A623" s="103"/>
      <c r="B623" s="11"/>
      <c r="C623" s="100"/>
      <c r="D623" s="100"/>
      <c r="E623" s="101"/>
      <c r="F623" s="99"/>
    </row>
    <row r="624">
      <c r="A624" s="103"/>
      <c r="B624" s="11"/>
      <c r="C624" s="100"/>
      <c r="D624" s="100"/>
      <c r="E624" s="101"/>
      <c r="F624" s="99"/>
    </row>
    <row r="625">
      <c r="A625" s="103"/>
      <c r="B625" s="11"/>
      <c r="C625" s="100"/>
      <c r="D625" s="100"/>
      <c r="E625" s="101"/>
      <c r="F625" s="99"/>
    </row>
    <row r="626">
      <c r="A626" s="103"/>
      <c r="B626" s="11"/>
      <c r="C626" s="100"/>
      <c r="D626" s="100"/>
      <c r="E626" s="101"/>
      <c r="F626" s="99"/>
    </row>
    <row r="627">
      <c r="A627" s="103"/>
      <c r="B627" s="11"/>
      <c r="C627" s="100"/>
      <c r="D627" s="100"/>
      <c r="E627" s="101"/>
      <c r="F627" s="99"/>
    </row>
    <row r="628">
      <c r="A628" s="103"/>
      <c r="B628" s="11"/>
      <c r="C628" s="100"/>
      <c r="D628" s="100"/>
      <c r="E628" s="101"/>
      <c r="F628" s="99"/>
    </row>
    <row r="629">
      <c r="A629" s="103"/>
      <c r="B629" s="11"/>
      <c r="C629" s="100"/>
      <c r="D629" s="100"/>
      <c r="E629" s="101"/>
      <c r="F629" s="99"/>
    </row>
    <row r="630">
      <c r="A630" s="103"/>
      <c r="B630" s="11"/>
      <c r="C630" s="100"/>
      <c r="D630" s="100"/>
      <c r="E630" s="101"/>
      <c r="F630" s="99"/>
    </row>
    <row r="631">
      <c r="A631" s="103"/>
      <c r="B631" s="11"/>
      <c r="C631" s="100"/>
      <c r="D631" s="100"/>
      <c r="E631" s="101"/>
      <c r="F631" s="99"/>
    </row>
    <row r="632">
      <c r="A632" s="103"/>
      <c r="B632" s="11"/>
      <c r="C632" s="100"/>
      <c r="D632" s="100"/>
      <c r="E632" s="101"/>
      <c r="F632" s="99"/>
    </row>
    <row r="633">
      <c r="A633" s="103"/>
      <c r="B633" s="11"/>
      <c r="C633" s="100"/>
      <c r="D633" s="100"/>
      <c r="E633" s="101"/>
      <c r="F633" s="99"/>
    </row>
    <row r="634">
      <c r="A634" s="103"/>
      <c r="B634" s="11"/>
      <c r="C634" s="100"/>
      <c r="D634" s="100"/>
      <c r="E634" s="101"/>
      <c r="F634" s="99"/>
    </row>
    <row r="635">
      <c r="A635" s="103"/>
      <c r="B635" s="11"/>
      <c r="C635" s="100"/>
      <c r="D635" s="100"/>
      <c r="E635" s="101"/>
      <c r="F635" s="99"/>
    </row>
    <row r="636">
      <c r="A636" s="103"/>
      <c r="B636" s="11"/>
      <c r="C636" s="100"/>
      <c r="D636" s="100"/>
      <c r="E636" s="101"/>
      <c r="F636" s="99"/>
    </row>
    <row r="637">
      <c r="A637" s="103"/>
      <c r="B637" s="11"/>
      <c r="C637" s="100"/>
      <c r="D637" s="100"/>
      <c r="E637" s="101"/>
      <c r="F637" s="99"/>
    </row>
    <row r="638">
      <c r="A638" s="103"/>
      <c r="B638" s="11"/>
      <c r="C638" s="100"/>
      <c r="D638" s="100"/>
      <c r="E638" s="101"/>
      <c r="F638" s="99"/>
    </row>
    <row r="639">
      <c r="A639" s="103"/>
      <c r="B639" s="11"/>
      <c r="C639" s="100"/>
      <c r="D639" s="100"/>
      <c r="E639" s="101"/>
      <c r="F639" s="99"/>
    </row>
    <row r="640">
      <c r="A640" s="103"/>
      <c r="B640" s="11"/>
      <c r="C640" s="100"/>
      <c r="D640" s="100"/>
      <c r="E640" s="101"/>
      <c r="F640" s="99"/>
    </row>
    <row r="641">
      <c r="A641" s="103"/>
      <c r="B641" s="11"/>
      <c r="C641" s="100"/>
      <c r="D641" s="100"/>
      <c r="E641" s="101"/>
      <c r="F641" s="99"/>
    </row>
    <row r="642">
      <c r="A642" s="103"/>
      <c r="B642" s="11"/>
      <c r="C642" s="100"/>
      <c r="D642" s="100"/>
      <c r="E642" s="101"/>
      <c r="F642" s="99"/>
    </row>
    <row r="643">
      <c r="A643" s="103"/>
      <c r="B643" s="11"/>
      <c r="C643" s="100"/>
      <c r="D643" s="100"/>
      <c r="E643" s="101"/>
      <c r="F643" s="99"/>
    </row>
    <row r="644">
      <c r="A644" s="103"/>
      <c r="B644" s="11"/>
      <c r="C644" s="100"/>
      <c r="D644" s="100"/>
      <c r="E644" s="101"/>
      <c r="F644" s="99"/>
    </row>
    <row r="645">
      <c r="A645" s="103"/>
      <c r="B645" s="11"/>
      <c r="C645" s="100"/>
      <c r="D645" s="100"/>
      <c r="E645" s="101"/>
      <c r="F645" s="99"/>
    </row>
    <row r="646">
      <c r="A646" s="103"/>
      <c r="B646" s="11"/>
      <c r="C646" s="100"/>
      <c r="D646" s="100"/>
      <c r="E646" s="101"/>
      <c r="F646" s="99"/>
    </row>
    <row r="647">
      <c r="A647" s="103"/>
      <c r="B647" s="11"/>
      <c r="C647" s="100"/>
      <c r="D647" s="100"/>
      <c r="E647" s="101"/>
      <c r="F647" s="99"/>
    </row>
    <row r="648">
      <c r="A648" s="103"/>
      <c r="B648" s="11"/>
      <c r="C648" s="100"/>
      <c r="D648" s="100"/>
      <c r="E648" s="101"/>
      <c r="F648" s="99"/>
    </row>
    <row r="649">
      <c r="A649" s="103"/>
      <c r="B649" s="11"/>
      <c r="C649" s="100"/>
      <c r="D649" s="100"/>
      <c r="E649" s="101"/>
      <c r="F649" s="99"/>
    </row>
    <row r="650">
      <c r="A650" s="103"/>
      <c r="B650" s="11"/>
      <c r="C650" s="100"/>
      <c r="D650" s="100"/>
      <c r="E650" s="101"/>
      <c r="F650" s="99"/>
    </row>
    <row r="651">
      <c r="A651" s="103"/>
      <c r="B651" s="11"/>
      <c r="C651" s="100"/>
      <c r="D651" s="100"/>
      <c r="E651" s="101"/>
      <c r="F651" s="99"/>
    </row>
    <row r="652">
      <c r="A652" s="103"/>
      <c r="B652" s="11"/>
      <c r="C652" s="100"/>
      <c r="D652" s="100"/>
      <c r="E652" s="101"/>
      <c r="F652" s="99"/>
    </row>
    <row r="653">
      <c r="A653" s="103"/>
      <c r="B653" s="11"/>
      <c r="C653" s="100"/>
      <c r="D653" s="100"/>
      <c r="E653" s="101"/>
      <c r="F653" s="99"/>
    </row>
    <row r="654">
      <c r="A654" s="103"/>
      <c r="B654" s="11"/>
      <c r="C654" s="100"/>
      <c r="D654" s="100"/>
      <c r="E654" s="101"/>
      <c r="F654" s="99"/>
    </row>
    <row r="655">
      <c r="A655" s="103"/>
      <c r="B655" s="11"/>
      <c r="C655" s="100"/>
      <c r="D655" s="100"/>
      <c r="E655" s="101"/>
      <c r="F655" s="99"/>
    </row>
    <row r="656">
      <c r="A656" s="103"/>
      <c r="B656" s="11"/>
      <c r="C656" s="100"/>
      <c r="D656" s="100"/>
      <c r="E656" s="101"/>
      <c r="F656" s="99"/>
    </row>
    <row r="657">
      <c r="A657" s="103"/>
      <c r="B657" s="11"/>
      <c r="C657" s="100"/>
      <c r="D657" s="100"/>
      <c r="E657" s="101"/>
      <c r="F657" s="99"/>
    </row>
    <row r="658">
      <c r="A658" s="103"/>
      <c r="B658" s="11"/>
      <c r="C658" s="100"/>
      <c r="D658" s="100"/>
      <c r="E658" s="101"/>
      <c r="F658" s="99"/>
    </row>
    <row r="659">
      <c r="A659" s="103"/>
      <c r="B659" s="11"/>
      <c r="C659" s="100"/>
      <c r="D659" s="100"/>
      <c r="E659" s="101"/>
      <c r="F659" s="99"/>
    </row>
    <row r="660">
      <c r="A660" s="103"/>
      <c r="B660" s="11"/>
      <c r="C660" s="100"/>
      <c r="D660" s="100"/>
      <c r="E660" s="101"/>
      <c r="F660" s="99"/>
    </row>
    <row r="661">
      <c r="A661" s="103"/>
      <c r="B661" s="11"/>
      <c r="C661" s="100"/>
      <c r="D661" s="100"/>
      <c r="E661" s="101"/>
      <c r="F661" s="99"/>
    </row>
    <row r="662">
      <c r="A662" s="103"/>
      <c r="B662" s="11"/>
      <c r="C662" s="100"/>
      <c r="D662" s="100"/>
      <c r="E662" s="101"/>
      <c r="F662" s="99"/>
    </row>
    <row r="663">
      <c r="A663" s="103"/>
      <c r="B663" s="11"/>
      <c r="C663" s="100"/>
      <c r="D663" s="100"/>
      <c r="E663" s="101"/>
      <c r="F663" s="99"/>
    </row>
    <row r="664">
      <c r="A664" s="103"/>
      <c r="B664" s="11"/>
      <c r="C664" s="100"/>
      <c r="D664" s="100"/>
      <c r="E664" s="101"/>
      <c r="F664" s="99"/>
    </row>
    <row r="665">
      <c r="A665" s="103"/>
      <c r="B665" s="11"/>
      <c r="C665" s="100"/>
      <c r="D665" s="100"/>
      <c r="E665" s="101"/>
      <c r="F665" s="99"/>
    </row>
    <row r="666">
      <c r="A666" s="103"/>
      <c r="B666" s="11"/>
      <c r="C666" s="100"/>
      <c r="D666" s="100"/>
      <c r="E666" s="101"/>
      <c r="F666" s="99"/>
    </row>
    <row r="667">
      <c r="A667" s="103"/>
      <c r="B667" s="11"/>
      <c r="C667" s="100"/>
      <c r="D667" s="100"/>
      <c r="E667" s="101"/>
      <c r="F667" s="99"/>
    </row>
    <row r="668">
      <c r="A668" s="103"/>
      <c r="B668" s="11"/>
      <c r="C668" s="100"/>
      <c r="D668" s="100"/>
      <c r="E668" s="101"/>
      <c r="F668" s="99"/>
    </row>
    <row r="669">
      <c r="A669" s="103"/>
      <c r="B669" s="11"/>
      <c r="C669" s="100"/>
      <c r="D669" s="100"/>
      <c r="E669" s="101"/>
      <c r="F669" s="99"/>
    </row>
    <row r="670">
      <c r="A670" s="103"/>
      <c r="B670" s="11"/>
      <c r="C670" s="100"/>
      <c r="D670" s="100"/>
      <c r="E670" s="101"/>
      <c r="F670" s="99"/>
    </row>
    <row r="671">
      <c r="A671" s="103"/>
      <c r="B671" s="11"/>
      <c r="C671" s="100"/>
      <c r="D671" s="100"/>
      <c r="E671" s="101"/>
      <c r="F671" s="99"/>
    </row>
    <row r="672">
      <c r="A672" s="103"/>
      <c r="B672" s="11"/>
      <c r="C672" s="100"/>
      <c r="D672" s="100"/>
      <c r="E672" s="101"/>
      <c r="F672" s="99"/>
    </row>
    <row r="673">
      <c r="A673" s="103"/>
      <c r="B673" s="11"/>
      <c r="C673" s="100"/>
      <c r="D673" s="100"/>
      <c r="E673" s="101"/>
      <c r="F673" s="99"/>
    </row>
    <row r="674">
      <c r="A674" s="103"/>
      <c r="B674" s="11"/>
      <c r="C674" s="100"/>
      <c r="D674" s="100"/>
      <c r="E674" s="101"/>
      <c r="F674" s="99"/>
    </row>
    <row r="675">
      <c r="A675" s="103"/>
      <c r="B675" s="11"/>
      <c r="C675" s="100"/>
      <c r="D675" s="100"/>
      <c r="E675" s="101"/>
      <c r="F675" s="99"/>
    </row>
    <row r="676">
      <c r="A676" s="103"/>
      <c r="B676" s="11"/>
      <c r="C676" s="100"/>
      <c r="D676" s="100"/>
      <c r="E676" s="101"/>
      <c r="F676" s="99"/>
    </row>
    <row r="677">
      <c r="A677" s="103"/>
      <c r="B677" s="11"/>
      <c r="C677" s="100"/>
      <c r="D677" s="100"/>
      <c r="E677" s="101"/>
      <c r="F677" s="99"/>
    </row>
    <row r="678">
      <c r="A678" s="103"/>
      <c r="B678" s="11"/>
      <c r="C678" s="100"/>
      <c r="D678" s="100"/>
      <c r="E678" s="101"/>
      <c r="F678" s="99"/>
    </row>
    <row r="679">
      <c r="A679" s="103"/>
      <c r="B679" s="11"/>
      <c r="C679" s="100"/>
      <c r="D679" s="100"/>
      <c r="E679" s="101"/>
      <c r="F679" s="99"/>
    </row>
    <row r="680">
      <c r="A680" s="103"/>
      <c r="B680" s="11"/>
      <c r="C680" s="100"/>
      <c r="D680" s="100"/>
      <c r="E680" s="101"/>
      <c r="F680" s="99"/>
    </row>
    <row r="681">
      <c r="A681" s="103"/>
      <c r="B681" s="11"/>
      <c r="C681" s="100"/>
      <c r="D681" s="100"/>
      <c r="E681" s="101"/>
      <c r="F681" s="99"/>
    </row>
    <row r="682">
      <c r="A682" s="103"/>
      <c r="B682" s="11"/>
      <c r="C682" s="100"/>
      <c r="D682" s="100"/>
      <c r="E682" s="101"/>
      <c r="F682" s="99"/>
    </row>
    <row r="683">
      <c r="A683" s="103"/>
      <c r="B683" s="11"/>
      <c r="C683" s="100"/>
      <c r="D683" s="100"/>
      <c r="E683" s="101"/>
      <c r="F683" s="99"/>
    </row>
    <row r="684">
      <c r="A684" s="103"/>
      <c r="B684" s="11"/>
      <c r="C684" s="100"/>
      <c r="D684" s="100"/>
      <c r="E684" s="101"/>
      <c r="F684" s="99"/>
    </row>
    <row r="685">
      <c r="A685" s="103"/>
      <c r="B685" s="11"/>
      <c r="C685" s="100"/>
      <c r="D685" s="100"/>
      <c r="E685" s="101"/>
      <c r="F685" s="99"/>
    </row>
    <row r="686">
      <c r="A686" s="103"/>
      <c r="B686" s="11"/>
      <c r="C686" s="100"/>
      <c r="D686" s="100"/>
      <c r="E686" s="101"/>
      <c r="F686" s="99"/>
    </row>
    <row r="687">
      <c r="A687" s="103"/>
      <c r="B687" s="11"/>
      <c r="C687" s="100"/>
      <c r="D687" s="100"/>
      <c r="E687" s="101"/>
      <c r="F687" s="99"/>
    </row>
    <row r="688">
      <c r="A688" s="103"/>
      <c r="B688" s="11"/>
      <c r="C688" s="100"/>
      <c r="D688" s="100"/>
      <c r="E688" s="101"/>
      <c r="F688" s="99"/>
    </row>
    <row r="689">
      <c r="A689" s="103"/>
      <c r="B689" s="11"/>
      <c r="C689" s="100"/>
      <c r="D689" s="100"/>
      <c r="E689" s="101"/>
      <c r="F689" s="99"/>
    </row>
    <row r="690">
      <c r="A690" s="103"/>
      <c r="B690" s="11"/>
      <c r="C690" s="100"/>
      <c r="D690" s="100"/>
      <c r="E690" s="101"/>
      <c r="F690" s="99"/>
    </row>
    <row r="691">
      <c r="A691" s="103"/>
      <c r="B691" s="11"/>
      <c r="C691" s="100"/>
      <c r="D691" s="100"/>
      <c r="E691" s="101"/>
      <c r="F691" s="99"/>
    </row>
    <row r="692">
      <c r="A692" s="103"/>
      <c r="B692" s="11"/>
      <c r="C692" s="100"/>
      <c r="D692" s="100"/>
      <c r="E692" s="101"/>
      <c r="F692" s="99"/>
    </row>
    <row r="693">
      <c r="A693" s="103"/>
      <c r="B693" s="11"/>
      <c r="C693" s="100"/>
      <c r="D693" s="100"/>
      <c r="E693" s="101"/>
      <c r="F693" s="99"/>
    </row>
    <row r="694">
      <c r="A694" s="103"/>
      <c r="B694" s="11"/>
      <c r="C694" s="100"/>
      <c r="D694" s="100"/>
      <c r="E694" s="101"/>
      <c r="F694" s="99"/>
    </row>
    <row r="695">
      <c r="A695" s="103"/>
      <c r="B695" s="11"/>
      <c r="C695" s="100"/>
      <c r="D695" s="100"/>
      <c r="E695" s="101"/>
      <c r="F695" s="99"/>
    </row>
    <row r="696">
      <c r="A696" s="103"/>
      <c r="B696" s="11"/>
      <c r="C696" s="100"/>
      <c r="D696" s="100"/>
      <c r="E696" s="101"/>
      <c r="F696" s="99"/>
    </row>
    <row r="697">
      <c r="A697" s="103"/>
      <c r="B697" s="11"/>
      <c r="C697" s="100"/>
      <c r="D697" s="100"/>
      <c r="E697" s="101"/>
      <c r="F697" s="99"/>
    </row>
    <row r="698">
      <c r="A698" s="103"/>
      <c r="B698" s="11"/>
      <c r="C698" s="100"/>
      <c r="D698" s="100"/>
      <c r="E698" s="101"/>
      <c r="F698" s="99"/>
    </row>
    <row r="699">
      <c r="A699" s="103"/>
      <c r="B699" s="11"/>
      <c r="C699" s="100"/>
      <c r="D699" s="100"/>
      <c r="E699" s="101"/>
      <c r="F699" s="99"/>
    </row>
    <row r="700">
      <c r="A700" s="103"/>
      <c r="B700" s="11"/>
      <c r="C700" s="100"/>
      <c r="D700" s="100"/>
      <c r="E700" s="101"/>
      <c r="F700" s="99"/>
    </row>
    <row r="701">
      <c r="A701" s="103"/>
      <c r="B701" s="11"/>
      <c r="C701" s="100"/>
      <c r="D701" s="100"/>
      <c r="E701" s="101"/>
      <c r="F701" s="99"/>
    </row>
    <row r="702">
      <c r="A702" s="103"/>
      <c r="B702" s="11"/>
      <c r="C702" s="100"/>
      <c r="D702" s="100"/>
      <c r="E702" s="101"/>
      <c r="F702" s="99"/>
    </row>
    <row r="703">
      <c r="A703" s="103"/>
      <c r="B703" s="11"/>
      <c r="C703" s="100"/>
      <c r="D703" s="100"/>
      <c r="E703" s="101"/>
      <c r="F703" s="99"/>
    </row>
    <row r="704">
      <c r="A704" s="103"/>
      <c r="B704" s="11"/>
      <c r="C704" s="100"/>
      <c r="D704" s="100"/>
      <c r="E704" s="101"/>
      <c r="F704" s="99"/>
    </row>
    <row r="705">
      <c r="A705" s="103"/>
      <c r="B705" s="11"/>
      <c r="C705" s="100"/>
      <c r="D705" s="100"/>
      <c r="E705" s="101"/>
      <c r="F705" s="99"/>
    </row>
    <row r="706">
      <c r="A706" s="103"/>
      <c r="B706" s="11"/>
      <c r="C706" s="100"/>
      <c r="D706" s="100"/>
      <c r="E706" s="101"/>
      <c r="F706" s="99"/>
    </row>
    <row r="707">
      <c r="A707" s="103"/>
      <c r="B707" s="11"/>
      <c r="C707" s="100"/>
      <c r="D707" s="100"/>
      <c r="E707" s="101"/>
      <c r="F707" s="99"/>
    </row>
    <row r="708">
      <c r="A708" s="103"/>
      <c r="B708" s="11"/>
      <c r="C708" s="100"/>
      <c r="D708" s="100"/>
      <c r="E708" s="101"/>
      <c r="F708" s="99"/>
    </row>
    <row r="709">
      <c r="A709" s="103"/>
      <c r="B709" s="11"/>
      <c r="C709" s="100"/>
      <c r="D709" s="100"/>
      <c r="E709" s="101"/>
      <c r="F709" s="99"/>
    </row>
    <row r="710">
      <c r="A710" s="103"/>
      <c r="B710" s="11"/>
      <c r="C710" s="100"/>
      <c r="D710" s="100"/>
      <c r="E710" s="101"/>
      <c r="F710" s="99"/>
    </row>
    <row r="711">
      <c r="A711" s="103"/>
      <c r="B711" s="11"/>
      <c r="C711" s="100"/>
      <c r="D711" s="100"/>
      <c r="E711" s="101"/>
      <c r="F711" s="99"/>
    </row>
    <row r="712">
      <c r="A712" s="103"/>
      <c r="B712" s="11"/>
      <c r="C712" s="100"/>
      <c r="D712" s="100"/>
      <c r="E712" s="101"/>
      <c r="F712" s="99"/>
    </row>
    <row r="713">
      <c r="A713" s="103"/>
      <c r="B713" s="11"/>
      <c r="C713" s="100"/>
      <c r="D713" s="100"/>
      <c r="E713" s="101"/>
      <c r="F713" s="99"/>
    </row>
    <row r="714">
      <c r="A714" s="103"/>
      <c r="B714" s="11"/>
      <c r="C714" s="100"/>
      <c r="D714" s="100"/>
      <c r="E714" s="101"/>
      <c r="F714" s="99"/>
    </row>
    <row r="715">
      <c r="A715" s="103"/>
      <c r="B715" s="11"/>
      <c r="C715" s="100"/>
      <c r="D715" s="100"/>
      <c r="E715" s="101"/>
      <c r="F715" s="99"/>
    </row>
    <row r="716">
      <c r="A716" s="103"/>
      <c r="B716" s="11"/>
      <c r="C716" s="100"/>
      <c r="D716" s="100"/>
      <c r="E716" s="101"/>
      <c r="F716" s="99"/>
    </row>
    <row r="717">
      <c r="A717" s="103"/>
      <c r="B717" s="11"/>
      <c r="C717" s="100"/>
      <c r="D717" s="100"/>
      <c r="E717" s="101"/>
      <c r="F717" s="99"/>
    </row>
    <row r="718">
      <c r="A718" s="103"/>
      <c r="B718" s="11"/>
      <c r="C718" s="100"/>
      <c r="D718" s="100"/>
      <c r="E718" s="101"/>
      <c r="F718" s="99"/>
    </row>
    <row r="719">
      <c r="A719" s="103"/>
      <c r="B719" s="11"/>
      <c r="C719" s="100"/>
      <c r="D719" s="100"/>
      <c r="E719" s="101"/>
      <c r="F719" s="99"/>
    </row>
    <row r="720">
      <c r="A720" s="103"/>
      <c r="B720" s="11"/>
      <c r="C720" s="100"/>
      <c r="D720" s="100"/>
      <c r="E720" s="101"/>
      <c r="F720" s="99"/>
    </row>
    <row r="721">
      <c r="A721" s="103"/>
      <c r="B721" s="11"/>
      <c r="C721" s="100"/>
      <c r="D721" s="100"/>
      <c r="E721" s="101"/>
      <c r="F721" s="99"/>
    </row>
    <row r="722">
      <c r="A722" s="103"/>
      <c r="B722" s="11"/>
      <c r="C722" s="100"/>
      <c r="D722" s="100"/>
      <c r="E722" s="101"/>
      <c r="F722" s="99"/>
    </row>
    <row r="723">
      <c r="A723" s="103"/>
      <c r="B723" s="11"/>
      <c r="C723" s="100"/>
      <c r="D723" s="100"/>
      <c r="E723" s="101"/>
      <c r="F723" s="99"/>
    </row>
    <row r="724">
      <c r="A724" s="103"/>
      <c r="B724" s="11"/>
      <c r="C724" s="100"/>
      <c r="D724" s="100"/>
      <c r="E724" s="101"/>
      <c r="F724" s="99"/>
    </row>
    <row r="725">
      <c r="A725" s="103"/>
      <c r="B725" s="11"/>
      <c r="C725" s="100"/>
      <c r="D725" s="100"/>
      <c r="E725" s="101"/>
      <c r="F725" s="99"/>
    </row>
    <row r="726">
      <c r="A726" s="103"/>
      <c r="B726" s="11"/>
      <c r="C726" s="100"/>
      <c r="D726" s="100"/>
      <c r="E726" s="101"/>
      <c r="F726" s="99"/>
    </row>
    <row r="727">
      <c r="A727" s="103"/>
      <c r="B727" s="11"/>
      <c r="C727" s="100"/>
      <c r="D727" s="100"/>
      <c r="E727" s="101"/>
      <c r="F727" s="99"/>
    </row>
    <row r="728">
      <c r="A728" s="103"/>
      <c r="B728" s="11"/>
      <c r="C728" s="100"/>
      <c r="D728" s="100"/>
      <c r="E728" s="101"/>
      <c r="F728" s="99"/>
    </row>
    <row r="729">
      <c r="A729" s="103"/>
      <c r="B729" s="11"/>
      <c r="C729" s="100"/>
      <c r="D729" s="100"/>
      <c r="E729" s="101"/>
      <c r="F729" s="99"/>
    </row>
    <row r="730">
      <c r="A730" s="103"/>
      <c r="B730" s="11"/>
      <c r="C730" s="100"/>
      <c r="D730" s="100"/>
      <c r="E730" s="101"/>
      <c r="F730" s="99"/>
    </row>
    <row r="731">
      <c r="A731" s="103"/>
      <c r="B731" s="11"/>
      <c r="C731" s="100"/>
      <c r="D731" s="100"/>
      <c r="E731" s="101"/>
      <c r="F731" s="99"/>
    </row>
    <row r="732">
      <c r="A732" s="103"/>
      <c r="B732" s="11"/>
      <c r="C732" s="100"/>
      <c r="D732" s="100"/>
      <c r="E732" s="101"/>
      <c r="F732" s="99"/>
    </row>
    <row r="733">
      <c r="A733" s="103"/>
      <c r="B733" s="11"/>
      <c r="C733" s="100"/>
      <c r="D733" s="100"/>
      <c r="E733" s="101"/>
      <c r="F733" s="99"/>
    </row>
    <row r="734">
      <c r="A734" s="103"/>
      <c r="B734" s="11"/>
      <c r="C734" s="100"/>
      <c r="D734" s="100"/>
      <c r="E734" s="101"/>
      <c r="F734" s="99"/>
    </row>
    <row r="735">
      <c r="A735" s="103"/>
      <c r="B735" s="11"/>
      <c r="C735" s="100"/>
      <c r="D735" s="100"/>
      <c r="E735" s="101"/>
      <c r="F735" s="99"/>
    </row>
    <row r="736">
      <c r="A736" s="103"/>
      <c r="B736" s="11"/>
      <c r="C736" s="100"/>
      <c r="D736" s="100"/>
      <c r="E736" s="101"/>
      <c r="F736" s="99"/>
    </row>
    <row r="737">
      <c r="A737" s="103"/>
      <c r="B737" s="11"/>
      <c r="C737" s="100"/>
      <c r="D737" s="100"/>
      <c r="E737" s="101"/>
      <c r="F737" s="99"/>
    </row>
    <row r="738">
      <c r="A738" s="103"/>
      <c r="B738" s="11"/>
      <c r="C738" s="100"/>
      <c r="D738" s="100"/>
      <c r="E738" s="101"/>
      <c r="F738" s="99"/>
    </row>
    <row r="739">
      <c r="A739" s="103"/>
      <c r="B739" s="11"/>
      <c r="C739" s="100"/>
      <c r="D739" s="100"/>
      <c r="E739" s="101"/>
      <c r="F739" s="99"/>
    </row>
    <row r="740">
      <c r="A740" s="103"/>
      <c r="B740" s="11"/>
      <c r="C740" s="100"/>
      <c r="D740" s="100"/>
      <c r="E740" s="101"/>
      <c r="F740" s="99"/>
    </row>
    <row r="741">
      <c r="A741" s="103"/>
      <c r="B741" s="11"/>
      <c r="C741" s="100"/>
      <c r="D741" s="100"/>
      <c r="E741" s="101"/>
      <c r="F741" s="99"/>
    </row>
    <row r="742">
      <c r="A742" s="103"/>
      <c r="B742" s="11"/>
      <c r="C742" s="100"/>
      <c r="D742" s="100"/>
      <c r="E742" s="101"/>
      <c r="F742" s="99"/>
    </row>
    <row r="743">
      <c r="A743" s="103"/>
      <c r="B743" s="11"/>
      <c r="C743" s="100"/>
      <c r="D743" s="100"/>
      <c r="E743" s="101"/>
      <c r="F743" s="99"/>
    </row>
    <row r="744">
      <c r="A744" s="103"/>
      <c r="B744" s="11"/>
      <c r="C744" s="100"/>
      <c r="D744" s="100"/>
      <c r="E744" s="101"/>
      <c r="F744" s="99"/>
    </row>
    <row r="745">
      <c r="A745" s="103"/>
      <c r="B745" s="11"/>
      <c r="C745" s="100"/>
      <c r="D745" s="100"/>
      <c r="E745" s="101"/>
      <c r="F745" s="99"/>
    </row>
    <row r="746">
      <c r="A746" s="103"/>
      <c r="B746" s="11"/>
      <c r="C746" s="100"/>
      <c r="D746" s="100"/>
      <c r="E746" s="101"/>
      <c r="F746" s="99"/>
    </row>
    <row r="747">
      <c r="A747" s="103"/>
      <c r="B747" s="11"/>
      <c r="C747" s="100"/>
      <c r="D747" s="100"/>
      <c r="E747" s="101"/>
      <c r="F747" s="99"/>
    </row>
    <row r="748">
      <c r="A748" s="103"/>
      <c r="B748" s="11"/>
      <c r="C748" s="100"/>
      <c r="D748" s="100"/>
      <c r="E748" s="101"/>
      <c r="F748" s="99"/>
    </row>
    <row r="749">
      <c r="A749" s="103"/>
      <c r="B749" s="11"/>
      <c r="C749" s="100"/>
      <c r="D749" s="100"/>
      <c r="E749" s="101"/>
      <c r="F749" s="99"/>
    </row>
    <row r="750">
      <c r="A750" s="103"/>
      <c r="B750" s="11"/>
      <c r="C750" s="100"/>
      <c r="D750" s="100"/>
      <c r="E750" s="101"/>
      <c r="F750" s="99"/>
    </row>
    <row r="751">
      <c r="A751" s="103"/>
      <c r="B751" s="11"/>
      <c r="C751" s="100"/>
      <c r="D751" s="100"/>
      <c r="E751" s="101"/>
      <c r="F751" s="99"/>
    </row>
    <row r="752">
      <c r="A752" s="103"/>
      <c r="B752" s="11"/>
      <c r="C752" s="100"/>
      <c r="D752" s="100"/>
      <c r="E752" s="101"/>
      <c r="F752" s="99"/>
    </row>
    <row r="753">
      <c r="A753" s="103"/>
      <c r="B753" s="11"/>
      <c r="C753" s="100"/>
      <c r="D753" s="100"/>
      <c r="E753" s="101"/>
      <c r="F753" s="99"/>
    </row>
    <row r="754">
      <c r="A754" s="103"/>
      <c r="B754" s="11"/>
      <c r="C754" s="100"/>
      <c r="D754" s="100"/>
      <c r="E754" s="101"/>
      <c r="F754" s="99"/>
    </row>
    <row r="755">
      <c r="A755" s="103"/>
      <c r="B755" s="11"/>
      <c r="C755" s="100"/>
      <c r="D755" s="100"/>
      <c r="E755" s="101"/>
      <c r="F755" s="99"/>
    </row>
    <row r="756">
      <c r="A756" s="103"/>
      <c r="B756" s="11"/>
      <c r="C756" s="100"/>
      <c r="D756" s="100"/>
      <c r="E756" s="101"/>
      <c r="F756" s="99"/>
    </row>
    <row r="757">
      <c r="A757" s="103"/>
      <c r="B757" s="11"/>
      <c r="C757" s="100"/>
      <c r="D757" s="100"/>
      <c r="E757" s="101"/>
      <c r="F757" s="99"/>
    </row>
    <row r="758">
      <c r="A758" s="103"/>
      <c r="B758" s="11"/>
      <c r="C758" s="100"/>
      <c r="D758" s="100"/>
      <c r="E758" s="101"/>
      <c r="F758" s="99"/>
    </row>
    <row r="759">
      <c r="A759" s="103"/>
      <c r="B759" s="11"/>
      <c r="C759" s="100"/>
      <c r="D759" s="100"/>
      <c r="E759" s="101"/>
      <c r="F759" s="99"/>
    </row>
    <row r="760">
      <c r="A760" s="103"/>
      <c r="B760" s="11"/>
      <c r="C760" s="100"/>
      <c r="D760" s="100"/>
      <c r="E760" s="101"/>
      <c r="F760" s="99"/>
    </row>
    <row r="761">
      <c r="A761" s="103"/>
      <c r="B761" s="11"/>
      <c r="C761" s="100"/>
      <c r="D761" s="100"/>
      <c r="E761" s="101"/>
      <c r="F761" s="99"/>
    </row>
    <row r="762">
      <c r="A762" s="103"/>
      <c r="B762" s="11"/>
      <c r="C762" s="100"/>
      <c r="D762" s="100"/>
      <c r="E762" s="101"/>
      <c r="F762" s="99"/>
    </row>
    <row r="763">
      <c r="A763" s="103"/>
      <c r="B763" s="11"/>
      <c r="C763" s="100"/>
      <c r="D763" s="100"/>
      <c r="E763" s="101"/>
      <c r="F763" s="99"/>
    </row>
    <row r="764">
      <c r="A764" s="103"/>
      <c r="B764" s="11"/>
      <c r="C764" s="100"/>
      <c r="D764" s="100"/>
      <c r="E764" s="101"/>
      <c r="F764" s="99"/>
    </row>
    <row r="765">
      <c r="A765" s="103"/>
      <c r="B765" s="11"/>
      <c r="C765" s="100"/>
      <c r="D765" s="100"/>
      <c r="E765" s="101"/>
      <c r="F765" s="99"/>
    </row>
    <row r="766">
      <c r="A766" s="103"/>
      <c r="B766" s="11"/>
      <c r="C766" s="100"/>
      <c r="D766" s="100"/>
      <c r="E766" s="101"/>
      <c r="F766" s="99"/>
    </row>
    <row r="767">
      <c r="A767" s="103"/>
      <c r="B767" s="11"/>
      <c r="C767" s="100"/>
      <c r="D767" s="100"/>
      <c r="E767" s="101"/>
      <c r="F767" s="99"/>
    </row>
    <row r="768">
      <c r="A768" s="103"/>
      <c r="B768" s="11"/>
      <c r="C768" s="100"/>
      <c r="D768" s="100"/>
      <c r="E768" s="101"/>
      <c r="F768" s="99"/>
    </row>
    <row r="769">
      <c r="A769" s="103"/>
      <c r="B769" s="11"/>
      <c r="C769" s="100"/>
      <c r="D769" s="100"/>
      <c r="E769" s="101"/>
      <c r="F769" s="99"/>
    </row>
    <row r="770">
      <c r="A770" s="103"/>
      <c r="B770" s="11"/>
      <c r="C770" s="100"/>
      <c r="D770" s="100"/>
      <c r="E770" s="101"/>
      <c r="F770" s="99"/>
    </row>
    <row r="771">
      <c r="A771" s="103"/>
      <c r="B771" s="11"/>
      <c r="C771" s="100"/>
      <c r="D771" s="100"/>
      <c r="E771" s="101"/>
      <c r="F771" s="99"/>
    </row>
    <row r="772">
      <c r="A772" s="103"/>
      <c r="B772" s="11"/>
      <c r="C772" s="100"/>
      <c r="D772" s="100"/>
      <c r="E772" s="101"/>
      <c r="F772" s="99"/>
    </row>
    <row r="773">
      <c r="A773" s="103"/>
      <c r="B773" s="11"/>
      <c r="C773" s="100"/>
      <c r="D773" s="100"/>
      <c r="E773" s="101"/>
      <c r="F773" s="99"/>
    </row>
    <row r="774">
      <c r="A774" s="103"/>
      <c r="B774" s="11"/>
      <c r="C774" s="100"/>
      <c r="D774" s="100"/>
      <c r="E774" s="101"/>
      <c r="F774" s="99"/>
    </row>
    <row r="775">
      <c r="A775" s="103"/>
      <c r="B775" s="11"/>
      <c r="C775" s="100"/>
      <c r="D775" s="100"/>
      <c r="E775" s="101"/>
      <c r="F775" s="99"/>
    </row>
    <row r="776">
      <c r="A776" s="103"/>
      <c r="B776" s="11"/>
      <c r="C776" s="100"/>
      <c r="D776" s="100"/>
      <c r="E776" s="101"/>
      <c r="F776" s="99"/>
    </row>
    <row r="777">
      <c r="A777" s="103"/>
      <c r="B777" s="11"/>
      <c r="C777" s="100"/>
      <c r="D777" s="100"/>
      <c r="E777" s="101"/>
      <c r="F777" s="99"/>
    </row>
    <row r="778">
      <c r="A778" s="103"/>
      <c r="B778" s="11"/>
      <c r="C778" s="100"/>
      <c r="D778" s="100"/>
      <c r="E778" s="101"/>
      <c r="F778" s="99"/>
    </row>
    <row r="779">
      <c r="A779" s="103"/>
      <c r="B779" s="11"/>
      <c r="C779" s="100"/>
      <c r="D779" s="100"/>
      <c r="E779" s="101"/>
      <c r="F779" s="99"/>
    </row>
    <row r="780">
      <c r="A780" s="103"/>
      <c r="B780" s="11"/>
      <c r="C780" s="100"/>
      <c r="D780" s="100"/>
      <c r="E780" s="101"/>
      <c r="F780" s="99"/>
    </row>
    <row r="781">
      <c r="A781" s="103"/>
      <c r="B781" s="11"/>
      <c r="C781" s="100"/>
      <c r="D781" s="100"/>
      <c r="E781" s="101"/>
      <c r="F781" s="99"/>
    </row>
    <row r="782">
      <c r="A782" s="103"/>
      <c r="B782" s="11"/>
      <c r="C782" s="100"/>
      <c r="D782" s="100"/>
      <c r="E782" s="101"/>
      <c r="F782" s="99"/>
    </row>
    <row r="783">
      <c r="A783" s="103"/>
      <c r="B783" s="11"/>
      <c r="C783" s="100"/>
      <c r="D783" s="100"/>
      <c r="E783" s="101"/>
      <c r="F783" s="99"/>
    </row>
    <row r="784">
      <c r="A784" s="103"/>
      <c r="B784" s="11"/>
      <c r="C784" s="100"/>
      <c r="D784" s="100"/>
      <c r="E784" s="101"/>
      <c r="F784" s="99"/>
    </row>
    <row r="785">
      <c r="A785" s="103"/>
      <c r="B785" s="11"/>
      <c r="C785" s="100"/>
      <c r="D785" s="100"/>
      <c r="E785" s="101"/>
      <c r="F785" s="99"/>
    </row>
    <row r="786">
      <c r="A786" s="103"/>
      <c r="B786" s="11"/>
      <c r="C786" s="100"/>
      <c r="D786" s="100"/>
      <c r="E786" s="101"/>
      <c r="F786" s="99"/>
    </row>
    <row r="787">
      <c r="A787" s="103"/>
      <c r="B787" s="11"/>
      <c r="C787" s="100"/>
      <c r="D787" s="100"/>
      <c r="E787" s="101"/>
      <c r="F787" s="99"/>
    </row>
    <row r="788">
      <c r="A788" s="103"/>
      <c r="B788" s="11"/>
      <c r="C788" s="100"/>
      <c r="D788" s="100"/>
      <c r="E788" s="101"/>
      <c r="F788" s="99"/>
    </row>
    <row r="789">
      <c r="A789" s="103"/>
      <c r="B789" s="11"/>
      <c r="C789" s="100"/>
      <c r="D789" s="100"/>
      <c r="E789" s="101"/>
      <c r="F789" s="99"/>
    </row>
    <row r="790">
      <c r="A790" s="103"/>
      <c r="B790" s="11"/>
      <c r="C790" s="100"/>
      <c r="D790" s="100"/>
      <c r="E790" s="101"/>
      <c r="F790" s="99"/>
    </row>
    <row r="791">
      <c r="A791" s="103"/>
      <c r="B791" s="11"/>
      <c r="C791" s="100"/>
      <c r="D791" s="100"/>
      <c r="E791" s="101"/>
      <c r="F791" s="99"/>
    </row>
    <row r="792">
      <c r="A792" s="103"/>
      <c r="B792" s="11"/>
      <c r="C792" s="100"/>
      <c r="D792" s="100"/>
      <c r="E792" s="101"/>
      <c r="F792" s="99"/>
    </row>
    <row r="793">
      <c r="A793" s="103"/>
      <c r="B793" s="11"/>
      <c r="C793" s="100"/>
      <c r="D793" s="100"/>
      <c r="E793" s="101"/>
      <c r="F793" s="99"/>
    </row>
    <row r="794">
      <c r="A794" s="103"/>
      <c r="B794" s="11"/>
      <c r="C794" s="100"/>
      <c r="D794" s="100"/>
      <c r="E794" s="101"/>
      <c r="F794" s="99"/>
    </row>
    <row r="795">
      <c r="A795" s="103"/>
      <c r="B795" s="11"/>
      <c r="C795" s="100"/>
      <c r="D795" s="100"/>
      <c r="E795" s="101"/>
      <c r="F795" s="99"/>
    </row>
    <row r="796">
      <c r="A796" s="103"/>
      <c r="B796" s="11"/>
      <c r="C796" s="100"/>
      <c r="D796" s="100"/>
      <c r="E796" s="101"/>
      <c r="F796" s="99"/>
    </row>
    <row r="797">
      <c r="A797" s="103"/>
      <c r="B797" s="11"/>
      <c r="C797" s="100"/>
      <c r="D797" s="100"/>
      <c r="E797" s="101"/>
      <c r="F797" s="99"/>
    </row>
    <row r="798">
      <c r="A798" s="103"/>
      <c r="B798" s="11"/>
      <c r="C798" s="100"/>
      <c r="D798" s="100"/>
      <c r="E798" s="101"/>
      <c r="F798" s="99"/>
    </row>
    <row r="799">
      <c r="A799" s="103"/>
      <c r="B799" s="11"/>
      <c r="C799" s="100"/>
      <c r="D799" s="100"/>
      <c r="E799" s="101"/>
      <c r="F799" s="99"/>
    </row>
    <row r="800">
      <c r="A800" s="103"/>
      <c r="B800" s="11"/>
      <c r="C800" s="100"/>
      <c r="D800" s="100"/>
      <c r="E800" s="101"/>
      <c r="F800" s="99"/>
    </row>
    <row r="801">
      <c r="A801" s="103"/>
      <c r="B801" s="11"/>
      <c r="C801" s="100"/>
      <c r="D801" s="100"/>
      <c r="E801" s="101"/>
      <c r="F801" s="99"/>
    </row>
    <row r="802">
      <c r="A802" s="103"/>
      <c r="B802" s="11"/>
      <c r="C802" s="100"/>
      <c r="D802" s="100"/>
      <c r="E802" s="101"/>
      <c r="F802" s="99"/>
    </row>
    <row r="803">
      <c r="A803" s="103"/>
      <c r="B803" s="11"/>
      <c r="C803" s="100"/>
      <c r="D803" s="100"/>
      <c r="E803" s="101"/>
      <c r="F803" s="99"/>
    </row>
    <row r="804">
      <c r="A804" s="103"/>
      <c r="B804" s="11"/>
      <c r="C804" s="100"/>
      <c r="D804" s="100"/>
      <c r="E804" s="101"/>
      <c r="F804" s="99"/>
    </row>
    <row r="805">
      <c r="A805" s="103"/>
      <c r="B805" s="11"/>
      <c r="C805" s="100"/>
      <c r="D805" s="100"/>
      <c r="E805" s="101"/>
      <c r="F805" s="99"/>
    </row>
    <row r="806">
      <c r="A806" s="103"/>
      <c r="B806" s="11"/>
      <c r="C806" s="100"/>
      <c r="D806" s="100"/>
      <c r="E806" s="101"/>
      <c r="F806" s="99"/>
    </row>
    <row r="807">
      <c r="A807" s="103"/>
      <c r="B807" s="11"/>
      <c r="C807" s="100"/>
      <c r="D807" s="100"/>
      <c r="E807" s="101"/>
      <c r="F807" s="99"/>
    </row>
    <row r="808">
      <c r="A808" s="103"/>
      <c r="B808" s="11"/>
      <c r="C808" s="100"/>
      <c r="D808" s="100"/>
      <c r="E808" s="101"/>
      <c r="F808" s="99"/>
    </row>
    <row r="809">
      <c r="A809" s="103"/>
      <c r="B809" s="11"/>
      <c r="C809" s="100"/>
      <c r="D809" s="100"/>
      <c r="E809" s="101"/>
      <c r="F809" s="99"/>
    </row>
    <row r="810">
      <c r="A810" s="103"/>
      <c r="B810" s="11"/>
      <c r="C810" s="100"/>
      <c r="D810" s="100"/>
      <c r="E810" s="101"/>
      <c r="F810" s="99"/>
    </row>
    <row r="811">
      <c r="A811" s="103"/>
      <c r="B811" s="11"/>
      <c r="C811" s="100"/>
      <c r="D811" s="100"/>
      <c r="E811" s="101"/>
      <c r="F811" s="99"/>
    </row>
    <row r="812">
      <c r="A812" s="103"/>
      <c r="B812" s="11"/>
      <c r="C812" s="100"/>
      <c r="D812" s="100"/>
      <c r="E812" s="101"/>
      <c r="F812" s="99"/>
    </row>
    <row r="813">
      <c r="A813" s="103"/>
      <c r="B813" s="11"/>
      <c r="C813" s="100"/>
      <c r="D813" s="100"/>
      <c r="E813" s="101"/>
      <c r="F813" s="99"/>
    </row>
    <row r="814">
      <c r="A814" s="103"/>
      <c r="B814" s="11"/>
      <c r="C814" s="100"/>
      <c r="D814" s="100"/>
      <c r="E814" s="101"/>
      <c r="F814" s="99"/>
    </row>
    <row r="815">
      <c r="A815" s="103"/>
      <c r="B815" s="11"/>
      <c r="C815" s="100"/>
      <c r="D815" s="100"/>
      <c r="E815" s="101"/>
      <c r="F815" s="99"/>
    </row>
    <row r="816">
      <c r="A816" s="103"/>
      <c r="B816" s="11"/>
      <c r="C816" s="100"/>
      <c r="D816" s="100"/>
      <c r="E816" s="101"/>
      <c r="F816" s="99"/>
    </row>
    <row r="817">
      <c r="A817" s="103"/>
      <c r="B817" s="11"/>
      <c r="C817" s="100"/>
      <c r="D817" s="100"/>
      <c r="E817" s="101"/>
      <c r="F817" s="99"/>
    </row>
    <row r="818">
      <c r="A818" s="103"/>
      <c r="B818" s="11"/>
      <c r="C818" s="100"/>
      <c r="D818" s="100"/>
      <c r="E818" s="101"/>
      <c r="F818" s="99"/>
    </row>
    <row r="819">
      <c r="A819" s="103"/>
      <c r="B819" s="11"/>
      <c r="C819" s="100"/>
      <c r="D819" s="100"/>
      <c r="E819" s="101"/>
      <c r="F819" s="99"/>
    </row>
    <row r="820">
      <c r="A820" s="103"/>
      <c r="B820" s="11"/>
      <c r="C820" s="100"/>
      <c r="D820" s="100"/>
      <c r="E820" s="101"/>
      <c r="F820" s="99"/>
    </row>
    <row r="821">
      <c r="A821" s="103"/>
      <c r="B821" s="11"/>
      <c r="C821" s="100"/>
      <c r="D821" s="100"/>
      <c r="E821" s="101"/>
      <c r="F821" s="99"/>
    </row>
    <row r="822">
      <c r="A822" s="103"/>
      <c r="B822" s="11"/>
      <c r="C822" s="100"/>
      <c r="D822" s="100"/>
      <c r="E822" s="101"/>
      <c r="F822" s="99"/>
    </row>
    <row r="823">
      <c r="A823" s="103"/>
      <c r="B823" s="11"/>
      <c r="C823" s="100"/>
      <c r="D823" s="100"/>
      <c r="E823" s="101"/>
      <c r="F823" s="99"/>
    </row>
    <row r="824">
      <c r="A824" s="103"/>
      <c r="B824" s="11"/>
      <c r="C824" s="100"/>
      <c r="D824" s="100"/>
      <c r="E824" s="101"/>
      <c r="F824" s="99"/>
    </row>
    <row r="825">
      <c r="A825" s="103"/>
      <c r="B825" s="11"/>
      <c r="C825" s="100"/>
      <c r="D825" s="100"/>
      <c r="E825" s="101"/>
      <c r="F825" s="99"/>
    </row>
    <row r="826">
      <c r="A826" s="103"/>
      <c r="B826" s="11"/>
      <c r="C826" s="100"/>
      <c r="D826" s="100"/>
      <c r="E826" s="101"/>
      <c r="F826" s="99"/>
    </row>
    <row r="827">
      <c r="A827" s="103"/>
      <c r="B827" s="11"/>
      <c r="C827" s="100"/>
      <c r="D827" s="100"/>
      <c r="E827" s="101"/>
      <c r="F827" s="99"/>
    </row>
    <row r="828">
      <c r="A828" s="103"/>
      <c r="B828" s="11"/>
      <c r="C828" s="100"/>
      <c r="D828" s="100"/>
      <c r="E828" s="101"/>
      <c r="F828" s="99"/>
    </row>
    <row r="829">
      <c r="A829" s="103"/>
      <c r="B829" s="11"/>
      <c r="C829" s="100"/>
      <c r="D829" s="100"/>
      <c r="E829" s="101"/>
      <c r="F829" s="99"/>
    </row>
    <row r="830">
      <c r="A830" s="103"/>
      <c r="B830" s="11"/>
      <c r="C830" s="100"/>
      <c r="D830" s="100"/>
      <c r="E830" s="101"/>
      <c r="F830" s="99"/>
    </row>
    <row r="831">
      <c r="A831" s="103"/>
      <c r="B831" s="11"/>
      <c r="C831" s="100"/>
      <c r="D831" s="100"/>
      <c r="E831" s="101"/>
      <c r="F831" s="99"/>
    </row>
    <row r="832">
      <c r="A832" s="103"/>
      <c r="B832" s="11"/>
      <c r="C832" s="100"/>
      <c r="D832" s="100"/>
      <c r="E832" s="101"/>
      <c r="F832" s="99"/>
    </row>
    <row r="833">
      <c r="A833" s="103"/>
      <c r="B833" s="11"/>
      <c r="C833" s="100"/>
      <c r="D833" s="100"/>
      <c r="E833" s="101"/>
      <c r="F833" s="99"/>
    </row>
    <row r="834">
      <c r="A834" s="103"/>
      <c r="B834" s="11"/>
      <c r="C834" s="100"/>
      <c r="D834" s="100"/>
      <c r="E834" s="101"/>
      <c r="F834" s="99"/>
    </row>
    <row r="835">
      <c r="A835" s="103"/>
      <c r="B835" s="11"/>
      <c r="C835" s="100"/>
      <c r="D835" s="100"/>
      <c r="E835" s="101"/>
      <c r="F835" s="99"/>
    </row>
    <row r="836">
      <c r="A836" s="103"/>
      <c r="B836" s="11"/>
      <c r="C836" s="100"/>
      <c r="D836" s="100"/>
      <c r="E836" s="101"/>
      <c r="F836" s="99"/>
    </row>
    <row r="837">
      <c r="A837" s="103"/>
      <c r="B837" s="11"/>
      <c r="C837" s="100"/>
      <c r="D837" s="100"/>
      <c r="E837" s="101"/>
      <c r="F837" s="99"/>
    </row>
    <row r="838">
      <c r="A838" s="103"/>
      <c r="B838" s="11"/>
      <c r="C838" s="100"/>
      <c r="D838" s="100"/>
      <c r="E838" s="101"/>
      <c r="F838" s="99"/>
    </row>
    <row r="839">
      <c r="A839" s="103"/>
      <c r="B839" s="11"/>
      <c r="C839" s="100"/>
      <c r="D839" s="100"/>
      <c r="E839" s="101"/>
      <c r="F839" s="99"/>
    </row>
    <row r="840">
      <c r="A840" s="103"/>
      <c r="B840" s="11"/>
      <c r="C840" s="100"/>
      <c r="D840" s="100"/>
      <c r="E840" s="101"/>
      <c r="F840" s="99"/>
    </row>
    <row r="841">
      <c r="A841" s="103"/>
      <c r="B841" s="11"/>
      <c r="C841" s="100"/>
      <c r="D841" s="100"/>
      <c r="E841" s="101"/>
      <c r="F841" s="99"/>
    </row>
    <row r="842">
      <c r="A842" s="103"/>
      <c r="B842" s="11"/>
      <c r="C842" s="100"/>
      <c r="D842" s="100"/>
      <c r="E842" s="101"/>
      <c r="F842" s="99"/>
    </row>
    <row r="843">
      <c r="A843" s="103"/>
      <c r="B843" s="11"/>
      <c r="C843" s="100"/>
      <c r="D843" s="100"/>
      <c r="E843" s="101"/>
      <c r="F843" s="99"/>
    </row>
    <row r="844">
      <c r="A844" s="103"/>
      <c r="B844" s="11"/>
      <c r="C844" s="100"/>
      <c r="D844" s="100"/>
      <c r="E844" s="101"/>
      <c r="F844" s="99"/>
    </row>
    <row r="845">
      <c r="A845" s="103"/>
      <c r="B845" s="11"/>
      <c r="C845" s="100"/>
      <c r="D845" s="100"/>
      <c r="E845" s="101"/>
      <c r="F845" s="99"/>
    </row>
    <row r="846">
      <c r="A846" s="103"/>
      <c r="B846" s="11"/>
      <c r="C846" s="100"/>
      <c r="D846" s="100"/>
      <c r="E846" s="101"/>
      <c r="F846" s="99"/>
    </row>
    <row r="847">
      <c r="A847" s="103"/>
      <c r="B847" s="11"/>
      <c r="C847" s="100"/>
      <c r="D847" s="100"/>
      <c r="E847" s="101"/>
      <c r="F847" s="99"/>
    </row>
    <row r="848">
      <c r="A848" s="103"/>
      <c r="B848" s="11"/>
      <c r="C848" s="100"/>
      <c r="D848" s="100"/>
      <c r="E848" s="101"/>
      <c r="F848" s="99"/>
    </row>
    <row r="849">
      <c r="A849" s="103"/>
      <c r="B849" s="11"/>
      <c r="C849" s="100"/>
      <c r="D849" s="100"/>
      <c r="E849" s="101"/>
      <c r="F849" s="99"/>
    </row>
    <row r="850">
      <c r="A850" s="103"/>
      <c r="B850" s="11"/>
      <c r="C850" s="100"/>
      <c r="D850" s="100"/>
      <c r="E850" s="101"/>
      <c r="F850" s="99"/>
    </row>
    <row r="851">
      <c r="A851" s="103"/>
      <c r="B851" s="11"/>
      <c r="C851" s="100"/>
      <c r="D851" s="100"/>
      <c r="E851" s="101"/>
      <c r="F851" s="99"/>
    </row>
    <row r="852">
      <c r="A852" s="103"/>
      <c r="B852" s="11"/>
      <c r="C852" s="100"/>
      <c r="D852" s="100"/>
      <c r="E852" s="101"/>
      <c r="F852" s="99"/>
    </row>
    <row r="853">
      <c r="A853" s="103"/>
      <c r="B853" s="11"/>
      <c r="C853" s="100"/>
      <c r="D853" s="100"/>
      <c r="E853" s="101"/>
      <c r="F853" s="99"/>
    </row>
    <row r="854">
      <c r="A854" s="103"/>
      <c r="B854" s="11"/>
      <c r="C854" s="100"/>
      <c r="D854" s="100"/>
      <c r="E854" s="101"/>
      <c r="F854" s="99"/>
    </row>
    <row r="855">
      <c r="A855" s="103"/>
      <c r="B855" s="11"/>
      <c r="C855" s="100"/>
      <c r="D855" s="100"/>
      <c r="E855" s="101"/>
      <c r="F855" s="99"/>
    </row>
    <row r="856">
      <c r="A856" s="103"/>
      <c r="B856" s="11"/>
      <c r="C856" s="100"/>
      <c r="D856" s="100"/>
      <c r="E856" s="101"/>
      <c r="F856" s="99"/>
    </row>
    <row r="857">
      <c r="A857" s="103"/>
      <c r="B857" s="11"/>
      <c r="C857" s="100"/>
      <c r="D857" s="100"/>
      <c r="E857" s="101"/>
      <c r="F857" s="99"/>
    </row>
    <row r="858">
      <c r="A858" s="103"/>
      <c r="B858" s="11"/>
      <c r="C858" s="100"/>
      <c r="D858" s="100"/>
      <c r="E858" s="101"/>
      <c r="F858" s="99"/>
    </row>
    <row r="859">
      <c r="A859" s="103"/>
      <c r="B859" s="11"/>
      <c r="C859" s="100"/>
      <c r="D859" s="100"/>
      <c r="E859" s="101"/>
      <c r="F859" s="99"/>
    </row>
    <row r="860">
      <c r="A860" s="103"/>
      <c r="B860" s="11"/>
      <c r="C860" s="100"/>
      <c r="D860" s="100"/>
      <c r="E860" s="101"/>
      <c r="F860" s="99"/>
    </row>
    <row r="861">
      <c r="A861" s="103"/>
      <c r="B861" s="11"/>
      <c r="C861" s="100"/>
      <c r="D861" s="100"/>
      <c r="E861" s="101"/>
      <c r="F861" s="99"/>
    </row>
    <row r="862">
      <c r="A862" s="103"/>
      <c r="B862" s="11"/>
      <c r="C862" s="100"/>
      <c r="D862" s="100"/>
      <c r="E862" s="101"/>
      <c r="F862" s="99"/>
    </row>
    <row r="863">
      <c r="A863" s="103"/>
      <c r="B863" s="11"/>
      <c r="C863" s="100"/>
      <c r="D863" s="100"/>
      <c r="E863" s="101"/>
      <c r="F863" s="99"/>
    </row>
    <row r="864">
      <c r="A864" s="103"/>
      <c r="B864" s="11"/>
      <c r="C864" s="100"/>
      <c r="D864" s="100"/>
      <c r="E864" s="101"/>
      <c r="F864" s="99"/>
    </row>
    <row r="865">
      <c r="A865" s="103"/>
      <c r="B865" s="11"/>
      <c r="C865" s="100"/>
      <c r="D865" s="100"/>
      <c r="E865" s="101"/>
      <c r="F865" s="99"/>
    </row>
    <row r="866">
      <c r="A866" s="103"/>
      <c r="B866" s="11"/>
      <c r="C866" s="100"/>
      <c r="D866" s="100"/>
      <c r="E866" s="101"/>
      <c r="F866" s="99"/>
    </row>
    <row r="867">
      <c r="A867" s="103"/>
      <c r="B867" s="11"/>
      <c r="C867" s="100"/>
      <c r="D867" s="100"/>
      <c r="E867" s="101"/>
      <c r="F867" s="99"/>
    </row>
    <row r="868">
      <c r="A868" s="103"/>
      <c r="B868" s="11"/>
      <c r="C868" s="100"/>
      <c r="D868" s="100"/>
      <c r="E868" s="101"/>
      <c r="F868" s="99"/>
    </row>
    <row r="869">
      <c r="A869" s="103"/>
      <c r="B869" s="11"/>
      <c r="C869" s="100"/>
      <c r="D869" s="100"/>
      <c r="E869" s="101"/>
      <c r="F869" s="99"/>
    </row>
    <row r="870">
      <c r="A870" s="103"/>
      <c r="B870" s="11"/>
      <c r="C870" s="100"/>
      <c r="D870" s="100"/>
      <c r="E870" s="101"/>
      <c r="F870" s="99"/>
    </row>
    <row r="871">
      <c r="A871" s="103"/>
      <c r="B871" s="11"/>
      <c r="C871" s="100"/>
      <c r="D871" s="100"/>
      <c r="E871" s="101"/>
      <c r="F871" s="99"/>
    </row>
    <row r="872">
      <c r="A872" s="103"/>
      <c r="B872" s="11"/>
      <c r="C872" s="100"/>
      <c r="D872" s="100"/>
      <c r="E872" s="101"/>
      <c r="F872" s="99"/>
    </row>
    <row r="873">
      <c r="A873" s="103"/>
      <c r="B873" s="11"/>
      <c r="C873" s="100"/>
      <c r="D873" s="100"/>
      <c r="E873" s="101"/>
      <c r="F873" s="99"/>
    </row>
    <row r="874">
      <c r="A874" s="103"/>
      <c r="B874" s="11"/>
      <c r="C874" s="100"/>
      <c r="D874" s="100"/>
      <c r="E874" s="101"/>
      <c r="F874" s="99"/>
    </row>
    <row r="875">
      <c r="A875" s="103"/>
      <c r="B875" s="11"/>
      <c r="C875" s="100"/>
      <c r="D875" s="100"/>
      <c r="E875" s="101"/>
      <c r="F875" s="99"/>
    </row>
    <row r="876">
      <c r="A876" s="103"/>
      <c r="B876" s="11"/>
      <c r="C876" s="100"/>
      <c r="D876" s="100"/>
      <c r="E876" s="101"/>
      <c r="F876" s="99"/>
    </row>
    <row r="877">
      <c r="A877" s="103"/>
      <c r="B877" s="11"/>
      <c r="C877" s="100"/>
      <c r="D877" s="100"/>
      <c r="E877" s="101"/>
      <c r="F877" s="99"/>
    </row>
    <row r="878">
      <c r="A878" s="103"/>
      <c r="B878" s="11"/>
      <c r="C878" s="100"/>
      <c r="D878" s="100"/>
      <c r="E878" s="101"/>
      <c r="F878" s="99"/>
    </row>
    <row r="879">
      <c r="A879" s="103"/>
      <c r="B879" s="11"/>
      <c r="C879" s="100"/>
      <c r="D879" s="100"/>
      <c r="E879" s="101"/>
      <c r="F879" s="99"/>
    </row>
    <row r="880">
      <c r="A880" s="103"/>
      <c r="B880" s="11"/>
      <c r="C880" s="100"/>
      <c r="D880" s="100"/>
      <c r="E880" s="101"/>
      <c r="F880" s="99"/>
    </row>
    <row r="881">
      <c r="A881" s="103"/>
      <c r="B881" s="11"/>
      <c r="C881" s="100"/>
      <c r="D881" s="100"/>
      <c r="E881" s="101"/>
      <c r="F881" s="99"/>
    </row>
    <row r="882">
      <c r="A882" s="103"/>
      <c r="B882" s="11"/>
      <c r="C882" s="100"/>
      <c r="D882" s="100"/>
      <c r="E882" s="101"/>
      <c r="F882" s="99"/>
    </row>
    <row r="883">
      <c r="A883" s="103"/>
      <c r="B883" s="11"/>
      <c r="C883" s="100"/>
      <c r="D883" s="100"/>
      <c r="E883" s="101"/>
      <c r="F883" s="99"/>
    </row>
    <row r="884">
      <c r="A884" s="103"/>
      <c r="B884" s="11"/>
      <c r="C884" s="100"/>
      <c r="D884" s="100"/>
      <c r="E884" s="101"/>
      <c r="F884" s="99"/>
    </row>
    <row r="885">
      <c r="A885" s="103"/>
      <c r="B885" s="11"/>
      <c r="C885" s="100"/>
      <c r="D885" s="100"/>
      <c r="E885" s="101"/>
      <c r="F885" s="99"/>
    </row>
    <row r="886">
      <c r="A886" s="103"/>
      <c r="B886" s="11"/>
      <c r="C886" s="100"/>
      <c r="D886" s="100"/>
      <c r="E886" s="101"/>
      <c r="F886" s="99"/>
    </row>
    <row r="887">
      <c r="A887" s="103"/>
      <c r="B887" s="11"/>
      <c r="C887" s="100"/>
      <c r="D887" s="100"/>
      <c r="E887" s="101"/>
      <c r="F887" s="99"/>
    </row>
    <row r="888">
      <c r="A888" s="103"/>
      <c r="B888" s="11"/>
      <c r="C888" s="100"/>
      <c r="D888" s="100"/>
      <c r="E888" s="101"/>
      <c r="F888" s="99"/>
    </row>
    <row r="889">
      <c r="A889" s="103"/>
      <c r="B889" s="11"/>
      <c r="C889" s="100"/>
      <c r="D889" s="100"/>
      <c r="E889" s="101"/>
      <c r="F889" s="99"/>
    </row>
    <row r="890">
      <c r="A890" s="103"/>
      <c r="B890" s="11"/>
      <c r="C890" s="100"/>
      <c r="D890" s="100"/>
      <c r="E890" s="101"/>
      <c r="F890" s="99"/>
    </row>
    <row r="891">
      <c r="A891" s="103"/>
      <c r="B891" s="11"/>
      <c r="C891" s="100"/>
      <c r="D891" s="100"/>
      <c r="E891" s="101"/>
      <c r="F891" s="99"/>
    </row>
    <row r="892">
      <c r="A892" s="103"/>
      <c r="B892" s="11"/>
      <c r="C892" s="100"/>
      <c r="D892" s="100"/>
      <c r="E892" s="101"/>
      <c r="F892" s="99"/>
    </row>
    <row r="893">
      <c r="A893" s="103"/>
      <c r="B893" s="11"/>
      <c r="C893" s="100"/>
      <c r="D893" s="100"/>
      <c r="E893" s="101"/>
      <c r="F893" s="99"/>
    </row>
    <row r="894">
      <c r="A894" s="103"/>
      <c r="B894" s="11"/>
      <c r="C894" s="100"/>
      <c r="D894" s="100"/>
      <c r="E894" s="101"/>
      <c r="F894" s="99"/>
    </row>
    <row r="895">
      <c r="A895" s="103"/>
      <c r="B895" s="11"/>
      <c r="C895" s="100"/>
      <c r="D895" s="100"/>
      <c r="E895" s="101"/>
      <c r="F895" s="99"/>
    </row>
    <row r="896">
      <c r="A896" s="103"/>
      <c r="B896" s="11"/>
      <c r="C896" s="100"/>
      <c r="D896" s="100"/>
      <c r="E896" s="101"/>
      <c r="F896" s="99"/>
    </row>
    <row r="897">
      <c r="A897" s="103"/>
      <c r="B897" s="11"/>
      <c r="C897" s="100"/>
      <c r="D897" s="100"/>
      <c r="E897" s="101"/>
      <c r="F897" s="99"/>
    </row>
    <row r="898">
      <c r="A898" s="103"/>
      <c r="B898" s="11"/>
      <c r="C898" s="100"/>
      <c r="D898" s="100"/>
      <c r="E898" s="101"/>
      <c r="F898" s="99"/>
    </row>
    <row r="899">
      <c r="A899" s="103"/>
      <c r="B899" s="11"/>
      <c r="C899" s="100"/>
      <c r="D899" s="100"/>
      <c r="E899" s="101"/>
      <c r="F899" s="99"/>
    </row>
    <row r="900">
      <c r="A900" s="103"/>
      <c r="B900" s="11"/>
      <c r="C900" s="100"/>
      <c r="D900" s="100"/>
      <c r="E900" s="101"/>
      <c r="F900" s="99"/>
    </row>
    <row r="901">
      <c r="A901" s="103"/>
      <c r="B901" s="11"/>
      <c r="C901" s="100"/>
      <c r="D901" s="100"/>
      <c r="E901" s="101"/>
      <c r="F901" s="99"/>
    </row>
    <row r="902">
      <c r="A902" s="103"/>
      <c r="B902" s="11"/>
      <c r="C902" s="100"/>
      <c r="D902" s="100"/>
      <c r="E902" s="101"/>
      <c r="F902" s="99"/>
    </row>
    <row r="903">
      <c r="A903" s="103"/>
      <c r="B903" s="11"/>
      <c r="C903" s="100"/>
      <c r="D903" s="100"/>
      <c r="E903" s="101"/>
      <c r="F903" s="99"/>
    </row>
    <row r="904">
      <c r="A904" s="103"/>
      <c r="B904" s="11"/>
      <c r="C904" s="100"/>
      <c r="D904" s="100"/>
      <c r="E904" s="101"/>
      <c r="F904" s="99"/>
    </row>
    <row r="905">
      <c r="A905" s="103"/>
      <c r="B905" s="11"/>
      <c r="C905" s="100"/>
      <c r="D905" s="100"/>
      <c r="E905" s="101"/>
      <c r="F905" s="99"/>
    </row>
    <row r="906">
      <c r="A906" s="103"/>
      <c r="B906" s="11"/>
      <c r="C906" s="100"/>
      <c r="D906" s="100"/>
      <c r="E906" s="101"/>
      <c r="F906" s="99"/>
    </row>
    <row r="907">
      <c r="A907" s="103"/>
      <c r="B907" s="11"/>
      <c r="C907" s="100"/>
      <c r="D907" s="100"/>
      <c r="E907" s="101"/>
      <c r="F907" s="99"/>
    </row>
    <row r="908">
      <c r="A908" s="103"/>
      <c r="B908" s="11"/>
      <c r="C908" s="100"/>
      <c r="D908" s="100"/>
      <c r="E908" s="101"/>
      <c r="F908" s="99"/>
    </row>
    <row r="909">
      <c r="A909" s="103"/>
      <c r="B909" s="11"/>
      <c r="C909" s="100"/>
      <c r="D909" s="100"/>
      <c r="E909" s="101"/>
      <c r="F909" s="99"/>
    </row>
    <row r="910">
      <c r="A910" s="103"/>
      <c r="B910" s="11"/>
      <c r="C910" s="100"/>
      <c r="D910" s="100"/>
      <c r="E910" s="101"/>
      <c r="F910" s="99"/>
    </row>
    <row r="911">
      <c r="A911" s="103"/>
      <c r="B911" s="11"/>
      <c r="C911" s="100"/>
      <c r="D911" s="100"/>
      <c r="E911" s="101"/>
      <c r="F911" s="99"/>
    </row>
    <row r="912">
      <c r="A912" s="103"/>
      <c r="B912" s="11"/>
      <c r="C912" s="100"/>
      <c r="D912" s="100"/>
      <c r="E912" s="101"/>
      <c r="F912" s="99"/>
    </row>
    <row r="913">
      <c r="A913" s="103"/>
      <c r="B913" s="11"/>
      <c r="C913" s="100"/>
      <c r="D913" s="100"/>
      <c r="E913" s="101"/>
      <c r="F913" s="99"/>
    </row>
    <row r="914">
      <c r="A914" s="103"/>
      <c r="B914" s="11"/>
      <c r="C914" s="100"/>
      <c r="D914" s="100"/>
      <c r="E914" s="101"/>
      <c r="F914" s="99"/>
    </row>
    <row r="915">
      <c r="A915" s="103"/>
      <c r="B915" s="11"/>
      <c r="C915" s="100"/>
      <c r="D915" s="100"/>
      <c r="E915" s="101"/>
      <c r="F915" s="99"/>
    </row>
    <row r="916">
      <c r="A916" s="103"/>
      <c r="B916" s="11"/>
      <c r="C916" s="100"/>
      <c r="D916" s="100"/>
      <c r="E916" s="101"/>
      <c r="F916" s="99"/>
    </row>
    <row r="917">
      <c r="A917" s="103"/>
      <c r="B917" s="11"/>
      <c r="C917" s="100"/>
      <c r="D917" s="100"/>
      <c r="E917" s="101"/>
      <c r="F917" s="99"/>
    </row>
    <row r="918">
      <c r="A918" s="103"/>
      <c r="B918" s="11"/>
      <c r="C918" s="100"/>
      <c r="D918" s="100"/>
      <c r="E918" s="101"/>
      <c r="F918" s="99"/>
    </row>
    <row r="919">
      <c r="A919" s="103"/>
      <c r="B919" s="11"/>
      <c r="C919" s="100"/>
      <c r="D919" s="100"/>
      <c r="E919" s="101"/>
      <c r="F919" s="99"/>
    </row>
    <row r="920">
      <c r="A920" s="103"/>
      <c r="B920" s="11"/>
      <c r="C920" s="100"/>
      <c r="D920" s="100"/>
      <c r="E920" s="101"/>
      <c r="F920" s="99"/>
    </row>
    <row r="921">
      <c r="A921" s="103"/>
      <c r="B921" s="11"/>
      <c r="C921" s="100"/>
      <c r="D921" s="100"/>
      <c r="E921" s="101"/>
      <c r="F921" s="99"/>
    </row>
    <row r="922">
      <c r="A922" s="103"/>
      <c r="B922" s="11"/>
      <c r="C922" s="100"/>
      <c r="D922" s="100"/>
      <c r="E922" s="101"/>
      <c r="F922" s="99"/>
    </row>
    <row r="923">
      <c r="A923" s="103"/>
      <c r="B923" s="11"/>
      <c r="C923" s="100"/>
      <c r="D923" s="100"/>
      <c r="E923" s="101"/>
      <c r="F923" s="99"/>
    </row>
    <row r="924">
      <c r="A924" s="103"/>
      <c r="B924" s="11"/>
      <c r="C924" s="100"/>
      <c r="D924" s="100"/>
      <c r="E924" s="101"/>
      <c r="F924" s="99"/>
    </row>
    <row r="925">
      <c r="A925" s="103"/>
      <c r="B925" s="11"/>
      <c r="C925" s="100"/>
      <c r="D925" s="100"/>
      <c r="E925" s="101"/>
      <c r="F925" s="99"/>
    </row>
    <row r="926">
      <c r="A926" s="103"/>
      <c r="B926" s="11"/>
      <c r="C926" s="100"/>
      <c r="D926" s="100"/>
      <c r="E926" s="101"/>
      <c r="F926" s="99"/>
    </row>
    <row r="927">
      <c r="A927" s="103"/>
      <c r="B927" s="11"/>
      <c r="C927" s="100"/>
      <c r="D927" s="100"/>
      <c r="E927" s="101"/>
      <c r="F927" s="99"/>
    </row>
    <row r="928">
      <c r="A928" s="103"/>
      <c r="B928" s="11"/>
      <c r="C928" s="100"/>
      <c r="D928" s="100"/>
      <c r="E928" s="101"/>
      <c r="F928" s="99"/>
    </row>
    <row r="929">
      <c r="A929" s="103"/>
      <c r="B929" s="11"/>
      <c r="C929" s="100"/>
      <c r="D929" s="100"/>
      <c r="E929" s="101"/>
      <c r="F929" s="99"/>
    </row>
    <row r="930">
      <c r="A930" s="103"/>
      <c r="B930" s="11"/>
      <c r="C930" s="100"/>
      <c r="D930" s="100"/>
      <c r="E930" s="101"/>
      <c r="F930" s="99"/>
    </row>
    <row r="931">
      <c r="A931" s="103"/>
      <c r="B931" s="11"/>
      <c r="C931" s="100"/>
      <c r="D931" s="100"/>
      <c r="E931" s="101"/>
      <c r="F931" s="99"/>
    </row>
    <row r="932">
      <c r="A932" s="103"/>
      <c r="B932" s="11"/>
      <c r="C932" s="100"/>
      <c r="D932" s="100"/>
      <c r="E932" s="101"/>
      <c r="F932" s="99"/>
    </row>
    <row r="933">
      <c r="A933" s="103"/>
      <c r="B933" s="11"/>
      <c r="C933" s="100"/>
      <c r="D933" s="100"/>
      <c r="E933" s="101"/>
      <c r="F933" s="99"/>
    </row>
    <row r="934">
      <c r="A934" s="103"/>
      <c r="B934" s="11"/>
      <c r="C934" s="100"/>
      <c r="D934" s="100"/>
      <c r="E934" s="101"/>
      <c r="F934" s="99"/>
    </row>
    <row r="935">
      <c r="A935" s="103"/>
      <c r="B935" s="11"/>
      <c r="C935" s="100"/>
      <c r="D935" s="100"/>
      <c r="E935" s="101"/>
      <c r="F935" s="99"/>
    </row>
    <row r="936">
      <c r="A936" s="103"/>
      <c r="B936" s="11"/>
      <c r="C936" s="100"/>
      <c r="D936" s="100"/>
      <c r="E936" s="101"/>
      <c r="F936" s="99"/>
    </row>
    <row r="937">
      <c r="A937" s="103"/>
      <c r="B937" s="11"/>
      <c r="C937" s="100"/>
      <c r="D937" s="100"/>
      <c r="E937" s="101"/>
      <c r="F937" s="99"/>
    </row>
    <row r="938">
      <c r="A938" s="103"/>
      <c r="B938" s="11"/>
      <c r="C938" s="100"/>
      <c r="D938" s="100"/>
      <c r="E938" s="101"/>
      <c r="F938" s="99"/>
    </row>
    <row r="939">
      <c r="A939" s="103"/>
      <c r="B939" s="11"/>
      <c r="C939" s="100"/>
      <c r="D939" s="100"/>
      <c r="E939" s="101"/>
      <c r="F939" s="99"/>
    </row>
    <row r="940">
      <c r="A940" s="103"/>
      <c r="B940" s="11"/>
      <c r="C940" s="100"/>
      <c r="D940" s="100"/>
      <c r="E940" s="101"/>
      <c r="F940" s="99"/>
    </row>
    <row r="941">
      <c r="A941" s="103"/>
      <c r="B941" s="11"/>
      <c r="C941" s="100"/>
      <c r="D941" s="100"/>
      <c r="E941" s="101"/>
      <c r="F941" s="99"/>
    </row>
    <row r="942">
      <c r="A942" s="103"/>
      <c r="B942" s="11"/>
      <c r="C942" s="100"/>
      <c r="D942" s="100"/>
      <c r="E942" s="101"/>
      <c r="F942" s="99"/>
    </row>
    <row r="943">
      <c r="A943" s="103"/>
      <c r="B943" s="11"/>
      <c r="C943" s="100"/>
      <c r="D943" s="100"/>
      <c r="E943" s="101"/>
      <c r="F943" s="99"/>
    </row>
    <row r="944">
      <c r="A944" s="103"/>
      <c r="B944" s="11"/>
      <c r="C944" s="100"/>
      <c r="D944" s="100"/>
      <c r="E944" s="101"/>
      <c r="F944" s="99"/>
    </row>
    <row r="945">
      <c r="A945" s="103"/>
      <c r="B945" s="11"/>
      <c r="C945" s="100"/>
      <c r="D945" s="100"/>
      <c r="E945" s="101"/>
      <c r="F945" s="99"/>
    </row>
    <row r="946">
      <c r="A946" s="103"/>
      <c r="B946" s="11"/>
      <c r="C946" s="100"/>
      <c r="D946" s="100"/>
      <c r="E946" s="101"/>
      <c r="F946" s="99"/>
    </row>
    <row r="947">
      <c r="A947" s="103"/>
      <c r="B947" s="11"/>
      <c r="C947" s="100"/>
      <c r="D947" s="100"/>
      <c r="E947" s="101"/>
      <c r="F947" s="99"/>
    </row>
    <row r="948">
      <c r="A948" s="103"/>
      <c r="B948" s="11"/>
      <c r="C948" s="100"/>
      <c r="D948" s="100"/>
      <c r="E948" s="101"/>
      <c r="F948" s="99"/>
    </row>
    <row r="949">
      <c r="A949" s="103"/>
      <c r="B949" s="11"/>
      <c r="C949" s="100"/>
      <c r="D949" s="100"/>
      <c r="E949" s="101"/>
      <c r="F949" s="99"/>
    </row>
    <row r="950">
      <c r="A950" s="103"/>
      <c r="B950" s="11"/>
      <c r="C950" s="100"/>
      <c r="D950" s="100"/>
      <c r="E950" s="101"/>
      <c r="F950" s="99"/>
    </row>
    <row r="951">
      <c r="A951" s="103"/>
      <c r="B951" s="11"/>
      <c r="C951" s="100"/>
      <c r="D951" s="100"/>
      <c r="E951" s="101"/>
      <c r="F951" s="99"/>
    </row>
    <row r="952">
      <c r="A952" s="103"/>
      <c r="B952" s="11"/>
      <c r="C952" s="100"/>
      <c r="D952" s="100"/>
      <c r="E952" s="101"/>
      <c r="F952" s="99"/>
    </row>
    <row r="953">
      <c r="A953" s="103"/>
      <c r="B953" s="11"/>
      <c r="C953" s="100"/>
      <c r="D953" s="100"/>
      <c r="E953" s="101"/>
      <c r="F953" s="99"/>
    </row>
    <row r="954">
      <c r="A954" s="103"/>
      <c r="B954" s="11"/>
      <c r="C954" s="100"/>
      <c r="D954" s="100"/>
      <c r="E954" s="101"/>
      <c r="F954" s="99"/>
    </row>
    <row r="955">
      <c r="A955" s="103"/>
      <c r="B955" s="11"/>
      <c r="C955" s="100"/>
      <c r="D955" s="100"/>
      <c r="E955" s="101"/>
      <c r="F955" s="99"/>
    </row>
    <row r="956">
      <c r="A956" s="103"/>
      <c r="B956" s="11"/>
      <c r="C956" s="100"/>
      <c r="D956" s="100"/>
      <c r="E956" s="101"/>
      <c r="F956" s="99"/>
    </row>
    <row r="957">
      <c r="A957" s="103"/>
      <c r="B957" s="11"/>
      <c r="C957" s="100"/>
      <c r="D957" s="100"/>
      <c r="E957" s="101"/>
      <c r="F957" s="99"/>
    </row>
    <row r="958">
      <c r="A958" s="103"/>
      <c r="B958" s="11"/>
      <c r="C958" s="100"/>
      <c r="D958" s="100"/>
      <c r="E958" s="101"/>
      <c r="F958" s="99"/>
    </row>
    <row r="959">
      <c r="A959" s="103"/>
      <c r="B959" s="11"/>
      <c r="C959" s="100"/>
      <c r="D959" s="100"/>
      <c r="E959" s="101"/>
      <c r="F959" s="99"/>
    </row>
    <row r="960">
      <c r="A960" s="103"/>
      <c r="B960" s="11"/>
      <c r="C960" s="100"/>
      <c r="D960" s="100"/>
      <c r="E960" s="101"/>
      <c r="F960" s="99"/>
    </row>
    <row r="961">
      <c r="A961" s="103"/>
      <c r="B961" s="11"/>
      <c r="C961" s="100"/>
      <c r="D961" s="100"/>
      <c r="E961" s="101"/>
      <c r="F961" s="99"/>
    </row>
    <row r="962">
      <c r="A962" s="103"/>
      <c r="B962" s="11"/>
      <c r="C962" s="100"/>
      <c r="D962" s="100"/>
      <c r="E962" s="101"/>
      <c r="F962" s="99"/>
    </row>
    <row r="963">
      <c r="A963" s="103"/>
      <c r="B963" s="11"/>
      <c r="C963" s="100"/>
      <c r="D963" s="100"/>
      <c r="E963" s="101"/>
      <c r="F963" s="99"/>
    </row>
    <row r="964">
      <c r="A964" s="103"/>
      <c r="B964" s="11"/>
      <c r="C964" s="100"/>
      <c r="D964" s="100"/>
      <c r="E964" s="101"/>
      <c r="F964" s="99"/>
    </row>
    <row r="965">
      <c r="A965" s="103"/>
      <c r="B965" s="11"/>
      <c r="C965" s="100"/>
      <c r="D965" s="100"/>
      <c r="E965" s="101"/>
      <c r="F965" s="99"/>
    </row>
    <row r="966">
      <c r="A966" s="103"/>
      <c r="B966" s="11"/>
      <c r="C966" s="100"/>
      <c r="D966" s="100"/>
      <c r="E966" s="101"/>
      <c r="F966" s="99"/>
    </row>
    <row r="967">
      <c r="A967" s="103"/>
      <c r="B967" s="11"/>
      <c r="C967" s="100"/>
      <c r="D967" s="100"/>
      <c r="E967" s="101"/>
      <c r="F967" s="99"/>
    </row>
    <row r="968">
      <c r="A968" s="103"/>
      <c r="B968" s="11"/>
      <c r="C968" s="100"/>
      <c r="D968" s="100"/>
      <c r="E968" s="101"/>
      <c r="F968" s="99"/>
    </row>
    <row r="969">
      <c r="A969" s="103"/>
      <c r="B969" s="11"/>
      <c r="C969" s="100"/>
      <c r="D969" s="100"/>
      <c r="E969" s="101"/>
      <c r="F969" s="99"/>
    </row>
    <row r="970">
      <c r="A970" s="103"/>
      <c r="B970" s="11"/>
      <c r="C970" s="100"/>
      <c r="D970" s="100"/>
      <c r="E970" s="101"/>
      <c r="F970" s="99"/>
    </row>
    <row r="971">
      <c r="A971" s="103"/>
      <c r="B971" s="11"/>
      <c r="C971" s="100"/>
      <c r="D971" s="100"/>
      <c r="E971" s="101"/>
      <c r="F971" s="99"/>
    </row>
    <row r="972">
      <c r="A972" s="103"/>
      <c r="B972" s="11"/>
      <c r="C972" s="100"/>
      <c r="D972" s="100"/>
      <c r="E972" s="101"/>
      <c r="F972" s="99"/>
    </row>
    <row r="973">
      <c r="A973" s="103"/>
      <c r="B973" s="11"/>
      <c r="C973" s="100"/>
      <c r="D973" s="100"/>
      <c r="E973" s="101"/>
      <c r="F973" s="99"/>
    </row>
    <row r="974">
      <c r="A974" s="103"/>
      <c r="B974" s="11"/>
      <c r="C974" s="100"/>
      <c r="D974" s="100"/>
      <c r="E974" s="101"/>
      <c r="F974" s="99"/>
    </row>
    <row r="975">
      <c r="A975" s="103"/>
      <c r="B975" s="11"/>
      <c r="C975" s="100"/>
      <c r="D975" s="100"/>
      <c r="E975" s="101"/>
      <c r="F975" s="99"/>
    </row>
    <row r="976">
      <c r="A976" s="103"/>
      <c r="B976" s="11"/>
      <c r="C976" s="100"/>
      <c r="D976" s="100"/>
      <c r="E976" s="101"/>
      <c r="F976" s="99"/>
    </row>
    <row r="977">
      <c r="A977" s="103"/>
      <c r="B977" s="11"/>
      <c r="C977" s="100"/>
      <c r="D977" s="100"/>
      <c r="E977" s="101"/>
      <c r="F977" s="99"/>
    </row>
    <row r="978">
      <c r="A978" s="103"/>
      <c r="B978" s="11"/>
      <c r="C978" s="100"/>
      <c r="D978" s="100"/>
      <c r="E978" s="101"/>
      <c r="F978" s="99"/>
    </row>
    <row r="979">
      <c r="A979" s="103"/>
      <c r="B979" s="11"/>
      <c r="C979" s="100"/>
      <c r="D979" s="100"/>
      <c r="E979" s="101"/>
      <c r="F979" s="99"/>
    </row>
    <row r="980">
      <c r="A980" s="103"/>
      <c r="B980" s="11"/>
      <c r="C980" s="100"/>
      <c r="D980" s="100"/>
      <c r="E980" s="101"/>
      <c r="F980" s="99"/>
    </row>
    <row r="981">
      <c r="A981" s="103"/>
      <c r="B981" s="11"/>
      <c r="C981" s="100"/>
      <c r="D981" s="100"/>
      <c r="E981" s="101"/>
      <c r="F981" s="99"/>
    </row>
    <row r="982">
      <c r="A982" s="103"/>
      <c r="B982" s="11"/>
      <c r="C982" s="100"/>
      <c r="D982" s="100"/>
      <c r="E982" s="101"/>
      <c r="F982" s="99"/>
    </row>
    <row r="983">
      <c r="A983" s="103"/>
      <c r="B983" s="11"/>
      <c r="C983" s="100"/>
      <c r="D983" s="100"/>
      <c r="E983" s="101"/>
      <c r="F983" s="99"/>
    </row>
    <row r="984">
      <c r="A984" s="103"/>
      <c r="B984" s="11"/>
      <c r="C984" s="100"/>
      <c r="D984" s="100"/>
      <c r="E984" s="101"/>
      <c r="F984" s="99"/>
    </row>
    <row r="985">
      <c r="A985" s="103"/>
      <c r="B985" s="11"/>
      <c r="C985" s="100"/>
      <c r="D985" s="100"/>
      <c r="E985" s="101"/>
      <c r="F985" s="99"/>
    </row>
    <row r="986">
      <c r="A986" s="103"/>
      <c r="B986" s="11"/>
      <c r="C986" s="100"/>
      <c r="D986" s="100"/>
      <c r="E986" s="101"/>
      <c r="F986" s="99"/>
    </row>
    <row r="987">
      <c r="A987" s="103"/>
      <c r="B987" s="11"/>
      <c r="C987" s="100"/>
      <c r="D987" s="100"/>
      <c r="E987" s="101"/>
      <c r="F987" s="99"/>
    </row>
    <row r="988">
      <c r="A988" s="103"/>
      <c r="B988" s="11"/>
      <c r="C988" s="100"/>
      <c r="D988" s="100"/>
      <c r="E988" s="101"/>
      <c r="F988" s="99"/>
    </row>
    <row r="989">
      <c r="A989" s="103"/>
      <c r="B989" s="11"/>
      <c r="C989" s="100"/>
      <c r="D989" s="100"/>
      <c r="E989" s="101"/>
      <c r="F989" s="99"/>
    </row>
    <row r="990">
      <c r="A990" s="103"/>
      <c r="B990" s="11"/>
      <c r="C990" s="100"/>
      <c r="D990" s="100"/>
      <c r="E990" s="101"/>
      <c r="F990" s="99"/>
    </row>
    <row r="991">
      <c r="A991" s="103"/>
      <c r="B991" s="11"/>
      <c r="C991" s="100"/>
      <c r="D991" s="100"/>
      <c r="E991" s="101"/>
      <c r="F991" s="99"/>
    </row>
    <row r="992">
      <c r="A992" s="103"/>
      <c r="B992" s="11"/>
      <c r="C992" s="100"/>
      <c r="D992" s="100"/>
      <c r="E992" s="101"/>
      <c r="F992" s="99"/>
    </row>
    <row r="993">
      <c r="A993" s="103"/>
      <c r="B993" s="11"/>
      <c r="C993" s="100"/>
      <c r="D993" s="100"/>
      <c r="E993" s="101"/>
      <c r="F993" s="99"/>
    </row>
    <row r="994">
      <c r="A994" s="103"/>
      <c r="B994" s="11"/>
      <c r="C994" s="100"/>
      <c r="D994" s="100"/>
      <c r="E994" s="101"/>
      <c r="F994" s="99"/>
    </row>
    <row r="995">
      <c r="A995" s="103"/>
      <c r="B995" s="11"/>
      <c r="C995" s="100"/>
      <c r="D995" s="100"/>
      <c r="E995" s="101"/>
      <c r="F995" s="99"/>
    </row>
    <row r="996">
      <c r="A996" s="103"/>
      <c r="B996" s="11"/>
      <c r="C996" s="100"/>
      <c r="D996" s="100"/>
      <c r="E996" s="101"/>
      <c r="F996" s="99"/>
    </row>
    <row r="997">
      <c r="A997" s="103"/>
      <c r="B997" s="11"/>
      <c r="C997" s="100"/>
      <c r="D997" s="100"/>
      <c r="E997" s="101"/>
      <c r="F997" s="99"/>
    </row>
    <row r="998">
      <c r="A998" s="103"/>
      <c r="B998" s="11"/>
      <c r="C998" s="100"/>
      <c r="D998" s="100"/>
      <c r="E998" s="101"/>
      <c r="F998" s="99"/>
    </row>
    <row r="999">
      <c r="A999" s="103"/>
      <c r="B999" s="11"/>
      <c r="C999" s="100"/>
      <c r="D999" s="100"/>
      <c r="E999" s="101"/>
      <c r="F999" s="99"/>
    </row>
    <row r="1000">
      <c r="A1000" s="103"/>
      <c r="B1000" s="11"/>
      <c r="C1000" s="100"/>
      <c r="D1000" s="100"/>
      <c r="E1000" s="101"/>
      <c r="F1000" s="99"/>
    </row>
  </sheetData>
  <dataValidations>
    <dataValidation type="list" allowBlank="1" sqref="C3:D1000">
      <formula1>BisaRekapBarangBackend!$A$2:$A1000</formula1>
    </dataValidation>
    <dataValidation type="list" allowBlank="1" showInputMessage="1" showErrorMessage="1" prompt="SKU harus sesuai dengan daftar di BisaSEO, jika belum ada silakan tambahkan terlebih dahulu" sqref="B3:B19 B21:B1000">
      <formula1>BisaSEO!$A$2:$A1000</formula1>
    </dataValidation>
    <dataValidation type="custom" allowBlank="1" showDropDown="1" showInputMessage="1" showErrorMessage="1" prompt="Format Tanggal : dd-MMM-yyyy dalam Bahasa Inggris, misal 01-May-2019" sqref="A3:A1000">
      <formula1>OR(NOT(ISERROR(DATEVALUE(A3))), AND(ISNUMBER(A3), LEFT(CELL("format", A3))="D"))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8.13"/>
    <col customWidth="1" min="2" max="3" width="22.63"/>
    <col customWidth="1" min="4" max="4" width="22.88"/>
    <col customWidth="1" min="5" max="5" width="26.88"/>
    <col customWidth="1" min="6" max="6" width="23.0"/>
    <col customWidth="1" min="7" max="7" width="22.25"/>
    <col customWidth="1" min="8" max="8" width="11.13"/>
    <col customWidth="1" min="9" max="9" width="28.38"/>
    <col customWidth="1" min="10" max="10" width="8.75"/>
    <col customWidth="1" min="11" max="14" width="26.25"/>
    <col customWidth="1" min="15" max="15" width="30.5"/>
    <col customWidth="1" min="16" max="17" width="28.25"/>
  </cols>
  <sheetData>
    <row r="1">
      <c r="A1" s="105" t="s">
        <v>12</v>
      </c>
      <c r="B1" s="106" t="s">
        <v>431</v>
      </c>
      <c r="C1" s="105" t="s">
        <v>432</v>
      </c>
      <c r="D1" s="105" t="s">
        <v>433</v>
      </c>
      <c r="E1" s="105" t="s">
        <v>434</v>
      </c>
      <c r="F1" s="105" t="s">
        <v>435</v>
      </c>
      <c r="G1" s="105" t="s">
        <v>436</v>
      </c>
      <c r="H1" s="106" t="s">
        <v>437</v>
      </c>
      <c r="I1" s="106" t="s">
        <v>438</v>
      </c>
      <c r="J1" s="107" t="str">
        <f t="array" ref="J1:J978">{"Hitung Tagar";IF(I2:I978="",,LEN(I2:I978)-LEN(SUBSTITUTE(I2:I978,"#","")))}</f>
        <v>Hitung Tagar</v>
      </c>
      <c r="K1" s="107" t="str">
        <f t="array" ref="K1:K978">{"Nama Lengkap";IF(G2:G978="",,
TRIM("ITBisa - "&amp;IF(B2:B978="",,B2:B978)&amp;" "&amp;IF(C2:C978="",,C2:C978
)&amp;" "&amp;IF(D2:D978="",,D2:D978)&amp;
" "&amp;IF(E2:E978="",,E2:E978)&amp;" "&amp;IF(F2:F978="",,F2:F978)))}</f>
        <v>Nama Lengkap</v>
      </c>
      <c r="L1" s="107" t="str">
        <f t="array" ref="L1:L978">{"Nama
Tokopedia (70 Karakter)";IF(K2:K978="",,LEFT(TRIM(K2:K978),70))}</f>
        <v>Nama
Tokopedia (70 Karakter)</v>
      </c>
      <c r="M1" s="107" t="str">
        <f t="array" ref="M1:M978">{"Nama
Bukalapak (150 Karakter)";IF(K2:K978="",,LEFT(TRIM(K2:K978),150))}</f>
        <v>Nama
Bukalapak (150 Karakter)</v>
      </c>
      <c r="N1" s="107" t="str">
        <f t="array" ref="N1:N978">{"Nama
Shopee (255 Karakter)";IF(K2:K978="",,LEFT(TRIM(K2:K978),255))}</f>
        <v>Nama
Shopee (255 Karakter)</v>
      </c>
      <c r="O1" s="106" t="s">
        <v>439</v>
      </c>
      <c r="P1" s="106" t="s">
        <v>440</v>
      </c>
      <c r="Q1" s="106" t="s">
        <v>441</v>
      </c>
    </row>
    <row r="2">
      <c r="A2" s="87" t="s">
        <v>221</v>
      </c>
      <c r="B2" s="106" t="s">
        <v>442</v>
      </c>
      <c r="C2" s="106" t="s">
        <v>443</v>
      </c>
      <c r="D2" s="106" t="s">
        <v>444</v>
      </c>
      <c r="E2" s="106" t="s">
        <v>445</v>
      </c>
      <c r="F2" s="108" t="s">
        <v>446</v>
      </c>
      <c r="G2" s="106" t="s">
        <v>447</v>
      </c>
      <c r="H2" s="106">
        <v>3.0</v>
      </c>
      <c r="I2" s="106" t="s">
        <v>448</v>
      </c>
      <c r="J2" s="105">
        <v>20.0</v>
      </c>
      <c r="K2" s="105" t="s">
        <v>449</v>
      </c>
      <c r="L2" s="109" t="s">
        <v>450</v>
      </c>
      <c r="M2" s="109" t="s">
        <v>449</v>
      </c>
      <c r="N2" s="109" t="s">
        <v>449</v>
      </c>
      <c r="O2" s="110" t="s">
        <v>451</v>
      </c>
      <c r="P2" s="110" t="s">
        <v>452</v>
      </c>
      <c r="Q2" s="105"/>
    </row>
    <row r="3">
      <c r="A3" s="5" t="s">
        <v>58</v>
      </c>
      <c r="B3" s="106" t="s">
        <v>442</v>
      </c>
      <c r="C3" s="106" t="s">
        <v>443</v>
      </c>
      <c r="D3" s="106" t="s">
        <v>453</v>
      </c>
      <c r="E3" s="106" t="s">
        <v>445</v>
      </c>
      <c r="F3" s="108" t="s">
        <v>454</v>
      </c>
      <c r="G3" s="106" t="s">
        <v>447</v>
      </c>
      <c r="H3" s="106">
        <v>3.0</v>
      </c>
      <c r="I3" s="106"/>
      <c r="J3" s="105"/>
      <c r="K3" s="105" t="s">
        <v>455</v>
      </c>
      <c r="L3" s="109" t="s">
        <v>456</v>
      </c>
      <c r="M3" s="109" t="s">
        <v>455</v>
      </c>
      <c r="N3" s="111" t="s">
        <v>455</v>
      </c>
      <c r="O3" s="112" t="s">
        <v>457</v>
      </c>
      <c r="P3" s="113"/>
      <c r="Q3" s="113"/>
    </row>
    <row r="4">
      <c r="A4" s="5" t="s">
        <v>180</v>
      </c>
      <c r="B4" s="106" t="s">
        <v>442</v>
      </c>
      <c r="C4" s="106" t="s">
        <v>443</v>
      </c>
      <c r="D4" s="106" t="s">
        <v>458</v>
      </c>
      <c r="E4" s="106" t="s">
        <v>445</v>
      </c>
      <c r="F4" s="108" t="s">
        <v>459</v>
      </c>
      <c r="G4" s="106" t="s">
        <v>447</v>
      </c>
      <c r="H4" s="106">
        <v>3.0</v>
      </c>
      <c r="I4" s="106" t="s">
        <v>448</v>
      </c>
      <c r="J4" s="105">
        <v>20.0</v>
      </c>
      <c r="K4" s="105" t="s">
        <v>460</v>
      </c>
      <c r="L4" s="109" t="s">
        <v>461</v>
      </c>
      <c r="M4" s="109" t="s">
        <v>460</v>
      </c>
      <c r="N4" s="109" t="s">
        <v>460</v>
      </c>
      <c r="O4" s="106"/>
      <c r="P4" s="106"/>
      <c r="Q4" s="106"/>
    </row>
    <row r="5">
      <c r="A5" s="5" t="s">
        <v>385</v>
      </c>
      <c r="B5" s="106" t="s">
        <v>442</v>
      </c>
      <c r="C5" s="106" t="s">
        <v>462</v>
      </c>
      <c r="D5" s="106" t="s">
        <v>463</v>
      </c>
      <c r="E5" s="106" t="s">
        <v>464</v>
      </c>
      <c r="F5" s="108" t="s">
        <v>465</v>
      </c>
      <c r="G5" s="106" t="s">
        <v>447</v>
      </c>
      <c r="H5" s="106"/>
      <c r="I5" s="106" t="s">
        <v>448</v>
      </c>
      <c r="J5" s="114">
        <v>20.0</v>
      </c>
      <c r="K5" s="114" t="s">
        <v>466</v>
      </c>
      <c r="L5" s="111" t="s">
        <v>467</v>
      </c>
      <c r="M5" s="111" t="s">
        <v>466</v>
      </c>
      <c r="N5" s="109" t="s">
        <v>466</v>
      </c>
      <c r="O5" s="106"/>
      <c r="P5" s="106"/>
      <c r="Q5" s="106"/>
    </row>
    <row r="6">
      <c r="A6" s="87" t="s">
        <v>44</v>
      </c>
      <c r="B6" s="106" t="s">
        <v>442</v>
      </c>
      <c r="C6" s="106" t="s">
        <v>468</v>
      </c>
      <c r="D6" s="106" t="s">
        <v>444</v>
      </c>
      <c r="E6" s="106" t="s">
        <v>445</v>
      </c>
      <c r="F6" s="108" t="s">
        <v>469</v>
      </c>
      <c r="G6" s="106" t="s">
        <v>447</v>
      </c>
      <c r="H6" s="106">
        <v>3.0</v>
      </c>
      <c r="I6" s="106" t="s">
        <v>448</v>
      </c>
      <c r="J6" s="105">
        <v>20.0</v>
      </c>
      <c r="K6" s="105" t="s">
        <v>470</v>
      </c>
      <c r="L6" s="109" t="s">
        <v>471</v>
      </c>
      <c r="M6" s="109" t="s">
        <v>472</v>
      </c>
      <c r="N6" s="109" t="s">
        <v>470</v>
      </c>
      <c r="O6" s="106"/>
      <c r="P6" s="106"/>
      <c r="Q6" s="106"/>
    </row>
    <row r="7">
      <c r="A7" s="5" t="s">
        <v>473</v>
      </c>
      <c r="B7" s="106" t="s">
        <v>442</v>
      </c>
      <c r="C7" s="106" t="s">
        <v>468</v>
      </c>
      <c r="D7" s="106" t="s">
        <v>453</v>
      </c>
      <c r="E7" s="106" t="s">
        <v>445</v>
      </c>
      <c r="F7" s="108" t="s">
        <v>474</v>
      </c>
      <c r="G7" s="106" t="s">
        <v>447</v>
      </c>
      <c r="H7" s="106">
        <v>3.0</v>
      </c>
      <c r="I7" s="106"/>
      <c r="J7" s="105"/>
      <c r="K7" s="105" t="s">
        <v>475</v>
      </c>
      <c r="L7" s="109" t="s">
        <v>476</v>
      </c>
      <c r="M7" s="109" t="s">
        <v>475</v>
      </c>
      <c r="N7" s="109" t="s">
        <v>475</v>
      </c>
      <c r="O7" s="106"/>
      <c r="P7" s="106"/>
      <c r="Q7" s="106"/>
    </row>
    <row r="8">
      <c r="A8" s="5" t="s">
        <v>49</v>
      </c>
      <c r="B8" s="106" t="s">
        <v>442</v>
      </c>
      <c r="C8" s="106" t="s">
        <v>468</v>
      </c>
      <c r="D8" s="106" t="s">
        <v>458</v>
      </c>
      <c r="E8" s="106" t="s">
        <v>445</v>
      </c>
      <c r="F8" s="108" t="s">
        <v>477</v>
      </c>
      <c r="G8" s="106" t="s">
        <v>447</v>
      </c>
      <c r="H8" s="106">
        <v>3.0</v>
      </c>
      <c r="I8" s="106" t="s">
        <v>448</v>
      </c>
      <c r="J8" s="105">
        <v>20.0</v>
      </c>
      <c r="K8" s="105" t="s">
        <v>478</v>
      </c>
      <c r="L8" s="109" t="s">
        <v>479</v>
      </c>
      <c r="M8" s="109" t="s">
        <v>478</v>
      </c>
      <c r="N8" s="109" t="s">
        <v>478</v>
      </c>
      <c r="O8" s="106"/>
      <c r="P8" s="106"/>
      <c r="Q8" s="106"/>
    </row>
    <row r="9">
      <c r="A9" s="5" t="s">
        <v>50</v>
      </c>
      <c r="B9" s="106"/>
      <c r="C9" s="106"/>
      <c r="D9" s="106"/>
      <c r="E9" s="106"/>
      <c r="F9" s="108"/>
      <c r="G9" s="106"/>
      <c r="H9" s="106"/>
      <c r="I9" s="106"/>
      <c r="J9" s="105"/>
      <c r="K9" s="105"/>
      <c r="L9" s="109"/>
      <c r="M9" s="109"/>
      <c r="N9" s="109"/>
      <c r="O9" s="106"/>
      <c r="P9" s="106"/>
      <c r="Q9" s="106"/>
    </row>
    <row r="10">
      <c r="A10" s="5" t="s">
        <v>480</v>
      </c>
      <c r="B10" s="114"/>
      <c r="C10" s="114"/>
      <c r="D10" s="114"/>
      <c r="E10" s="114"/>
      <c r="F10" s="114"/>
      <c r="G10" s="114"/>
      <c r="H10" s="115"/>
      <c r="I10" s="115"/>
      <c r="J10" s="115"/>
      <c r="K10" s="115"/>
      <c r="L10" s="116"/>
      <c r="M10" s="116"/>
      <c r="N10" s="109"/>
      <c r="O10" s="106"/>
      <c r="P10" s="106"/>
      <c r="Q10" s="106"/>
    </row>
    <row r="11">
      <c r="A11" s="5" t="s">
        <v>173</v>
      </c>
      <c r="B11" s="114"/>
      <c r="C11" s="114"/>
      <c r="D11" s="114"/>
      <c r="E11" s="114"/>
      <c r="F11" s="114"/>
      <c r="G11" s="114"/>
      <c r="H11" s="115"/>
      <c r="I11" s="115"/>
      <c r="J11" s="115"/>
      <c r="K11" s="115"/>
      <c r="L11" s="116"/>
      <c r="M11" s="116"/>
      <c r="N11" s="109"/>
      <c r="O11" s="106"/>
      <c r="P11" s="106"/>
      <c r="Q11" s="106"/>
    </row>
    <row r="12">
      <c r="A12" s="5" t="s">
        <v>147</v>
      </c>
      <c r="B12" s="114"/>
      <c r="C12" s="114"/>
      <c r="D12" s="114"/>
      <c r="E12" s="114"/>
      <c r="F12" s="114"/>
      <c r="G12" s="114"/>
      <c r="H12" s="115"/>
      <c r="I12" s="115"/>
      <c r="J12" s="115"/>
      <c r="K12" s="115"/>
      <c r="L12" s="116"/>
      <c r="M12" s="116"/>
      <c r="N12" s="109"/>
      <c r="O12" s="106"/>
      <c r="P12" s="106"/>
      <c r="Q12" s="106"/>
    </row>
    <row r="13">
      <c r="A13" s="5" t="s">
        <v>293</v>
      </c>
      <c r="B13" s="114"/>
      <c r="C13" s="114"/>
      <c r="D13" s="114"/>
      <c r="E13" s="114"/>
      <c r="F13" s="114"/>
      <c r="G13" s="114"/>
      <c r="H13" s="115"/>
      <c r="I13" s="115"/>
      <c r="J13" s="115"/>
      <c r="K13" s="115"/>
      <c r="L13" s="116"/>
      <c r="M13" s="116"/>
      <c r="N13" s="109"/>
      <c r="O13" s="106"/>
      <c r="P13" s="106"/>
      <c r="Q13" s="106"/>
    </row>
    <row r="14">
      <c r="A14" s="5" t="s">
        <v>481</v>
      </c>
      <c r="B14" s="114"/>
      <c r="C14" s="114"/>
      <c r="D14" s="114"/>
      <c r="E14" s="114"/>
      <c r="F14" s="114"/>
      <c r="G14" s="114"/>
      <c r="H14" s="115"/>
      <c r="I14" s="115"/>
      <c r="J14" s="115"/>
      <c r="K14" s="115"/>
      <c r="L14" s="116"/>
      <c r="M14" s="116"/>
      <c r="N14" s="109"/>
      <c r="O14" s="114"/>
      <c r="P14" s="106"/>
      <c r="Q14" s="114"/>
    </row>
    <row r="15">
      <c r="A15" s="87" t="s">
        <v>482</v>
      </c>
      <c r="B15" s="105" t="s">
        <v>483</v>
      </c>
      <c r="C15" s="105" t="s">
        <v>484</v>
      </c>
      <c r="D15" s="105" t="s">
        <v>485</v>
      </c>
      <c r="E15" s="105"/>
      <c r="F15" s="117" t="s">
        <v>486</v>
      </c>
      <c r="G15" s="106" t="s">
        <v>487</v>
      </c>
      <c r="H15" s="106">
        <v>100.0</v>
      </c>
      <c r="I15" s="106" t="s">
        <v>488</v>
      </c>
      <c r="J15" s="105">
        <v>20.0</v>
      </c>
      <c r="K15" s="105" t="s">
        <v>489</v>
      </c>
      <c r="L15" s="109" t="s">
        <v>490</v>
      </c>
      <c r="M15" s="109" t="s">
        <v>489</v>
      </c>
      <c r="N15" s="109" t="s">
        <v>489</v>
      </c>
      <c r="O15" s="114"/>
      <c r="P15" s="106"/>
      <c r="Q15" s="114"/>
    </row>
    <row r="16">
      <c r="A16" s="87" t="s">
        <v>67</v>
      </c>
      <c r="B16" s="106" t="s">
        <v>491</v>
      </c>
      <c r="C16" s="106" t="s">
        <v>492</v>
      </c>
      <c r="D16" s="106" t="s">
        <v>493</v>
      </c>
      <c r="E16" s="117" t="s">
        <v>494</v>
      </c>
      <c r="F16" s="108" t="s">
        <v>495</v>
      </c>
      <c r="G16" s="106" t="s">
        <v>487</v>
      </c>
      <c r="H16" s="106">
        <v>100.0</v>
      </c>
      <c r="I16" s="106" t="s">
        <v>488</v>
      </c>
      <c r="J16" s="105">
        <v>20.0</v>
      </c>
      <c r="K16" s="105" t="s">
        <v>496</v>
      </c>
      <c r="L16" s="109" t="s">
        <v>497</v>
      </c>
      <c r="M16" s="109" t="s">
        <v>498</v>
      </c>
      <c r="N16" s="109" t="s">
        <v>496</v>
      </c>
      <c r="O16" s="114"/>
      <c r="P16" s="106"/>
      <c r="Q16" s="114"/>
    </row>
    <row r="17">
      <c r="A17" s="5" t="s">
        <v>499</v>
      </c>
      <c r="B17" s="114" t="s">
        <v>500</v>
      </c>
      <c r="C17" s="114" t="s">
        <v>501</v>
      </c>
      <c r="D17" s="114"/>
      <c r="E17" s="114" t="s">
        <v>502</v>
      </c>
      <c r="F17" s="114" t="s">
        <v>503</v>
      </c>
      <c r="G17" s="114" t="s">
        <v>504</v>
      </c>
      <c r="H17" s="114">
        <v>300.0</v>
      </c>
      <c r="I17" s="114" t="s">
        <v>505</v>
      </c>
      <c r="J17" s="115">
        <v>7.0</v>
      </c>
      <c r="K17" s="115" t="s">
        <v>506</v>
      </c>
      <c r="L17" s="116" t="s">
        <v>507</v>
      </c>
      <c r="M17" s="116" t="s">
        <v>506</v>
      </c>
      <c r="N17" s="109" t="s">
        <v>506</v>
      </c>
      <c r="O17" s="118" t="s">
        <v>508</v>
      </c>
      <c r="P17" s="110" t="s">
        <v>509</v>
      </c>
      <c r="Q17" s="118" t="s">
        <v>510</v>
      </c>
    </row>
    <row r="18">
      <c r="A18" s="5" t="s">
        <v>244</v>
      </c>
      <c r="B18" s="114" t="s">
        <v>511</v>
      </c>
      <c r="C18" s="114" t="s">
        <v>512</v>
      </c>
      <c r="D18" s="114" t="s">
        <v>513</v>
      </c>
      <c r="E18" s="114" t="s">
        <v>514</v>
      </c>
      <c r="F18" s="114" t="s">
        <v>515</v>
      </c>
      <c r="G18" s="114" t="s">
        <v>516</v>
      </c>
      <c r="H18" s="115"/>
      <c r="I18" s="115"/>
      <c r="J18" s="115"/>
      <c r="K18" s="115" t="s">
        <v>517</v>
      </c>
      <c r="L18" s="116" t="s">
        <v>518</v>
      </c>
      <c r="M18" s="116" t="s">
        <v>517</v>
      </c>
      <c r="N18" s="109" t="s">
        <v>517</v>
      </c>
      <c r="O18" s="110" t="s">
        <v>519</v>
      </c>
      <c r="P18" s="110" t="s">
        <v>520</v>
      </c>
      <c r="Q18" s="110" t="s">
        <v>521</v>
      </c>
    </row>
    <row r="19">
      <c r="A19" s="87" t="s">
        <v>522</v>
      </c>
      <c r="B19" s="114" t="s">
        <v>511</v>
      </c>
      <c r="C19" s="114" t="s">
        <v>523</v>
      </c>
      <c r="D19" s="114" t="s">
        <v>524</v>
      </c>
      <c r="E19" s="114" t="s">
        <v>514</v>
      </c>
      <c r="F19" s="114" t="s">
        <v>525</v>
      </c>
      <c r="G19" s="114" t="s">
        <v>516</v>
      </c>
      <c r="H19" s="115"/>
      <c r="I19" s="115"/>
      <c r="J19" s="115"/>
      <c r="K19" s="115" t="s">
        <v>526</v>
      </c>
      <c r="L19" s="116" t="s">
        <v>527</v>
      </c>
      <c r="M19" s="116" t="s">
        <v>528</v>
      </c>
      <c r="N19" s="116" t="s">
        <v>526</v>
      </c>
      <c r="O19" s="106"/>
      <c r="P19" s="106"/>
      <c r="Q19" s="106"/>
    </row>
    <row r="20">
      <c r="A20" s="87" t="s">
        <v>529</v>
      </c>
      <c r="B20" s="114" t="s">
        <v>511</v>
      </c>
      <c r="C20" s="114" t="s">
        <v>530</v>
      </c>
      <c r="D20" s="114" t="s">
        <v>531</v>
      </c>
      <c r="E20" s="114" t="s">
        <v>514</v>
      </c>
      <c r="F20" s="114" t="s">
        <v>532</v>
      </c>
      <c r="G20" s="114" t="s">
        <v>516</v>
      </c>
      <c r="H20" s="115"/>
      <c r="I20" s="115"/>
      <c r="J20" s="115"/>
      <c r="K20" s="115" t="s">
        <v>533</v>
      </c>
      <c r="L20" s="116" t="s">
        <v>534</v>
      </c>
      <c r="M20" s="116" t="s">
        <v>535</v>
      </c>
      <c r="N20" s="116" t="s">
        <v>533</v>
      </c>
      <c r="O20" s="106"/>
      <c r="P20" s="106"/>
      <c r="Q20" s="106"/>
    </row>
    <row r="21">
      <c r="A21" s="106" t="s">
        <v>119</v>
      </c>
      <c r="B21" s="105"/>
      <c r="C21" s="105"/>
      <c r="D21" s="105"/>
      <c r="E21" s="105"/>
      <c r="F21" s="105"/>
      <c r="G21" s="105"/>
      <c r="H21" s="105"/>
      <c r="I21" s="105"/>
      <c r="J21" s="105"/>
      <c r="K21" s="105"/>
      <c r="L21" s="109"/>
      <c r="M21" s="109"/>
      <c r="N21" s="116"/>
      <c r="O21" s="106"/>
      <c r="P21" s="106"/>
      <c r="Q21" s="106"/>
    </row>
    <row r="22">
      <c r="A22" s="5" t="s">
        <v>218</v>
      </c>
      <c r="B22" s="115"/>
      <c r="C22" s="115"/>
      <c r="D22" s="115"/>
      <c r="E22" s="115"/>
      <c r="F22" s="115"/>
      <c r="G22" s="115"/>
      <c r="H22" s="115"/>
      <c r="I22" s="115"/>
      <c r="J22" s="115"/>
      <c r="K22" s="115"/>
      <c r="L22" s="111"/>
      <c r="M22" s="111"/>
      <c r="N22" s="116"/>
      <c r="O22" s="106"/>
      <c r="P22" s="106"/>
      <c r="Q22" s="106"/>
    </row>
    <row r="23">
      <c r="A23" s="5" t="s">
        <v>309</v>
      </c>
      <c r="B23" s="105"/>
      <c r="C23" s="119"/>
      <c r="D23" s="105"/>
      <c r="E23" s="105"/>
      <c r="F23" s="105"/>
      <c r="G23" s="105"/>
      <c r="H23" s="105"/>
      <c r="I23" s="105"/>
      <c r="J23" s="105"/>
      <c r="K23" s="105"/>
      <c r="L23" s="109"/>
      <c r="M23" s="109"/>
      <c r="N23" s="116"/>
      <c r="O23" s="106"/>
      <c r="P23" s="106"/>
      <c r="Q23" s="106"/>
    </row>
    <row r="24">
      <c r="A24" s="87" t="s">
        <v>536</v>
      </c>
      <c r="B24" s="115"/>
      <c r="C24" s="115"/>
      <c r="D24" s="115"/>
      <c r="E24" s="115"/>
      <c r="F24" s="115"/>
      <c r="G24" s="115"/>
      <c r="H24" s="115"/>
      <c r="I24" s="115"/>
      <c r="J24" s="115"/>
      <c r="K24" s="115"/>
      <c r="L24" s="111"/>
      <c r="M24" s="111"/>
      <c r="N24" s="116"/>
      <c r="O24" s="106"/>
      <c r="P24" s="106"/>
      <c r="Q24" s="106"/>
    </row>
    <row r="25">
      <c r="A25" s="87" t="s">
        <v>537</v>
      </c>
      <c r="B25" s="115"/>
      <c r="C25" s="115"/>
      <c r="D25" s="115"/>
      <c r="E25" s="115"/>
      <c r="F25" s="115"/>
      <c r="G25" s="115"/>
      <c r="H25" s="115"/>
      <c r="I25" s="115"/>
      <c r="J25" s="115"/>
      <c r="K25" s="115"/>
      <c r="L25" s="111"/>
      <c r="M25" s="111"/>
      <c r="N25" s="116"/>
      <c r="O25" s="110" t="s">
        <v>538</v>
      </c>
      <c r="P25" s="110" t="s">
        <v>539</v>
      </c>
      <c r="Q25" s="110" t="s">
        <v>540</v>
      </c>
    </row>
    <row r="26">
      <c r="A26" s="87" t="s">
        <v>541</v>
      </c>
      <c r="B26" s="115"/>
      <c r="C26" s="115"/>
      <c r="D26" s="115"/>
      <c r="E26" s="115"/>
      <c r="F26" s="115"/>
      <c r="G26" s="115"/>
      <c r="H26" s="115"/>
      <c r="I26" s="115"/>
      <c r="J26" s="115"/>
      <c r="K26" s="115"/>
      <c r="L26" s="111"/>
      <c r="M26" s="111"/>
      <c r="N26" s="116"/>
      <c r="O26" s="118" t="s">
        <v>542</v>
      </c>
      <c r="P26" s="118" t="s">
        <v>543</v>
      </c>
      <c r="Q26" s="118" t="s">
        <v>544</v>
      </c>
    </row>
    <row r="27">
      <c r="A27" s="106" t="s">
        <v>545</v>
      </c>
      <c r="B27" s="105"/>
      <c r="C27" s="105"/>
      <c r="D27" s="105"/>
      <c r="E27" s="105"/>
      <c r="F27" s="105"/>
      <c r="G27" s="105"/>
      <c r="H27" s="105"/>
      <c r="I27" s="105"/>
      <c r="J27" s="105"/>
      <c r="K27" s="105"/>
      <c r="L27" s="109"/>
      <c r="M27" s="109"/>
      <c r="N27" s="116"/>
      <c r="O27" s="106"/>
      <c r="P27" s="87"/>
      <c r="Q27" s="87"/>
    </row>
    <row r="28">
      <c r="A28" s="55" t="s">
        <v>546</v>
      </c>
      <c r="B28" s="115"/>
      <c r="C28" s="115"/>
      <c r="D28" s="115"/>
      <c r="E28" s="115"/>
      <c r="F28" s="115"/>
      <c r="G28" s="115"/>
      <c r="H28" s="115"/>
      <c r="I28" s="115"/>
      <c r="J28" s="115"/>
      <c r="K28" s="115"/>
      <c r="L28" s="111"/>
      <c r="M28" s="111"/>
      <c r="N28" s="116"/>
      <c r="O28" s="106"/>
      <c r="P28" s="87"/>
      <c r="Q28" s="87"/>
    </row>
    <row r="29">
      <c r="A29" s="87" t="s">
        <v>547</v>
      </c>
      <c r="B29" s="115"/>
      <c r="C29" s="115"/>
      <c r="D29" s="115"/>
      <c r="E29" s="115"/>
      <c r="F29" s="115"/>
      <c r="G29" s="115"/>
      <c r="H29" s="115"/>
      <c r="I29" s="115"/>
      <c r="J29" s="115"/>
      <c r="K29" s="115"/>
      <c r="L29" s="111"/>
      <c r="M29" s="111"/>
      <c r="N29" s="111"/>
      <c r="O29" s="114"/>
      <c r="P29" s="114"/>
      <c r="Q29" s="114"/>
    </row>
    <row r="30">
      <c r="A30" s="87" t="s">
        <v>548</v>
      </c>
      <c r="B30" s="115"/>
      <c r="C30" s="115"/>
      <c r="D30" s="115"/>
      <c r="E30" s="115"/>
      <c r="F30" s="115"/>
      <c r="G30" s="115"/>
      <c r="H30" s="115"/>
      <c r="I30" s="115"/>
      <c r="J30" s="115"/>
      <c r="K30" s="115"/>
      <c r="L30" s="111"/>
      <c r="M30" s="111"/>
      <c r="N30" s="111"/>
      <c r="O30" s="118" t="s">
        <v>549</v>
      </c>
      <c r="P30" s="118" t="s">
        <v>550</v>
      </c>
      <c r="Q30" s="114"/>
    </row>
    <row r="31">
      <c r="A31" s="87" t="s">
        <v>551</v>
      </c>
      <c r="B31" s="115"/>
      <c r="C31" s="115"/>
      <c r="D31" s="115"/>
      <c r="E31" s="115"/>
      <c r="F31" s="115"/>
      <c r="G31" s="115"/>
      <c r="H31" s="115"/>
      <c r="I31" s="115"/>
      <c r="J31" s="115"/>
      <c r="K31" s="115"/>
      <c r="L31" s="111"/>
      <c r="M31" s="111"/>
      <c r="N31" s="111"/>
      <c r="O31" s="110" t="s">
        <v>552</v>
      </c>
      <c r="P31" s="110" t="s">
        <v>553</v>
      </c>
      <c r="Q31" s="110" t="s">
        <v>554</v>
      </c>
    </row>
    <row r="32">
      <c r="A32" s="106" t="s">
        <v>171</v>
      </c>
      <c r="B32" s="106"/>
      <c r="C32" s="106"/>
      <c r="D32" s="106"/>
      <c r="E32" s="106"/>
      <c r="F32" s="106"/>
      <c r="G32" s="106"/>
      <c r="H32" s="106"/>
      <c r="I32" s="105"/>
      <c r="J32" s="105"/>
      <c r="K32" s="105"/>
      <c r="L32" s="109"/>
      <c r="M32" s="109"/>
      <c r="N32" s="111"/>
      <c r="O32" s="110" t="s">
        <v>555</v>
      </c>
      <c r="P32" s="110" t="s">
        <v>556</v>
      </c>
      <c r="Q32" s="110" t="s">
        <v>557</v>
      </c>
    </row>
    <row r="33">
      <c r="A33" s="5" t="s">
        <v>304</v>
      </c>
      <c r="B33" s="114"/>
      <c r="C33" s="114"/>
      <c r="D33" s="114"/>
      <c r="E33" s="114"/>
      <c r="F33" s="114"/>
      <c r="G33" s="114"/>
      <c r="H33" s="106"/>
      <c r="I33" s="106"/>
      <c r="J33" s="115"/>
      <c r="K33" s="115"/>
      <c r="L33" s="116"/>
      <c r="M33" s="116"/>
      <c r="N33" s="111"/>
      <c r="O33" s="110" t="s">
        <v>558</v>
      </c>
      <c r="P33" s="110" t="s">
        <v>559</v>
      </c>
      <c r="Q33" s="110" t="s">
        <v>560</v>
      </c>
    </row>
    <row r="34">
      <c r="A34" s="5" t="s">
        <v>239</v>
      </c>
      <c r="B34" s="114"/>
      <c r="C34" s="114"/>
      <c r="D34" s="114"/>
      <c r="E34" s="114"/>
      <c r="F34" s="114"/>
      <c r="G34" s="114"/>
      <c r="H34" s="106"/>
      <c r="I34" s="106"/>
      <c r="J34" s="115"/>
      <c r="K34" s="115"/>
      <c r="L34" s="116"/>
      <c r="M34" s="116"/>
      <c r="N34" s="109"/>
      <c r="O34" s="106"/>
      <c r="P34" s="106"/>
      <c r="Q34" s="106"/>
    </row>
    <row r="35">
      <c r="A35" s="5" t="s">
        <v>251</v>
      </c>
      <c r="B35" s="114"/>
      <c r="C35" s="114"/>
      <c r="D35" s="114"/>
      <c r="E35" s="114"/>
      <c r="F35" s="114"/>
      <c r="G35" s="114"/>
      <c r="H35" s="106"/>
      <c r="I35" s="106"/>
      <c r="J35" s="115"/>
      <c r="K35" s="115"/>
      <c r="L35" s="116"/>
      <c r="M35" s="116"/>
      <c r="N35" s="109"/>
      <c r="O35" s="106"/>
      <c r="P35" s="106"/>
      <c r="Q35" s="106"/>
    </row>
    <row r="36">
      <c r="A36" s="5" t="s">
        <v>561</v>
      </c>
      <c r="B36" s="105"/>
      <c r="C36" s="105"/>
      <c r="D36" s="105"/>
      <c r="E36" s="105"/>
      <c r="F36" s="105"/>
      <c r="G36" s="105"/>
      <c r="H36" s="106"/>
      <c r="I36" s="105"/>
      <c r="J36" s="105"/>
      <c r="K36" s="105"/>
      <c r="L36" s="109"/>
      <c r="M36" s="109"/>
      <c r="N36" s="109"/>
      <c r="O36" s="106"/>
      <c r="P36" s="106"/>
      <c r="Q36" s="106"/>
    </row>
    <row r="37">
      <c r="A37" s="106" t="s">
        <v>299</v>
      </c>
      <c r="B37" s="106"/>
      <c r="C37" s="106"/>
      <c r="D37" s="106"/>
      <c r="E37" s="106"/>
      <c r="F37" s="106"/>
      <c r="G37" s="106"/>
      <c r="H37" s="106"/>
      <c r="I37" s="105"/>
      <c r="J37" s="105"/>
      <c r="K37" s="105"/>
      <c r="L37" s="109"/>
      <c r="M37" s="109"/>
      <c r="N37" s="109"/>
      <c r="O37" s="106"/>
      <c r="P37" s="106"/>
      <c r="Q37" s="106"/>
    </row>
    <row r="38">
      <c r="A38" s="106" t="s">
        <v>207</v>
      </c>
      <c r="B38" s="106"/>
      <c r="C38" s="106"/>
      <c r="D38" s="106"/>
      <c r="E38" s="106"/>
      <c r="F38" s="108"/>
      <c r="G38" s="106"/>
      <c r="H38" s="106"/>
      <c r="I38" s="106"/>
      <c r="J38" s="105"/>
      <c r="K38" s="105"/>
      <c r="L38" s="109"/>
      <c r="M38" s="109"/>
      <c r="N38" s="109"/>
      <c r="O38" s="106"/>
      <c r="P38" s="106"/>
      <c r="Q38" s="106"/>
    </row>
    <row r="39">
      <c r="A39" s="106" t="s">
        <v>201</v>
      </c>
      <c r="B39" s="106"/>
      <c r="C39" s="106"/>
      <c r="D39" s="106"/>
      <c r="E39" s="106"/>
      <c r="F39" s="108"/>
      <c r="G39" s="106"/>
      <c r="H39" s="106"/>
      <c r="I39" s="106"/>
      <c r="J39" s="105"/>
      <c r="K39" s="105"/>
      <c r="L39" s="109"/>
      <c r="M39" s="109"/>
      <c r="N39" s="111"/>
      <c r="O39" s="106"/>
      <c r="P39" s="120" t="s">
        <v>562</v>
      </c>
      <c r="Q39" s="106"/>
    </row>
    <row r="40">
      <c r="A40" s="106" t="s">
        <v>174</v>
      </c>
      <c r="B40" s="106"/>
      <c r="C40" s="106"/>
      <c r="D40" s="106"/>
      <c r="E40" s="106"/>
      <c r="F40" s="106"/>
      <c r="G40" s="106"/>
      <c r="H40" s="106"/>
      <c r="I40" s="105"/>
      <c r="J40" s="105"/>
      <c r="K40" s="105"/>
      <c r="L40" s="109"/>
      <c r="M40" s="109"/>
      <c r="N40" s="111"/>
      <c r="O40" s="106"/>
      <c r="P40" s="106"/>
      <c r="Q40" s="106"/>
    </row>
    <row r="41">
      <c r="A41" s="5" t="s">
        <v>393</v>
      </c>
      <c r="B41" s="106"/>
      <c r="C41" s="106"/>
      <c r="D41" s="106"/>
      <c r="E41" s="106"/>
      <c r="F41" s="108"/>
      <c r="G41" s="106"/>
      <c r="H41" s="106"/>
      <c r="I41" s="106"/>
      <c r="J41" s="105"/>
      <c r="K41" s="105"/>
      <c r="L41" s="109"/>
      <c r="M41" s="109"/>
      <c r="N41" s="111"/>
      <c r="O41" s="106"/>
      <c r="P41" s="106"/>
      <c r="Q41" s="106"/>
    </row>
    <row r="42">
      <c r="A42" s="121" t="s">
        <v>563</v>
      </c>
      <c r="B42" s="105"/>
      <c r="C42" s="105"/>
      <c r="D42" s="105"/>
      <c r="E42" s="105"/>
      <c r="F42" s="105"/>
      <c r="G42" s="105"/>
      <c r="H42" s="105"/>
      <c r="I42" s="105"/>
      <c r="J42" s="105"/>
      <c r="K42" s="105"/>
      <c r="L42" s="109"/>
      <c r="M42" s="109"/>
      <c r="N42" s="111"/>
      <c r="O42" s="106"/>
      <c r="P42" s="110" t="s">
        <v>564</v>
      </c>
      <c r="Q42" s="106"/>
    </row>
    <row r="43">
      <c r="A43" s="87" t="s">
        <v>565</v>
      </c>
      <c r="B43" s="115"/>
      <c r="C43" s="115"/>
      <c r="D43" s="115"/>
      <c r="E43" s="115"/>
      <c r="F43" s="115"/>
      <c r="G43" s="115"/>
      <c r="H43" s="115"/>
      <c r="I43" s="115"/>
      <c r="J43" s="115"/>
      <c r="K43" s="115"/>
      <c r="L43" s="111"/>
      <c r="M43" s="111"/>
      <c r="N43" s="109"/>
      <c r="O43" s="115"/>
      <c r="P43" s="115"/>
      <c r="Q43" s="115"/>
    </row>
    <row r="44">
      <c r="A44" s="5" t="s">
        <v>108</v>
      </c>
      <c r="B44" s="106"/>
      <c r="C44" s="106"/>
      <c r="D44" s="106"/>
      <c r="E44" s="106"/>
      <c r="F44" s="108"/>
      <c r="G44" s="106"/>
      <c r="H44" s="106"/>
      <c r="I44" s="106"/>
      <c r="J44" s="105"/>
      <c r="K44" s="105"/>
      <c r="L44" s="109"/>
      <c r="M44" s="109"/>
      <c r="N44" s="109"/>
      <c r="O44" s="115"/>
      <c r="P44" s="115"/>
      <c r="Q44" s="115"/>
    </row>
    <row r="45">
      <c r="A45" s="87" t="s">
        <v>566</v>
      </c>
      <c r="B45" s="114" t="s">
        <v>567</v>
      </c>
      <c r="C45" s="106" t="s">
        <v>568</v>
      </c>
      <c r="D45" s="106" t="s">
        <v>569</v>
      </c>
      <c r="E45" s="114" t="s">
        <v>570</v>
      </c>
      <c r="F45" s="108" t="s">
        <v>571</v>
      </c>
      <c r="G45" s="106" t="s">
        <v>572</v>
      </c>
      <c r="H45" s="106">
        <v>1.0</v>
      </c>
      <c r="I45" s="106" t="s">
        <v>573</v>
      </c>
      <c r="J45" s="115">
        <v>20.0</v>
      </c>
      <c r="K45" s="115" t="s">
        <v>574</v>
      </c>
      <c r="L45" s="111" t="s">
        <v>575</v>
      </c>
      <c r="M45" s="111" t="s">
        <v>574</v>
      </c>
      <c r="N45" s="111" t="s">
        <v>574</v>
      </c>
      <c r="O45" s="115"/>
      <c r="P45" s="115"/>
      <c r="Q45" s="115"/>
    </row>
    <row r="46">
      <c r="A46" s="5" t="s">
        <v>576</v>
      </c>
      <c r="B46" s="114" t="s">
        <v>567</v>
      </c>
      <c r="C46" s="106" t="s">
        <v>568</v>
      </c>
      <c r="D46" s="106" t="s">
        <v>577</v>
      </c>
      <c r="E46" s="114" t="s">
        <v>570</v>
      </c>
      <c r="F46" s="108" t="s">
        <v>578</v>
      </c>
      <c r="G46" s="106" t="s">
        <v>572</v>
      </c>
      <c r="H46" s="106">
        <v>1.0</v>
      </c>
      <c r="I46" s="106" t="s">
        <v>573</v>
      </c>
      <c r="J46" s="115">
        <v>20.0</v>
      </c>
      <c r="K46" s="115" t="s">
        <v>579</v>
      </c>
      <c r="L46" s="111" t="s">
        <v>580</v>
      </c>
      <c r="M46" s="111" t="s">
        <v>579</v>
      </c>
      <c r="N46" s="111" t="s">
        <v>579</v>
      </c>
      <c r="O46" s="115"/>
      <c r="P46" s="115"/>
      <c r="Q46" s="115"/>
    </row>
    <row r="47">
      <c r="A47" s="106" t="s">
        <v>319</v>
      </c>
      <c r="B47" s="106" t="s">
        <v>581</v>
      </c>
      <c r="C47" s="106" t="s">
        <v>582</v>
      </c>
      <c r="D47" s="106" t="s">
        <v>583</v>
      </c>
      <c r="E47" s="106" t="s">
        <v>584</v>
      </c>
      <c r="F47" s="106" t="s">
        <v>585</v>
      </c>
      <c r="G47" s="106" t="s">
        <v>572</v>
      </c>
      <c r="H47" s="106">
        <v>2.0</v>
      </c>
      <c r="I47" s="106" t="s">
        <v>586</v>
      </c>
      <c r="J47" s="106">
        <v>20.0</v>
      </c>
      <c r="K47" s="106" t="s">
        <v>587</v>
      </c>
      <c r="L47" s="122" t="s">
        <v>588</v>
      </c>
      <c r="M47" s="122" t="s">
        <v>589</v>
      </c>
      <c r="N47" s="111" t="s">
        <v>587</v>
      </c>
      <c r="O47" s="115"/>
      <c r="P47" s="115"/>
      <c r="Q47" s="115"/>
    </row>
    <row r="48">
      <c r="A48" s="106" t="s">
        <v>225</v>
      </c>
      <c r="B48" s="106" t="s">
        <v>590</v>
      </c>
      <c r="C48" s="106" t="s">
        <v>591</v>
      </c>
      <c r="D48" s="106" t="s">
        <v>592</v>
      </c>
      <c r="E48" s="106" t="s">
        <v>593</v>
      </c>
      <c r="F48" s="106" t="s">
        <v>594</v>
      </c>
      <c r="G48" s="106" t="s">
        <v>572</v>
      </c>
      <c r="H48" s="106">
        <v>2.0</v>
      </c>
      <c r="I48" s="105"/>
      <c r="J48" s="105"/>
      <c r="K48" s="105" t="s">
        <v>595</v>
      </c>
      <c r="L48" s="109" t="s">
        <v>596</v>
      </c>
      <c r="M48" s="109" t="s">
        <v>597</v>
      </c>
      <c r="N48" s="111" t="s">
        <v>595</v>
      </c>
      <c r="O48" s="115"/>
      <c r="P48" s="115"/>
      <c r="Q48" s="115"/>
    </row>
    <row r="49">
      <c r="A49" s="106" t="s">
        <v>598</v>
      </c>
      <c r="B49" s="106" t="s">
        <v>599</v>
      </c>
      <c r="C49" s="123">
        <v>7805.0</v>
      </c>
      <c r="D49" s="123" t="s">
        <v>600</v>
      </c>
      <c r="E49" s="123" t="s">
        <v>601</v>
      </c>
      <c r="F49" s="106" t="s">
        <v>602</v>
      </c>
      <c r="G49" s="106" t="s">
        <v>572</v>
      </c>
      <c r="H49" s="106">
        <v>1.0</v>
      </c>
      <c r="I49" s="106" t="s">
        <v>603</v>
      </c>
      <c r="J49" s="105">
        <v>5.0</v>
      </c>
      <c r="K49" s="105" t="s">
        <v>604</v>
      </c>
      <c r="L49" s="109" t="s">
        <v>605</v>
      </c>
      <c r="M49" s="109" t="s">
        <v>604</v>
      </c>
      <c r="N49" s="111" t="s">
        <v>604</v>
      </c>
      <c r="O49" s="115"/>
      <c r="P49" s="115"/>
      <c r="Q49" s="115"/>
    </row>
    <row r="50">
      <c r="A50" s="5" t="s">
        <v>183</v>
      </c>
      <c r="B50" s="105"/>
      <c r="C50" s="119"/>
      <c r="D50" s="105"/>
      <c r="E50" s="105"/>
      <c r="F50" s="105"/>
      <c r="G50" s="105"/>
      <c r="H50" s="105"/>
      <c r="I50" s="105"/>
      <c r="J50" s="105"/>
      <c r="K50" s="105"/>
      <c r="L50" s="109"/>
      <c r="M50" s="109"/>
      <c r="N50" s="111"/>
      <c r="O50" s="115"/>
      <c r="P50" s="115"/>
      <c r="Q50" s="115"/>
    </row>
    <row r="51">
      <c r="A51" s="5" t="s">
        <v>228</v>
      </c>
      <c r="B51" s="14" t="s">
        <v>606</v>
      </c>
      <c r="C51" s="14" t="s">
        <v>607</v>
      </c>
      <c r="D51" s="106" t="s">
        <v>592</v>
      </c>
      <c r="E51" s="124" t="s">
        <v>608</v>
      </c>
      <c r="F51" s="125" t="s">
        <v>609</v>
      </c>
      <c r="G51" s="106" t="s">
        <v>572</v>
      </c>
      <c r="H51" s="106">
        <v>2.0</v>
      </c>
      <c r="I51" s="106" t="s">
        <v>610</v>
      </c>
      <c r="J51" s="113">
        <v>20.0</v>
      </c>
      <c r="K51" s="113" t="s">
        <v>611</v>
      </c>
      <c r="L51" s="109" t="s">
        <v>612</v>
      </c>
      <c r="M51" s="109" t="s">
        <v>613</v>
      </c>
      <c r="N51" s="111" t="s">
        <v>611</v>
      </c>
      <c r="O51" s="115"/>
      <c r="P51" s="115"/>
      <c r="Q51" s="115"/>
    </row>
    <row r="52">
      <c r="A52" s="5" t="s">
        <v>231</v>
      </c>
      <c r="B52" s="14" t="s">
        <v>614</v>
      </c>
      <c r="C52" s="14" t="s">
        <v>615</v>
      </c>
      <c r="D52" s="106" t="s">
        <v>592</v>
      </c>
      <c r="E52" s="124" t="s">
        <v>616</v>
      </c>
      <c r="F52" s="125" t="s">
        <v>617</v>
      </c>
      <c r="G52" s="106" t="s">
        <v>572</v>
      </c>
      <c r="H52" s="106">
        <v>2.0</v>
      </c>
      <c r="I52" s="106" t="s">
        <v>586</v>
      </c>
      <c r="J52" s="113">
        <v>20.0</v>
      </c>
      <c r="K52" s="113" t="s">
        <v>618</v>
      </c>
      <c r="L52" s="109" t="s">
        <v>619</v>
      </c>
      <c r="M52" s="109" t="s">
        <v>620</v>
      </c>
      <c r="N52" s="111" t="s">
        <v>618</v>
      </c>
      <c r="O52" s="115"/>
      <c r="P52" s="115"/>
      <c r="Q52" s="115"/>
    </row>
    <row r="53">
      <c r="A53" s="5" t="s">
        <v>290</v>
      </c>
      <c r="B53" s="14" t="s">
        <v>614</v>
      </c>
      <c r="C53" s="14" t="s">
        <v>621</v>
      </c>
      <c r="D53" s="106" t="s">
        <v>622</v>
      </c>
      <c r="E53" s="124" t="s">
        <v>616</v>
      </c>
      <c r="F53" s="125" t="s">
        <v>623</v>
      </c>
      <c r="G53" s="106" t="s">
        <v>572</v>
      </c>
      <c r="H53" s="106">
        <v>2.0</v>
      </c>
      <c r="I53" s="106" t="s">
        <v>624</v>
      </c>
      <c r="J53" s="113">
        <v>20.0</v>
      </c>
      <c r="K53" s="113" t="s">
        <v>625</v>
      </c>
      <c r="L53" s="109" t="s">
        <v>626</v>
      </c>
      <c r="M53" s="109" t="s">
        <v>627</v>
      </c>
      <c r="N53" s="109" t="s">
        <v>625</v>
      </c>
      <c r="O53" s="115"/>
      <c r="P53" s="115"/>
      <c r="Q53" s="115"/>
    </row>
    <row r="54">
      <c r="A54" s="5" t="s">
        <v>628</v>
      </c>
      <c r="B54" s="105"/>
      <c r="C54" s="119"/>
      <c r="D54" s="105"/>
      <c r="E54" s="105"/>
      <c r="F54" s="105"/>
      <c r="G54" s="105"/>
      <c r="H54" s="105"/>
      <c r="I54" s="105"/>
      <c r="J54" s="105"/>
      <c r="K54" s="105"/>
      <c r="L54" s="109"/>
      <c r="M54" s="109"/>
      <c r="N54" s="109"/>
      <c r="O54" s="115"/>
      <c r="P54" s="115"/>
      <c r="Q54" s="115"/>
    </row>
    <row r="55">
      <c r="A55" s="5" t="s">
        <v>209</v>
      </c>
      <c r="B55" s="114"/>
      <c r="C55" s="114"/>
      <c r="D55" s="115"/>
      <c r="E55" s="115"/>
      <c r="F55" s="115"/>
      <c r="G55" s="115"/>
      <c r="H55" s="115"/>
      <c r="I55" s="115"/>
      <c r="J55" s="115"/>
      <c r="K55" s="115"/>
      <c r="L55" s="111"/>
      <c r="M55" s="111"/>
      <c r="N55" s="109"/>
      <c r="O55" s="105"/>
      <c r="P55" s="105"/>
      <c r="Q55" s="105"/>
    </row>
    <row r="56">
      <c r="A56" s="106" t="s">
        <v>76</v>
      </c>
      <c r="B56" s="106" t="s">
        <v>629</v>
      </c>
      <c r="C56" s="106" t="s">
        <v>630</v>
      </c>
      <c r="D56" s="106" t="s">
        <v>631</v>
      </c>
      <c r="E56" s="106" t="s">
        <v>632</v>
      </c>
      <c r="F56" s="106" t="s">
        <v>633</v>
      </c>
      <c r="G56" s="106" t="s">
        <v>572</v>
      </c>
      <c r="H56" s="106">
        <v>2.0</v>
      </c>
      <c r="I56" s="106" t="s">
        <v>586</v>
      </c>
      <c r="J56" s="105">
        <v>20.0</v>
      </c>
      <c r="K56" s="105" t="s">
        <v>634</v>
      </c>
      <c r="L56" s="109" t="s">
        <v>635</v>
      </c>
      <c r="M56" s="109" t="s">
        <v>634</v>
      </c>
      <c r="N56" s="109" t="s">
        <v>634</v>
      </c>
      <c r="O56" s="105"/>
      <c r="P56" s="105"/>
      <c r="Q56" s="105"/>
    </row>
    <row r="57">
      <c r="A57" s="106" t="s">
        <v>636</v>
      </c>
      <c r="B57" s="106" t="s">
        <v>637</v>
      </c>
      <c r="C57" s="106" t="s">
        <v>638</v>
      </c>
      <c r="D57" s="106" t="s">
        <v>631</v>
      </c>
      <c r="E57" s="106" t="s">
        <v>632</v>
      </c>
      <c r="F57" s="106" t="s">
        <v>633</v>
      </c>
      <c r="G57" s="106" t="s">
        <v>572</v>
      </c>
      <c r="H57" s="106">
        <v>2.0</v>
      </c>
      <c r="I57" s="106" t="s">
        <v>586</v>
      </c>
      <c r="J57" s="105">
        <v>20.0</v>
      </c>
      <c r="K57" s="105" t="s">
        <v>639</v>
      </c>
      <c r="L57" s="109" t="s">
        <v>640</v>
      </c>
      <c r="M57" s="109" t="s">
        <v>639</v>
      </c>
      <c r="N57" s="109" t="s">
        <v>639</v>
      </c>
      <c r="O57" s="115"/>
      <c r="P57" s="115"/>
      <c r="Q57" s="115"/>
    </row>
    <row r="58">
      <c r="A58" s="106" t="s">
        <v>79</v>
      </c>
      <c r="B58" s="106" t="s">
        <v>641</v>
      </c>
      <c r="C58" s="106" t="s">
        <v>642</v>
      </c>
      <c r="D58" s="106" t="s">
        <v>631</v>
      </c>
      <c r="E58" s="106" t="s">
        <v>643</v>
      </c>
      <c r="F58" s="106" t="s">
        <v>644</v>
      </c>
      <c r="G58" s="106" t="s">
        <v>572</v>
      </c>
      <c r="H58" s="106">
        <v>2.0</v>
      </c>
      <c r="I58" s="106" t="s">
        <v>586</v>
      </c>
      <c r="J58" s="113">
        <v>20.0</v>
      </c>
      <c r="K58" s="113" t="s">
        <v>645</v>
      </c>
      <c r="L58" s="109" t="s">
        <v>646</v>
      </c>
      <c r="M58" s="109" t="s">
        <v>645</v>
      </c>
      <c r="N58" s="109" t="s">
        <v>645</v>
      </c>
      <c r="O58" s="115"/>
      <c r="P58" s="115"/>
      <c r="Q58" s="115"/>
    </row>
    <row r="59">
      <c r="A59" s="106" t="s">
        <v>647</v>
      </c>
      <c r="B59" s="106" t="s">
        <v>648</v>
      </c>
      <c r="C59" s="106" t="s">
        <v>649</v>
      </c>
      <c r="D59" s="106" t="s">
        <v>631</v>
      </c>
      <c r="E59" s="106" t="s">
        <v>650</v>
      </c>
      <c r="F59" s="106" t="s">
        <v>651</v>
      </c>
      <c r="G59" s="106" t="s">
        <v>572</v>
      </c>
      <c r="H59" s="106">
        <v>2.0</v>
      </c>
      <c r="I59" s="106" t="s">
        <v>586</v>
      </c>
      <c r="J59" s="113">
        <v>20.0</v>
      </c>
      <c r="K59" s="113" t="s">
        <v>652</v>
      </c>
      <c r="L59" s="109" t="s">
        <v>653</v>
      </c>
      <c r="M59" s="109" t="s">
        <v>652</v>
      </c>
      <c r="N59" s="109" t="s">
        <v>652</v>
      </c>
      <c r="O59" s="115"/>
      <c r="P59" s="115"/>
      <c r="Q59" s="115"/>
    </row>
    <row r="60">
      <c r="A60" s="5" t="s">
        <v>31</v>
      </c>
      <c r="B60" s="14" t="s">
        <v>654</v>
      </c>
      <c r="C60" s="14" t="s">
        <v>655</v>
      </c>
      <c r="D60" s="105" t="s">
        <v>656</v>
      </c>
      <c r="E60" s="14" t="s">
        <v>657</v>
      </c>
      <c r="F60" s="125" t="s">
        <v>658</v>
      </c>
      <c r="G60" s="106" t="s">
        <v>572</v>
      </c>
      <c r="H60" s="106">
        <v>1.0</v>
      </c>
      <c r="I60" s="106" t="s">
        <v>659</v>
      </c>
      <c r="J60" s="113">
        <v>20.0</v>
      </c>
      <c r="K60" s="113" t="s">
        <v>660</v>
      </c>
      <c r="L60" s="109" t="s">
        <v>661</v>
      </c>
      <c r="M60" s="109" t="s">
        <v>660</v>
      </c>
      <c r="N60" s="122" t="s">
        <v>660</v>
      </c>
      <c r="O60" s="115"/>
      <c r="P60" s="115"/>
      <c r="Q60" s="115"/>
    </row>
    <row r="61">
      <c r="A61" s="87" t="s">
        <v>177</v>
      </c>
      <c r="B61" s="106" t="s">
        <v>662</v>
      </c>
      <c r="C61" s="106" t="s">
        <v>663</v>
      </c>
      <c r="D61" s="106" t="s">
        <v>664</v>
      </c>
      <c r="E61" s="106" t="s">
        <v>665</v>
      </c>
      <c r="F61" s="108" t="s">
        <v>666</v>
      </c>
      <c r="G61" s="106" t="s">
        <v>572</v>
      </c>
      <c r="H61" s="106">
        <v>1.0</v>
      </c>
      <c r="I61" s="106" t="s">
        <v>573</v>
      </c>
      <c r="J61" s="105">
        <v>20.0</v>
      </c>
      <c r="K61" s="105" t="s">
        <v>667</v>
      </c>
      <c r="L61" s="109" t="s">
        <v>668</v>
      </c>
      <c r="M61" s="109" t="s">
        <v>667</v>
      </c>
      <c r="N61" s="109" t="s">
        <v>667</v>
      </c>
      <c r="O61" s="115"/>
      <c r="P61" s="115"/>
      <c r="Q61" s="115"/>
    </row>
    <row r="62">
      <c r="A62" s="5" t="s">
        <v>294</v>
      </c>
      <c r="B62" s="114"/>
      <c r="C62" s="106"/>
      <c r="D62" s="106"/>
      <c r="E62" s="114"/>
      <c r="F62" s="108"/>
      <c r="G62" s="106"/>
      <c r="H62" s="106"/>
      <c r="I62" s="106"/>
      <c r="J62" s="115"/>
      <c r="K62" s="115"/>
      <c r="L62" s="111"/>
      <c r="M62" s="111"/>
      <c r="N62" s="109"/>
      <c r="O62" s="115"/>
      <c r="P62" s="115"/>
      <c r="Q62" s="115"/>
    </row>
    <row r="63">
      <c r="A63" s="87" t="s">
        <v>47</v>
      </c>
      <c r="B63" s="14" t="s">
        <v>669</v>
      </c>
      <c r="C63" s="14" t="s">
        <v>670</v>
      </c>
      <c r="D63" s="106" t="s">
        <v>671</v>
      </c>
      <c r="E63" s="14" t="s">
        <v>672</v>
      </c>
      <c r="F63" s="125" t="s">
        <v>673</v>
      </c>
      <c r="G63" s="106" t="s">
        <v>572</v>
      </c>
      <c r="H63" s="106">
        <v>1.0</v>
      </c>
      <c r="I63" s="106" t="s">
        <v>659</v>
      </c>
      <c r="J63" s="113">
        <v>20.0</v>
      </c>
      <c r="K63" s="113" t="s">
        <v>674</v>
      </c>
      <c r="L63" s="109" t="s">
        <v>675</v>
      </c>
      <c r="M63" s="109" t="s">
        <v>674</v>
      </c>
      <c r="N63" s="109" t="s">
        <v>674</v>
      </c>
      <c r="O63" s="115"/>
      <c r="P63" s="115"/>
      <c r="Q63" s="115"/>
    </row>
    <row r="64">
      <c r="A64" s="106" t="s">
        <v>143</v>
      </c>
      <c r="B64" s="106" t="s">
        <v>676</v>
      </c>
      <c r="C64" s="106" t="s">
        <v>677</v>
      </c>
      <c r="D64" s="106" t="s">
        <v>678</v>
      </c>
      <c r="E64" s="106" t="s">
        <v>679</v>
      </c>
      <c r="F64" s="106" t="s">
        <v>680</v>
      </c>
      <c r="G64" s="106" t="s">
        <v>572</v>
      </c>
      <c r="H64" s="106"/>
      <c r="I64" s="106" t="s">
        <v>659</v>
      </c>
      <c r="J64" s="105">
        <v>20.0</v>
      </c>
      <c r="K64" s="105" t="s">
        <v>681</v>
      </c>
      <c r="L64" s="109" t="s">
        <v>682</v>
      </c>
      <c r="M64" s="109" t="s">
        <v>681</v>
      </c>
      <c r="N64" s="111" t="s">
        <v>681</v>
      </c>
      <c r="O64" s="115"/>
      <c r="P64" s="115"/>
      <c r="Q64" s="115"/>
    </row>
    <row r="65">
      <c r="A65" s="106" t="s">
        <v>74</v>
      </c>
      <c r="B65" s="114" t="s">
        <v>683</v>
      </c>
      <c r="C65" s="114" t="s">
        <v>684</v>
      </c>
      <c r="D65" s="106" t="s">
        <v>685</v>
      </c>
      <c r="E65" s="106" t="s">
        <v>679</v>
      </c>
      <c r="F65" s="106" t="s">
        <v>686</v>
      </c>
      <c r="G65" s="106" t="s">
        <v>572</v>
      </c>
      <c r="H65" s="115"/>
      <c r="I65" s="106" t="s">
        <v>687</v>
      </c>
      <c r="J65" s="115">
        <v>21.0</v>
      </c>
      <c r="K65" s="115" t="s">
        <v>688</v>
      </c>
      <c r="L65" s="111" t="s">
        <v>689</v>
      </c>
      <c r="M65" s="111" t="s">
        <v>688</v>
      </c>
      <c r="N65" s="111" t="s">
        <v>688</v>
      </c>
      <c r="O65" s="115"/>
      <c r="P65" s="115"/>
      <c r="Q65" s="115"/>
    </row>
    <row r="66">
      <c r="A66" s="5" t="s">
        <v>204</v>
      </c>
      <c r="B66" s="105"/>
      <c r="C66" s="105"/>
      <c r="D66" s="105"/>
      <c r="E66" s="105"/>
      <c r="F66" s="105"/>
      <c r="G66" s="106"/>
      <c r="H66" s="105"/>
      <c r="I66" s="105"/>
      <c r="J66" s="105"/>
      <c r="K66" s="105"/>
      <c r="L66" s="109"/>
      <c r="M66" s="109"/>
      <c r="N66" s="111"/>
      <c r="O66" s="115"/>
      <c r="P66" s="115"/>
      <c r="Q66" s="115"/>
    </row>
    <row r="67">
      <c r="A67" s="5" t="s">
        <v>115</v>
      </c>
      <c r="B67" s="105"/>
      <c r="C67" s="105"/>
      <c r="D67" s="105"/>
      <c r="E67" s="105"/>
      <c r="F67" s="105"/>
      <c r="G67" s="106"/>
      <c r="H67" s="105"/>
      <c r="I67" s="105"/>
      <c r="J67" s="105"/>
      <c r="K67" s="105"/>
      <c r="L67" s="109"/>
      <c r="M67" s="109"/>
      <c r="N67" s="109"/>
      <c r="O67" s="105"/>
      <c r="P67" s="105"/>
      <c r="Q67" s="105"/>
    </row>
    <row r="68">
      <c r="A68" s="87" t="s">
        <v>690</v>
      </c>
      <c r="B68" s="115"/>
      <c r="C68" s="115"/>
      <c r="D68" s="115"/>
      <c r="E68" s="115"/>
      <c r="F68" s="115"/>
      <c r="G68" s="115"/>
      <c r="H68" s="115"/>
      <c r="I68" s="115"/>
      <c r="J68" s="115"/>
      <c r="K68" s="115"/>
      <c r="L68" s="111"/>
      <c r="M68" s="111"/>
      <c r="N68" s="109"/>
      <c r="O68" s="105"/>
      <c r="P68" s="105"/>
      <c r="Q68" s="105"/>
    </row>
    <row r="69">
      <c r="A69" s="106" t="s">
        <v>105</v>
      </c>
      <c r="B69" s="105"/>
      <c r="C69" s="105"/>
      <c r="D69" s="105"/>
      <c r="E69" s="105"/>
      <c r="F69" s="105"/>
      <c r="G69" s="105"/>
      <c r="H69" s="105"/>
      <c r="I69" s="105"/>
      <c r="J69" s="105"/>
      <c r="K69" s="105"/>
      <c r="L69" s="109"/>
      <c r="M69" s="109"/>
      <c r="N69" s="109"/>
      <c r="O69" s="115"/>
      <c r="P69" s="115"/>
      <c r="Q69" s="115"/>
    </row>
    <row r="70">
      <c r="A70" s="5" t="s">
        <v>237</v>
      </c>
      <c r="B70" s="105"/>
      <c r="C70" s="106"/>
      <c r="D70" s="108"/>
      <c r="E70" s="106"/>
      <c r="F70" s="108"/>
      <c r="G70" s="108"/>
      <c r="H70" s="114"/>
      <c r="I70" s="114"/>
      <c r="J70" s="115"/>
      <c r="K70" s="115"/>
      <c r="L70" s="111"/>
      <c r="M70" s="111"/>
      <c r="N70" s="109"/>
      <c r="O70" s="115"/>
      <c r="P70" s="115"/>
      <c r="Q70" s="115"/>
    </row>
    <row r="71">
      <c r="A71" s="87" t="s">
        <v>150</v>
      </c>
      <c r="B71" s="106" t="s">
        <v>691</v>
      </c>
      <c r="C71" s="106" t="s">
        <v>692</v>
      </c>
      <c r="D71" s="105"/>
      <c r="E71" s="117" t="s">
        <v>693</v>
      </c>
      <c r="F71" s="108" t="s">
        <v>694</v>
      </c>
      <c r="G71" s="106" t="s">
        <v>695</v>
      </c>
      <c r="H71" s="106">
        <v>25.0</v>
      </c>
      <c r="I71" s="106" t="s">
        <v>696</v>
      </c>
      <c r="J71" s="105">
        <v>20.0</v>
      </c>
      <c r="K71" s="105" t="s">
        <v>697</v>
      </c>
      <c r="L71" s="109" t="s">
        <v>698</v>
      </c>
      <c r="M71" s="109" t="s">
        <v>699</v>
      </c>
      <c r="N71" s="109" t="s">
        <v>697</v>
      </c>
      <c r="O71" s="115"/>
      <c r="P71" s="115"/>
      <c r="Q71" s="115"/>
    </row>
    <row r="72">
      <c r="A72" s="5" t="s">
        <v>132</v>
      </c>
      <c r="B72" s="106" t="s">
        <v>691</v>
      </c>
      <c r="C72" s="106" t="s">
        <v>700</v>
      </c>
      <c r="D72" s="105"/>
      <c r="E72" s="117" t="s">
        <v>693</v>
      </c>
      <c r="F72" s="108" t="s">
        <v>701</v>
      </c>
      <c r="G72" s="106" t="s">
        <v>695</v>
      </c>
      <c r="H72" s="106">
        <v>35.0</v>
      </c>
      <c r="I72" s="106" t="s">
        <v>696</v>
      </c>
      <c r="J72" s="105">
        <v>20.0</v>
      </c>
      <c r="K72" s="105" t="s">
        <v>702</v>
      </c>
      <c r="L72" s="109" t="s">
        <v>703</v>
      </c>
      <c r="M72" s="109" t="s">
        <v>704</v>
      </c>
      <c r="N72" s="109" t="s">
        <v>702</v>
      </c>
      <c r="O72" s="106"/>
      <c r="P72" s="106"/>
      <c r="Q72" s="106"/>
    </row>
    <row r="73">
      <c r="A73" s="87" t="s">
        <v>124</v>
      </c>
      <c r="B73" s="106" t="s">
        <v>691</v>
      </c>
      <c r="C73" s="106" t="s">
        <v>705</v>
      </c>
      <c r="D73" s="105"/>
      <c r="E73" s="117" t="s">
        <v>693</v>
      </c>
      <c r="F73" s="108" t="s">
        <v>694</v>
      </c>
      <c r="G73" s="106" t="s">
        <v>695</v>
      </c>
      <c r="H73" s="106">
        <v>25.0</v>
      </c>
      <c r="I73" s="106" t="s">
        <v>706</v>
      </c>
      <c r="J73" s="105">
        <v>20.0</v>
      </c>
      <c r="K73" s="105" t="s">
        <v>707</v>
      </c>
      <c r="L73" s="109" t="s">
        <v>708</v>
      </c>
      <c r="M73" s="109" t="s">
        <v>709</v>
      </c>
      <c r="N73" s="109" t="s">
        <v>707</v>
      </c>
      <c r="O73" s="106"/>
      <c r="P73" s="106"/>
      <c r="Q73" s="106"/>
    </row>
    <row r="74">
      <c r="A74" s="5" t="s">
        <v>187</v>
      </c>
      <c r="B74" s="106" t="s">
        <v>691</v>
      </c>
      <c r="C74" s="106" t="s">
        <v>710</v>
      </c>
      <c r="D74" s="105"/>
      <c r="E74" s="117" t="s">
        <v>693</v>
      </c>
      <c r="F74" s="108" t="s">
        <v>701</v>
      </c>
      <c r="G74" s="106" t="s">
        <v>695</v>
      </c>
      <c r="H74" s="106">
        <v>35.0</v>
      </c>
      <c r="I74" s="106" t="s">
        <v>706</v>
      </c>
      <c r="J74" s="105">
        <v>20.0</v>
      </c>
      <c r="K74" s="105" t="s">
        <v>711</v>
      </c>
      <c r="L74" s="109" t="s">
        <v>712</v>
      </c>
      <c r="M74" s="109" t="s">
        <v>713</v>
      </c>
      <c r="N74" s="109" t="s">
        <v>711</v>
      </c>
      <c r="O74" s="106"/>
      <c r="P74" s="106"/>
      <c r="Q74" s="106"/>
    </row>
    <row r="75">
      <c r="A75" s="87" t="s">
        <v>127</v>
      </c>
      <c r="B75" s="106" t="s">
        <v>691</v>
      </c>
      <c r="C75" s="106" t="s">
        <v>714</v>
      </c>
      <c r="D75" s="105"/>
      <c r="E75" s="117" t="s">
        <v>693</v>
      </c>
      <c r="F75" s="108" t="s">
        <v>694</v>
      </c>
      <c r="G75" s="106" t="s">
        <v>695</v>
      </c>
      <c r="H75" s="106">
        <v>25.0</v>
      </c>
      <c r="I75" s="106" t="s">
        <v>715</v>
      </c>
      <c r="J75" s="105">
        <v>20.0</v>
      </c>
      <c r="K75" s="105" t="s">
        <v>716</v>
      </c>
      <c r="L75" s="109" t="s">
        <v>717</v>
      </c>
      <c r="M75" s="109" t="s">
        <v>718</v>
      </c>
      <c r="N75" s="109" t="s">
        <v>716</v>
      </c>
      <c r="O75" s="106"/>
      <c r="P75" s="110" t="s">
        <v>719</v>
      </c>
      <c r="Q75" s="106"/>
    </row>
    <row r="76">
      <c r="A76" s="5" t="s">
        <v>287</v>
      </c>
      <c r="B76" s="106" t="s">
        <v>691</v>
      </c>
      <c r="C76" s="106" t="s">
        <v>720</v>
      </c>
      <c r="D76" s="105"/>
      <c r="E76" s="117" t="s">
        <v>693</v>
      </c>
      <c r="F76" s="108" t="s">
        <v>701</v>
      </c>
      <c r="G76" s="106" t="s">
        <v>695</v>
      </c>
      <c r="H76" s="106">
        <v>35.0</v>
      </c>
      <c r="I76" s="106" t="s">
        <v>715</v>
      </c>
      <c r="J76" s="105">
        <v>20.0</v>
      </c>
      <c r="K76" s="105" t="s">
        <v>721</v>
      </c>
      <c r="L76" s="109" t="s">
        <v>722</v>
      </c>
      <c r="M76" s="109" t="s">
        <v>723</v>
      </c>
      <c r="N76" s="109" t="s">
        <v>721</v>
      </c>
      <c r="O76" s="105"/>
      <c r="P76" s="105"/>
      <c r="Q76" s="105"/>
    </row>
    <row r="77">
      <c r="A77" s="126" t="s">
        <v>392</v>
      </c>
      <c r="B77" s="115"/>
      <c r="C77" s="115"/>
      <c r="D77" s="115"/>
      <c r="E77" s="115"/>
      <c r="F77" s="115"/>
      <c r="G77" s="115"/>
      <c r="H77" s="115"/>
      <c r="I77" s="115"/>
      <c r="J77" s="115"/>
      <c r="K77" s="115"/>
      <c r="L77" s="111"/>
      <c r="M77" s="111"/>
      <c r="N77" s="111"/>
      <c r="O77" s="106"/>
      <c r="P77" s="106"/>
      <c r="Q77" s="106"/>
    </row>
    <row r="78">
      <c r="A78" s="106" t="s">
        <v>256</v>
      </c>
      <c r="B78" s="106"/>
      <c r="C78" s="106"/>
      <c r="D78" s="106"/>
      <c r="E78" s="105"/>
      <c r="F78" s="106"/>
      <c r="G78" s="106"/>
      <c r="H78" s="106"/>
      <c r="I78" s="106"/>
      <c r="J78" s="105"/>
      <c r="K78" s="105"/>
      <c r="L78" s="109"/>
      <c r="M78" s="109"/>
      <c r="N78" s="109"/>
      <c r="O78" s="113"/>
      <c r="P78" s="113"/>
      <c r="Q78" s="113"/>
    </row>
    <row r="79">
      <c r="A79" s="126" t="s">
        <v>390</v>
      </c>
      <c r="B79" s="115"/>
      <c r="C79" s="115"/>
      <c r="D79" s="115"/>
      <c r="E79" s="115"/>
      <c r="F79" s="115"/>
      <c r="G79" s="115"/>
      <c r="H79" s="115"/>
      <c r="I79" s="115"/>
      <c r="J79" s="115"/>
      <c r="K79" s="115"/>
      <c r="L79" s="111"/>
      <c r="M79" s="111"/>
      <c r="N79" s="111"/>
      <c r="O79" s="115"/>
      <c r="P79" s="115"/>
      <c r="Q79" s="115"/>
    </row>
    <row r="80">
      <c r="A80" s="87" t="s">
        <v>724</v>
      </c>
      <c r="B80" s="115"/>
      <c r="C80" s="115"/>
      <c r="D80" s="115"/>
      <c r="E80" s="115"/>
      <c r="F80" s="115"/>
      <c r="G80" s="115"/>
      <c r="H80" s="115"/>
      <c r="I80" s="115"/>
      <c r="J80" s="115"/>
      <c r="K80" s="115"/>
      <c r="L80" s="111"/>
      <c r="M80" s="111"/>
      <c r="N80" s="111"/>
      <c r="O80" s="115"/>
      <c r="P80" s="115"/>
      <c r="Q80" s="115"/>
    </row>
    <row r="81">
      <c r="A81" s="5" t="s">
        <v>725</v>
      </c>
      <c r="B81" s="105"/>
      <c r="C81" s="105"/>
      <c r="D81" s="105"/>
      <c r="E81" s="105"/>
      <c r="F81" s="105"/>
      <c r="G81" s="105"/>
      <c r="H81" s="105"/>
      <c r="I81" s="105"/>
      <c r="J81" s="105"/>
      <c r="K81" s="105"/>
      <c r="L81" s="109"/>
      <c r="M81" s="109"/>
      <c r="N81" s="111"/>
      <c r="O81" s="115"/>
      <c r="P81" s="115"/>
      <c r="Q81" s="115"/>
    </row>
    <row r="82">
      <c r="A82" s="5" t="s">
        <v>301</v>
      </c>
      <c r="B82" s="106"/>
      <c r="C82" s="106"/>
      <c r="D82" s="106"/>
      <c r="E82" s="106"/>
      <c r="F82" s="108"/>
      <c r="G82" s="106"/>
      <c r="H82" s="106"/>
      <c r="I82" s="106"/>
      <c r="J82" s="105"/>
      <c r="K82" s="105"/>
      <c r="L82" s="109"/>
      <c r="M82" s="109"/>
      <c r="N82" s="111"/>
      <c r="O82" s="115"/>
      <c r="P82" s="115"/>
      <c r="Q82" s="115"/>
    </row>
    <row r="83">
      <c r="A83" s="5" t="s">
        <v>134</v>
      </c>
      <c r="B83" s="106"/>
      <c r="C83" s="106"/>
      <c r="D83" s="106"/>
      <c r="E83" s="106"/>
      <c r="F83" s="108"/>
      <c r="G83" s="106"/>
      <c r="H83" s="106"/>
      <c r="I83" s="106"/>
      <c r="J83" s="105"/>
      <c r="K83" s="105"/>
      <c r="L83" s="109"/>
      <c r="M83" s="109"/>
      <c r="N83" s="116"/>
      <c r="O83" s="105"/>
      <c r="P83" s="105"/>
      <c r="Q83" s="105"/>
    </row>
    <row r="84">
      <c r="A84" s="106" t="s">
        <v>297</v>
      </c>
      <c r="B84" s="106"/>
      <c r="C84" s="106"/>
      <c r="D84" s="106"/>
      <c r="E84" s="106"/>
      <c r="F84" s="106"/>
      <c r="G84" s="106"/>
      <c r="H84" s="106"/>
      <c r="I84" s="105"/>
      <c r="J84" s="105"/>
      <c r="K84" s="105"/>
      <c r="L84" s="109"/>
      <c r="M84" s="109"/>
      <c r="N84" s="109"/>
      <c r="O84" s="115"/>
      <c r="P84" s="115"/>
      <c r="Q84" s="115"/>
    </row>
    <row r="85">
      <c r="A85" s="5" t="s">
        <v>55</v>
      </c>
      <c r="B85" s="115"/>
      <c r="C85" s="115"/>
      <c r="D85" s="115"/>
      <c r="E85" s="115"/>
      <c r="F85" s="115"/>
      <c r="G85" s="115"/>
      <c r="H85" s="115"/>
      <c r="I85" s="115"/>
      <c r="J85" s="115"/>
      <c r="K85" s="115"/>
      <c r="L85" s="111"/>
      <c r="M85" s="111"/>
      <c r="N85" s="109"/>
      <c r="O85" s="115"/>
      <c r="P85" s="115"/>
      <c r="Q85" s="115"/>
    </row>
    <row r="86">
      <c r="A86" s="5" t="s">
        <v>152</v>
      </c>
      <c r="B86" s="114"/>
      <c r="C86" s="114"/>
      <c r="D86" s="114"/>
      <c r="E86" s="114"/>
      <c r="F86" s="114"/>
      <c r="G86" s="114"/>
      <c r="H86" s="106"/>
      <c r="I86" s="106"/>
      <c r="J86" s="115"/>
      <c r="K86" s="115"/>
      <c r="L86" s="116"/>
      <c r="M86" s="116"/>
      <c r="N86" s="109"/>
      <c r="O86" s="106"/>
      <c r="P86" s="106"/>
      <c r="Q86" s="106"/>
    </row>
    <row r="87">
      <c r="A87" s="5" t="s">
        <v>272</v>
      </c>
      <c r="B87" s="115"/>
      <c r="C87" s="115"/>
      <c r="D87" s="115"/>
      <c r="E87" s="115"/>
      <c r="F87" s="115"/>
      <c r="G87" s="115"/>
      <c r="H87" s="115"/>
      <c r="I87" s="115"/>
      <c r="J87" s="115"/>
      <c r="K87" s="115"/>
      <c r="L87" s="111"/>
      <c r="M87" s="111"/>
      <c r="N87" s="109"/>
      <c r="O87" s="106"/>
      <c r="P87" s="106"/>
      <c r="Q87" s="106"/>
    </row>
    <row r="88">
      <c r="A88" s="11" t="s">
        <v>253</v>
      </c>
      <c r="B88" s="115"/>
      <c r="C88" s="115"/>
      <c r="D88" s="115"/>
      <c r="E88" s="115"/>
      <c r="F88" s="115"/>
      <c r="G88" s="115"/>
      <c r="H88" s="115"/>
      <c r="I88" s="115"/>
      <c r="J88" s="115"/>
      <c r="K88" s="115"/>
      <c r="L88" s="111"/>
      <c r="M88" s="111"/>
      <c r="N88" s="109"/>
      <c r="O88" s="106"/>
      <c r="P88" s="106"/>
      <c r="Q88" s="106"/>
    </row>
    <row r="89">
      <c r="A89" s="11" t="s">
        <v>274</v>
      </c>
      <c r="B89" s="115"/>
      <c r="C89" s="115"/>
      <c r="D89" s="115"/>
      <c r="E89" s="115"/>
      <c r="F89" s="115"/>
      <c r="G89" s="115"/>
      <c r="H89" s="115"/>
      <c r="I89" s="115"/>
      <c r="J89" s="115"/>
      <c r="K89" s="115"/>
      <c r="L89" s="111"/>
      <c r="M89" s="111"/>
      <c r="N89" s="109"/>
      <c r="O89" s="105"/>
      <c r="P89" s="105"/>
      <c r="Q89" s="105"/>
    </row>
    <row r="90">
      <c r="A90" s="5" t="s">
        <v>141</v>
      </c>
      <c r="B90" s="114"/>
      <c r="C90" s="114"/>
      <c r="D90" s="114"/>
      <c r="E90" s="114"/>
      <c r="F90" s="114"/>
      <c r="G90" s="114"/>
      <c r="H90" s="115"/>
      <c r="I90" s="115"/>
      <c r="J90" s="115"/>
      <c r="K90" s="115"/>
      <c r="L90" s="116"/>
      <c r="M90" s="116"/>
      <c r="N90" s="109"/>
      <c r="O90" s="105"/>
      <c r="P90" s="105"/>
      <c r="Q90" s="105"/>
    </row>
    <row r="91">
      <c r="A91" s="11" t="s">
        <v>102</v>
      </c>
      <c r="B91" s="115"/>
      <c r="C91" s="115"/>
      <c r="D91" s="115"/>
      <c r="E91" s="115"/>
      <c r="F91" s="115"/>
      <c r="G91" s="115"/>
      <c r="H91" s="115"/>
      <c r="I91" s="115"/>
      <c r="J91" s="115"/>
      <c r="K91" s="115"/>
      <c r="L91" s="111"/>
      <c r="M91" s="111"/>
      <c r="N91" s="109"/>
      <c r="O91" s="105"/>
      <c r="P91" s="105"/>
      <c r="Q91" s="105"/>
    </row>
    <row r="92">
      <c r="A92" s="87" t="s">
        <v>726</v>
      </c>
      <c r="B92" s="115"/>
      <c r="C92" s="115"/>
      <c r="D92" s="115"/>
      <c r="E92" s="115"/>
      <c r="F92" s="115"/>
      <c r="G92" s="115"/>
      <c r="H92" s="115"/>
      <c r="I92" s="115"/>
      <c r="J92" s="115"/>
      <c r="K92" s="115"/>
      <c r="L92" s="111"/>
      <c r="M92" s="111"/>
      <c r="N92" s="109"/>
      <c r="O92" s="105"/>
      <c r="P92" s="105"/>
      <c r="Q92" s="105"/>
    </row>
    <row r="93">
      <c r="A93" s="106" t="s">
        <v>727</v>
      </c>
      <c r="B93" s="106"/>
      <c r="C93" s="106"/>
      <c r="D93" s="106"/>
      <c r="E93" s="106"/>
      <c r="F93" s="106"/>
      <c r="G93" s="106"/>
      <c r="H93" s="106"/>
      <c r="I93" s="105"/>
      <c r="J93" s="105"/>
      <c r="K93" s="105"/>
      <c r="L93" s="109"/>
      <c r="M93" s="109"/>
      <c r="N93" s="109"/>
      <c r="O93" s="105"/>
      <c r="P93" s="105"/>
      <c r="Q93" s="105"/>
    </row>
    <row r="94">
      <c r="A94" s="87" t="s">
        <v>728</v>
      </c>
      <c r="B94" s="114" t="s">
        <v>729</v>
      </c>
      <c r="C94" s="114" t="s">
        <v>730</v>
      </c>
      <c r="D94" s="114" t="s">
        <v>731</v>
      </c>
      <c r="E94" s="114" t="s">
        <v>732</v>
      </c>
      <c r="F94" s="114" t="s">
        <v>733</v>
      </c>
      <c r="G94" s="106" t="s">
        <v>516</v>
      </c>
      <c r="H94" s="115"/>
      <c r="I94" s="115"/>
      <c r="J94" s="115"/>
      <c r="K94" s="115" t="s">
        <v>734</v>
      </c>
      <c r="L94" s="111" t="s">
        <v>735</v>
      </c>
      <c r="M94" s="111" t="s">
        <v>734</v>
      </c>
      <c r="N94" s="109" t="s">
        <v>734</v>
      </c>
      <c r="O94" s="105"/>
      <c r="P94" s="105"/>
      <c r="Q94" s="105"/>
    </row>
    <row r="95">
      <c r="A95" s="5" t="s">
        <v>736</v>
      </c>
      <c r="B95" s="114"/>
      <c r="C95" s="114"/>
      <c r="D95" s="114"/>
      <c r="E95" s="114"/>
      <c r="F95" s="114"/>
      <c r="G95" s="114"/>
      <c r="H95" s="106"/>
      <c r="I95" s="106"/>
      <c r="J95" s="115"/>
      <c r="K95" s="115"/>
      <c r="L95" s="116"/>
      <c r="M95" s="116"/>
      <c r="N95" s="109"/>
      <c r="O95" s="105"/>
      <c r="P95" s="105"/>
      <c r="Q95" s="105"/>
    </row>
    <row r="96">
      <c r="A96" s="5" t="s">
        <v>737</v>
      </c>
      <c r="B96" s="114"/>
      <c r="C96" s="114"/>
      <c r="D96" s="115"/>
      <c r="E96" s="115"/>
      <c r="F96" s="115"/>
      <c r="G96" s="115"/>
      <c r="H96" s="115"/>
      <c r="I96" s="115"/>
      <c r="J96" s="115"/>
      <c r="K96" s="115"/>
      <c r="L96" s="111"/>
      <c r="M96" s="111"/>
      <c r="N96" s="109"/>
      <c r="O96" s="105"/>
      <c r="P96" s="105"/>
      <c r="Q96" s="105"/>
    </row>
    <row r="97">
      <c r="A97" s="5" t="s">
        <v>738</v>
      </c>
      <c r="B97" s="114"/>
      <c r="C97" s="114"/>
      <c r="D97" s="115"/>
      <c r="E97" s="115"/>
      <c r="F97" s="115"/>
      <c r="G97" s="115"/>
      <c r="H97" s="115"/>
      <c r="I97" s="115"/>
      <c r="J97" s="115"/>
      <c r="K97" s="115"/>
      <c r="L97" s="111"/>
      <c r="M97" s="111"/>
      <c r="N97" s="109"/>
      <c r="O97" s="105"/>
      <c r="P97" s="105"/>
      <c r="Q97" s="105"/>
    </row>
    <row r="98">
      <c r="A98" s="5" t="s">
        <v>63</v>
      </c>
      <c r="B98" s="114" t="s">
        <v>739</v>
      </c>
      <c r="C98" s="114" t="s">
        <v>740</v>
      </c>
      <c r="D98" s="115"/>
      <c r="E98" s="115"/>
      <c r="F98" s="115"/>
      <c r="G98" s="115"/>
      <c r="H98" s="115"/>
      <c r="I98" s="115"/>
      <c r="J98" s="115"/>
      <c r="K98" s="115"/>
      <c r="L98" s="111"/>
      <c r="M98" s="111"/>
      <c r="N98" s="109"/>
      <c r="O98" s="105"/>
      <c r="P98" s="105"/>
      <c r="Q98" s="105"/>
    </row>
    <row r="99">
      <c r="A99" s="5" t="s">
        <v>259</v>
      </c>
      <c r="B99" s="114" t="s">
        <v>741</v>
      </c>
      <c r="C99" s="114" t="s">
        <v>742</v>
      </c>
      <c r="D99" s="114" t="s">
        <v>743</v>
      </c>
      <c r="E99" s="114" t="s">
        <v>744</v>
      </c>
      <c r="F99" s="114" t="s">
        <v>745</v>
      </c>
      <c r="G99" s="114" t="s">
        <v>746</v>
      </c>
      <c r="H99" s="106">
        <v>1.0</v>
      </c>
      <c r="I99" s="106" t="s">
        <v>747</v>
      </c>
      <c r="J99" s="115">
        <v>20.0</v>
      </c>
      <c r="K99" s="115" t="s">
        <v>748</v>
      </c>
      <c r="L99" s="116" t="s">
        <v>749</v>
      </c>
      <c r="M99" s="116" t="s">
        <v>750</v>
      </c>
      <c r="N99" s="109" t="s">
        <v>748</v>
      </c>
      <c r="O99" s="105"/>
      <c r="P99" s="105"/>
      <c r="Q99" s="105"/>
    </row>
    <row r="100">
      <c r="A100" s="5" t="s">
        <v>211</v>
      </c>
      <c r="B100" s="114"/>
      <c r="C100" s="114"/>
      <c r="D100" s="106"/>
      <c r="E100" s="106"/>
      <c r="F100" s="105"/>
      <c r="G100" s="114"/>
      <c r="H100" s="106"/>
      <c r="I100" s="106"/>
      <c r="J100" s="105"/>
      <c r="K100" s="105"/>
      <c r="L100" s="109"/>
      <c r="M100" s="109"/>
      <c r="N100" s="109"/>
      <c r="O100" s="105"/>
      <c r="P100" s="105"/>
      <c r="Q100" s="105"/>
    </row>
    <row r="101">
      <c r="A101" s="106" t="s">
        <v>261</v>
      </c>
      <c r="B101" s="114"/>
      <c r="C101" s="114"/>
      <c r="D101" s="106"/>
      <c r="E101" s="106"/>
      <c r="F101" s="105"/>
      <c r="G101" s="114"/>
      <c r="H101" s="106"/>
      <c r="I101" s="106"/>
      <c r="J101" s="105"/>
      <c r="K101" s="105"/>
      <c r="L101" s="109"/>
      <c r="M101" s="109"/>
      <c r="N101" s="109"/>
      <c r="O101" s="105"/>
      <c r="P101" s="105"/>
      <c r="Q101" s="105"/>
    </row>
    <row r="102">
      <c r="A102" s="106" t="s">
        <v>242</v>
      </c>
      <c r="B102" s="114"/>
      <c r="C102" s="114"/>
      <c r="D102" s="106"/>
      <c r="E102" s="106"/>
      <c r="F102" s="105"/>
      <c r="G102" s="114"/>
      <c r="H102" s="106"/>
      <c r="I102" s="106"/>
      <c r="J102" s="105"/>
      <c r="K102" s="105"/>
      <c r="L102" s="109"/>
      <c r="M102" s="109"/>
      <c r="N102" s="109"/>
      <c r="O102" s="105"/>
      <c r="P102" s="105"/>
      <c r="Q102" s="105"/>
    </row>
    <row r="103">
      <c r="A103" s="106" t="s">
        <v>213</v>
      </c>
      <c r="B103" s="114" t="s">
        <v>741</v>
      </c>
      <c r="C103" s="114" t="s">
        <v>751</v>
      </c>
      <c r="D103" s="106" t="s">
        <v>752</v>
      </c>
      <c r="E103" s="106" t="s">
        <v>753</v>
      </c>
      <c r="F103" s="105"/>
      <c r="G103" s="114" t="s">
        <v>746</v>
      </c>
      <c r="H103" s="106">
        <v>1.0</v>
      </c>
      <c r="I103" s="106" t="s">
        <v>747</v>
      </c>
      <c r="J103" s="105">
        <v>20.0</v>
      </c>
      <c r="K103" s="105" t="s">
        <v>754</v>
      </c>
      <c r="L103" s="109" t="s">
        <v>754</v>
      </c>
      <c r="M103" s="109" t="s">
        <v>754</v>
      </c>
      <c r="N103" s="109" t="s">
        <v>754</v>
      </c>
      <c r="O103" s="105"/>
      <c r="P103" s="105"/>
      <c r="Q103" s="105"/>
    </row>
    <row r="104">
      <c r="A104" s="106" t="s">
        <v>755</v>
      </c>
      <c r="B104" s="114" t="s">
        <v>741</v>
      </c>
      <c r="C104" s="114" t="s">
        <v>751</v>
      </c>
      <c r="D104" s="106" t="s">
        <v>752</v>
      </c>
      <c r="E104" s="106" t="s">
        <v>753</v>
      </c>
      <c r="F104" s="105"/>
      <c r="G104" s="114" t="s">
        <v>746</v>
      </c>
      <c r="H104" s="106">
        <v>1.0</v>
      </c>
      <c r="I104" s="106" t="s">
        <v>747</v>
      </c>
      <c r="J104" s="105">
        <v>20.0</v>
      </c>
      <c r="K104" s="105" t="s">
        <v>754</v>
      </c>
      <c r="L104" s="109" t="s">
        <v>754</v>
      </c>
      <c r="M104" s="109" t="s">
        <v>754</v>
      </c>
      <c r="N104" s="109" t="s">
        <v>754</v>
      </c>
      <c r="O104" s="105"/>
      <c r="P104" s="105"/>
      <c r="Q104" s="105"/>
    </row>
    <row r="105">
      <c r="A105" s="106" t="s">
        <v>756</v>
      </c>
      <c r="B105" s="114" t="s">
        <v>741</v>
      </c>
      <c r="C105" s="114" t="s">
        <v>751</v>
      </c>
      <c r="D105" s="106" t="s">
        <v>752</v>
      </c>
      <c r="E105" s="106" t="s">
        <v>753</v>
      </c>
      <c r="F105" s="105"/>
      <c r="G105" s="114" t="s">
        <v>746</v>
      </c>
      <c r="H105" s="106">
        <v>1.0</v>
      </c>
      <c r="I105" s="106" t="s">
        <v>747</v>
      </c>
      <c r="J105" s="105">
        <v>20.0</v>
      </c>
      <c r="K105" s="105" t="s">
        <v>754</v>
      </c>
      <c r="L105" s="109" t="s">
        <v>754</v>
      </c>
      <c r="M105" s="109" t="s">
        <v>754</v>
      </c>
      <c r="N105" s="109" t="s">
        <v>754</v>
      </c>
      <c r="O105" s="105"/>
      <c r="P105" s="105"/>
      <c r="Q105" s="105"/>
    </row>
    <row r="106">
      <c r="A106" s="106" t="s">
        <v>190</v>
      </c>
      <c r="B106" s="114"/>
      <c r="C106" s="114"/>
      <c r="D106" s="106"/>
      <c r="E106" s="106"/>
      <c r="F106" s="105"/>
      <c r="G106" s="114"/>
      <c r="H106" s="106"/>
      <c r="I106" s="106"/>
      <c r="J106" s="105"/>
      <c r="K106" s="105"/>
      <c r="L106" s="109"/>
      <c r="M106" s="109"/>
      <c r="N106" s="109"/>
      <c r="O106" s="105"/>
      <c r="P106" s="105"/>
      <c r="Q106" s="105"/>
    </row>
    <row r="107">
      <c r="A107" s="106" t="s">
        <v>214</v>
      </c>
      <c r="B107" s="114"/>
      <c r="C107" s="114"/>
      <c r="D107" s="106"/>
      <c r="E107" s="106"/>
      <c r="F107" s="105"/>
      <c r="G107" s="114"/>
      <c r="H107" s="106"/>
      <c r="I107" s="106"/>
      <c r="J107" s="105"/>
      <c r="K107" s="105"/>
      <c r="L107" s="109"/>
      <c r="M107" s="109"/>
      <c r="N107" s="109"/>
      <c r="O107" s="105"/>
      <c r="P107" s="105"/>
      <c r="Q107" s="105"/>
    </row>
    <row r="108">
      <c r="A108" s="87" t="s">
        <v>757</v>
      </c>
      <c r="B108" s="105" t="s">
        <v>758</v>
      </c>
      <c r="C108" s="105" t="s">
        <v>759</v>
      </c>
      <c r="D108" s="105" t="s">
        <v>760</v>
      </c>
      <c r="E108" s="105"/>
      <c r="F108" s="105" t="s">
        <v>761</v>
      </c>
      <c r="G108" s="106" t="s">
        <v>762</v>
      </c>
      <c r="H108" s="105"/>
      <c r="I108" s="105"/>
      <c r="J108" s="105"/>
      <c r="K108" s="105" t="s">
        <v>763</v>
      </c>
      <c r="L108" s="109" t="s">
        <v>763</v>
      </c>
      <c r="M108" s="109" t="s">
        <v>763</v>
      </c>
      <c r="N108" s="109" t="s">
        <v>763</v>
      </c>
      <c r="O108" s="105"/>
      <c r="P108" s="105"/>
      <c r="Q108" s="105"/>
    </row>
    <row r="109">
      <c r="A109" s="106" t="s">
        <v>234</v>
      </c>
      <c r="B109" s="106" t="s">
        <v>764</v>
      </c>
      <c r="C109" s="106" t="s">
        <v>765</v>
      </c>
      <c r="D109" s="106" t="s">
        <v>766</v>
      </c>
      <c r="E109" s="106" t="s">
        <v>767</v>
      </c>
      <c r="F109" s="106" t="s">
        <v>768</v>
      </c>
      <c r="G109" s="106" t="s">
        <v>516</v>
      </c>
      <c r="H109" s="106">
        <v>5.0</v>
      </c>
      <c r="I109" s="105"/>
      <c r="J109" s="105"/>
      <c r="K109" s="105" t="s">
        <v>769</v>
      </c>
      <c r="L109" s="109" t="s">
        <v>770</v>
      </c>
      <c r="M109" s="109" t="s">
        <v>769</v>
      </c>
      <c r="N109" s="109" t="s">
        <v>769</v>
      </c>
      <c r="O109" s="105"/>
      <c r="P109" s="105"/>
      <c r="Q109" s="105"/>
    </row>
    <row r="110">
      <c r="A110" s="106" t="s">
        <v>93</v>
      </c>
      <c r="B110" s="106"/>
      <c r="C110" s="106"/>
      <c r="D110" s="106"/>
      <c r="E110" s="106"/>
      <c r="F110" s="106"/>
      <c r="G110" s="106"/>
      <c r="H110" s="106"/>
      <c r="I110" s="105"/>
      <c r="J110" s="105"/>
      <c r="K110" s="105"/>
      <c r="L110" s="109"/>
      <c r="M110" s="109"/>
      <c r="N110" s="109"/>
      <c r="O110" s="105"/>
      <c r="P110" s="105"/>
      <c r="Q110" s="105"/>
    </row>
    <row r="111">
      <c r="A111" s="106" t="s">
        <v>96</v>
      </c>
      <c r="B111" s="106"/>
      <c r="C111" s="106"/>
      <c r="D111" s="106"/>
      <c r="E111" s="106"/>
      <c r="F111" s="106"/>
      <c r="G111" s="106"/>
      <c r="H111" s="106"/>
      <c r="I111" s="105"/>
      <c r="J111" s="105"/>
      <c r="K111" s="105"/>
      <c r="L111" s="109"/>
      <c r="M111" s="109"/>
      <c r="N111" s="109"/>
      <c r="O111" s="105"/>
      <c r="P111" s="105"/>
      <c r="Q111" s="105"/>
    </row>
    <row r="112">
      <c r="A112" s="5" t="s">
        <v>215</v>
      </c>
      <c r="B112" s="114"/>
      <c r="C112" s="114"/>
      <c r="D112" s="106"/>
      <c r="E112" s="106"/>
      <c r="F112" s="105"/>
      <c r="G112" s="114"/>
      <c r="H112" s="106"/>
      <c r="I112" s="106"/>
      <c r="J112" s="105"/>
      <c r="K112" s="105"/>
      <c r="L112" s="109"/>
      <c r="M112" s="109"/>
      <c r="N112" s="109"/>
      <c r="O112" s="105"/>
      <c r="P112" s="105"/>
      <c r="Q112" s="105"/>
    </row>
    <row r="113">
      <c r="A113" s="5" t="s">
        <v>262</v>
      </c>
      <c r="B113" s="114"/>
      <c r="C113" s="114"/>
      <c r="D113" s="106"/>
      <c r="E113" s="106"/>
      <c r="F113" s="105"/>
      <c r="G113" s="114"/>
      <c r="H113" s="106"/>
      <c r="I113" s="106"/>
      <c r="J113" s="105"/>
      <c r="K113" s="105"/>
      <c r="L113" s="109"/>
      <c r="M113" s="109"/>
      <c r="N113" s="109"/>
      <c r="O113" s="105"/>
      <c r="P113" s="105"/>
      <c r="Q113" s="105"/>
    </row>
    <row r="114">
      <c r="A114" s="106" t="s">
        <v>263</v>
      </c>
      <c r="B114" s="114"/>
      <c r="C114" s="114"/>
      <c r="D114" s="106"/>
      <c r="E114" s="106"/>
      <c r="F114" s="105"/>
      <c r="G114" s="114"/>
      <c r="H114" s="106"/>
      <c r="I114" s="106"/>
      <c r="J114" s="105"/>
      <c r="K114" s="105"/>
      <c r="L114" s="109"/>
      <c r="M114" s="109"/>
      <c r="N114" s="109"/>
      <c r="O114" s="105"/>
      <c r="P114" s="105"/>
      <c r="Q114" s="105"/>
    </row>
    <row r="115">
      <c r="A115" s="106" t="s">
        <v>216</v>
      </c>
      <c r="B115" s="114"/>
      <c r="C115" s="114"/>
      <c r="D115" s="106"/>
      <c r="E115" s="106"/>
      <c r="F115" s="105"/>
      <c r="G115" s="114"/>
      <c r="H115" s="106"/>
      <c r="I115" s="106"/>
      <c r="J115" s="105"/>
      <c r="K115" s="105"/>
      <c r="L115" s="109"/>
      <c r="M115" s="109"/>
      <c r="N115" s="109"/>
      <c r="O115" s="105"/>
      <c r="P115" s="105"/>
      <c r="Q115" s="105"/>
    </row>
    <row r="116">
      <c r="A116" s="106" t="s">
        <v>264</v>
      </c>
      <c r="B116" s="114"/>
      <c r="C116" s="114"/>
      <c r="D116" s="106"/>
      <c r="E116" s="106"/>
      <c r="F116" s="105"/>
      <c r="G116" s="114"/>
      <c r="H116" s="106"/>
      <c r="I116" s="106"/>
      <c r="J116" s="105"/>
      <c r="K116" s="105"/>
      <c r="L116" s="109"/>
      <c r="M116" s="109"/>
      <c r="N116" s="109"/>
      <c r="O116" s="105"/>
      <c r="P116" s="105"/>
      <c r="Q116" s="105"/>
    </row>
    <row r="117">
      <c r="A117" s="106" t="s">
        <v>265</v>
      </c>
      <c r="B117" s="114"/>
      <c r="C117" s="114"/>
      <c r="D117" s="106"/>
      <c r="E117" s="106"/>
      <c r="F117" s="105"/>
      <c r="G117" s="114"/>
      <c r="H117" s="106"/>
      <c r="I117" s="106"/>
      <c r="J117" s="105"/>
      <c r="K117" s="105"/>
      <c r="L117" s="109"/>
      <c r="M117" s="109"/>
      <c r="N117" s="109"/>
      <c r="O117" s="105"/>
      <c r="P117" s="105"/>
      <c r="Q117" s="105"/>
    </row>
    <row r="118">
      <c r="A118" s="106" t="s">
        <v>217</v>
      </c>
      <c r="B118" s="114"/>
      <c r="C118" s="114"/>
      <c r="D118" s="106"/>
      <c r="E118" s="106"/>
      <c r="F118" s="105"/>
      <c r="G118" s="114"/>
      <c r="H118" s="106"/>
      <c r="I118" s="106"/>
      <c r="J118" s="105"/>
      <c r="K118" s="105"/>
      <c r="L118" s="109"/>
      <c r="M118" s="109"/>
      <c r="N118" s="109"/>
      <c r="O118" s="105"/>
      <c r="P118" s="105"/>
      <c r="Q118" s="105"/>
    </row>
    <row r="119">
      <c r="A119" s="5" t="s">
        <v>771</v>
      </c>
      <c r="B119" s="105"/>
      <c r="C119" s="105"/>
      <c r="D119" s="105"/>
      <c r="E119" s="105"/>
      <c r="F119" s="105"/>
      <c r="G119" s="105"/>
      <c r="H119" s="105"/>
      <c r="I119" s="105"/>
      <c r="J119" s="105"/>
      <c r="K119" s="105"/>
      <c r="L119" s="109"/>
      <c r="M119" s="109"/>
      <c r="N119" s="109"/>
      <c r="O119" s="105"/>
      <c r="P119" s="105"/>
      <c r="Q119" s="105"/>
    </row>
    <row r="120">
      <c r="A120" s="5" t="s">
        <v>380</v>
      </c>
      <c r="B120" s="114"/>
      <c r="C120" s="114"/>
      <c r="D120" s="106"/>
      <c r="E120" s="106"/>
      <c r="F120" s="105"/>
      <c r="G120" s="114"/>
      <c r="H120" s="106"/>
      <c r="I120" s="106"/>
      <c r="J120" s="105"/>
      <c r="K120" s="105"/>
      <c r="L120" s="109"/>
      <c r="M120" s="109"/>
      <c r="N120" s="109"/>
      <c r="O120" s="105"/>
      <c r="P120" s="105"/>
      <c r="Q120" s="105"/>
    </row>
    <row r="121">
      <c r="A121" s="37" t="s">
        <v>772</v>
      </c>
      <c r="B121" s="105"/>
      <c r="C121" s="105"/>
      <c r="D121" s="105"/>
      <c r="E121" s="105"/>
      <c r="F121" s="105"/>
      <c r="G121" s="105"/>
      <c r="H121" s="105"/>
      <c r="I121" s="105"/>
      <c r="J121" s="105"/>
      <c r="K121" s="105"/>
      <c r="L121" s="109"/>
      <c r="M121" s="109"/>
      <c r="N121" s="109"/>
      <c r="O121" s="105"/>
      <c r="P121" s="105"/>
      <c r="Q121" s="105"/>
    </row>
    <row r="122">
      <c r="A122" s="5" t="s">
        <v>65</v>
      </c>
      <c r="B122" s="106" t="s">
        <v>773</v>
      </c>
      <c r="C122" s="106" t="s">
        <v>774</v>
      </c>
      <c r="D122" s="106" t="s">
        <v>775</v>
      </c>
      <c r="E122" s="106" t="s">
        <v>776</v>
      </c>
      <c r="F122" s="106" t="s">
        <v>777</v>
      </c>
      <c r="G122" s="106" t="s">
        <v>487</v>
      </c>
      <c r="H122" s="106">
        <v>2.0</v>
      </c>
      <c r="I122" s="105"/>
      <c r="J122" s="105"/>
      <c r="K122" s="105" t="s">
        <v>778</v>
      </c>
      <c r="L122" s="109" t="s">
        <v>779</v>
      </c>
      <c r="M122" s="109" t="s">
        <v>778</v>
      </c>
      <c r="N122" s="109" t="s">
        <v>778</v>
      </c>
      <c r="O122" s="105"/>
      <c r="P122" s="105"/>
      <c r="Q122" s="105"/>
    </row>
    <row r="123">
      <c r="A123" s="5" t="s">
        <v>42</v>
      </c>
      <c r="B123" s="106" t="s">
        <v>773</v>
      </c>
      <c r="C123" s="106" t="s">
        <v>780</v>
      </c>
      <c r="D123" s="106" t="s">
        <v>775</v>
      </c>
      <c r="E123" s="106" t="s">
        <v>776</v>
      </c>
      <c r="F123" s="106" t="s">
        <v>781</v>
      </c>
      <c r="G123" s="106" t="s">
        <v>487</v>
      </c>
      <c r="H123" s="106">
        <v>2.0</v>
      </c>
      <c r="I123" s="105"/>
      <c r="J123" s="105"/>
      <c r="K123" s="105" t="s">
        <v>782</v>
      </c>
      <c r="L123" s="109" t="s">
        <v>783</v>
      </c>
      <c r="M123" s="109" t="s">
        <v>782</v>
      </c>
      <c r="N123" s="109" t="s">
        <v>782</v>
      </c>
      <c r="O123" s="105"/>
      <c r="P123" s="105"/>
      <c r="Q123" s="105"/>
    </row>
    <row r="124">
      <c r="A124" s="106" t="s">
        <v>85</v>
      </c>
      <c r="B124" s="106"/>
      <c r="C124" s="106"/>
      <c r="D124" s="106"/>
      <c r="E124" s="105"/>
      <c r="F124" s="106"/>
      <c r="G124" s="106"/>
      <c r="H124" s="106"/>
      <c r="I124" s="106"/>
      <c r="J124" s="105"/>
      <c r="K124" s="105"/>
      <c r="L124" s="109"/>
      <c r="M124" s="109"/>
      <c r="N124" s="109"/>
      <c r="O124" s="105"/>
      <c r="P124" s="105"/>
      <c r="Q124" s="105"/>
    </row>
    <row r="125">
      <c r="A125" s="106" t="s">
        <v>157</v>
      </c>
      <c r="B125" s="106"/>
      <c r="C125" s="106"/>
      <c r="D125" s="106"/>
      <c r="E125" s="106"/>
      <c r="F125" s="106"/>
      <c r="G125" s="106"/>
      <c r="H125" s="106"/>
      <c r="I125" s="105"/>
      <c r="J125" s="105"/>
      <c r="K125" s="105"/>
      <c r="L125" s="109"/>
      <c r="M125" s="109"/>
      <c r="N125" s="109"/>
      <c r="O125" s="105"/>
      <c r="P125" s="105"/>
      <c r="Q125" s="105"/>
    </row>
    <row r="126">
      <c r="A126" s="5" t="s">
        <v>405</v>
      </c>
      <c r="B126" s="106"/>
      <c r="C126" s="106"/>
      <c r="D126" s="106"/>
      <c r="E126" s="106"/>
      <c r="F126" s="108"/>
      <c r="G126" s="106"/>
      <c r="H126" s="106"/>
      <c r="I126" s="106"/>
      <c r="J126" s="105"/>
      <c r="K126" s="105"/>
      <c r="L126" s="109"/>
      <c r="M126" s="109"/>
      <c r="N126" s="109"/>
      <c r="O126" s="105"/>
      <c r="P126" s="105"/>
      <c r="Q126" s="105"/>
    </row>
    <row r="127">
      <c r="A127" s="5" t="s">
        <v>404</v>
      </c>
      <c r="B127" s="106"/>
      <c r="C127" s="106"/>
      <c r="D127" s="106"/>
      <c r="E127" s="106"/>
      <c r="F127" s="108"/>
      <c r="G127" s="106"/>
      <c r="H127" s="106"/>
      <c r="I127" s="106"/>
      <c r="J127" s="105"/>
      <c r="K127" s="105"/>
      <c r="L127" s="109"/>
      <c r="M127" s="109"/>
      <c r="N127" s="109"/>
      <c r="O127" s="105"/>
      <c r="P127" s="105"/>
      <c r="Q127" s="105"/>
    </row>
    <row r="128">
      <c r="A128" s="106" t="s">
        <v>266</v>
      </c>
      <c r="B128" s="106"/>
      <c r="C128" s="106"/>
      <c r="D128" s="106"/>
      <c r="E128" s="105"/>
      <c r="F128" s="106"/>
      <c r="G128" s="106"/>
      <c r="H128" s="106"/>
      <c r="I128" s="106"/>
      <c r="J128" s="105"/>
      <c r="K128" s="105"/>
      <c r="L128" s="109"/>
      <c r="M128" s="109"/>
      <c r="N128" s="109"/>
      <c r="O128" s="105"/>
      <c r="P128" s="105"/>
      <c r="Q128" s="105"/>
    </row>
    <row r="129">
      <c r="A129" s="106" t="s">
        <v>88</v>
      </c>
      <c r="B129" s="106"/>
      <c r="C129" s="106"/>
      <c r="D129" s="106"/>
      <c r="E129" s="105"/>
      <c r="F129" s="106"/>
      <c r="G129" s="106"/>
      <c r="H129" s="106"/>
      <c r="I129" s="106"/>
      <c r="J129" s="105"/>
      <c r="K129" s="105"/>
      <c r="L129" s="109"/>
      <c r="M129" s="109"/>
      <c r="N129" s="109"/>
      <c r="O129" s="106"/>
      <c r="P129" s="106"/>
      <c r="Q129" s="106"/>
    </row>
    <row r="130">
      <c r="A130" s="106" t="s">
        <v>136</v>
      </c>
      <c r="B130" s="106"/>
      <c r="C130" s="106"/>
      <c r="D130" s="106"/>
      <c r="E130" s="106"/>
      <c r="F130" s="106"/>
      <c r="G130" s="106"/>
      <c r="H130" s="106"/>
      <c r="I130" s="105"/>
      <c r="J130" s="105"/>
      <c r="K130" s="105"/>
      <c r="L130" s="109"/>
      <c r="M130" s="109"/>
      <c r="N130" s="109"/>
      <c r="O130" s="106"/>
      <c r="P130" s="106"/>
      <c r="Q130" s="106"/>
    </row>
    <row r="131">
      <c r="A131" s="106" t="s">
        <v>159</v>
      </c>
      <c r="B131" s="106" t="s">
        <v>784</v>
      </c>
      <c r="C131" s="106" t="s">
        <v>785</v>
      </c>
      <c r="D131" s="106" t="s">
        <v>786</v>
      </c>
      <c r="E131" s="105"/>
      <c r="F131" s="106" t="s">
        <v>787</v>
      </c>
      <c r="G131" s="106" t="s">
        <v>788</v>
      </c>
      <c r="H131" s="106">
        <v>1.0</v>
      </c>
      <c r="I131" s="106" t="s">
        <v>789</v>
      </c>
      <c r="J131" s="105">
        <v>20.0</v>
      </c>
      <c r="K131" s="105" t="s">
        <v>790</v>
      </c>
      <c r="L131" s="109" t="s">
        <v>791</v>
      </c>
      <c r="M131" s="109" t="s">
        <v>790</v>
      </c>
      <c r="N131" s="109" t="s">
        <v>790</v>
      </c>
      <c r="O131" s="106"/>
      <c r="P131" s="106"/>
      <c r="Q131" s="106"/>
    </row>
    <row r="132">
      <c r="A132" s="106" t="s">
        <v>162</v>
      </c>
      <c r="B132" s="106" t="s">
        <v>784</v>
      </c>
      <c r="C132" s="106" t="s">
        <v>792</v>
      </c>
      <c r="D132" s="106" t="s">
        <v>793</v>
      </c>
      <c r="E132" s="105"/>
      <c r="F132" s="106" t="s">
        <v>794</v>
      </c>
      <c r="G132" s="106" t="s">
        <v>788</v>
      </c>
      <c r="H132" s="106">
        <v>1.0</v>
      </c>
      <c r="I132" s="106" t="s">
        <v>789</v>
      </c>
      <c r="J132" s="105">
        <v>20.0</v>
      </c>
      <c r="K132" s="105" t="s">
        <v>795</v>
      </c>
      <c r="L132" s="109" t="s">
        <v>796</v>
      </c>
      <c r="M132" s="109" t="s">
        <v>795</v>
      </c>
      <c r="N132" s="109" t="s">
        <v>795</v>
      </c>
      <c r="O132" s="106"/>
      <c r="P132" s="106"/>
      <c r="Q132" s="106"/>
    </row>
    <row r="133">
      <c r="A133" s="106" t="s">
        <v>797</v>
      </c>
      <c r="B133" s="106"/>
      <c r="C133" s="106"/>
      <c r="D133" s="106"/>
      <c r="E133" s="105"/>
      <c r="F133" s="106"/>
      <c r="G133" s="106"/>
      <c r="H133" s="106"/>
      <c r="I133" s="106"/>
      <c r="J133" s="105"/>
      <c r="K133" s="105"/>
      <c r="L133" s="109"/>
      <c r="M133" s="109"/>
      <c r="N133" s="109"/>
      <c r="O133" s="106"/>
      <c r="P133" s="106"/>
      <c r="Q133" s="106"/>
    </row>
    <row r="134">
      <c r="A134" s="106" t="s">
        <v>275</v>
      </c>
      <c r="B134" s="106"/>
      <c r="C134" s="106"/>
      <c r="D134" s="106"/>
      <c r="E134" s="105"/>
      <c r="F134" s="106"/>
      <c r="G134" s="106"/>
      <c r="H134" s="106"/>
      <c r="I134" s="106"/>
      <c r="J134" s="105"/>
      <c r="K134" s="105"/>
      <c r="L134" s="109"/>
      <c r="M134" s="109"/>
      <c r="N134" s="109"/>
      <c r="O134" s="106"/>
      <c r="P134" s="106"/>
      <c r="Q134" s="106"/>
    </row>
    <row r="135">
      <c r="A135" s="106" t="s">
        <v>278</v>
      </c>
      <c r="B135" s="106"/>
      <c r="C135" s="106"/>
      <c r="D135" s="106"/>
      <c r="E135" s="105"/>
      <c r="F135" s="106"/>
      <c r="G135" s="106"/>
      <c r="H135" s="106"/>
      <c r="I135" s="106"/>
      <c r="J135" s="105"/>
      <c r="K135" s="105"/>
      <c r="L135" s="109"/>
      <c r="M135" s="109"/>
      <c r="N135" s="109"/>
      <c r="O135" s="106"/>
      <c r="P135" s="106"/>
      <c r="Q135" s="106"/>
    </row>
    <row r="136">
      <c r="A136" s="106" t="s">
        <v>193</v>
      </c>
      <c r="B136" s="106"/>
      <c r="C136" s="106"/>
      <c r="D136" s="106"/>
      <c r="E136" s="105"/>
      <c r="F136" s="106"/>
      <c r="G136" s="106"/>
      <c r="H136" s="106"/>
      <c r="I136" s="106"/>
      <c r="J136" s="105"/>
      <c r="K136" s="105"/>
      <c r="L136" s="109"/>
      <c r="M136" s="109"/>
      <c r="N136" s="109"/>
      <c r="O136" s="106"/>
      <c r="P136" s="106"/>
      <c r="Q136" s="106"/>
    </row>
    <row r="137">
      <c r="A137" s="106" t="s">
        <v>196</v>
      </c>
      <c r="B137" s="106" t="s">
        <v>784</v>
      </c>
      <c r="C137" s="106" t="s">
        <v>798</v>
      </c>
      <c r="D137" s="106" t="s">
        <v>793</v>
      </c>
      <c r="E137" s="105"/>
      <c r="F137" s="106" t="s">
        <v>799</v>
      </c>
      <c r="G137" s="106" t="s">
        <v>788</v>
      </c>
      <c r="H137" s="106">
        <v>1.0</v>
      </c>
      <c r="I137" s="106" t="s">
        <v>789</v>
      </c>
      <c r="J137" s="105">
        <v>20.0</v>
      </c>
      <c r="K137" s="105" t="s">
        <v>800</v>
      </c>
      <c r="L137" s="109" t="s">
        <v>801</v>
      </c>
      <c r="M137" s="109" t="s">
        <v>800</v>
      </c>
      <c r="N137" s="109" t="s">
        <v>800</v>
      </c>
      <c r="O137" s="106"/>
      <c r="P137" s="106"/>
      <c r="Q137" s="106"/>
    </row>
    <row r="138">
      <c r="A138" s="106" t="s">
        <v>163</v>
      </c>
      <c r="B138" s="106"/>
      <c r="C138" s="106"/>
      <c r="D138" s="106"/>
      <c r="E138" s="105"/>
      <c r="F138" s="106"/>
      <c r="G138" s="106"/>
      <c r="H138" s="106"/>
      <c r="I138" s="106"/>
      <c r="J138" s="105"/>
      <c r="K138" s="105"/>
      <c r="L138" s="109"/>
      <c r="M138" s="109"/>
      <c r="N138" s="109"/>
      <c r="O138" s="106"/>
      <c r="P138" s="120"/>
      <c r="Q138" s="106"/>
    </row>
    <row r="139">
      <c r="A139" s="106" t="s">
        <v>279</v>
      </c>
      <c r="B139" s="106" t="s">
        <v>784</v>
      </c>
      <c r="C139" s="106" t="s">
        <v>802</v>
      </c>
      <c r="D139" s="106" t="s">
        <v>793</v>
      </c>
      <c r="E139" s="105"/>
      <c r="F139" s="106" t="s">
        <v>803</v>
      </c>
      <c r="G139" s="106" t="s">
        <v>788</v>
      </c>
      <c r="H139" s="106">
        <v>1.0</v>
      </c>
      <c r="I139" s="106" t="s">
        <v>789</v>
      </c>
      <c r="J139" s="105">
        <v>20.0</v>
      </c>
      <c r="K139" s="105" t="s">
        <v>804</v>
      </c>
      <c r="L139" s="109" t="s">
        <v>805</v>
      </c>
      <c r="M139" s="109" t="s">
        <v>804</v>
      </c>
      <c r="N139" s="109" t="s">
        <v>804</v>
      </c>
      <c r="O139" s="106"/>
      <c r="P139" s="120"/>
      <c r="Q139" s="106"/>
    </row>
    <row r="140">
      <c r="A140" s="106" t="s">
        <v>280</v>
      </c>
      <c r="B140" s="106"/>
      <c r="C140" s="106"/>
      <c r="D140" s="106"/>
      <c r="E140" s="105"/>
      <c r="F140" s="106"/>
      <c r="G140" s="106"/>
      <c r="H140" s="106"/>
      <c r="I140" s="106"/>
      <c r="J140" s="105"/>
      <c r="K140" s="105"/>
      <c r="L140" s="109"/>
      <c r="M140" s="109"/>
      <c r="N140" s="109"/>
      <c r="O140" s="106"/>
      <c r="P140" s="120"/>
      <c r="Q140" s="106"/>
    </row>
    <row r="141">
      <c r="A141" s="5" t="s">
        <v>128</v>
      </c>
      <c r="B141" s="114"/>
      <c r="C141" s="114"/>
      <c r="D141" s="115"/>
      <c r="E141" s="115"/>
      <c r="F141" s="115"/>
      <c r="G141" s="115"/>
      <c r="H141" s="115"/>
      <c r="I141" s="115"/>
      <c r="J141" s="115"/>
      <c r="K141" s="115"/>
      <c r="L141" s="111"/>
      <c r="M141" s="111"/>
      <c r="N141" s="109"/>
      <c r="O141" s="106"/>
      <c r="P141" s="120"/>
      <c r="Q141" s="106"/>
    </row>
    <row r="142">
      <c r="A142" s="5" t="s">
        <v>806</v>
      </c>
      <c r="B142" s="114"/>
      <c r="C142" s="114"/>
      <c r="D142" s="115"/>
      <c r="E142" s="115"/>
      <c r="F142" s="115"/>
      <c r="G142" s="115"/>
      <c r="H142" s="115"/>
      <c r="I142" s="115"/>
      <c r="J142" s="115"/>
      <c r="K142" s="115"/>
      <c r="L142" s="111"/>
      <c r="M142" s="111"/>
      <c r="N142" s="109"/>
      <c r="O142" s="106"/>
      <c r="P142" s="120"/>
      <c r="Q142" s="106"/>
    </row>
    <row r="143">
      <c r="A143" s="106" t="s">
        <v>197</v>
      </c>
      <c r="B143" s="106" t="s">
        <v>784</v>
      </c>
      <c r="C143" s="106" t="s">
        <v>807</v>
      </c>
      <c r="D143" s="106" t="s">
        <v>808</v>
      </c>
      <c r="E143" s="105"/>
      <c r="F143" s="106" t="s">
        <v>809</v>
      </c>
      <c r="G143" s="106" t="s">
        <v>788</v>
      </c>
      <c r="H143" s="106">
        <v>1.0</v>
      </c>
      <c r="I143" s="106" t="s">
        <v>789</v>
      </c>
      <c r="J143" s="105">
        <v>20.0</v>
      </c>
      <c r="K143" s="105" t="s">
        <v>810</v>
      </c>
      <c r="L143" s="109" t="s">
        <v>811</v>
      </c>
      <c r="M143" s="109" t="s">
        <v>810</v>
      </c>
      <c r="N143" s="109" t="s">
        <v>810</v>
      </c>
      <c r="O143" s="106"/>
      <c r="P143" s="120"/>
      <c r="Q143" s="106"/>
    </row>
    <row r="144">
      <c r="A144" s="5" t="s">
        <v>131</v>
      </c>
      <c r="B144" s="114"/>
      <c r="C144" s="114"/>
      <c r="D144" s="115"/>
      <c r="E144" s="115"/>
      <c r="F144" s="115"/>
      <c r="G144" s="115"/>
      <c r="H144" s="115"/>
      <c r="I144" s="115"/>
      <c r="J144" s="115"/>
      <c r="K144" s="115"/>
      <c r="L144" s="111"/>
      <c r="M144" s="111"/>
      <c r="N144" s="109"/>
      <c r="O144" s="110" t="s">
        <v>812</v>
      </c>
      <c r="P144" s="120" t="s">
        <v>813</v>
      </c>
      <c r="Q144" s="110" t="s">
        <v>814</v>
      </c>
    </row>
    <row r="145">
      <c r="A145" s="106" t="s">
        <v>198</v>
      </c>
      <c r="B145" s="106"/>
      <c r="C145" s="106"/>
      <c r="D145" s="106"/>
      <c r="E145" s="106"/>
      <c r="F145" s="106"/>
      <c r="G145" s="106"/>
      <c r="H145" s="106"/>
      <c r="I145" s="106"/>
      <c r="J145" s="105"/>
      <c r="K145" s="105"/>
      <c r="L145" s="109"/>
      <c r="M145" s="109"/>
      <c r="N145" s="109"/>
      <c r="O145" s="106"/>
      <c r="P145" s="106"/>
      <c r="Q145" s="106"/>
    </row>
    <row r="146">
      <c r="A146" s="106" t="s">
        <v>164</v>
      </c>
      <c r="B146" s="106" t="s">
        <v>784</v>
      </c>
      <c r="C146" s="106" t="s">
        <v>815</v>
      </c>
      <c r="D146" s="106" t="s">
        <v>793</v>
      </c>
      <c r="E146" s="105"/>
      <c r="F146" s="106" t="s">
        <v>816</v>
      </c>
      <c r="G146" s="106" t="s">
        <v>788</v>
      </c>
      <c r="H146" s="106">
        <v>1.0</v>
      </c>
      <c r="I146" s="106" t="s">
        <v>789</v>
      </c>
      <c r="J146" s="105">
        <v>20.0</v>
      </c>
      <c r="K146" s="105" t="s">
        <v>817</v>
      </c>
      <c r="L146" s="109" t="s">
        <v>818</v>
      </c>
      <c r="M146" s="109" t="s">
        <v>817</v>
      </c>
      <c r="N146" s="109" t="s">
        <v>817</v>
      </c>
      <c r="O146" s="106"/>
      <c r="P146" s="106"/>
      <c r="Q146" s="106"/>
    </row>
    <row r="147">
      <c r="A147" s="106" t="s">
        <v>281</v>
      </c>
      <c r="B147" s="106" t="s">
        <v>784</v>
      </c>
      <c r="C147" s="106" t="s">
        <v>819</v>
      </c>
      <c r="D147" s="106" t="s">
        <v>808</v>
      </c>
      <c r="E147" s="106"/>
      <c r="F147" s="106" t="s">
        <v>820</v>
      </c>
      <c r="G147" s="106" t="s">
        <v>788</v>
      </c>
      <c r="H147" s="106">
        <v>1.0</v>
      </c>
      <c r="I147" s="106" t="s">
        <v>789</v>
      </c>
      <c r="J147" s="105">
        <v>20.0</v>
      </c>
      <c r="K147" s="105" t="s">
        <v>821</v>
      </c>
      <c r="L147" s="109" t="s">
        <v>822</v>
      </c>
      <c r="M147" s="109" t="s">
        <v>821</v>
      </c>
      <c r="N147" s="109" t="s">
        <v>821</v>
      </c>
      <c r="O147" s="106"/>
      <c r="P147" s="106"/>
      <c r="Q147" s="106"/>
    </row>
    <row r="148">
      <c r="A148" s="106" t="s">
        <v>199</v>
      </c>
      <c r="B148" s="106"/>
      <c r="C148" s="106"/>
      <c r="D148" s="106"/>
      <c r="E148" s="105"/>
      <c r="F148" s="106"/>
      <c r="G148" s="106"/>
      <c r="H148" s="106"/>
      <c r="I148" s="106"/>
      <c r="J148" s="105"/>
      <c r="K148" s="105"/>
      <c r="L148" s="109"/>
      <c r="M148" s="109"/>
      <c r="N148" s="109"/>
      <c r="O148" s="106"/>
      <c r="P148" s="106"/>
      <c r="Q148" s="106"/>
    </row>
    <row r="149">
      <c r="A149" s="106" t="s">
        <v>168</v>
      </c>
      <c r="B149" s="106"/>
      <c r="C149" s="106"/>
      <c r="D149" s="106"/>
      <c r="E149" s="105"/>
      <c r="F149" s="106"/>
      <c r="G149" s="106"/>
      <c r="H149" s="106"/>
      <c r="I149" s="106"/>
      <c r="J149" s="105"/>
      <c r="K149" s="105"/>
      <c r="L149" s="109"/>
      <c r="M149" s="109"/>
      <c r="N149" s="109"/>
      <c r="O149" s="106"/>
      <c r="P149" s="106"/>
      <c r="Q149" s="106"/>
    </row>
    <row r="150">
      <c r="A150" s="106" t="s">
        <v>823</v>
      </c>
      <c r="B150" s="106"/>
      <c r="C150" s="106"/>
      <c r="D150" s="106"/>
      <c r="E150" s="105"/>
      <c r="F150" s="106"/>
      <c r="G150" s="106"/>
      <c r="H150" s="106"/>
      <c r="I150" s="106"/>
      <c r="J150" s="105"/>
      <c r="K150" s="105"/>
      <c r="L150" s="109"/>
      <c r="M150" s="109"/>
      <c r="N150" s="109"/>
      <c r="O150" s="106"/>
      <c r="P150" s="106"/>
      <c r="Q150" s="106"/>
    </row>
    <row r="151">
      <c r="A151" s="106" t="s">
        <v>61</v>
      </c>
      <c r="B151" s="106" t="s">
        <v>784</v>
      </c>
      <c r="C151" s="106" t="s">
        <v>824</v>
      </c>
      <c r="D151" s="106" t="s">
        <v>808</v>
      </c>
      <c r="E151" s="105"/>
      <c r="F151" s="106" t="s">
        <v>825</v>
      </c>
      <c r="G151" s="106" t="s">
        <v>788</v>
      </c>
      <c r="H151" s="106">
        <v>1.0</v>
      </c>
      <c r="I151" s="106" t="s">
        <v>789</v>
      </c>
      <c r="J151" s="105">
        <v>20.0</v>
      </c>
      <c r="K151" s="105" t="s">
        <v>826</v>
      </c>
      <c r="L151" s="109" t="s">
        <v>827</v>
      </c>
      <c r="M151" s="109" t="s">
        <v>826</v>
      </c>
      <c r="N151" s="109" t="s">
        <v>826</v>
      </c>
      <c r="O151" s="106"/>
      <c r="P151" s="106"/>
      <c r="Q151" s="106"/>
    </row>
    <row r="152">
      <c r="A152" s="106" t="s">
        <v>200</v>
      </c>
      <c r="B152" s="106"/>
      <c r="C152" s="106"/>
      <c r="D152" s="106"/>
      <c r="E152" s="105"/>
      <c r="F152" s="106"/>
      <c r="G152" s="106"/>
      <c r="H152" s="106"/>
      <c r="I152" s="106"/>
      <c r="J152" s="105"/>
      <c r="K152" s="105"/>
      <c r="L152" s="109"/>
      <c r="M152" s="109"/>
      <c r="N152" s="109"/>
      <c r="O152" s="106"/>
      <c r="P152" s="106"/>
      <c r="Q152" s="106"/>
    </row>
    <row r="153">
      <c r="A153" s="106" t="s">
        <v>165</v>
      </c>
      <c r="B153" s="106"/>
      <c r="C153" s="106"/>
      <c r="D153" s="106"/>
      <c r="E153" s="105"/>
      <c r="F153" s="106"/>
      <c r="G153" s="106"/>
      <c r="H153" s="106"/>
      <c r="I153" s="106"/>
      <c r="J153" s="105"/>
      <c r="K153" s="105"/>
      <c r="L153" s="109"/>
      <c r="M153" s="109"/>
      <c r="N153" s="109"/>
      <c r="O153" s="106"/>
      <c r="P153" s="106"/>
      <c r="Q153" s="106"/>
    </row>
    <row r="154">
      <c r="A154" s="106" t="s">
        <v>283</v>
      </c>
      <c r="B154" s="106" t="s">
        <v>784</v>
      </c>
      <c r="C154" s="106" t="s">
        <v>828</v>
      </c>
      <c r="D154" s="106" t="s">
        <v>808</v>
      </c>
      <c r="E154" s="105"/>
      <c r="F154" s="106" t="s">
        <v>829</v>
      </c>
      <c r="G154" s="106" t="s">
        <v>788</v>
      </c>
      <c r="H154" s="106">
        <v>1.0</v>
      </c>
      <c r="I154" s="106" t="s">
        <v>789</v>
      </c>
      <c r="J154" s="105">
        <v>20.0</v>
      </c>
      <c r="K154" s="105" t="s">
        <v>830</v>
      </c>
      <c r="L154" s="109" t="s">
        <v>831</v>
      </c>
      <c r="M154" s="109" t="s">
        <v>830</v>
      </c>
      <c r="N154" s="109" t="s">
        <v>830</v>
      </c>
      <c r="O154" s="106"/>
      <c r="P154" s="106"/>
      <c r="Q154" s="106"/>
    </row>
    <row r="155">
      <c r="A155" s="5" t="s">
        <v>832</v>
      </c>
      <c r="B155" s="114"/>
      <c r="C155" s="114"/>
      <c r="D155" s="115"/>
      <c r="E155" s="115"/>
      <c r="F155" s="115"/>
      <c r="G155" s="115"/>
      <c r="H155" s="115"/>
      <c r="I155" s="115"/>
      <c r="J155" s="115"/>
      <c r="K155" s="115"/>
      <c r="L155" s="111"/>
      <c r="M155" s="111"/>
      <c r="N155" s="109"/>
      <c r="O155" s="106"/>
      <c r="P155" s="106"/>
      <c r="Q155" s="106"/>
    </row>
    <row r="156">
      <c r="A156" s="106" t="s">
        <v>36</v>
      </c>
      <c r="B156" s="106" t="s">
        <v>784</v>
      </c>
      <c r="C156" s="106" t="s">
        <v>833</v>
      </c>
      <c r="D156" s="106" t="s">
        <v>808</v>
      </c>
      <c r="E156" s="105"/>
      <c r="F156" s="106" t="s">
        <v>834</v>
      </c>
      <c r="G156" s="106" t="s">
        <v>788</v>
      </c>
      <c r="H156" s="106">
        <v>1.0</v>
      </c>
      <c r="I156" s="106" t="s">
        <v>789</v>
      </c>
      <c r="J156" s="105">
        <v>20.0</v>
      </c>
      <c r="K156" s="105" t="s">
        <v>835</v>
      </c>
      <c r="L156" s="109" t="s">
        <v>836</v>
      </c>
      <c r="M156" s="109" t="s">
        <v>835</v>
      </c>
      <c r="N156" s="109" t="s">
        <v>835</v>
      </c>
      <c r="O156" s="106"/>
      <c r="P156" s="106"/>
      <c r="Q156" s="106"/>
    </row>
    <row r="157">
      <c r="A157" s="106" t="s">
        <v>284</v>
      </c>
      <c r="B157" s="106"/>
      <c r="C157" s="106"/>
      <c r="D157" s="106"/>
      <c r="E157" s="105"/>
      <c r="F157" s="106"/>
      <c r="G157" s="106"/>
      <c r="H157" s="106"/>
      <c r="I157" s="106"/>
      <c r="J157" s="105"/>
      <c r="K157" s="105"/>
      <c r="L157" s="109"/>
      <c r="M157" s="109"/>
      <c r="N157" s="109"/>
      <c r="O157" s="106"/>
      <c r="P157" s="106"/>
      <c r="Q157" s="106"/>
    </row>
    <row r="158">
      <c r="A158" s="106" t="s">
        <v>71</v>
      </c>
      <c r="B158" s="106"/>
      <c r="C158" s="106"/>
      <c r="D158" s="106"/>
      <c r="E158" s="105"/>
      <c r="F158" s="106"/>
      <c r="G158" s="106"/>
      <c r="H158" s="106"/>
      <c r="I158" s="106"/>
      <c r="J158" s="105"/>
      <c r="K158" s="105"/>
      <c r="L158" s="109"/>
      <c r="M158" s="109"/>
      <c r="N158" s="109"/>
      <c r="O158" s="106"/>
      <c r="P158" s="106"/>
      <c r="Q158" s="106"/>
    </row>
    <row r="159">
      <c r="A159" s="106" t="s">
        <v>166</v>
      </c>
      <c r="B159" s="106" t="s">
        <v>784</v>
      </c>
      <c r="C159" s="106" t="s">
        <v>837</v>
      </c>
      <c r="D159" s="106" t="s">
        <v>793</v>
      </c>
      <c r="E159" s="105"/>
      <c r="F159" s="106" t="s">
        <v>838</v>
      </c>
      <c r="G159" s="106" t="s">
        <v>788</v>
      </c>
      <c r="H159" s="106">
        <v>1.0</v>
      </c>
      <c r="I159" s="106" t="s">
        <v>789</v>
      </c>
      <c r="J159" s="105">
        <v>20.0</v>
      </c>
      <c r="K159" s="105" t="s">
        <v>839</v>
      </c>
      <c r="L159" s="109" t="s">
        <v>840</v>
      </c>
      <c r="M159" s="109" t="s">
        <v>839</v>
      </c>
      <c r="N159" s="109" t="s">
        <v>839</v>
      </c>
      <c r="O159" s="106"/>
      <c r="P159" s="106"/>
      <c r="Q159" s="106"/>
    </row>
    <row r="160">
      <c r="A160" s="106" t="s">
        <v>40</v>
      </c>
      <c r="B160" s="106" t="s">
        <v>784</v>
      </c>
      <c r="C160" s="106" t="s">
        <v>841</v>
      </c>
      <c r="D160" s="106" t="s">
        <v>793</v>
      </c>
      <c r="E160" s="105"/>
      <c r="F160" s="106" t="s">
        <v>842</v>
      </c>
      <c r="G160" s="106" t="s">
        <v>788</v>
      </c>
      <c r="H160" s="106">
        <v>1.0</v>
      </c>
      <c r="I160" s="106" t="s">
        <v>789</v>
      </c>
      <c r="J160" s="105">
        <v>20.0</v>
      </c>
      <c r="K160" s="105" t="s">
        <v>843</v>
      </c>
      <c r="L160" s="109" t="s">
        <v>844</v>
      </c>
      <c r="M160" s="109" t="s">
        <v>843</v>
      </c>
      <c r="N160" s="111" t="s">
        <v>843</v>
      </c>
      <c r="O160" s="106"/>
      <c r="P160" s="106"/>
      <c r="Q160" s="106"/>
    </row>
    <row r="161">
      <c r="A161" s="106" t="s">
        <v>167</v>
      </c>
      <c r="B161" s="106" t="s">
        <v>784</v>
      </c>
      <c r="C161" s="106" t="s">
        <v>845</v>
      </c>
      <c r="D161" s="106" t="s">
        <v>793</v>
      </c>
      <c r="E161" s="105"/>
      <c r="F161" s="106" t="s">
        <v>846</v>
      </c>
      <c r="G161" s="106" t="s">
        <v>788</v>
      </c>
      <c r="H161" s="106">
        <v>1.0</v>
      </c>
      <c r="I161" s="106" t="s">
        <v>789</v>
      </c>
      <c r="J161" s="105">
        <v>20.0</v>
      </c>
      <c r="K161" s="105" t="s">
        <v>847</v>
      </c>
      <c r="L161" s="109" t="s">
        <v>848</v>
      </c>
      <c r="M161" s="109" t="s">
        <v>847</v>
      </c>
      <c r="N161" s="111" t="s">
        <v>847</v>
      </c>
      <c r="O161" s="106"/>
      <c r="P161" s="106"/>
      <c r="Q161" s="106"/>
    </row>
    <row r="162">
      <c r="A162" s="106" t="s">
        <v>285</v>
      </c>
      <c r="B162" s="106" t="s">
        <v>784</v>
      </c>
      <c r="C162" s="106" t="s">
        <v>849</v>
      </c>
      <c r="D162" s="106" t="s">
        <v>808</v>
      </c>
      <c r="E162" s="105"/>
      <c r="F162" s="106" t="s">
        <v>850</v>
      </c>
      <c r="G162" s="106" t="s">
        <v>788</v>
      </c>
      <c r="H162" s="106">
        <v>1.0</v>
      </c>
      <c r="I162" s="106" t="s">
        <v>789</v>
      </c>
      <c r="J162" s="105">
        <v>20.0</v>
      </c>
      <c r="K162" s="105" t="s">
        <v>851</v>
      </c>
      <c r="L162" s="109" t="s">
        <v>852</v>
      </c>
      <c r="M162" s="109" t="s">
        <v>851</v>
      </c>
      <c r="N162" s="111" t="s">
        <v>851</v>
      </c>
      <c r="O162" s="106"/>
      <c r="P162" s="106"/>
      <c r="Q162" s="106"/>
    </row>
    <row r="163">
      <c r="A163" s="106" t="s">
        <v>286</v>
      </c>
      <c r="B163" s="106"/>
      <c r="C163" s="106"/>
      <c r="D163" s="106"/>
      <c r="E163" s="105"/>
      <c r="F163" s="106"/>
      <c r="G163" s="106"/>
      <c r="H163" s="106"/>
      <c r="I163" s="106"/>
      <c r="J163" s="105"/>
      <c r="K163" s="105"/>
      <c r="L163" s="109"/>
      <c r="M163" s="109"/>
      <c r="N163" s="111"/>
      <c r="O163" s="106"/>
      <c r="P163" s="106"/>
      <c r="Q163" s="106"/>
    </row>
    <row r="164">
      <c r="A164" s="106" t="s">
        <v>110</v>
      </c>
      <c r="B164" s="106"/>
      <c r="C164" s="106"/>
      <c r="D164" s="106"/>
      <c r="E164" s="105"/>
      <c r="F164" s="106"/>
      <c r="G164" s="106"/>
      <c r="H164" s="106"/>
      <c r="I164" s="106"/>
      <c r="J164" s="105"/>
      <c r="K164" s="105"/>
      <c r="L164" s="109"/>
      <c r="M164" s="109"/>
      <c r="N164" s="111"/>
      <c r="O164" s="106"/>
      <c r="P164" s="106"/>
      <c r="Q164" s="106"/>
    </row>
    <row r="165">
      <c r="A165" s="5" t="s">
        <v>99</v>
      </c>
      <c r="B165" s="114" t="s">
        <v>853</v>
      </c>
      <c r="C165" s="114" t="s">
        <v>854</v>
      </c>
      <c r="D165" s="115"/>
      <c r="E165" s="115"/>
      <c r="F165" s="115"/>
      <c r="G165" s="115"/>
      <c r="H165" s="115"/>
      <c r="I165" s="115"/>
      <c r="J165" s="115"/>
      <c r="K165" s="115"/>
      <c r="L165" s="111"/>
      <c r="M165" s="111"/>
      <c r="N165" s="111"/>
      <c r="O165" s="115"/>
      <c r="P165" s="115"/>
      <c r="Q165" s="115"/>
    </row>
    <row r="166">
      <c r="A166" s="5" t="s">
        <v>154</v>
      </c>
      <c r="B166" s="114" t="s">
        <v>853</v>
      </c>
      <c r="C166" s="114" t="s">
        <v>855</v>
      </c>
      <c r="D166" s="115"/>
      <c r="E166" s="115"/>
      <c r="F166" s="115"/>
      <c r="G166" s="115"/>
      <c r="H166" s="115"/>
      <c r="I166" s="115"/>
      <c r="J166" s="115"/>
      <c r="K166" s="115"/>
      <c r="L166" s="111"/>
      <c r="M166" s="111"/>
      <c r="N166" s="111"/>
      <c r="O166" s="115"/>
      <c r="P166" s="115"/>
      <c r="Q166" s="115"/>
    </row>
    <row r="167">
      <c r="A167" s="87" t="s">
        <v>856</v>
      </c>
      <c r="B167" s="115"/>
      <c r="C167" s="115"/>
      <c r="D167" s="115"/>
      <c r="E167" s="115"/>
      <c r="F167" s="115"/>
      <c r="G167" s="115"/>
      <c r="H167" s="115"/>
      <c r="I167" s="115"/>
      <c r="J167" s="115"/>
      <c r="K167" s="115"/>
      <c r="L167" s="111"/>
      <c r="M167" s="111"/>
      <c r="N167" s="111"/>
      <c r="O167" s="115"/>
      <c r="P167" s="115"/>
      <c r="Q167" s="115"/>
    </row>
    <row r="168">
      <c r="A168" s="87" t="s">
        <v>857</v>
      </c>
      <c r="B168" s="115"/>
      <c r="C168" s="115"/>
      <c r="D168" s="115"/>
      <c r="E168" s="115"/>
      <c r="F168" s="115"/>
      <c r="G168" s="115"/>
      <c r="H168" s="115"/>
      <c r="I168" s="115"/>
      <c r="J168" s="115"/>
      <c r="K168" s="115"/>
      <c r="L168" s="111"/>
      <c r="M168" s="111"/>
      <c r="N168" s="111"/>
      <c r="O168" s="115"/>
      <c r="P168" s="115"/>
      <c r="Q168" s="115"/>
    </row>
    <row r="169">
      <c r="A169" s="87" t="s">
        <v>858</v>
      </c>
      <c r="B169" s="115"/>
      <c r="C169" s="115"/>
      <c r="D169" s="115"/>
      <c r="E169" s="115"/>
      <c r="F169" s="115"/>
      <c r="G169" s="115"/>
      <c r="H169" s="115"/>
      <c r="I169" s="115"/>
      <c r="J169" s="115"/>
      <c r="K169" s="115"/>
      <c r="L169" s="111"/>
      <c r="M169" s="111"/>
      <c r="N169" s="111"/>
      <c r="O169" s="115"/>
      <c r="P169" s="115"/>
      <c r="Q169" s="115"/>
    </row>
    <row r="170">
      <c r="A170" s="87" t="s">
        <v>859</v>
      </c>
      <c r="B170" s="115"/>
      <c r="C170" s="115"/>
      <c r="D170" s="115"/>
      <c r="E170" s="115"/>
      <c r="F170" s="115"/>
      <c r="G170" s="115"/>
      <c r="H170" s="115"/>
      <c r="I170" s="115"/>
      <c r="J170" s="115"/>
      <c r="K170" s="115"/>
      <c r="L170" s="111"/>
      <c r="M170" s="111"/>
      <c r="N170" s="111"/>
      <c r="O170" s="115"/>
      <c r="P170" s="115"/>
      <c r="Q170" s="115"/>
    </row>
    <row r="171">
      <c r="A171" s="87" t="s">
        <v>860</v>
      </c>
      <c r="B171" s="115"/>
      <c r="C171" s="115"/>
      <c r="D171" s="115"/>
      <c r="E171" s="115"/>
      <c r="F171" s="115"/>
      <c r="G171" s="115"/>
      <c r="H171" s="115"/>
      <c r="I171" s="115"/>
      <c r="J171" s="115"/>
      <c r="K171" s="115"/>
      <c r="L171" s="111"/>
      <c r="M171" s="111"/>
      <c r="N171" s="111"/>
      <c r="O171" s="115"/>
      <c r="P171" s="115"/>
      <c r="Q171" s="115"/>
    </row>
    <row r="172">
      <c r="A172" s="87" t="s">
        <v>861</v>
      </c>
      <c r="B172" s="115"/>
      <c r="C172" s="115"/>
      <c r="D172" s="115"/>
      <c r="E172" s="115"/>
      <c r="F172" s="115"/>
      <c r="G172" s="115"/>
      <c r="H172" s="115"/>
      <c r="I172" s="115"/>
      <c r="J172" s="115"/>
      <c r="K172" s="115"/>
      <c r="L172" s="111"/>
      <c r="M172" s="111"/>
      <c r="N172" s="111"/>
      <c r="O172" s="115"/>
      <c r="P172" s="115"/>
      <c r="Q172" s="115"/>
    </row>
    <row r="173">
      <c r="A173" s="87" t="s">
        <v>862</v>
      </c>
      <c r="B173" s="115"/>
      <c r="C173" s="115"/>
      <c r="D173" s="115"/>
      <c r="E173" s="115"/>
      <c r="F173" s="115"/>
      <c r="G173" s="115"/>
      <c r="H173" s="115"/>
      <c r="I173" s="115"/>
      <c r="J173" s="115"/>
      <c r="K173" s="115"/>
      <c r="L173" s="111"/>
      <c r="M173" s="111"/>
      <c r="N173" s="111"/>
      <c r="O173" s="115"/>
      <c r="P173" s="115"/>
      <c r="Q173" s="115"/>
    </row>
    <row r="174">
      <c r="A174" s="87" t="s">
        <v>863</v>
      </c>
      <c r="B174" s="115"/>
      <c r="C174" s="115"/>
      <c r="D174" s="115"/>
      <c r="E174" s="115"/>
      <c r="F174" s="115"/>
      <c r="G174" s="115"/>
      <c r="H174" s="115"/>
      <c r="I174" s="115"/>
      <c r="J174" s="115"/>
      <c r="K174" s="115"/>
      <c r="L174" s="111"/>
      <c r="M174" s="111"/>
      <c r="N174" s="111"/>
      <c r="O174" s="115"/>
      <c r="P174" s="115"/>
      <c r="Q174" s="115"/>
    </row>
    <row r="175">
      <c r="A175" s="106" t="s">
        <v>69</v>
      </c>
      <c r="B175" s="106"/>
      <c r="C175" s="106"/>
      <c r="D175" s="106"/>
      <c r="E175" s="106"/>
      <c r="F175" s="106"/>
      <c r="G175" s="106"/>
      <c r="H175" s="106"/>
      <c r="I175" s="105"/>
      <c r="J175" s="105"/>
      <c r="K175" s="105"/>
      <c r="L175" s="109"/>
      <c r="M175" s="109"/>
      <c r="N175" s="111"/>
      <c r="O175" s="115"/>
      <c r="P175" s="115"/>
      <c r="Q175" s="115"/>
    </row>
    <row r="176">
      <c r="A176" s="5" t="s">
        <v>112</v>
      </c>
      <c r="B176" s="105"/>
      <c r="C176" s="105"/>
      <c r="D176" s="105"/>
      <c r="E176" s="105"/>
      <c r="F176" s="105"/>
      <c r="G176" s="106"/>
      <c r="H176" s="105"/>
      <c r="I176" s="105"/>
      <c r="J176" s="105"/>
      <c r="K176" s="105"/>
      <c r="L176" s="109"/>
      <c r="M176" s="109"/>
      <c r="N176" s="111"/>
      <c r="O176" s="115"/>
      <c r="P176" s="115"/>
      <c r="Q176" s="115"/>
    </row>
    <row r="177">
      <c r="A177" s="106" t="s">
        <v>138</v>
      </c>
      <c r="B177" s="114"/>
      <c r="C177" s="114"/>
      <c r="D177" s="106"/>
      <c r="E177" s="106"/>
      <c r="F177" s="105"/>
      <c r="G177" s="114"/>
      <c r="H177" s="106"/>
      <c r="I177" s="106"/>
      <c r="J177" s="105"/>
      <c r="K177" s="105"/>
      <c r="L177" s="109"/>
      <c r="M177" s="109"/>
      <c r="N177" s="111"/>
      <c r="O177" s="115"/>
      <c r="P177" s="115"/>
      <c r="Q177" s="115"/>
    </row>
    <row r="178">
      <c r="A178" s="106" t="s">
        <v>248</v>
      </c>
      <c r="B178" s="105"/>
      <c r="C178" s="105"/>
      <c r="D178" s="105"/>
      <c r="E178" s="105"/>
      <c r="F178" s="105"/>
      <c r="G178" s="105"/>
      <c r="H178" s="105"/>
      <c r="I178" s="105"/>
      <c r="J178" s="105"/>
      <c r="K178" s="105"/>
      <c r="L178" s="109"/>
      <c r="M178" s="109"/>
      <c r="N178" s="111"/>
      <c r="O178" s="115"/>
      <c r="P178" s="115"/>
      <c r="Q178" s="115"/>
    </row>
    <row r="179">
      <c r="A179" s="106" t="s">
        <v>145</v>
      </c>
      <c r="B179" s="105"/>
      <c r="C179" s="105"/>
      <c r="D179" s="105"/>
      <c r="E179" s="105"/>
      <c r="F179" s="105"/>
      <c r="G179" s="105"/>
      <c r="H179" s="105"/>
      <c r="I179" s="105"/>
      <c r="J179" s="105"/>
      <c r="K179" s="105"/>
      <c r="L179" s="109"/>
      <c r="M179" s="109"/>
      <c r="N179" s="109"/>
      <c r="O179" s="105"/>
      <c r="P179" s="105"/>
      <c r="Q179" s="105"/>
    </row>
    <row r="180">
      <c r="A180" s="106" t="s">
        <v>864</v>
      </c>
      <c r="B180" s="106"/>
      <c r="C180" s="106"/>
      <c r="D180" s="106"/>
      <c r="E180" s="105"/>
      <c r="F180" s="106"/>
      <c r="G180" s="106"/>
      <c r="H180" s="106"/>
      <c r="I180" s="106"/>
      <c r="J180" s="105"/>
      <c r="K180" s="105"/>
      <c r="L180" s="109"/>
      <c r="M180" s="109"/>
      <c r="N180" s="109"/>
      <c r="O180" s="105"/>
      <c r="P180" s="105"/>
      <c r="Q180" s="105"/>
    </row>
    <row r="181">
      <c r="A181" s="5" t="s">
        <v>865</v>
      </c>
      <c r="B181" s="105"/>
      <c r="C181" s="105"/>
      <c r="D181" s="105"/>
      <c r="E181" s="105"/>
      <c r="F181" s="105"/>
      <c r="G181" s="106"/>
      <c r="H181" s="105"/>
      <c r="I181" s="105"/>
      <c r="J181" s="105"/>
      <c r="K181" s="105"/>
      <c r="L181" s="109"/>
      <c r="M181" s="109"/>
      <c r="N181" s="111"/>
      <c r="O181" s="115"/>
      <c r="P181" s="115"/>
      <c r="Q181" s="115"/>
    </row>
    <row r="182">
      <c r="A182" s="5" t="s">
        <v>866</v>
      </c>
      <c r="B182" s="105"/>
      <c r="C182" s="105"/>
      <c r="D182" s="105"/>
      <c r="E182" s="105"/>
      <c r="F182" s="105"/>
      <c r="G182" s="106"/>
      <c r="H182" s="105"/>
      <c r="I182" s="105"/>
      <c r="J182" s="105"/>
      <c r="K182" s="105"/>
      <c r="L182" s="109"/>
      <c r="M182" s="109"/>
      <c r="N182" s="122"/>
      <c r="O182" s="105"/>
      <c r="P182" s="105"/>
      <c r="Q182" s="105"/>
    </row>
    <row r="183">
      <c r="A183" s="5" t="s">
        <v>82</v>
      </c>
      <c r="B183" s="105"/>
      <c r="C183" s="105"/>
      <c r="D183" s="105"/>
      <c r="E183" s="105"/>
      <c r="F183" s="105"/>
      <c r="G183" s="106"/>
      <c r="H183" s="105"/>
      <c r="I183" s="105"/>
      <c r="J183" s="105"/>
      <c r="K183" s="105"/>
      <c r="L183" s="109"/>
      <c r="M183" s="109"/>
      <c r="N183" s="111"/>
      <c r="O183" s="115"/>
      <c r="P183" s="115"/>
      <c r="Q183" s="115"/>
    </row>
    <row r="184">
      <c r="A184" s="11" t="s">
        <v>268</v>
      </c>
      <c r="B184" s="106"/>
      <c r="C184" s="106"/>
      <c r="D184" s="108"/>
      <c r="E184" s="106"/>
      <c r="F184" s="108"/>
      <c r="G184" s="108"/>
      <c r="H184" s="114"/>
      <c r="I184" s="114"/>
      <c r="J184" s="115"/>
      <c r="K184" s="115"/>
      <c r="L184" s="111"/>
      <c r="M184" s="111"/>
      <c r="N184" s="111"/>
      <c r="O184" s="115"/>
      <c r="P184" s="115"/>
      <c r="Q184" s="115"/>
    </row>
    <row r="185">
      <c r="A185" s="11" t="s">
        <v>185</v>
      </c>
      <c r="B185" s="106" t="s">
        <v>867</v>
      </c>
      <c r="C185" s="106" t="s">
        <v>868</v>
      </c>
      <c r="D185" s="108" t="s">
        <v>869</v>
      </c>
      <c r="E185" s="106" t="s">
        <v>870</v>
      </c>
      <c r="F185" s="108" t="s">
        <v>871</v>
      </c>
      <c r="G185" s="108" t="s">
        <v>872</v>
      </c>
      <c r="H185" s="114">
        <v>2.0</v>
      </c>
      <c r="I185" s="114" t="s">
        <v>873</v>
      </c>
      <c r="J185" s="115">
        <v>20.0</v>
      </c>
      <c r="K185" s="115" t="s">
        <v>874</v>
      </c>
      <c r="L185" s="111" t="s">
        <v>875</v>
      </c>
      <c r="M185" s="111" t="s">
        <v>874</v>
      </c>
      <c r="N185" s="111" t="s">
        <v>874</v>
      </c>
      <c r="O185" s="115"/>
      <c r="P185" s="115"/>
      <c r="Q185" s="115"/>
    </row>
    <row r="186">
      <c r="A186" s="5" t="s">
        <v>90</v>
      </c>
      <c r="B186" s="105"/>
      <c r="C186" s="106"/>
      <c r="D186" s="108"/>
      <c r="E186" s="106"/>
      <c r="F186" s="108"/>
      <c r="G186" s="108"/>
      <c r="H186" s="114"/>
      <c r="I186" s="114"/>
      <c r="J186" s="115"/>
      <c r="K186" s="115"/>
      <c r="L186" s="111"/>
      <c r="M186" s="111"/>
      <c r="N186" s="122"/>
      <c r="O186" s="105"/>
      <c r="P186" s="105"/>
      <c r="Q186" s="105"/>
    </row>
    <row r="187">
      <c r="A187" s="5" t="s">
        <v>271</v>
      </c>
      <c r="B187" s="105"/>
      <c r="C187" s="106"/>
      <c r="D187" s="108"/>
      <c r="E187" s="106"/>
      <c r="F187" s="108"/>
      <c r="G187" s="108"/>
      <c r="H187" s="106"/>
      <c r="I187" s="105"/>
      <c r="J187" s="105"/>
      <c r="K187" s="105"/>
      <c r="L187" s="109"/>
      <c r="M187" s="109"/>
      <c r="N187" s="111"/>
      <c r="O187" s="115"/>
      <c r="P187" s="115"/>
      <c r="Q187" s="115"/>
    </row>
    <row r="188">
      <c r="A188" s="87" t="s">
        <v>117</v>
      </c>
      <c r="B188" s="105" t="s">
        <v>867</v>
      </c>
      <c r="C188" s="106" t="s">
        <v>876</v>
      </c>
      <c r="D188" s="108" t="s">
        <v>877</v>
      </c>
      <c r="E188" s="106" t="s">
        <v>878</v>
      </c>
      <c r="F188" s="108" t="s">
        <v>879</v>
      </c>
      <c r="G188" s="108" t="s">
        <v>872</v>
      </c>
      <c r="H188" s="114">
        <v>1.0</v>
      </c>
      <c r="I188" s="114" t="s">
        <v>880</v>
      </c>
      <c r="J188" s="115">
        <v>20.0</v>
      </c>
      <c r="K188" s="115" t="s">
        <v>881</v>
      </c>
      <c r="L188" s="111" t="s">
        <v>882</v>
      </c>
      <c r="M188" s="111" t="s">
        <v>881</v>
      </c>
      <c r="N188" s="109" t="s">
        <v>881</v>
      </c>
      <c r="O188" s="105"/>
      <c r="P188" s="105"/>
      <c r="Q188" s="105"/>
    </row>
    <row r="189">
      <c r="A189" s="87" t="s">
        <v>883</v>
      </c>
      <c r="B189" s="105" t="s">
        <v>867</v>
      </c>
      <c r="C189" s="106" t="s">
        <v>884</v>
      </c>
      <c r="D189" s="108" t="s">
        <v>885</v>
      </c>
      <c r="E189" s="106" t="s">
        <v>886</v>
      </c>
      <c r="F189" s="108" t="s">
        <v>887</v>
      </c>
      <c r="G189" s="108" t="s">
        <v>872</v>
      </c>
      <c r="H189" s="106">
        <v>1.0</v>
      </c>
      <c r="I189" s="105"/>
      <c r="J189" s="105"/>
      <c r="K189" s="105" t="s">
        <v>888</v>
      </c>
      <c r="L189" s="109" t="s">
        <v>889</v>
      </c>
      <c r="M189" s="109" t="s">
        <v>888</v>
      </c>
      <c r="N189" s="109" t="s">
        <v>888</v>
      </c>
      <c r="O189" s="105"/>
      <c r="P189" s="105"/>
      <c r="Q189" s="105"/>
    </row>
    <row r="190">
      <c r="A190" s="87" t="s">
        <v>890</v>
      </c>
      <c r="B190" s="105"/>
      <c r="C190" s="105"/>
      <c r="D190" s="105"/>
      <c r="E190" s="105"/>
      <c r="F190" s="105"/>
      <c r="G190" s="106" t="s">
        <v>487</v>
      </c>
      <c r="H190" s="105"/>
      <c r="I190" s="105"/>
      <c r="J190" s="105"/>
      <c r="K190" s="105" t="s">
        <v>891</v>
      </c>
      <c r="L190" s="109" t="s">
        <v>891</v>
      </c>
      <c r="M190" s="109" t="s">
        <v>891</v>
      </c>
      <c r="N190" s="109" t="s">
        <v>891</v>
      </c>
      <c r="O190" s="105"/>
      <c r="P190" s="105"/>
      <c r="Q190" s="105"/>
    </row>
    <row r="191">
      <c r="A191" s="106" t="s">
        <v>122</v>
      </c>
      <c r="B191" s="106"/>
      <c r="C191" s="106"/>
      <c r="D191" s="106"/>
      <c r="E191" s="106"/>
      <c r="F191" s="106"/>
      <c r="G191" s="106"/>
      <c r="H191" s="106"/>
      <c r="I191" s="105"/>
      <c r="J191" s="105"/>
      <c r="K191" s="105"/>
      <c r="L191" s="109"/>
      <c r="M191" s="109"/>
      <c r="N191" s="109"/>
      <c r="O191" s="105"/>
      <c r="P191" s="105"/>
      <c r="Q191" s="105"/>
    </row>
    <row r="192">
      <c r="A192" s="87" t="s">
        <v>53</v>
      </c>
      <c r="B192" s="105" t="s">
        <v>892</v>
      </c>
      <c r="C192" s="106" t="s">
        <v>893</v>
      </c>
      <c r="D192" s="105" t="s">
        <v>894</v>
      </c>
      <c r="E192" s="105" t="s">
        <v>895</v>
      </c>
      <c r="F192" s="108" t="s">
        <v>896</v>
      </c>
      <c r="G192" s="106" t="s">
        <v>487</v>
      </c>
      <c r="H192" s="106">
        <v>125.0</v>
      </c>
      <c r="I192" s="105"/>
      <c r="J192" s="105"/>
      <c r="K192" s="105" t="s">
        <v>897</v>
      </c>
      <c r="L192" s="122" t="s">
        <v>898</v>
      </c>
      <c r="M192" s="122" t="s">
        <v>897</v>
      </c>
      <c r="N192" s="111" t="s">
        <v>897</v>
      </c>
      <c r="O192" s="115"/>
      <c r="P192" s="115"/>
      <c r="Q192" s="115"/>
    </row>
    <row r="193">
      <c r="A193" s="106" t="s">
        <v>899</v>
      </c>
      <c r="B193" s="105"/>
      <c r="C193" s="105"/>
      <c r="D193" s="105"/>
      <c r="E193" s="105"/>
      <c r="F193" s="105"/>
      <c r="G193" s="105"/>
      <c r="H193" s="105"/>
      <c r="I193" s="105"/>
      <c r="J193" s="105"/>
      <c r="K193" s="105"/>
      <c r="L193" s="109"/>
      <c r="M193" s="109"/>
      <c r="N193" s="111"/>
      <c r="O193" s="115"/>
      <c r="P193" s="115"/>
      <c r="Q193" s="115"/>
    </row>
    <row r="194">
      <c r="A194" s="87" t="s">
        <v>900</v>
      </c>
      <c r="B194" s="115"/>
      <c r="C194" s="115"/>
      <c r="D194" s="115"/>
      <c r="E194" s="115"/>
      <c r="F194" s="115"/>
      <c r="G194" s="115"/>
      <c r="H194" s="115"/>
      <c r="I194" s="115"/>
      <c r="J194" s="115"/>
      <c r="K194" s="115"/>
      <c r="L194" s="111"/>
      <c r="M194" s="111"/>
      <c r="N194" s="111"/>
      <c r="O194" s="115"/>
      <c r="P194" s="115"/>
      <c r="Q194" s="115"/>
    </row>
    <row r="195">
      <c r="A195" s="5" t="s">
        <v>247</v>
      </c>
      <c r="B195" s="114" t="s">
        <v>901</v>
      </c>
      <c r="C195" s="114" t="s">
        <v>902</v>
      </c>
      <c r="D195" s="114" t="s">
        <v>903</v>
      </c>
      <c r="E195" s="114" t="s">
        <v>904</v>
      </c>
      <c r="F195" s="114" t="s">
        <v>905</v>
      </c>
      <c r="G195" s="114" t="s">
        <v>516</v>
      </c>
      <c r="H195" s="115"/>
      <c r="I195" s="115"/>
      <c r="J195" s="115"/>
      <c r="K195" s="115" t="s">
        <v>906</v>
      </c>
      <c r="L195" s="111" t="s">
        <v>907</v>
      </c>
      <c r="M195" s="111" t="s">
        <v>906</v>
      </c>
      <c r="N195" s="109" t="s">
        <v>906</v>
      </c>
      <c r="O195" s="105"/>
      <c r="P195" s="105"/>
      <c r="Q195" s="105"/>
    </row>
    <row r="196">
      <c r="A196" s="5" t="s">
        <v>908</v>
      </c>
      <c r="B196" s="114" t="s">
        <v>901</v>
      </c>
      <c r="C196" s="114" t="s">
        <v>902</v>
      </c>
      <c r="D196" s="114" t="s">
        <v>909</v>
      </c>
      <c r="E196" s="114" t="s">
        <v>904</v>
      </c>
      <c r="F196" s="114" t="s">
        <v>910</v>
      </c>
      <c r="G196" s="114" t="s">
        <v>516</v>
      </c>
      <c r="H196" s="115"/>
      <c r="I196" s="115"/>
      <c r="J196" s="115"/>
      <c r="K196" s="115" t="s">
        <v>911</v>
      </c>
      <c r="L196" s="111" t="s">
        <v>912</v>
      </c>
      <c r="M196" s="111" t="s">
        <v>911</v>
      </c>
      <c r="N196" s="109" t="s">
        <v>911</v>
      </c>
      <c r="O196" s="105"/>
      <c r="P196" s="105"/>
      <c r="Q196" s="105"/>
    </row>
    <row r="197">
      <c r="A197" s="5" t="s">
        <v>913</v>
      </c>
      <c r="B197" s="106" t="s">
        <v>914</v>
      </c>
      <c r="C197" s="106" t="s">
        <v>915</v>
      </c>
      <c r="D197" s="105" t="s">
        <v>894</v>
      </c>
      <c r="E197" s="105" t="s">
        <v>895</v>
      </c>
      <c r="F197" s="108" t="s">
        <v>916</v>
      </c>
      <c r="G197" s="106" t="s">
        <v>487</v>
      </c>
      <c r="H197" s="106">
        <v>125.0</v>
      </c>
      <c r="I197" s="105"/>
      <c r="J197" s="105"/>
      <c r="K197" s="105" t="s">
        <v>917</v>
      </c>
      <c r="L197" s="122" t="s">
        <v>918</v>
      </c>
      <c r="M197" s="122" t="s">
        <v>917</v>
      </c>
      <c r="N197" s="109" t="s">
        <v>917</v>
      </c>
      <c r="O197" s="105"/>
      <c r="P197" s="105"/>
      <c r="Q197" s="105"/>
    </row>
    <row r="198">
      <c r="A198" s="5" t="s">
        <v>919</v>
      </c>
      <c r="B198" s="106" t="s">
        <v>914</v>
      </c>
      <c r="C198" s="106" t="s">
        <v>920</v>
      </c>
      <c r="D198" s="105" t="s">
        <v>894</v>
      </c>
      <c r="E198" s="105" t="s">
        <v>895</v>
      </c>
      <c r="F198" s="108" t="s">
        <v>916</v>
      </c>
      <c r="G198" s="106" t="s">
        <v>487</v>
      </c>
      <c r="H198" s="106">
        <v>125.0</v>
      </c>
      <c r="I198" s="105"/>
      <c r="J198" s="105"/>
      <c r="K198" s="105" t="s">
        <v>921</v>
      </c>
      <c r="L198" s="109" t="s">
        <v>922</v>
      </c>
      <c r="M198" s="109" t="s">
        <v>921</v>
      </c>
      <c r="N198" s="109" t="s">
        <v>921</v>
      </c>
      <c r="O198" s="105"/>
      <c r="P198" s="105"/>
      <c r="Q198" s="105"/>
    </row>
    <row r="199">
      <c r="A199" s="106" t="s">
        <v>923</v>
      </c>
      <c r="B199" s="105"/>
      <c r="C199" s="105"/>
      <c r="D199" s="105"/>
      <c r="E199" s="105"/>
      <c r="F199" s="105"/>
      <c r="G199" s="105"/>
      <c r="H199" s="105"/>
      <c r="I199" s="105"/>
      <c r="J199" s="105"/>
      <c r="K199" s="105"/>
      <c r="L199" s="109"/>
      <c r="M199" s="109"/>
      <c r="N199" s="109"/>
      <c r="O199" s="105"/>
      <c r="P199" s="105"/>
      <c r="Q199" s="105"/>
    </row>
    <row r="200">
      <c r="A200" s="5" t="s">
        <v>306</v>
      </c>
      <c r="B200" s="114"/>
      <c r="C200" s="114"/>
      <c r="D200" s="114"/>
      <c r="E200" s="114"/>
      <c r="F200" s="114"/>
      <c r="G200" s="114"/>
      <c r="H200" s="106"/>
      <c r="I200" s="106"/>
      <c r="J200" s="115"/>
      <c r="K200" s="115"/>
      <c r="L200" s="116"/>
      <c r="M200" s="116"/>
      <c r="N200" s="109"/>
      <c r="O200" s="105"/>
      <c r="P200" s="105"/>
      <c r="Q200" s="105"/>
    </row>
    <row r="201">
      <c r="A201" s="87" t="s">
        <v>924</v>
      </c>
      <c r="B201" s="115"/>
      <c r="C201" s="115"/>
      <c r="D201" s="115"/>
      <c r="E201" s="115"/>
      <c r="F201" s="115"/>
      <c r="G201" s="115"/>
      <c r="H201" s="115"/>
      <c r="I201" s="115"/>
      <c r="J201" s="115"/>
      <c r="K201" s="115"/>
      <c r="L201" s="111"/>
      <c r="M201" s="111"/>
      <c r="N201" s="109"/>
      <c r="O201" s="105"/>
      <c r="P201" s="105"/>
      <c r="Q201" s="105"/>
    </row>
    <row r="202">
      <c r="A202" s="87" t="s">
        <v>925</v>
      </c>
      <c r="B202" s="105" t="s">
        <v>926</v>
      </c>
      <c r="C202" s="105" t="s">
        <v>927</v>
      </c>
      <c r="D202" s="105" t="s">
        <v>928</v>
      </c>
      <c r="E202" s="105"/>
      <c r="F202" s="105"/>
      <c r="G202" s="105" t="s">
        <v>762</v>
      </c>
      <c r="H202" s="105"/>
      <c r="I202" s="105"/>
      <c r="J202" s="105"/>
      <c r="K202" s="105" t="s">
        <v>929</v>
      </c>
      <c r="L202" s="109" t="s">
        <v>929</v>
      </c>
      <c r="M202" s="109" t="s">
        <v>929</v>
      </c>
      <c r="N202" s="109" t="s">
        <v>929</v>
      </c>
      <c r="O202" s="105"/>
      <c r="P202" s="105"/>
      <c r="Q202" s="105"/>
    </row>
    <row r="203">
      <c r="A203" s="87" t="s">
        <v>930</v>
      </c>
      <c r="B203" s="115"/>
      <c r="C203" s="115"/>
      <c r="D203" s="115"/>
      <c r="E203" s="115"/>
      <c r="F203" s="115"/>
      <c r="G203" s="115"/>
      <c r="H203" s="115"/>
      <c r="I203" s="115"/>
      <c r="J203" s="115"/>
      <c r="K203" s="115"/>
      <c r="L203" s="111"/>
      <c r="M203" s="111"/>
      <c r="N203" s="109"/>
      <c r="O203" s="105"/>
      <c r="P203" s="105"/>
      <c r="Q203" s="105"/>
    </row>
    <row r="204">
      <c r="A204" s="87" t="s">
        <v>931</v>
      </c>
      <c r="B204" s="105" t="s">
        <v>926</v>
      </c>
      <c r="C204" s="105" t="s">
        <v>932</v>
      </c>
      <c r="D204" s="105" t="s">
        <v>928</v>
      </c>
      <c r="E204" s="105"/>
      <c r="F204" s="105"/>
      <c r="G204" s="105" t="s">
        <v>762</v>
      </c>
      <c r="H204" s="105"/>
      <c r="I204" s="105"/>
      <c r="J204" s="105"/>
      <c r="K204" s="105" t="s">
        <v>933</v>
      </c>
      <c r="L204" s="109" t="s">
        <v>933</v>
      </c>
      <c r="M204" s="109" t="s">
        <v>933</v>
      </c>
      <c r="N204" s="109" t="s">
        <v>933</v>
      </c>
      <c r="O204" s="105"/>
      <c r="P204" s="105"/>
      <c r="Q204" s="105"/>
    </row>
    <row r="205">
      <c r="A205" s="87" t="s">
        <v>934</v>
      </c>
      <c r="B205" s="105" t="s">
        <v>926</v>
      </c>
      <c r="C205" s="105" t="s">
        <v>935</v>
      </c>
      <c r="D205" s="105" t="s">
        <v>569</v>
      </c>
      <c r="E205" s="105"/>
      <c r="F205" s="105"/>
      <c r="G205" s="105" t="s">
        <v>762</v>
      </c>
      <c r="H205" s="105"/>
      <c r="I205" s="105"/>
      <c r="J205" s="105"/>
      <c r="K205" s="105" t="s">
        <v>936</v>
      </c>
      <c r="L205" s="109" t="s">
        <v>936</v>
      </c>
      <c r="M205" s="109" t="s">
        <v>936</v>
      </c>
      <c r="N205" s="109" t="s">
        <v>936</v>
      </c>
      <c r="O205" s="105"/>
      <c r="P205" s="105"/>
      <c r="Q205" s="105"/>
    </row>
    <row r="206">
      <c r="A206" s="87" t="s">
        <v>937</v>
      </c>
      <c r="B206" s="117" t="s">
        <v>938</v>
      </c>
      <c r="C206" s="127" t="s">
        <v>939</v>
      </c>
      <c r="D206" s="105" t="s">
        <v>940</v>
      </c>
      <c r="E206" s="105" t="s">
        <v>941</v>
      </c>
      <c r="F206" s="117" t="s">
        <v>942</v>
      </c>
      <c r="G206" s="105" t="s">
        <v>943</v>
      </c>
      <c r="H206" s="105"/>
      <c r="I206" s="105"/>
      <c r="J206" s="105"/>
      <c r="K206" s="105" t="s">
        <v>944</v>
      </c>
      <c r="L206" s="109" t="s">
        <v>945</v>
      </c>
      <c r="M206" s="109" t="s">
        <v>944</v>
      </c>
      <c r="N206" s="109" t="s">
        <v>944</v>
      </c>
      <c r="O206" s="105"/>
      <c r="P206" s="105"/>
      <c r="Q206" s="105"/>
    </row>
    <row r="207">
      <c r="A207" s="87" t="s">
        <v>946</v>
      </c>
      <c r="B207" s="117" t="s">
        <v>938</v>
      </c>
      <c r="C207" s="127" t="s">
        <v>939</v>
      </c>
      <c r="D207" s="105" t="s">
        <v>947</v>
      </c>
      <c r="E207" s="105" t="s">
        <v>941</v>
      </c>
      <c r="F207" s="117" t="s">
        <v>942</v>
      </c>
      <c r="G207" s="105" t="s">
        <v>943</v>
      </c>
      <c r="H207" s="105"/>
      <c r="I207" s="105"/>
      <c r="J207" s="105"/>
      <c r="K207" s="105" t="s">
        <v>948</v>
      </c>
      <c r="L207" s="109" t="s">
        <v>949</v>
      </c>
      <c r="M207" s="109" t="s">
        <v>948</v>
      </c>
      <c r="N207" s="109" t="s">
        <v>948</v>
      </c>
      <c r="O207" s="105"/>
      <c r="P207" s="105"/>
      <c r="Q207" s="105"/>
    </row>
    <row r="208">
      <c r="A208" s="87" t="s">
        <v>950</v>
      </c>
      <c r="B208" s="117" t="s">
        <v>938</v>
      </c>
      <c r="C208" s="127" t="s">
        <v>939</v>
      </c>
      <c r="D208" s="105" t="s">
        <v>951</v>
      </c>
      <c r="E208" s="105" t="s">
        <v>941</v>
      </c>
      <c r="F208" s="117" t="s">
        <v>942</v>
      </c>
      <c r="G208" s="105" t="s">
        <v>943</v>
      </c>
      <c r="H208" s="105"/>
      <c r="I208" s="105"/>
      <c r="J208" s="105"/>
      <c r="K208" s="105" t="s">
        <v>952</v>
      </c>
      <c r="L208" s="109" t="s">
        <v>953</v>
      </c>
      <c r="M208" s="109" t="s">
        <v>952</v>
      </c>
      <c r="N208" s="109" t="s">
        <v>952</v>
      </c>
      <c r="O208" s="105"/>
      <c r="P208" s="105"/>
      <c r="Q208" s="105"/>
    </row>
    <row r="209">
      <c r="A209" s="87" t="s">
        <v>954</v>
      </c>
      <c r="B209" s="117" t="s">
        <v>938</v>
      </c>
      <c r="C209" s="127" t="s">
        <v>939</v>
      </c>
      <c r="D209" s="105" t="s">
        <v>955</v>
      </c>
      <c r="E209" s="105" t="s">
        <v>941</v>
      </c>
      <c r="F209" s="117" t="s">
        <v>942</v>
      </c>
      <c r="G209" s="105" t="s">
        <v>943</v>
      </c>
      <c r="H209" s="105"/>
      <c r="I209" s="105"/>
      <c r="J209" s="105"/>
      <c r="K209" s="105" t="s">
        <v>956</v>
      </c>
      <c r="L209" s="109" t="s">
        <v>957</v>
      </c>
      <c r="M209" s="109" t="s">
        <v>956</v>
      </c>
      <c r="N209" s="109" t="s">
        <v>956</v>
      </c>
      <c r="O209" s="105"/>
      <c r="P209" s="105"/>
      <c r="Q209" s="105"/>
    </row>
    <row r="210">
      <c r="A210" s="87" t="s">
        <v>958</v>
      </c>
      <c r="B210" s="117" t="s">
        <v>938</v>
      </c>
      <c r="C210" s="127" t="s">
        <v>939</v>
      </c>
      <c r="D210" s="105" t="s">
        <v>959</v>
      </c>
      <c r="E210" s="105" t="s">
        <v>941</v>
      </c>
      <c r="F210" s="117" t="s">
        <v>942</v>
      </c>
      <c r="G210" s="105" t="s">
        <v>943</v>
      </c>
      <c r="H210" s="105"/>
      <c r="I210" s="105"/>
      <c r="J210" s="105"/>
      <c r="K210" s="105" t="s">
        <v>960</v>
      </c>
      <c r="L210" s="109" t="s">
        <v>961</v>
      </c>
      <c r="M210" s="109" t="s">
        <v>960</v>
      </c>
      <c r="N210" s="109" t="s">
        <v>960</v>
      </c>
      <c r="O210" s="105"/>
      <c r="P210" s="105"/>
      <c r="Q210" s="105"/>
    </row>
    <row r="211">
      <c r="A211" s="87" t="s">
        <v>962</v>
      </c>
      <c r="B211" s="105" t="s">
        <v>963</v>
      </c>
      <c r="C211" s="119" t="s">
        <v>939</v>
      </c>
      <c r="D211" s="105" t="s">
        <v>964</v>
      </c>
      <c r="E211" s="105"/>
      <c r="F211" s="105" t="s">
        <v>965</v>
      </c>
      <c r="G211" s="105" t="s">
        <v>943</v>
      </c>
      <c r="H211" s="105"/>
      <c r="I211" s="105"/>
      <c r="J211" s="105"/>
      <c r="K211" s="105" t="s">
        <v>966</v>
      </c>
      <c r="L211" s="109" t="s">
        <v>966</v>
      </c>
      <c r="M211" s="109" t="s">
        <v>966</v>
      </c>
      <c r="N211" s="109" t="s">
        <v>966</v>
      </c>
      <c r="O211" s="105"/>
      <c r="P211" s="105"/>
      <c r="Q211" s="105"/>
    </row>
    <row r="212">
      <c r="A212" s="87" t="s">
        <v>967</v>
      </c>
      <c r="B212" s="105" t="s">
        <v>963</v>
      </c>
      <c r="C212" s="119" t="s">
        <v>939</v>
      </c>
      <c r="D212" s="105" t="s">
        <v>968</v>
      </c>
      <c r="E212" s="105"/>
      <c r="F212" s="105" t="s">
        <v>965</v>
      </c>
      <c r="G212" s="105" t="s">
        <v>943</v>
      </c>
      <c r="H212" s="105"/>
      <c r="I212" s="105"/>
      <c r="J212" s="105"/>
      <c r="K212" s="105" t="s">
        <v>969</v>
      </c>
      <c r="L212" s="109" t="s">
        <v>969</v>
      </c>
      <c r="M212" s="109" t="s">
        <v>969</v>
      </c>
      <c r="N212" s="109" t="s">
        <v>969</v>
      </c>
      <c r="O212" s="106"/>
      <c r="P212" s="106"/>
      <c r="Q212" s="106"/>
    </row>
    <row r="213">
      <c r="A213" s="87" t="s">
        <v>970</v>
      </c>
      <c r="B213" s="105" t="s">
        <v>963</v>
      </c>
      <c r="C213" s="119" t="s">
        <v>939</v>
      </c>
      <c r="D213" s="105" t="s">
        <v>971</v>
      </c>
      <c r="E213" s="105"/>
      <c r="F213" s="105" t="s">
        <v>965</v>
      </c>
      <c r="G213" s="105" t="s">
        <v>943</v>
      </c>
      <c r="H213" s="105"/>
      <c r="I213" s="105"/>
      <c r="J213" s="105"/>
      <c r="K213" s="105" t="s">
        <v>972</v>
      </c>
      <c r="L213" s="109" t="s">
        <v>972</v>
      </c>
      <c r="M213" s="109" t="s">
        <v>972</v>
      </c>
      <c r="N213" s="109" t="s">
        <v>972</v>
      </c>
      <c r="O213" s="105"/>
      <c r="P213" s="105"/>
      <c r="Q213" s="105"/>
    </row>
    <row r="214">
      <c r="A214" s="87" t="s">
        <v>973</v>
      </c>
      <c r="B214" s="105" t="s">
        <v>963</v>
      </c>
      <c r="C214" s="119" t="s">
        <v>939</v>
      </c>
      <c r="D214" s="105" t="s">
        <v>974</v>
      </c>
      <c r="E214" s="105"/>
      <c r="F214" s="105" t="s">
        <v>965</v>
      </c>
      <c r="G214" s="105" t="s">
        <v>943</v>
      </c>
      <c r="H214" s="105"/>
      <c r="I214" s="105"/>
      <c r="J214" s="105"/>
      <c r="K214" s="105" t="s">
        <v>975</v>
      </c>
      <c r="L214" s="109" t="s">
        <v>975</v>
      </c>
      <c r="M214" s="109" t="s">
        <v>975</v>
      </c>
      <c r="N214" s="109" t="s">
        <v>975</v>
      </c>
      <c r="O214" s="105"/>
      <c r="P214" s="105"/>
      <c r="Q214" s="105"/>
    </row>
    <row r="215">
      <c r="A215" s="87" t="s">
        <v>976</v>
      </c>
      <c r="B215" s="105" t="s">
        <v>963</v>
      </c>
      <c r="C215" s="119" t="s">
        <v>939</v>
      </c>
      <c r="D215" s="105" t="s">
        <v>977</v>
      </c>
      <c r="E215" s="105"/>
      <c r="F215" s="105" t="s">
        <v>965</v>
      </c>
      <c r="G215" s="105" t="s">
        <v>943</v>
      </c>
      <c r="H215" s="105"/>
      <c r="I215" s="105"/>
      <c r="J215" s="105"/>
      <c r="K215" s="105" t="s">
        <v>978</v>
      </c>
      <c r="L215" s="109" t="s">
        <v>978</v>
      </c>
      <c r="M215" s="109" t="s">
        <v>978</v>
      </c>
      <c r="N215" s="109" t="s">
        <v>978</v>
      </c>
      <c r="O215" s="105"/>
      <c r="P215" s="105"/>
      <c r="Q215" s="105"/>
    </row>
    <row r="216">
      <c r="A216" s="87" t="s">
        <v>979</v>
      </c>
      <c r="B216" s="105" t="s">
        <v>963</v>
      </c>
      <c r="C216" s="119" t="s">
        <v>939</v>
      </c>
      <c r="D216" s="105" t="s">
        <v>980</v>
      </c>
      <c r="E216" s="105"/>
      <c r="F216" s="105" t="s">
        <v>965</v>
      </c>
      <c r="G216" s="105" t="s">
        <v>943</v>
      </c>
      <c r="H216" s="105"/>
      <c r="I216" s="105"/>
      <c r="J216" s="105"/>
      <c r="K216" s="105" t="s">
        <v>981</v>
      </c>
      <c r="L216" s="109" t="s">
        <v>981</v>
      </c>
      <c r="M216" s="109" t="s">
        <v>981</v>
      </c>
      <c r="N216" s="109" t="s">
        <v>981</v>
      </c>
      <c r="O216" s="105"/>
      <c r="P216" s="105"/>
      <c r="Q216" s="105"/>
    </row>
    <row r="217">
      <c r="A217" s="87" t="s">
        <v>982</v>
      </c>
      <c r="B217" s="105" t="s">
        <v>963</v>
      </c>
      <c r="C217" s="119" t="s">
        <v>939</v>
      </c>
      <c r="D217" s="105" t="s">
        <v>983</v>
      </c>
      <c r="E217" s="105"/>
      <c r="F217" s="105" t="s">
        <v>965</v>
      </c>
      <c r="G217" s="105" t="s">
        <v>943</v>
      </c>
      <c r="H217" s="105"/>
      <c r="I217" s="105"/>
      <c r="J217" s="105"/>
      <c r="K217" s="105" t="s">
        <v>984</v>
      </c>
      <c r="L217" s="109" t="s">
        <v>984</v>
      </c>
      <c r="M217" s="109" t="s">
        <v>984</v>
      </c>
      <c r="N217" s="109" t="s">
        <v>984</v>
      </c>
      <c r="O217" s="105"/>
      <c r="P217" s="105"/>
      <c r="Q217" s="105"/>
    </row>
    <row r="218">
      <c r="A218" s="106"/>
      <c r="B218" s="106"/>
      <c r="C218" s="106"/>
      <c r="D218" s="106"/>
      <c r="E218" s="105"/>
      <c r="F218" s="106"/>
      <c r="G218" s="106"/>
      <c r="H218" s="106"/>
      <c r="I218" s="106"/>
      <c r="J218" s="105"/>
      <c r="K218" s="105"/>
      <c r="L218" s="109"/>
      <c r="M218" s="109"/>
      <c r="N218" s="109"/>
      <c r="O218" s="105"/>
      <c r="P218" s="105"/>
      <c r="Q218" s="105"/>
    </row>
    <row r="219">
      <c r="A219" s="106"/>
      <c r="B219" s="114"/>
      <c r="C219" s="114"/>
      <c r="D219" s="106"/>
      <c r="E219" s="106"/>
      <c r="F219" s="105"/>
      <c r="G219" s="114"/>
      <c r="H219" s="106"/>
      <c r="I219" s="106"/>
      <c r="J219" s="105"/>
      <c r="K219" s="105"/>
      <c r="L219" s="109"/>
      <c r="M219" s="109"/>
      <c r="N219" s="109"/>
      <c r="O219" s="105"/>
      <c r="P219" s="105"/>
      <c r="Q219" s="105"/>
    </row>
    <row r="220">
      <c r="A220" s="106"/>
      <c r="B220" s="114"/>
      <c r="C220" s="114"/>
      <c r="D220" s="106"/>
      <c r="E220" s="106"/>
      <c r="F220" s="105"/>
      <c r="G220" s="114"/>
      <c r="H220" s="106"/>
      <c r="I220" s="106"/>
      <c r="J220" s="105"/>
      <c r="K220" s="105"/>
      <c r="L220" s="109"/>
      <c r="M220" s="109"/>
      <c r="N220" s="109"/>
      <c r="O220" s="105"/>
      <c r="P220" s="105"/>
      <c r="Q220" s="105"/>
    </row>
    <row r="221">
      <c r="A221" s="106"/>
      <c r="B221" s="114"/>
      <c r="C221" s="114"/>
      <c r="D221" s="106"/>
      <c r="E221" s="106"/>
      <c r="F221" s="105"/>
      <c r="G221" s="114"/>
      <c r="H221" s="106"/>
      <c r="I221" s="106"/>
      <c r="J221" s="105"/>
      <c r="K221" s="105"/>
      <c r="L221" s="109"/>
      <c r="M221" s="109"/>
      <c r="N221" s="109"/>
      <c r="O221" s="105"/>
      <c r="P221" s="105"/>
      <c r="Q221" s="105"/>
    </row>
    <row r="222">
      <c r="A222" s="106"/>
      <c r="B222" s="114"/>
      <c r="C222" s="114"/>
      <c r="D222" s="106"/>
      <c r="E222" s="106"/>
      <c r="F222" s="105"/>
      <c r="G222" s="114"/>
      <c r="H222" s="106"/>
      <c r="I222" s="106"/>
      <c r="J222" s="105"/>
      <c r="K222" s="105"/>
      <c r="L222" s="109"/>
      <c r="M222" s="109"/>
      <c r="N222" s="109"/>
      <c r="O222" s="105"/>
      <c r="P222" s="105"/>
      <c r="Q222" s="105"/>
    </row>
    <row r="223">
      <c r="A223" s="106"/>
      <c r="B223" s="114"/>
      <c r="C223" s="114"/>
      <c r="D223" s="106"/>
      <c r="E223" s="106"/>
      <c r="F223" s="105"/>
      <c r="G223" s="114"/>
      <c r="H223" s="106"/>
      <c r="I223" s="106"/>
      <c r="J223" s="105"/>
      <c r="K223" s="105"/>
      <c r="L223" s="109"/>
      <c r="M223" s="109"/>
      <c r="N223" s="109"/>
      <c r="O223" s="105"/>
      <c r="P223" s="105"/>
      <c r="Q223" s="105"/>
    </row>
    <row r="224">
      <c r="A224" s="106"/>
      <c r="B224" s="114"/>
      <c r="C224" s="114"/>
      <c r="D224" s="106"/>
      <c r="E224" s="106"/>
      <c r="F224" s="105"/>
      <c r="G224" s="114"/>
      <c r="H224" s="106"/>
      <c r="I224" s="106"/>
      <c r="J224" s="105"/>
      <c r="K224" s="105"/>
      <c r="L224" s="109"/>
      <c r="M224" s="109"/>
      <c r="N224" s="109"/>
      <c r="O224" s="105"/>
      <c r="P224" s="105"/>
      <c r="Q224" s="105"/>
    </row>
    <row r="225">
      <c r="A225" s="5"/>
      <c r="B225" s="105"/>
      <c r="C225" s="105"/>
      <c r="D225" s="105"/>
      <c r="E225" s="105"/>
      <c r="F225" s="105"/>
      <c r="G225" s="106"/>
      <c r="H225" s="105"/>
      <c r="I225" s="105"/>
      <c r="J225" s="105"/>
      <c r="K225" s="105"/>
      <c r="L225" s="109"/>
      <c r="M225" s="109"/>
      <c r="N225" s="109"/>
      <c r="O225" s="105"/>
      <c r="P225" s="105"/>
      <c r="Q225" s="105"/>
    </row>
    <row r="226">
      <c r="A226" s="5"/>
      <c r="B226" s="105"/>
      <c r="C226" s="105"/>
      <c r="D226" s="105"/>
      <c r="E226" s="105"/>
      <c r="F226" s="105"/>
      <c r="G226" s="106"/>
      <c r="H226" s="105"/>
      <c r="I226" s="105"/>
      <c r="J226" s="105"/>
      <c r="K226" s="105"/>
      <c r="L226" s="109"/>
      <c r="M226" s="109"/>
      <c r="N226" s="109"/>
      <c r="O226" s="105"/>
      <c r="P226" s="105"/>
      <c r="Q226" s="105"/>
    </row>
    <row r="227">
      <c r="A227" s="5"/>
      <c r="B227" s="105"/>
      <c r="C227" s="105"/>
      <c r="D227" s="105"/>
      <c r="E227" s="105"/>
      <c r="F227" s="105"/>
      <c r="G227" s="106"/>
      <c r="H227" s="105"/>
      <c r="I227" s="105"/>
      <c r="J227" s="105"/>
      <c r="K227" s="105"/>
      <c r="L227" s="109"/>
      <c r="M227" s="109"/>
      <c r="N227" s="109"/>
      <c r="O227" s="105"/>
      <c r="P227" s="105"/>
      <c r="Q227" s="105"/>
    </row>
    <row r="228">
      <c r="A228" s="5"/>
      <c r="B228" s="105"/>
      <c r="C228" s="105"/>
      <c r="D228" s="105"/>
      <c r="E228" s="105"/>
      <c r="F228" s="105"/>
      <c r="G228" s="106"/>
      <c r="H228" s="105"/>
      <c r="I228" s="105"/>
      <c r="J228" s="105"/>
      <c r="K228" s="105"/>
      <c r="L228" s="109"/>
      <c r="M228" s="109"/>
      <c r="N228" s="109"/>
      <c r="O228" s="105"/>
      <c r="P228" s="105"/>
      <c r="Q228" s="105"/>
    </row>
    <row r="229">
      <c r="A229" s="5"/>
      <c r="B229" s="105"/>
      <c r="C229" s="105"/>
      <c r="D229" s="105"/>
      <c r="E229" s="105"/>
      <c r="F229" s="105"/>
      <c r="G229" s="106"/>
      <c r="H229" s="105"/>
      <c r="I229" s="105"/>
      <c r="J229" s="105"/>
      <c r="K229" s="105"/>
      <c r="L229" s="109"/>
      <c r="M229" s="109"/>
      <c r="N229" s="109"/>
      <c r="O229" s="105"/>
      <c r="P229" s="105"/>
      <c r="Q229" s="105"/>
    </row>
    <row r="230">
      <c r="A230" s="5"/>
      <c r="B230" s="105"/>
      <c r="C230" s="105"/>
      <c r="D230" s="105"/>
      <c r="E230" s="105"/>
      <c r="F230" s="105"/>
      <c r="G230" s="106"/>
      <c r="H230" s="105"/>
      <c r="I230" s="105"/>
      <c r="J230" s="105"/>
      <c r="K230" s="105"/>
      <c r="L230" s="109"/>
      <c r="M230" s="109"/>
      <c r="N230" s="109"/>
      <c r="O230" s="105"/>
      <c r="P230" s="105"/>
      <c r="Q230" s="105"/>
    </row>
    <row r="231">
      <c r="A231" s="5"/>
      <c r="B231" s="105"/>
      <c r="C231" s="105"/>
      <c r="D231" s="105"/>
      <c r="E231" s="105"/>
      <c r="F231" s="105"/>
      <c r="G231" s="106"/>
      <c r="H231" s="105"/>
      <c r="I231" s="105"/>
      <c r="J231" s="105"/>
      <c r="K231" s="105"/>
      <c r="L231" s="109"/>
      <c r="M231" s="109"/>
      <c r="N231" s="109"/>
      <c r="O231" s="105"/>
      <c r="P231" s="105"/>
      <c r="Q231" s="105"/>
    </row>
    <row r="232">
      <c r="A232" s="5"/>
      <c r="B232" s="105"/>
      <c r="C232" s="105"/>
      <c r="D232" s="105"/>
      <c r="E232" s="105"/>
      <c r="F232" s="105"/>
      <c r="G232" s="106"/>
      <c r="H232" s="105"/>
      <c r="I232" s="105"/>
      <c r="J232" s="105"/>
      <c r="K232" s="105"/>
      <c r="L232" s="109"/>
      <c r="M232" s="109"/>
      <c r="N232" s="109"/>
      <c r="O232" s="105"/>
      <c r="P232" s="105"/>
      <c r="Q232" s="105"/>
    </row>
    <row r="233">
      <c r="A233" s="5"/>
      <c r="B233" s="105"/>
      <c r="C233" s="105"/>
      <c r="D233" s="105"/>
      <c r="E233" s="105"/>
      <c r="F233" s="105"/>
      <c r="G233" s="106"/>
      <c r="H233" s="105"/>
      <c r="I233" s="105"/>
      <c r="J233" s="105"/>
      <c r="K233" s="105"/>
      <c r="L233" s="109"/>
      <c r="M233" s="109"/>
      <c r="N233" s="109"/>
      <c r="O233" s="105"/>
      <c r="P233" s="105"/>
      <c r="Q233" s="105"/>
    </row>
    <row r="234">
      <c r="A234" s="5"/>
      <c r="B234" s="105"/>
      <c r="C234" s="105"/>
      <c r="D234" s="105"/>
      <c r="E234" s="105"/>
      <c r="F234" s="105"/>
      <c r="G234" s="106"/>
      <c r="H234" s="105"/>
      <c r="I234" s="105"/>
      <c r="J234" s="105"/>
      <c r="K234" s="105"/>
      <c r="L234" s="109"/>
      <c r="M234" s="109"/>
      <c r="N234" s="109"/>
      <c r="O234" s="105"/>
      <c r="P234" s="105"/>
      <c r="Q234" s="105"/>
    </row>
    <row r="235">
      <c r="A235" s="5"/>
      <c r="B235" s="105"/>
      <c r="C235" s="105"/>
      <c r="D235" s="105"/>
      <c r="E235" s="105"/>
      <c r="F235" s="105"/>
      <c r="G235" s="106"/>
      <c r="H235" s="105"/>
      <c r="I235" s="105"/>
      <c r="J235" s="105"/>
      <c r="K235" s="105"/>
      <c r="L235" s="109"/>
      <c r="M235" s="109"/>
      <c r="N235" s="109"/>
      <c r="O235" s="105"/>
      <c r="P235" s="105"/>
      <c r="Q235" s="105"/>
    </row>
    <row r="236">
      <c r="A236" s="5"/>
      <c r="B236" s="105"/>
      <c r="C236" s="105"/>
      <c r="D236" s="105"/>
      <c r="E236" s="105"/>
      <c r="F236" s="105"/>
      <c r="G236" s="106"/>
      <c r="H236" s="105"/>
      <c r="I236" s="105"/>
      <c r="J236" s="105"/>
      <c r="K236" s="105"/>
      <c r="L236" s="109"/>
      <c r="M236" s="109"/>
      <c r="N236" s="109"/>
      <c r="O236" s="105"/>
      <c r="P236" s="105"/>
      <c r="Q236" s="105"/>
    </row>
    <row r="237">
      <c r="A237" s="5"/>
      <c r="B237" s="105"/>
      <c r="C237" s="105"/>
      <c r="D237" s="105"/>
      <c r="E237" s="105"/>
      <c r="F237" s="105"/>
      <c r="G237" s="106"/>
      <c r="H237" s="105"/>
      <c r="I237" s="105"/>
      <c r="J237" s="105"/>
      <c r="K237" s="105"/>
      <c r="L237" s="109"/>
      <c r="M237" s="109"/>
      <c r="N237" s="109"/>
      <c r="O237" s="105"/>
      <c r="P237" s="105"/>
      <c r="Q237" s="105"/>
    </row>
    <row r="238">
      <c r="A238" s="5"/>
      <c r="B238" s="105"/>
      <c r="C238" s="105"/>
      <c r="D238" s="105"/>
      <c r="E238" s="105"/>
      <c r="F238" s="105"/>
      <c r="G238" s="106"/>
      <c r="H238" s="105"/>
      <c r="I238" s="105"/>
      <c r="J238" s="105"/>
      <c r="K238" s="105"/>
      <c r="L238" s="109"/>
      <c r="M238" s="109"/>
      <c r="N238" s="109"/>
      <c r="O238" s="105"/>
      <c r="P238" s="105"/>
      <c r="Q238" s="105"/>
    </row>
    <row r="239">
      <c r="A239" s="5"/>
      <c r="B239" s="105"/>
      <c r="C239" s="105"/>
      <c r="D239" s="105"/>
      <c r="E239" s="105"/>
      <c r="F239" s="105"/>
      <c r="G239" s="106"/>
      <c r="H239" s="105"/>
      <c r="I239" s="105"/>
      <c r="J239" s="105"/>
      <c r="K239" s="105"/>
      <c r="L239" s="109"/>
      <c r="M239" s="109"/>
      <c r="N239" s="109"/>
      <c r="O239" s="105"/>
      <c r="P239" s="105"/>
      <c r="Q239" s="105"/>
    </row>
    <row r="240">
      <c r="A240" s="5"/>
      <c r="B240" s="105"/>
      <c r="C240" s="105"/>
      <c r="D240" s="105"/>
      <c r="E240" s="105"/>
      <c r="F240" s="105"/>
      <c r="G240" s="106"/>
      <c r="H240" s="105"/>
      <c r="I240" s="105"/>
      <c r="J240" s="105"/>
      <c r="K240" s="105"/>
      <c r="L240" s="109"/>
      <c r="M240" s="109"/>
      <c r="N240" s="109"/>
      <c r="O240" s="105"/>
      <c r="P240" s="105"/>
      <c r="Q240" s="105"/>
    </row>
    <row r="241">
      <c r="A241" s="5"/>
      <c r="B241" s="105"/>
      <c r="C241" s="105"/>
      <c r="D241" s="105"/>
      <c r="E241" s="105"/>
      <c r="F241" s="105"/>
      <c r="G241" s="106"/>
      <c r="H241" s="105"/>
      <c r="I241" s="105"/>
      <c r="J241" s="105"/>
      <c r="K241" s="105"/>
      <c r="L241" s="109"/>
      <c r="M241" s="109"/>
      <c r="N241" s="109"/>
      <c r="O241" s="105"/>
      <c r="P241" s="105"/>
      <c r="Q241" s="105"/>
    </row>
    <row r="242">
      <c r="A242" s="5"/>
      <c r="B242" s="105"/>
      <c r="C242" s="105"/>
      <c r="D242" s="105"/>
      <c r="E242" s="105"/>
      <c r="F242" s="105"/>
      <c r="G242" s="106"/>
      <c r="H242" s="105"/>
      <c r="I242" s="105"/>
      <c r="J242" s="105"/>
      <c r="K242" s="105"/>
      <c r="L242" s="109"/>
      <c r="M242" s="109"/>
      <c r="N242" s="109"/>
      <c r="O242" s="105"/>
      <c r="P242" s="105"/>
      <c r="Q242" s="105"/>
    </row>
    <row r="243">
      <c r="A243" s="5"/>
      <c r="B243" s="105"/>
      <c r="C243" s="105"/>
      <c r="D243" s="105"/>
      <c r="E243" s="105"/>
      <c r="F243" s="105"/>
      <c r="G243" s="106"/>
      <c r="H243" s="105"/>
      <c r="I243" s="105"/>
      <c r="J243" s="105"/>
      <c r="K243" s="105"/>
      <c r="L243" s="109"/>
      <c r="M243" s="109"/>
      <c r="N243" s="109"/>
      <c r="O243" s="105"/>
      <c r="P243" s="105"/>
      <c r="Q243" s="105"/>
    </row>
    <row r="244">
      <c r="A244" s="5"/>
      <c r="B244" s="105"/>
      <c r="C244" s="105"/>
      <c r="D244" s="105"/>
      <c r="E244" s="105"/>
      <c r="F244" s="105"/>
      <c r="G244" s="106"/>
      <c r="H244" s="105"/>
      <c r="I244" s="105"/>
      <c r="J244" s="105"/>
      <c r="K244" s="105"/>
      <c r="L244" s="109"/>
      <c r="M244" s="109"/>
      <c r="N244" s="109"/>
      <c r="O244" s="105"/>
      <c r="P244" s="105"/>
      <c r="Q244" s="105"/>
    </row>
    <row r="245">
      <c r="A245" s="5"/>
      <c r="B245" s="105"/>
      <c r="C245" s="105"/>
      <c r="D245" s="105"/>
      <c r="E245" s="105"/>
      <c r="F245" s="105"/>
      <c r="G245" s="106"/>
      <c r="H245" s="105"/>
      <c r="I245" s="105"/>
      <c r="J245" s="105"/>
      <c r="K245" s="105"/>
      <c r="L245" s="109"/>
      <c r="M245" s="109"/>
      <c r="N245" s="109"/>
      <c r="O245" s="105"/>
      <c r="P245" s="105"/>
      <c r="Q245" s="105"/>
    </row>
    <row r="246">
      <c r="A246" s="5"/>
      <c r="B246" s="105"/>
      <c r="C246" s="105"/>
      <c r="D246" s="105"/>
      <c r="E246" s="105"/>
      <c r="F246" s="105"/>
      <c r="G246" s="106"/>
      <c r="H246" s="105"/>
      <c r="I246" s="105"/>
      <c r="J246" s="105"/>
      <c r="K246" s="105"/>
      <c r="L246" s="109"/>
      <c r="M246" s="109"/>
      <c r="N246" s="109"/>
      <c r="O246" s="105"/>
      <c r="P246" s="105"/>
      <c r="Q246" s="105"/>
    </row>
    <row r="247">
      <c r="A247" s="5"/>
      <c r="B247" s="105"/>
      <c r="C247" s="105"/>
      <c r="D247" s="105"/>
      <c r="E247" s="105"/>
      <c r="F247" s="105"/>
      <c r="G247" s="106"/>
      <c r="H247" s="105"/>
      <c r="I247" s="105"/>
      <c r="J247" s="105"/>
      <c r="K247" s="105"/>
      <c r="L247" s="109"/>
      <c r="M247" s="109"/>
      <c r="N247" s="109"/>
      <c r="O247" s="105"/>
      <c r="P247" s="105"/>
      <c r="Q247" s="105"/>
    </row>
    <row r="248">
      <c r="A248" s="5"/>
      <c r="B248" s="105"/>
      <c r="C248" s="105"/>
      <c r="D248" s="105"/>
      <c r="E248" s="105"/>
      <c r="F248" s="105"/>
      <c r="G248" s="106"/>
      <c r="H248" s="105"/>
      <c r="I248" s="105"/>
      <c r="J248" s="105"/>
      <c r="K248" s="105"/>
      <c r="L248" s="109"/>
      <c r="M248" s="109"/>
      <c r="N248" s="109"/>
      <c r="O248" s="105"/>
      <c r="P248" s="105"/>
      <c r="Q248" s="105"/>
    </row>
    <row r="249">
      <c r="A249" s="5"/>
      <c r="B249" s="105"/>
      <c r="C249" s="105"/>
      <c r="D249" s="105"/>
      <c r="E249" s="105"/>
      <c r="F249" s="105"/>
      <c r="G249" s="106"/>
      <c r="H249" s="105"/>
      <c r="I249" s="105"/>
      <c r="J249" s="105"/>
      <c r="K249" s="105"/>
      <c r="L249" s="109"/>
      <c r="M249" s="109"/>
      <c r="N249" s="109"/>
      <c r="O249" s="105"/>
      <c r="P249" s="105"/>
      <c r="Q249" s="105"/>
    </row>
    <row r="250">
      <c r="A250" s="5"/>
      <c r="B250" s="105"/>
      <c r="C250" s="105"/>
      <c r="D250" s="105"/>
      <c r="E250" s="105"/>
      <c r="F250" s="105"/>
      <c r="G250" s="106"/>
      <c r="H250" s="105"/>
      <c r="I250" s="105"/>
      <c r="J250" s="105"/>
      <c r="K250" s="105"/>
      <c r="L250" s="109"/>
      <c r="M250" s="109"/>
      <c r="N250" s="109"/>
      <c r="O250" s="105"/>
      <c r="P250" s="105"/>
      <c r="Q250" s="105"/>
    </row>
    <row r="251">
      <c r="A251" s="5"/>
      <c r="B251" s="105"/>
      <c r="C251" s="105"/>
      <c r="D251" s="105"/>
      <c r="E251" s="105"/>
      <c r="F251" s="105"/>
      <c r="G251" s="106"/>
      <c r="H251" s="105"/>
      <c r="I251" s="105"/>
      <c r="J251" s="105"/>
      <c r="K251" s="105"/>
      <c r="L251" s="109"/>
      <c r="M251" s="109"/>
      <c r="N251" s="109"/>
      <c r="O251" s="105"/>
      <c r="P251" s="105"/>
      <c r="Q251" s="105"/>
    </row>
    <row r="252">
      <c r="A252" s="5"/>
      <c r="B252" s="105"/>
      <c r="C252" s="105"/>
      <c r="D252" s="105"/>
      <c r="E252" s="105"/>
      <c r="F252" s="105"/>
      <c r="G252" s="106"/>
      <c r="H252" s="105"/>
      <c r="I252" s="105"/>
      <c r="J252" s="105"/>
      <c r="K252" s="105"/>
      <c r="L252" s="109"/>
      <c r="M252" s="109"/>
      <c r="N252" s="109"/>
      <c r="O252" s="105"/>
      <c r="P252" s="105"/>
      <c r="Q252" s="105"/>
    </row>
    <row r="253">
      <c r="A253" s="5"/>
      <c r="B253" s="105"/>
      <c r="C253" s="105"/>
      <c r="D253" s="105"/>
      <c r="E253" s="105"/>
      <c r="F253" s="105"/>
      <c r="G253" s="106"/>
      <c r="H253" s="105"/>
      <c r="I253" s="105"/>
      <c r="J253" s="105"/>
      <c r="K253" s="105"/>
      <c r="L253" s="109"/>
      <c r="M253" s="109"/>
      <c r="N253" s="109"/>
      <c r="O253" s="105"/>
      <c r="P253" s="105"/>
      <c r="Q253" s="105"/>
    </row>
    <row r="254">
      <c r="A254" s="5"/>
      <c r="B254" s="105"/>
      <c r="C254" s="105"/>
      <c r="D254" s="105"/>
      <c r="E254" s="105"/>
      <c r="F254" s="105"/>
      <c r="G254" s="106"/>
      <c r="H254" s="105"/>
      <c r="I254" s="105"/>
      <c r="J254" s="105"/>
      <c r="K254" s="105"/>
      <c r="L254" s="109"/>
      <c r="M254" s="109"/>
      <c r="N254" s="109"/>
      <c r="O254" s="105"/>
      <c r="P254" s="105"/>
      <c r="Q254" s="105"/>
    </row>
    <row r="255">
      <c r="A255" s="5"/>
      <c r="B255" s="105"/>
      <c r="C255" s="105"/>
      <c r="D255" s="105"/>
      <c r="E255" s="105"/>
      <c r="F255" s="105"/>
      <c r="G255" s="106"/>
      <c r="H255" s="105"/>
      <c r="I255" s="105"/>
      <c r="J255" s="105"/>
      <c r="K255" s="105"/>
      <c r="L255" s="109"/>
      <c r="M255" s="109"/>
      <c r="N255" s="109"/>
      <c r="O255" s="105"/>
      <c r="P255" s="105"/>
      <c r="Q255" s="105"/>
    </row>
    <row r="256">
      <c r="A256" s="5"/>
      <c r="B256" s="105"/>
      <c r="C256" s="105"/>
      <c r="D256" s="105"/>
      <c r="E256" s="105"/>
      <c r="F256" s="105"/>
      <c r="G256" s="106"/>
      <c r="H256" s="105"/>
      <c r="I256" s="105"/>
      <c r="J256" s="105"/>
      <c r="K256" s="105"/>
      <c r="L256" s="109"/>
      <c r="M256" s="109"/>
      <c r="N256" s="109"/>
      <c r="O256" s="105"/>
      <c r="P256" s="105"/>
      <c r="Q256" s="105"/>
    </row>
    <row r="257">
      <c r="A257" s="5"/>
      <c r="B257" s="105"/>
      <c r="C257" s="105"/>
      <c r="D257" s="105"/>
      <c r="E257" s="105"/>
      <c r="F257" s="105"/>
      <c r="G257" s="106"/>
      <c r="H257" s="105"/>
      <c r="I257" s="105"/>
      <c r="J257" s="105"/>
      <c r="K257" s="105"/>
      <c r="L257" s="109"/>
      <c r="M257" s="109"/>
      <c r="N257" s="109"/>
      <c r="O257" s="105"/>
      <c r="P257" s="105"/>
      <c r="Q257" s="105"/>
    </row>
    <row r="258">
      <c r="A258" s="5"/>
      <c r="B258" s="105"/>
      <c r="C258" s="105"/>
      <c r="D258" s="105"/>
      <c r="E258" s="105"/>
      <c r="F258" s="105"/>
      <c r="G258" s="106"/>
      <c r="H258" s="105"/>
      <c r="I258" s="105"/>
      <c r="J258" s="105"/>
      <c r="K258" s="105"/>
      <c r="L258" s="109"/>
      <c r="M258" s="109"/>
      <c r="N258" s="109"/>
      <c r="O258" s="105"/>
      <c r="P258" s="105"/>
      <c r="Q258" s="105"/>
    </row>
    <row r="259">
      <c r="A259" s="5"/>
      <c r="B259" s="105"/>
      <c r="C259" s="105"/>
      <c r="D259" s="105"/>
      <c r="E259" s="105"/>
      <c r="F259" s="105"/>
      <c r="G259" s="106"/>
      <c r="H259" s="105"/>
      <c r="I259" s="105"/>
      <c r="J259" s="105"/>
      <c r="K259" s="105"/>
      <c r="L259" s="109"/>
      <c r="M259" s="109"/>
      <c r="N259" s="109"/>
      <c r="O259" s="105"/>
      <c r="P259" s="105"/>
      <c r="Q259" s="105"/>
    </row>
    <row r="260">
      <c r="A260" s="5"/>
      <c r="B260" s="105"/>
      <c r="C260" s="105"/>
      <c r="D260" s="105"/>
      <c r="E260" s="105"/>
      <c r="F260" s="105"/>
      <c r="G260" s="106"/>
      <c r="H260" s="105"/>
      <c r="I260" s="105"/>
      <c r="J260" s="105"/>
      <c r="K260" s="105"/>
      <c r="L260" s="109"/>
      <c r="M260" s="109"/>
      <c r="N260" s="109"/>
      <c r="O260" s="105"/>
      <c r="P260" s="105"/>
      <c r="Q260" s="105"/>
    </row>
    <row r="261">
      <c r="A261" s="5"/>
      <c r="B261" s="105"/>
      <c r="C261" s="105"/>
      <c r="D261" s="105"/>
      <c r="E261" s="105"/>
      <c r="F261" s="105"/>
      <c r="G261" s="106"/>
      <c r="H261" s="105"/>
      <c r="I261" s="105"/>
      <c r="J261" s="105"/>
      <c r="K261" s="105"/>
      <c r="L261" s="109"/>
      <c r="M261" s="109"/>
      <c r="N261" s="109"/>
      <c r="O261" s="105"/>
      <c r="P261" s="105"/>
      <c r="Q261" s="105"/>
    </row>
    <row r="262">
      <c r="A262" s="5"/>
      <c r="B262" s="105"/>
      <c r="C262" s="105"/>
      <c r="D262" s="105"/>
      <c r="E262" s="105"/>
      <c r="F262" s="105"/>
      <c r="G262" s="106"/>
      <c r="H262" s="105"/>
      <c r="I262" s="105"/>
      <c r="J262" s="105"/>
      <c r="K262" s="105"/>
      <c r="L262" s="109"/>
      <c r="M262" s="109"/>
      <c r="N262" s="109"/>
      <c r="O262" s="105"/>
      <c r="P262" s="105"/>
      <c r="Q262" s="105"/>
    </row>
    <row r="263">
      <c r="A263" s="5"/>
      <c r="B263" s="105"/>
      <c r="C263" s="105"/>
      <c r="D263" s="105"/>
      <c r="E263" s="105"/>
      <c r="F263" s="105"/>
      <c r="G263" s="106"/>
      <c r="H263" s="105"/>
      <c r="I263" s="105"/>
      <c r="J263" s="105"/>
      <c r="K263" s="105"/>
      <c r="L263" s="109"/>
      <c r="M263" s="109"/>
      <c r="N263" s="109"/>
      <c r="O263" s="105"/>
      <c r="P263" s="105"/>
      <c r="Q263" s="105"/>
    </row>
    <row r="264">
      <c r="A264" s="5"/>
      <c r="B264" s="105"/>
      <c r="C264" s="105"/>
      <c r="D264" s="105"/>
      <c r="E264" s="105"/>
      <c r="F264" s="105"/>
      <c r="G264" s="106"/>
      <c r="H264" s="105"/>
      <c r="I264" s="105"/>
      <c r="J264" s="105"/>
      <c r="K264" s="105"/>
      <c r="L264" s="109"/>
      <c r="M264" s="109"/>
      <c r="N264" s="109"/>
      <c r="O264" s="105"/>
      <c r="P264" s="105"/>
      <c r="Q264" s="105"/>
    </row>
    <row r="265">
      <c r="A265" s="5"/>
      <c r="B265" s="105"/>
      <c r="C265" s="105"/>
      <c r="D265" s="105"/>
      <c r="E265" s="105"/>
      <c r="F265" s="105"/>
      <c r="G265" s="106"/>
      <c r="H265" s="105"/>
      <c r="I265" s="105"/>
      <c r="J265" s="105"/>
      <c r="K265" s="105"/>
      <c r="L265" s="109"/>
      <c r="M265" s="109"/>
      <c r="N265" s="109"/>
      <c r="O265" s="105"/>
      <c r="P265" s="105"/>
      <c r="Q265" s="105"/>
    </row>
    <row r="266">
      <c r="A266" s="5"/>
      <c r="B266" s="105"/>
      <c r="C266" s="105"/>
      <c r="D266" s="105"/>
      <c r="E266" s="105"/>
      <c r="F266" s="105"/>
      <c r="G266" s="106"/>
      <c r="H266" s="105"/>
      <c r="I266" s="105"/>
      <c r="J266" s="105"/>
      <c r="K266" s="105"/>
      <c r="L266" s="109"/>
      <c r="M266" s="109"/>
      <c r="N266" s="109"/>
      <c r="O266" s="105"/>
      <c r="P266" s="105"/>
      <c r="Q266" s="105"/>
    </row>
    <row r="267">
      <c r="A267" s="5"/>
      <c r="B267" s="105"/>
      <c r="C267" s="105"/>
      <c r="D267" s="105"/>
      <c r="E267" s="105"/>
      <c r="F267" s="105"/>
      <c r="G267" s="106"/>
      <c r="H267" s="105"/>
      <c r="I267" s="105"/>
      <c r="J267" s="105"/>
      <c r="K267" s="105"/>
      <c r="L267" s="109"/>
      <c r="M267" s="109"/>
      <c r="N267" s="109"/>
      <c r="O267" s="105"/>
      <c r="P267" s="105"/>
      <c r="Q267" s="105"/>
    </row>
    <row r="268">
      <c r="A268" s="5"/>
      <c r="B268" s="105"/>
      <c r="C268" s="105"/>
      <c r="D268" s="105"/>
      <c r="E268" s="105"/>
      <c r="F268" s="105"/>
      <c r="G268" s="106"/>
      <c r="H268" s="105"/>
      <c r="I268" s="105"/>
      <c r="J268" s="105"/>
      <c r="K268" s="105"/>
      <c r="L268" s="109"/>
      <c r="M268" s="109"/>
      <c r="N268" s="109"/>
      <c r="O268" s="105"/>
      <c r="P268" s="105"/>
      <c r="Q268" s="105"/>
    </row>
    <row r="269">
      <c r="A269" s="5"/>
      <c r="B269" s="105"/>
      <c r="C269" s="105"/>
      <c r="D269" s="105"/>
      <c r="E269" s="105"/>
      <c r="F269" s="105"/>
      <c r="G269" s="106"/>
      <c r="H269" s="105"/>
      <c r="I269" s="105"/>
      <c r="J269" s="105"/>
      <c r="K269" s="105"/>
      <c r="L269" s="109"/>
      <c r="M269" s="109"/>
      <c r="N269" s="109"/>
      <c r="O269" s="105"/>
      <c r="P269" s="105"/>
      <c r="Q269" s="105"/>
    </row>
    <row r="270">
      <c r="A270" s="5"/>
      <c r="B270" s="105"/>
      <c r="C270" s="105"/>
      <c r="D270" s="105"/>
      <c r="E270" s="105"/>
      <c r="F270" s="105"/>
      <c r="G270" s="106"/>
      <c r="H270" s="105"/>
      <c r="I270" s="105"/>
      <c r="J270" s="105"/>
      <c r="K270" s="105"/>
      <c r="L270" s="109"/>
      <c r="M270" s="109"/>
      <c r="N270" s="109"/>
      <c r="O270" s="105"/>
      <c r="P270" s="105"/>
      <c r="Q270" s="105"/>
    </row>
    <row r="271">
      <c r="A271" s="5"/>
      <c r="B271" s="105"/>
      <c r="C271" s="105"/>
      <c r="D271" s="105"/>
      <c r="E271" s="105"/>
      <c r="F271" s="105"/>
      <c r="G271" s="106"/>
      <c r="H271" s="105"/>
      <c r="I271" s="105"/>
      <c r="J271" s="105"/>
      <c r="K271" s="105"/>
      <c r="L271" s="109"/>
      <c r="M271" s="109"/>
      <c r="N271" s="109"/>
      <c r="O271" s="105"/>
      <c r="P271" s="105"/>
      <c r="Q271" s="105"/>
    </row>
    <row r="272">
      <c r="A272" s="5"/>
      <c r="B272" s="105"/>
      <c r="C272" s="105"/>
      <c r="D272" s="105"/>
      <c r="E272" s="105"/>
      <c r="F272" s="105"/>
      <c r="G272" s="106"/>
      <c r="H272" s="105"/>
      <c r="I272" s="105"/>
      <c r="J272" s="105"/>
      <c r="K272" s="105"/>
      <c r="L272" s="109"/>
      <c r="M272" s="109"/>
      <c r="N272" s="109"/>
      <c r="O272" s="105"/>
      <c r="P272" s="105"/>
      <c r="Q272" s="105"/>
    </row>
    <row r="273">
      <c r="A273" s="5"/>
      <c r="B273" s="105"/>
      <c r="C273" s="105"/>
      <c r="D273" s="105"/>
      <c r="E273" s="105"/>
      <c r="F273" s="105"/>
      <c r="G273" s="106"/>
      <c r="H273" s="105"/>
      <c r="I273" s="105"/>
      <c r="J273" s="105"/>
      <c r="K273" s="105"/>
      <c r="L273" s="109"/>
      <c r="M273" s="109"/>
      <c r="N273" s="109"/>
      <c r="O273" s="105"/>
      <c r="P273" s="105"/>
      <c r="Q273" s="105"/>
    </row>
    <row r="274">
      <c r="A274" s="5"/>
      <c r="B274" s="105"/>
      <c r="C274" s="105"/>
      <c r="D274" s="105"/>
      <c r="E274" s="105"/>
      <c r="F274" s="105"/>
      <c r="G274" s="106"/>
      <c r="H274" s="105"/>
      <c r="I274" s="105"/>
      <c r="J274" s="105"/>
      <c r="K274" s="105"/>
      <c r="L274" s="109"/>
      <c r="M274" s="109"/>
      <c r="N274" s="109"/>
      <c r="O274" s="105"/>
      <c r="P274" s="105"/>
      <c r="Q274" s="105"/>
    </row>
    <row r="275">
      <c r="A275" s="5"/>
      <c r="B275" s="105"/>
      <c r="C275" s="105"/>
      <c r="D275" s="105"/>
      <c r="E275" s="105"/>
      <c r="F275" s="105"/>
      <c r="G275" s="106"/>
      <c r="H275" s="105"/>
      <c r="I275" s="105"/>
      <c r="J275" s="105"/>
      <c r="K275" s="105"/>
      <c r="L275" s="109"/>
      <c r="M275" s="109"/>
      <c r="N275" s="109"/>
      <c r="O275" s="105"/>
      <c r="P275" s="105"/>
      <c r="Q275" s="105"/>
    </row>
    <row r="276">
      <c r="A276" s="5"/>
      <c r="B276" s="105"/>
      <c r="C276" s="105"/>
      <c r="D276" s="105"/>
      <c r="E276" s="105"/>
      <c r="F276" s="105"/>
      <c r="G276" s="106"/>
      <c r="H276" s="105"/>
      <c r="I276" s="105"/>
      <c r="J276" s="105"/>
      <c r="K276" s="105"/>
      <c r="L276" s="109"/>
      <c r="M276" s="109"/>
      <c r="N276" s="109"/>
      <c r="O276" s="105"/>
      <c r="P276" s="105"/>
      <c r="Q276" s="105"/>
    </row>
    <row r="277">
      <c r="A277" s="5"/>
      <c r="B277" s="105"/>
      <c r="C277" s="105"/>
      <c r="D277" s="105"/>
      <c r="E277" s="105"/>
      <c r="F277" s="105"/>
      <c r="G277" s="106"/>
      <c r="H277" s="105"/>
      <c r="I277" s="105"/>
      <c r="J277" s="105"/>
      <c r="K277" s="105"/>
      <c r="L277" s="109"/>
      <c r="M277" s="109"/>
      <c r="N277" s="109"/>
      <c r="O277" s="105"/>
      <c r="P277" s="105"/>
      <c r="Q277" s="105"/>
    </row>
    <row r="278">
      <c r="A278" s="5"/>
      <c r="B278" s="105"/>
      <c r="C278" s="105"/>
      <c r="D278" s="105"/>
      <c r="E278" s="105"/>
      <c r="F278" s="105"/>
      <c r="G278" s="106"/>
      <c r="H278" s="105"/>
      <c r="I278" s="105"/>
      <c r="J278" s="105"/>
      <c r="K278" s="105"/>
      <c r="L278" s="109"/>
      <c r="M278" s="109"/>
      <c r="N278" s="109"/>
      <c r="O278" s="105"/>
      <c r="P278" s="105"/>
      <c r="Q278" s="105"/>
    </row>
    <row r="279">
      <c r="A279" s="5"/>
      <c r="B279" s="105"/>
      <c r="C279" s="105"/>
      <c r="D279" s="105"/>
      <c r="E279" s="105"/>
      <c r="F279" s="105"/>
      <c r="G279" s="106"/>
      <c r="H279" s="105"/>
      <c r="I279" s="105"/>
      <c r="J279" s="105"/>
      <c r="K279" s="105"/>
      <c r="L279" s="109"/>
      <c r="M279" s="109"/>
      <c r="N279" s="109"/>
      <c r="O279" s="105"/>
      <c r="P279" s="105"/>
      <c r="Q279" s="105"/>
    </row>
    <row r="280">
      <c r="A280" s="5"/>
      <c r="B280" s="105"/>
      <c r="C280" s="105"/>
      <c r="D280" s="105"/>
      <c r="E280" s="105"/>
      <c r="F280" s="105"/>
      <c r="G280" s="106"/>
      <c r="H280" s="105"/>
      <c r="I280" s="105"/>
      <c r="J280" s="105"/>
      <c r="K280" s="105"/>
      <c r="L280" s="109"/>
      <c r="M280" s="109"/>
      <c r="N280" s="109"/>
      <c r="O280" s="105"/>
      <c r="P280" s="105"/>
      <c r="Q280" s="105"/>
    </row>
    <row r="281">
      <c r="A281" s="5"/>
      <c r="B281" s="105"/>
      <c r="C281" s="105"/>
      <c r="D281" s="105"/>
      <c r="E281" s="105"/>
      <c r="F281" s="105"/>
      <c r="G281" s="106"/>
      <c r="H281" s="105"/>
      <c r="I281" s="105"/>
      <c r="J281" s="105"/>
      <c r="K281" s="105"/>
      <c r="L281" s="109"/>
      <c r="M281" s="109"/>
      <c r="N281" s="109"/>
      <c r="O281" s="105"/>
      <c r="P281" s="105"/>
      <c r="Q281" s="105"/>
    </row>
    <row r="282">
      <c r="A282" s="5"/>
      <c r="B282" s="105"/>
      <c r="C282" s="105"/>
      <c r="D282" s="105"/>
      <c r="E282" s="105"/>
      <c r="F282" s="105"/>
      <c r="G282" s="106"/>
      <c r="H282" s="105"/>
      <c r="I282" s="105"/>
      <c r="J282" s="105"/>
      <c r="K282" s="105"/>
      <c r="L282" s="109"/>
      <c r="M282" s="109"/>
      <c r="N282" s="109"/>
      <c r="O282" s="105"/>
      <c r="P282" s="105"/>
      <c r="Q282" s="105"/>
    </row>
    <row r="283">
      <c r="A283" s="5"/>
      <c r="B283" s="105"/>
      <c r="C283" s="105"/>
      <c r="D283" s="105"/>
      <c r="E283" s="105"/>
      <c r="F283" s="105"/>
      <c r="G283" s="106"/>
      <c r="H283" s="105"/>
      <c r="I283" s="105"/>
      <c r="J283" s="105"/>
      <c r="K283" s="105"/>
      <c r="L283" s="109"/>
      <c r="M283" s="109"/>
      <c r="N283" s="109"/>
      <c r="O283" s="105"/>
      <c r="P283" s="105"/>
      <c r="Q283" s="105"/>
    </row>
    <row r="284">
      <c r="A284" s="5"/>
      <c r="B284" s="105"/>
      <c r="C284" s="105"/>
      <c r="D284" s="105"/>
      <c r="E284" s="105"/>
      <c r="F284" s="105"/>
      <c r="G284" s="106"/>
      <c r="H284" s="105"/>
      <c r="I284" s="105"/>
      <c r="J284" s="105"/>
      <c r="K284" s="105"/>
      <c r="L284" s="109"/>
      <c r="M284" s="109"/>
      <c r="N284" s="109"/>
      <c r="O284" s="105"/>
      <c r="P284" s="105"/>
      <c r="Q284" s="105"/>
    </row>
    <row r="285">
      <c r="A285" s="5"/>
      <c r="B285" s="105"/>
      <c r="C285" s="105"/>
      <c r="D285" s="105"/>
      <c r="E285" s="105"/>
      <c r="F285" s="105"/>
      <c r="G285" s="106"/>
      <c r="H285" s="105"/>
      <c r="I285" s="105"/>
      <c r="J285" s="105"/>
      <c r="K285" s="105"/>
      <c r="L285" s="109"/>
      <c r="M285" s="109"/>
      <c r="N285" s="109"/>
      <c r="O285" s="105"/>
      <c r="P285" s="105"/>
      <c r="Q285" s="105"/>
    </row>
    <row r="286">
      <c r="A286" s="5"/>
      <c r="B286" s="105"/>
      <c r="C286" s="105"/>
      <c r="D286" s="105"/>
      <c r="E286" s="105"/>
      <c r="F286" s="105"/>
      <c r="G286" s="106"/>
      <c r="H286" s="105"/>
      <c r="I286" s="105"/>
      <c r="J286" s="105"/>
      <c r="K286" s="105"/>
      <c r="L286" s="109"/>
      <c r="M286" s="109"/>
      <c r="N286" s="109"/>
      <c r="O286" s="105"/>
      <c r="P286" s="105"/>
      <c r="Q286" s="105"/>
    </row>
    <row r="287">
      <c r="A287" s="5"/>
      <c r="B287" s="105"/>
      <c r="C287" s="105"/>
      <c r="D287" s="105"/>
      <c r="E287" s="105"/>
      <c r="F287" s="105"/>
      <c r="G287" s="106"/>
      <c r="H287" s="105"/>
      <c r="I287" s="105"/>
      <c r="J287" s="105"/>
      <c r="K287" s="105"/>
      <c r="L287" s="109"/>
      <c r="M287" s="109"/>
      <c r="N287" s="109"/>
      <c r="O287" s="105"/>
      <c r="P287" s="105"/>
      <c r="Q287" s="105"/>
    </row>
    <row r="288">
      <c r="A288" s="5"/>
      <c r="B288" s="105"/>
      <c r="C288" s="105"/>
      <c r="D288" s="105"/>
      <c r="E288" s="105"/>
      <c r="F288" s="105"/>
      <c r="G288" s="106"/>
      <c r="H288" s="105"/>
      <c r="I288" s="105"/>
      <c r="J288" s="105"/>
      <c r="K288" s="105"/>
      <c r="L288" s="109"/>
      <c r="M288" s="109"/>
      <c r="N288" s="109"/>
      <c r="O288" s="105"/>
      <c r="P288" s="105"/>
      <c r="Q288" s="105"/>
    </row>
    <row r="289">
      <c r="A289" s="5"/>
      <c r="B289" s="105"/>
      <c r="C289" s="105"/>
      <c r="D289" s="105"/>
      <c r="E289" s="105"/>
      <c r="F289" s="105"/>
      <c r="G289" s="106"/>
      <c r="H289" s="105"/>
      <c r="I289" s="105"/>
      <c r="J289" s="105"/>
      <c r="K289" s="105"/>
      <c r="L289" s="109"/>
      <c r="M289" s="109"/>
      <c r="N289" s="109"/>
      <c r="O289" s="105"/>
      <c r="P289" s="105"/>
      <c r="Q289" s="105"/>
    </row>
    <row r="290">
      <c r="A290" s="5"/>
      <c r="B290" s="105"/>
      <c r="C290" s="105"/>
      <c r="D290" s="105"/>
      <c r="E290" s="105"/>
      <c r="F290" s="105"/>
      <c r="G290" s="106"/>
      <c r="H290" s="105"/>
      <c r="I290" s="105"/>
      <c r="J290" s="105"/>
      <c r="K290" s="105"/>
      <c r="L290" s="109"/>
      <c r="M290" s="109"/>
      <c r="N290" s="109"/>
      <c r="O290" s="105"/>
      <c r="P290" s="105"/>
      <c r="Q290" s="105"/>
    </row>
    <row r="291">
      <c r="A291" s="5"/>
      <c r="B291" s="105"/>
      <c r="C291" s="105"/>
      <c r="D291" s="105"/>
      <c r="E291" s="105"/>
      <c r="F291" s="105"/>
      <c r="G291" s="106"/>
      <c r="H291" s="105"/>
      <c r="I291" s="105"/>
      <c r="J291" s="105"/>
      <c r="K291" s="105"/>
      <c r="L291" s="109"/>
      <c r="M291" s="109"/>
      <c r="N291" s="109"/>
      <c r="O291" s="105"/>
      <c r="P291" s="105"/>
      <c r="Q291" s="105"/>
    </row>
    <row r="292">
      <c r="A292" s="5"/>
      <c r="B292" s="105"/>
      <c r="C292" s="105"/>
      <c r="D292" s="105"/>
      <c r="E292" s="105"/>
      <c r="F292" s="105"/>
      <c r="G292" s="106"/>
      <c r="H292" s="105"/>
      <c r="I292" s="105"/>
      <c r="J292" s="105"/>
      <c r="K292" s="105"/>
      <c r="L292" s="109"/>
      <c r="M292" s="109"/>
      <c r="N292" s="109"/>
      <c r="O292" s="105"/>
      <c r="P292" s="105"/>
      <c r="Q292" s="105"/>
    </row>
    <row r="293">
      <c r="A293" s="5"/>
      <c r="B293" s="105"/>
      <c r="C293" s="105"/>
      <c r="D293" s="105"/>
      <c r="E293" s="105"/>
      <c r="F293" s="105"/>
      <c r="G293" s="106"/>
      <c r="H293" s="105"/>
      <c r="I293" s="105"/>
      <c r="J293" s="105"/>
      <c r="K293" s="105"/>
      <c r="L293" s="109"/>
      <c r="M293" s="109"/>
      <c r="N293" s="109"/>
      <c r="O293" s="105"/>
      <c r="P293" s="105"/>
      <c r="Q293" s="105"/>
    </row>
    <row r="294">
      <c r="A294" s="5"/>
      <c r="B294" s="105"/>
      <c r="C294" s="105"/>
      <c r="D294" s="105"/>
      <c r="E294" s="105"/>
      <c r="F294" s="105"/>
      <c r="G294" s="106"/>
      <c r="H294" s="105"/>
      <c r="I294" s="105"/>
      <c r="J294" s="105"/>
      <c r="K294" s="105"/>
      <c r="L294" s="109"/>
      <c r="M294" s="109"/>
      <c r="N294" s="109"/>
      <c r="O294" s="105"/>
      <c r="P294" s="105"/>
      <c r="Q294" s="105"/>
    </row>
    <row r="295">
      <c r="A295" s="5"/>
      <c r="B295" s="105"/>
      <c r="C295" s="105"/>
      <c r="D295" s="105"/>
      <c r="E295" s="105"/>
      <c r="F295" s="105"/>
      <c r="G295" s="106"/>
      <c r="H295" s="105"/>
      <c r="I295" s="105"/>
      <c r="J295" s="105"/>
      <c r="K295" s="105"/>
      <c r="L295" s="109"/>
      <c r="M295" s="109"/>
      <c r="N295" s="109"/>
      <c r="O295" s="105"/>
      <c r="P295" s="105"/>
      <c r="Q295" s="105"/>
    </row>
    <row r="296">
      <c r="A296" s="5"/>
      <c r="B296" s="105"/>
      <c r="C296" s="105"/>
      <c r="D296" s="105"/>
      <c r="E296" s="105"/>
      <c r="F296" s="105"/>
      <c r="G296" s="106"/>
      <c r="H296" s="105"/>
      <c r="I296" s="105"/>
      <c r="J296" s="105"/>
      <c r="K296" s="105"/>
      <c r="L296" s="109"/>
      <c r="M296" s="109"/>
      <c r="N296" s="109"/>
      <c r="O296" s="105"/>
      <c r="P296" s="105"/>
      <c r="Q296" s="105"/>
    </row>
    <row r="297">
      <c r="A297" s="5"/>
      <c r="B297" s="105"/>
      <c r="C297" s="105"/>
      <c r="D297" s="105"/>
      <c r="E297" s="105"/>
      <c r="F297" s="105"/>
      <c r="G297" s="106"/>
      <c r="H297" s="105"/>
      <c r="I297" s="105"/>
      <c r="J297" s="105"/>
      <c r="K297" s="105"/>
      <c r="L297" s="109"/>
      <c r="M297" s="109"/>
      <c r="N297" s="109"/>
      <c r="O297" s="105"/>
      <c r="P297" s="105"/>
      <c r="Q297" s="105"/>
    </row>
    <row r="298">
      <c r="A298" s="5"/>
      <c r="B298" s="105"/>
      <c r="C298" s="105"/>
      <c r="D298" s="105"/>
      <c r="E298" s="105"/>
      <c r="F298" s="105"/>
      <c r="G298" s="106"/>
      <c r="H298" s="105"/>
      <c r="I298" s="105"/>
      <c r="J298" s="105"/>
      <c r="K298" s="105"/>
      <c r="L298" s="109"/>
      <c r="M298" s="109"/>
      <c r="N298" s="109"/>
      <c r="O298" s="105"/>
      <c r="P298" s="105"/>
      <c r="Q298" s="105"/>
    </row>
    <row r="299">
      <c r="A299" s="5"/>
      <c r="B299" s="105"/>
      <c r="C299" s="105"/>
      <c r="D299" s="105"/>
      <c r="E299" s="105"/>
      <c r="F299" s="105"/>
      <c r="G299" s="106"/>
      <c r="H299" s="105"/>
      <c r="I299" s="105"/>
      <c r="J299" s="105"/>
      <c r="K299" s="105"/>
      <c r="L299" s="109"/>
      <c r="M299" s="109"/>
      <c r="N299" s="109"/>
      <c r="O299" s="105"/>
      <c r="P299" s="105"/>
      <c r="Q299" s="105"/>
    </row>
    <row r="300">
      <c r="A300" s="5"/>
      <c r="B300" s="105"/>
      <c r="C300" s="105"/>
      <c r="D300" s="105"/>
      <c r="E300" s="105"/>
      <c r="F300" s="105"/>
      <c r="G300" s="106"/>
      <c r="H300" s="105"/>
      <c r="I300" s="105"/>
      <c r="J300" s="105"/>
      <c r="K300" s="105"/>
      <c r="L300" s="109"/>
      <c r="M300" s="109"/>
      <c r="N300" s="109"/>
      <c r="O300" s="105"/>
      <c r="P300" s="105"/>
      <c r="Q300" s="105"/>
    </row>
    <row r="301">
      <c r="A301" s="5"/>
      <c r="B301" s="105"/>
      <c r="C301" s="105"/>
      <c r="D301" s="105"/>
      <c r="E301" s="105"/>
      <c r="F301" s="105"/>
      <c r="G301" s="106"/>
      <c r="H301" s="105"/>
      <c r="I301" s="105"/>
      <c r="J301" s="105"/>
      <c r="K301" s="105"/>
      <c r="L301" s="109"/>
      <c r="M301" s="109"/>
      <c r="N301" s="109"/>
      <c r="O301" s="105"/>
      <c r="P301" s="105"/>
      <c r="Q301" s="105"/>
    </row>
    <row r="302">
      <c r="A302" s="5"/>
      <c r="B302" s="105"/>
      <c r="C302" s="105"/>
      <c r="D302" s="105"/>
      <c r="E302" s="105"/>
      <c r="F302" s="105"/>
      <c r="G302" s="106"/>
      <c r="H302" s="105"/>
      <c r="I302" s="105"/>
      <c r="J302" s="105"/>
      <c r="K302" s="105"/>
      <c r="L302" s="109"/>
      <c r="M302" s="109"/>
      <c r="N302" s="109"/>
      <c r="O302" s="105"/>
      <c r="P302" s="105"/>
      <c r="Q302" s="105"/>
    </row>
    <row r="303">
      <c r="A303" s="5"/>
      <c r="B303" s="105"/>
      <c r="C303" s="105"/>
      <c r="D303" s="105"/>
      <c r="E303" s="105"/>
      <c r="F303" s="105"/>
      <c r="G303" s="106"/>
      <c r="H303" s="105"/>
      <c r="I303" s="105"/>
      <c r="J303" s="105"/>
      <c r="K303" s="105"/>
      <c r="L303" s="109"/>
      <c r="M303" s="109"/>
      <c r="N303" s="109"/>
      <c r="O303" s="105"/>
      <c r="P303" s="105"/>
      <c r="Q303" s="105"/>
    </row>
    <row r="304">
      <c r="A304" s="5"/>
      <c r="B304" s="105"/>
      <c r="C304" s="105"/>
      <c r="D304" s="105"/>
      <c r="E304" s="105"/>
      <c r="F304" s="105"/>
      <c r="G304" s="106"/>
      <c r="H304" s="105"/>
      <c r="I304" s="105"/>
      <c r="J304" s="105"/>
      <c r="K304" s="105"/>
      <c r="L304" s="109"/>
      <c r="M304" s="109"/>
      <c r="N304" s="109"/>
      <c r="O304" s="105"/>
      <c r="P304" s="105"/>
      <c r="Q304" s="105"/>
    </row>
    <row r="305">
      <c r="A305" s="5"/>
      <c r="B305" s="105"/>
      <c r="C305" s="105"/>
      <c r="D305" s="105"/>
      <c r="E305" s="105"/>
      <c r="F305" s="105"/>
      <c r="G305" s="106"/>
      <c r="H305" s="105"/>
      <c r="I305" s="105"/>
      <c r="J305" s="105"/>
      <c r="K305" s="105"/>
      <c r="L305" s="109"/>
      <c r="M305" s="109"/>
      <c r="N305" s="109"/>
      <c r="O305" s="105"/>
      <c r="P305" s="105"/>
      <c r="Q305" s="105"/>
    </row>
    <row r="306">
      <c r="A306" s="5"/>
      <c r="B306" s="105"/>
      <c r="C306" s="105"/>
      <c r="D306" s="105"/>
      <c r="E306" s="105"/>
      <c r="F306" s="105"/>
      <c r="G306" s="106"/>
      <c r="H306" s="105"/>
      <c r="I306" s="105"/>
      <c r="J306" s="105"/>
      <c r="K306" s="105"/>
      <c r="L306" s="109"/>
      <c r="M306" s="109"/>
      <c r="N306" s="109"/>
      <c r="O306" s="105"/>
      <c r="P306" s="105"/>
      <c r="Q306" s="105"/>
    </row>
    <row r="307">
      <c r="A307" s="5"/>
      <c r="B307" s="105"/>
      <c r="C307" s="105"/>
      <c r="D307" s="105"/>
      <c r="E307" s="105"/>
      <c r="F307" s="105"/>
      <c r="G307" s="106"/>
      <c r="H307" s="105"/>
      <c r="I307" s="105"/>
      <c r="J307" s="105"/>
      <c r="K307" s="105"/>
      <c r="L307" s="109"/>
      <c r="M307" s="109"/>
      <c r="N307" s="109"/>
      <c r="O307" s="105"/>
      <c r="P307" s="105"/>
      <c r="Q307" s="105"/>
    </row>
    <row r="308">
      <c r="A308" s="5"/>
      <c r="B308" s="105"/>
      <c r="C308" s="105"/>
      <c r="D308" s="105"/>
      <c r="E308" s="105"/>
      <c r="F308" s="105"/>
      <c r="G308" s="106"/>
      <c r="H308" s="105"/>
      <c r="I308" s="105"/>
      <c r="J308" s="105"/>
      <c r="K308" s="105"/>
      <c r="L308" s="109"/>
      <c r="M308" s="109"/>
      <c r="N308" s="109"/>
      <c r="O308" s="105"/>
      <c r="P308" s="105"/>
      <c r="Q308" s="105"/>
    </row>
    <row r="309">
      <c r="A309" s="5"/>
      <c r="B309" s="105"/>
      <c r="C309" s="105"/>
      <c r="D309" s="105"/>
      <c r="E309" s="105"/>
      <c r="F309" s="105"/>
      <c r="G309" s="106"/>
      <c r="H309" s="105"/>
      <c r="I309" s="105"/>
      <c r="J309" s="105"/>
      <c r="K309" s="105"/>
      <c r="L309" s="109"/>
      <c r="M309" s="109"/>
      <c r="N309" s="109"/>
      <c r="O309" s="105"/>
      <c r="P309" s="105"/>
      <c r="Q309" s="105"/>
    </row>
    <row r="310">
      <c r="A310" s="5"/>
      <c r="B310" s="105"/>
      <c r="C310" s="105"/>
      <c r="D310" s="105"/>
      <c r="E310" s="105"/>
      <c r="F310" s="105"/>
      <c r="G310" s="106"/>
      <c r="H310" s="105"/>
      <c r="I310" s="105"/>
      <c r="J310" s="105"/>
      <c r="K310" s="105"/>
      <c r="L310" s="109"/>
      <c r="M310" s="109"/>
      <c r="N310" s="109"/>
      <c r="O310" s="105"/>
      <c r="P310" s="105"/>
      <c r="Q310" s="105"/>
    </row>
    <row r="311">
      <c r="A311" s="5"/>
      <c r="B311" s="105"/>
      <c r="C311" s="105"/>
      <c r="D311" s="105"/>
      <c r="E311" s="105"/>
      <c r="F311" s="105"/>
      <c r="G311" s="106"/>
      <c r="H311" s="105"/>
      <c r="I311" s="105"/>
      <c r="J311" s="105"/>
      <c r="K311" s="105"/>
      <c r="L311" s="109"/>
      <c r="M311" s="109"/>
      <c r="N311" s="109"/>
      <c r="O311" s="105"/>
      <c r="P311" s="105"/>
      <c r="Q311" s="105"/>
    </row>
    <row r="312">
      <c r="A312" s="5"/>
      <c r="B312" s="105"/>
      <c r="C312" s="105"/>
      <c r="D312" s="105"/>
      <c r="E312" s="105"/>
      <c r="F312" s="105"/>
      <c r="G312" s="106"/>
      <c r="H312" s="105"/>
      <c r="I312" s="105"/>
      <c r="J312" s="105"/>
      <c r="K312" s="105"/>
      <c r="L312" s="109"/>
      <c r="M312" s="109"/>
      <c r="N312" s="109"/>
      <c r="O312" s="105"/>
      <c r="P312" s="105"/>
      <c r="Q312" s="105"/>
    </row>
    <row r="313">
      <c r="A313" s="5"/>
      <c r="B313" s="105"/>
      <c r="C313" s="105"/>
      <c r="D313" s="105"/>
      <c r="E313" s="105"/>
      <c r="F313" s="105"/>
      <c r="G313" s="106"/>
      <c r="H313" s="105"/>
      <c r="I313" s="105"/>
      <c r="J313" s="105"/>
      <c r="K313" s="105"/>
      <c r="L313" s="109"/>
      <c r="M313" s="109"/>
      <c r="N313" s="109"/>
      <c r="O313" s="105"/>
      <c r="P313" s="105"/>
      <c r="Q313" s="105"/>
    </row>
    <row r="314">
      <c r="A314" s="5"/>
      <c r="B314" s="105"/>
      <c r="C314" s="105"/>
      <c r="D314" s="105"/>
      <c r="E314" s="105"/>
      <c r="F314" s="105"/>
      <c r="G314" s="106"/>
      <c r="H314" s="105"/>
      <c r="I314" s="105"/>
      <c r="J314" s="105"/>
      <c r="K314" s="105"/>
      <c r="L314" s="109"/>
      <c r="M314" s="109"/>
      <c r="N314" s="109"/>
      <c r="O314" s="105"/>
      <c r="P314" s="105"/>
      <c r="Q314" s="105"/>
    </row>
    <row r="315">
      <c r="A315" s="5"/>
      <c r="B315" s="105"/>
      <c r="C315" s="105"/>
      <c r="D315" s="105"/>
      <c r="E315" s="105"/>
      <c r="F315" s="105"/>
      <c r="G315" s="106"/>
      <c r="H315" s="105"/>
      <c r="I315" s="105"/>
      <c r="J315" s="105"/>
      <c r="K315" s="105"/>
      <c r="L315" s="109"/>
      <c r="M315" s="109"/>
      <c r="N315" s="109"/>
      <c r="O315" s="105"/>
      <c r="P315" s="105"/>
      <c r="Q315" s="105"/>
    </row>
    <row r="316">
      <c r="A316" s="5"/>
      <c r="B316" s="105"/>
      <c r="C316" s="105"/>
      <c r="D316" s="105"/>
      <c r="E316" s="105"/>
      <c r="F316" s="105"/>
      <c r="G316" s="106"/>
      <c r="H316" s="105"/>
      <c r="I316" s="105"/>
      <c r="J316" s="105"/>
      <c r="K316" s="105"/>
      <c r="L316" s="109"/>
      <c r="M316" s="109"/>
      <c r="N316" s="109"/>
      <c r="O316" s="105"/>
      <c r="P316" s="105"/>
      <c r="Q316" s="105"/>
    </row>
    <row r="317">
      <c r="A317" s="5"/>
      <c r="B317" s="105"/>
      <c r="C317" s="105"/>
      <c r="D317" s="105"/>
      <c r="E317" s="105"/>
      <c r="F317" s="105"/>
      <c r="G317" s="106"/>
      <c r="H317" s="105"/>
      <c r="I317" s="105"/>
      <c r="J317" s="105"/>
      <c r="K317" s="105"/>
      <c r="L317" s="109"/>
      <c r="M317" s="109"/>
      <c r="N317" s="109"/>
      <c r="O317" s="105"/>
      <c r="P317" s="105"/>
      <c r="Q317" s="105"/>
    </row>
    <row r="318">
      <c r="A318" s="5"/>
      <c r="B318" s="105"/>
      <c r="C318" s="105"/>
      <c r="D318" s="105"/>
      <c r="E318" s="105"/>
      <c r="F318" s="105"/>
      <c r="G318" s="106"/>
      <c r="H318" s="105"/>
      <c r="I318" s="105"/>
      <c r="J318" s="105"/>
      <c r="K318" s="105"/>
      <c r="L318" s="109"/>
      <c r="M318" s="109"/>
      <c r="N318" s="109"/>
      <c r="O318" s="105"/>
      <c r="P318" s="105"/>
      <c r="Q318" s="105"/>
    </row>
    <row r="319">
      <c r="A319" s="5"/>
      <c r="B319" s="105"/>
      <c r="C319" s="105"/>
      <c r="D319" s="105"/>
      <c r="E319" s="105"/>
      <c r="F319" s="105"/>
      <c r="G319" s="106"/>
      <c r="H319" s="105"/>
      <c r="I319" s="105"/>
      <c r="J319" s="105"/>
      <c r="K319" s="105"/>
      <c r="L319" s="109"/>
      <c r="M319" s="109"/>
      <c r="N319" s="109"/>
      <c r="O319" s="105"/>
      <c r="P319" s="105"/>
      <c r="Q319" s="105"/>
    </row>
    <row r="320">
      <c r="A320" s="5"/>
      <c r="B320" s="105"/>
      <c r="C320" s="105"/>
      <c r="D320" s="105"/>
      <c r="E320" s="105"/>
      <c r="F320" s="105"/>
      <c r="G320" s="106"/>
      <c r="H320" s="105"/>
      <c r="I320" s="105"/>
      <c r="J320" s="105"/>
      <c r="K320" s="105"/>
      <c r="L320" s="109"/>
      <c r="M320" s="109"/>
      <c r="N320" s="109"/>
      <c r="O320" s="105"/>
      <c r="P320" s="105"/>
      <c r="Q320" s="105"/>
    </row>
    <row r="321">
      <c r="A321" s="5"/>
      <c r="B321" s="105"/>
      <c r="C321" s="105"/>
      <c r="D321" s="105"/>
      <c r="E321" s="105"/>
      <c r="F321" s="105"/>
      <c r="G321" s="106"/>
      <c r="H321" s="105"/>
      <c r="I321" s="105"/>
      <c r="J321" s="105"/>
      <c r="K321" s="105"/>
      <c r="L321" s="109"/>
      <c r="M321" s="109"/>
      <c r="N321" s="109"/>
      <c r="O321" s="105"/>
      <c r="P321" s="105"/>
      <c r="Q321" s="105"/>
    </row>
    <row r="322">
      <c r="A322" s="5"/>
      <c r="B322" s="105"/>
      <c r="C322" s="105"/>
      <c r="D322" s="105"/>
      <c r="E322" s="105"/>
      <c r="F322" s="105"/>
      <c r="G322" s="106"/>
      <c r="H322" s="105"/>
      <c r="I322" s="105"/>
      <c r="J322" s="105"/>
      <c r="K322" s="105"/>
      <c r="L322" s="109"/>
      <c r="M322" s="109"/>
      <c r="N322" s="109"/>
      <c r="O322" s="105"/>
      <c r="P322" s="105"/>
      <c r="Q322" s="105"/>
    </row>
    <row r="323">
      <c r="A323" s="5"/>
      <c r="B323" s="105"/>
      <c r="C323" s="105"/>
      <c r="D323" s="105"/>
      <c r="E323" s="105"/>
      <c r="F323" s="105"/>
      <c r="G323" s="106"/>
      <c r="H323" s="105"/>
      <c r="I323" s="105"/>
      <c r="J323" s="105"/>
      <c r="K323" s="105"/>
      <c r="L323" s="109"/>
      <c r="M323" s="109"/>
      <c r="N323" s="109"/>
      <c r="O323" s="105"/>
      <c r="P323" s="105"/>
      <c r="Q323" s="105"/>
    </row>
    <row r="324">
      <c r="A324" s="5"/>
      <c r="B324" s="105"/>
      <c r="C324" s="105"/>
      <c r="D324" s="105"/>
      <c r="E324" s="105"/>
      <c r="F324" s="105"/>
      <c r="G324" s="106"/>
      <c r="H324" s="105"/>
      <c r="I324" s="105"/>
      <c r="J324" s="105"/>
      <c r="K324" s="105"/>
      <c r="L324" s="109"/>
      <c r="M324" s="109"/>
      <c r="N324" s="109"/>
      <c r="O324" s="105"/>
      <c r="P324" s="105"/>
      <c r="Q324" s="105"/>
    </row>
    <row r="325">
      <c r="A325" s="5"/>
      <c r="B325" s="105"/>
      <c r="C325" s="105"/>
      <c r="D325" s="105"/>
      <c r="E325" s="105"/>
      <c r="F325" s="105"/>
      <c r="G325" s="106"/>
      <c r="H325" s="105"/>
      <c r="I325" s="105"/>
      <c r="J325" s="105"/>
      <c r="K325" s="105"/>
      <c r="L325" s="109"/>
      <c r="M325" s="109"/>
      <c r="N325" s="109"/>
      <c r="O325" s="105"/>
      <c r="P325" s="105"/>
      <c r="Q325" s="105"/>
    </row>
    <row r="326">
      <c r="A326" s="5"/>
      <c r="B326" s="105"/>
      <c r="C326" s="105"/>
      <c r="D326" s="105"/>
      <c r="E326" s="105"/>
      <c r="F326" s="105"/>
      <c r="G326" s="106"/>
      <c r="H326" s="105"/>
      <c r="I326" s="105"/>
      <c r="J326" s="105"/>
      <c r="K326" s="105"/>
      <c r="L326" s="109"/>
      <c r="M326" s="109"/>
      <c r="N326" s="109"/>
      <c r="O326" s="105"/>
      <c r="P326" s="105"/>
      <c r="Q326" s="105"/>
    </row>
    <row r="327">
      <c r="A327" s="5"/>
      <c r="B327" s="105"/>
      <c r="C327" s="105"/>
      <c r="D327" s="105"/>
      <c r="E327" s="105"/>
      <c r="F327" s="105"/>
      <c r="G327" s="106"/>
      <c r="H327" s="105"/>
      <c r="I327" s="105"/>
      <c r="J327" s="105"/>
      <c r="K327" s="105"/>
      <c r="L327" s="109"/>
      <c r="M327" s="109"/>
      <c r="N327" s="109"/>
      <c r="O327" s="105"/>
      <c r="P327" s="105"/>
      <c r="Q327" s="105"/>
    </row>
    <row r="328">
      <c r="A328" s="5"/>
      <c r="B328" s="105"/>
      <c r="C328" s="105"/>
      <c r="D328" s="105"/>
      <c r="E328" s="105"/>
      <c r="F328" s="105"/>
      <c r="G328" s="106"/>
      <c r="H328" s="105"/>
      <c r="I328" s="105"/>
      <c r="J328" s="105"/>
      <c r="K328" s="105"/>
      <c r="L328" s="109"/>
      <c r="M328" s="109"/>
      <c r="N328" s="109"/>
      <c r="O328" s="105"/>
      <c r="P328" s="105"/>
      <c r="Q328" s="105"/>
    </row>
    <row r="329">
      <c r="A329" s="5"/>
      <c r="B329" s="105"/>
      <c r="C329" s="105"/>
      <c r="D329" s="105"/>
      <c r="E329" s="105"/>
      <c r="F329" s="105"/>
      <c r="G329" s="106"/>
      <c r="H329" s="105"/>
      <c r="I329" s="105"/>
      <c r="J329" s="105"/>
      <c r="K329" s="105"/>
      <c r="L329" s="109"/>
      <c r="M329" s="109"/>
      <c r="N329" s="109"/>
      <c r="O329" s="105"/>
      <c r="P329" s="105"/>
      <c r="Q329" s="105"/>
    </row>
    <row r="330">
      <c r="A330" s="5"/>
      <c r="B330" s="105"/>
      <c r="C330" s="105"/>
      <c r="D330" s="105"/>
      <c r="E330" s="105"/>
      <c r="F330" s="105"/>
      <c r="G330" s="106"/>
      <c r="H330" s="105"/>
      <c r="I330" s="105"/>
      <c r="J330" s="105"/>
      <c r="K330" s="105"/>
      <c r="L330" s="109"/>
      <c r="M330" s="109"/>
      <c r="N330" s="109"/>
      <c r="O330" s="105"/>
      <c r="P330" s="105"/>
      <c r="Q330" s="105"/>
    </row>
    <row r="331">
      <c r="A331" s="5"/>
      <c r="B331" s="105"/>
      <c r="C331" s="105"/>
      <c r="D331" s="105"/>
      <c r="E331" s="105"/>
      <c r="F331" s="105"/>
      <c r="G331" s="106"/>
      <c r="H331" s="105"/>
      <c r="I331" s="105"/>
      <c r="J331" s="105"/>
      <c r="K331" s="105"/>
      <c r="L331" s="109"/>
      <c r="M331" s="109"/>
      <c r="N331" s="109"/>
      <c r="O331" s="105"/>
      <c r="P331" s="105"/>
      <c r="Q331" s="105"/>
    </row>
    <row r="332">
      <c r="A332" s="5"/>
      <c r="B332" s="105"/>
      <c r="C332" s="105"/>
      <c r="D332" s="105"/>
      <c r="E332" s="105"/>
      <c r="F332" s="105"/>
      <c r="G332" s="106"/>
      <c r="H332" s="105"/>
      <c r="I332" s="105"/>
      <c r="J332" s="105"/>
      <c r="K332" s="105"/>
      <c r="L332" s="109"/>
      <c r="M332" s="109"/>
      <c r="N332" s="109"/>
      <c r="O332" s="105"/>
      <c r="P332" s="105"/>
      <c r="Q332" s="105"/>
    </row>
    <row r="333">
      <c r="A333" s="5"/>
      <c r="B333" s="105"/>
      <c r="C333" s="105"/>
      <c r="D333" s="105"/>
      <c r="E333" s="105"/>
      <c r="F333" s="105"/>
      <c r="G333" s="106"/>
      <c r="H333" s="105"/>
      <c r="I333" s="105"/>
      <c r="J333" s="105"/>
      <c r="K333" s="105"/>
      <c r="L333" s="109"/>
      <c r="M333" s="109"/>
      <c r="N333" s="109"/>
      <c r="O333" s="105"/>
      <c r="P333" s="105"/>
      <c r="Q333" s="105"/>
    </row>
    <row r="334">
      <c r="A334" s="5"/>
      <c r="B334" s="105"/>
      <c r="C334" s="105"/>
      <c r="D334" s="105"/>
      <c r="E334" s="105"/>
      <c r="F334" s="105"/>
      <c r="G334" s="106"/>
      <c r="H334" s="105"/>
      <c r="I334" s="105"/>
      <c r="J334" s="105"/>
      <c r="K334" s="105"/>
      <c r="L334" s="109"/>
      <c r="M334" s="109"/>
      <c r="N334" s="109"/>
      <c r="O334" s="105"/>
      <c r="P334" s="105"/>
      <c r="Q334" s="105"/>
    </row>
    <row r="335">
      <c r="A335" s="5"/>
      <c r="B335" s="105"/>
      <c r="C335" s="105"/>
      <c r="D335" s="105"/>
      <c r="E335" s="105"/>
      <c r="F335" s="105"/>
      <c r="G335" s="106"/>
      <c r="H335" s="105"/>
      <c r="I335" s="105"/>
      <c r="J335" s="105"/>
      <c r="K335" s="105"/>
      <c r="L335" s="109"/>
      <c r="M335" s="109"/>
      <c r="N335" s="109"/>
      <c r="O335" s="105"/>
      <c r="P335" s="105"/>
      <c r="Q335" s="105"/>
    </row>
    <row r="336">
      <c r="A336" s="5"/>
      <c r="B336" s="105"/>
      <c r="C336" s="105"/>
      <c r="D336" s="105"/>
      <c r="E336" s="105"/>
      <c r="F336" s="105"/>
      <c r="G336" s="106"/>
      <c r="H336" s="105"/>
      <c r="I336" s="105"/>
      <c r="J336" s="105"/>
      <c r="K336" s="105"/>
      <c r="L336" s="109"/>
      <c r="M336" s="109"/>
      <c r="N336" s="109"/>
      <c r="O336" s="105"/>
      <c r="P336" s="105"/>
      <c r="Q336" s="105"/>
    </row>
    <row r="337">
      <c r="A337" s="5"/>
      <c r="B337" s="105"/>
      <c r="C337" s="105"/>
      <c r="D337" s="105"/>
      <c r="E337" s="105"/>
      <c r="F337" s="105"/>
      <c r="G337" s="106"/>
      <c r="H337" s="105"/>
      <c r="I337" s="105"/>
      <c r="J337" s="105"/>
      <c r="K337" s="105"/>
      <c r="L337" s="109"/>
      <c r="M337" s="109"/>
      <c r="N337" s="109"/>
      <c r="O337" s="105"/>
      <c r="P337" s="105"/>
      <c r="Q337" s="105"/>
    </row>
    <row r="338">
      <c r="A338" s="5"/>
      <c r="B338" s="105"/>
      <c r="C338" s="105"/>
      <c r="D338" s="105"/>
      <c r="E338" s="105"/>
      <c r="F338" s="105"/>
      <c r="G338" s="106"/>
      <c r="H338" s="105"/>
      <c r="I338" s="105"/>
      <c r="J338" s="105"/>
      <c r="K338" s="105"/>
      <c r="L338" s="109"/>
      <c r="M338" s="109"/>
      <c r="N338" s="109"/>
      <c r="O338" s="105"/>
      <c r="P338" s="105"/>
      <c r="Q338" s="105"/>
    </row>
    <row r="339">
      <c r="A339" s="5"/>
      <c r="B339" s="105"/>
      <c r="C339" s="105"/>
      <c r="D339" s="105"/>
      <c r="E339" s="105"/>
      <c r="F339" s="105"/>
      <c r="G339" s="106"/>
      <c r="H339" s="105"/>
      <c r="I339" s="105"/>
      <c r="J339" s="105"/>
      <c r="K339" s="105"/>
      <c r="L339" s="109"/>
      <c r="M339" s="109"/>
      <c r="N339" s="109"/>
      <c r="O339" s="105"/>
      <c r="P339" s="105"/>
      <c r="Q339" s="105"/>
    </row>
    <row r="340">
      <c r="A340" s="5"/>
      <c r="B340" s="105"/>
      <c r="C340" s="105"/>
      <c r="D340" s="105"/>
      <c r="E340" s="105"/>
      <c r="F340" s="105"/>
      <c r="G340" s="106"/>
      <c r="H340" s="105"/>
      <c r="I340" s="105"/>
      <c r="J340" s="105"/>
      <c r="K340" s="105"/>
      <c r="L340" s="109"/>
      <c r="M340" s="109"/>
      <c r="N340" s="109"/>
      <c r="O340" s="105"/>
      <c r="P340" s="105"/>
      <c r="Q340" s="105"/>
    </row>
    <row r="341">
      <c r="A341" s="5"/>
      <c r="B341" s="105"/>
      <c r="C341" s="105"/>
      <c r="D341" s="105"/>
      <c r="E341" s="105"/>
      <c r="F341" s="105"/>
      <c r="G341" s="106"/>
      <c r="H341" s="105"/>
      <c r="I341" s="105"/>
      <c r="J341" s="105"/>
      <c r="K341" s="105"/>
      <c r="L341" s="109"/>
      <c r="M341" s="109"/>
      <c r="N341" s="109"/>
      <c r="O341" s="105"/>
      <c r="P341" s="105"/>
      <c r="Q341" s="105"/>
    </row>
    <row r="342">
      <c r="A342" s="5"/>
      <c r="B342" s="105"/>
      <c r="C342" s="105"/>
      <c r="D342" s="105"/>
      <c r="E342" s="105"/>
      <c r="F342" s="105"/>
      <c r="G342" s="106"/>
      <c r="H342" s="105"/>
      <c r="I342" s="105"/>
      <c r="J342" s="105"/>
      <c r="K342" s="105"/>
      <c r="L342" s="109"/>
      <c r="M342" s="109"/>
      <c r="N342" s="109"/>
      <c r="O342" s="105"/>
      <c r="P342" s="105"/>
      <c r="Q342" s="105"/>
    </row>
    <row r="343">
      <c r="A343" s="5"/>
      <c r="B343" s="105"/>
      <c r="C343" s="105"/>
      <c r="D343" s="105"/>
      <c r="E343" s="105"/>
      <c r="F343" s="105"/>
      <c r="G343" s="106"/>
      <c r="H343" s="105"/>
      <c r="I343" s="105"/>
      <c r="J343" s="105"/>
      <c r="K343" s="105"/>
      <c r="L343" s="109"/>
      <c r="M343" s="109"/>
      <c r="N343" s="109"/>
      <c r="O343" s="105"/>
      <c r="P343" s="105"/>
      <c r="Q343" s="105"/>
    </row>
    <row r="344">
      <c r="A344" s="5"/>
      <c r="B344" s="105"/>
      <c r="C344" s="105"/>
      <c r="D344" s="105"/>
      <c r="E344" s="105"/>
      <c r="F344" s="105"/>
      <c r="G344" s="106"/>
      <c r="H344" s="105"/>
      <c r="I344" s="105"/>
      <c r="J344" s="105"/>
      <c r="K344" s="105"/>
      <c r="L344" s="109"/>
      <c r="M344" s="109"/>
      <c r="N344" s="109"/>
      <c r="O344" s="105"/>
      <c r="P344" s="105"/>
      <c r="Q344" s="105"/>
    </row>
    <row r="345">
      <c r="A345" s="5"/>
      <c r="B345" s="105"/>
      <c r="C345" s="105"/>
      <c r="D345" s="105"/>
      <c r="E345" s="105"/>
      <c r="F345" s="105"/>
      <c r="G345" s="106"/>
      <c r="H345" s="105"/>
      <c r="I345" s="105"/>
      <c r="J345" s="105"/>
      <c r="K345" s="105"/>
      <c r="L345" s="109"/>
      <c r="M345" s="109"/>
      <c r="N345" s="109"/>
      <c r="O345" s="105"/>
      <c r="P345" s="105"/>
      <c r="Q345" s="105"/>
    </row>
    <row r="346">
      <c r="A346" s="5"/>
      <c r="B346" s="105"/>
      <c r="C346" s="105"/>
      <c r="D346" s="105"/>
      <c r="E346" s="105"/>
      <c r="F346" s="105"/>
      <c r="G346" s="106"/>
      <c r="H346" s="105"/>
      <c r="I346" s="105"/>
      <c r="J346" s="105"/>
      <c r="K346" s="105"/>
      <c r="L346" s="109"/>
      <c r="M346" s="109"/>
      <c r="N346" s="109"/>
      <c r="O346" s="105"/>
      <c r="P346" s="105"/>
      <c r="Q346" s="105"/>
    </row>
    <row r="347">
      <c r="A347" s="5"/>
      <c r="B347" s="105"/>
      <c r="C347" s="105"/>
      <c r="D347" s="105"/>
      <c r="E347" s="105"/>
      <c r="F347" s="105"/>
      <c r="G347" s="106"/>
      <c r="H347" s="105"/>
      <c r="I347" s="105"/>
      <c r="J347" s="105"/>
      <c r="K347" s="105"/>
      <c r="L347" s="109"/>
      <c r="M347" s="109"/>
      <c r="N347" s="109"/>
      <c r="O347" s="105"/>
      <c r="P347" s="105"/>
      <c r="Q347" s="105"/>
    </row>
    <row r="348">
      <c r="A348" s="5"/>
      <c r="B348" s="105"/>
      <c r="C348" s="105"/>
      <c r="D348" s="105"/>
      <c r="E348" s="105"/>
      <c r="F348" s="105"/>
      <c r="G348" s="106"/>
      <c r="H348" s="105"/>
      <c r="I348" s="105"/>
      <c r="J348" s="105"/>
      <c r="K348" s="105"/>
      <c r="L348" s="109"/>
      <c r="M348" s="109"/>
      <c r="N348" s="109"/>
      <c r="O348" s="105"/>
      <c r="P348" s="105"/>
      <c r="Q348" s="105"/>
    </row>
    <row r="349">
      <c r="A349" s="5"/>
      <c r="B349" s="105"/>
      <c r="C349" s="105"/>
      <c r="D349" s="105"/>
      <c r="E349" s="105"/>
      <c r="F349" s="105"/>
      <c r="G349" s="106"/>
      <c r="H349" s="105"/>
      <c r="I349" s="105"/>
      <c r="J349" s="105"/>
      <c r="K349" s="105"/>
      <c r="L349" s="109"/>
      <c r="M349" s="109"/>
      <c r="N349" s="109"/>
      <c r="O349" s="105"/>
      <c r="P349" s="105"/>
      <c r="Q349" s="105"/>
    </row>
    <row r="350">
      <c r="A350" s="5"/>
      <c r="B350" s="105"/>
      <c r="C350" s="105"/>
      <c r="D350" s="105"/>
      <c r="E350" s="105"/>
      <c r="F350" s="105"/>
      <c r="G350" s="106"/>
      <c r="H350" s="105"/>
      <c r="I350" s="105"/>
      <c r="J350" s="105"/>
      <c r="K350" s="105"/>
      <c r="L350" s="109"/>
      <c r="M350" s="109"/>
      <c r="N350" s="109"/>
      <c r="O350" s="105"/>
      <c r="P350" s="105"/>
      <c r="Q350" s="105"/>
    </row>
    <row r="351">
      <c r="A351" s="5"/>
      <c r="B351" s="105"/>
      <c r="C351" s="105"/>
      <c r="D351" s="105"/>
      <c r="E351" s="105"/>
      <c r="F351" s="105"/>
      <c r="G351" s="106"/>
      <c r="H351" s="105"/>
      <c r="I351" s="105"/>
      <c r="J351" s="105"/>
      <c r="K351" s="105"/>
      <c r="L351" s="109"/>
      <c r="M351" s="109"/>
      <c r="N351" s="109"/>
      <c r="O351" s="105"/>
      <c r="P351" s="105"/>
      <c r="Q351" s="105"/>
    </row>
    <row r="352">
      <c r="A352" s="5"/>
      <c r="B352" s="105"/>
      <c r="C352" s="105"/>
      <c r="D352" s="105"/>
      <c r="E352" s="105"/>
      <c r="F352" s="105"/>
      <c r="G352" s="106"/>
      <c r="H352" s="105"/>
      <c r="I352" s="105"/>
      <c r="J352" s="105"/>
      <c r="K352" s="105"/>
      <c r="L352" s="109"/>
      <c r="M352" s="109"/>
      <c r="N352" s="109"/>
      <c r="O352" s="105"/>
      <c r="P352" s="105"/>
      <c r="Q352" s="105"/>
    </row>
    <row r="353">
      <c r="A353" s="5"/>
      <c r="B353" s="105"/>
      <c r="C353" s="105"/>
      <c r="D353" s="105"/>
      <c r="E353" s="105"/>
      <c r="F353" s="105"/>
      <c r="G353" s="106"/>
      <c r="H353" s="105"/>
      <c r="I353" s="105"/>
      <c r="J353" s="105"/>
      <c r="K353" s="105"/>
      <c r="L353" s="109"/>
      <c r="M353" s="109"/>
      <c r="N353" s="109"/>
      <c r="O353" s="105"/>
      <c r="P353" s="105"/>
      <c r="Q353" s="105"/>
    </row>
    <row r="354">
      <c r="A354" s="5"/>
      <c r="B354" s="105"/>
      <c r="C354" s="105"/>
      <c r="D354" s="105"/>
      <c r="E354" s="105"/>
      <c r="F354" s="105"/>
      <c r="G354" s="106"/>
      <c r="H354" s="105"/>
      <c r="I354" s="105"/>
      <c r="J354" s="105"/>
      <c r="K354" s="105"/>
      <c r="L354" s="109"/>
      <c r="M354" s="109"/>
      <c r="N354" s="109"/>
      <c r="O354" s="105"/>
      <c r="P354" s="105"/>
      <c r="Q354" s="105"/>
    </row>
    <row r="355">
      <c r="A355" s="5"/>
      <c r="B355" s="105"/>
      <c r="C355" s="105"/>
      <c r="D355" s="105"/>
      <c r="E355" s="105"/>
      <c r="F355" s="105"/>
      <c r="G355" s="106"/>
      <c r="H355" s="105"/>
      <c r="I355" s="105"/>
      <c r="J355" s="105"/>
      <c r="K355" s="105"/>
      <c r="L355" s="109"/>
      <c r="M355" s="109"/>
      <c r="N355" s="109"/>
      <c r="O355" s="105"/>
      <c r="P355" s="105"/>
      <c r="Q355" s="105"/>
    </row>
    <row r="356">
      <c r="A356" s="5"/>
      <c r="B356" s="105"/>
      <c r="C356" s="105"/>
      <c r="D356" s="105"/>
      <c r="E356" s="105"/>
      <c r="F356" s="105"/>
      <c r="G356" s="106"/>
      <c r="H356" s="105"/>
      <c r="I356" s="105"/>
      <c r="J356" s="105"/>
      <c r="K356" s="105"/>
      <c r="L356" s="109"/>
      <c r="M356" s="109"/>
      <c r="N356" s="109"/>
      <c r="O356" s="105"/>
      <c r="P356" s="105"/>
      <c r="Q356" s="105"/>
    </row>
    <row r="357">
      <c r="A357" s="5"/>
      <c r="B357" s="105"/>
      <c r="C357" s="105"/>
      <c r="D357" s="105"/>
      <c r="E357" s="105"/>
      <c r="F357" s="105"/>
      <c r="G357" s="106"/>
      <c r="H357" s="105"/>
      <c r="I357" s="105"/>
      <c r="J357" s="105"/>
      <c r="K357" s="105"/>
      <c r="L357" s="109"/>
      <c r="M357" s="109"/>
      <c r="N357" s="109"/>
      <c r="O357" s="105"/>
      <c r="P357" s="105"/>
      <c r="Q357" s="105"/>
    </row>
    <row r="358">
      <c r="A358" s="5"/>
      <c r="B358" s="105"/>
      <c r="C358" s="105"/>
      <c r="D358" s="105"/>
      <c r="E358" s="105"/>
      <c r="F358" s="105"/>
      <c r="G358" s="106"/>
      <c r="H358" s="105"/>
      <c r="I358" s="105"/>
      <c r="J358" s="105"/>
      <c r="K358" s="105"/>
      <c r="L358" s="109"/>
      <c r="M358" s="109"/>
      <c r="N358" s="109"/>
      <c r="O358" s="105"/>
      <c r="P358" s="105"/>
      <c r="Q358" s="105"/>
    </row>
    <row r="359">
      <c r="A359" s="5"/>
      <c r="B359" s="105"/>
      <c r="C359" s="105"/>
      <c r="D359" s="105"/>
      <c r="E359" s="105"/>
      <c r="F359" s="105"/>
      <c r="G359" s="106"/>
      <c r="H359" s="105"/>
      <c r="I359" s="105"/>
      <c r="J359" s="105"/>
      <c r="K359" s="105"/>
      <c r="L359" s="109"/>
      <c r="M359" s="109"/>
      <c r="N359" s="109"/>
      <c r="O359" s="105"/>
      <c r="P359" s="105"/>
      <c r="Q359" s="105"/>
    </row>
    <row r="360">
      <c r="A360" s="5"/>
      <c r="B360" s="105"/>
      <c r="C360" s="105"/>
      <c r="D360" s="105"/>
      <c r="E360" s="105"/>
      <c r="F360" s="105"/>
      <c r="G360" s="106"/>
      <c r="H360" s="105"/>
      <c r="I360" s="105"/>
      <c r="J360" s="105"/>
      <c r="K360" s="105"/>
      <c r="L360" s="109"/>
      <c r="M360" s="109"/>
      <c r="N360" s="109"/>
      <c r="O360" s="105"/>
      <c r="P360" s="105"/>
      <c r="Q360" s="105"/>
    </row>
    <row r="361">
      <c r="A361" s="5"/>
      <c r="B361" s="105"/>
      <c r="C361" s="105"/>
      <c r="D361" s="105"/>
      <c r="E361" s="105"/>
      <c r="F361" s="105"/>
      <c r="G361" s="106"/>
      <c r="H361" s="105"/>
      <c r="I361" s="105"/>
      <c r="J361" s="105"/>
      <c r="K361" s="105"/>
      <c r="L361" s="109"/>
      <c r="M361" s="109"/>
      <c r="N361" s="109"/>
      <c r="O361" s="105"/>
      <c r="P361" s="105"/>
      <c r="Q361" s="105"/>
    </row>
    <row r="362">
      <c r="A362" s="5"/>
      <c r="B362" s="105"/>
      <c r="C362" s="105"/>
      <c r="D362" s="105"/>
      <c r="E362" s="105"/>
      <c r="F362" s="105"/>
      <c r="G362" s="106"/>
      <c r="H362" s="105"/>
      <c r="I362" s="105"/>
      <c r="J362" s="105"/>
      <c r="K362" s="105"/>
      <c r="L362" s="109"/>
      <c r="M362" s="109"/>
      <c r="N362" s="109"/>
      <c r="O362" s="105"/>
      <c r="P362" s="105"/>
      <c r="Q362" s="105"/>
    </row>
    <row r="363">
      <c r="A363" s="5"/>
      <c r="B363" s="105"/>
      <c r="C363" s="105"/>
      <c r="D363" s="105"/>
      <c r="E363" s="105"/>
      <c r="F363" s="105"/>
      <c r="G363" s="106"/>
      <c r="H363" s="105"/>
      <c r="I363" s="105"/>
      <c r="J363" s="105"/>
      <c r="K363" s="105"/>
      <c r="L363" s="109"/>
      <c r="M363" s="109"/>
      <c r="N363" s="109"/>
      <c r="O363" s="105"/>
      <c r="P363" s="105"/>
      <c r="Q363" s="105"/>
    </row>
    <row r="364">
      <c r="A364" s="5"/>
      <c r="B364" s="105"/>
      <c r="C364" s="105"/>
      <c r="D364" s="105"/>
      <c r="E364" s="105"/>
      <c r="F364" s="105"/>
      <c r="G364" s="106"/>
      <c r="H364" s="105"/>
      <c r="I364" s="105"/>
      <c r="J364" s="105"/>
      <c r="K364" s="105"/>
      <c r="L364" s="109"/>
      <c r="M364" s="109"/>
      <c r="N364" s="109"/>
      <c r="O364" s="105"/>
      <c r="P364" s="105"/>
      <c r="Q364" s="105"/>
    </row>
    <row r="365">
      <c r="A365" s="5"/>
      <c r="B365" s="105"/>
      <c r="C365" s="105"/>
      <c r="D365" s="105"/>
      <c r="E365" s="105"/>
      <c r="F365" s="105"/>
      <c r="G365" s="106"/>
      <c r="H365" s="105"/>
      <c r="I365" s="105"/>
      <c r="J365" s="105"/>
      <c r="K365" s="105"/>
      <c r="L365" s="109"/>
      <c r="M365" s="109"/>
      <c r="N365" s="109"/>
      <c r="O365" s="105"/>
      <c r="P365" s="105"/>
      <c r="Q365" s="105"/>
    </row>
    <row r="366">
      <c r="A366" s="5"/>
      <c r="B366" s="105"/>
      <c r="C366" s="105"/>
      <c r="D366" s="105"/>
      <c r="E366" s="105"/>
      <c r="F366" s="105"/>
      <c r="G366" s="106"/>
      <c r="H366" s="105"/>
      <c r="I366" s="105"/>
      <c r="J366" s="105"/>
      <c r="K366" s="105"/>
      <c r="L366" s="109"/>
      <c r="M366" s="109"/>
      <c r="N366" s="109"/>
      <c r="O366" s="105"/>
      <c r="P366" s="105"/>
      <c r="Q366" s="105"/>
    </row>
    <row r="367">
      <c r="A367" s="5"/>
      <c r="B367" s="105"/>
      <c r="C367" s="105"/>
      <c r="D367" s="105"/>
      <c r="E367" s="105"/>
      <c r="F367" s="105"/>
      <c r="G367" s="106"/>
      <c r="H367" s="105"/>
      <c r="I367" s="105"/>
      <c r="J367" s="105"/>
      <c r="K367" s="105"/>
      <c r="L367" s="109"/>
      <c r="M367" s="109"/>
      <c r="N367" s="109"/>
      <c r="O367" s="105"/>
      <c r="P367" s="105"/>
      <c r="Q367" s="105"/>
    </row>
    <row r="368">
      <c r="A368" s="5"/>
      <c r="B368" s="105"/>
      <c r="C368" s="105"/>
      <c r="D368" s="105"/>
      <c r="E368" s="105"/>
      <c r="F368" s="105"/>
      <c r="G368" s="106"/>
      <c r="H368" s="105"/>
      <c r="I368" s="105"/>
      <c r="J368" s="105"/>
      <c r="K368" s="105"/>
      <c r="L368" s="109"/>
      <c r="M368" s="109"/>
      <c r="N368" s="109"/>
      <c r="O368" s="105"/>
      <c r="P368" s="105"/>
      <c r="Q368" s="105"/>
    </row>
    <row r="369">
      <c r="A369" s="5"/>
      <c r="B369" s="105"/>
      <c r="C369" s="105"/>
      <c r="D369" s="105"/>
      <c r="E369" s="105"/>
      <c r="F369" s="105"/>
      <c r="G369" s="106"/>
      <c r="H369" s="105"/>
      <c r="I369" s="105"/>
      <c r="J369" s="105"/>
      <c r="K369" s="105"/>
      <c r="L369" s="109"/>
      <c r="M369" s="109"/>
      <c r="N369" s="109"/>
      <c r="O369" s="105"/>
      <c r="P369" s="105"/>
      <c r="Q369" s="105"/>
    </row>
    <row r="370">
      <c r="A370" s="5"/>
      <c r="B370" s="105"/>
      <c r="C370" s="105"/>
      <c r="D370" s="105"/>
      <c r="E370" s="105"/>
      <c r="F370" s="105"/>
      <c r="G370" s="106"/>
      <c r="H370" s="105"/>
      <c r="I370" s="105"/>
      <c r="J370" s="105"/>
      <c r="K370" s="105"/>
      <c r="L370" s="109"/>
      <c r="M370" s="109"/>
      <c r="N370" s="109"/>
      <c r="O370" s="105"/>
      <c r="P370" s="105"/>
      <c r="Q370" s="105"/>
    </row>
    <row r="371">
      <c r="A371" s="5"/>
      <c r="B371" s="105"/>
      <c r="C371" s="105"/>
      <c r="D371" s="105"/>
      <c r="E371" s="105"/>
      <c r="F371" s="105"/>
      <c r="G371" s="106"/>
      <c r="H371" s="105"/>
      <c r="I371" s="105"/>
      <c r="J371" s="105"/>
      <c r="K371" s="105"/>
      <c r="L371" s="109"/>
      <c r="M371" s="109"/>
      <c r="N371" s="109"/>
      <c r="O371" s="105"/>
      <c r="P371" s="105"/>
      <c r="Q371" s="105"/>
    </row>
    <row r="372">
      <c r="A372" s="5"/>
      <c r="B372" s="105"/>
      <c r="C372" s="105"/>
      <c r="D372" s="105"/>
      <c r="E372" s="105"/>
      <c r="F372" s="105"/>
      <c r="G372" s="106"/>
      <c r="H372" s="105"/>
      <c r="I372" s="105"/>
      <c r="J372" s="105"/>
      <c r="K372" s="105"/>
      <c r="L372" s="109"/>
      <c r="M372" s="109"/>
      <c r="N372" s="109"/>
      <c r="O372" s="105"/>
      <c r="P372" s="105"/>
      <c r="Q372" s="105"/>
    </row>
    <row r="373">
      <c r="A373" s="5"/>
      <c r="B373" s="105"/>
      <c r="C373" s="105"/>
      <c r="D373" s="105"/>
      <c r="E373" s="105"/>
      <c r="F373" s="105"/>
      <c r="G373" s="106"/>
      <c r="H373" s="105"/>
      <c r="I373" s="105"/>
      <c r="J373" s="105"/>
      <c r="K373" s="105"/>
      <c r="L373" s="109"/>
      <c r="M373" s="109"/>
      <c r="N373" s="109"/>
      <c r="O373" s="105"/>
      <c r="P373" s="105"/>
      <c r="Q373" s="105"/>
    </row>
    <row r="374">
      <c r="A374" s="5"/>
      <c r="B374" s="105"/>
      <c r="C374" s="105"/>
      <c r="D374" s="105"/>
      <c r="E374" s="105"/>
      <c r="F374" s="105"/>
      <c r="G374" s="106"/>
      <c r="H374" s="105"/>
      <c r="I374" s="105"/>
      <c r="J374" s="105"/>
      <c r="K374" s="105"/>
      <c r="L374" s="109"/>
      <c r="M374" s="109"/>
      <c r="N374" s="109"/>
      <c r="O374" s="105"/>
      <c r="P374" s="105"/>
      <c r="Q374" s="105"/>
    </row>
    <row r="375">
      <c r="A375" s="5"/>
      <c r="B375" s="105"/>
      <c r="C375" s="105"/>
      <c r="D375" s="105"/>
      <c r="E375" s="105"/>
      <c r="F375" s="105"/>
      <c r="G375" s="106"/>
      <c r="H375" s="105"/>
      <c r="I375" s="105"/>
      <c r="J375" s="105"/>
      <c r="K375" s="105"/>
      <c r="L375" s="109"/>
      <c r="M375" s="109"/>
      <c r="N375" s="109"/>
      <c r="O375" s="105"/>
      <c r="P375" s="105"/>
      <c r="Q375" s="105"/>
    </row>
    <row r="376">
      <c r="A376" s="5"/>
      <c r="B376" s="105"/>
      <c r="C376" s="105"/>
      <c r="D376" s="105"/>
      <c r="E376" s="105"/>
      <c r="F376" s="105"/>
      <c r="G376" s="106"/>
      <c r="H376" s="105"/>
      <c r="I376" s="105"/>
      <c r="J376" s="105"/>
      <c r="K376" s="105"/>
      <c r="L376" s="109"/>
      <c r="M376" s="109"/>
      <c r="N376" s="109"/>
      <c r="O376" s="105"/>
      <c r="P376" s="105"/>
      <c r="Q376" s="105"/>
    </row>
    <row r="377">
      <c r="A377" s="5"/>
      <c r="B377" s="105"/>
      <c r="C377" s="105"/>
      <c r="D377" s="105"/>
      <c r="E377" s="105"/>
      <c r="F377" s="105"/>
      <c r="G377" s="106"/>
      <c r="H377" s="105"/>
      <c r="I377" s="105"/>
      <c r="J377" s="105"/>
      <c r="K377" s="105"/>
      <c r="L377" s="109"/>
      <c r="M377" s="109"/>
      <c r="N377" s="109"/>
      <c r="O377" s="105"/>
      <c r="P377" s="105"/>
      <c r="Q377" s="105"/>
    </row>
    <row r="378">
      <c r="A378" s="5"/>
      <c r="B378" s="105"/>
      <c r="C378" s="105"/>
      <c r="D378" s="105"/>
      <c r="E378" s="105"/>
      <c r="F378" s="105"/>
      <c r="G378" s="106"/>
      <c r="H378" s="105"/>
      <c r="I378" s="105"/>
      <c r="J378" s="105"/>
      <c r="K378" s="105"/>
      <c r="L378" s="109"/>
      <c r="M378" s="109"/>
      <c r="N378" s="109"/>
      <c r="O378" s="105"/>
      <c r="P378" s="105"/>
      <c r="Q378" s="105"/>
    </row>
    <row r="379">
      <c r="A379" s="5"/>
      <c r="B379" s="105"/>
      <c r="C379" s="105"/>
      <c r="D379" s="105"/>
      <c r="E379" s="105"/>
      <c r="F379" s="105"/>
      <c r="G379" s="106"/>
      <c r="H379" s="105"/>
      <c r="I379" s="105"/>
      <c r="J379" s="105"/>
      <c r="K379" s="105"/>
      <c r="L379" s="109"/>
      <c r="M379" s="109"/>
      <c r="N379" s="109"/>
      <c r="O379" s="105"/>
      <c r="P379" s="105"/>
      <c r="Q379" s="105"/>
    </row>
    <row r="380">
      <c r="A380" s="5"/>
      <c r="B380" s="105"/>
      <c r="C380" s="105"/>
      <c r="D380" s="105"/>
      <c r="E380" s="105"/>
      <c r="F380" s="105"/>
      <c r="G380" s="106"/>
      <c r="H380" s="105"/>
      <c r="I380" s="105"/>
      <c r="J380" s="105"/>
      <c r="K380" s="105"/>
      <c r="L380" s="109"/>
      <c r="M380" s="109"/>
      <c r="N380" s="109"/>
      <c r="O380" s="105"/>
      <c r="P380" s="105"/>
      <c r="Q380" s="105"/>
    </row>
    <row r="381">
      <c r="A381" s="5"/>
      <c r="B381" s="105"/>
      <c r="C381" s="105"/>
      <c r="D381" s="105"/>
      <c r="E381" s="105"/>
      <c r="F381" s="105"/>
      <c r="G381" s="106"/>
      <c r="H381" s="105"/>
      <c r="I381" s="105"/>
      <c r="J381" s="105"/>
      <c r="K381" s="105"/>
      <c r="L381" s="109"/>
      <c r="M381" s="109"/>
      <c r="N381" s="109"/>
      <c r="O381" s="105"/>
      <c r="P381" s="105"/>
      <c r="Q381" s="105"/>
    </row>
    <row r="382">
      <c r="A382" s="5"/>
      <c r="B382" s="105"/>
      <c r="C382" s="105"/>
      <c r="D382" s="105"/>
      <c r="E382" s="105"/>
      <c r="F382" s="105"/>
      <c r="G382" s="106"/>
      <c r="H382" s="105"/>
      <c r="I382" s="105"/>
      <c r="J382" s="105"/>
      <c r="K382" s="105"/>
      <c r="L382" s="109"/>
      <c r="M382" s="109"/>
      <c r="N382" s="109"/>
      <c r="O382" s="105"/>
      <c r="P382" s="105"/>
      <c r="Q382" s="105"/>
    </row>
    <row r="383">
      <c r="A383" s="5"/>
      <c r="B383" s="105"/>
      <c r="C383" s="105"/>
      <c r="D383" s="105"/>
      <c r="E383" s="105"/>
      <c r="F383" s="105"/>
      <c r="G383" s="106"/>
      <c r="H383" s="105"/>
      <c r="I383" s="105"/>
      <c r="J383" s="105"/>
      <c r="K383" s="105"/>
      <c r="L383" s="109"/>
      <c r="M383" s="109"/>
      <c r="N383" s="109"/>
      <c r="O383" s="105"/>
      <c r="P383" s="105"/>
      <c r="Q383" s="105"/>
    </row>
    <row r="384">
      <c r="A384" s="5"/>
      <c r="B384" s="105"/>
      <c r="C384" s="105"/>
      <c r="D384" s="105"/>
      <c r="E384" s="105"/>
      <c r="F384" s="105"/>
      <c r="G384" s="106"/>
      <c r="H384" s="105"/>
      <c r="I384" s="105"/>
      <c r="J384" s="105"/>
      <c r="K384" s="105"/>
      <c r="L384" s="109"/>
      <c r="M384" s="109"/>
      <c r="N384" s="109"/>
      <c r="O384" s="105"/>
      <c r="P384" s="105"/>
      <c r="Q384" s="105"/>
    </row>
    <row r="385">
      <c r="A385" s="5"/>
      <c r="B385" s="105"/>
      <c r="C385" s="105"/>
      <c r="D385" s="105"/>
      <c r="E385" s="105"/>
      <c r="F385" s="105"/>
      <c r="G385" s="106"/>
      <c r="H385" s="105"/>
      <c r="I385" s="105"/>
      <c r="J385" s="105"/>
      <c r="K385" s="105"/>
      <c r="L385" s="109"/>
      <c r="M385" s="109"/>
      <c r="N385" s="109"/>
      <c r="O385" s="105"/>
      <c r="P385" s="105"/>
      <c r="Q385" s="105"/>
    </row>
    <row r="386">
      <c r="A386" s="5"/>
      <c r="B386" s="105"/>
      <c r="C386" s="105"/>
      <c r="D386" s="105"/>
      <c r="E386" s="105"/>
      <c r="F386" s="105"/>
      <c r="G386" s="106"/>
      <c r="H386" s="105"/>
      <c r="I386" s="105"/>
      <c r="J386" s="105"/>
      <c r="K386" s="105"/>
      <c r="L386" s="109"/>
      <c r="M386" s="109"/>
      <c r="N386" s="109"/>
      <c r="O386" s="105"/>
      <c r="P386" s="105"/>
      <c r="Q386" s="105"/>
    </row>
    <row r="387">
      <c r="A387" s="5"/>
      <c r="B387" s="105"/>
      <c r="C387" s="105"/>
      <c r="D387" s="105"/>
      <c r="E387" s="105"/>
      <c r="F387" s="105"/>
      <c r="G387" s="106"/>
      <c r="H387" s="105"/>
      <c r="I387" s="105"/>
      <c r="J387" s="105"/>
      <c r="K387" s="105"/>
      <c r="L387" s="109"/>
      <c r="M387" s="109"/>
      <c r="N387" s="109"/>
      <c r="O387" s="105"/>
      <c r="P387" s="105"/>
      <c r="Q387" s="105"/>
    </row>
    <row r="388">
      <c r="A388" s="5"/>
      <c r="B388" s="105"/>
      <c r="C388" s="105"/>
      <c r="D388" s="105"/>
      <c r="E388" s="105"/>
      <c r="F388" s="105"/>
      <c r="G388" s="106"/>
      <c r="H388" s="105"/>
      <c r="I388" s="105"/>
      <c r="J388" s="105"/>
      <c r="K388" s="105"/>
      <c r="L388" s="109"/>
      <c r="M388" s="109"/>
      <c r="N388" s="109"/>
      <c r="O388" s="105"/>
      <c r="P388" s="105"/>
      <c r="Q388" s="105"/>
    </row>
    <row r="389">
      <c r="A389" s="5"/>
      <c r="B389" s="105"/>
      <c r="C389" s="105"/>
      <c r="D389" s="105"/>
      <c r="E389" s="105"/>
      <c r="F389" s="105"/>
      <c r="G389" s="106"/>
      <c r="H389" s="105"/>
      <c r="I389" s="105"/>
      <c r="J389" s="105"/>
      <c r="K389" s="105"/>
      <c r="L389" s="109"/>
      <c r="M389" s="109"/>
      <c r="N389" s="109"/>
      <c r="O389" s="105"/>
      <c r="P389" s="105"/>
      <c r="Q389" s="105"/>
    </row>
    <row r="390">
      <c r="A390" s="5"/>
      <c r="B390" s="105"/>
      <c r="C390" s="105"/>
      <c r="D390" s="105"/>
      <c r="E390" s="105"/>
      <c r="F390" s="105"/>
      <c r="G390" s="106"/>
      <c r="H390" s="105"/>
      <c r="I390" s="105"/>
      <c r="J390" s="105"/>
      <c r="K390" s="105"/>
      <c r="L390" s="109"/>
      <c r="M390" s="109"/>
      <c r="N390" s="109"/>
      <c r="O390" s="105"/>
      <c r="P390" s="105"/>
      <c r="Q390" s="105"/>
    </row>
    <row r="391">
      <c r="A391" s="5"/>
      <c r="B391" s="105"/>
      <c r="C391" s="105"/>
      <c r="D391" s="105"/>
      <c r="E391" s="105"/>
      <c r="F391" s="105"/>
      <c r="G391" s="106"/>
      <c r="H391" s="105"/>
      <c r="I391" s="105"/>
      <c r="J391" s="105"/>
      <c r="K391" s="105"/>
      <c r="L391" s="109"/>
      <c r="M391" s="109"/>
      <c r="N391" s="109"/>
      <c r="O391" s="105"/>
      <c r="P391" s="105"/>
      <c r="Q391" s="105"/>
    </row>
    <row r="392">
      <c r="A392" s="5"/>
      <c r="B392" s="105"/>
      <c r="C392" s="105"/>
      <c r="D392" s="105"/>
      <c r="E392" s="105"/>
      <c r="F392" s="105"/>
      <c r="G392" s="106"/>
      <c r="H392" s="105"/>
      <c r="I392" s="105"/>
      <c r="J392" s="105"/>
      <c r="K392" s="105"/>
      <c r="L392" s="109"/>
      <c r="M392" s="109"/>
      <c r="N392" s="109"/>
      <c r="O392" s="105"/>
      <c r="P392" s="105"/>
      <c r="Q392" s="105"/>
    </row>
    <row r="393">
      <c r="A393" s="5"/>
      <c r="B393" s="105"/>
      <c r="C393" s="105"/>
      <c r="D393" s="105"/>
      <c r="E393" s="105"/>
      <c r="F393" s="105"/>
      <c r="G393" s="106"/>
      <c r="H393" s="105"/>
      <c r="I393" s="105"/>
      <c r="J393" s="105"/>
      <c r="K393" s="105"/>
      <c r="L393" s="109"/>
      <c r="M393" s="109"/>
      <c r="N393" s="109"/>
      <c r="O393" s="105"/>
      <c r="P393" s="105"/>
      <c r="Q393" s="105"/>
    </row>
    <row r="394">
      <c r="A394" s="5"/>
      <c r="B394" s="105"/>
      <c r="C394" s="105"/>
      <c r="D394" s="105"/>
      <c r="E394" s="105"/>
      <c r="F394" s="105"/>
      <c r="G394" s="106"/>
      <c r="H394" s="105"/>
      <c r="I394" s="105"/>
      <c r="J394" s="105"/>
      <c r="K394" s="105"/>
      <c r="L394" s="109"/>
      <c r="M394" s="109"/>
      <c r="N394" s="109"/>
      <c r="O394" s="105"/>
      <c r="P394" s="105"/>
      <c r="Q394" s="105"/>
    </row>
    <row r="395">
      <c r="A395" s="5"/>
      <c r="B395" s="105"/>
      <c r="C395" s="105"/>
      <c r="D395" s="105"/>
      <c r="E395" s="105"/>
      <c r="F395" s="105"/>
      <c r="G395" s="106"/>
      <c r="H395" s="105"/>
      <c r="I395" s="105"/>
      <c r="J395" s="105"/>
      <c r="K395" s="105"/>
      <c r="L395" s="109"/>
      <c r="M395" s="109"/>
      <c r="N395" s="109"/>
      <c r="O395" s="105"/>
      <c r="P395" s="105"/>
      <c r="Q395" s="105"/>
    </row>
    <row r="396">
      <c r="A396" s="5"/>
      <c r="B396" s="105"/>
      <c r="C396" s="105"/>
      <c r="D396" s="105"/>
      <c r="E396" s="105"/>
      <c r="F396" s="105"/>
      <c r="G396" s="106"/>
      <c r="H396" s="105"/>
      <c r="I396" s="105"/>
      <c r="J396" s="105"/>
      <c r="K396" s="105"/>
      <c r="L396" s="109"/>
      <c r="M396" s="109"/>
      <c r="N396" s="109"/>
      <c r="O396" s="105"/>
      <c r="P396" s="105"/>
      <c r="Q396" s="105"/>
    </row>
    <row r="397">
      <c r="A397" s="5"/>
      <c r="B397" s="105"/>
      <c r="C397" s="105"/>
      <c r="D397" s="105"/>
      <c r="E397" s="105"/>
      <c r="F397" s="105"/>
      <c r="G397" s="106"/>
      <c r="H397" s="105"/>
      <c r="I397" s="105"/>
      <c r="J397" s="105"/>
      <c r="K397" s="105"/>
      <c r="L397" s="109"/>
      <c r="M397" s="109"/>
      <c r="N397" s="109"/>
      <c r="O397" s="105"/>
      <c r="P397" s="105"/>
      <c r="Q397" s="105"/>
    </row>
    <row r="398">
      <c r="A398" s="5"/>
      <c r="B398" s="105"/>
      <c r="C398" s="105"/>
      <c r="D398" s="105"/>
      <c r="E398" s="105"/>
      <c r="F398" s="105"/>
      <c r="G398" s="106"/>
      <c r="H398" s="105"/>
      <c r="I398" s="105"/>
      <c r="J398" s="105"/>
      <c r="K398" s="105"/>
      <c r="L398" s="109"/>
      <c r="M398" s="109"/>
      <c r="N398" s="109"/>
      <c r="O398" s="105"/>
      <c r="P398" s="105"/>
      <c r="Q398" s="105"/>
    </row>
    <row r="399">
      <c r="A399" s="5"/>
      <c r="B399" s="105"/>
      <c r="C399" s="105"/>
      <c r="D399" s="105"/>
      <c r="E399" s="105"/>
      <c r="F399" s="105"/>
      <c r="G399" s="106"/>
      <c r="H399" s="105"/>
      <c r="I399" s="105"/>
      <c r="J399" s="105"/>
      <c r="K399" s="105"/>
      <c r="L399" s="109"/>
      <c r="M399" s="109"/>
      <c r="N399" s="109"/>
      <c r="O399" s="105"/>
      <c r="P399" s="105"/>
      <c r="Q399" s="105"/>
    </row>
    <row r="400">
      <c r="A400" s="5"/>
      <c r="B400" s="105"/>
      <c r="C400" s="105"/>
      <c r="D400" s="105"/>
      <c r="E400" s="105"/>
      <c r="F400" s="105"/>
      <c r="G400" s="106"/>
      <c r="H400" s="105"/>
      <c r="I400" s="105"/>
      <c r="J400" s="105"/>
      <c r="K400" s="105"/>
      <c r="L400" s="109"/>
      <c r="M400" s="109"/>
      <c r="N400" s="109"/>
      <c r="O400" s="105"/>
      <c r="P400" s="105"/>
      <c r="Q400" s="105"/>
    </row>
    <row r="401">
      <c r="A401" s="5"/>
      <c r="B401" s="105"/>
      <c r="C401" s="105"/>
      <c r="D401" s="105"/>
      <c r="E401" s="105"/>
      <c r="F401" s="105"/>
      <c r="G401" s="106"/>
      <c r="H401" s="105"/>
      <c r="I401" s="105"/>
      <c r="J401" s="105"/>
      <c r="K401" s="105"/>
      <c r="L401" s="109"/>
      <c r="M401" s="109"/>
      <c r="N401" s="109"/>
      <c r="O401" s="105"/>
      <c r="P401" s="105"/>
      <c r="Q401" s="105"/>
    </row>
    <row r="402">
      <c r="A402" s="5"/>
      <c r="B402" s="105"/>
      <c r="C402" s="105"/>
      <c r="D402" s="105"/>
      <c r="E402" s="105"/>
      <c r="F402" s="105"/>
      <c r="G402" s="106"/>
      <c r="H402" s="105"/>
      <c r="I402" s="105"/>
      <c r="J402" s="105"/>
      <c r="K402" s="105"/>
      <c r="L402" s="109"/>
      <c r="M402" s="109"/>
      <c r="N402" s="109"/>
      <c r="O402" s="105"/>
      <c r="P402" s="105"/>
      <c r="Q402" s="105"/>
    </row>
    <row r="403">
      <c r="A403" s="5"/>
      <c r="B403" s="105"/>
      <c r="C403" s="105"/>
      <c r="D403" s="105"/>
      <c r="E403" s="105"/>
      <c r="F403" s="105"/>
      <c r="G403" s="106"/>
      <c r="H403" s="105"/>
      <c r="I403" s="105"/>
      <c r="J403" s="105"/>
      <c r="K403" s="105"/>
      <c r="L403" s="109"/>
      <c r="M403" s="109"/>
      <c r="N403" s="109"/>
      <c r="O403" s="105"/>
      <c r="P403" s="105"/>
      <c r="Q403" s="105"/>
    </row>
    <row r="404">
      <c r="A404" s="5"/>
      <c r="B404" s="105"/>
      <c r="C404" s="105"/>
      <c r="D404" s="105"/>
      <c r="E404" s="105"/>
      <c r="F404" s="105"/>
      <c r="G404" s="106"/>
      <c r="H404" s="105"/>
      <c r="I404" s="105"/>
      <c r="J404" s="105"/>
      <c r="K404" s="105"/>
      <c r="L404" s="109"/>
      <c r="M404" s="109"/>
      <c r="N404" s="109"/>
      <c r="O404" s="105"/>
      <c r="P404" s="105"/>
      <c r="Q404" s="105"/>
    </row>
    <row r="405">
      <c r="A405" s="5"/>
      <c r="B405" s="105"/>
      <c r="C405" s="105"/>
      <c r="D405" s="105"/>
      <c r="E405" s="105"/>
      <c r="F405" s="105"/>
      <c r="G405" s="106"/>
      <c r="H405" s="105"/>
      <c r="I405" s="105"/>
      <c r="J405" s="105"/>
      <c r="K405" s="105"/>
      <c r="L405" s="109"/>
      <c r="M405" s="109"/>
      <c r="N405" s="109"/>
      <c r="O405" s="105"/>
      <c r="P405" s="105"/>
      <c r="Q405" s="105"/>
    </row>
    <row r="406">
      <c r="A406" s="5"/>
      <c r="B406" s="105"/>
      <c r="C406" s="105"/>
      <c r="D406" s="105"/>
      <c r="E406" s="105"/>
      <c r="F406" s="105"/>
      <c r="G406" s="106"/>
      <c r="H406" s="105"/>
      <c r="I406" s="105"/>
      <c r="J406" s="105"/>
      <c r="K406" s="105"/>
      <c r="L406" s="109"/>
      <c r="M406" s="109"/>
      <c r="N406" s="109"/>
      <c r="O406" s="105"/>
      <c r="P406" s="105"/>
      <c r="Q406" s="105"/>
    </row>
    <row r="407">
      <c r="A407" s="5"/>
      <c r="B407" s="105"/>
      <c r="C407" s="105"/>
      <c r="D407" s="105"/>
      <c r="E407" s="105"/>
      <c r="F407" s="105"/>
      <c r="G407" s="106"/>
      <c r="H407" s="105"/>
      <c r="I407" s="105"/>
      <c r="J407" s="105"/>
      <c r="K407" s="105"/>
      <c r="L407" s="109"/>
      <c r="M407" s="109"/>
      <c r="N407" s="109"/>
      <c r="O407" s="105"/>
      <c r="P407" s="105"/>
      <c r="Q407" s="105"/>
    </row>
    <row r="408">
      <c r="A408" s="5"/>
      <c r="B408" s="105"/>
      <c r="C408" s="105"/>
      <c r="D408" s="105"/>
      <c r="E408" s="105"/>
      <c r="F408" s="105"/>
      <c r="G408" s="106"/>
      <c r="H408" s="105"/>
      <c r="I408" s="105"/>
      <c r="J408" s="105"/>
      <c r="K408" s="105"/>
      <c r="L408" s="109"/>
      <c r="M408" s="109"/>
      <c r="N408" s="109"/>
      <c r="O408" s="105"/>
      <c r="P408" s="105"/>
      <c r="Q408" s="105"/>
    </row>
    <row r="409">
      <c r="A409" s="5"/>
      <c r="B409" s="105"/>
      <c r="C409" s="105"/>
      <c r="D409" s="105"/>
      <c r="E409" s="105"/>
      <c r="F409" s="105"/>
      <c r="G409" s="106"/>
      <c r="H409" s="105"/>
      <c r="I409" s="105"/>
      <c r="J409" s="105"/>
      <c r="K409" s="105"/>
      <c r="L409" s="109"/>
      <c r="M409" s="109"/>
      <c r="N409" s="109"/>
      <c r="O409" s="105"/>
      <c r="P409" s="105"/>
      <c r="Q409" s="105"/>
    </row>
    <row r="410">
      <c r="A410" s="5"/>
      <c r="B410" s="105"/>
      <c r="C410" s="105"/>
      <c r="D410" s="105"/>
      <c r="E410" s="105"/>
      <c r="F410" s="105"/>
      <c r="G410" s="106"/>
      <c r="H410" s="105"/>
      <c r="I410" s="105"/>
      <c r="J410" s="105"/>
      <c r="K410" s="105"/>
      <c r="L410" s="109"/>
      <c r="M410" s="109"/>
      <c r="N410" s="109"/>
      <c r="O410" s="105"/>
      <c r="P410" s="105"/>
      <c r="Q410" s="105"/>
    </row>
    <row r="411">
      <c r="A411" s="5"/>
      <c r="B411" s="105"/>
      <c r="C411" s="105"/>
      <c r="D411" s="105"/>
      <c r="E411" s="105"/>
      <c r="F411" s="105"/>
      <c r="G411" s="106"/>
      <c r="H411" s="105"/>
      <c r="I411" s="105"/>
      <c r="J411" s="105"/>
      <c r="K411" s="105"/>
      <c r="L411" s="109"/>
      <c r="M411" s="109"/>
      <c r="N411" s="109"/>
      <c r="O411" s="105"/>
      <c r="P411" s="105"/>
      <c r="Q411" s="105"/>
    </row>
    <row r="412">
      <c r="A412" s="5"/>
      <c r="B412" s="105"/>
      <c r="C412" s="105"/>
      <c r="D412" s="105"/>
      <c r="E412" s="105"/>
      <c r="F412" s="105"/>
      <c r="G412" s="106"/>
      <c r="H412" s="105"/>
      <c r="I412" s="105"/>
      <c r="J412" s="105"/>
      <c r="K412" s="105"/>
      <c r="L412" s="109"/>
      <c r="M412" s="109"/>
      <c r="N412" s="109"/>
      <c r="O412" s="105"/>
      <c r="P412" s="105"/>
      <c r="Q412" s="105"/>
    </row>
    <row r="413">
      <c r="A413" s="5"/>
      <c r="B413" s="105"/>
      <c r="C413" s="105"/>
      <c r="D413" s="105"/>
      <c r="E413" s="105"/>
      <c r="F413" s="105"/>
      <c r="G413" s="106"/>
      <c r="H413" s="105"/>
      <c r="I413" s="105"/>
      <c r="J413" s="105"/>
      <c r="K413" s="105"/>
      <c r="L413" s="109"/>
      <c r="M413" s="109"/>
      <c r="N413" s="109"/>
      <c r="O413" s="105"/>
      <c r="P413" s="105"/>
      <c r="Q413" s="105"/>
    </row>
    <row r="414">
      <c r="A414" s="5"/>
      <c r="B414" s="105"/>
      <c r="C414" s="105"/>
      <c r="D414" s="105"/>
      <c r="E414" s="105"/>
      <c r="F414" s="105"/>
      <c r="G414" s="106"/>
      <c r="H414" s="105"/>
      <c r="I414" s="105"/>
      <c r="J414" s="105"/>
      <c r="K414" s="105"/>
      <c r="L414" s="109"/>
      <c r="M414" s="109"/>
      <c r="N414" s="109"/>
      <c r="O414" s="105"/>
      <c r="P414" s="105"/>
      <c r="Q414" s="105"/>
    </row>
    <row r="415">
      <c r="A415" s="5"/>
      <c r="B415" s="105"/>
      <c r="C415" s="105"/>
      <c r="D415" s="105"/>
      <c r="E415" s="105"/>
      <c r="F415" s="105"/>
      <c r="G415" s="106"/>
      <c r="H415" s="105"/>
      <c r="I415" s="105"/>
      <c r="J415" s="105"/>
      <c r="K415" s="105"/>
      <c r="L415" s="109"/>
      <c r="M415" s="109"/>
      <c r="N415" s="109"/>
      <c r="O415" s="105"/>
      <c r="P415" s="105"/>
      <c r="Q415" s="105"/>
    </row>
    <row r="416">
      <c r="A416" s="5"/>
      <c r="B416" s="105"/>
      <c r="C416" s="105"/>
      <c r="D416" s="105"/>
      <c r="E416" s="105"/>
      <c r="F416" s="105"/>
      <c r="G416" s="106"/>
      <c r="H416" s="105"/>
      <c r="I416" s="105"/>
      <c r="J416" s="105"/>
      <c r="K416" s="105"/>
      <c r="L416" s="109"/>
      <c r="M416" s="109"/>
      <c r="N416" s="109"/>
      <c r="O416" s="105"/>
      <c r="P416" s="105"/>
      <c r="Q416" s="105"/>
    </row>
    <row r="417">
      <c r="A417" s="5"/>
      <c r="B417" s="105"/>
      <c r="C417" s="105"/>
      <c r="D417" s="105"/>
      <c r="E417" s="105"/>
      <c r="F417" s="105"/>
      <c r="G417" s="106"/>
      <c r="H417" s="105"/>
      <c r="I417" s="105"/>
      <c r="J417" s="105"/>
      <c r="K417" s="105"/>
      <c r="L417" s="109"/>
      <c r="M417" s="109"/>
      <c r="N417" s="109"/>
      <c r="O417" s="105"/>
      <c r="P417" s="105"/>
      <c r="Q417" s="105"/>
    </row>
    <row r="418">
      <c r="A418" s="5"/>
      <c r="B418" s="105"/>
      <c r="C418" s="105"/>
      <c r="D418" s="105"/>
      <c r="E418" s="105"/>
      <c r="F418" s="105"/>
      <c r="G418" s="106"/>
      <c r="H418" s="105"/>
      <c r="I418" s="105"/>
      <c r="J418" s="105"/>
      <c r="K418" s="105"/>
      <c r="L418" s="109"/>
      <c r="M418" s="109"/>
      <c r="N418" s="109"/>
      <c r="O418" s="105"/>
      <c r="P418" s="105"/>
      <c r="Q418" s="105"/>
    </row>
    <row r="419">
      <c r="A419" s="5"/>
      <c r="B419" s="105"/>
      <c r="C419" s="105"/>
      <c r="D419" s="105"/>
      <c r="E419" s="105"/>
      <c r="F419" s="105"/>
      <c r="G419" s="106"/>
      <c r="H419" s="105"/>
      <c r="I419" s="105"/>
      <c r="J419" s="105"/>
      <c r="K419" s="105"/>
      <c r="L419" s="109"/>
      <c r="M419" s="109"/>
      <c r="N419" s="109"/>
      <c r="O419" s="105"/>
      <c r="P419" s="105"/>
      <c r="Q419" s="105"/>
    </row>
    <row r="420">
      <c r="A420" s="5"/>
      <c r="B420" s="105"/>
      <c r="C420" s="105"/>
      <c r="D420" s="105"/>
      <c r="E420" s="105"/>
      <c r="F420" s="105"/>
      <c r="G420" s="106"/>
      <c r="H420" s="105"/>
      <c r="I420" s="105"/>
      <c r="J420" s="105"/>
      <c r="K420" s="105"/>
      <c r="L420" s="109"/>
      <c r="M420" s="109"/>
      <c r="N420" s="109"/>
      <c r="O420" s="105"/>
      <c r="P420" s="105"/>
      <c r="Q420" s="105"/>
    </row>
    <row r="421">
      <c r="A421" s="5"/>
      <c r="B421" s="105"/>
      <c r="C421" s="105"/>
      <c r="D421" s="105"/>
      <c r="E421" s="105"/>
      <c r="F421" s="105"/>
      <c r="G421" s="106"/>
      <c r="H421" s="105"/>
      <c r="I421" s="105"/>
      <c r="J421" s="105"/>
      <c r="K421" s="105"/>
      <c r="L421" s="109"/>
      <c r="M421" s="109"/>
      <c r="N421" s="109"/>
      <c r="O421" s="105"/>
      <c r="P421" s="105"/>
      <c r="Q421" s="105"/>
    </row>
    <row r="422">
      <c r="A422" s="5"/>
      <c r="B422" s="105"/>
      <c r="C422" s="105"/>
      <c r="D422" s="105"/>
      <c r="E422" s="105"/>
      <c r="F422" s="105"/>
      <c r="G422" s="106"/>
      <c r="H422" s="105"/>
      <c r="I422" s="105"/>
      <c r="J422" s="105"/>
      <c r="K422" s="105"/>
      <c r="L422" s="109"/>
      <c r="M422" s="109"/>
      <c r="N422" s="109"/>
      <c r="O422" s="105"/>
      <c r="P422" s="105"/>
      <c r="Q422" s="105"/>
    </row>
    <row r="423">
      <c r="A423" s="5"/>
      <c r="B423" s="105"/>
      <c r="C423" s="105"/>
      <c r="D423" s="105"/>
      <c r="E423" s="105"/>
      <c r="F423" s="105"/>
      <c r="G423" s="106"/>
      <c r="H423" s="105"/>
      <c r="I423" s="105"/>
      <c r="J423" s="105"/>
      <c r="K423" s="105"/>
      <c r="L423" s="109"/>
      <c r="M423" s="109"/>
      <c r="N423" s="109"/>
      <c r="O423" s="105"/>
      <c r="P423" s="105"/>
      <c r="Q423" s="105"/>
    </row>
    <row r="424">
      <c r="A424" s="5"/>
      <c r="B424" s="105"/>
      <c r="C424" s="105"/>
      <c r="D424" s="105"/>
      <c r="E424" s="105"/>
      <c r="F424" s="105"/>
      <c r="G424" s="106"/>
      <c r="H424" s="105"/>
      <c r="I424" s="105"/>
      <c r="J424" s="105"/>
      <c r="K424" s="105"/>
      <c r="L424" s="109"/>
      <c r="M424" s="109"/>
      <c r="N424" s="109"/>
      <c r="O424" s="105"/>
      <c r="P424" s="105"/>
      <c r="Q424" s="105"/>
    </row>
    <row r="425">
      <c r="A425" s="5"/>
      <c r="B425" s="105"/>
      <c r="C425" s="105"/>
      <c r="D425" s="105"/>
      <c r="E425" s="105"/>
      <c r="F425" s="105"/>
      <c r="G425" s="106"/>
      <c r="H425" s="105"/>
      <c r="I425" s="105"/>
      <c r="J425" s="105"/>
      <c r="K425" s="105"/>
      <c r="L425" s="109"/>
      <c r="M425" s="109"/>
      <c r="N425" s="109"/>
      <c r="O425" s="105"/>
      <c r="P425" s="105"/>
      <c r="Q425" s="105"/>
    </row>
    <row r="426">
      <c r="A426" s="5"/>
      <c r="B426" s="105"/>
      <c r="C426" s="105"/>
      <c r="D426" s="105"/>
      <c r="E426" s="105"/>
      <c r="F426" s="105"/>
      <c r="G426" s="106"/>
      <c r="H426" s="105"/>
      <c r="I426" s="105"/>
      <c r="J426" s="105"/>
      <c r="K426" s="105"/>
      <c r="L426" s="109"/>
      <c r="M426" s="109"/>
      <c r="N426" s="109"/>
      <c r="O426" s="105"/>
      <c r="P426" s="105"/>
      <c r="Q426" s="105"/>
    </row>
    <row r="427">
      <c r="A427" s="5"/>
      <c r="B427" s="105"/>
      <c r="C427" s="105"/>
      <c r="D427" s="105"/>
      <c r="E427" s="105"/>
      <c r="F427" s="105"/>
      <c r="G427" s="106"/>
      <c r="H427" s="105"/>
      <c r="I427" s="105"/>
      <c r="J427" s="105"/>
      <c r="K427" s="105"/>
      <c r="L427" s="109"/>
      <c r="M427" s="109"/>
      <c r="N427" s="109"/>
      <c r="O427" s="105"/>
      <c r="P427" s="105"/>
      <c r="Q427" s="105"/>
    </row>
    <row r="428">
      <c r="A428" s="5"/>
      <c r="B428" s="105"/>
      <c r="C428" s="105"/>
      <c r="D428" s="105"/>
      <c r="E428" s="105"/>
      <c r="F428" s="105"/>
      <c r="G428" s="106"/>
      <c r="H428" s="105"/>
      <c r="I428" s="105"/>
      <c r="J428" s="105"/>
      <c r="K428" s="105"/>
      <c r="L428" s="109"/>
      <c r="M428" s="109"/>
      <c r="N428" s="109"/>
      <c r="O428" s="105"/>
      <c r="P428" s="105"/>
      <c r="Q428" s="105"/>
    </row>
    <row r="429">
      <c r="A429" s="5"/>
      <c r="B429" s="105"/>
      <c r="C429" s="105"/>
      <c r="D429" s="105"/>
      <c r="E429" s="105"/>
      <c r="F429" s="105"/>
      <c r="G429" s="106"/>
      <c r="H429" s="105"/>
      <c r="I429" s="105"/>
      <c r="J429" s="105"/>
      <c r="K429" s="105"/>
      <c r="L429" s="109"/>
      <c r="M429" s="109"/>
      <c r="N429" s="109"/>
      <c r="O429" s="105"/>
      <c r="P429" s="105"/>
      <c r="Q429" s="105"/>
    </row>
    <row r="430">
      <c r="A430" s="5"/>
      <c r="B430" s="105"/>
      <c r="C430" s="105"/>
      <c r="D430" s="105"/>
      <c r="E430" s="105"/>
      <c r="F430" s="105"/>
      <c r="G430" s="106"/>
      <c r="H430" s="105"/>
      <c r="I430" s="105"/>
      <c r="J430" s="105"/>
      <c r="K430" s="105"/>
      <c r="L430" s="109"/>
      <c r="M430" s="109"/>
      <c r="N430" s="109"/>
      <c r="O430" s="105"/>
      <c r="P430" s="105"/>
      <c r="Q430" s="105"/>
    </row>
    <row r="431">
      <c r="A431" s="5"/>
      <c r="B431" s="105"/>
      <c r="C431" s="105"/>
      <c r="D431" s="105"/>
      <c r="E431" s="105"/>
      <c r="F431" s="105"/>
      <c r="G431" s="106"/>
      <c r="H431" s="105"/>
      <c r="I431" s="105"/>
      <c r="J431" s="105"/>
      <c r="K431" s="105"/>
      <c r="L431" s="109"/>
      <c r="M431" s="109"/>
      <c r="N431" s="109"/>
      <c r="O431" s="105"/>
      <c r="P431" s="105"/>
      <c r="Q431" s="105"/>
    </row>
    <row r="432">
      <c r="A432" s="5"/>
      <c r="B432" s="105"/>
      <c r="C432" s="105"/>
      <c r="D432" s="105"/>
      <c r="E432" s="105"/>
      <c r="F432" s="105"/>
      <c r="G432" s="106"/>
      <c r="H432" s="105"/>
      <c r="I432" s="105"/>
      <c r="J432" s="105"/>
      <c r="K432" s="105"/>
      <c r="L432" s="109"/>
      <c r="M432" s="109"/>
      <c r="N432" s="109"/>
      <c r="O432" s="105"/>
      <c r="P432" s="105"/>
      <c r="Q432" s="105"/>
    </row>
    <row r="433">
      <c r="A433" s="5"/>
      <c r="B433" s="105"/>
      <c r="C433" s="105"/>
      <c r="D433" s="105"/>
      <c r="E433" s="105"/>
      <c r="F433" s="105"/>
      <c r="G433" s="106"/>
      <c r="H433" s="105"/>
      <c r="I433" s="105"/>
      <c r="J433" s="105"/>
      <c r="K433" s="105"/>
      <c r="L433" s="109"/>
      <c r="M433" s="109"/>
      <c r="N433" s="109"/>
      <c r="O433" s="105"/>
      <c r="P433" s="105"/>
      <c r="Q433" s="105"/>
    </row>
    <row r="434">
      <c r="A434" s="5"/>
      <c r="B434" s="105"/>
      <c r="C434" s="105"/>
      <c r="D434" s="105"/>
      <c r="E434" s="105"/>
      <c r="F434" s="105"/>
      <c r="G434" s="106"/>
      <c r="H434" s="105"/>
      <c r="I434" s="105"/>
      <c r="J434" s="105"/>
      <c r="K434" s="105"/>
      <c r="L434" s="109"/>
      <c r="M434" s="109"/>
      <c r="N434" s="109"/>
      <c r="O434" s="105"/>
      <c r="P434" s="105"/>
      <c r="Q434" s="105"/>
    </row>
    <row r="435">
      <c r="A435" s="5"/>
      <c r="B435" s="105"/>
      <c r="C435" s="105"/>
      <c r="D435" s="105"/>
      <c r="E435" s="105"/>
      <c r="F435" s="105"/>
      <c r="G435" s="106"/>
      <c r="H435" s="105"/>
      <c r="I435" s="105"/>
      <c r="J435" s="105"/>
      <c r="K435" s="105"/>
      <c r="L435" s="109"/>
      <c r="M435" s="109"/>
      <c r="N435" s="109"/>
      <c r="O435" s="105"/>
      <c r="P435" s="105"/>
      <c r="Q435" s="105"/>
    </row>
    <row r="436">
      <c r="A436" s="5"/>
      <c r="B436" s="105"/>
      <c r="C436" s="105"/>
      <c r="D436" s="105"/>
      <c r="E436" s="105"/>
      <c r="F436" s="105"/>
      <c r="G436" s="106"/>
      <c r="H436" s="105"/>
      <c r="I436" s="105"/>
      <c r="J436" s="105"/>
      <c r="K436" s="105"/>
      <c r="L436" s="109"/>
      <c r="M436" s="109"/>
      <c r="N436" s="109"/>
      <c r="O436" s="105"/>
      <c r="P436" s="105"/>
      <c r="Q436" s="105"/>
    </row>
    <row r="437">
      <c r="A437" s="5"/>
      <c r="B437" s="105"/>
      <c r="C437" s="105"/>
      <c r="D437" s="105"/>
      <c r="E437" s="105"/>
      <c r="F437" s="105"/>
      <c r="G437" s="106"/>
      <c r="H437" s="105"/>
      <c r="I437" s="105"/>
      <c r="J437" s="105"/>
      <c r="K437" s="105"/>
      <c r="L437" s="109"/>
      <c r="M437" s="109"/>
      <c r="N437" s="109"/>
      <c r="O437" s="105"/>
      <c r="P437" s="105"/>
      <c r="Q437" s="105"/>
    </row>
    <row r="438">
      <c r="A438" s="5"/>
      <c r="B438" s="105"/>
      <c r="C438" s="105"/>
      <c r="D438" s="105"/>
      <c r="E438" s="105"/>
      <c r="F438" s="105"/>
      <c r="G438" s="106"/>
      <c r="H438" s="105"/>
      <c r="I438" s="105"/>
      <c r="J438" s="105"/>
      <c r="K438" s="105"/>
      <c r="L438" s="109"/>
      <c r="M438" s="109"/>
      <c r="N438" s="109"/>
      <c r="O438" s="105"/>
      <c r="P438" s="105"/>
      <c r="Q438" s="105"/>
    </row>
    <row r="439">
      <c r="A439" s="5"/>
      <c r="B439" s="105"/>
      <c r="C439" s="105"/>
      <c r="D439" s="105"/>
      <c r="E439" s="105"/>
      <c r="F439" s="105"/>
      <c r="G439" s="106"/>
      <c r="H439" s="105"/>
      <c r="I439" s="105"/>
      <c r="J439" s="105"/>
      <c r="K439" s="105"/>
      <c r="L439" s="109"/>
      <c r="M439" s="109"/>
      <c r="N439" s="109"/>
      <c r="O439" s="105"/>
      <c r="P439" s="105"/>
      <c r="Q439" s="105"/>
    </row>
    <row r="440">
      <c r="A440" s="5"/>
      <c r="B440" s="105"/>
      <c r="C440" s="105"/>
      <c r="D440" s="105"/>
      <c r="E440" s="105"/>
      <c r="F440" s="105"/>
      <c r="G440" s="106"/>
      <c r="H440" s="105"/>
      <c r="I440" s="105"/>
      <c r="J440" s="105"/>
      <c r="K440" s="105"/>
      <c r="L440" s="109"/>
      <c r="M440" s="109"/>
      <c r="N440" s="109"/>
      <c r="O440" s="105"/>
      <c r="P440" s="105"/>
      <c r="Q440" s="105"/>
    </row>
    <row r="441">
      <c r="A441" s="5"/>
      <c r="B441" s="105"/>
      <c r="C441" s="105"/>
      <c r="D441" s="105"/>
      <c r="E441" s="105"/>
      <c r="F441" s="105"/>
      <c r="G441" s="106"/>
      <c r="H441" s="105"/>
      <c r="I441" s="105"/>
      <c r="J441" s="105"/>
      <c r="K441" s="105"/>
      <c r="L441" s="109"/>
      <c r="M441" s="109"/>
      <c r="N441" s="109"/>
      <c r="O441" s="105"/>
      <c r="P441" s="105"/>
      <c r="Q441" s="105"/>
    </row>
    <row r="442">
      <c r="A442" s="5"/>
      <c r="B442" s="105"/>
      <c r="C442" s="105"/>
      <c r="D442" s="105"/>
      <c r="E442" s="105"/>
      <c r="F442" s="105"/>
      <c r="G442" s="106"/>
      <c r="H442" s="105"/>
      <c r="I442" s="105"/>
      <c r="J442" s="105"/>
      <c r="K442" s="105"/>
      <c r="L442" s="109"/>
      <c r="M442" s="109"/>
      <c r="N442" s="109"/>
      <c r="O442" s="105"/>
      <c r="P442" s="105"/>
      <c r="Q442" s="105"/>
    </row>
    <row r="443">
      <c r="A443" s="5"/>
      <c r="B443" s="105"/>
      <c r="C443" s="105"/>
      <c r="D443" s="105"/>
      <c r="E443" s="105"/>
      <c r="F443" s="105"/>
      <c r="G443" s="106"/>
      <c r="H443" s="105"/>
      <c r="I443" s="105"/>
      <c r="J443" s="105"/>
      <c r="K443" s="105"/>
      <c r="L443" s="109"/>
      <c r="M443" s="109"/>
      <c r="N443" s="109"/>
      <c r="O443" s="105"/>
      <c r="P443" s="105"/>
      <c r="Q443" s="105"/>
    </row>
    <row r="444">
      <c r="A444" s="5"/>
      <c r="B444" s="105"/>
      <c r="C444" s="105"/>
      <c r="D444" s="105"/>
      <c r="E444" s="105"/>
      <c r="F444" s="105"/>
      <c r="G444" s="106"/>
      <c r="H444" s="105"/>
      <c r="I444" s="105"/>
      <c r="J444" s="105"/>
      <c r="K444" s="105"/>
      <c r="L444" s="109"/>
      <c r="M444" s="109"/>
      <c r="N444" s="109"/>
      <c r="O444" s="105"/>
      <c r="P444" s="105"/>
      <c r="Q444" s="105"/>
    </row>
    <row r="445">
      <c r="A445" s="5"/>
      <c r="B445" s="105"/>
      <c r="C445" s="105"/>
      <c r="D445" s="105"/>
      <c r="E445" s="105"/>
      <c r="F445" s="105"/>
      <c r="G445" s="106"/>
      <c r="H445" s="105"/>
      <c r="I445" s="105"/>
      <c r="J445" s="105"/>
      <c r="K445" s="105"/>
      <c r="L445" s="109"/>
      <c r="M445" s="109"/>
      <c r="N445" s="109"/>
      <c r="O445" s="105"/>
      <c r="P445" s="105"/>
      <c r="Q445" s="105"/>
    </row>
    <row r="446">
      <c r="A446" s="5"/>
      <c r="B446" s="105"/>
      <c r="C446" s="105"/>
      <c r="D446" s="105"/>
      <c r="E446" s="105"/>
      <c r="F446" s="105"/>
      <c r="G446" s="106"/>
      <c r="H446" s="105"/>
      <c r="I446" s="105"/>
      <c r="J446" s="105"/>
      <c r="K446" s="105"/>
      <c r="L446" s="109"/>
      <c r="M446" s="109"/>
      <c r="N446" s="109"/>
      <c r="O446" s="105"/>
      <c r="P446" s="105"/>
      <c r="Q446" s="105"/>
    </row>
    <row r="447">
      <c r="A447" s="5"/>
      <c r="B447" s="105"/>
      <c r="C447" s="105"/>
      <c r="D447" s="105"/>
      <c r="E447" s="105"/>
      <c r="F447" s="105"/>
      <c r="G447" s="106"/>
      <c r="H447" s="105"/>
      <c r="I447" s="105"/>
      <c r="J447" s="105"/>
      <c r="K447" s="105"/>
      <c r="L447" s="109"/>
      <c r="M447" s="109"/>
      <c r="N447" s="109"/>
      <c r="O447" s="105"/>
      <c r="P447" s="105"/>
      <c r="Q447" s="105"/>
    </row>
    <row r="448">
      <c r="A448" s="5"/>
      <c r="B448" s="105"/>
      <c r="C448" s="105"/>
      <c r="D448" s="105"/>
      <c r="E448" s="105"/>
      <c r="F448" s="105"/>
      <c r="G448" s="106"/>
      <c r="H448" s="105"/>
      <c r="I448" s="105"/>
      <c r="J448" s="105"/>
      <c r="K448" s="105"/>
      <c r="L448" s="109"/>
      <c r="M448" s="109"/>
      <c r="N448" s="109"/>
      <c r="O448" s="105"/>
      <c r="P448" s="105"/>
      <c r="Q448" s="105"/>
    </row>
    <row r="449">
      <c r="A449" s="5"/>
      <c r="B449" s="105"/>
      <c r="C449" s="105"/>
      <c r="D449" s="105"/>
      <c r="E449" s="105"/>
      <c r="F449" s="105"/>
      <c r="G449" s="106"/>
      <c r="H449" s="105"/>
      <c r="I449" s="105"/>
      <c r="J449" s="105"/>
      <c r="K449" s="105"/>
      <c r="L449" s="109"/>
      <c r="M449" s="109"/>
      <c r="N449" s="109"/>
      <c r="O449" s="105"/>
      <c r="P449" s="105"/>
      <c r="Q449" s="105"/>
    </row>
    <row r="450">
      <c r="A450" s="5"/>
      <c r="B450" s="105"/>
      <c r="C450" s="105"/>
      <c r="D450" s="105"/>
      <c r="E450" s="105"/>
      <c r="F450" s="105"/>
      <c r="G450" s="106"/>
      <c r="H450" s="105"/>
      <c r="I450" s="105"/>
      <c r="J450" s="105"/>
      <c r="K450" s="105"/>
      <c r="L450" s="109"/>
      <c r="M450" s="109"/>
      <c r="N450" s="109"/>
      <c r="O450" s="105"/>
      <c r="P450" s="105"/>
      <c r="Q450" s="105"/>
    </row>
    <row r="451">
      <c r="A451" s="5"/>
      <c r="B451" s="105"/>
      <c r="C451" s="105"/>
      <c r="D451" s="105"/>
      <c r="E451" s="105"/>
      <c r="F451" s="105"/>
      <c r="G451" s="106"/>
      <c r="H451" s="105"/>
      <c r="I451" s="105"/>
      <c r="J451" s="105"/>
      <c r="K451" s="105"/>
      <c r="L451" s="109"/>
      <c r="M451" s="109"/>
      <c r="N451" s="109"/>
      <c r="O451" s="105"/>
      <c r="P451" s="105"/>
      <c r="Q451" s="105"/>
    </row>
    <row r="452">
      <c r="A452" s="5"/>
      <c r="B452" s="105"/>
      <c r="C452" s="105"/>
      <c r="D452" s="105"/>
      <c r="E452" s="105"/>
      <c r="F452" s="105"/>
      <c r="G452" s="106"/>
      <c r="H452" s="105"/>
      <c r="I452" s="105"/>
      <c r="J452" s="105"/>
      <c r="K452" s="105"/>
      <c r="L452" s="109"/>
      <c r="M452" s="109"/>
      <c r="N452" s="109"/>
      <c r="O452" s="105"/>
      <c r="P452" s="105"/>
      <c r="Q452" s="105"/>
    </row>
    <row r="453">
      <c r="A453" s="5"/>
      <c r="B453" s="105"/>
      <c r="C453" s="105"/>
      <c r="D453" s="105"/>
      <c r="E453" s="105"/>
      <c r="F453" s="105"/>
      <c r="G453" s="106"/>
      <c r="H453" s="105"/>
      <c r="I453" s="105"/>
      <c r="J453" s="105"/>
      <c r="K453" s="105"/>
      <c r="L453" s="109"/>
      <c r="M453" s="109"/>
      <c r="N453" s="109"/>
      <c r="O453" s="105"/>
      <c r="P453" s="105"/>
      <c r="Q453" s="105"/>
    </row>
    <row r="454">
      <c r="A454" s="5"/>
      <c r="B454" s="105"/>
      <c r="C454" s="105"/>
      <c r="D454" s="105"/>
      <c r="E454" s="105"/>
      <c r="F454" s="105"/>
      <c r="G454" s="106"/>
      <c r="H454" s="105"/>
      <c r="I454" s="105"/>
      <c r="J454" s="105"/>
      <c r="K454" s="105"/>
      <c r="L454" s="109"/>
      <c r="M454" s="109"/>
      <c r="N454" s="109"/>
      <c r="O454" s="105"/>
      <c r="P454" s="105"/>
      <c r="Q454" s="105"/>
    </row>
    <row r="455">
      <c r="A455" s="5"/>
      <c r="B455" s="105"/>
      <c r="C455" s="105"/>
      <c r="D455" s="105"/>
      <c r="E455" s="105"/>
      <c r="F455" s="105"/>
      <c r="G455" s="106"/>
      <c r="H455" s="105"/>
      <c r="I455" s="105"/>
      <c r="J455" s="105"/>
      <c r="K455" s="105"/>
      <c r="L455" s="109"/>
      <c r="M455" s="109"/>
      <c r="N455" s="109"/>
      <c r="O455" s="105"/>
      <c r="P455" s="105"/>
      <c r="Q455" s="105"/>
    </row>
    <row r="456">
      <c r="A456" s="5"/>
      <c r="B456" s="105"/>
      <c r="C456" s="105"/>
      <c r="D456" s="105"/>
      <c r="E456" s="105"/>
      <c r="F456" s="105"/>
      <c r="G456" s="106"/>
      <c r="H456" s="105"/>
      <c r="I456" s="105"/>
      <c r="J456" s="105"/>
      <c r="K456" s="105"/>
      <c r="L456" s="109"/>
      <c r="M456" s="109"/>
      <c r="N456" s="109"/>
      <c r="O456" s="105"/>
      <c r="P456" s="105"/>
      <c r="Q456" s="105"/>
    </row>
    <row r="457">
      <c r="A457" s="5"/>
      <c r="B457" s="105"/>
      <c r="C457" s="105"/>
      <c r="D457" s="105"/>
      <c r="E457" s="105"/>
      <c r="F457" s="105"/>
      <c r="G457" s="106"/>
      <c r="H457" s="105"/>
      <c r="I457" s="105"/>
      <c r="J457" s="105"/>
      <c r="K457" s="105"/>
      <c r="L457" s="109"/>
      <c r="M457" s="109"/>
      <c r="N457" s="109"/>
      <c r="O457" s="105"/>
      <c r="P457" s="105"/>
      <c r="Q457" s="105"/>
    </row>
    <row r="458">
      <c r="A458" s="5"/>
      <c r="B458" s="105"/>
      <c r="C458" s="105"/>
      <c r="D458" s="105"/>
      <c r="E458" s="105"/>
      <c r="F458" s="105"/>
      <c r="G458" s="106"/>
      <c r="H458" s="105"/>
      <c r="I458" s="105"/>
      <c r="J458" s="105"/>
      <c r="K458" s="105"/>
      <c r="L458" s="109"/>
      <c r="M458" s="109"/>
      <c r="N458" s="109"/>
      <c r="O458" s="105"/>
      <c r="P458" s="105"/>
      <c r="Q458" s="105"/>
    </row>
    <row r="459">
      <c r="A459" s="5"/>
      <c r="B459" s="105"/>
      <c r="C459" s="105"/>
      <c r="D459" s="105"/>
      <c r="E459" s="105"/>
      <c r="F459" s="105"/>
      <c r="G459" s="106"/>
      <c r="H459" s="105"/>
      <c r="I459" s="105"/>
      <c r="J459" s="105"/>
      <c r="K459" s="105"/>
      <c r="L459" s="109"/>
      <c r="M459" s="109"/>
      <c r="N459" s="109"/>
      <c r="O459" s="105"/>
      <c r="P459" s="105"/>
      <c r="Q459" s="105"/>
    </row>
    <row r="460">
      <c r="A460" s="5"/>
      <c r="B460" s="105"/>
      <c r="C460" s="105"/>
      <c r="D460" s="105"/>
      <c r="E460" s="105"/>
      <c r="F460" s="105"/>
      <c r="G460" s="106"/>
      <c r="H460" s="105"/>
      <c r="I460" s="105"/>
      <c r="J460" s="105"/>
      <c r="K460" s="105"/>
      <c r="L460" s="109"/>
      <c r="M460" s="109"/>
      <c r="N460" s="109"/>
      <c r="O460" s="105"/>
      <c r="P460" s="105"/>
      <c r="Q460" s="105"/>
    </row>
    <row r="461">
      <c r="A461" s="5"/>
      <c r="B461" s="105"/>
      <c r="C461" s="105"/>
      <c r="D461" s="105"/>
      <c r="E461" s="105"/>
      <c r="F461" s="105"/>
      <c r="G461" s="106"/>
      <c r="H461" s="105"/>
      <c r="I461" s="105"/>
      <c r="J461" s="105"/>
      <c r="K461" s="105"/>
      <c r="L461" s="109"/>
      <c r="M461" s="109"/>
      <c r="N461" s="109"/>
      <c r="O461" s="105"/>
      <c r="P461" s="105"/>
      <c r="Q461" s="105"/>
    </row>
    <row r="462">
      <c r="A462" s="5"/>
      <c r="B462" s="105"/>
      <c r="C462" s="105"/>
      <c r="D462" s="105"/>
      <c r="E462" s="105"/>
      <c r="F462" s="105"/>
      <c r="G462" s="106"/>
      <c r="H462" s="105"/>
      <c r="I462" s="105"/>
      <c r="J462" s="105"/>
      <c r="K462" s="105"/>
      <c r="L462" s="109"/>
      <c r="M462" s="109"/>
      <c r="N462" s="109"/>
      <c r="O462" s="105"/>
      <c r="P462" s="105"/>
      <c r="Q462" s="105"/>
    </row>
    <row r="463">
      <c r="A463" s="5"/>
      <c r="B463" s="105"/>
      <c r="C463" s="105"/>
      <c r="D463" s="105"/>
      <c r="E463" s="105"/>
      <c r="F463" s="105"/>
      <c r="G463" s="106"/>
      <c r="H463" s="105"/>
      <c r="I463" s="105"/>
      <c r="J463" s="105"/>
      <c r="K463" s="105"/>
      <c r="L463" s="109"/>
      <c r="M463" s="109"/>
      <c r="N463" s="109"/>
      <c r="O463" s="105"/>
      <c r="P463" s="105"/>
      <c r="Q463" s="105"/>
    </row>
    <row r="464">
      <c r="A464" s="5"/>
      <c r="B464" s="105"/>
      <c r="C464" s="105"/>
      <c r="D464" s="105"/>
      <c r="E464" s="105"/>
      <c r="F464" s="105"/>
      <c r="G464" s="106"/>
      <c r="H464" s="105"/>
      <c r="I464" s="105"/>
      <c r="J464" s="105"/>
      <c r="K464" s="105"/>
      <c r="L464" s="109"/>
      <c r="M464" s="109"/>
      <c r="N464" s="109"/>
      <c r="O464" s="105"/>
      <c r="P464" s="105"/>
      <c r="Q464" s="105"/>
    </row>
    <row r="465">
      <c r="A465" s="5"/>
      <c r="B465" s="105"/>
      <c r="C465" s="105"/>
      <c r="D465" s="105"/>
      <c r="E465" s="105"/>
      <c r="F465" s="105"/>
      <c r="G465" s="106"/>
      <c r="H465" s="105"/>
      <c r="I465" s="105"/>
      <c r="J465" s="105"/>
      <c r="K465" s="105"/>
      <c r="L465" s="109"/>
      <c r="M465" s="109"/>
      <c r="N465" s="109"/>
      <c r="O465" s="105"/>
      <c r="P465" s="105"/>
      <c r="Q465" s="105"/>
    </row>
    <row r="466">
      <c r="A466" s="5"/>
      <c r="B466" s="105"/>
      <c r="C466" s="105"/>
      <c r="D466" s="105"/>
      <c r="E466" s="105"/>
      <c r="F466" s="105"/>
      <c r="G466" s="106"/>
      <c r="H466" s="105"/>
      <c r="I466" s="105"/>
      <c r="J466" s="105"/>
      <c r="K466" s="105"/>
      <c r="L466" s="109"/>
      <c r="M466" s="109"/>
      <c r="N466" s="109"/>
      <c r="O466" s="105"/>
      <c r="P466" s="105"/>
      <c r="Q466" s="105"/>
    </row>
    <row r="467">
      <c r="A467" s="5"/>
      <c r="B467" s="105"/>
      <c r="C467" s="105"/>
      <c r="D467" s="105"/>
      <c r="E467" s="105"/>
      <c r="F467" s="105"/>
      <c r="G467" s="106"/>
      <c r="H467" s="105"/>
      <c r="I467" s="105"/>
      <c r="J467" s="105"/>
      <c r="K467" s="105"/>
      <c r="L467" s="109"/>
      <c r="M467" s="109"/>
      <c r="N467" s="109"/>
      <c r="O467" s="105"/>
      <c r="P467" s="105"/>
      <c r="Q467" s="105"/>
    </row>
    <row r="468">
      <c r="A468" s="5"/>
      <c r="B468" s="105"/>
      <c r="C468" s="105"/>
      <c r="D468" s="105"/>
      <c r="E468" s="105"/>
      <c r="F468" s="105"/>
      <c r="G468" s="106"/>
      <c r="H468" s="105"/>
      <c r="I468" s="105"/>
      <c r="J468" s="105"/>
      <c r="K468" s="105"/>
      <c r="L468" s="109"/>
      <c r="M468" s="109"/>
      <c r="N468" s="109"/>
      <c r="O468" s="105"/>
      <c r="P468" s="105"/>
      <c r="Q468" s="105"/>
    </row>
    <row r="469">
      <c r="A469" s="5"/>
      <c r="B469" s="105"/>
      <c r="C469" s="105"/>
      <c r="D469" s="105"/>
      <c r="E469" s="105"/>
      <c r="F469" s="105"/>
      <c r="G469" s="106"/>
      <c r="H469" s="105"/>
      <c r="I469" s="105"/>
      <c r="J469" s="105"/>
      <c r="K469" s="105"/>
      <c r="L469" s="109"/>
      <c r="M469" s="109"/>
      <c r="N469" s="109"/>
      <c r="O469" s="105"/>
      <c r="P469" s="105"/>
      <c r="Q469" s="105"/>
    </row>
    <row r="470">
      <c r="A470" s="5"/>
      <c r="B470" s="105"/>
      <c r="C470" s="105"/>
      <c r="D470" s="105"/>
      <c r="E470" s="105"/>
      <c r="F470" s="105"/>
      <c r="G470" s="106"/>
      <c r="H470" s="105"/>
      <c r="I470" s="105"/>
      <c r="J470" s="105"/>
      <c r="K470" s="105"/>
      <c r="L470" s="109"/>
      <c r="M470" s="109"/>
      <c r="N470" s="109"/>
      <c r="O470" s="105"/>
      <c r="P470" s="105"/>
      <c r="Q470" s="105"/>
    </row>
    <row r="471">
      <c r="A471" s="5"/>
      <c r="B471" s="105"/>
      <c r="C471" s="105"/>
      <c r="D471" s="105"/>
      <c r="E471" s="105"/>
      <c r="F471" s="105"/>
      <c r="G471" s="106"/>
      <c r="H471" s="105"/>
      <c r="I471" s="105"/>
      <c r="J471" s="105"/>
      <c r="K471" s="105"/>
      <c r="L471" s="109"/>
      <c r="M471" s="109"/>
      <c r="N471" s="109"/>
      <c r="O471" s="105"/>
      <c r="P471" s="105"/>
      <c r="Q471" s="105"/>
    </row>
    <row r="472">
      <c r="A472" s="5"/>
      <c r="B472" s="105"/>
      <c r="C472" s="105"/>
      <c r="D472" s="105"/>
      <c r="E472" s="105"/>
      <c r="F472" s="105"/>
      <c r="G472" s="106"/>
      <c r="H472" s="105"/>
      <c r="I472" s="105"/>
      <c r="J472" s="105"/>
      <c r="K472" s="105"/>
      <c r="L472" s="109"/>
      <c r="M472" s="109"/>
      <c r="N472" s="109"/>
      <c r="O472" s="105"/>
      <c r="P472" s="105"/>
      <c r="Q472" s="105"/>
    </row>
    <row r="473">
      <c r="A473" s="5"/>
      <c r="B473" s="105"/>
      <c r="C473" s="105"/>
      <c r="D473" s="105"/>
      <c r="E473" s="105"/>
      <c r="F473" s="105"/>
      <c r="G473" s="106"/>
      <c r="H473" s="105"/>
      <c r="I473" s="105"/>
      <c r="J473" s="105"/>
      <c r="K473" s="105"/>
      <c r="L473" s="109"/>
      <c r="M473" s="109"/>
      <c r="N473" s="109"/>
      <c r="O473" s="105"/>
      <c r="P473" s="105"/>
      <c r="Q473" s="105"/>
    </row>
    <row r="474">
      <c r="A474" s="5"/>
      <c r="B474" s="105"/>
      <c r="C474" s="105"/>
      <c r="D474" s="105"/>
      <c r="E474" s="105"/>
      <c r="F474" s="105"/>
      <c r="G474" s="106"/>
      <c r="H474" s="105"/>
      <c r="I474" s="105"/>
      <c r="J474" s="105"/>
      <c r="K474" s="105"/>
      <c r="L474" s="109"/>
      <c r="M474" s="109"/>
      <c r="N474" s="109"/>
      <c r="O474" s="105"/>
      <c r="P474" s="105"/>
      <c r="Q474" s="105"/>
    </row>
    <row r="475">
      <c r="A475" s="5"/>
      <c r="B475" s="105"/>
      <c r="C475" s="105"/>
      <c r="D475" s="105"/>
      <c r="E475" s="105"/>
      <c r="F475" s="105"/>
      <c r="G475" s="106"/>
      <c r="H475" s="105"/>
      <c r="I475" s="105"/>
      <c r="J475" s="105"/>
      <c r="K475" s="105"/>
      <c r="L475" s="109"/>
      <c r="M475" s="109"/>
      <c r="N475" s="109"/>
      <c r="O475" s="105"/>
      <c r="P475" s="105"/>
      <c r="Q475" s="105"/>
    </row>
    <row r="476">
      <c r="A476" s="5"/>
      <c r="B476" s="105"/>
      <c r="C476" s="105"/>
      <c r="D476" s="105"/>
      <c r="E476" s="105"/>
      <c r="F476" s="105"/>
      <c r="G476" s="106"/>
      <c r="H476" s="105"/>
      <c r="I476" s="105"/>
      <c r="J476" s="105"/>
      <c r="K476" s="105"/>
      <c r="L476" s="109"/>
      <c r="M476" s="109"/>
      <c r="N476" s="109"/>
      <c r="O476" s="105"/>
      <c r="P476" s="105"/>
      <c r="Q476" s="105"/>
    </row>
    <row r="477">
      <c r="A477" s="5"/>
      <c r="B477" s="105"/>
      <c r="C477" s="105"/>
      <c r="D477" s="105"/>
      <c r="E477" s="105"/>
      <c r="F477" s="105"/>
      <c r="G477" s="106"/>
      <c r="H477" s="105"/>
      <c r="I477" s="105"/>
      <c r="J477" s="105"/>
      <c r="K477" s="105"/>
      <c r="L477" s="109"/>
      <c r="M477" s="109"/>
      <c r="N477" s="109"/>
      <c r="O477" s="105"/>
      <c r="P477" s="105"/>
      <c r="Q477" s="105"/>
    </row>
    <row r="478">
      <c r="A478" s="5"/>
      <c r="B478" s="105"/>
      <c r="C478" s="105"/>
      <c r="D478" s="105"/>
      <c r="E478" s="105"/>
      <c r="F478" s="105"/>
      <c r="G478" s="106"/>
      <c r="H478" s="105"/>
      <c r="I478" s="105"/>
      <c r="J478" s="105"/>
      <c r="K478" s="105"/>
      <c r="L478" s="109"/>
      <c r="M478" s="109"/>
      <c r="N478" s="109"/>
      <c r="O478" s="105"/>
      <c r="P478" s="105"/>
      <c r="Q478" s="105"/>
    </row>
    <row r="479">
      <c r="A479" s="5"/>
      <c r="B479" s="105"/>
      <c r="C479" s="105"/>
      <c r="D479" s="105"/>
      <c r="E479" s="105"/>
      <c r="F479" s="105"/>
      <c r="G479" s="106"/>
      <c r="H479" s="105"/>
      <c r="I479" s="105"/>
      <c r="J479" s="105"/>
      <c r="K479" s="105"/>
      <c r="L479" s="109"/>
      <c r="M479" s="109"/>
      <c r="N479" s="109"/>
      <c r="O479" s="105"/>
      <c r="P479" s="105"/>
      <c r="Q479" s="105"/>
    </row>
    <row r="480">
      <c r="A480" s="5"/>
      <c r="B480" s="105"/>
      <c r="C480" s="105"/>
      <c r="D480" s="105"/>
      <c r="E480" s="105"/>
      <c r="F480" s="105"/>
      <c r="G480" s="106"/>
      <c r="H480" s="105"/>
      <c r="I480" s="105"/>
      <c r="J480" s="105"/>
      <c r="K480" s="105"/>
      <c r="L480" s="109"/>
      <c r="M480" s="109"/>
      <c r="N480" s="109"/>
      <c r="O480" s="105"/>
      <c r="P480" s="105"/>
      <c r="Q480" s="105"/>
    </row>
    <row r="481">
      <c r="A481" s="5"/>
      <c r="B481" s="105"/>
      <c r="C481" s="105"/>
      <c r="D481" s="105"/>
      <c r="E481" s="105"/>
      <c r="F481" s="105"/>
      <c r="G481" s="106"/>
      <c r="H481" s="105"/>
      <c r="I481" s="105"/>
      <c r="J481" s="105"/>
      <c r="K481" s="105"/>
      <c r="L481" s="109"/>
      <c r="M481" s="109"/>
      <c r="N481" s="109"/>
      <c r="O481" s="105"/>
      <c r="P481" s="105"/>
      <c r="Q481" s="105"/>
    </row>
    <row r="482">
      <c r="A482" s="5"/>
      <c r="B482" s="105"/>
      <c r="C482" s="105"/>
      <c r="D482" s="105"/>
      <c r="E482" s="105"/>
      <c r="F482" s="105"/>
      <c r="G482" s="106"/>
      <c r="H482" s="105"/>
      <c r="I482" s="105"/>
      <c r="J482" s="105"/>
      <c r="K482" s="105"/>
      <c r="L482" s="109"/>
      <c r="M482" s="109"/>
      <c r="N482" s="109"/>
      <c r="O482" s="105"/>
      <c r="P482" s="105"/>
      <c r="Q482" s="105"/>
    </row>
    <row r="483">
      <c r="A483" s="5"/>
      <c r="B483" s="105"/>
      <c r="C483" s="105"/>
      <c r="D483" s="105"/>
      <c r="E483" s="105"/>
      <c r="F483" s="105"/>
      <c r="G483" s="106"/>
      <c r="H483" s="105"/>
      <c r="I483" s="105"/>
      <c r="J483" s="105"/>
      <c r="K483" s="105"/>
      <c r="L483" s="109"/>
      <c r="M483" s="109"/>
      <c r="N483" s="109"/>
      <c r="O483" s="105"/>
      <c r="P483" s="105"/>
      <c r="Q483" s="105"/>
    </row>
    <row r="484">
      <c r="A484" s="5"/>
      <c r="B484" s="105"/>
      <c r="C484" s="105"/>
      <c r="D484" s="105"/>
      <c r="E484" s="105"/>
      <c r="F484" s="105"/>
      <c r="G484" s="106"/>
      <c r="H484" s="105"/>
      <c r="I484" s="105"/>
      <c r="J484" s="105"/>
      <c r="K484" s="105"/>
      <c r="L484" s="109"/>
      <c r="M484" s="109"/>
      <c r="N484" s="109"/>
      <c r="O484" s="105"/>
      <c r="P484" s="105"/>
      <c r="Q484" s="105"/>
    </row>
    <row r="485">
      <c r="A485" s="5"/>
      <c r="B485" s="105"/>
      <c r="C485" s="105"/>
      <c r="D485" s="105"/>
      <c r="E485" s="105"/>
      <c r="F485" s="105"/>
      <c r="G485" s="106"/>
      <c r="H485" s="105"/>
      <c r="I485" s="105"/>
      <c r="J485" s="105"/>
      <c r="K485" s="105"/>
      <c r="L485" s="109"/>
      <c r="M485" s="109"/>
      <c r="N485" s="109"/>
      <c r="O485" s="105"/>
      <c r="P485" s="105"/>
      <c r="Q485" s="105"/>
    </row>
    <row r="486">
      <c r="A486" s="5"/>
      <c r="B486" s="105"/>
      <c r="C486" s="105"/>
      <c r="D486" s="105"/>
      <c r="E486" s="105"/>
      <c r="F486" s="105"/>
      <c r="G486" s="106"/>
      <c r="H486" s="105"/>
      <c r="I486" s="105"/>
      <c r="J486" s="105"/>
      <c r="K486" s="105"/>
      <c r="L486" s="109"/>
      <c r="M486" s="109"/>
      <c r="N486" s="109"/>
      <c r="O486" s="105"/>
      <c r="P486" s="105"/>
      <c r="Q486" s="105"/>
    </row>
    <row r="487">
      <c r="A487" s="5"/>
      <c r="B487" s="105"/>
      <c r="C487" s="105"/>
      <c r="D487" s="105"/>
      <c r="E487" s="105"/>
      <c r="F487" s="105"/>
      <c r="G487" s="106"/>
      <c r="H487" s="105"/>
      <c r="I487" s="105"/>
      <c r="J487" s="105"/>
      <c r="K487" s="105"/>
      <c r="L487" s="109"/>
      <c r="M487" s="109"/>
      <c r="N487" s="109"/>
      <c r="O487" s="105"/>
      <c r="P487" s="105"/>
      <c r="Q487" s="105"/>
    </row>
    <row r="488">
      <c r="A488" s="5"/>
      <c r="B488" s="105"/>
      <c r="C488" s="105"/>
      <c r="D488" s="105"/>
      <c r="E488" s="105"/>
      <c r="F488" s="105"/>
      <c r="G488" s="106"/>
      <c r="H488" s="105"/>
      <c r="I488" s="105"/>
      <c r="J488" s="105"/>
      <c r="K488" s="105"/>
      <c r="L488" s="109"/>
      <c r="M488" s="109"/>
      <c r="N488" s="109"/>
      <c r="O488" s="105"/>
      <c r="P488" s="105"/>
      <c r="Q488" s="105"/>
    </row>
    <row r="489">
      <c r="A489" s="5"/>
      <c r="B489" s="105"/>
      <c r="C489" s="105"/>
      <c r="D489" s="105"/>
      <c r="E489" s="105"/>
      <c r="F489" s="105"/>
      <c r="G489" s="106"/>
      <c r="H489" s="105"/>
      <c r="I489" s="105"/>
      <c r="J489" s="105"/>
      <c r="K489" s="105"/>
      <c r="L489" s="109"/>
      <c r="M489" s="109"/>
      <c r="N489" s="109"/>
      <c r="O489" s="105"/>
      <c r="P489" s="105"/>
      <c r="Q489" s="105"/>
    </row>
    <row r="490">
      <c r="A490" s="5"/>
      <c r="B490" s="105"/>
      <c r="C490" s="105"/>
      <c r="D490" s="105"/>
      <c r="E490" s="105"/>
      <c r="F490" s="105"/>
      <c r="G490" s="106"/>
      <c r="H490" s="105"/>
      <c r="I490" s="105"/>
      <c r="J490" s="105"/>
      <c r="K490" s="105"/>
      <c r="L490" s="109"/>
      <c r="M490" s="109"/>
      <c r="N490" s="109"/>
      <c r="O490" s="105"/>
      <c r="P490" s="105"/>
      <c r="Q490" s="105"/>
    </row>
    <row r="491">
      <c r="A491" s="5"/>
      <c r="B491" s="105"/>
      <c r="C491" s="105"/>
      <c r="D491" s="105"/>
      <c r="E491" s="105"/>
      <c r="F491" s="105"/>
      <c r="G491" s="106"/>
      <c r="H491" s="105"/>
      <c r="I491" s="105"/>
      <c r="J491" s="105"/>
      <c r="K491" s="105"/>
      <c r="L491" s="109"/>
      <c r="M491" s="109"/>
      <c r="N491" s="109"/>
      <c r="O491" s="105"/>
      <c r="P491" s="105"/>
      <c r="Q491" s="105"/>
    </row>
    <row r="492">
      <c r="A492" s="5"/>
      <c r="B492" s="105"/>
      <c r="C492" s="105"/>
      <c r="D492" s="105"/>
      <c r="E492" s="105"/>
      <c r="F492" s="105"/>
      <c r="G492" s="106"/>
      <c r="H492" s="105"/>
      <c r="I492" s="105"/>
      <c r="J492" s="105"/>
      <c r="K492" s="105"/>
      <c r="L492" s="109"/>
      <c r="M492" s="109"/>
      <c r="N492" s="109"/>
      <c r="O492" s="105"/>
      <c r="P492" s="105"/>
      <c r="Q492" s="105"/>
    </row>
    <row r="493">
      <c r="A493" s="5"/>
      <c r="B493" s="105"/>
      <c r="C493" s="105"/>
      <c r="D493" s="105"/>
      <c r="E493" s="105"/>
      <c r="F493" s="105"/>
      <c r="G493" s="106"/>
      <c r="H493" s="105"/>
      <c r="I493" s="105"/>
      <c r="J493" s="105"/>
      <c r="K493" s="105"/>
      <c r="L493" s="109"/>
      <c r="M493" s="109"/>
      <c r="N493" s="109"/>
      <c r="O493" s="105"/>
      <c r="P493" s="105"/>
      <c r="Q493" s="105"/>
    </row>
    <row r="494">
      <c r="A494" s="5"/>
      <c r="B494" s="105"/>
      <c r="C494" s="105"/>
      <c r="D494" s="105"/>
      <c r="E494" s="105"/>
      <c r="F494" s="105"/>
      <c r="G494" s="106"/>
      <c r="H494" s="105"/>
      <c r="I494" s="105"/>
      <c r="J494" s="105"/>
      <c r="K494" s="105"/>
      <c r="L494" s="109"/>
      <c r="M494" s="109"/>
      <c r="N494" s="109"/>
      <c r="O494" s="105"/>
      <c r="P494" s="105"/>
      <c r="Q494" s="105"/>
    </row>
    <row r="495">
      <c r="A495" s="5"/>
      <c r="B495" s="105"/>
      <c r="C495" s="105"/>
      <c r="D495" s="105"/>
      <c r="E495" s="105"/>
      <c r="F495" s="105"/>
      <c r="G495" s="106"/>
      <c r="H495" s="105"/>
      <c r="I495" s="105"/>
      <c r="J495" s="105"/>
      <c r="K495" s="105"/>
      <c r="L495" s="109"/>
      <c r="M495" s="109"/>
      <c r="N495" s="109"/>
      <c r="O495" s="105"/>
      <c r="P495" s="105"/>
      <c r="Q495" s="105"/>
    </row>
    <row r="496">
      <c r="A496" s="5"/>
      <c r="B496" s="105"/>
      <c r="C496" s="105"/>
      <c r="D496" s="105"/>
      <c r="E496" s="105"/>
      <c r="F496" s="105"/>
      <c r="G496" s="106"/>
      <c r="H496" s="105"/>
      <c r="I496" s="105"/>
      <c r="J496" s="105"/>
      <c r="K496" s="105"/>
      <c r="L496" s="109"/>
      <c r="M496" s="109"/>
      <c r="N496" s="109"/>
      <c r="O496" s="105"/>
      <c r="P496" s="105"/>
      <c r="Q496" s="105"/>
    </row>
    <row r="497">
      <c r="A497" s="5"/>
      <c r="B497" s="105"/>
      <c r="C497" s="105"/>
      <c r="D497" s="105"/>
      <c r="E497" s="105"/>
      <c r="F497" s="105"/>
      <c r="G497" s="106"/>
      <c r="H497" s="105"/>
      <c r="I497" s="105"/>
      <c r="J497" s="105"/>
      <c r="K497" s="105"/>
      <c r="L497" s="109"/>
      <c r="M497" s="109"/>
      <c r="N497" s="109"/>
      <c r="O497" s="105"/>
      <c r="P497" s="105"/>
      <c r="Q497" s="105"/>
    </row>
    <row r="498">
      <c r="A498" s="5"/>
      <c r="B498" s="105"/>
      <c r="C498" s="105"/>
      <c r="D498" s="105"/>
      <c r="E498" s="105"/>
      <c r="F498" s="105"/>
      <c r="G498" s="106"/>
      <c r="H498" s="105"/>
      <c r="I498" s="105"/>
      <c r="J498" s="105"/>
      <c r="K498" s="105"/>
      <c r="L498" s="109"/>
      <c r="M498" s="109"/>
      <c r="N498" s="109"/>
      <c r="O498" s="105"/>
      <c r="P498" s="105"/>
      <c r="Q498" s="105"/>
    </row>
    <row r="499">
      <c r="A499" s="5"/>
      <c r="B499" s="105"/>
      <c r="C499" s="105"/>
      <c r="D499" s="105"/>
      <c r="E499" s="105"/>
      <c r="F499" s="105"/>
      <c r="G499" s="106"/>
      <c r="H499" s="105"/>
      <c r="I499" s="105"/>
      <c r="J499" s="105"/>
      <c r="K499" s="105"/>
      <c r="L499" s="109"/>
      <c r="M499" s="109"/>
      <c r="N499" s="109"/>
      <c r="O499" s="105"/>
      <c r="P499" s="105"/>
      <c r="Q499" s="105"/>
    </row>
    <row r="500">
      <c r="A500" s="5"/>
      <c r="B500" s="105"/>
      <c r="C500" s="105"/>
      <c r="D500" s="105"/>
      <c r="E500" s="105"/>
      <c r="F500" s="105"/>
      <c r="G500" s="106"/>
      <c r="H500" s="105"/>
      <c r="I500" s="105"/>
      <c r="J500" s="105"/>
      <c r="K500" s="105"/>
      <c r="L500" s="109"/>
      <c r="M500" s="109"/>
      <c r="N500" s="109"/>
      <c r="O500" s="105"/>
      <c r="P500" s="105"/>
      <c r="Q500" s="105"/>
    </row>
    <row r="501">
      <c r="A501" s="5"/>
      <c r="B501" s="105"/>
      <c r="C501" s="105"/>
      <c r="D501" s="105"/>
      <c r="E501" s="105"/>
      <c r="F501" s="105"/>
      <c r="G501" s="106"/>
      <c r="H501" s="105"/>
      <c r="I501" s="105"/>
      <c r="J501" s="105"/>
      <c r="K501" s="105"/>
      <c r="L501" s="109"/>
      <c r="M501" s="109"/>
      <c r="N501" s="109"/>
      <c r="O501" s="105"/>
      <c r="P501" s="105"/>
      <c r="Q501" s="105"/>
    </row>
    <row r="502">
      <c r="A502" s="5"/>
      <c r="B502" s="105"/>
      <c r="C502" s="105"/>
      <c r="D502" s="105"/>
      <c r="E502" s="105"/>
      <c r="F502" s="105"/>
      <c r="G502" s="106"/>
      <c r="H502" s="105"/>
      <c r="I502" s="105"/>
      <c r="J502" s="105"/>
      <c r="K502" s="105"/>
      <c r="L502" s="109"/>
      <c r="M502" s="109"/>
      <c r="N502" s="109"/>
      <c r="O502" s="105"/>
      <c r="P502" s="105"/>
      <c r="Q502" s="105"/>
    </row>
    <row r="503">
      <c r="A503" s="5"/>
      <c r="B503" s="105"/>
      <c r="C503" s="105"/>
      <c r="D503" s="105"/>
      <c r="E503" s="105"/>
      <c r="F503" s="105"/>
      <c r="G503" s="106"/>
      <c r="H503" s="105"/>
      <c r="I503" s="105"/>
      <c r="J503" s="105"/>
      <c r="K503" s="105"/>
      <c r="L503" s="109"/>
      <c r="M503" s="109"/>
      <c r="N503" s="109"/>
      <c r="O503" s="105"/>
      <c r="P503" s="105"/>
      <c r="Q503" s="105"/>
    </row>
    <row r="504">
      <c r="A504" s="5"/>
      <c r="B504" s="105"/>
      <c r="C504" s="105"/>
      <c r="D504" s="105"/>
      <c r="E504" s="105"/>
      <c r="F504" s="105"/>
      <c r="G504" s="106"/>
      <c r="H504" s="105"/>
      <c r="I504" s="105"/>
      <c r="J504" s="105"/>
      <c r="K504" s="105"/>
      <c r="L504" s="109"/>
      <c r="M504" s="109"/>
      <c r="N504" s="109"/>
      <c r="O504" s="105"/>
      <c r="P504" s="105"/>
      <c r="Q504" s="105"/>
    </row>
    <row r="505">
      <c r="A505" s="5"/>
      <c r="B505" s="105"/>
      <c r="C505" s="105"/>
      <c r="D505" s="105"/>
      <c r="E505" s="105"/>
      <c r="F505" s="105"/>
      <c r="G505" s="106"/>
      <c r="H505" s="105"/>
      <c r="I505" s="105"/>
      <c r="J505" s="105"/>
      <c r="K505" s="105"/>
      <c r="L505" s="109"/>
      <c r="M505" s="109"/>
      <c r="N505" s="109"/>
      <c r="O505" s="105"/>
      <c r="P505" s="105"/>
      <c r="Q505" s="105"/>
    </row>
    <row r="506">
      <c r="A506" s="5"/>
      <c r="B506" s="105"/>
      <c r="C506" s="105"/>
      <c r="D506" s="105"/>
      <c r="E506" s="105"/>
      <c r="F506" s="105"/>
      <c r="G506" s="106"/>
      <c r="H506" s="105"/>
      <c r="I506" s="105"/>
      <c r="J506" s="105"/>
      <c r="K506" s="105"/>
      <c r="L506" s="109"/>
      <c r="M506" s="109"/>
      <c r="N506" s="109"/>
      <c r="O506" s="105"/>
      <c r="P506" s="105"/>
      <c r="Q506" s="105"/>
    </row>
    <row r="507">
      <c r="A507" s="5"/>
      <c r="B507" s="105"/>
      <c r="C507" s="105"/>
      <c r="D507" s="105"/>
      <c r="E507" s="105"/>
      <c r="F507" s="105"/>
      <c r="G507" s="106"/>
      <c r="H507" s="105"/>
      <c r="I507" s="105"/>
      <c r="J507" s="105"/>
      <c r="K507" s="105"/>
      <c r="L507" s="109"/>
      <c r="M507" s="109"/>
      <c r="N507" s="109"/>
      <c r="O507" s="105"/>
      <c r="P507" s="105"/>
      <c r="Q507" s="105"/>
    </row>
    <row r="508">
      <c r="A508" s="5"/>
      <c r="B508" s="105"/>
      <c r="C508" s="105"/>
      <c r="D508" s="105"/>
      <c r="E508" s="105"/>
      <c r="F508" s="105"/>
      <c r="G508" s="106"/>
      <c r="H508" s="105"/>
      <c r="I508" s="105"/>
      <c r="J508" s="105"/>
      <c r="K508" s="105"/>
      <c r="L508" s="109"/>
      <c r="M508" s="109"/>
      <c r="N508" s="109"/>
      <c r="O508" s="105"/>
      <c r="P508" s="105"/>
      <c r="Q508" s="105"/>
    </row>
    <row r="509">
      <c r="A509" s="5"/>
      <c r="B509" s="105"/>
      <c r="C509" s="105"/>
      <c r="D509" s="105"/>
      <c r="E509" s="105"/>
      <c r="F509" s="105"/>
      <c r="G509" s="106"/>
      <c r="H509" s="105"/>
      <c r="I509" s="105"/>
      <c r="J509" s="105"/>
      <c r="K509" s="105"/>
      <c r="L509" s="109"/>
      <c r="M509" s="109"/>
      <c r="N509" s="109"/>
      <c r="O509" s="105"/>
      <c r="P509" s="105"/>
      <c r="Q509" s="105"/>
    </row>
    <row r="510">
      <c r="A510" s="5"/>
      <c r="B510" s="105"/>
      <c r="C510" s="105"/>
      <c r="D510" s="105"/>
      <c r="E510" s="105"/>
      <c r="F510" s="105"/>
      <c r="G510" s="106"/>
      <c r="H510" s="105"/>
      <c r="I510" s="105"/>
      <c r="J510" s="105"/>
      <c r="K510" s="105"/>
      <c r="L510" s="109"/>
      <c r="M510" s="109"/>
      <c r="N510" s="109"/>
      <c r="O510" s="105"/>
      <c r="P510" s="105"/>
      <c r="Q510" s="105"/>
    </row>
    <row r="511">
      <c r="A511" s="5"/>
      <c r="B511" s="105"/>
      <c r="C511" s="105"/>
      <c r="D511" s="105"/>
      <c r="E511" s="105"/>
      <c r="F511" s="105"/>
      <c r="G511" s="106"/>
      <c r="H511" s="105"/>
      <c r="I511" s="105"/>
      <c r="J511" s="105"/>
      <c r="K511" s="105"/>
      <c r="L511" s="109"/>
      <c r="M511" s="109"/>
      <c r="N511" s="109"/>
      <c r="O511" s="105"/>
      <c r="P511" s="105"/>
      <c r="Q511" s="105"/>
    </row>
    <row r="512">
      <c r="A512" s="5"/>
      <c r="B512" s="105"/>
      <c r="C512" s="105"/>
      <c r="D512" s="105"/>
      <c r="E512" s="105"/>
      <c r="F512" s="105"/>
      <c r="G512" s="106"/>
      <c r="H512" s="105"/>
      <c r="I512" s="105"/>
      <c r="J512" s="105"/>
      <c r="K512" s="105"/>
      <c r="L512" s="109"/>
      <c r="M512" s="109"/>
      <c r="N512" s="109"/>
      <c r="O512" s="105"/>
      <c r="P512" s="105"/>
      <c r="Q512" s="105"/>
    </row>
    <row r="513">
      <c r="A513" s="5"/>
      <c r="B513" s="105"/>
      <c r="C513" s="105"/>
      <c r="D513" s="105"/>
      <c r="E513" s="105"/>
      <c r="F513" s="105"/>
      <c r="G513" s="106"/>
      <c r="H513" s="105"/>
      <c r="I513" s="105"/>
      <c r="J513" s="105"/>
      <c r="K513" s="105"/>
      <c r="L513" s="109"/>
      <c r="M513" s="109"/>
      <c r="N513" s="109"/>
      <c r="O513" s="105"/>
      <c r="P513" s="105"/>
      <c r="Q513" s="105"/>
    </row>
    <row r="514">
      <c r="A514" s="5"/>
      <c r="B514" s="105"/>
      <c r="C514" s="105"/>
      <c r="D514" s="105"/>
      <c r="E514" s="105"/>
      <c r="F514" s="105"/>
      <c r="G514" s="106"/>
      <c r="H514" s="105"/>
      <c r="I514" s="105"/>
      <c r="J514" s="105"/>
      <c r="K514" s="105"/>
      <c r="L514" s="109"/>
      <c r="M514" s="109"/>
      <c r="N514" s="109"/>
      <c r="O514" s="105"/>
      <c r="P514" s="105"/>
      <c r="Q514" s="105"/>
    </row>
    <row r="515">
      <c r="A515" s="5"/>
      <c r="B515" s="105"/>
      <c r="C515" s="105"/>
      <c r="D515" s="105"/>
      <c r="E515" s="105"/>
      <c r="F515" s="105"/>
      <c r="G515" s="106"/>
      <c r="H515" s="105"/>
      <c r="I515" s="105"/>
      <c r="J515" s="105"/>
      <c r="K515" s="105"/>
      <c r="L515" s="109"/>
      <c r="M515" s="109"/>
      <c r="N515" s="109"/>
      <c r="O515" s="105"/>
      <c r="P515" s="105"/>
      <c r="Q515" s="105"/>
    </row>
    <row r="516">
      <c r="A516" s="5"/>
      <c r="B516" s="105"/>
      <c r="C516" s="105"/>
      <c r="D516" s="105"/>
      <c r="E516" s="105"/>
      <c r="F516" s="105"/>
      <c r="G516" s="106"/>
      <c r="H516" s="105"/>
      <c r="I516" s="105"/>
      <c r="J516" s="105"/>
      <c r="K516" s="105"/>
      <c r="L516" s="109"/>
      <c r="M516" s="109"/>
      <c r="N516" s="109"/>
      <c r="O516" s="105"/>
      <c r="P516" s="105"/>
      <c r="Q516" s="105"/>
    </row>
    <row r="517">
      <c r="A517" s="5"/>
      <c r="B517" s="105"/>
      <c r="C517" s="105"/>
      <c r="D517" s="105"/>
      <c r="E517" s="105"/>
      <c r="F517" s="105"/>
      <c r="G517" s="106"/>
      <c r="H517" s="105"/>
      <c r="I517" s="105"/>
      <c r="J517" s="105"/>
      <c r="K517" s="105"/>
      <c r="L517" s="109"/>
      <c r="M517" s="109"/>
      <c r="N517" s="109"/>
      <c r="O517" s="105"/>
      <c r="P517" s="105"/>
      <c r="Q517" s="105"/>
    </row>
    <row r="518">
      <c r="A518" s="5"/>
      <c r="B518" s="105"/>
      <c r="C518" s="105"/>
      <c r="D518" s="105"/>
      <c r="E518" s="105"/>
      <c r="F518" s="105"/>
      <c r="G518" s="106"/>
      <c r="H518" s="105"/>
      <c r="I518" s="105"/>
      <c r="J518" s="105"/>
      <c r="K518" s="105"/>
      <c r="L518" s="109"/>
      <c r="M518" s="109"/>
      <c r="N518" s="109"/>
      <c r="O518" s="105"/>
      <c r="P518" s="105"/>
      <c r="Q518" s="105"/>
    </row>
    <row r="519">
      <c r="A519" s="5"/>
      <c r="B519" s="105"/>
      <c r="C519" s="105"/>
      <c r="D519" s="105"/>
      <c r="E519" s="105"/>
      <c r="F519" s="105"/>
      <c r="G519" s="106"/>
      <c r="H519" s="105"/>
      <c r="I519" s="105"/>
      <c r="J519" s="105"/>
      <c r="K519" s="105"/>
      <c r="L519" s="109"/>
      <c r="M519" s="109"/>
      <c r="N519" s="109"/>
      <c r="O519" s="105"/>
      <c r="P519" s="105"/>
      <c r="Q519" s="105"/>
    </row>
    <row r="520">
      <c r="A520" s="5"/>
      <c r="B520" s="105"/>
      <c r="C520" s="105"/>
      <c r="D520" s="105"/>
      <c r="E520" s="105"/>
      <c r="F520" s="105"/>
      <c r="G520" s="106"/>
      <c r="H520" s="105"/>
      <c r="I520" s="105"/>
      <c r="J520" s="105"/>
      <c r="K520" s="105"/>
      <c r="L520" s="109"/>
      <c r="M520" s="109"/>
      <c r="N520" s="109"/>
      <c r="O520" s="105"/>
      <c r="P520" s="105"/>
      <c r="Q520" s="105"/>
    </row>
    <row r="521">
      <c r="A521" s="5"/>
      <c r="B521" s="105"/>
      <c r="C521" s="105"/>
      <c r="D521" s="105"/>
      <c r="E521" s="105"/>
      <c r="F521" s="105"/>
      <c r="G521" s="106"/>
      <c r="H521" s="105"/>
      <c r="I521" s="105"/>
      <c r="J521" s="105"/>
      <c r="K521" s="105"/>
      <c r="L521" s="109"/>
      <c r="M521" s="109"/>
      <c r="N521" s="109"/>
      <c r="O521" s="105"/>
      <c r="P521" s="105"/>
      <c r="Q521" s="105"/>
    </row>
    <row r="522">
      <c r="A522" s="5"/>
      <c r="B522" s="105"/>
      <c r="C522" s="105"/>
      <c r="D522" s="105"/>
      <c r="E522" s="105"/>
      <c r="F522" s="105"/>
      <c r="G522" s="106"/>
      <c r="H522" s="105"/>
      <c r="I522" s="105"/>
      <c r="J522" s="105"/>
      <c r="K522" s="105"/>
      <c r="L522" s="109"/>
      <c r="M522" s="109"/>
      <c r="N522" s="109"/>
      <c r="O522" s="105"/>
      <c r="P522" s="105"/>
      <c r="Q522" s="105"/>
    </row>
    <row r="523">
      <c r="A523" s="5"/>
      <c r="B523" s="105"/>
      <c r="C523" s="105"/>
      <c r="D523" s="105"/>
      <c r="E523" s="105"/>
      <c r="F523" s="105"/>
      <c r="G523" s="106"/>
      <c r="H523" s="105"/>
      <c r="I523" s="105"/>
      <c r="J523" s="105"/>
      <c r="K523" s="105"/>
      <c r="L523" s="109"/>
      <c r="M523" s="109"/>
      <c r="N523" s="109"/>
      <c r="O523" s="105"/>
      <c r="P523" s="105"/>
      <c r="Q523" s="105"/>
    </row>
    <row r="524">
      <c r="A524" s="5"/>
      <c r="B524" s="105"/>
      <c r="C524" s="105"/>
      <c r="D524" s="105"/>
      <c r="E524" s="105"/>
      <c r="F524" s="105"/>
      <c r="G524" s="106"/>
      <c r="H524" s="105"/>
      <c r="I524" s="105"/>
      <c r="J524" s="105"/>
      <c r="K524" s="105"/>
      <c r="L524" s="109"/>
      <c r="M524" s="109"/>
      <c r="N524" s="109"/>
      <c r="O524" s="105"/>
      <c r="P524" s="105"/>
      <c r="Q524" s="105"/>
    </row>
    <row r="525">
      <c r="A525" s="5"/>
      <c r="B525" s="105"/>
      <c r="C525" s="105"/>
      <c r="D525" s="105"/>
      <c r="E525" s="105"/>
      <c r="F525" s="105"/>
      <c r="G525" s="106"/>
      <c r="H525" s="105"/>
      <c r="I525" s="105"/>
      <c r="J525" s="105"/>
      <c r="K525" s="105"/>
      <c r="L525" s="109"/>
      <c r="M525" s="109"/>
      <c r="N525" s="109"/>
      <c r="O525" s="105"/>
      <c r="P525" s="105"/>
      <c r="Q525" s="105"/>
    </row>
    <row r="526">
      <c r="A526" s="5"/>
      <c r="B526" s="105"/>
      <c r="C526" s="105"/>
      <c r="D526" s="105"/>
      <c r="E526" s="105"/>
      <c r="F526" s="105"/>
      <c r="G526" s="106"/>
      <c r="H526" s="105"/>
      <c r="I526" s="105"/>
      <c r="J526" s="105"/>
      <c r="K526" s="105"/>
      <c r="L526" s="109"/>
      <c r="M526" s="109"/>
      <c r="N526" s="109"/>
      <c r="O526" s="105"/>
      <c r="P526" s="105"/>
      <c r="Q526" s="105"/>
    </row>
    <row r="527">
      <c r="A527" s="5"/>
      <c r="B527" s="105"/>
      <c r="C527" s="105"/>
      <c r="D527" s="105"/>
      <c r="E527" s="105"/>
      <c r="F527" s="105"/>
      <c r="G527" s="106"/>
      <c r="H527" s="105"/>
      <c r="I527" s="105"/>
      <c r="J527" s="105"/>
      <c r="K527" s="105"/>
      <c r="L527" s="109"/>
      <c r="M527" s="109"/>
      <c r="N527" s="109"/>
      <c r="O527" s="105"/>
      <c r="P527" s="105"/>
      <c r="Q527" s="105"/>
    </row>
    <row r="528">
      <c r="A528" s="5"/>
      <c r="B528" s="105"/>
      <c r="C528" s="105"/>
      <c r="D528" s="105"/>
      <c r="E528" s="105"/>
      <c r="F528" s="105"/>
      <c r="G528" s="106"/>
      <c r="H528" s="105"/>
      <c r="I528" s="105"/>
      <c r="J528" s="105"/>
      <c r="K528" s="105"/>
      <c r="L528" s="109"/>
      <c r="M528" s="109"/>
      <c r="N528" s="109"/>
      <c r="O528" s="105"/>
      <c r="P528" s="105"/>
      <c r="Q528" s="105"/>
    </row>
    <row r="529">
      <c r="A529" s="5"/>
      <c r="B529" s="105"/>
      <c r="C529" s="105"/>
      <c r="D529" s="105"/>
      <c r="E529" s="105"/>
      <c r="F529" s="105"/>
      <c r="G529" s="106"/>
      <c r="H529" s="105"/>
      <c r="I529" s="105"/>
      <c r="J529" s="105"/>
      <c r="K529" s="105"/>
      <c r="L529" s="109"/>
      <c r="M529" s="109"/>
      <c r="N529" s="109"/>
      <c r="O529" s="105"/>
      <c r="P529" s="105"/>
      <c r="Q529" s="105"/>
    </row>
    <row r="530">
      <c r="A530" s="5"/>
      <c r="B530" s="105"/>
      <c r="C530" s="105"/>
      <c r="D530" s="105"/>
      <c r="E530" s="105"/>
      <c r="F530" s="105"/>
      <c r="G530" s="106"/>
      <c r="H530" s="105"/>
      <c r="I530" s="105"/>
      <c r="J530" s="105"/>
      <c r="K530" s="105"/>
      <c r="L530" s="109"/>
      <c r="M530" s="109"/>
      <c r="N530" s="109"/>
      <c r="O530" s="105"/>
      <c r="P530" s="105"/>
      <c r="Q530" s="105"/>
    </row>
    <row r="531">
      <c r="A531" s="5"/>
      <c r="B531" s="105"/>
      <c r="C531" s="105"/>
      <c r="D531" s="105"/>
      <c r="E531" s="105"/>
      <c r="F531" s="105"/>
      <c r="G531" s="106"/>
      <c r="H531" s="105"/>
      <c r="I531" s="105"/>
      <c r="J531" s="105"/>
      <c r="K531" s="105"/>
      <c r="L531" s="109"/>
      <c r="M531" s="109"/>
      <c r="N531" s="109"/>
      <c r="O531" s="105"/>
      <c r="P531" s="105"/>
      <c r="Q531" s="105"/>
    </row>
    <row r="532">
      <c r="A532" s="5"/>
      <c r="B532" s="105"/>
      <c r="C532" s="105"/>
      <c r="D532" s="105"/>
      <c r="E532" s="105"/>
      <c r="F532" s="105"/>
      <c r="G532" s="106"/>
      <c r="H532" s="105"/>
      <c r="I532" s="105"/>
      <c r="J532" s="105"/>
      <c r="K532" s="105"/>
      <c r="L532" s="109"/>
      <c r="M532" s="109"/>
      <c r="N532" s="109"/>
      <c r="O532" s="105"/>
      <c r="P532" s="105"/>
      <c r="Q532" s="105"/>
    </row>
    <row r="533">
      <c r="A533" s="5"/>
      <c r="B533" s="105"/>
      <c r="C533" s="105"/>
      <c r="D533" s="105"/>
      <c r="E533" s="105"/>
      <c r="F533" s="105"/>
      <c r="G533" s="106"/>
      <c r="H533" s="105"/>
      <c r="I533" s="105"/>
      <c r="J533" s="105"/>
      <c r="K533" s="105"/>
      <c r="L533" s="109"/>
      <c r="M533" s="109"/>
      <c r="N533" s="109"/>
      <c r="O533" s="105"/>
      <c r="P533" s="105"/>
      <c r="Q533" s="105"/>
    </row>
    <row r="534">
      <c r="A534" s="5"/>
      <c r="B534" s="105"/>
      <c r="C534" s="105"/>
      <c r="D534" s="105"/>
      <c r="E534" s="105"/>
      <c r="F534" s="105"/>
      <c r="G534" s="106"/>
      <c r="H534" s="105"/>
      <c r="I534" s="105"/>
      <c r="J534" s="105"/>
      <c r="K534" s="105"/>
      <c r="L534" s="109"/>
      <c r="M534" s="109"/>
      <c r="N534" s="109"/>
      <c r="O534" s="105"/>
      <c r="P534" s="105"/>
      <c r="Q534" s="105"/>
    </row>
    <row r="535">
      <c r="A535" s="5"/>
      <c r="B535" s="105"/>
      <c r="C535" s="105"/>
      <c r="D535" s="105"/>
      <c r="E535" s="105"/>
      <c r="F535" s="105"/>
      <c r="G535" s="106"/>
      <c r="H535" s="105"/>
      <c r="I535" s="105"/>
      <c r="J535" s="105"/>
      <c r="K535" s="105"/>
      <c r="L535" s="109"/>
      <c r="M535" s="109"/>
      <c r="N535" s="109"/>
      <c r="O535" s="105"/>
      <c r="P535" s="105"/>
      <c r="Q535" s="105"/>
    </row>
    <row r="536">
      <c r="A536" s="5"/>
      <c r="B536" s="105"/>
      <c r="C536" s="105"/>
      <c r="D536" s="105"/>
      <c r="E536" s="105"/>
      <c r="F536" s="105"/>
      <c r="G536" s="106"/>
      <c r="H536" s="105"/>
      <c r="I536" s="105"/>
      <c r="J536" s="105"/>
      <c r="K536" s="105"/>
      <c r="L536" s="109"/>
      <c r="M536" s="109"/>
      <c r="N536" s="109"/>
      <c r="O536" s="105"/>
      <c r="P536" s="105"/>
      <c r="Q536" s="105"/>
    </row>
    <row r="537">
      <c r="A537" s="5"/>
      <c r="B537" s="105"/>
      <c r="C537" s="105"/>
      <c r="D537" s="105"/>
      <c r="E537" s="105"/>
      <c r="F537" s="105"/>
      <c r="G537" s="106"/>
      <c r="H537" s="105"/>
      <c r="I537" s="105"/>
      <c r="J537" s="105"/>
      <c r="K537" s="105"/>
      <c r="L537" s="109"/>
      <c r="M537" s="109"/>
      <c r="N537" s="109"/>
      <c r="O537" s="105"/>
      <c r="P537" s="105"/>
      <c r="Q537" s="105"/>
    </row>
    <row r="538">
      <c r="A538" s="5"/>
      <c r="B538" s="105"/>
      <c r="C538" s="105"/>
      <c r="D538" s="105"/>
      <c r="E538" s="105"/>
      <c r="F538" s="105"/>
      <c r="G538" s="106"/>
      <c r="H538" s="105"/>
      <c r="I538" s="105"/>
      <c r="J538" s="105"/>
      <c r="K538" s="105"/>
      <c r="L538" s="109"/>
      <c r="M538" s="109"/>
      <c r="N538" s="109"/>
      <c r="O538" s="105"/>
      <c r="P538" s="105"/>
      <c r="Q538" s="105"/>
    </row>
    <row r="539">
      <c r="A539" s="5"/>
      <c r="B539" s="105"/>
      <c r="C539" s="105"/>
      <c r="D539" s="105"/>
      <c r="E539" s="105"/>
      <c r="F539" s="105"/>
      <c r="G539" s="106"/>
      <c r="H539" s="105"/>
      <c r="I539" s="105"/>
      <c r="J539" s="105"/>
      <c r="K539" s="105"/>
      <c r="L539" s="109"/>
      <c r="M539" s="109"/>
      <c r="N539" s="109"/>
      <c r="O539" s="105"/>
      <c r="P539" s="105"/>
      <c r="Q539" s="105"/>
    </row>
    <row r="540">
      <c r="A540" s="5"/>
      <c r="B540" s="105"/>
      <c r="C540" s="105"/>
      <c r="D540" s="105"/>
      <c r="E540" s="105"/>
      <c r="F540" s="105"/>
      <c r="G540" s="106"/>
      <c r="H540" s="105"/>
      <c r="I540" s="105"/>
      <c r="J540" s="105"/>
      <c r="K540" s="105"/>
      <c r="L540" s="109"/>
      <c r="M540" s="109"/>
      <c r="N540" s="109"/>
      <c r="O540" s="105"/>
      <c r="P540" s="105"/>
      <c r="Q540" s="105"/>
    </row>
    <row r="541">
      <c r="A541" s="5"/>
      <c r="B541" s="105"/>
      <c r="C541" s="105"/>
      <c r="D541" s="105"/>
      <c r="E541" s="105"/>
      <c r="F541" s="105"/>
      <c r="G541" s="106"/>
      <c r="H541" s="105"/>
      <c r="I541" s="105"/>
      <c r="J541" s="105"/>
      <c r="K541" s="105"/>
      <c r="L541" s="109"/>
      <c r="M541" s="109"/>
      <c r="N541" s="109"/>
      <c r="O541" s="105"/>
      <c r="P541" s="105"/>
      <c r="Q541" s="105"/>
    </row>
    <row r="542">
      <c r="A542" s="5"/>
      <c r="B542" s="105"/>
      <c r="C542" s="105"/>
      <c r="D542" s="105"/>
      <c r="E542" s="105"/>
      <c r="F542" s="105"/>
      <c r="G542" s="106"/>
      <c r="H542" s="105"/>
      <c r="I542" s="105"/>
      <c r="J542" s="105"/>
      <c r="K542" s="105"/>
      <c r="L542" s="109"/>
      <c r="M542" s="109"/>
      <c r="N542" s="109"/>
      <c r="O542" s="105"/>
      <c r="P542" s="105"/>
      <c r="Q542" s="105"/>
    </row>
    <row r="543">
      <c r="A543" s="5"/>
      <c r="B543" s="105"/>
      <c r="C543" s="105"/>
      <c r="D543" s="105"/>
      <c r="E543" s="105"/>
      <c r="F543" s="105"/>
      <c r="G543" s="106"/>
      <c r="H543" s="105"/>
      <c r="I543" s="105"/>
      <c r="J543" s="105"/>
      <c r="K543" s="105"/>
      <c r="L543" s="109"/>
      <c r="M543" s="109"/>
      <c r="N543" s="109"/>
      <c r="O543" s="105"/>
      <c r="P543" s="105"/>
      <c r="Q543" s="105"/>
    </row>
    <row r="544">
      <c r="A544" s="5"/>
      <c r="B544" s="105"/>
      <c r="C544" s="105"/>
      <c r="D544" s="105"/>
      <c r="E544" s="105"/>
      <c r="F544" s="105"/>
      <c r="G544" s="106"/>
      <c r="H544" s="105"/>
      <c r="I544" s="105"/>
      <c r="J544" s="105"/>
      <c r="K544" s="105"/>
      <c r="L544" s="109"/>
      <c r="M544" s="109"/>
      <c r="N544" s="109"/>
      <c r="O544" s="105"/>
      <c r="P544" s="105"/>
      <c r="Q544" s="105"/>
    </row>
    <row r="545">
      <c r="A545" s="5"/>
      <c r="B545" s="105"/>
      <c r="C545" s="105"/>
      <c r="D545" s="105"/>
      <c r="E545" s="105"/>
      <c r="F545" s="105"/>
      <c r="G545" s="106"/>
      <c r="H545" s="105"/>
      <c r="I545" s="105"/>
      <c r="J545" s="105"/>
      <c r="K545" s="105"/>
      <c r="L545" s="109"/>
      <c r="M545" s="109"/>
      <c r="N545" s="109"/>
      <c r="O545" s="105"/>
      <c r="P545" s="105"/>
      <c r="Q545" s="105"/>
    </row>
    <row r="546">
      <c r="A546" s="5"/>
      <c r="B546" s="105"/>
      <c r="C546" s="105"/>
      <c r="D546" s="105"/>
      <c r="E546" s="105"/>
      <c r="F546" s="105"/>
      <c r="G546" s="106"/>
      <c r="H546" s="105"/>
      <c r="I546" s="105"/>
      <c r="J546" s="105"/>
      <c r="K546" s="105"/>
      <c r="L546" s="109"/>
      <c r="M546" s="109"/>
      <c r="N546" s="109"/>
      <c r="O546" s="105"/>
      <c r="P546" s="105"/>
      <c r="Q546" s="105"/>
    </row>
    <row r="547">
      <c r="A547" s="5"/>
      <c r="B547" s="105"/>
      <c r="C547" s="105"/>
      <c r="D547" s="105"/>
      <c r="E547" s="105"/>
      <c r="F547" s="105"/>
      <c r="G547" s="106"/>
      <c r="H547" s="105"/>
      <c r="I547" s="105"/>
      <c r="J547" s="105"/>
      <c r="K547" s="105"/>
      <c r="L547" s="109"/>
      <c r="M547" s="109"/>
      <c r="N547" s="109"/>
      <c r="O547" s="105"/>
      <c r="P547" s="105"/>
      <c r="Q547" s="105"/>
    </row>
    <row r="548">
      <c r="A548" s="5"/>
      <c r="B548" s="105"/>
      <c r="C548" s="105"/>
      <c r="D548" s="105"/>
      <c r="E548" s="105"/>
      <c r="F548" s="105"/>
      <c r="G548" s="106"/>
      <c r="H548" s="105"/>
      <c r="I548" s="105"/>
      <c r="J548" s="105"/>
      <c r="K548" s="105"/>
      <c r="L548" s="109"/>
      <c r="M548" s="109"/>
      <c r="N548" s="109"/>
      <c r="O548" s="105"/>
      <c r="P548" s="105"/>
      <c r="Q548" s="105"/>
    </row>
    <row r="549">
      <c r="A549" s="5"/>
      <c r="B549" s="105"/>
      <c r="C549" s="105"/>
      <c r="D549" s="105"/>
      <c r="E549" s="105"/>
      <c r="F549" s="105"/>
      <c r="G549" s="106"/>
      <c r="H549" s="105"/>
      <c r="I549" s="105"/>
      <c r="J549" s="105"/>
      <c r="K549" s="105"/>
      <c r="L549" s="109"/>
      <c r="M549" s="109"/>
      <c r="N549" s="109"/>
      <c r="O549" s="105"/>
      <c r="P549" s="105"/>
      <c r="Q549" s="105"/>
    </row>
    <row r="550">
      <c r="A550" s="5"/>
      <c r="B550" s="105"/>
      <c r="C550" s="105"/>
      <c r="D550" s="105"/>
      <c r="E550" s="105"/>
      <c r="F550" s="105"/>
      <c r="G550" s="106"/>
      <c r="H550" s="105"/>
      <c r="I550" s="105"/>
      <c r="J550" s="105"/>
      <c r="K550" s="105"/>
      <c r="L550" s="109"/>
      <c r="M550" s="109"/>
      <c r="N550" s="109"/>
      <c r="O550" s="105"/>
      <c r="P550" s="105"/>
      <c r="Q550" s="105"/>
    </row>
    <row r="551">
      <c r="A551" s="5"/>
      <c r="B551" s="105"/>
      <c r="C551" s="105"/>
      <c r="D551" s="105"/>
      <c r="E551" s="105"/>
      <c r="F551" s="105"/>
      <c r="G551" s="106"/>
      <c r="H551" s="105"/>
      <c r="I551" s="105"/>
      <c r="J551" s="105"/>
      <c r="K551" s="105"/>
      <c r="L551" s="109"/>
      <c r="M551" s="109"/>
      <c r="N551" s="109"/>
      <c r="O551" s="105"/>
      <c r="P551" s="105"/>
      <c r="Q551" s="105"/>
    </row>
    <row r="552">
      <c r="A552" s="5"/>
      <c r="B552" s="105"/>
      <c r="C552" s="105"/>
      <c r="D552" s="105"/>
      <c r="E552" s="105"/>
      <c r="F552" s="105"/>
      <c r="G552" s="106"/>
      <c r="H552" s="105"/>
      <c r="I552" s="105"/>
      <c r="J552" s="105"/>
      <c r="K552" s="105"/>
      <c r="L552" s="109"/>
      <c r="M552" s="109"/>
      <c r="N552" s="109"/>
      <c r="O552" s="105"/>
      <c r="P552" s="105"/>
      <c r="Q552" s="105"/>
    </row>
    <row r="553">
      <c r="A553" s="5"/>
      <c r="B553" s="105"/>
      <c r="C553" s="105"/>
      <c r="D553" s="105"/>
      <c r="E553" s="105"/>
      <c r="F553" s="105"/>
      <c r="G553" s="106"/>
      <c r="H553" s="105"/>
      <c r="I553" s="105"/>
      <c r="J553" s="105"/>
      <c r="K553" s="105"/>
      <c r="L553" s="109"/>
      <c r="M553" s="109"/>
      <c r="N553" s="109"/>
      <c r="O553" s="105"/>
      <c r="P553" s="105"/>
      <c r="Q553" s="105"/>
    </row>
    <row r="554">
      <c r="A554" s="5"/>
      <c r="B554" s="105"/>
      <c r="C554" s="105"/>
      <c r="D554" s="105"/>
      <c r="E554" s="105"/>
      <c r="F554" s="105"/>
      <c r="G554" s="106"/>
      <c r="H554" s="105"/>
      <c r="I554" s="105"/>
      <c r="J554" s="105"/>
      <c r="K554" s="105"/>
      <c r="L554" s="109"/>
      <c r="M554" s="109"/>
      <c r="N554" s="109"/>
      <c r="O554" s="105"/>
      <c r="P554" s="105"/>
      <c r="Q554" s="105"/>
    </row>
    <row r="555">
      <c r="A555" s="5"/>
      <c r="B555" s="105"/>
      <c r="C555" s="105"/>
      <c r="D555" s="105"/>
      <c r="E555" s="105"/>
      <c r="F555" s="105"/>
      <c r="G555" s="106"/>
      <c r="H555" s="105"/>
      <c r="I555" s="105"/>
      <c r="J555" s="105"/>
      <c r="K555" s="105"/>
      <c r="L555" s="109"/>
      <c r="M555" s="109"/>
      <c r="N555" s="109"/>
      <c r="O555" s="105"/>
      <c r="P555" s="105"/>
      <c r="Q555" s="105"/>
    </row>
    <row r="556">
      <c r="A556" s="5"/>
      <c r="B556" s="105"/>
      <c r="C556" s="105"/>
      <c r="D556" s="105"/>
      <c r="E556" s="105"/>
      <c r="F556" s="105"/>
      <c r="G556" s="106"/>
      <c r="H556" s="105"/>
      <c r="I556" s="105"/>
      <c r="J556" s="105"/>
      <c r="K556" s="105"/>
      <c r="L556" s="109"/>
      <c r="M556" s="109"/>
      <c r="N556" s="109"/>
      <c r="O556" s="105"/>
      <c r="P556" s="105"/>
      <c r="Q556" s="105"/>
    </row>
    <row r="557">
      <c r="A557" s="5"/>
      <c r="B557" s="105"/>
      <c r="C557" s="105"/>
      <c r="D557" s="105"/>
      <c r="E557" s="105"/>
      <c r="F557" s="105"/>
      <c r="G557" s="106"/>
      <c r="H557" s="105"/>
      <c r="I557" s="105"/>
      <c r="J557" s="105"/>
      <c r="K557" s="105"/>
      <c r="L557" s="109"/>
      <c r="M557" s="109"/>
      <c r="N557" s="109"/>
      <c r="O557" s="105"/>
      <c r="P557" s="105"/>
      <c r="Q557" s="105"/>
    </row>
    <row r="558">
      <c r="A558" s="5"/>
      <c r="B558" s="105"/>
      <c r="C558" s="105"/>
      <c r="D558" s="105"/>
      <c r="E558" s="105"/>
      <c r="F558" s="105"/>
      <c r="G558" s="106"/>
      <c r="H558" s="105"/>
      <c r="I558" s="105"/>
      <c r="J558" s="105"/>
      <c r="K558" s="105"/>
      <c r="L558" s="109"/>
      <c r="M558" s="109"/>
      <c r="N558" s="109"/>
      <c r="O558" s="105"/>
      <c r="P558" s="105"/>
      <c r="Q558" s="105"/>
    </row>
    <row r="559">
      <c r="A559" s="5"/>
      <c r="B559" s="105"/>
      <c r="C559" s="105"/>
      <c r="D559" s="105"/>
      <c r="E559" s="105"/>
      <c r="F559" s="105"/>
      <c r="G559" s="106"/>
      <c r="H559" s="105"/>
      <c r="I559" s="105"/>
      <c r="J559" s="105"/>
      <c r="K559" s="105"/>
      <c r="L559" s="109"/>
      <c r="M559" s="109"/>
      <c r="N559" s="109"/>
      <c r="O559" s="105"/>
      <c r="P559" s="105"/>
      <c r="Q559" s="105"/>
    </row>
    <row r="560">
      <c r="A560" s="5"/>
      <c r="B560" s="105"/>
      <c r="C560" s="105"/>
      <c r="D560" s="105"/>
      <c r="E560" s="105"/>
      <c r="F560" s="105"/>
      <c r="G560" s="106"/>
      <c r="H560" s="105"/>
      <c r="I560" s="105"/>
      <c r="J560" s="105"/>
      <c r="K560" s="105"/>
      <c r="L560" s="109"/>
      <c r="M560" s="109"/>
      <c r="N560" s="109"/>
      <c r="O560" s="105"/>
      <c r="P560" s="105"/>
      <c r="Q560" s="105"/>
    </row>
    <row r="561">
      <c r="A561" s="5"/>
      <c r="B561" s="105"/>
      <c r="C561" s="105"/>
      <c r="D561" s="105"/>
      <c r="E561" s="105"/>
      <c r="F561" s="105"/>
      <c r="G561" s="106"/>
      <c r="H561" s="105"/>
      <c r="I561" s="105"/>
      <c r="J561" s="105"/>
      <c r="K561" s="105"/>
      <c r="L561" s="109"/>
      <c r="M561" s="109"/>
      <c r="N561" s="109"/>
      <c r="O561" s="105"/>
      <c r="P561" s="105"/>
      <c r="Q561" s="105"/>
    </row>
    <row r="562">
      <c r="A562" s="5"/>
      <c r="B562" s="105"/>
      <c r="C562" s="105"/>
      <c r="D562" s="105"/>
      <c r="E562" s="105"/>
      <c r="F562" s="105"/>
      <c r="G562" s="106"/>
      <c r="H562" s="105"/>
      <c r="I562" s="105"/>
      <c r="J562" s="105"/>
      <c r="K562" s="105"/>
      <c r="L562" s="109"/>
      <c r="M562" s="109"/>
      <c r="N562" s="109"/>
      <c r="O562" s="105"/>
      <c r="P562" s="105"/>
      <c r="Q562" s="105"/>
    </row>
    <row r="563">
      <c r="A563" s="5"/>
      <c r="B563" s="105"/>
      <c r="C563" s="105"/>
      <c r="D563" s="105"/>
      <c r="E563" s="105"/>
      <c r="F563" s="105"/>
      <c r="G563" s="106"/>
      <c r="H563" s="105"/>
      <c r="I563" s="105"/>
      <c r="J563" s="105"/>
      <c r="K563" s="105"/>
      <c r="L563" s="109"/>
      <c r="M563" s="109"/>
      <c r="N563" s="109"/>
      <c r="O563" s="105"/>
      <c r="P563" s="105"/>
      <c r="Q563" s="105"/>
    </row>
    <row r="564">
      <c r="A564" s="5"/>
      <c r="B564" s="105"/>
      <c r="C564" s="105"/>
      <c r="D564" s="105"/>
      <c r="E564" s="105"/>
      <c r="F564" s="105"/>
      <c r="G564" s="106"/>
      <c r="H564" s="105"/>
      <c r="I564" s="105"/>
      <c r="J564" s="105"/>
      <c r="K564" s="105"/>
      <c r="L564" s="109"/>
      <c r="M564" s="109"/>
      <c r="N564" s="109"/>
      <c r="O564" s="105"/>
      <c r="P564" s="105"/>
      <c r="Q564" s="105"/>
    </row>
    <row r="565">
      <c r="A565" s="5"/>
      <c r="B565" s="105"/>
      <c r="C565" s="105"/>
      <c r="D565" s="105"/>
      <c r="E565" s="105"/>
      <c r="F565" s="105"/>
      <c r="G565" s="106"/>
      <c r="H565" s="105"/>
      <c r="I565" s="105"/>
      <c r="J565" s="105"/>
      <c r="K565" s="105"/>
      <c r="L565" s="109"/>
      <c r="M565" s="109"/>
      <c r="N565" s="109"/>
      <c r="O565" s="105"/>
      <c r="P565" s="105"/>
      <c r="Q565" s="105"/>
    </row>
    <row r="566">
      <c r="A566" s="5"/>
      <c r="B566" s="105"/>
      <c r="C566" s="105"/>
      <c r="D566" s="105"/>
      <c r="E566" s="105"/>
      <c r="F566" s="105"/>
      <c r="G566" s="106"/>
      <c r="H566" s="105"/>
      <c r="I566" s="105"/>
      <c r="J566" s="105"/>
      <c r="K566" s="105"/>
      <c r="L566" s="109"/>
      <c r="M566" s="109"/>
      <c r="N566" s="109"/>
      <c r="O566" s="105"/>
      <c r="P566" s="105"/>
      <c r="Q566" s="105"/>
    </row>
    <row r="567">
      <c r="A567" s="5"/>
      <c r="B567" s="105"/>
      <c r="C567" s="105"/>
      <c r="D567" s="105"/>
      <c r="E567" s="105"/>
      <c r="F567" s="105"/>
      <c r="G567" s="106"/>
      <c r="H567" s="105"/>
      <c r="I567" s="105"/>
      <c r="J567" s="105"/>
      <c r="K567" s="105"/>
      <c r="L567" s="109"/>
      <c r="M567" s="109"/>
      <c r="N567" s="109"/>
      <c r="O567" s="105"/>
      <c r="P567" s="105"/>
      <c r="Q567" s="105"/>
    </row>
    <row r="568">
      <c r="A568" s="5"/>
      <c r="B568" s="105"/>
      <c r="C568" s="105"/>
      <c r="D568" s="105"/>
      <c r="E568" s="105"/>
      <c r="F568" s="105"/>
      <c r="G568" s="106"/>
      <c r="H568" s="105"/>
      <c r="I568" s="105"/>
      <c r="J568" s="105"/>
      <c r="K568" s="105"/>
      <c r="L568" s="109"/>
      <c r="M568" s="109"/>
      <c r="N568" s="109"/>
      <c r="O568" s="105"/>
      <c r="P568" s="105"/>
      <c r="Q568" s="105"/>
    </row>
    <row r="569">
      <c r="A569" s="5"/>
      <c r="B569" s="105"/>
      <c r="C569" s="105"/>
      <c r="D569" s="105"/>
      <c r="E569" s="105"/>
      <c r="F569" s="105"/>
      <c r="G569" s="106"/>
      <c r="H569" s="105"/>
      <c r="I569" s="105"/>
      <c r="J569" s="105"/>
      <c r="K569" s="105"/>
      <c r="L569" s="109"/>
      <c r="M569" s="109"/>
      <c r="N569" s="109"/>
      <c r="O569" s="105"/>
      <c r="P569" s="105"/>
      <c r="Q569" s="105"/>
    </row>
    <row r="570">
      <c r="A570" s="5"/>
      <c r="B570" s="105"/>
      <c r="C570" s="105"/>
      <c r="D570" s="105"/>
      <c r="E570" s="105"/>
      <c r="F570" s="105"/>
      <c r="G570" s="106"/>
      <c r="H570" s="105"/>
      <c r="I570" s="105"/>
      <c r="J570" s="105"/>
      <c r="K570" s="105"/>
      <c r="L570" s="109"/>
      <c r="M570" s="109"/>
      <c r="N570" s="109"/>
      <c r="O570" s="105"/>
      <c r="P570" s="105"/>
      <c r="Q570" s="105"/>
    </row>
    <row r="571">
      <c r="A571" s="5"/>
      <c r="B571" s="105"/>
      <c r="C571" s="105"/>
      <c r="D571" s="105"/>
      <c r="E571" s="105"/>
      <c r="F571" s="105"/>
      <c r="G571" s="106"/>
      <c r="H571" s="105"/>
      <c r="I571" s="105"/>
      <c r="J571" s="105"/>
      <c r="K571" s="105"/>
      <c r="L571" s="109"/>
      <c r="M571" s="109"/>
      <c r="N571" s="109"/>
      <c r="O571" s="105"/>
      <c r="P571" s="105"/>
      <c r="Q571" s="105"/>
    </row>
    <row r="572">
      <c r="A572" s="5"/>
      <c r="B572" s="105"/>
      <c r="C572" s="105"/>
      <c r="D572" s="105"/>
      <c r="E572" s="105"/>
      <c r="F572" s="105"/>
      <c r="G572" s="106"/>
      <c r="H572" s="105"/>
      <c r="I572" s="105"/>
      <c r="J572" s="105"/>
      <c r="K572" s="105"/>
      <c r="L572" s="109"/>
      <c r="M572" s="109"/>
      <c r="N572" s="109"/>
      <c r="O572" s="105"/>
      <c r="P572" s="105"/>
      <c r="Q572" s="105"/>
    </row>
    <row r="573">
      <c r="A573" s="5"/>
      <c r="B573" s="105"/>
      <c r="C573" s="105"/>
      <c r="D573" s="105"/>
      <c r="E573" s="105"/>
      <c r="F573" s="105"/>
      <c r="G573" s="106"/>
      <c r="H573" s="105"/>
      <c r="I573" s="105"/>
      <c r="J573" s="105"/>
      <c r="K573" s="105"/>
      <c r="L573" s="109"/>
      <c r="M573" s="109"/>
      <c r="N573" s="109"/>
      <c r="O573" s="105"/>
      <c r="P573" s="105"/>
      <c r="Q573" s="105"/>
    </row>
    <row r="574">
      <c r="A574" s="5"/>
      <c r="B574" s="105"/>
      <c r="C574" s="105"/>
      <c r="D574" s="105"/>
      <c r="E574" s="105"/>
      <c r="F574" s="105"/>
      <c r="G574" s="106"/>
      <c r="H574" s="105"/>
      <c r="I574" s="105"/>
      <c r="J574" s="105"/>
      <c r="K574" s="105"/>
      <c r="L574" s="109"/>
      <c r="M574" s="109"/>
      <c r="N574" s="109"/>
      <c r="O574" s="105"/>
      <c r="P574" s="105"/>
      <c r="Q574" s="105"/>
    </row>
    <row r="575">
      <c r="A575" s="5"/>
      <c r="B575" s="105"/>
      <c r="C575" s="105"/>
      <c r="D575" s="105"/>
      <c r="E575" s="105"/>
      <c r="F575" s="105"/>
      <c r="G575" s="106"/>
      <c r="H575" s="105"/>
      <c r="I575" s="105"/>
      <c r="J575" s="105"/>
      <c r="K575" s="105"/>
      <c r="L575" s="109"/>
      <c r="M575" s="109"/>
      <c r="N575" s="109"/>
      <c r="O575" s="105"/>
      <c r="P575" s="105"/>
      <c r="Q575" s="105"/>
    </row>
    <row r="576">
      <c r="A576" s="5"/>
      <c r="B576" s="105"/>
      <c r="C576" s="105"/>
      <c r="D576" s="105"/>
      <c r="E576" s="105"/>
      <c r="F576" s="105"/>
      <c r="G576" s="106"/>
      <c r="H576" s="105"/>
      <c r="I576" s="105"/>
      <c r="J576" s="105"/>
      <c r="K576" s="105"/>
      <c r="L576" s="109"/>
      <c r="M576" s="109"/>
      <c r="N576" s="109"/>
      <c r="O576" s="105"/>
      <c r="P576" s="105"/>
      <c r="Q576" s="105"/>
    </row>
    <row r="577">
      <c r="A577" s="5"/>
      <c r="B577" s="105"/>
      <c r="C577" s="105"/>
      <c r="D577" s="105"/>
      <c r="E577" s="105"/>
      <c r="F577" s="105"/>
      <c r="G577" s="106"/>
      <c r="H577" s="105"/>
      <c r="I577" s="105"/>
      <c r="J577" s="105"/>
      <c r="K577" s="105"/>
      <c r="L577" s="109"/>
      <c r="M577" s="109"/>
      <c r="N577" s="109"/>
      <c r="O577" s="105"/>
      <c r="P577" s="105"/>
      <c r="Q577" s="105"/>
    </row>
    <row r="578">
      <c r="A578" s="5"/>
      <c r="B578" s="105"/>
      <c r="C578" s="105"/>
      <c r="D578" s="105"/>
      <c r="E578" s="105"/>
      <c r="F578" s="105"/>
      <c r="G578" s="106"/>
      <c r="H578" s="105"/>
      <c r="I578" s="105"/>
      <c r="J578" s="105"/>
      <c r="K578" s="105"/>
      <c r="L578" s="109"/>
      <c r="M578" s="109"/>
      <c r="N578" s="109"/>
      <c r="O578" s="105"/>
      <c r="P578" s="105"/>
      <c r="Q578" s="105"/>
    </row>
    <row r="579">
      <c r="A579" s="5"/>
      <c r="B579" s="105"/>
      <c r="C579" s="105"/>
      <c r="D579" s="105"/>
      <c r="E579" s="105"/>
      <c r="F579" s="105"/>
      <c r="G579" s="106"/>
      <c r="H579" s="105"/>
      <c r="I579" s="105"/>
      <c r="J579" s="105"/>
      <c r="K579" s="105"/>
      <c r="L579" s="109"/>
      <c r="M579" s="109"/>
      <c r="N579" s="109"/>
      <c r="O579" s="105"/>
      <c r="P579" s="105"/>
      <c r="Q579" s="105"/>
    </row>
    <row r="580">
      <c r="A580" s="5"/>
      <c r="B580" s="105"/>
      <c r="C580" s="105"/>
      <c r="D580" s="105"/>
      <c r="E580" s="105"/>
      <c r="F580" s="105"/>
      <c r="G580" s="106"/>
      <c r="H580" s="105"/>
      <c r="I580" s="105"/>
      <c r="J580" s="105"/>
      <c r="K580" s="105"/>
      <c r="L580" s="109"/>
      <c r="M580" s="109"/>
      <c r="N580" s="109"/>
      <c r="O580" s="105"/>
      <c r="P580" s="105"/>
      <c r="Q580" s="105"/>
    </row>
    <row r="581">
      <c r="A581" s="5"/>
      <c r="B581" s="105"/>
      <c r="C581" s="105"/>
      <c r="D581" s="105"/>
      <c r="E581" s="105"/>
      <c r="F581" s="105"/>
      <c r="G581" s="106"/>
      <c r="H581" s="105"/>
      <c r="I581" s="105"/>
      <c r="J581" s="105"/>
      <c r="K581" s="105"/>
      <c r="L581" s="109"/>
      <c r="M581" s="109"/>
      <c r="N581" s="109"/>
      <c r="O581" s="105"/>
      <c r="P581" s="105"/>
      <c r="Q581" s="105"/>
    </row>
    <row r="582">
      <c r="A582" s="5"/>
      <c r="B582" s="105"/>
      <c r="C582" s="105"/>
      <c r="D582" s="105"/>
      <c r="E582" s="105"/>
      <c r="F582" s="105"/>
      <c r="G582" s="106"/>
      <c r="H582" s="105"/>
      <c r="I582" s="105"/>
      <c r="J582" s="105"/>
      <c r="K582" s="105"/>
      <c r="L582" s="109"/>
      <c r="M582" s="109"/>
      <c r="N582" s="109"/>
      <c r="O582" s="105"/>
      <c r="P582" s="105"/>
      <c r="Q582" s="105"/>
    </row>
    <row r="583">
      <c r="A583" s="5"/>
      <c r="B583" s="105"/>
      <c r="C583" s="105"/>
      <c r="D583" s="105"/>
      <c r="E583" s="105"/>
      <c r="F583" s="105"/>
      <c r="G583" s="106"/>
      <c r="H583" s="105"/>
      <c r="I583" s="105"/>
      <c r="J583" s="105"/>
      <c r="K583" s="105"/>
      <c r="L583" s="109"/>
      <c r="M583" s="109"/>
      <c r="N583" s="109"/>
      <c r="O583" s="105"/>
      <c r="P583" s="105"/>
      <c r="Q583" s="105"/>
    </row>
    <row r="584">
      <c r="A584" s="5"/>
      <c r="B584" s="105"/>
      <c r="C584" s="105"/>
      <c r="D584" s="105"/>
      <c r="E584" s="105"/>
      <c r="F584" s="105"/>
      <c r="G584" s="106"/>
      <c r="H584" s="105"/>
      <c r="I584" s="105"/>
      <c r="J584" s="105"/>
      <c r="K584" s="105"/>
      <c r="L584" s="109"/>
      <c r="M584" s="109"/>
      <c r="N584" s="109"/>
      <c r="O584" s="105"/>
      <c r="P584" s="105"/>
      <c r="Q584" s="105"/>
    </row>
    <row r="585">
      <c r="A585" s="5"/>
      <c r="B585" s="105"/>
      <c r="C585" s="105"/>
      <c r="D585" s="105"/>
      <c r="E585" s="105"/>
      <c r="F585" s="105"/>
      <c r="G585" s="106"/>
      <c r="H585" s="105"/>
      <c r="I585" s="105"/>
      <c r="J585" s="105"/>
      <c r="K585" s="105"/>
      <c r="L585" s="109"/>
      <c r="M585" s="109"/>
      <c r="N585" s="109"/>
      <c r="O585" s="105"/>
      <c r="P585" s="105"/>
      <c r="Q585" s="105"/>
    </row>
    <row r="586">
      <c r="A586" s="5"/>
      <c r="B586" s="105"/>
      <c r="C586" s="105"/>
      <c r="D586" s="105"/>
      <c r="E586" s="105"/>
      <c r="F586" s="105"/>
      <c r="G586" s="106"/>
      <c r="H586" s="105"/>
      <c r="I586" s="105"/>
      <c r="J586" s="105"/>
      <c r="K586" s="105"/>
      <c r="L586" s="109"/>
      <c r="M586" s="109"/>
      <c r="N586" s="109"/>
      <c r="O586" s="105"/>
      <c r="P586" s="105"/>
      <c r="Q586" s="105"/>
    </row>
    <row r="587">
      <c r="A587" s="5"/>
      <c r="B587" s="105"/>
      <c r="C587" s="105"/>
      <c r="D587" s="105"/>
      <c r="E587" s="105"/>
      <c r="F587" s="105"/>
      <c r="G587" s="106"/>
      <c r="H587" s="105"/>
      <c r="I587" s="105"/>
      <c r="J587" s="105"/>
      <c r="K587" s="105"/>
      <c r="L587" s="109"/>
      <c r="M587" s="109"/>
      <c r="N587" s="109"/>
      <c r="O587" s="105"/>
      <c r="P587" s="105"/>
      <c r="Q587" s="105"/>
    </row>
    <row r="588">
      <c r="A588" s="5"/>
      <c r="B588" s="105"/>
      <c r="C588" s="105"/>
      <c r="D588" s="105"/>
      <c r="E588" s="105"/>
      <c r="F588" s="105"/>
      <c r="G588" s="106"/>
      <c r="H588" s="105"/>
      <c r="I588" s="105"/>
      <c r="J588" s="105"/>
      <c r="K588" s="105"/>
      <c r="L588" s="109"/>
      <c r="M588" s="109"/>
      <c r="N588" s="109"/>
      <c r="O588" s="105"/>
      <c r="P588" s="105"/>
      <c r="Q588" s="105"/>
    </row>
    <row r="589">
      <c r="A589" s="5"/>
      <c r="B589" s="105"/>
      <c r="C589" s="105"/>
      <c r="D589" s="105"/>
      <c r="E589" s="105"/>
      <c r="F589" s="105"/>
      <c r="G589" s="106"/>
      <c r="H589" s="105"/>
      <c r="I589" s="105"/>
      <c r="J589" s="105"/>
      <c r="K589" s="105"/>
      <c r="L589" s="109"/>
      <c r="M589" s="109"/>
      <c r="N589" s="109"/>
      <c r="O589" s="105"/>
      <c r="P589" s="105"/>
      <c r="Q589" s="105"/>
    </row>
    <row r="590">
      <c r="A590" s="5"/>
      <c r="B590" s="105"/>
      <c r="C590" s="105"/>
      <c r="D590" s="105"/>
      <c r="E590" s="105"/>
      <c r="F590" s="105"/>
      <c r="G590" s="106"/>
      <c r="H590" s="105"/>
      <c r="I590" s="105"/>
      <c r="J590" s="105"/>
      <c r="K590" s="105"/>
      <c r="L590" s="109"/>
      <c r="M590" s="109"/>
      <c r="N590" s="109"/>
      <c r="O590" s="105"/>
      <c r="P590" s="105"/>
      <c r="Q590" s="105"/>
    </row>
    <row r="591">
      <c r="A591" s="5"/>
      <c r="B591" s="105"/>
      <c r="C591" s="105"/>
      <c r="D591" s="105"/>
      <c r="E591" s="105"/>
      <c r="F591" s="105"/>
      <c r="G591" s="106"/>
      <c r="H591" s="105"/>
      <c r="I591" s="105"/>
      <c r="J591" s="105"/>
      <c r="K591" s="105"/>
      <c r="L591" s="109"/>
      <c r="M591" s="109"/>
      <c r="N591" s="109"/>
      <c r="O591" s="105"/>
      <c r="P591" s="105"/>
      <c r="Q591" s="105"/>
    </row>
    <row r="592">
      <c r="A592" s="5"/>
      <c r="B592" s="105"/>
      <c r="C592" s="105"/>
      <c r="D592" s="105"/>
      <c r="E592" s="105"/>
      <c r="F592" s="105"/>
      <c r="G592" s="106"/>
      <c r="H592" s="105"/>
      <c r="I592" s="105"/>
      <c r="J592" s="105"/>
      <c r="K592" s="105"/>
      <c r="L592" s="109"/>
      <c r="M592" s="109"/>
      <c r="N592" s="109"/>
      <c r="O592" s="105"/>
      <c r="P592" s="105"/>
      <c r="Q592" s="105"/>
    </row>
    <row r="593">
      <c r="A593" s="5"/>
      <c r="B593" s="105"/>
      <c r="C593" s="105"/>
      <c r="D593" s="105"/>
      <c r="E593" s="105"/>
      <c r="F593" s="105"/>
      <c r="G593" s="106"/>
      <c r="H593" s="105"/>
      <c r="I593" s="105"/>
      <c r="J593" s="105"/>
      <c r="K593" s="105"/>
      <c r="L593" s="109"/>
      <c r="M593" s="109"/>
      <c r="N593" s="109"/>
      <c r="O593" s="105"/>
      <c r="P593" s="105"/>
      <c r="Q593" s="105"/>
    </row>
    <row r="594">
      <c r="A594" s="5"/>
      <c r="B594" s="105"/>
      <c r="C594" s="105"/>
      <c r="D594" s="105"/>
      <c r="E594" s="105"/>
      <c r="F594" s="105"/>
      <c r="G594" s="106"/>
      <c r="H594" s="105"/>
      <c r="I594" s="105"/>
      <c r="J594" s="105"/>
      <c r="K594" s="105"/>
      <c r="L594" s="109"/>
      <c r="M594" s="109"/>
      <c r="N594" s="109"/>
      <c r="O594" s="105"/>
      <c r="P594" s="105"/>
      <c r="Q594" s="105"/>
    </row>
    <row r="595">
      <c r="A595" s="5"/>
      <c r="B595" s="105"/>
      <c r="C595" s="105"/>
      <c r="D595" s="105"/>
      <c r="E595" s="105"/>
      <c r="F595" s="105"/>
      <c r="G595" s="106"/>
      <c r="H595" s="105"/>
      <c r="I595" s="105"/>
      <c r="J595" s="105"/>
      <c r="K595" s="105"/>
      <c r="L595" s="109"/>
      <c r="M595" s="109"/>
      <c r="N595" s="109"/>
      <c r="O595" s="105"/>
      <c r="P595" s="105"/>
      <c r="Q595" s="105"/>
    </row>
    <row r="596">
      <c r="A596" s="5"/>
      <c r="B596" s="105"/>
      <c r="C596" s="105"/>
      <c r="D596" s="105"/>
      <c r="E596" s="105"/>
      <c r="F596" s="105"/>
      <c r="G596" s="106"/>
      <c r="H596" s="105"/>
      <c r="I596" s="105"/>
      <c r="J596" s="105"/>
      <c r="K596" s="105"/>
      <c r="L596" s="109"/>
      <c r="M596" s="109"/>
      <c r="N596" s="109"/>
      <c r="O596" s="105"/>
      <c r="P596" s="105"/>
      <c r="Q596" s="105"/>
    </row>
    <row r="597">
      <c r="A597" s="5"/>
      <c r="B597" s="105"/>
      <c r="C597" s="105"/>
      <c r="D597" s="105"/>
      <c r="E597" s="105"/>
      <c r="F597" s="105"/>
      <c r="G597" s="106"/>
      <c r="H597" s="105"/>
      <c r="I597" s="105"/>
      <c r="J597" s="105"/>
      <c r="K597" s="105"/>
      <c r="L597" s="109"/>
      <c r="M597" s="109"/>
      <c r="N597" s="109"/>
      <c r="O597" s="105"/>
      <c r="P597" s="105"/>
      <c r="Q597" s="105"/>
    </row>
    <row r="598">
      <c r="A598" s="5"/>
      <c r="B598" s="105"/>
      <c r="C598" s="105"/>
      <c r="D598" s="105"/>
      <c r="E598" s="105"/>
      <c r="F598" s="105"/>
      <c r="G598" s="106"/>
      <c r="H598" s="105"/>
      <c r="I598" s="105"/>
      <c r="J598" s="105"/>
      <c r="K598" s="105"/>
      <c r="L598" s="109"/>
      <c r="M598" s="109"/>
      <c r="N598" s="109"/>
      <c r="O598" s="105"/>
      <c r="P598" s="105"/>
      <c r="Q598" s="105"/>
    </row>
    <row r="599">
      <c r="A599" s="5"/>
      <c r="B599" s="105"/>
      <c r="C599" s="105"/>
      <c r="D599" s="105"/>
      <c r="E599" s="105"/>
      <c r="F599" s="105"/>
      <c r="G599" s="106"/>
      <c r="H599" s="105"/>
      <c r="I599" s="105"/>
      <c r="J599" s="105"/>
      <c r="K599" s="105"/>
      <c r="L599" s="109"/>
      <c r="M599" s="109"/>
      <c r="N599" s="109"/>
      <c r="O599" s="105"/>
      <c r="P599" s="105"/>
      <c r="Q599" s="105"/>
    </row>
    <row r="600">
      <c r="A600" s="5"/>
      <c r="B600" s="105"/>
      <c r="C600" s="105"/>
      <c r="D600" s="105"/>
      <c r="E600" s="105"/>
      <c r="F600" s="105"/>
      <c r="G600" s="106"/>
      <c r="H600" s="105"/>
      <c r="I600" s="105"/>
      <c r="J600" s="105"/>
      <c r="K600" s="105"/>
      <c r="L600" s="109"/>
      <c r="M600" s="109"/>
      <c r="N600" s="109"/>
      <c r="O600" s="105"/>
      <c r="P600" s="105"/>
      <c r="Q600" s="105"/>
    </row>
    <row r="601">
      <c r="A601" s="5"/>
      <c r="B601" s="105"/>
      <c r="C601" s="105"/>
      <c r="D601" s="105"/>
      <c r="E601" s="105"/>
      <c r="F601" s="105"/>
      <c r="G601" s="106"/>
      <c r="H601" s="105"/>
      <c r="I601" s="105"/>
      <c r="J601" s="105"/>
      <c r="K601" s="105"/>
      <c r="L601" s="109"/>
      <c r="M601" s="109"/>
      <c r="N601" s="109"/>
      <c r="O601" s="105"/>
      <c r="P601" s="105"/>
      <c r="Q601" s="105"/>
    </row>
    <row r="602">
      <c r="A602" s="5"/>
      <c r="B602" s="105"/>
      <c r="C602" s="105"/>
      <c r="D602" s="105"/>
      <c r="E602" s="105"/>
      <c r="F602" s="105"/>
      <c r="G602" s="106"/>
      <c r="H602" s="105"/>
      <c r="I602" s="105"/>
      <c r="J602" s="105"/>
      <c r="K602" s="105"/>
      <c r="L602" s="109"/>
      <c r="M602" s="109"/>
      <c r="N602" s="109"/>
      <c r="O602" s="105"/>
      <c r="P602" s="105"/>
      <c r="Q602" s="105"/>
    </row>
    <row r="603">
      <c r="A603" s="5"/>
      <c r="B603" s="105"/>
      <c r="C603" s="105"/>
      <c r="D603" s="105"/>
      <c r="E603" s="105"/>
      <c r="F603" s="105"/>
      <c r="G603" s="106"/>
      <c r="H603" s="105"/>
      <c r="I603" s="105"/>
      <c r="J603" s="105"/>
      <c r="K603" s="105"/>
      <c r="L603" s="109"/>
      <c r="M603" s="109"/>
      <c r="N603" s="109"/>
      <c r="O603" s="105"/>
      <c r="P603" s="105"/>
      <c r="Q603" s="105"/>
    </row>
    <row r="604">
      <c r="A604" s="5"/>
      <c r="B604" s="105"/>
      <c r="C604" s="105"/>
      <c r="D604" s="105"/>
      <c r="E604" s="105"/>
      <c r="F604" s="105"/>
      <c r="G604" s="106"/>
      <c r="H604" s="105"/>
      <c r="I604" s="105"/>
      <c r="J604" s="105"/>
      <c r="K604" s="105"/>
      <c r="L604" s="109"/>
      <c r="M604" s="109"/>
      <c r="N604" s="109"/>
      <c r="O604" s="105"/>
      <c r="P604" s="105"/>
      <c r="Q604" s="105"/>
    </row>
    <row r="605">
      <c r="A605" s="5"/>
      <c r="B605" s="105"/>
      <c r="C605" s="105"/>
      <c r="D605" s="105"/>
      <c r="E605" s="105"/>
      <c r="F605" s="105"/>
      <c r="G605" s="106"/>
      <c r="H605" s="105"/>
      <c r="I605" s="105"/>
      <c r="J605" s="105"/>
      <c r="K605" s="105"/>
      <c r="L605" s="109"/>
      <c r="M605" s="109"/>
      <c r="N605" s="109"/>
      <c r="O605" s="105"/>
      <c r="P605" s="105"/>
      <c r="Q605" s="105"/>
    </row>
    <row r="606">
      <c r="A606" s="5"/>
      <c r="B606" s="105"/>
      <c r="C606" s="105"/>
      <c r="D606" s="105"/>
      <c r="E606" s="105"/>
      <c r="F606" s="105"/>
      <c r="G606" s="106"/>
      <c r="H606" s="105"/>
      <c r="I606" s="105"/>
      <c r="J606" s="105"/>
      <c r="K606" s="105"/>
      <c r="L606" s="109"/>
      <c r="M606" s="109"/>
      <c r="N606" s="109"/>
      <c r="O606" s="105"/>
      <c r="P606" s="105"/>
      <c r="Q606" s="105"/>
    </row>
    <row r="607">
      <c r="A607" s="5"/>
      <c r="B607" s="105"/>
      <c r="C607" s="105"/>
      <c r="D607" s="105"/>
      <c r="E607" s="105"/>
      <c r="F607" s="105"/>
      <c r="G607" s="106"/>
      <c r="H607" s="105"/>
      <c r="I607" s="105"/>
      <c r="J607" s="105"/>
      <c r="K607" s="105"/>
      <c r="L607" s="109"/>
      <c r="M607" s="109"/>
      <c r="N607" s="109"/>
      <c r="O607" s="105"/>
      <c r="P607" s="105"/>
      <c r="Q607" s="105"/>
    </row>
    <row r="608">
      <c r="A608" s="5"/>
      <c r="B608" s="105"/>
      <c r="C608" s="105"/>
      <c r="D608" s="105"/>
      <c r="E608" s="105"/>
      <c r="F608" s="105"/>
      <c r="G608" s="106"/>
      <c r="H608" s="105"/>
      <c r="I608" s="105"/>
      <c r="J608" s="105"/>
      <c r="K608" s="105"/>
      <c r="L608" s="109"/>
      <c r="M608" s="109"/>
      <c r="N608" s="109"/>
      <c r="O608" s="105"/>
      <c r="P608" s="105"/>
      <c r="Q608" s="105"/>
    </row>
    <row r="609">
      <c r="A609" s="5"/>
      <c r="B609" s="105"/>
      <c r="C609" s="105"/>
      <c r="D609" s="105"/>
      <c r="E609" s="105"/>
      <c r="F609" s="105"/>
      <c r="G609" s="106"/>
      <c r="H609" s="105"/>
      <c r="I609" s="105"/>
      <c r="J609" s="105"/>
      <c r="K609" s="105"/>
      <c r="L609" s="109"/>
      <c r="M609" s="109"/>
      <c r="N609" s="109"/>
      <c r="O609" s="105"/>
      <c r="P609" s="105"/>
      <c r="Q609" s="105"/>
    </row>
    <row r="610">
      <c r="A610" s="5"/>
      <c r="B610" s="105"/>
      <c r="C610" s="105"/>
      <c r="D610" s="105"/>
      <c r="E610" s="105"/>
      <c r="F610" s="105"/>
      <c r="G610" s="106"/>
      <c r="H610" s="105"/>
      <c r="I610" s="105"/>
      <c r="J610" s="105"/>
      <c r="K610" s="105"/>
      <c r="L610" s="109"/>
      <c r="M610" s="109"/>
      <c r="N610" s="109"/>
      <c r="O610" s="105"/>
      <c r="P610" s="105"/>
      <c r="Q610" s="105"/>
    </row>
    <row r="611">
      <c r="A611" s="5"/>
      <c r="B611" s="105"/>
      <c r="C611" s="105"/>
      <c r="D611" s="105"/>
      <c r="E611" s="105"/>
      <c r="F611" s="105"/>
      <c r="G611" s="106"/>
      <c r="H611" s="105"/>
      <c r="I611" s="105"/>
      <c r="J611" s="105"/>
      <c r="K611" s="105"/>
      <c r="L611" s="109"/>
      <c r="M611" s="109"/>
      <c r="N611" s="109"/>
      <c r="O611" s="105"/>
      <c r="P611" s="105"/>
      <c r="Q611" s="105"/>
    </row>
    <row r="612">
      <c r="A612" s="5"/>
      <c r="B612" s="105"/>
      <c r="C612" s="105"/>
      <c r="D612" s="105"/>
      <c r="E612" s="105"/>
      <c r="F612" s="105"/>
      <c r="G612" s="106"/>
      <c r="H612" s="105"/>
      <c r="I612" s="105"/>
      <c r="J612" s="105"/>
      <c r="K612" s="105"/>
      <c r="L612" s="109"/>
      <c r="M612" s="109"/>
      <c r="N612" s="109"/>
      <c r="O612" s="105"/>
      <c r="P612" s="105"/>
      <c r="Q612" s="105"/>
    </row>
    <row r="613">
      <c r="A613" s="5"/>
      <c r="B613" s="105"/>
      <c r="C613" s="105"/>
      <c r="D613" s="105"/>
      <c r="E613" s="105"/>
      <c r="F613" s="105"/>
      <c r="G613" s="106"/>
      <c r="H613" s="105"/>
      <c r="I613" s="105"/>
      <c r="J613" s="105"/>
      <c r="K613" s="105"/>
      <c r="L613" s="109"/>
      <c r="M613" s="109"/>
      <c r="N613" s="109"/>
      <c r="O613" s="105"/>
      <c r="P613" s="105"/>
      <c r="Q613" s="105"/>
    </row>
    <row r="614">
      <c r="A614" s="5"/>
      <c r="B614" s="105"/>
      <c r="C614" s="105"/>
      <c r="D614" s="105"/>
      <c r="E614" s="105"/>
      <c r="F614" s="105"/>
      <c r="G614" s="106"/>
      <c r="H614" s="105"/>
      <c r="I614" s="105"/>
      <c r="J614" s="105"/>
      <c r="K614" s="105"/>
      <c r="L614" s="109"/>
      <c r="M614" s="109"/>
      <c r="N614" s="109"/>
      <c r="O614" s="105"/>
      <c r="P614" s="105"/>
      <c r="Q614" s="105"/>
    </row>
    <row r="615">
      <c r="A615" s="5"/>
      <c r="B615" s="105"/>
      <c r="C615" s="105"/>
      <c r="D615" s="105"/>
      <c r="E615" s="105"/>
      <c r="F615" s="105"/>
      <c r="G615" s="106"/>
      <c r="H615" s="105"/>
      <c r="I615" s="105"/>
      <c r="J615" s="105"/>
      <c r="K615" s="105"/>
      <c r="L615" s="109"/>
      <c r="M615" s="109"/>
      <c r="N615" s="109"/>
      <c r="O615" s="105"/>
      <c r="P615" s="105"/>
      <c r="Q615" s="105"/>
    </row>
    <row r="616">
      <c r="A616" s="5"/>
      <c r="B616" s="105"/>
      <c r="C616" s="105"/>
      <c r="D616" s="105"/>
      <c r="E616" s="105"/>
      <c r="F616" s="105"/>
      <c r="G616" s="106"/>
      <c r="H616" s="105"/>
      <c r="I616" s="105"/>
      <c r="J616" s="105"/>
      <c r="K616" s="105"/>
      <c r="L616" s="109"/>
      <c r="M616" s="109"/>
      <c r="N616" s="109"/>
      <c r="O616" s="105"/>
      <c r="P616" s="105"/>
      <c r="Q616" s="105"/>
    </row>
    <row r="617">
      <c r="A617" s="5"/>
      <c r="B617" s="105"/>
      <c r="C617" s="105"/>
      <c r="D617" s="105"/>
      <c r="E617" s="105"/>
      <c r="F617" s="105"/>
      <c r="G617" s="106"/>
      <c r="H617" s="105"/>
      <c r="I617" s="105"/>
      <c r="J617" s="105"/>
      <c r="K617" s="105"/>
      <c r="L617" s="109"/>
      <c r="M617" s="109"/>
      <c r="N617" s="109"/>
      <c r="O617" s="105"/>
      <c r="P617" s="105"/>
      <c r="Q617" s="105"/>
    </row>
    <row r="618">
      <c r="A618" s="5"/>
      <c r="B618" s="105"/>
      <c r="C618" s="105"/>
      <c r="D618" s="105"/>
      <c r="E618" s="105"/>
      <c r="F618" s="105"/>
      <c r="G618" s="106"/>
      <c r="H618" s="105"/>
      <c r="I618" s="105"/>
      <c r="J618" s="105"/>
      <c r="K618" s="105"/>
      <c r="L618" s="109"/>
      <c r="M618" s="109"/>
      <c r="N618" s="109"/>
      <c r="O618" s="105"/>
      <c r="P618" s="105"/>
      <c r="Q618" s="105"/>
    </row>
    <row r="619">
      <c r="A619" s="5"/>
      <c r="B619" s="105"/>
      <c r="C619" s="105"/>
      <c r="D619" s="105"/>
      <c r="E619" s="105"/>
      <c r="F619" s="105"/>
      <c r="G619" s="106"/>
      <c r="H619" s="105"/>
      <c r="I619" s="105"/>
      <c r="J619" s="105"/>
      <c r="K619" s="105"/>
      <c r="L619" s="109"/>
      <c r="M619" s="109"/>
      <c r="N619" s="109"/>
      <c r="O619" s="105"/>
      <c r="P619" s="105"/>
      <c r="Q619" s="105"/>
    </row>
    <row r="620">
      <c r="A620" s="5"/>
      <c r="B620" s="105"/>
      <c r="C620" s="105"/>
      <c r="D620" s="105"/>
      <c r="E620" s="105"/>
      <c r="F620" s="105"/>
      <c r="G620" s="106"/>
      <c r="H620" s="105"/>
      <c r="I620" s="105"/>
      <c r="J620" s="105"/>
      <c r="K620" s="105"/>
      <c r="L620" s="109"/>
      <c r="M620" s="109"/>
      <c r="N620" s="109"/>
      <c r="O620" s="105"/>
      <c r="P620" s="105"/>
      <c r="Q620" s="105"/>
    </row>
    <row r="621">
      <c r="A621" s="5"/>
      <c r="B621" s="105"/>
      <c r="C621" s="105"/>
      <c r="D621" s="105"/>
      <c r="E621" s="105"/>
      <c r="F621" s="105"/>
      <c r="G621" s="106"/>
      <c r="H621" s="105"/>
      <c r="I621" s="105"/>
      <c r="J621" s="105"/>
      <c r="K621" s="105"/>
      <c r="L621" s="109"/>
      <c r="M621" s="109"/>
      <c r="N621" s="109"/>
      <c r="O621" s="105"/>
      <c r="P621" s="105"/>
      <c r="Q621" s="105"/>
    </row>
    <row r="622">
      <c r="A622" s="5"/>
      <c r="B622" s="105"/>
      <c r="C622" s="105"/>
      <c r="D622" s="105"/>
      <c r="E622" s="105"/>
      <c r="F622" s="105"/>
      <c r="G622" s="106"/>
      <c r="H622" s="105"/>
      <c r="I622" s="105"/>
      <c r="J622" s="105"/>
      <c r="K622" s="105"/>
      <c r="L622" s="109"/>
      <c r="M622" s="109"/>
      <c r="N622" s="109"/>
      <c r="O622" s="105"/>
      <c r="P622" s="105"/>
      <c r="Q622" s="105"/>
    </row>
    <row r="623">
      <c r="A623" s="5"/>
      <c r="B623" s="105"/>
      <c r="C623" s="105"/>
      <c r="D623" s="105"/>
      <c r="E623" s="105"/>
      <c r="F623" s="105"/>
      <c r="G623" s="106"/>
      <c r="H623" s="105"/>
      <c r="I623" s="105"/>
      <c r="J623" s="105"/>
      <c r="K623" s="105"/>
      <c r="L623" s="109"/>
      <c r="M623" s="109"/>
      <c r="N623" s="109"/>
      <c r="O623" s="105"/>
      <c r="P623" s="105"/>
      <c r="Q623" s="105"/>
    </row>
    <row r="624">
      <c r="A624" s="5"/>
      <c r="B624" s="105"/>
      <c r="C624" s="105"/>
      <c r="D624" s="105"/>
      <c r="E624" s="105"/>
      <c r="F624" s="105"/>
      <c r="G624" s="106"/>
      <c r="H624" s="105"/>
      <c r="I624" s="105"/>
      <c r="J624" s="105"/>
      <c r="K624" s="105"/>
      <c r="L624" s="109"/>
      <c r="M624" s="109"/>
      <c r="N624" s="109"/>
      <c r="O624" s="105"/>
      <c r="P624" s="105"/>
      <c r="Q624" s="105"/>
    </row>
    <row r="625">
      <c r="A625" s="5"/>
      <c r="B625" s="105"/>
      <c r="C625" s="105"/>
      <c r="D625" s="105"/>
      <c r="E625" s="105"/>
      <c r="F625" s="105"/>
      <c r="G625" s="106"/>
      <c r="H625" s="105"/>
      <c r="I625" s="105"/>
      <c r="J625" s="105"/>
      <c r="K625" s="105"/>
      <c r="L625" s="109"/>
      <c r="M625" s="109"/>
      <c r="N625" s="109"/>
      <c r="O625" s="105"/>
      <c r="P625" s="105"/>
      <c r="Q625" s="105"/>
    </row>
    <row r="626">
      <c r="A626" s="5"/>
      <c r="B626" s="105"/>
      <c r="C626" s="105"/>
      <c r="D626" s="105"/>
      <c r="E626" s="105"/>
      <c r="F626" s="105"/>
      <c r="G626" s="106"/>
      <c r="H626" s="105"/>
      <c r="I626" s="105"/>
      <c r="J626" s="105"/>
      <c r="K626" s="105"/>
      <c r="L626" s="109"/>
      <c r="M626" s="109"/>
      <c r="N626" s="109"/>
      <c r="O626" s="105"/>
      <c r="P626" s="105"/>
      <c r="Q626" s="105"/>
    </row>
    <row r="627">
      <c r="A627" s="5"/>
      <c r="B627" s="105"/>
      <c r="C627" s="105"/>
      <c r="D627" s="105"/>
      <c r="E627" s="105"/>
      <c r="F627" s="105"/>
      <c r="G627" s="106"/>
      <c r="H627" s="105"/>
      <c r="I627" s="105"/>
      <c r="J627" s="105"/>
      <c r="K627" s="105"/>
      <c r="L627" s="109"/>
      <c r="M627" s="109"/>
      <c r="N627" s="109"/>
      <c r="O627" s="105"/>
      <c r="P627" s="105"/>
      <c r="Q627" s="105"/>
    </row>
    <row r="628">
      <c r="A628" s="5"/>
      <c r="B628" s="105"/>
      <c r="C628" s="105"/>
      <c r="D628" s="105"/>
      <c r="E628" s="105"/>
      <c r="F628" s="105"/>
      <c r="G628" s="106"/>
      <c r="H628" s="105"/>
      <c r="I628" s="105"/>
      <c r="J628" s="105"/>
      <c r="K628" s="105"/>
      <c r="L628" s="109"/>
      <c r="M628" s="109"/>
      <c r="N628" s="109"/>
      <c r="O628" s="105"/>
      <c r="P628" s="105"/>
      <c r="Q628" s="105"/>
    </row>
    <row r="629">
      <c r="A629" s="5"/>
      <c r="B629" s="105"/>
      <c r="C629" s="105"/>
      <c r="D629" s="105"/>
      <c r="E629" s="105"/>
      <c r="F629" s="105"/>
      <c r="G629" s="106"/>
      <c r="H629" s="105"/>
      <c r="I629" s="105"/>
      <c r="J629" s="105"/>
      <c r="K629" s="105"/>
      <c r="L629" s="109"/>
      <c r="M629" s="109"/>
      <c r="N629" s="109"/>
      <c r="O629" s="105"/>
      <c r="P629" s="105"/>
      <c r="Q629" s="105"/>
    </row>
    <row r="630">
      <c r="A630" s="5"/>
      <c r="B630" s="105"/>
      <c r="C630" s="105"/>
      <c r="D630" s="105"/>
      <c r="E630" s="105"/>
      <c r="F630" s="105"/>
      <c r="G630" s="106"/>
      <c r="H630" s="105"/>
      <c r="I630" s="105"/>
      <c r="J630" s="105"/>
      <c r="K630" s="105"/>
      <c r="L630" s="109"/>
      <c r="M630" s="109"/>
      <c r="N630" s="109"/>
      <c r="O630" s="105"/>
      <c r="P630" s="105"/>
      <c r="Q630" s="105"/>
    </row>
    <row r="631">
      <c r="A631" s="5"/>
      <c r="B631" s="105"/>
      <c r="C631" s="105"/>
      <c r="D631" s="105"/>
      <c r="E631" s="105"/>
      <c r="F631" s="105"/>
      <c r="G631" s="106"/>
      <c r="H631" s="105"/>
      <c r="I631" s="105"/>
      <c r="J631" s="105"/>
      <c r="K631" s="105"/>
      <c r="L631" s="109"/>
      <c r="M631" s="109"/>
      <c r="N631" s="109"/>
      <c r="O631" s="105"/>
      <c r="P631" s="105"/>
      <c r="Q631" s="105"/>
    </row>
    <row r="632">
      <c r="A632" s="5"/>
      <c r="B632" s="105"/>
      <c r="C632" s="105"/>
      <c r="D632" s="105"/>
      <c r="E632" s="105"/>
      <c r="F632" s="105"/>
      <c r="G632" s="106"/>
      <c r="H632" s="105"/>
      <c r="I632" s="105"/>
      <c r="J632" s="105"/>
      <c r="K632" s="105"/>
      <c r="L632" s="109"/>
      <c r="M632" s="109"/>
      <c r="N632" s="109"/>
      <c r="O632" s="105"/>
      <c r="P632" s="105"/>
      <c r="Q632" s="105"/>
    </row>
    <row r="633">
      <c r="A633" s="5"/>
      <c r="B633" s="105"/>
      <c r="C633" s="105"/>
      <c r="D633" s="105"/>
      <c r="E633" s="105"/>
      <c r="F633" s="105"/>
      <c r="G633" s="106"/>
      <c r="H633" s="105"/>
      <c r="I633" s="105"/>
      <c r="J633" s="105"/>
      <c r="K633" s="105"/>
      <c r="L633" s="109"/>
      <c r="M633" s="109"/>
      <c r="N633" s="109"/>
      <c r="O633" s="105"/>
      <c r="P633" s="105"/>
      <c r="Q633" s="105"/>
    </row>
    <row r="634">
      <c r="A634" s="5"/>
      <c r="B634" s="105"/>
      <c r="C634" s="105"/>
      <c r="D634" s="105"/>
      <c r="E634" s="105"/>
      <c r="F634" s="105"/>
      <c r="G634" s="106"/>
      <c r="H634" s="105"/>
      <c r="I634" s="105"/>
      <c r="J634" s="105"/>
      <c r="K634" s="105"/>
      <c r="L634" s="109"/>
      <c r="M634" s="109"/>
      <c r="N634" s="109"/>
      <c r="O634" s="105"/>
      <c r="P634" s="105"/>
      <c r="Q634" s="105"/>
    </row>
    <row r="635">
      <c r="A635" s="5"/>
      <c r="B635" s="105"/>
      <c r="C635" s="105"/>
      <c r="D635" s="105"/>
      <c r="E635" s="105"/>
      <c r="F635" s="105"/>
      <c r="G635" s="106"/>
      <c r="H635" s="105"/>
      <c r="I635" s="105"/>
      <c r="J635" s="105"/>
      <c r="K635" s="105"/>
      <c r="L635" s="109"/>
      <c r="M635" s="109"/>
      <c r="N635" s="109"/>
      <c r="O635" s="105"/>
      <c r="P635" s="105"/>
      <c r="Q635" s="105"/>
    </row>
    <row r="636">
      <c r="A636" s="5"/>
      <c r="B636" s="105"/>
      <c r="C636" s="105"/>
      <c r="D636" s="105"/>
      <c r="E636" s="105"/>
      <c r="F636" s="105"/>
      <c r="G636" s="106"/>
      <c r="H636" s="105"/>
      <c r="I636" s="105"/>
      <c r="J636" s="105"/>
      <c r="K636" s="105"/>
      <c r="L636" s="109"/>
      <c r="M636" s="109"/>
      <c r="N636" s="109"/>
      <c r="O636" s="105"/>
      <c r="P636" s="105"/>
      <c r="Q636" s="105"/>
    </row>
    <row r="637">
      <c r="A637" s="5"/>
      <c r="B637" s="105"/>
      <c r="C637" s="105"/>
      <c r="D637" s="105"/>
      <c r="E637" s="105"/>
      <c r="F637" s="105"/>
      <c r="G637" s="106"/>
      <c r="H637" s="105"/>
      <c r="I637" s="105"/>
      <c r="J637" s="105"/>
      <c r="K637" s="105"/>
      <c r="L637" s="109"/>
      <c r="M637" s="109"/>
      <c r="N637" s="109"/>
      <c r="O637" s="105"/>
      <c r="P637" s="105"/>
      <c r="Q637" s="105"/>
    </row>
    <row r="638">
      <c r="A638" s="5"/>
      <c r="B638" s="105"/>
      <c r="C638" s="105"/>
      <c r="D638" s="105"/>
      <c r="E638" s="105"/>
      <c r="F638" s="105"/>
      <c r="G638" s="106"/>
      <c r="H638" s="105"/>
      <c r="I638" s="105"/>
      <c r="J638" s="105"/>
      <c r="K638" s="105"/>
      <c r="L638" s="109"/>
      <c r="M638" s="109"/>
      <c r="N638" s="109"/>
      <c r="O638" s="105"/>
      <c r="P638" s="105"/>
      <c r="Q638" s="105"/>
    </row>
    <row r="639">
      <c r="A639" s="5"/>
      <c r="B639" s="105"/>
      <c r="C639" s="105"/>
      <c r="D639" s="105"/>
      <c r="E639" s="105"/>
      <c r="F639" s="105"/>
      <c r="G639" s="106"/>
      <c r="H639" s="105"/>
      <c r="I639" s="105"/>
      <c r="J639" s="105"/>
      <c r="K639" s="105"/>
      <c r="L639" s="109"/>
      <c r="M639" s="109"/>
      <c r="N639" s="109"/>
      <c r="O639" s="105"/>
      <c r="P639" s="105"/>
      <c r="Q639" s="105"/>
    </row>
    <row r="640">
      <c r="A640" s="5"/>
      <c r="B640" s="105"/>
      <c r="C640" s="105"/>
      <c r="D640" s="105"/>
      <c r="E640" s="105"/>
      <c r="F640" s="105"/>
      <c r="G640" s="106"/>
      <c r="H640" s="105"/>
      <c r="I640" s="105"/>
      <c r="J640" s="105"/>
      <c r="K640" s="105"/>
      <c r="L640" s="109"/>
      <c r="M640" s="109"/>
      <c r="N640" s="109"/>
      <c r="O640" s="105"/>
      <c r="P640" s="105"/>
      <c r="Q640" s="105"/>
    </row>
    <row r="641">
      <c r="A641" s="5"/>
      <c r="B641" s="105"/>
      <c r="C641" s="105"/>
      <c r="D641" s="105"/>
      <c r="E641" s="105"/>
      <c r="F641" s="105"/>
      <c r="G641" s="106"/>
      <c r="H641" s="105"/>
      <c r="I641" s="105"/>
      <c r="J641" s="105"/>
      <c r="K641" s="105"/>
      <c r="L641" s="109"/>
      <c r="M641" s="109"/>
      <c r="N641" s="109"/>
      <c r="O641" s="105"/>
      <c r="P641" s="105"/>
      <c r="Q641" s="105"/>
    </row>
    <row r="642">
      <c r="A642" s="5"/>
      <c r="B642" s="105"/>
      <c r="C642" s="105"/>
      <c r="D642" s="105"/>
      <c r="E642" s="105"/>
      <c r="F642" s="105"/>
      <c r="G642" s="106"/>
      <c r="H642" s="105"/>
      <c r="I642" s="105"/>
      <c r="J642" s="105"/>
      <c r="K642" s="105"/>
      <c r="L642" s="109"/>
      <c r="M642" s="109"/>
      <c r="N642" s="109"/>
      <c r="O642" s="105"/>
      <c r="P642" s="105"/>
      <c r="Q642" s="105"/>
    </row>
    <row r="643">
      <c r="A643" s="5"/>
      <c r="B643" s="105"/>
      <c r="C643" s="105"/>
      <c r="D643" s="105"/>
      <c r="E643" s="105"/>
      <c r="F643" s="105"/>
      <c r="G643" s="106"/>
      <c r="H643" s="105"/>
      <c r="I643" s="105"/>
      <c r="J643" s="105"/>
      <c r="K643" s="105"/>
      <c r="L643" s="109"/>
      <c r="M643" s="109"/>
      <c r="N643" s="109"/>
      <c r="O643" s="105"/>
      <c r="P643" s="105"/>
      <c r="Q643" s="105"/>
    </row>
    <row r="644">
      <c r="A644" s="5"/>
      <c r="B644" s="105"/>
      <c r="C644" s="105"/>
      <c r="D644" s="105"/>
      <c r="E644" s="105"/>
      <c r="F644" s="105"/>
      <c r="G644" s="106"/>
      <c r="H644" s="105"/>
      <c r="I644" s="105"/>
      <c r="J644" s="105"/>
      <c r="K644" s="105"/>
      <c r="L644" s="109"/>
      <c r="M644" s="109"/>
      <c r="N644" s="109"/>
      <c r="O644" s="105"/>
      <c r="P644" s="105"/>
      <c r="Q644" s="105"/>
    </row>
    <row r="645">
      <c r="A645" s="5"/>
      <c r="B645" s="105"/>
      <c r="C645" s="105"/>
      <c r="D645" s="105"/>
      <c r="E645" s="105"/>
      <c r="F645" s="105"/>
      <c r="G645" s="106"/>
      <c r="H645" s="105"/>
      <c r="I645" s="105"/>
      <c r="J645" s="105"/>
      <c r="K645" s="105"/>
      <c r="L645" s="109"/>
      <c r="M645" s="109"/>
      <c r="N645" s="109"/>
      <c r="O645" s="105"/>
      <c r="P645" s="105"/>
      <c r="Q645" s="105"/>
    </row>
    <row r="646">
      <c r="A646" s="5"/>
      <c r="B646" s="105"/>
      <c r="C646" s="105"/>
      <c r="D646" s="105"/>
      <c r="E646" s="105"/>
      <c r="F646" s="105"/>
      <c r="G646" s="106"/>
      <c r="H646" s="105"/>
      <c r="I646" s="105"/>
      <c r="J646" s="105"/>
      <c r="K646" s="105"/>
      <c r="L646" s="109"/>
      <c r="M646" s="109"/>
      <c r="N646" s="109"/>
      <c r="O646" s="105"/>
      <c r="P646" s="105"/>
      <c r="Q646" s="105"/>
    </row>
    <row r="647">
      <c r="A647" s="5"/>
      <c r="B647" s="105"/>
      <c r="C647" s="105"/>
      <c r="D647" s="105"/>
      <c r="E647" s="105"/>
      <c r="F647" s="105"/>
      <c r="G647" s="106"/>
      <c r="H647" s="105"/>
      <c r="I647" s="105"/>
      <c r="J647" s="105"/>
      <c r="K647" s="105"/>
      <c r="L647" s="109"/>
      <c r="M647" s="109"/>
      <c r="N647" s="109"/>
      <c r="O647" s="105"/>
      <c r="P647" s="105"/>
      <c r="Q647" s="105"/>
    </row>
    <row r="648">
      <c r="A648" s="5"/>
      <c r="B648" s="105"/>
      <c r="C648" s="105"/>
      <c r="D648" s="105"/>
      <c r="E648" s="105"/>
      <c r="F648" s="105"/>
      <c r="G648" s="106"/>
      <c r="H648" s="105"/>
      <c r="I648" s="105"/>
      <c r="J648" s="105"/>
      <c r="K648" s="105"/>
      <c r="L648" s="109"/>
      <c r="M648" s="109"/>
      <c r="N648" s="109"/>
      <c r="O648" s="105"/>
      <c r="P648" s="105"/>
      <c r="Q648" s="105"/>
    </row>
    <row r="649">
      <c r="A649" s="5"/>
      <c r="B649" s="105"/>
      <c r="C649" s="105"/>
      <c r="D649" s="105"/>
      <c r="E649" s="105"/>
      <c r="F649" s="105"/>
      <c r="G649" s="106"/>
      <c r="H649" s="105"/>
      <c r="I649" s="105"/>
      <c r="J649" s="105"/>
      <c r="K649" s="105"/>
      <c r="L649" s="109"/>
      <c r="M649" s="109"/>
      <c r="N649" s="109"/>
      <c r="O649" s="105"/>
      <c r="P649" s="105"/>
      <c r="Q649" s="105"/>
    </row>
    <row r="650">
      <c r="A650" s="5"/>
      <c r="B650" s="105"/>
      <c r="C650" s="105"/>
      <c r="D650" s="105"/>
      <c r="E650" s="105"/>
      <c r="F650" s="105"/>
      <c r="G650" s="106"/>
      <c r="H650" s="105"/>
      <c r="I650" s="105"/>
      <c r="J650" s="105"/>
      <c r="K650" s="105"/>
      <c r="L650" s="109"/>
      <c r="M650" s="109"/>
      <c r="N650" s="109"/>
      <c r="O650" s="105"/>
      <c r="P650" s="105"/>
      <c r="Q650" s="105"/>
    </row>
    <row r="651">
      <c r="A651" s="5"/>
      <c r="B651" s="105"/>
      <c r="C651" s="105"/>
      <c r="D651" s="105"/>
      <c r="E651" s="105"/>
      <c r="F651" s="105"/>
      <c r="G651" s="106"/>
      <c r="H651" s="105"/>
      <c r="I651" s="105"/>
      <c r="J651" s="105"/>
      <c r="K651" s="105"/>
      <c r="L651" s="109"/>
      <c r="M651" s="109"/>
      <c r="N651" s="109"/>
      <c r="O651" s="105"/>
      <c r="P651" s="105"/>
      <c r="Q651" s="105"/>
    </row>
    <row r="652">
      <c r="A652" s="5"/>
      <c r="B652" s="105"/>
      <c r="C652" s="105"/>
      <c r="D652" s="105"/>
      <c r="E652" s="105"/>
      <c r="F652" s="105"/>
      <c r="G652" s="106"/>
      <c r="H652" s="105"/>
      <c r="I652" s="105"/>
      <c r="J652" s="105"/>
      <c r="K652" s="105"/>
      <c r="L652" s="109"/>
      <c r="M652" s="109"/>
      <c r="N652" s="109"/>
      <c r="O652" s="105"/>
      <c r="P652" s="105"/>
      <c r="Q652" s="105"/>
    </row>
    <row r="653">
      <c r="A653" s="5"/>
      <c r="B653" s="105"/>
      <c r="C653" s="105"/>
      <c r="D653" s="105"/>
      <c r="E653" s="105"/>
      <c r="F653" s="105"/>
      <c r="G653" s="106"/>
      <c r="H653" s="105"/>
      <c r="I653" s="105"/>
      <c r="J653" s="105"/>
      <c r="K653" s="105"/>
      <c r="L653" s="109"/>
      <c r="M653" s="109"/>
      <c r="N653" s="109"/>
      <c r="O653" s="105"/>
      <c r="P653" s="105"/>
      <c r="Q653" s="105"/>
    </row>
    <row r="654">
      <c r="A654" s="5"/>
      <c r="B654" s="105"/>
      <c r="C654" s="105"/>
      <c r="D654" s="105"/>
      <c r="E654" s="105"/>
      <c r="F654" s="105"/>
      <c r="G654" s="106"/>
      <c r="H654" s="105"/>
      <c r="I654" s="105"/>
      <c r="J654" s="105"/>
      <c r="K654" s="105"/>
      <c r="L654" s="109"/>
      <c r="M654" s="109"/>
      <c r="N654" s="109"/>
      <c r="O654" s="105"/>
      <c r="P654" s="105"/>
      <c r="Q654" s="105"/>
    </row>
    <row r="655">
      <c r="A655" s="5"/>
      <c r="B655" s="105"/>
      <c r="C655" s="105"/>
      <c r="D655" s="105"/>
      <c r="E655" s="105"/>
      <c r="F655" s="105"/>
      <c r="G655" s="106"/>
      <c r="H655" s="105"/>
      <c r="I655" s="105"/>
      <c r="J655" s="105"/>
      <c r="K655" s="105"/>
      <c r="L655" s="109"/>
      <c r="M655" s="109"/>
      <c r="N655" s="109"/>
      <c r="O655" s="105"/>
      <c r="P655" s="105"/>
      <c r="Q655" s="105"/>
    </row>
    <row r="656">
      <c r="A656" s="5"/>
      <c r="B656" s="105"/>
      <c r="C656" s="105"/>
      <c r="D656" s="105"/>
      <c r="E656" s="105"/>
      <c r="F656" s="105"/>
      <c r="G656" s="106"/>
      <c r="H656" s="105"/>
      <c r="I656" s="105"/>
      <c r="J656" s="105"/>
      <c r="K656" s="105"/>
      <c r="L656" s="109"/>
      <c r="M656" s="109"/>
      <c r="N656" s="109"/>
      <c r="O656" s="105"/>
      <c r="P656" s="105"/>
      <c r="Q656" s="105"/>
    </row>
    <row r="657">
      <c r="A657" s="5"/>
      <c r="B657" s="105"/>
      <c r="C657" s="105"/>
      <c r="D657" s="105"/>
      <c r="E657" s="105"/>
      <c r="F657" s="105"/>
      <c r="G657" s="106"/>
      <c r="H657" s="105"/>
      <c r="I657" s="105"/>
      <c r="J657" s="105"/>
      <c r="K657" s="105"/>
      <c r="L657" s="109"/>
      <c r="M657" s="109"/>
      <c r="N657" s="109"/>
      <c r="O657" s="105"/>
      <c r="P657" s="105"/>
      <c r="Q657" s="105"/>
    </row>
    <row r="658">
      <c r="A658" s="5"/>
      <c r="B658" s="105"/>
      <c r="C658" s="105"/>
      <c r="D658" s="105"/>
      <c r="E658" s="105"/>
      <c r="F658" s="105"/>
      <c r="G658" s="106"/>
      <c r="H658" s="105"/>
      <c r="I658" s="105"/>
      <c r="J658" s="105"/>
      <c r="K658" s="105"/>
      <c r="L658" s="109"/>
      <c r="M658" s="109"/>
      <c r="N658" s="109"/>
      <c r="O658" s="105"/>
      <c r="P658" s="105"/>
      <c r="Q658" s="105"/>
    </row>
    <row r="659">
      <c r="A659" s="5"/>
      <c r="B659" s="105"/>
      <c r="C659" s="105"/>
      <c r="D659" s="105"/>
      <c r="E659" s="105"/>
      <c r="F659" s="105"/>
      <c r="G659" s="106"/>
      <c r="H659" s="105"/>
      <c r="I659" s="105"/>
      <c r="J659" s="105"/>
      <c r="K659" s="105"/>
      <c r="L659" s="109"/>
      <c r="M659" s="109"/>
      <c r="N659" s="109"/>
      <c r="O659" s="105"/>
      <c r="P659" s="105"/>
      <c r="Q659" s="105"/>
    </row>
    <row r="660">
      <c r="A660" s="5"/>
      <c r="B660" s="105"/>
      <c r="C660" s="105"/>
      <c r="D660" s="105"/>
      <c r="E660" s="105"/>
      <c r="F660" s="105"/>
      <c r="G660" s="106"/>
      <c r="H660" s="105"/>
      <c r="I660" s="105"/>
      <c r="J660" s="105"/>
      <c r="K660" s="105"/>
      <c r="L660" s="109"/>
      <c r="M660" s="109"/>
      <c r="N660" s="109"/>
      <c r="O660" s="105"/>
      <c r="P660" s="105"/>
      <c r="Q660" s="105"/>
    </row>
    <row r="661">
      <c r="A661" s="5"/>
      <c r="B661" s="105"/>
      <c r="C661" s="105"/>
      <c r="D661" s="105"/>
      <c r="E661" s="105"/>
      <c r="F661" s="105"/>
      <c r="G661" s="106"/>
      <c r="H661" s="105"/>
      <c r="I661" s="105"/>
      <c r="J661" s="105"/>
      <c r="K661" s="105"/>
      <c r="L661" s="109"/>
      <c r="M661" s="109"/>
      <c r="N661" s="109"/>
      <c r="O661" s="105"/>
      <c r="P661" s="105"/>
      <c r="Q661" s="105"/>
    </row>
    <row r="662">
      <c r="A662" s="5"/>
      <c r="B662" s="105"/>
      <c r="C662" s="105"/>
      <c r="D662" s="105"/>
      <c r="E662" s="105"/>
      <c r="F662" s="105"/>
      <c r="G662" s="106"/>
      <c r="H662" s="105"/>
      <c r="I662" s="105"/>
      <c r="J662" s="105"/>
      <c r="K662" s="105"/>
      <c r="L662" s="109"/>
      <c r="M662" s="109"/>
      <c r="N662" s="109"/>
      <c r="O662" s="105"/>
      <c r="P662" s="105"/>
      <c r="Q662" s="105"/>
    </row>
    <row r="663">
      <c r="A663" s="5"/>
      <c r="B663" s="105"/>
      <c r="C663" s="105"/>
      <c r="D663" s="105"/>
      <c r="E663" s="105"/>
      <c r="F663" s="105"/>
      <c r="G663" s="106"/>
      <c r="H663" s="105"/>
      <c r="I663" s="105"/>
      <c r="J663" s="105"/>
      <c r="K663" s="105"/>
      <c r="L663" s="109"/>
      <c r="M663" s="109"/>
      <c r="N663" s="109"/>
      <c r="O663" s="105"/>
      <c r="P663" s="105"/>
      <c r="Q663" s="105"/>
    </row>
    <row r="664">
      <c r="A664" s="5"/>
      <c r="B664" s="105"/>
      <c r="C664" s="105"/>
      <c r="D664" s="105"/>
      <c r="E664" s="105"/>
      <c r="F664" s="105"/>
      <c r="G664" s="106"/>
      <c r="H664" s="105"/>
      <c r="I664" s="105"/>
      <c r="J664" s="105"/>
      <c r="K664" s="105"/>
      <c r="L664" s="109"/>
      <c r="M664" s="109"/>
      <c r="N664" s="109"/>
      <c r="O664" s="105"/>
      <c r="P664" s="105"/>
      <c r="Q664" s="105"/>
    </row>
    <row r="665">
      <c r="A665" s="5"/>
      <c r="B665" s="105"/>
      <c r="C665" s="105"/>
      <c r="D665" s="105"/>
      <c r="E665" s="105"/>
      <c r="F665" s="105"/>
      <c r="G665" s="106"/>
      <c r="H665" s="105"/>
      <c r="I665" s="105"/>
      <c r="J665" s="105"/>
      <c r="K665" s="105"/>
      <c r="L665" s="109"/>
      <c r="M665" s="109"/>
      <c r="N665" s="109"/>
      <c r="O665" s="105"/>
      <c r="P665" s="105"/>
      <c r="Q665" s="105"/>
    </row>
    <row r="666">
      <c r="A666" s="5"/>
      <c r="B666" s="105"/>
      <c r="C666" s="105"/>
      <c r="D666" s="105"/>
      <c r="E666" s="105"/>
      <c r="F666" s="105"/>
      <c r="G666" s="106"/>
      <c r="H666" s="105"/>
      <c r="I666" s="105"/>
      <c r="J666" s="105"/>
      <c r="K666" s="105"/>
      <c r="L666" s="109"/>
      <c r="M666" s="109"/>
      <c r="N666" s="109"/>
      <c r="O666" s="105"/>
      <c r="P666" s="105"/>
      <c r="Q666" s="105"/>
    </row>
    <row r="667">
      <c r="A667" s="5"/>
      <c r="B667" s="105"/>
      <c r="C667" s="105"/>
      <c r="D667" s="105"/>
      <c r="E667" s="105"/>
      <c r="F667" s="105"/>
      <c r="G667" s="106"/>
      <c r="H667" s="105"/>
      <c r="I667" s="105"/>
      <c r="J667" s="105"/>
      <c r="K667" s="105"/>
      <c r="L667" s="109"/>
      <c r="M667" s="109"/>
      <c r="N667" s="109"/>
      <c r="O667" s="105"/>
      <c r="P667" s="105"/>
      <c r="Q667" s="105"/>
    </row>
    <row r="668">
      <c r="A668" s="5"/>
      <c r="B668" s="105"/>
      <c r="C668" s="105"/>
      <c r="D668" s="105"/>
      <c r="E668" s="105"/>
      <c r="F668" s="105"/>
      <c r="G668" s="106"/>
      <c r="H668" s="105"/>
      <c r="I668" s="105"/>
      <c r="J668" s="105"/>
      <c r="K668" s="105"/>
      <c r="L668" s="109"/>
      <c r="M668" s="109"/>
      <c r="N668" s="109"/>
      <c r="O668" s="105"/>
      <c r="P668" s="105"/>
      <c r="Q668" s="105"/>
    </row>
    <row r="669">
      <c r="A669" s="5"/>
      <c r="B669" s="105"/>
      <c r="C669" s="105"/>
      <c r="D669" s="105"/>
      <c r="E669" s="105"/>
      <c r="F669" s="105"/>
      <c r="G669" s="106"/>
      <c r="H669" s="105"/>
      <c r="I669" s="105"/>
      <c r="J669" s="105"/>
      <c r="K669" s="105"/>
      <c r="L669" s="109"/>
      <c r="M669" s="109"/>
      <c r="N669" s="109"/>
      <c r="O669" s="105"/>
      <c r="P669" s="105"/>
      <c r="Q669" s="105"/>
    </row>
    <row r="670">
      <c r="A670" s="5"/>
      <c r="B670" s="105"/>
      <c r="C670" s="105"/>
      <c r="D670" s="105"/>
      <c r="E670" s="105"/>
      <c r="F670" s="105"/>
      <c r="G670" s="106"/>
      <c r="H670" s="105"/>
      <c r="I670" s="105"/>
      <c r="J670" s="105"/>
      <c r="K670" s="105"/>
      <c r="L670" s="109"/>
      <c r="M670" s="109"/>
      <c r="N670" s="109"/>
      <c r="O670" s="105"/>
      <c r="P670" s="105"/>
      <c r="Q670" s="105"/>
    </row>
    <row r="671">
      <c r="A671" s="5"/>
      <c r="B671" s="105"/>
      <c r="C671" s="105"/>
      <c r="D671" s="105"/>
      <c r="E671" s="105"/>
      <c r="F671" s="105"/>
      <c r="G671" s="106"/>
      <c r="H671" s="105"/>
      <c r="I671" s="105"/>
      <c r="J671" s="105"/>
      <c r="K671" s="105"/>
      <c r="L671" s="109"/>
      <c r="M671" s="109"/>
      <c r="N671" s="109"/>
      <c r="O671" s="105"/>
      <c r="P671" s="105"/>
      <c r="Q671" s="105"/>
    </row>
    <row r="672">
      <c r="A672" s="5"/>
      <c r="B672" s="105"/>
      <c r="C672" s="105"/>
      <c r="D672" s="105"/>
      <c r="E672" s="105"/>
      <c r="F672" s="105"/>
      <c r="G672" s="106"/>
      <c r="H672" s="105"/>
      <c r="I672" s="105"/>
      <c r="J672" s="105"/>
      <c r="K672" s="105"/>
      <c r="L672" s="109"/>
      <c r="M672" s="109"/>
      <c r="N672" s="109"/>
      <c r="O672" s="105"/>
      <c r="P672" s="105"/>
      <c r="Q672" s="105"/>
    </row>
    <row r="673">
      <c r="A673" s="5"/>
      <c r="B673" s="105"/>
      <c r="C673" s="105"/>
      <c r="D673" s="105"/>
      <c r="E673" s="105"/>
      <c r="F673" s="105"/>
      <c r="G673" s="106"/>
      <c r="H673" s="105"/>
      <c r="I673" s="105"/>
      <c r="J673" s="105"/>
      <c r="K673" s="105"/>
      <c r="L673" s="109"/>
      <c r="M673" s="109"/>
      <c r="N673" s="109"/>
      <c r="O673" s="105"/>
      <c r="P673" s="105"/>
      <c r="Q673" s="105"/>
    </row>
    <row r="674">
      <c r="A674" s="5"/>
      <c r="B674" s="105"/>
      <c r="C674" s="105"/>
      <c r="D674" s="105"/>
      <c r="E674" s="105"/>
      <c r="F674" s="105"/>
      <c r="G674" s="106"/>
      <c r="H674" s="105"/>
      <c r="I674" s="105"/>
      <c r="J674" s="105"/>
      <c r="K674" s="105"/>
      <c r="L674" s="109"/>
      <c r="M674" s="109"/>
      <c r="N674" s="109"/>
      <c r="O674" s="105"/>
      <c r="P674" s="105"/>
      <c r="Q674" s="105"/>
    </row>
    <row r="675">
      <c r="A675" s="5"/>
      <c r="B675" s="105"/>
      <c r="C675" s="105"/>
      <c r="D675" s="105"/>
      <c r="E675" s="105"/>
      <c r="F675" s="105"/>
      <c r="G675" s="106"/>
      <c r="H675" s="105"/>
      <c r="I675" s="105"/>
      <c r="J675" s="105"/>
      <c r="K675" s="105"/>
      <c r="L675" s="109"/>
      <c r="M675" s="109"/>
      <c r="N675" s="109"/>
      <c r="O675" s="105"/>
      <c r="P675" s="105"/>
      <c r="Q675" s="105"/>
    </row>
    <row r="676">
      <c r="A676" s="5"/>
      <c r="B676" s="105"/>
      <c r="C676" s="105"/>
      <c r="D676" s="105"/>
      <c r="E676" s="105"/>
      <c r="F676" s="105"/>
      <c r="G676" s="106"/>
      <c r="H676" s="105"/>
      <c r="I676" s="105"/>
      <c r="J676" s="105"/>
      <c r="K676" s="105"/>
      <c r="L676" s="109"/>
      <c r="M676" s="109"/>
      <c r="N676" s="109"/>
      <c r="O676" s="105"/>
      <c r="P676" s="105"/>
      <c r="Q676" s="105"/>
    </row>
    <row r="677">
      <c r="A677" s="5"/>
      <c r="B677" s="105"/>
      <c r="C677" s="105"/>
      <c r="D677" s="105"/>
      <c r="E677" s="105"/>
      <c r="F677" s="105"/>
      <c r="G677" s="106"/>
      <c r="H677" s="105"/>
      <c r="I677" s="105"/>
      <c r="J677" s="105"/>
      <c r="K677" s="105"/>
      <c r="L677" s="109"/>
      <c r="M677" s="109"/>
      <c r="N677" s="109"/>
      <c r="O677" s="105"/>
      <c r="P677" s="105"/>
      <c r="Q677" s="105"/>
    </row>
    <row r="678">
      <c r="A678" s="5"/>
      <c r="B678" s="105"/>
      <c r="C678" s="105"/>
      <c r="D678" s="105"/>
      <c r="E678" s="105"/>
      <c r="F678" s="105"/>
      <c r="G678" s="106"/>
      <c r="H678" s="105"/>
      <c r="I678" s="105"/>
      <c r="J678" s="105"/>
      <c r="K678" s="105"/>
      <c r="L678" s="109"/>
      <c r="M678" s="109"/>
      <c r="N678" s="109"/>
      <c r="O678" s="105"/>
      <c r="P678" s="105"/>
      <c r="Q678" s="105"/>
    </row>
    <row r="679">
      <c r="A679" s="5"/>
      <c r="B679" s="105"/>
      <c r="C679" s="105"/>
      <c r="D679" s="105"/>
      <c r="E679" s="105"/>
      <c r="F679" s="105"/>
      <c r="G679" s="106"/>
      <c r="H679" s="105"/>
      <c r="I679" s="105"/>
      <c r="J679" s="105"/>
      <c r="K679" s="105"/>
      <c r="L679" s="109"/>
      <c r="M679" s="109"/>
      <c r="N679" s="109"/>
      <c r="O679" s="105"/>
      <c r="P679" s="105"/>
      <c r="Q679" s="105"/>
    </row>
    <row r="680">
      <c r="A680" s="5"/>
      <c r="B680" s="105"/>
      <c r="C680" s="105"/>
      <c r="D680" s="105"/>
      <c r="E680" s="105"/>
      <c r="F680" s="105"/>
      <c r="G680" s="106"/>
      <c r="H680" s="105"/>
      <c r="I680" s="105"/>
      <c r="J680" s="105"/>
      <c r="K680" s="105"/>
      <c r="L680" s="109"/>
      <c r="M680" s="109"/>
      <c r="N680" s="109"/>
      <c r="O680" s="105"/>
      <c r="P680" s="105"/>
      <c r="Q680" s="105"/>
    </row>
    <row r="681">
      <c r="A681" s="5"/>
      <c r="B681" s="105"/>
      <c r="C681" s="105"/>
      <c r="D681" s="105"/>
      <c r="E681" s="105"/>
      <c r="F681" s="105"/>
      <c r="G681" s="106"/>
      <c r="H681" s="105"/>
      <c r="I681" s="105"/>
      <c r="J681" s="105"/>
      <c r="K681" s="105"/>
      <c r="L681" s="109"/>
      <c r="M681" s="109"/>
      <c r="N681" s="109"/>
      <c r="O681" s="105"/>
      <c r="P681" s="105"/>
      <c r="Q681" s="105"/>
    </row>
    <row r="682">
      <c r="A682" s="5"/>
      <c r="B682" s="105"/>
      <c r="C682" s="105"/>
      <c r="D682" s="105"/>
      <c r="E682" s="105"/>
      <c r="F682" s="105"/>
      <c r="G682" s="106"/>
      <c r="H682" s="105"/>
      <c r="I682" s="105"/>
      <c r="J682" s="105"/>
      <c r="K682" s="105"/>
      <c r="L682" s="109"/>
      <c r="M682" s="109"/>
      <c r="N682" s="109"/>
      <c r="O682" s="105"/>
      <c r="P682" s="105"/>
      <c r="Q682" s="105"/>
    </row>
    <row r="683">
      <c r="A683" s="5"/>
      <c r="B683" s="105"/>
      <c r="C683" s="105"/>
      <c r="D683" s="105"/>
      <c r="E683" s="105"/>
      <c r="F683" s="105"/>
      <c r="G683" s="106"/>
      <c r="H683" s="105"/>
      <c r="I683" s="105"/>
      <c r="J683" s="105"/>
      <c r="K683" s="105"/>
      <c r="L683" s="109"/>
      <c r="M683" s="109"/>
      <c r="N683" s="109"/>
      <c r="O683" s="105"/>
      <c r="P683" s="105"/>
      <c r="Q683" s="105"/>
    </row>
    <row r="684">
      <c r="A684" s="5"/>
      <c r="B684" s="105"/>
      <c r="C684" s="105"/>
      <c r="D684" s="105"/>
      <c r="E684" s="105"/>
      <c r="F684" s="105"/>
      <c r="G684" s="106"/>
      <c r="H684" s="105"/>
      <c r="I684" s="105"/>
      <c r="J684" s="105"/>
      <c r="K684" s="105"/>
      <c r="L684" s="109"/>
      <c r="M684" s="109"/>
      <c r="N684" s="109"/>
      <c r="O684" s="105"/>
      <c r="P684" s="105"/>
      <c r="Q684" s="105"/>
    </row>
    <row r="685">
      <c r="A685" s="5"/>
      <c r="B685" s="105"/>
      <c r="C685" s="105"/>
      <c r="D685" s="105"/>
      <c r="E685" s="105"/>
      <c r="F685" s="105"/>
      <c r="G685" s="106"/>
      <c r="H685" s="105"/>
      <c r="I685" s="105"/>
      <c r="J685" s="105"/>
      <c r="K685" s="105"/>
      <c r="L685" s="109"/>
      <c r="M685" s="109"/>
      <c r="N685" s="109"/>
      <c r="O685" s="105"/>
      <c r="P685" s="105"/>
      <c r="Q685" s="105"/>
    </row>
    <row r="686">
      <c r="A686" s="5"/>
      <c r="B686" s="105"/>
      <c r="C686" s="105"/>
      <c r="D686" s="105"/>
      <c r="E686" s="105"/>
      <c r="F686" s="105"/>
      <c r="G686" s="106"/>
      <c r="H686" s="105"/>
      <c r="I686" s="105"/>
      <c r="J686" s="105"/>
      <c r="K686" s="105"/>
      <c r="L686" s="109"/>
      <c r="M686" s="109"/>
      <c r="N686" s="109"/>
      <c r="O686" s="105"/>
      <c r="P686" s="105"/>
      <c r="Q686" s="105"/>
    </row>
    <row r="687">
      <c r="A687" s="5"/>
      <c r="B687" s="105"/>
      <c r="C687" s="105"/>
      <c r="D687" s="105"/>
      <c r="E687" s="105"/>
      <c r="F687" s="105"/>
      <c r="G687" s="106"/>
      <c r="H687" s="105"/>
      <c r="I687" s="105"/>
      <c r="J687" s="105"/>
      <c r="K687" s="105"/>
      <c r="L687" s="109"/>
      <c r="M687" s="109"/>
      <c r="N687" s="109"/>
      <c r="O687" s="105"/>
      <c r="P687" s="105"/>
      <c r="Q687" s="105"/>
    </row>
    <row r="688">
      <c r="A688" s="5"/>
      <c r="B688" s="105"/>
      <c r="C688" s="105"/>
      <c r="D688" s="105"/>
      <c r="E688" s="105"/>
      <c r="F688" s="105"/>
      <c r="G688" s="106"/>
      <c r="H688" s="105"/>
      <c r="I688" s="105"/>
      <c r="J688" s="105"/>
      <c r="K688" s="105"/>
      <c r="L688" s="109"/>
      <c r="M688" s="109"/>
      <c r="N688" s="109"/>
      <c r="O688" s="105"/>
      <c r="P688" s="105"/>
      <c r="Q688" s="105"/>
    </row>
    <row r="689">
      <c r="A689" s="5"/>
      <c r="B689" s="105"/>
      <c r="C689" s="105"/>
      <c r="D689" s="105"/>
      <c r="E689" s="105"/>
      <c r="F689" s="105"/>
      <c r="G689" s="106"/>
      <c r="H689" s="105"/>
      <c r="I689" s="105"/>
      <c r="J689" s="105"/>
      <c r="K689" s="105"/>
      <c r="L689" s="109"/>
      <c r="M689" s="109"/>
      <c r="N689" s="109"/>
      <c r="O689" s="105"/>
      <c r="P689" s="105"/>
      <c r="Q689" s="105"/>
    </row>
    <row r="690">
      <c r="A690" s="5"/>
      <c r="B690" s="105"/>
      <c r="C690" s="105"/>
      <c r="D690" s="105"/>
      <c r="E690" s="105"/>
      <c r="F690" s="105"/>
      <c r="G690" s="106"/>
      <c r="H690" s="105"/>
      <c r="I690" s="105"/>
      <c r="J690" s="105"/>
      <c r="K690" s="105"/>
      <c r="L690" s="109"/>
      <c r="M690" s="109"/>
      <c r="N690" s="109"/>
      <c r="O690" s="105"/>
      <c r="P690" s="105"/>
      <c r="Q690" s="105"/>
    </row>
    <row r="691">
      <c r="A691" s="5"/>
      <c r="B691" s="105"/>
      <c r="C691" s="105"/>
      <c r="D691" s="105"/>
      <c r="E691" s="105"/>
      <c r="F691" s="105"/>
      <c r="G691" s="106"/>
      <c r="H691" s="105"/>
      <c r="I691" s="105"/>
      <c r="J691" s="105"/>
      <c r="K691" s="105"/>
      <c r="L691" s="109"/>
      <c r="M691" s="109"/>
      <c r="N691" s="109"/>
      <c r="O691" s="105"/>
      <c r="P691" s="105"/>
      <c r="Q691" s="105"/>
    </row>
    <row r="692">
      <c r="A692" s="5"/>
      <c r="B692" s="105"/>
      <c r="C692" s="105"/>
      <c r="D692" s="105"/>
      <c r="E692" s="105"/>
      <c r="F692" s="105"/>
      <c r="G692" s="106"/>
      <c r="H692" s="105"/>
      <c r="I692" s="105"/>
      <c r="J692" s="105"/>
      <c r="K692" s="105"/>
      <c r="L692" s="109"/>
      <c r="M692" s="109"/>
      <c r="N692" s="109"/>
      <c r="O692" s="105"/>
      <c r="P692" s="105"/>
      <c r="Q692" s="105"/>
    </row>
    <row r="693">
      <c r="A693" s="5"/>
      <c r="B693" s="105"/>
      <c r="C693" s="105"/>
      <c r="D693" s="105"/>
      <c r="E693" s="105"/>
      <c r="F693" s="105"/>
      <c r="G693" s="106"/>
      <c r="H693" s="105"/>
      <c r="I693" s="105"/>
      <c r="J693" s="105"/>
      <c r="K693" s="105"/>
      <c r="L693" s="109"/>
      <c r="M693" s="109"/>
      <c r="N693" s="109"/>
      <c r="O693" s="105"/>
      <c r="P693" s="105"/>
      <c r="Q693" s="105"/>
    </row>
    <row r="694">
      <c r="A694" s="5"/>
      <c r="B694" s="105"/>
      <c r="C694" s="105"/>
      <c r="D694" s="105"/>
      <c r="E694" s="105"/>
      <c r="F694" s="105"/>
      <c r="G694" s="106"/>
      <c r="H694" s="105"/>
      <c r="I694" s="105"/>
      <c r="J694" s="105"/>
      <c r="K694" s="105"/>
      <c r="L694" s="109"/>
      <c r="M694" s="109"/>
      <c r="N694" s="109"/>
      <c r="O694" s="105"/>
      <c r="P694" s="105"/>
      <c r="Q694" s="105"/>
    </row>
    <row r="695">
      <c r="A695" s="5"/>
      <c r="B695" s="105"/>
      <c r="C695" s="105"/>
      <c r="D695" s="105"/>
      <c r="E695" s="105"/>
      <c r="F695" s="105"/>
      <c r="G695" s="106"/>
      <c r="H695" s="105"/>
      <c r="I695" s="105"/>
      <c r="J695" s="105"/>
      <c r="K695" s="105"/>
      <c r="L695" s="109"/>
      <c r="M695" s="109"/>
      <c r="N695" s="109"/>
      <c r="O695" s="105"/>
      <c r="P695" s="105"/>
      <c r="Q695" s="105"/>
    </row>
    <row r="696">
      <c r="A696" s="5"/>
      <c r="B696" s="105"/>
      <c r="C696" s="105"/>
      <c r="D696" s="105"/>
      <c r="E696" s="105"/>
      <c r="F696" s="105"/>
      <c r="G696" s="106"/>
      <c r="H696" s="105"/>
      <c r="I696" s="105"/>
      <c r="J696" s="105"/>
      <c r="K696" s="105"/>
      <c r="L696" s="109"/>
      <c r="M696" s="109"/>
      <c r="N696" s="109"/>
      <c r="O696" s="105"/>
      <c r="P696" s="105"/>
      <c r="Q696" s="105"/>
    </row>
    <row r="697">
      <c r="A697" s="5"/>
      <c r="B697" s="105"/>
      <c r="C697" s="105"/>
      <c r="D697" s="105"/>
      <c r="E697" s="105"/>
      <c r="F697" s="105"/>
      <c r="G697" s="106"/>
      <c r="H697" s="105"/>
      <c r="I697" s="105"/>
      <c r="J697" s="105"/>
      <c r="K697" s="105"/>
      <c r="L697" s="109"/>
      <c r="M697" s="109"/>
      <c r="N697" s="109"/>
      <c r="O697" s="105"/>
      <c r="P697" s="105"/>
      <c r="Q697" s="105"/>
    </row>
    <row r="698">
      <c r="A698" s="5"/>
      <c r="B698" s="105"/>
      <c r="C698" s="105"/>
      <c r="D698" s="105"/>
      <c r="E698" s="105"/>
      <c r="F698" s="105"/>
      <c r="G698" s="106"/>
      <c r="H698" s="105"/>
      <c r="I698" s="105"/>
      <c r="J698" s="105"/>
      <c r="K698" s="105"/>
      <c r="L698" s="109"/>
      <c r="M698" s="109"/>
      <c r="N698" s="109"/>
      <c r="O698" s="105"/>
      <c r="P698" s="105"/>
      <c r="Q698" s="105"/>
    </row>
    <row r="699">
      <c r="A699" s="5"/>
      <c r="B699" s="105"/>
      <c r="C699" s="105"/>
      <c r="D699" s="105"/>
      <c r="E699" s="105"/>
      <c r="F699" s="105"/>
      <c r="G699" s="106"/>
      <c r="H699" s="105"/>
      <c r="I699" s="105"/>
      <c r="J699" s="105"/>
      <c r="K699" s="105"/>
      <c r="L699" s="109"/>
      <c r="M699" s="109"/>
      <c r="N699" s="109"/>
      <c r="O699" s="105"/>
      <c r="P699" s="105"/>
      <c r="Q699" s="105"/>
    </row>
    <row r="700">
      <c r="A700" s="5"/>
      <c r="B700" s="105"/>
      <c r="C700" s="105"/>
      <c r="D700" s="105"/>
      <c r="E700" s="105"/>
      <c r="F700" s="105"/>
      <c r="G700" s="106"/>
      <c r="H700" s="105"/>
      <c r="I700" s="105"/>
      <c r="J700" s="105"/>
      <c r="K700" s="105"/>
      <c r="L700" s="109"/>
      <c r="M700" s="109"/>
      <c r="N700" s="109"/>
      <c r="O700" s="105"/>
      <c r="P700" s="105"/>
      <c r="Q700" s="105"/>
    </row>
    <row r="701">
      <c r="A701" s="5"/>
      <c r="B701" s="105"/>
      <c r="C701" s="105"/>
      <c r="D701" s="105"/>
      <c r="E701" s="105"/>
      <c r="F701" s="105"/>
      <c r="G701" s="106"/>
      <c r="H701" s="105"/>
      <c r="I701" s="105"/>
      <c r="J701" s="105"/>
      <c r="K701" s="105"/>
      <c r="L701" s="109"/>
      <c r="M701" s="109"/>
      <c r="N701" s="109"/>
      <c r="O701" s="105"/>
      <c r="P701" s="105"/>
      <c r="Q701" s="105"/>
    </row>
    <row r="702">
      <c r="A702" s="5"/>
      <c r="B702" s="105"/>
      <c r="C702" s="105"/>
      <c r="D702" s="105"/>
      <c r="E702" s="105"/>
      <c r="F702" s="105"/>
      <c r="G702" s="106"/>
      <c r="H702" s="105"/>
      <c r="I702" s="105"/>
      <c r="J702" s="105"/>
      <c r="K702" s="105"/>
      <c r="L702" s="109"/>
      <c r="M702" s="109"/>
      <c r="N702" s="109"/>
      <c r="O702" s="105"/>
      <c r="P702" s="105"/>
      <c r="Q702" s="105"/>
    </row>
    <row r="703">
      <c r="A703" s="5"/>
      <c r="B703" s="105"/>
      <c r="C703" s="105"/>
      <c r="D703" s="105"/>
      <c r="E703" s="105"/>
      <c r="F703" s="105"/>
      <c r="G703" s="106"/>
      <c r="H703" s="105"/>
      <c r="I703" s="105"/>
      <c r="J703" s="105"/>
      <c r="K703" s="105"/>
      <c r="L703" s="109"/>
      <c r="M703" s="109"/>
      <c r="N703" s="109"/>
      <c r="O703" s="105"/>
      <c r="P703" s="105"/>
      <c r="Q703" s="105"/>
    </row>
    <row r="704">
      <c r="A704" s="5"/>
      <c r="B704" s="105"/>
      <c r="C704" s="105"/>
      <c r="D704" s="105"/>
      <c r="E704" s="105"/>
      <c r="F704" s="105"/>
      <c r="G704" s="106"/>
      <c r="H704" s="105"/>
      <c r="I704" s="105"/>
      <c r="J704" s="105"/>
      <c r="K704" s="105"/>
      <c r="L704" s="109"/>
      <c r="M704" s="109"/>
      <c r="N704" s="109"/>
      <c r="O704" s="105"/>
      <c r="P704" s="105"/>
      <c r="Q704" s="105"/>
    </row>
    <row r="705">
      <c r="A705" s="5"/>
      <c r="B705" s="105"/>
      <c r="C705" s="105"/>
      <c r="D705" s="105"/>
      <c r="E705" s="105"/>
      <c r="F705" s="105"/>
      <c r="G705" s="106"/>
      <c r="H705" s="105"/>
      <c r="I705" s="105"/>
      <c r="J705" s="105"/>
      <c r="K705" s="105"/>
      <c r="L705" s="109"/>
      <c r="M705" s="109"/>
      <c r="N705" s="109"/>
      <c r="O705" s="105"/>
      <c r="P705" s="105"/>
      <c r="Q705" s="105"/>
    </row>
    <row r="706">
      <c r="A706" s="5"/>
      <c r="B706" s="105"/>
      <c r="C706" s="105"/>
      <c r="D706" s="105"/>
      <c r="E706" s="105"/>
      <c r="F706" s="105"/>
      <c r="G706" s="106"/>
      <c r="H706" s="105"/>
      <c r="I706" s="105"/>
      <c r="J706" s="105"/>
      <c r="K706" s="105"/>
      <c r="L706" s="109"/>
      <c r="M706" s="109"/>
      <c r="N706" s="109"/>
      <c r="O706" s="105"/>
      <c r="P706" s="105"/>
      <c r="Q706" s="105"/>
    </row>
    <row r="707">
      <c r="A707" s="5"/>
      <c r="B707" s="105"/>
      <c r="C707" s="105"/>
      <c r="D707" s="105"/>
      <c r="E707" s="105"/>
      <c r="F707" s="105"/>
      <c r="G707" s="106"/>
      <c r="H707" s="105"/>
      <c r="I707" s="105"/>
      <c r="J707" s="105"/>
      <c r="K707" s="105"/>
      <c r="L707" s="109"/>
      <c r="M707" s="109"/>
      <c r="N707" s="109"/>
      <c r="O707" s="105"/>
      <c r="P707" s="105"/>
      <c r="Q707" s="105"/>
    </row>
    <row r="708">
      <c r="A708" s="5"/>
      <c r="B708" s="105"/>
      <c r="C708" s="105"/>
      <c r="D708" s="105"/>
      <c r="E708" s="105"/>
      <c r="F708" s="105"/>
      <c r="G708" s="106"/>
      <c r="H708" s="105"/>
      <c r="I708" s="105"/>
      <c r="J708" s="105"/>
      <c r="K708" s="105"/>
      <c r="L708" s="109"/>
      <c r="M708" s="109"/>
      <c r="N708" s="109"/>
      <c r="O708" s="105"/>
      <c r="P708" s="105"/>
      <c r="Q708" s="105"/>
    </row>
    <row r="709">
      <c r="A709" s="5"/>
      <c r="B709" s="105"/>
      <c r="C709" s="105"/>
      <c r="D709" s="105"/>
      <c r="E709" s="105"/>
      <c r="F709" s="105"/>
      <c r="G709" s="106"/>
      <c r="H709" s="105"/>
      <c r="I709" s="105"/>
      <c r="J709" s="105"/>
      <c r="K709" s="105"/>
      <c r="L709" s="109"/>
      <c r="M709" s="109"/>
      <c r="N709" s="109"/>
      <c r="O709" s="105"/>
      <c r="P709" s="105"/>
      <c r="Q709" s="105"/>
    </row>
    <row r="710">
      <c r="A710" s="5"/>
      <c r="B710" s="105"/>
      <c r="C710" s="105"/>
      <c r="D710" s="105"/>
      <c r="E710" s="105"/>
      <c r="F710" s="105"/>
      <c r="G710" s="106"/>
      <c r="H710" s="105"/>
      <c r="I710" s="105"/>
      <c r="J710" s="105"/>
      <c r="K710" s="105"/>
      <c r="L710" s="109"/>
      <c r="M710" s="109"/>
      <c r="N710" s="109"/>
      <c r="O710" s="105"/>
      <c r="P710" s="105"/>
      <c r="Q710" s="105"/>
    </row>
    <row r="711">
      <c r="A711" s="5"/>
      <c r="B711" s="105"/>
      <c r="C711" s="105"/>
      <c r="D711" s="105"/>
      <c r="E711" s="105"/>
      <c r="F711" s="105"/>
      <c r="G711" s="106"/>
      <c r="H711" s="105"/>
      <c r="I711" s="105"/>
      <c r="J711" s="105"/>
      <c r="K711" s="105"/>
      <c r="L711" s="109"/>
      <c r="M711" s="109"/>
      <c r="N711" s="109"/>
      <c r="O711" s="105"/>
      <c r="P711" s="105"/>
      <c r="Q711" s="105"/>
    </row>
    <row r="712">
      <c r="A712" s="5"/>
      <c r="B712" s="105"/>
      <c r="C712" s="105"/>
      <c r="D712" s="105"/>
      <c r="E712" s="105"/>
      <c r="F712" s="105"/>
      <c r="G712" s="106"/>
      <c r="H712" s="105"/>
      <c r="I712" s="105"/>
      <c r="J712" s="105"/>
      <c r="K712" s="105"/>
      <c r="L712" s="109"/>
      <c r="M712" s="109"/>
      <c r="N712" s="109"/>
      <c r="O712" s="105"/>
      <c r="P712" s="105"/>
      <c r="Q712" s="105"/>
    </row>
    <row r="713">
      <c r="A713" s="5"/>
      <c r="B713" s="105"/>
      <c r="C713" s="105"/>
      <c r="D713" s="105"/>
      <c r="E713" s="105"/>
      <c r="F713" s="105"/>
      <c r="G713" s="106"/>
      <c r="H713" s="105"/>
      <c r="I713" s="105"/>
      <c r="J713" s="105"/>
      <c r="K713" s="105"/>
      <c r="L713" s="109"/>
      <c r="M713" s="109"/>
      <c r="N713" s="109"/>
      <c r="O713" s="105"/>
      <c r="P713" s="105"/>
      <c r="Q713" s="105"/>
    </row>
    <row r="714">
      <c r="A714" s="5"/>
      <c r="B714" s="105"/>
      <c r="C714" s="105"/>
      <c r="D714" s="105"/>
      <c r="E714" s="105"/>
      <c r="F714" s="105"/>
      <c r="G714" s="106"/>
      <c r="H714" s="105"/>
      <c r="I714" s="105"/>
      <c r="J714" s="105"/>
      <c r="K714" s="105"/>
      <c r="L714" s="109"/>
      <c r="M714" s="109"/>
      <c r="N714" s="109"/>
      <c r="O714" s="105"/>
      <c r="P714" s="105"/>
      <c r="Q714" s="105"/>
    </row>
    <row r="715">
      <c r="A715" s="5"/>
      <c r="B715" s="105"/>
      <c r="C715" s="105"/>
      <c r="D715" s="105"/>
      <c r="E715" s="105"/>
      <c r="F715" s="105"/>
      <c r="G715" s="106"/>
      <c r="H715" s="105"/>
      <c r="I715" s="105"/>
      <c r="J715" s="105"/>
      <c r="K715" s="105"/>
      <c r="L715" s="109"/>
      <c r="M715" s="109"/>
      <c r="N715" s="109"/>
      <c r="O715" s="105"/>
      <c r="P715" s="105"/>
      <c r="Q715" s="105"/>
    </row>
    <row r="716">
      <c r="A716" s="5"/>
      <c r="B716" s="105"/>
      <c r="C716" s="105"/>
      <c r="D716" s="105"/>
      <c r="E716" s="105"/>
      <c r="F716" s="105"/>
      <c r="G716" s="106"/>
      <c r="H716" s="105"/>
      <c r="I716" s="105"/>
      <c r="J716" s="105"/>
      <c r="K716" s="105"/>
      <c r="L716" s="109"/>
      <c r="M716" s="109"/>
      <c r="N716" s="109"/>
      <c r="O716" s="105"/>
      <c r="P716" s="105"/>
      <c r="Q716" s="105"/>
    </row>
    <row r="717">
      <c r="A717" s="5"/>
      <c r="B717" s="105"/>
      <c r="C717" s="105"/>
      <c r="D717" s="105"/>
      <c r="E717" s="105"/>
      <c r="F717" s="105"/>
      <c r="G717" s="106"/>
      <c r="H717" s="105"/>
      <c r="I717" s="105"/>
      <c r="J717" s="105"/>
      <c r="K717" s="105"/>
      <c r="L717" s="109"/>
      <c r="M717" s="109"/>
      <c r="N717" s="109"/>
      <c r="O717" s="105"/>
      <c r="P717" s="105"/>
      <c r="Q717" s="105"/>
    </row>
    <row r="718">
      <c r="A718" s="5"/>
      <c r="B718" s="105"/>
      <c r="C718" s="105"/>
      <c r="D718" s="105"/>
      <c r="E718" s="105"/>
      <c r="F718" s="105"/>
      <c r="G718" s="106"/>
      <c r="H718" s="105"/>
      <c r="I718" s="105"/>
      <c r="J718" s="105"/>
      <c r="K718" s="105"/>
      <c r="L718" s="109"/>
      <c r="M718" s="109"/>
      <c r="N718" s="109"/>
      <c r="O718" s="105"/>
      <c r="P718" s="105"/>
      <c r="Q718" s="105"/>
    </row>
    <row r="719">
      <c r="A719" s="5"/>
      <c r="B719" s="105"/>
      <c r="C719" s="105"/>
      <c r="D719" s="105"/>
      <c r="E719" s="105"/>
      <c r="F719" s="105"/>
      <c r="G719" s="106"/>
      <c r="H719" s="105"/>
      <c r="I719" s="105"/>
      <c r="J719" s="105"/>
      <c r="K719" s="105"/>
      <c r="L719" s="109"/>
      <c r="M719" s="109"/>
      <c r="N719" s="109"/>
      <c r="O719" s="105"/>
      <c r="P719" s="105"/>
      <c r="Q719" s="105"/>
    </row>
    <row r="720">
      <c r="A720" s="5"/>
      <c r="B720" s="105"/>
      <c r="C720" s="105"/>
      <c r="D720" s="105"/>
      <c r="E720" s="105"/>
      <c r="F720" s="105"/>
      <c r="G720" s="106"/>
      <c r="H720" s="105"/>
      <c r="I720" s="105"/>
      <c r="J720" s="105"/>
      <c r="K720" s="105"/>
      <c r="L720" s="109"/>
      <c r="M720" s="109"/>
      <c r="N720" s="109"/>
      <c r="O720" s="105"/>
      <c r="P720" s="105"/>
      <c r="Q720" s="105"/>
    </row>
    <row r="721">
      <c r="A721" s="5"/>
      <c r="B721" s="105"/>
      <c r="C721" s="105"/>
      <c r="D721" s="105"/>
      <c r="E721" s="105"/>
      <c r="F721" s="105"/>
      <c r="G721" s="106"/>
      <c r="H721" s="105"/>
      <c r="I721" s="105"/>
      <c r="J721" s="105"/>
      <c r="K721" s="105"/>
      <c r="L721" s="109"/>
      <c r="M721" s="109"/>
      <c r="N721" s="109"/>
      <c r="O721" s="105"/>
      <c r="P721" s="105"/>
      <c r="Q721" s="105"/>
    </row>
    <row r="722">
      <c r="A722" s="5"/>
      <c r="B722" s="105"/>
      <c r="C722" s="105"/>
      <c r="D722" s="105"/>
      <c r="E722" s="105"/>
      <c r="F722" s="105"/>
      <c r="G722" s="106"/>
      <c r="H722" s="105"/>
      <c r="I722" s="105"/>
      <c r="J722" s="105"/>
      <c r="K722" s="105"/>
      <c r="L722" s="109"/>
      <c r="M722" s="109"/>
      <c r="N722" s="109"/>
      <c r="O722" s="105"/>
      <c r="P722" s="105"/>
      <c r="Q722" s="105"/>
    </row>
    <row r="723">
      <c r="A723" s="5"/>
      <c r="B723" s="105"/>
      <c r="C723" s="105"/>
      <c r="D723" s="105"/>
      <c r="E723" s="105"/>
      <c r="F723" s="105"/>
      <c r="G723" s="106"/>
      <c r="H723" s="105"/>
      <c r="I723" s="105"/>
      <c r="J723" s="105"/>
      <c r="K723" s="105"/>
      <c r="L723" s="109"/>
      <c r="M723" s="109"/>
      <c r="N723" s="109"/>
      <c r="O723" s="105"/>
      <c r="P723" s="105"/>
      <c r="Q723" s="105"/>
    </row>
    <row r="724">
      <c r="A724" s="5"/>
      <c r="B724" s="105"/>
      <c r="C724" s="105"/>
      <c r="D724" s="105"/>
      <c r="E724" s="105"/>
      <c r="F724" s="105"/>
      <c r="G724" s="106"/>
      <c r="H724" s="105"/>
      <c r="I724" s="105"/>
      <c r="J724" s="105"/>
      <c r="K724" s="105"/>
      <c r="L724" s="109"/>
      <c r="M724" s="109"/>
      <c r="N724" s="109"/>
      <c r="O724" s="105"/>
      <c r="P724" s="105"/>
      <c r="Q724" s="105"/>
    </row>
    <row r="725">
      <c r="A725" s="5"/>
      <c r="B725" s="105"/>
      <c r="C725" s="105"/>
      <c r="D725" s="105"/>
      <c r="E725" s="105"/>
      <c r="F725" s="105"/>
      <c r="G725" s="106"/>
      <c r="H725" s="105"/>
      <c r="I725" s="105"/>
      <c r="J725" s="105"/>
      <c r="K725" s="105"/>
      <c r="L725" s="109"/>
      <c r="M725" s="109"/>
      <c r="N725" s="109"/>
      <c r="O725" s="105"/>
      <c r="P725" s="105"/>
      <c r="Q725" s="105"/>
    </row>
    <row r="726">
      <c r="A726" s="5"/>
      <c r="B726" s="105"/>
      <c r="C726" s="105"/>
      <c r="D726" s="105"/>
      <c r="E726" s="105"/>
      <c r="F726" s="105"/>
      <c r="G726" s="106"/>
      <c r="H726" s="105"/>
      <c r="I726" s="105"/>
      <c r="J726" s="105"/>
      <c r="K726" s="105"/>
      <c r="L726" s="109"/>
      <c r="M726" s="109"/>
      <c r="N726" s="109"/>
      <c r="O726" s="105"/>
      <c r="P726" s="105"/>
      <c r="Q726" s="105"/>
    </row>
    <row r="727">
      <c r="A727" s="5"/>
      <c r="B727" s="105"/>
      <c r="C727" s="105"/>
      <c r="D727" s="105"/>
      <c r="E727" s="105"/>
      <c r="F727" s="105"/>
      <c r="G727" s="106"/>
      <c r="H727" s="105"/>
      <c r="I727" s="105"/>
      <c r="J727" s="105"/>
      <c r="K727" s="105"/>
      <c r="L727" s="109"/>
      <c r="M727" s="109"/>
      <c r="N727" s="109"/>
      <c r="O727" s="105"/>
      <c r="P727" s="105"/>
      <c r="Q727" s="105"/>
    </row>
    <row r="728">
      <c r="A728" s="5"/>
      <c r="B728" s="105"/>
      <c r="C728" s="105"/>
      <c r="D728" s="105"/>
      <c r="E728" s="105"/>
      <c r="F728" s="105"/>
      <c r="G728" s="106"/>
      <c r="H728" s="105"/>
      <c r="I728" s="105"/>
      <c r="J728" s="105"/>
      <c r="K728" s="105"/>
      <c r="L728" s="109"/>
      <c r="M728" s="109"/>
      <c r="N728" s="109"/>
      <c r="O728" s="105"/>
      <c r="P728" s="105"/>
      <c r="Q728" s="105"/>
    </row>
    <row r="729">
      <c r="A729" s="5"/>
      <c r="B729" s="105"/>
      <c r="C729" s="105"/>
      <c r="D729" s="105"/>
      <c r="E729" s="105"/>
      <c r="F729" s="105"/>
      <c r="G729" s="106"/>
      <c r="H729" s="105"/>
      <c r="I729" s="105"/>
      <c r="J729" s="105"/>
      <c r="K729" s="105"/>
      <c r="L729" s="109"/>
      <c r="M729" s="109"/>
      <c r="N729" s="109"/>
      <c r="O729" s="105"/>
      <c r="P729" s="105"/>
      <c r="Q729" s="105"/>
    </row>
    <row r="730">
      <c r="A730" s="5"/>
      <c r="B730" s="105"/>
      <c r="C730" s="105"/>
      <c r="D730" s="105"/>
      <c r="E730" s="105"/>
      <c r="F730" s="105"/>
      <c r="G730" s="106"/>
      <c r="H730" s="105"/>
      <c r="I730" s="105"/>
      <c r="J730" s="105"/>
      <c r="K730" s="105"/>
      <c r="L730" s="109"/>
      <c r="M730" s="109"/>
      <c r="N730" s="109"/>
      <c r="O730" s="105"/>
      <c r="P730" s="105"/>
      <c r="Q730" s="105"/>
    </row>
    <row r="731">
      <c r="A731" s="5"/>
      <c r="B731" s="105"/>
      <c r="C731" s="105"/>
      <c r="D731" s="105"/>
      <c r="E731" s="105"/>
      <c r="F731" s="105"/>
      <c r="G731" s="106"/>
      <c r="H731" s="105"/>
      <c r="I731" s="105"/>
      <c r="J731" s="105"/>
      <c r="K731" s="105"/>
      <c r="L731" s="109"/>
      <c r="M731" s="109"/>
      <c r="N731" s="109"/>
      <c r="O731" s="105"/>
      <c r="P731" s="105"/>
      <c r="Q731" s="105"/>
    </row>
    <row r="732">
      <c r="A732" s="5"/>
      <c r="B732" s="105"/>
      <c r="C732" s="105"/>
      <c r="D732" s="105"/>
      <c r="E732" s="105"/>
      <c r="F732" s="105"/>
      <c r="G732" s="106"/>
      <c r="H732" s="105"/>
      <c r="I732" s="105"/>
      <c r="J732" s="105"/>
      <c r="K732" s="105"/>
      <c r="L732" s="109"/>
      <c r="M732" s="109"/>
      <c r="N732" s="109"/>
      <c r="O732" s="105"/>
      <c r="P732" s="105"/>
      <c r="Q732" s="105"/>
    </row>
    <row r="733">
      <c r="A733" s="5"/>
      <c r="B733" s="105"/>
      <c r="C733" s="105"/>
      <c r="D733" s="105"/>
      <c r="E733" s="105"/>
      <c r="F733" s="105"/>
      <c r="G733" s="106"/>
      <c r="H733" s="105"/>
      <c r="I733" s="105"/>
      <c r="J733" s="105"/>
      <c r="K733" s="105"/>
      <c r="L733" s="109"/>
      <c r="M733" s="109"/>
      <c r="N733" s="109"/>
      <c r="O733" s="105"/>
      <c r="P733" s="105"/>
      <c r="Q733" s="105"/>
    </row>
    <row r="734">
      <c r="A734" s="5"/>
      <c r="B734" s="105"/>
      <c r="C734" s="105"/>
      <c r="D734" s="105"/>
      <c r="E734" s="105"/>
      <c r="F734" s="105"/>
      <c r="G734" s="106"/>
      <c r="H734" s="105"/>
      <c r="I734" s="105"/>
      <c r="J734" s="105"/>
      <c r="K734" s="105"/>
      <c r="L734" s="109"/>
      <c r="M734" s="109"/>
      <c r="N734" s="109"/>
      <c r="O734" s="105"/>
      <c r="P734" s="105"/>
      <c r="Q734" s="105"/>
    </row>
    <row r="735">
      <c r="A735" s="5"/>
      <c r="B735" s="105"/>
      <c r="C735" s="105"/>
      <c r="D735" s="105"/>
      <c r="E735" s="105"/>
      <c r="F735" s="105"/>
      <c r="G735" s="106"/>
      <c r="H735" s="105"/>
      <c r="I735" s="105"/>
      <c r="J735" s="105"/>
      <c r="K735" s="105"/>
      <c r="L735" s="109"/>
      <c r="M735" s="109"/>
      <c r="N735" s="109"/>
      <c r="O735" s="105"/>
      <c r="P735" s="105"/>
      <c r="Q735" s="105"/>
    </row>
    <row r="736">
      <c r="A736" s="5"/>
      <c r="B736" s="105"/>
      <c r="C736" s="105"/>
      <c r="D736" s="105"/>
      <c r="E736" s="105"/>
      <c r="F736" s="105"/>
      <c r="G736" s="106"/>
      <c r="H736" s="105"/>
      <c r="I736" s="105"/>
      <c r="J736" s="105"/>
      <c r="K736" s="105"/>
      <c r="L736" s="109"/>
      <c r="M736" s="109"/>
      <c r="N736" s="109"/>
      <c r="O736" s="105"/>
      <c r="P736" s="105"/>
      <c r="Q736" s="105"/>
    </row>
    <row r="737">
      <c r="A737" s="5"/>
      <c r="B737" s="105"/>
      <c r="C737" s="105"/>
      <c r="D737" s="105"/>
      <c r="E737" s="105"/>
      <c r="F737" s="105"/>
      <c r="G737" s="106"/>
      <c r="H737" s="105"/>
      <c r="I737" s="105"/>
      <c r="J737" s="105"/>
      <c r="K737" s="105"/>
      <c r="L737" s="109"/>
      <c r="M737" s="109"/>
      <c r="N737" s="109"/>
      <c r="O737" s="105"/>
      <c r="P737" s="105"/>
      <c r="Q737" s="105"/>
    </row>
    <row r="738">
      <c r="A738" s="5"/>
      <c r="B738" s="105"/>
      <c r="C738" s="105"/>
      <c r="D738" s="105"/>
      <c r="E738" s="105"/>
      <c r="F738" s="105"/>
      <c r="G738" s="106"/>
      <c r="H738" s="105"/>
      <c r="I738" s="105"/>
      <c r="J738" s="105"/>
      <c r="K738" s="105"/>
      <c r="L738" s="109"/>
      <c r="M738" s="109"/>
      <c r="N738" s="109"/>
      <c r="O738" s="105"/>
      <c r="P738" s="105"/>
      <c r="Q738" s="105"/>
    </row>
    <row r="739">
      <c r="A739" s="5"/>
      <c r="B739" s="105"/>
      <c r="C739" s="105"/>
      <c r="D739" s="105"/>
      <c r="E739" s="105"/>
      <c r="F739" s="105"/>
      <c r="G739" s="106"/>
      <c r="H739" s="105"/>
      <c r="I739" s="105"/>
      <c r="J739" s="105"/>
      <c r="K739" s="105"/>
      <c r="L739" s="109"/>
      <c r="M739" s="109"/>
      <c r="N739" s="109"/>
      <c r="O739" s="105"/>
      <c r="P739" s="105"/>
      <c r="Q739" s="105"/>
    </row>
    <row r="740">
      <c r="A740" s="5"/>
      <c r="B740" s="105"/>
      <c r="C740" s="105"/>
      <c r="D740" s="105"/>
      <c r="E740" s="105"/>
      <c r="F740" s="105"/>
      <c r="G740" s="106"/>
      <c r="H740" s="105"/>
      <c r="I740" s="105"/>
      <c r="J740" s="105"/>
      <c r="K740" s="105"/>
      <c r="L740" s="109"/>
      <c r="M740" s="109"/>
      <c r="N740" s="109"/>
      <c r="O740" s="105"/>
      <c r="P740" s="105"/>
      <c r="Q740" s="105"/>
    </row>
    <row r="741">
      <c r="A741" s="5"/>
      <c r="B741" s="105"/>
      <c r="C741" s="105"/>
      <c r="D741" s="105"/>
      <c r="E741" s="105"/>
      <c r="F741" s="105"/>
      <c r="G741" s="106"/>
      <c r="H741" s="105"/>
      <c r="I741" s="105"/>
      <c r="J741" s="105"/>
      <c r="K741" s="105"/>
      <c r="L741" s="109"/>
      <c r="M741" s="109"/>
      <c r="N741" s="109"/>
      <c r="O741" s="105"/>
      <c r="P741" s="105"/>
      <c r="Q741" s="105"/>
    </row>
    <row r="742">
      <c r="A742" s="5"/>
      <c r="B742" s="105"/>
      <c r="C742" s="105"/>
      <c r="D742" s="105"/>
      <c r="E742" s="105"/>
      <c r="F742" s="105"/>
      <c r="G742" s="106"/>
      <c r="H742" s="105"/>
      <c r="I742" s="105"/>
      <c r="J742" s="105"/>
      <c r="K742" s="105"/>
      <c r="L742" s="109"/>
      <c r="M742" s="109"/>
      <c r="N742" s="109"/>
      <c r="O742" s="105"/>
      <c r="P742" s="105"/>
      <c r="Q742" s="105"/>
    </row>
    <row r="743">
      <c r="A743" s="5"/>
      <c r="B743" s="105"/>
      <c r="C743" s="105"/>
      <c r="D743" s="105"/>
      <c r="E743" s="105"/>
      <c r="F743" s="105"/>
      <c r="G743" s="106"/>
      <c r="H743" s="105"/>
      <c r="I743" s="105"/>
      <c r="J743" s="105"/>
      <c r="K743" s="105"/>
      <c r="L743" s="109"/>
      <c r="M743" s="109"/>
      <c r="N743" s="109"/>
      <c r="O743" s="105"/>
      <c r="P743" s="105"/>
      <c r="Q743" s="105"/>
    </row>
    <row r="744">
      <c r="A744" s="5"/>
      <c r="B744" s="105"/>
      <c r="C744" s="105"/>
      <c r="D744" s="105"/>
      <c r="E744" s="105"/>
      <c r="F744" s="105"/>
      <c r="G744" s="106"/>
      <c r="H744" s="105"/>
      <c r="I744" s="105"/>
      <c r="J744" s="105"/>
      <c r="K744" s="105"/>
      <c r="L744" s="109"/>
      <c r="M744" s="109"/>
      <c r="N744" s="109"/>
      <c r="O744" s="105"/>
      <c r="P744" s="105"/>
      <c r="Q744" s="105"/>
    </row>
    <row r="745">
      <c r="A745" s="5"/>
      <c r="B745" s="105"/>
      <c r="C745" s="105"/>
      <c r="D745" s="105"/>
      <c r="E745" s="105"/>
      <c r="F745" s="105"/>
      <c r="G745" s="106"/>
      <c r="H745" s="105"/>
      <c r="I745" s="105"/>
      <c r="J745" s="105"/>
      <c r="K745" s="105"/>
      <c r="L745" s="109"/>
      <c r="M745" s="109"/>
      <c r="N745" s="109"/>
      <c r="O745" s="105"/>
      <c r="P745" s="105"/>
      <c r="Q745" s="105"/>
    </row>
    <row r="746">
      <c r="A746" s="5"/>
      <c r="B746" s="105"/>
      <c r="C746" s="105"/>
      <c r="D746" s="105"/>
      <c r="E746" s="105"/>
      <c r="F746" s="105"/>
      <c r="G746" s="106"/>
      <c r="H746" s="105"/>
      <c r="I746" s="105"/>
      <c r="J746" s="105"/>
      <c r="K746" s="105"/>
      <c r="L746" s="109"/>
      <c r="M746" s="109"/>
      <c r="N746" s="109"/>
      <c r="O746" s="105"/>
      <c r="P746" s="105"/>
      <c r="Q746" s="105"/>
    </row>
    <row r="747">
      <c r="A747" s="5"/>
      <c r="B747" s="105"/>
      <c r="C747" s="105"/>
      <c r="D747" s="105"/>
      <c r="E747" s="105"/>
      <c r="F747" s="105"/>
      <c r="G747" s="106"/>
      <c r="H747" s="105"/>
      <c r="I747" s="105"/>
      <c r="J747" s="105"/>
      <c r="K747" s="105"/>
      <c r="L747" s="109"/>
      <c r="M747" s="109"/>
      <c r="N747" s="109"/>
      <c r="O747" s="105"/>
      <c r="P747" s="105"/>
      <c r="Q747" s="105"/>
    </row>
    <row r="748">
      <c r="A748" s="5"/>
      <c r="B748" s="105"/>
      <c r="C748" s="105"/>
      <c r="D748" s="105"/>
      <c r="E748" s="105"/>
      <c r="F748" s="105"/>
      <c r="G748" s="106"/>
      <c r="H748" s="105"/>
      <c r="I748" s="105"/>
      <c r="J748" s="105"/>
      <c r="K748" s="105"/>
      <c r="L748" s="109"/>
      <c r="M748" s="109"/>
      <c r="N748" s="109"/>
      <c r="O748" s="105"/>
      <c r="P748" s="105"/>
      <c r="Q748" s="105"/>
    </row>
    <row r="749">
      <c r="A749" s="5"/>
      <c r="B749" s="105"/>
      <c r="C749" s="105"/>
      <c r="D749" s="105"/>
      <c r="E749" s="105"/>
      <c r="F749" s="105"/>
      <c r="G749" s="106"/>
      <c r="H749" s="105"/>
      <c r="I749" s="105"/>
      <c r="J749" s="105"/>
      <c r="K749" s="105"/>
      <c r="L749" s="109"/>
      <c r="M749" s="109"/>
      <c r="N749" s="109"/>
      <c r="O749" s="105"/>
      <c r="P749" s="105"/>
      <c r="Q749" s="105"/>
    </row>
    <row r="750">
      <c r="A750" s="5"/>
      <c r="B750" s="105"/>
      <c r="C750" s="105"/>
      <c r="D750" s="105"/>
      <c r="E750" s="105"/>
      <c r="F750" s="105"/>
      <c r="G750" s="106"/>
      <c r="H750" s="105"/>
      <c r="I750" s="105"/>
      <c r="J750" s="105"/>
      <c r="K750" s="105"/>
      <c r="L750" s="109"/>
      <c r="M750" s="109"/>
      <c r="N750" s="109"/>
      <c r="O750" s="105"/>
      <c r="P750" s="105"/>
      <c r="Q750" s="105"/>
    </row>
    <row r="751">
      <c r="A751" s="5"/>
      <c r="B751" s="105"/>
      <c r="C751" s="105"/>
      <c r="D751" s="105"/>
      <c r="E751" s="105"/>
      <c r="F751" s="105"/>
      <c r="G751" s="106"/>
      <c r="H751" s="105"/>
      <c r="I751" s="105"/>
      <c r="J751" s="105"/>
      <c r="K751" s="105"/>
      <c r="L751" s="109"/>
      <c r="M751" s="109"/>
      <c r="N751" s="109"/>
      <c r="O751" s="105"/>
      <c r="P751" s="105"/>
      <c r="Q751" s="105"/>
    </row>
    <row r="752">
      <c r="A752" s="5"/>
      <c r="B752" s="105"/>
      <c r="C752" s="105"/>
      <c r="D752" s="105"/>
      <c r="E752" s="105"/>
      <c r="F752" s="105"/>
      <c r="G752" s="106"/>
      <c r="H752" s="105"/>
      <c r="I752" s="105"/>
      <c r="J752" s="105"/>
      <c r="K752" s="105"/>
      <c r="L752" s="109"/>
      <c r="M752" s="109"/>
      <c r="N752" s="109"/>
      <c r="O752" s="105"/>
      <c r="P752" s="105"/>
      <c r="Q752" s="105"/>
    </row>
    <row r="753">
      <c r="A753" s="5"/>
      <c r="B753" s="105"/>
      <c r="C753" s="105"/>
      <c r="D753" s="105"/>
      <c r="E753" s="105"/>
      <c r="F753" s="105"/>
      <c r="G753" s="106"/>
      <c r="H753" s="105"/>
      <c r="I753" s="105"/>
      <c r="J753" s="105"/>
      <c r="K753" s="105"/>
      <c r="L753" s="109"/>
      <c r="M753" s="109"/>
      <c r="N753" s="109"/>
      <c r="O753" s="105"/>
      <c r="P753" s="105"/>
      <c r="Q753" s="105"/>
    </row>
    <row r="754">
      <c r="A754" s="5"/>
      <c r="B754" s="105"/>
      <c r="C754" s="105"/>
      <c r="D754" s="105"/>
      <c r="E754" s="105"/>
      <c r="F754" s="105"/>
      <c r="G754" s="106"/>
      <c r="H754" s="105"/>
      <c r="I754" s="105"/>
      <c r="J754" s="105"/>
      <c r="K754" s="105"/>
      <c r="L754" s="109"/>
      <c r="M754" s="109"/>
      <c r="N754" s="109"/>
      <c r="O754" s="105"/>
      <c r="P754" s="105"/>
      <c r="Q754" s="105"/>
    </row>
    <row r="755">
      <c r="A755" s="5"/>
      <c r="B755" s="105"/>
      <c r="C755" s="105"/>
      <c r="D755" s="105"/>
      <c r="E755" s="105"/>
      <c r="F755" s="105"/>
      <c r="G755" s="106"/>
      <c r="H755" s="105"/>
      <c r="I755" s="105"/>
      <c r="J755" s="105"/>
      <c r="K755" s="105"/>
      <c r="L755" s="109"/>
      <c r="M755" s="109"/>
      <c r="N755" s="109"/>
      <c r="O755" s="105"/>
      <c r="P755" s="105"/>
      <c r="Q755" s="105"/>
    </row>
    <row r="756">
      <c r="A756" s="5"/>
      <c r="B756" s="105"/>
      <c r="C756" s="105"/>
      <c r="D756" s="105"/>
      <c r="E756" s="105"/>
      <c r="F756" s="105"/>
      <c r="G756" s="106"/>
      <c r="H756" s="105"/>
      <c r="I756" s="105"/>
      <c r="J756" s="105"/>
      <c r="K756" s="105"/>
      <c r="L756" s="109"/>
      <c r="M756" s="109"/>
      <c r="N756" s="109"/>
      <c r="O756" s="105"/>
      <c r="P756" s="105"/>
      <c r="Q756" s="105"/>
    </row>
    <row r="757">
      <c r="A757" s="5"/>
      <c r="B757" s="105"/>
      <c r="C757" s="105"/>
      <c r="D757" s="105"/>
      <c r="E757" s="105"/>
      <c r="F757" s="105"/>
      <c r="G757" s="106"/>
      <c r="H757" s="105"/>
      <c r="I757" s="105"/>
      <c r="J757" s="105"/>
      <c r="K757" s="105"/>
      <c r="L757" s="109"/>
      <c r="M757" s="109"/>
      <c r="N757" s="109"/>
      <c r="O757" s="105"/>
      <c r="P757" s="105"/>
      <c r="Q757" s="105"/>
    </row>
    <row r="758">
      <c r="A758" s="5"/>
      <c r="B758" s="105"/>
      <c r="C758" s="105"/>
      <c r="D758" s="105"/>
      <c r="E758" s="105"/>
      <c r="F758" s="105"/>
      <c r="G758" s="106"/>
      <c r="H758" s="105"/>
      <c r="I758" s="105"/>
      <c r="J758" s="105"/>
      <c r="K758" s="105"/>
      <c r="L758" s="109"/>
      <c r="M758" s="109"/>
      <c r="N758" s="109"/>
      <c r="O758" s="105"/>
      <c r="P758" s="105"/>
      <c r="Q758" s="105"/>
    </row>
    <row r="759">
      <c r="A759" s="5"/>
      <c r="B759" s="105"/>
      <c r="C759" s="105"/>
      <c r="D759" s="105"/>
      <c r="E759" s="105"/>
      <c r="F759" s="105"/>
      <c r="G759" s="106"/>
      <c r="H759" s="105"/>
      <c r="I759" s="105"/>
      <c r="J759" s="105"/>
      <c r="K759" s="105"/>
      <c r="L759" s="109"/>
      <c r="M759" s="109"/>
      <c r="N759" s="109"/>
      <c r="O759" s="105"/>
      <c r="P759" s="105"/>
      <c r="Q759" s="105"/>
    </row>
    <row r="760">
      <c r="A760" s="5"/>
      <c r="B760" s="105"/>
      <c r="C760" s="105"/>
      <c r="D760" s="105"/>
      <c r="E760" s="105"/>
      <c r="F760" s="105"/>
      <c r="G760" s="106"/>
      <c r="H760" s="105"/>
      <c r="I760" s="105"/>
      <c r="J760" s="105"/>
      <c r="K760" s="105"/>
      <c r="L760" s="109"/>
      <c r="M760" s="109"/>
      <c r="N760" s="109"/>
      <c r="O760" s="105"/>
      <c r="P760" s="105"/>
      <c r="Q760" s="105"/>
    </row>
    <row r="761">
      <c r="A761" s="5"/>
      <c r="B761" s="105"/>
      <c r="C761" s="105"/>
      <c r="D761" s="105"/>
      <c r="E761" s="105"/>
      <c r="F761" s="105"/>
      <c r="G761" s="106"/>
      <c r="H761" s="105"/>
      <c r="I761" s="105"/>
      <c r="J761" s="105"/>
      <c r="K761" s="105"/>
      <c r="L761" s="109"/>
      <c r="M761" s="109"/>
      <c r="N761" s="109"/>
      <c r="O761" s="105"/>
      <c r="P761" s="105"/>
      <c r="Q761" s="105"/>
    </row>
    <row r="762">
      <c r="A762" s="5"/>
      <c r="B762" s="105"/>
      <c r="C762" s="105"/>
      <c r="D762" s="105"/>
      <c r="E762" s="105"/>
      <c r="F762" s="105"/>
      <c r="G762" s="106"/>
      <c r="H762" s="105"/>
      <c r="I762" s="105"/>
      <c r="J762" s="105"/>
      <c r="K762" s="105"/>
      <c r="L762" s="109"/>
      <c r="M762" s="109"/>
      <c r="N762" s="109"/>
      <c r="O762" s="105"/>
      <c r="P762" s="105"/>
      <c r="Q762" s="105"/>
    </row>
    <row r="763">
      <c r="A763" s="5"/>
      <c r="B763" s="105"/>
      <c r="C763" s="105"/>
      <c r="D763" s="105"/>
      <c r="E763" s="105"/>
      <c r="F763" s="105"/>
      <c r="G763" s="106"/>
      <c r="H763" s="105"/>
      <c r="I763" s="105"/>
      <c r="J763" s="105"/>
      <c r="K763" s="105"/>
      <c r="L763" s="109"/>
      <c r="M763" s="109"/>
      <c r="N763" s="109"/>
      <c r="O763" s="105"/>
      <c r="P763" s="105"/>
      <c r="Q763" s="105"/>
    </row>
    <row r="764">
      <c r="A764" s="5"/>
      <c r="B764" s="105"/>
      <c r="C764" s="105"/>
      <c r="D764" s="105"/>
      <c r="E764" s="105"/>
      <c r="F764" s="105"/>
      <c r="G764" s="106"/>
      <c r="H764" s="105"/>
      <c r="I764" s="105"/>
      <c r="J764" s="105"/>
      <c r="K764" s="105"/>
      <c r="L764" s="109"/>
      <c r="M764" s="109"/>
      <c r="N764" s="109"/>
      <c r="O764" s="105"/>
      <c r="P764" s="105"/>
      <c r="Q764" s="105"/>
    </row>
    <row r="765">
      <c r="A765" s="5"/>
      <c r="B765" s="105"/>
      <c r="C765" s="105"/>
      <c r="D765" s="105"/>
      <c r="E765" s="105"/>
      <c r="F765" s="105"/>
      <c r="G765" s="106"/>
      <c r="H765" s="105"/>
      <c r="I765" s="105"/>
      <c r="J765" s="105"/>
      <c r="K765" s="105"/>
      <c r="L765" s="109"/>
      <c r="M765" s="109"/>
      <c r="N765" s="109"/>
      <c r="O765" s="105"/>
      <c r="P765" s="105"/>
      <c r="Q765" s="105"/>
    </row>
    <row r="766">
      <c r="A766" s="5"/>
      <c r="B766" s="105"/>
      <c r="C766" s="105"/>
      <c r="D766" s="105"/>
      <c r="E766" s="105"/>
      <c r="F766" s="105"/>
      <c r="G766" s="106"/>
      <c r="H766" s="105"/>
      <c r="I766" s="105"/>
      <c r="J766" s="105"/>
      <c r="K766" s="105"/>
      <c r="L766" s="109"/>
      <c r="M766" s="109"/>
      <c r="N766" s="109"/>
      <c r="O766" s="105"/>
      <c r="P766" s="105"/>
      <c r="Q766" s="105"/>
    </row>
    <row r="767">
      <c r="A767" s="5"/>
      <c r="B767" s="105"/>
      <c r="C767" s="105"/>
      <c r="D767" s="105"/>
      <c r="E767" s="105"/>
      <c r="F767" s="105"/>
      <c r="G767" s="106"/>
      <c r="H767" s="105"/>
      <c r="I767" s="105"/>
      <c r="J767" s="105"/>
      <c r="K767" s="105"/>
      <c r="L767" s="109"/>
      <c r="M767" s="109"/>
      <c r="N767" s="109"/>
      <c r="O767" s="105"/>
      <c r="P767" s="105"/>
      <c r="Q767" s="105"/>
    </row>
    <row r="768">
      <c r="A768" s="5"/>
      <c r="B768" s="105"/>
      <c r="C768" s="105"/>
      <c r="D768" s="105"/>
      <c r="E768" s="105"/>
      <c r="F768" s="105"/>
      <c r="G768" s="106"/>
      <c r="H768" s="105"/>
      <c r="I768" s="105"/>
      <c r="J768" s="105"/>
      <c r="K768" s="105"/>
      <c r="L768" s="109"/>
      <c r="M768" s="109"/>
      <c r="N768" s="109"/>
      <c r="O768" s="105"/>
      <c r="P768" s="105"/>
      <c r="Q768" s="105"/>
    </row>
    <row r="769">
      <c r="A769" s="5"/>
      <c r="B769" s="105"/>
      <c r="C769" s="105"/>
      <c r="D769" s="105"/>
      <c r="E769" s="105"/>
      <c r="F769" s="105"/>
      <c r="G769" s="106"/>
      <c r="H769" s="105"/>
      <c r="I769" s="105"/>
      <c r="J769" s="105"/>
      <c r="K769" s="105"/>
      <c r="L769" s="109"/>
      <c r="M769" s="109"/>
      <c r="N769" s="109"/>
      <c r="O769" s="105"/>
      <c r="P769" s="105"/>
      <c r="Q769" s="105"/>
    </row>
    <row r="770">
      <c r="A770" s="5"/>
      <c r="B770" s="105"/>
      <c r="C770" s="105"/>
      <c r="D770" s="105"/>
      <c r="E770" s="105"/>
      <c r="F770" s="105"/>
      <c r="G770" s="106"/>
      <c r="H770" s="105"/>
      <c r="I770" s="105"/>
      <c r="J770" s="105"/>
      <c r="K770" s="105"/>
      <c r="L770" s="109"/>
      <c r="M770" s="109"/>
      <c r="N770" s="109"/>
      <c r="O770" s="105"/>
      <c r="P770" s="105"/>
      <c r="Q770" s="105"/>
    </row>
    <row r="771">
      <c r="A771" s="5"/>
      <c r="B771" s="105"/>
      <c r="C771" s="105"/>
      <c r="D771" s="105"/>
      <c r="E771" s="105"/>
      <c r="F771" s="105"/>
      <c r="G771" s="106"/>
      <c r="H771" s="105"/>
      <c r="I771" s="105"/>
      <c r="J771" s="105"/>
      <c r="K771" s="105"/>
      <c r="L771" s="109"/>
      <c r="M771" s="109"/>
      <c r="N771" s="109"/>
      <c r="O771" s="105"/>
      <c r="P771" s="105"/>
      <c r="Q771" s="105"/>
    </row>
    <row r="772">
      <c r="A772" s="5"/>
      <c r="B772" s="105"/>
      <c r="C772" s="105"/>
      <c r="D772" s="105"/>
      <c r="E772" s="105"/>
      <c r="F772" s="105"/>
      <c r="G772" s="106"/>
      <c r="H772" s="105"/>
      <c r="I772" s="105"/>
      <c r="J772" s="105"/>
      <c r="K772" s="105"/>
      <c r="L772" s="109"/>
      <c r="M772" s="109"/>
      <c r="N772" s="109"/>
      <c r="O772" s="105"/>
      <c r="P772" s="105"/>
      <c r="Q772" s="105"/>
    </row>
    <row r="773">
      <c r="A773" s="5"/>
      <c r="B773" s="105"/>
      <c r="C773" s="105"/>
      <c r="D773" s="105"/>
      <c r="E773" s="105"/>
      <c r="F773" s="105"/>
      <c r="G773" s="106"/>
      <c r="H773" s="105"/>
      <c r="I773" s="105"/>
      <c r="J773" s="105"/>
      <c r="K773" s="105"/>
      <c r="L773" s="109"/>
      <c r="M773" s="109"/>
      <c r="N773" s="109"/>
      <c r="O773" s="105"/>
      <c r="P773" s="105"/>
      <c r="Q773" s="105"/>
    </row>
    <row r="774">
      <c r="A774" s="5"/>
      <c r="B774" s="105"/>
      <c r="C774" s="105"/>
      <c r="D774" s="105"/>
      <c r="E774" s="105"/>
      <c r="F774" s="105"/>
      <c r="G774" s="106"/>
      <c r="H774" s="105"/>
      <c r="I774" s="105"/>
      <c r="J774" s="105"/>
      <c r="K774" s="105"/>
      <c r="L774" s="109"/>
      <c r="M774" s="109"/>
      <c r="N774" s="109"/>
      <c r="O774" s="105"/>
      <c r="P774" s="105"/>
      <c r="Q774" s="105"/>
    </row>
    <row r="775">
      <c r="A775" s="5"/>
      <c r="B775" s="105"/>
      <c r="C775" s="105"/>
      <c r="D775" s="105"/>
      <c r="E775" s="105"/>
      <c r="F775" s="105"/>
      <c r="G775" s="106"/>
      <c r="H775" s="105"/>
      <c r="I775" s="105"/>
      <c r="J775" s="105"/>
      <c r="K775" s="105"/>
      <c r="L775" s="109"/>
      <c r="M775" s="109"/>
      <c r="N775" s="109"/>
      <c r="O775" s="105"/>
      <c r="P775" s="105"/>
      <c r="Q775" s="105"/>
    </row>
    <row r="776">
      <c r="A776" s="5"/>
      <c r="B776" s="105"/>
      <c r="C776" s="105"/>
      <c r="D776" s="105"/>
      <c r="E776" s="105"/>
      <c r="F776" s="105"/>
      <c r="G776" s="106"/>
      <c r="H776" s="105"/>
      <c r="I776" s="105"/>
      <c r="J776" s="105"/>
      <c r="K776" s="105"/>
      <c r="L776" s="109"/>
      <c r="M776" s="109"/>
      <c r="N776" s="109"/>
      <c r="O776" s="105"/>
      <c r="P776" s="105"/>
      <c r="Q776" s="105"/>
    </row>
    <row r="777">
      <c r="A777" s="5"/>
      <c r="B777" s="105"/>
      <c r="C777" s="105"/>
      <c r="D777" s="105"/>
      <c r="E777" s="105"/>
      <c r="F777" s="105"/>
      <c r="G777" s="106"/>
      <c r="H777" s="105"/>
      <c r="I777" s="105"/>
      <c r="J777" s="105"/>
      <c r="K777" s="105"/>
      <c r="L777" s="109"/>
      <c r="M777" s="109"/>
      <c r="N777" s="109"/>
      <c r="O777" s="105"/>
      <c r="P777" s="105"/>
      <c r="Q777" s="105"/>
    </row>
    <row r="778">
      <c r="A778" s="5"/>
      <c r="B778" s="105"/>
      <c r="C778" s="105"/>
      <c r="D778" s="105"/>
      <c r="E778" s="105"/>
      <c r="F778" s="105"/>
      <c r="G778" s="106"/>
      <c r="H778" s="105"/>
      <c r="I778" s="105"/>
      <c r="J778" s="105"/>
      <c r="K778" s="105"/>
      <c r="L778" s="109"/>
      <c r="M778" s="109"/>
      <c r="N778" s="109"/>
      <c r="O778" s="105"/>
      <c r="P778" s="105"/>
      <c r="Q778" s="105"/>
    </row>
    <row r="779">
      <c r="A779" s="5"/>
      <c r="B779" s="105"/>
      <c r="C779" s="105"/>
      <c r="D779" s="105"/>
      <c r="E779" s="105"/>
      <c r="F779" s="105"/>
      <c r="G779" s="106"/>
      <c r="H779" s="105"/>
      <c r="I779" s="105"/>
      <c r="J779" s="105"/>
      <c r="K779" s="105"/>
      <c r="L779" s="109"/>
      <c r="M779" s="109"/>
      <c r="N779" s="109"/>
      <c r="O779" s="105"/>
      <c r="P779" s="105"/>
      <c r="Q779" s="105"/>
    </row>
    <row r="780">
      <c r="A780" s="5"/>
      <c r="B780" s="105"/>
      <c r="C780" s="105"/>
      <c r="D780" s="105"/>
      <c r="E780" s="105"/>
      <c r="F780" s="105"/>
      <c r="G780" s="106"/>
      <c r="H780" s="105"/>
      <c r="I780" s="105"/>
      <c r="J780" s="105"/>
      <c r="K780" s="105"/>
      <c r="L780" s="109"/>
      <c r="M780" s="109"/>
      <c r="N780" s="109"/>
      <c r="O780" s="105"/>
      <c r="P780" s="105"/>
      <c r="Q780" s="105"/>
    </row>
    <row r="781">
      <c r="A781" s="5"/>
      <c r="B781" s="105"/>
      <c r="C781" s="105"/>
      <c r="D781" s="105"/>
      <c r="E781" s="105"/>
      <c r="F781" s="105"/>
      <c r="G781" s="106"/>
      <c r="H781" s="105"/>
      <c r="I781" s="105"/>
      <c r="J781" s="105"/>
      <c r="K781" s="105"/>
      <c r="L781" s="109"/>
      <c r="M781" s="109"/>
      <c r="N781" s="109"/>
      <c r="O781" s="105"/>
      <c r="P781" s="105"/>
      <c r="Q781" s="105"/>
    </row>
    <row r="782">
      <c r="A782" s="5"/>
      <c r="B782" s="105"/>
      <c r="C782" s="105"/>
      <c r="D782" s="105"/>
      <c r="E782" s="105"/>
      <c r="F782" s="105"/>
      <c r="G782" s="106"/>
      <c r="H782" s="105"/>
      <c r="I782" s="105"/>
      <c r="J782" s="105"/>
      <c r="K782" s="105"/>
      <c r="L782" s="109"/>
      <c r="M782" s="109"/>
      <c r="N782" s="109"/>
      <c r="O782" s="105"/>
      <c r="P782" s="105"/>
      <c r="Q782" s="105"/>
    </row>
    <row r="783">
      <c r="A783" s="5"/>
      <c r="B783" s="105"/>
      <c r="C783" s="105"/>
      <c r="D783" s="105"/>
      <c r="E783" s="105"/>
      <c r="F783" s="105"/>
      <c r="G783" s="106"/>
      <c r="H783" s="105"/>
      <c r="I783" s="105"/>
      <c r="J783" s="105"/>
      <c r="K783" s="105"/>
      <c r="L783" s="109"/>
      <c r="M783" s="109"/>
      <c r="N783" s="109"/>
      <c r="O783" s="105"/>
      <c r="P783" s="105"/>
      <c r="Q783" s="105"/>
    </row>
    <row r="784">
      <c r="A784" s="5"/>
      <c r="B784" s="105"/>
      <c r="C784" s="105"/>
      <c r="D784" s="105"/>
      <c r="E784" s="105"/>
      <c r="F784" s="105"/>
      <c r="G784" s="106"/>
      <c r="H784" s="105"/>
      <c r="I784" s="105"/>
      <c r="J784" s="105"/>
      <c r="K784" s="105"/>
      <c r="L784" s="109"/>
      <c r="M784" s="109"/>
      <c r="N784" s="109"/>
      <c r="O784" s="105"/>
      <c r="P784" s="105"/>
      <c r="Q784" s="105"/>
    </row>
    <row r="785">
      <c r="A785" s="5"/>
      <c r="B785" s="105"/>
      <c r="C785" s="105"/>
      <c r="D785" s="105"/>
      <c r="E785" s="105"/>
      <c r="F785" s="105"/>
      <c r="G785" s="106"/>
      <c r="H785" s="105"/>
      <c r="I785" s="105"/>
      <c r="J785" s="105"/>
      <c r="K785" s="105"/>
      <c r="L785" s="109"/>
      <c r="M785" s="109"/>
      <c r="N785" s="109"/>
      <c r="O785" s="105"/>
      <c r="P785" s="105"/>
      <c r="Q785" s="105"/>
    </row>
    <row r="786">
      <c r="A786" s="5"/>
      <c r="B786" s="105"/>
      <c r="C786" s="105"/>
      <c r="D786" s="105"/>
      <c r="E786" s="105"/>
      <c r="F786" s="105"/>
      <c r="G786" s="106"/>
      <c r="H786" s="105"/>
      <c r="I786" s="105"/>
      <c r="J786" s="105"/>
      <c r="K786" s="105"/>
      <c r="L786" s="109"/>
      <c r="M786" s="109"/>
      <c r="N786" s="109"/>
      <c r="O786" s="105"/>
      <c r="P786" s="105"/>
      <c r="Q786" s="105"/>
    </row>
    <row r="787">
      <c r="A787" s="5"/>
      <c r="B787" s="105"/>
      <c r="C787" s="105"/>
      <c r="D787" s="105"/>
      <c r="E787" s="105"/>
      <c r="F787" s="105"/>
      <c r="G787" s="106"/>
      <c r="H787" s="105"/>
      <c r="I787" s="105"/>
      <c r="J787" s="105"/>
      <c r="K787" s="105"/>
      <c r="L787" s="109"/>
      <c r="M787" s="109"/>
      <c r="N787" s="109"/>
      <c r="O787" s="105"/>
      <c r="P787" s="105"/>
      <c r="Q787" s="105"/>
    </row>
    <row r="788">
      <c r="A788" s="5"/>
      <c r="B788" s="105"/>
      <c r="C788" s="105"/>
      <c r="D788" s="105"/>
      <c r="E788" s="105"/>
      <c r="F788" s="105"/>
      <c r="G788" s="106"/>
      <c r="H788" s="105"/>
      <c r="I788" s="105"/>
      <c r="J788" s="105"/>
      <c r="K788" s="105"/>
      <c r="L788" s="109"/>
      <c r="M788" s="109"/>
      <c r="N788" s="109"/>
      <c r="O788" s="105"/>
      <c r="P788" s="105"/>
      <c r="Q788" s="105"/>
    </row>
    <row r="789">
      <c r="A789" s="5"/>
      <c r="B789" s="105"/>
      <c r="C789" s="105"/>
      <c r="D789" s="105"/>
      <c r="E789" s="105"/>
      <c r="F789" s="105"/>
      <c r="G789" s="106"/>
      <c r="H789" s="105"/>
      <c r="I789" s="105"/>
      <c r="J789" s="105"/>
      <c r="K789" s="105"/>
      <c r="L789" s="109"/>
      <c r="M789" s="109"/>
      <c r="N789" s="109"/>
      <c r="O789" s="105"/>
      <c r="P789" s="105"/>
      <c r="Q789" s="105"/>
    </row>
    <row r="790">
      <c r="A790" s="5"/>
      <c r="B790" s="105"/>
      <c r="C790" s="105"/>
      <c r="D790" s="105"/>
      <c r="E790" s="105"/>
      <c r="F790" s="105"/>
      <c r="G790" s="106"/>
      <c r="H790" s="105"/>
      <c r="I790" s="105"/>
      <c r="J790" s="105"/>
      <c r="K790" s="105"/>
      <c r="L790" s="109"/>
      <c r="M790" s="109"/>
      <c r="N790" s="109"/>
      <c r="O790" s="105"/>
      <c r="P790" s="105"/>
      <c r="Q790" s="105"/>
    </row>
    <row r="791">
      <c r="A791" s="5"/>
      <c r="B791" s="105"/>
      <c r="C791" s="105"/>
      <c r="D791" s="105"/>
      <c r="E791" s="105"/>
      <c r="F791" s="105"/>
      <c r="G791" s="106"/>
      <c r="H791" s="105"/>
      <c r="I791" s="105"/>
      <c r="J791" s="105"/>
      <c r="K791" s="105"/>
      <c r="L791" s="109"/>
      <c r="M791" s="109"/>
      <c r="N791" s="109"/>
      <c r="O791" s="105"/>
      <c r="P791" s="105"/>
      <c r="Q791" s="105"/>
    </row>
    <row r="792">
      <c r="A792" s="5"/>
      <c r="B792" s="105"/>
      <c r="C792" s="105"/>
      <c r="D792" s="105"/>
      <c r="E792" s="105"/>
      <c r="F792" s="105"/>
      <c r="G792" s="106"/>
      <c r="H792" s="105"/>
      <c r="I792" s="105"/>
      <c r="J792" s="105"/>
      <c r="K792" s="105"/>
      <c r="L792" s="109"/>
      <c r="M792" s="109"/>
      <c r="N792" s="109"/>
      <c r="O792" s="105"/>
      <c r="P792" s="105"/>
      <c r="Q792" s="105"/>
    </row>
    <row r="793">
      <c r="A793" s="5"/>
      <c r="B793" s="105"/>
      <c r="C793" s="105"/>
      <c r="D793" s="105"/>
      <c r="E793" s="105"/>
      <c r="F793" s="105"/>
      <c r="G793" s="106"/>
      <c r="H793" s="105"/>
      <c r="I793" s="105"/>
      <c r="J793" s="105"/>
      <c r="K793" s="105"/>
      <c r="L793" s="109"/>
      <c r="M793" s="109"/>
      <c r="N793" s="109"/>
      <c r="O793" s="105"/>
      <c r="P793" s="105"/>
      <c r="Q793" s="105"/>
    </row>
    <row r="794">
      <c r="A794" s="5"/>
      <c r="B794" s="105"/>
      <c r="C794" s="105"/>
      <c r="D794" s="105"/>
      <c r="E794" s="105"/>
      <c r="F794" s="105"/>
      <c r="G794" s="106"/>
      <c r="H794" s="105"/>
      <c r="I794" s="105"/>
      <c r="J794" s="105"/>
      <c r="K794" s="105"/>
      <c r="L794" s="109"/>
      <c r="M794" s="109"/>
      <c r="N794" s="109"/>
      <c r="O794" s="105"/>
      <c r="P794" s="105"/>
      <c r="Q794" s="105"/>
    </row>
    <row r="795">
      <c r="A795" s="5"/>
      <c r="B795" s="105"/>
      <c r="C795" s="105"/>
      <c r="D795" s="105"/>
      <c r="E795" s="105"/>
      <c r="F795" s="105"/>
      <c r="G795" s="106"/>
      <c r="H795" s="105"/>
      <c r="I795" s="105"/>
      <c r="J795" s="105"/>
      <c r="K795" s="105"/>
      <c r="L795" s="109"/>
      <c r="M795" s="109"/>
      <c r="N795" s="109"/>
      <c r="O795" s="105"/>
      <c r="P795" s="105"/>
      <c r="Q795" s="105"/>
    </row>
    <row r="796">
      <c r="A796" s="5"/>
      <c r="B796" s="105"/>
      <c r="C796" s="105"/>
      <c r="D796" s="105"/>
      <c r="E796" s="105"/>
      <c r="F796" s="105"/>
      <c r="G796" s="106"/>
      <c r="H796" s="105"/>
      <c r="I796" s="105"/>
      <c r="J796" s="105"/>
      <c r="K796" s="105"/>
      <c r="L796" s="109"/>
      <c r="M796" s="109"/>
      <c r="N796" s="109"/>
      <c r="O796" s="105"/>
      <c r="P796" s="105"/>
      <c r="Q796" s="105"/>
    </row>
    <row r="797">
      <c r="A797" s="5"/>
      <c r="B797" s="105"/>
      <c r="C797" s="105"/>
      <c r="D797" s="105"/>
      <c r="E797" s="105"/>
      <c r="F797" s="105"/>
      <c r="G797" s="106"/>
      <c r="H797" s="105"/>
      <c r="I797" s="105"/>
      <c r="J797" s="105"/>
      <c r="K797" s="105"/>
      <c r="L797" s="109"/>
      <c r="M797" s="109"/>
      <c r="N797" s="109"/>
      <c r="O797" s="105"/>
      <c r="P797" s="105"/>
      <c r="Q797" s="105"/>
    </row>
    <row r="798">
      <c r="A798" s="5"/>
      <c r="B798" s="105"/>
      <c r="C798" s="105"/>
      <c r="D798" s="105"/>
      <c r="E798" s="105"/>
      <c r="F798" s="105"/>
      <c r="G798" s="106"/>
      <c r="H798" s="105"/>
      <c r="I798" s="105"/>
      <c r="J798" s="105"/>
      <c r="K798" s="105"/>
      <c r="L798" s="109"/>
      <c r="M798" s="109"/>
      <c r="N798" s="109"/>
      <c r="O798" s="105"/>
      <c r="P798" s="105"/>
      <c r="Q798" s="105"/>
    </row>
    <row r="799">
      <c r="A799" s="5"/>
      <c r="B799" s="105"/>
      <c r="C799" s="105"/>
      <c r="D799" s="105"/>
      <c r="E799" s="105"/>
      <c r="F799" s="105"/>
      <c r="G799" s="106"/>
      <c r="H799" s="105"/>
      <c r="I799" s="105"/>
      <c r="J799" s="105"/>
      <c r="K799" s="105"/>
      <c r="L799" s="109"/>
      <c r="M799" s="109"/>
      <c r="N799" s="109"/>
      <c r="O799" s="105"/>
      <c r="P799" s="105"/>
      <c r="Q799" s="105"/>
    </row>
    <row r="800">
      <c r="A800" s="5"/>
      <c r="B800" s="105"/>
      <c r="C800" s="105"/>
      <c r="D800" s="105"/>
      <c r="E800" s="105"/>
      <c r="F800" s="105"/>
      <c r="G800" s="106"/>
      <c r="H800" s="105"/>
      <c r="I800" s="105"/>
      <c r="J800" s="105"/>
      <c r="K800" s="105"/>
      <c r="L800" s="109"/>
      <c r="M800" s="109"/>
      <c r="N800" s="109"/>
      <c r="O800" s="105"/>
      <c r="P800" s="105"/>
      <c r="Q800" s="105"/>
    </row>
    <row r="801">
      <c r="A801" s="5"/>
      <c r="B801" s="105"/>
      <c r="C801" s="105"/>
      <c r="D801" s="105"/>
      <c r="E801" s="105"/>
      <c r="F801" s="105"/>
      <c r="G801" s="106"/>
      <c r="H801" s="105"/>
      <c r="I801" s="105"/>
      <c r="J801" s="105"/>
      <c r="K801" s="105"/>
      <c r="L801" s="109"/>
      <c r="M801" s="109"/>
      <c r="N801" s="109"/>
      <c r="O801" s="105"/>
      <c r="P801" s="105"/>
      <c r="Q801" s="105"/>
    </row>
    <row r="802">
      <c r="A802" s="5"/>
      <c r="B802" s="105"/>
      <c r="C802" s="105"/>
      <c r="D802" s="105"/>
      <c r="E802" s="105"/>
      <c r="F802" s="105"/>
      <c r="G802" s="106"/>
      <c r="H802" s="105"/>
      <c r="I802" s="105"/>
      <c r="J802" s="105"/>
      <c r="K802" s="105"/>
      <c r="L802" s="109"/>
      <c r="M802" s="109"/>
      <c r="N802" s="109"/>
      <c r="O802" s="105"/>
      <c r="P802" s="105"/>
      <c r="Q802" s="105"/>
    </row>
    <row r="803">
      <c r="A803" s="5"/>
      <c r="B803" s="105"/>
      <c r="C803" s="105"/>
      <c r="D803" s="105"/>
      <c r="E803" s="105"/>
      <c r="F803" s="105"/>
      <c r="G803" s="106"/>
      <c r="H803" s="105"/>
      <c r="I803" s="105"/>
      <c r="J803" s="105"/>
      <c r="K803" s="105"/>
      <c r="L803" s="109"/>
      <c r="M803" s="109"/>
      <c r="N803" s="109"/>
      <c r="O803" s="105"/>
      <c r="P803" s="105"/>
      <c r="Q803" s="105"/>
    </row>
    <row r="804">
      <c r="A804" s="5"/>
      <c r="B804" s="105"/>
      <c r="C804" s="105"/>
      <c r="D804" s="105"/>
      <c r="E804" s="105"/>
      <c r="F804" s="105"/>
      <c r="G804" s="106"/>
      <c r="H804" s="105"/>
      <c r="I804" s="105"/>
      <c r="J804" s="105"/>
      <c r="K804" s="105"/>
      <c r="L804" s="109"/>
      <c r="M804" s="109"/>
      <c r="N804" s="109"/>
      <c r="O804" s="105"/>
      <c r="P804" s="105"/>
      <c r="Q804" s="105"/>
    </row>
    <row r="805">
      <c r="A805" s="5"/>
      <c r="B805" s="105"/>
      <c r="C805" s="105"/>
      <c r="D805" s="105"/>
      <c r="E805" s="105"/>
      <c r="F805" s="105"/>
      <c r="G805" s="106"/>
      <c r="H805" s="105"/>
      <c r="I805" s="105"/>
      <c r="J805" s="105"/>
      <c r="K805" s="105"/>
      <c r="L805" s="109"/>
      <c r="M805" s="109"/>
      <c r="N805" s="109"/>
      <c r="O805" s="105"/>
      <c r="P805" s="105"/>
      <c r="Q805" s="105"/>
    </row>
    <row r="806">
      <c r="A806" s="5"/>
      <c r="B806" s="105"/>
      <c r="C806" s="105"/>
      <c r="D806" s="105"/>
      <c r="E806" s="105"/>
      <c r="F806" s="105"/>
      <c r="G806" s="106"/>
      <c r="H806" s="105"/>
      <c r="I806" s="105"/>
      <c r="J806" s="105"/>
      <c r="K806" s="105"/>
      <c r="L806" s="109"/>
      <c r="M806" s="109"/>
      <c r="N806" s="109"/>
      <c r="O806" s="105"/>
      <c r="P806" s="105"/>
      <c r="Q806" s="105"/>
    </row>
    <row r="807">
      <c r="A807" s="5"/>
      <c r="B807" s="105"/>
      <c r="C807" s="105"/>
      <c r="D807" s="105"/>
      <c r="E807" s="105"/>
      <c r="F807" s="105"/>
      <c r="G807" s="106"/>
      <c r="H807" s="105"/>
      <c r="I807" s="105"/>
      <c r="J807" s="105"/>
      <c r="K807" s="105"/>
      <c r="L807" s="109"/>
      <c r="M807" s="109"/>
      <c r="N807" s="109"/>
      <c r="O807" s="105"/>
      <c r="P807" s="105"/>
      <c r="Q807" s="105"/>
    </row>
    <row r="808">
      <c r="A808" s="5"/>
      <c r="B808" s="105"/>
      <c r="C808" s="105"/>
      <c r="D808" s="105"/>
      <c r="E808" s="105"/>
      <c r="F808" s="105"/>
      <c r="G808" s="106"/>
      <c r="H808" s="105"/>
      <c r="I808" s="105"/>
      <c r="J808" s="105"/>
      <c r="K808" s="105"/>
      <c r="L808" s="109"/>
      <c r="M808" s="109"/>
      <c r="N808" s="109"/>
      <c r="O808" s="105"/>
      <c r="P808" s="105"/>
      <c r="Q808" s="105"/>
    </row>
    <row r="809">
      <c r="A809" s="5"/>
      <c r="B809" s="105"/>
      <c r="C809" s="105"/>
      <c r="D809" s="105"/>
      <c r="E809" s="105"/>
      <c r="F809" s="105"/>
      <c r="G809" s="106"/>
      <c r="H809" s="105"/>
      <c r="I809" s="105"/>
      <c r="J809" s="105"/>
      <c r="K809" s="105"/>
      <c r="L809" s="109"/>
      <c r="M809" s="109"/>
      <c r="N809" s="109"/>
      <c r="O809" s="105"/>
      <c r="P809" s="105"/>
      <c r="Q809" s="105"/>
    </row>
    <row r="810">
      <c r="A810" s="5"/>
      <c r="B810" s="105"/>
      <c r="C810" s="105"/>
      <c r="D810" s="105"/>
      <c r="E810" s="105"/>
      <c r="F810" s="105"/>
      <c r="G810" s="106"/>
      <c r="H810" s="105"/>
      <c r="I810" s="105"/>
      <c r="J810" s="105"/>
      <c r="K810" s="105"/>
      <c r="L810" s="109"/>
      <c r="M810" s="109"/>
      <c r="N810" s="109"/>
      <c r="O810" s="105"/>
      <c r="P810" s="105"/>
      <c r="Q810" s="105"/>
    </row>
    <row r="811">
      <c r="A811" s="5"/>
      <c r="B811" s="105"/>
      <c r="C811" s="105"/>
      <c r="D811" s="105"/>
      <c r="E811" s="105"/>
      <c r="F811" s="105"/>
      <c r="G811" s="106"/>
      <c r="H811" s="105"/>
      <c r="I811" s="105"/>
      <c r="J811" s="105"/>
      <c r="K811" s="105"/>
      <c r="L811" s="109"/>
      <c r="M811" s="109"/>
      <c r="N811" s="109"/>
      <c r="O811" s="105"/>
      <c r="P811" s="105"/>
      <c r="Q811" s="105"/>
    </row>
    <row r="812">
      <c r="A812" s="5"/>
      <c r="B812" s="105"/>
      <c r="C812" s="105"/>
      <c r="D812" s="105"/>
      <c r="E812" s="105"/>
      <c r="F812" s="105"/>
      <c r="G812" s="106"/>
      <c r="H812" s="105"/>
      <c r="I812" s="105"/>
      <c r="J812" s="105"/>
      <c r="K812" s="105"/>
      <c r="L812" s="109"/>
      <c r="M812" s="109"/>
      <c r="N812" s="109"/>
      <c r="O812" s="105"/>
      <c r="P812" s="105"/>
      <c r="Q812" s="105"/>
    </row>
    <row r="813">
      <c r="A813" s="5"/>
      <c r="B813" s="105"/>
      <c r="C813" s="105"/>
      <c r="D813" s="105"/>
      <c r="E813" s="105"/>
      <c r="F813" s="105"/>
      <c r="G813" s="106"/>
      <c r="H813" s="105"/>
      <c r="I813" s="105"/>
      <c r="J813" s="105"/>
      <c r="K813" s="105"/>
      <c r="L813" s="109"/>
      <c r="M813" s="109"/>
      <c r="N813" s="109"/>
      <c r="O813" s="105"/>
      <c r="P813" s="105"/>
      <c r="Q813" s="105"/>
    </row>
    <row r="814">
      <c r="A814" s="5"/>
      <c r="B814" s="105"/>
      <c r="C814" s="105"/>
      <c r="D814" s="105"/>
      <c r="E814" s="105"/>
      <c r="F814" s="105"/>
      <c r="G814" s="106"/>
      <c r="H814" s="105"/>
      <c r="I814" s="105"/>
      <c r="J814" s="105"/>
      <c r="K814" s="105"/>
      <c r="L814" s="109"/>
      <c r="M814" s="109"/>
      <c r="N814" s="109"/>
      <c r="O814" s="105"/>
      <c r="P814" s="105"/>
      <c r="Q814" s="105"/>
    </row>
    <row r="815">
      <c r="A815" s="5"/>
      <c r="B815" s="105"/>
      <c r="C815" s="105"/>
      <c r="D815" s="105"/>
      <c r="E815" s="105"/>
      <c r="F815" s="105"/>
      <c r="G815" s="106"/>
      <c r="H815" s="105"/>
      <c r="I815" s="105"/>
      <c r="J815" s="105"/>
      <c r="K815" s="105"/>
      <c r="L815" s="109"/>
      <c r="M815" s="109"/>
      <c r="N815" s="109"/>
      <c r="O815" s="105"/>
      <c r="P815" s="105"/>
      <c r="Q815" s="105"/>
    </row>
    <row r="816">
      <c r="A816" s="5"/>
      <c r="B816" s="105"/>
      <c r="C816" s="105"/>
      <c r="D816" s="105"/>
      <c r="E816" s="105"/>
      <c r="F816" s="105"/>
      <c r="G816" s="106"/>
      <c r="H816" s="105"/>
      <c r="I816" s="105"/>
      <c r="J816" s="105"/>
      <c r="K816" s="105"/>
      <c r="L816" s="109"/>
      <c r="M816" s="109"/>
      <c r="N816" s="109"/>
      <c r="O816" s="105"/>
      <c r="P816" s="105"/>
      <c r="Q816" s="105"/>
    </row>
    <row r="817">
      <c r="A817" s="5"/>
      <c r="B817" s="105"/>
      <c r="C817" s="105"/>
      <c r="D817" s="105"/>
      <c r="E817" s="105"/>
      <c r="F817" s="105"/>
      <c r="G817" s="106"/>
      <c r="H817" s="105"/>
      <c r="I817" s="105"/>
      <c r="J817" s="105"/>
      <c r="K817" s="105"/>
      <c r="L817" s="109"/>
      <c r="M817" s="109"/>
      <c r="N817" s="109"/>
      <c r="O817" s="105"/>
      <c r="P817" s="105"/>
      <c r="Q817" s="105"/>
    </row>
    <row r="818">
      <c r="A818" s="5"/>
      <c r="B818" s="105"/>
      <c r="C818" s="105"/>
      <c r="D818" s="105"/>
      <c r="E818" s="105"/>
      <c r="F818" s="105"/>
      <c r="G818" s="106"/>
      <c r="H818" s="105"/>
      <c r="I818" s="105"/>
      <c r="J818" s="105"/>
      <c r="K818" s="105"/>
      <c r="L818" s="109"/>
      <c r="M818" s="109"/>
      <c r="N818" s="109"/>
      <c r="O818" s="105"/>
      <c r="P818" s="105"/>
      <c r="Q818" s="105"/>
    </row>
    <row r="819">
      <c r="A819" s="5"/>
      <c r="B819" s="105"/>
      <c r="C819" s="105"/>
      <c r="D819" s="105"/>
      <c r="E819" s="105"/>
      <c r="F819" s="105"/>
      <c r="G819" s="106"/>
      <c r="H819" s="105"/>
      <c r="I819" s="105"/>
      <c r="J819" s="105"/>
      <c r="K819" s="105"/>
      <c r="L819" s="109"/>
      <c r="M819" s="109"/>
      <c r="N819" s="109"/>
      <c r="O819" s="105"/>
      <c r="P819" s="105"/>
      <c r="Q819" s="105"/>
    </row>
    <row r="820">
      <c r="A820" s="5"/>
      <c r="B820" s="105"/>
      <c r="C820" s="105"/>
      <c r="D820" s="105"/>
      <c r="E820" s="105"/>
      <c r="F820" s="105"/>
      <c r="G820" s="106"/>
      <c r="H820" s="105"/>
      <c r="I820" s="105"/>
      <c r="J820" s="105"/>
      <c r="K820" s="105"/>
      <c r="L820" s="109"/>
      <c r="M820" s="109"/>
      <c r="N820" s="109"/>
      <c r="O820" s="105"/>
      <c r="P820" s="105"/>
      <c r="Q820" s="105"/>
    </row>
    <row r="821">
      <c r="A821" s="5"/>
      <c r="B821" s="105"/>
      <c r="C821" s="105"/>
      <c r="D821" s="105"/>
      <c r="E821" s="105"/>
      <c r="F821" s="105"/>
      <c r="G821" s="106"/>
      <c r="H821" s="105"/>
      <c r="I821" s="105"/>
      <c r="J821" s="105"/>
      <c r="K821" s="105"/>
      <c r="L821" s="109"/>
      <c r="M821" s="109"/>
      <c r="N821" s="109"/>
      <c r="O821" s="105"/>
      <c r="P821" s="105"/>
      <c r="Q821" s="105"/>
    </row>
    <row r="822">
      <c r="A822" s="5"/>
      <c r="B822" s="105"/>
      <c r="C822" s="105"/>
      <c r="D822" s="105"/>
      <c r="E822" s="105"/>
      <c r="F822" s="105"/>
      <c r="G822" s="106"/>
      <c r="H822" s="105"/>
      <c r="I822" s="105"/>
      <c r="J822" s="105"/>
      <c r="K822" s="105"/>
      <c r="L822" s="109"/>
      <c r="M822" s="109"/>
      <c r="N822" s="109"/>
      <c r="O822" s="105"/>
      <c r="P822" s="105"/>
      <c r="Q822" s="105"/>
    </row>
    <row r="823">
      <c r="A823" s="5"/>
      <c r="B823" s="105"/>
      <c r="C823" s="105"/>
      <c r="D823" s="105"/>
      <c r="E823" s="105"/>
      <c r="F823" s="105"/>
      <c r="G823" s="106"/>
      <c r="H823" s="105"/>
      <c r="I823" s="105"/>
      <c r="J823" s="105"/>
      <c r="K823" s="105"/>
      <c r="L823" s="109"/>
      <c r="M823" s="109"/>
      <c r="N823" s="109"/>
      <c r="O823" s="105"/>
      <c r="P823" s="105"/>
      <c r="Q823" s="105"/>
    </row>
    <row r="824">
      <c r="A824" s="5"/>
      <c r="B824" s="105"/>
      <c r="C824" s="105"/>
      <c r="D824" s="105"/>
      <c r="E824" s="105"/>
      <c r="F824" s="105"/>
      <c r="G824" s="106"/>
      <c r="H824" s="105"/>
      <c r="I824" s="105"/>
      <c r="J824" s="105"/>
      <c r="K824" s="105"/>
      <c r="L824" s="109"/>
      <c r="M824" s="109"/>
      <c r="N824" s="109"/>
      <c r="O824" s="105"/>
      <c r="P824" s="105"/>
      <c r="Q824" s="105"/>
    </row>
    <row r="825">
      <c r="A825" s="5"/>
      <c r="B825" s="105"/>
      <c r="C825" s="105"/>
      <c r="D825" s="105"/>
      <c r="E825" s="105"/>
      <c r="F825" s="105"/>
      <c r="G825" s="106"/>
      <c r="H825" s="105"/>
      <c r="I825" s="105"/>
      <c r="J825" s="105"/>
      <c r="K825" s="105"/>
      <c r="L825" s="109"/>
      <c r="M825" s="109"/>
      <c r="N825" s="109"/>
      <c r="O825" s="105"/>
      <c r="P825" s="105"/>
      <c r="Q825" s="105"/>
    </row>
    <row r="826">
      <c r="A826" s="5"/>
      <c r="B826" s="105"/>
      <c r="C826" s="105"/>
      <c r="D826" s="105"/>
      <c r="E826" s="105"/>
      <c r="F826" s="105"/>
      <c r="G826" s="106"/>
      <c r="H826" s="105"/>
      <c r="I826" s="105"/>
      <c r="J826" s="105"/>
      <c r="K826" s="105"/>
      <c r="L826" s="109"/>
      <c r="M826" s="109"/>
      <c r="N826" s="109"/>
      <c r="O826" s="105"/>
      <c r="P826" s="105"/>
      <c r="Q826" s="105"/>
    </row>
    <row r="827">
      <c r="A827" s="5"/>
      <c r="B827" s="105"/>
      <c r="C827" s="105"/>
      <c r="D827" s="105"/>
      <c r="E827" s="105"/>
      <c r="F827" s="105"/>
      <c r="G827" s="106"/>
      <c r="H827" s="105"/>
      <c r="I827" s="105"/>
      <c r="J827" s="105"/>
      <c r="K827" s="105"/>
      <c r="L827" s="109"/>
      <c r="M827" s="109"/>
      <c r="N827" s="109"/>
      <c r="O827" s="105"/>
      <c r="P827" s="105"/>
      <c r="Q827" s="105"/>
    </row>
    <row r="828">
      <c r="A828" s="5"/>
      <c r="B828" s="105"/>
      <c r="C828" s="105"/>
      <c r="D828" s="105"/>
      <c r="E828" s="105"/>
      <c r="F828" s="105"/>
      <c r="G828" s="106"/>
      <c r="H828" s="105"/>
      <c r="I828" s="105"/>
      <c r="J828" s="105"/>
      <c r="K828" s="105"/>
      <c r="L828" s="109"/>
      <c r="M828" s="109"/>
      <c r="N828" s="109"/>
      <c r="O828" s="105"/>
      <c r="P828" s="105"/>
      <c r="Q828" s="105"/>
    </row>
    <row r="829">
      <c r="A829" s="5"/>
      <c r="B829" s="105"/>
      <c r="C829" s="105"/>
      <c r="D829" s="105"/>
      <c r="E829" s="105"/>
      <c r="F829" s="105"/>
      <c r="G829" s="106"/>
      <c r="H829" s="105"/>
      <c r="I829" s="105"/>
      <c r="J829" s="105"/>
      <c r="K829" s="105"/>
      <c r="L829" s="109"/>
      <c r="M829" s="109"/>
      <c r="N829" s="109"/>
      <c r="O829" s="105"/>
      <c r="P829" s="105"/>
      <c r="Q829" s="105"/>
    </row>
    <row r="830">
      <c r="A830" s="5"/>
      <c r="B830" s="105"/>
      <c r="C830" s="105"/>
      <c r="D830" s="105"/>
      <c r="E830" s="105"/>
      <c r="F830" s="105"/>
      <c r="G830" s="106"/>
      <c r="H830" s="105"/>
      <c r="I830" s="105"/>
      <c r="J830" s="105"/>
      <c r="K830" s="105"/>
      <c r="L830" s="109"/>
      <c r="M830" s="109"/>
      <c r="N830" s="109"/>
      <c r="O830" s="105"/>
      <c r="P830" s="105"/>
      <c r="Q830" s="105"/>
    </row>
    <row r="831">
      <c r="A831" s="5"/>
      <c r="B831" s="105"/>
      <c r="C831" s="105"/>
      <c r="D831" s="105"/>
      <c r="E831" s="105"/>
      <c r="F831" s="105"/>
      <c r="G831" s="106"/>
      <c r="H831" s="105"/>
      <c r="I831" s="105"/>
      <c r="J831" s="105"/>
      <c r="K831" s="105"/>
      <c r="L831" s="109"/>
      <c r="M831" s="109"/>
      <c r="N831" s="109"/>
      <c r="O831" s="105"/>
      <c r="P831" s="105"/>
      <c r="Q831" s="105"/>
    </row>
    <row r="832">
      <c r="A832" s="5"/>
      <c r="B832" s="105"/>
      <c r="C832" s="105"/>
      <c r="D832" s="105"/>
      <c r="E832" s="105"/>
      <c r="F832" s="105"/>
      <c r="G832" s="106"/>
      <c r="H832" s="105"/>
      <c r="I832" s="105"/>
      <c r="J832" s="105"/>
      <c r="K832" s="105"/>
      <c r="L832" s="109"/>
      <c r="M832" s="109"/>
      <c r="N832" s="109"/>
      <c r="O832" s="105"/>
      <c r="P832" s="105"/>
      <c r="Q832" s="105"/>
    </row>
    <row r="833">
      <c r="A833" s="5"/>
      <c r="B833" s="105"/>
      <c r="C833" s="105"/>
      <c r="D833" s="105"/>
      <c r="E833" s="105"/>
      <c r="F833" s="105"/>
      <c r="G833" s="106"/>
      <c r="H833" s="105"/>
      <c r="I833" s="105"/>
      <c r="J833" s="105"/>
      <c r="K833" s="105"/>
      <c r="L833" s="109"/>
      <c r="M833" s="109"/>
      <c r="N833" s="109"/>
      <c r="O833" s="105"/>
      <c r="P833" s="105"/>
      <c r="Q833" s="105"/>
    </row>
    <row r="834">
      <c r="A834" s="5"/>
      <c r="B834" s="105"/>
      <c r="C834" s="105"/>
      <c r="D834" s="105"/>
      <c r="E834" s="105"/>
      <c r="F834" s="105"/>
      <c r="G834" s="106"/>
      <c r="H834" s="105"/>
      <c r="I834" s="105"/>
      <c r="J834" s="105"/>
      <c r="K834" s="105"/>
      <c r="L834" s="109"/>
      <c r="M834" s="109"/>
      <c r="N834" s="109"/>
      <c r="O834" s="105"/>
      <c r="P834" s="105"/>
      <c r="Q834" s="105"/>
    </row>
    <row r="835">
      <c r="A835" s="5"/>
      <c r="B835" s="105"/>
      <c r="C835" s="105"/>
      <c r="D835" s="105"/>
      <c r="E835" s="105"/>
      <c r="F835" s="105"/>
      <c r="G835" s="106"/>
      <c r="H835" s="105"/>
      <c r="I835" s="105"/>
      <c r="J835" s="105"/>
      <c r="K835" s="105"/>
      <c r="L835" s="109"/>
      <c r="M835" s="109"/>
      <c r="N835" s="109"/>
      <c r="O835" s="105"/>
      <c r="P835" s="105"/>
      <c r="Q835" s="105"/>
    </row>
    <row r="836">
      <c r="A836" s="5"/>
      <c r="B836" s="105"/>
      <c r="C836" s="105"/>
      <c r="D836" s="105"/>
      <c r="E836" s="105"/>
      <c r="F836" s="105"/>
      <c r="G836" s="106"/>
      <c r="H836" s="105"/>
      <c r="I836" s="105"/>
      <c r="J836" s="105"/>
      <c r="K836" s="105"/>
      <c r="L836" s="109"/>
      <c r="M836" s="109"/>
      <c r="N836" s="109"/>
      <c r="O836" s="105"/>
      <c r="P836" s="105"/>
      <c r="Q836" s="105"/>
    </row>
    <row r="837">
      <c r="A837" s="5"/>
      <c r="B837" s="105"/>
      <c r="C837" s="105"/>
      <c r="D837" s="105"/>
      <c r="E837" s="105"/>
      <c r="F837" s="105"/>
      <c r="G837" s="106"/>
      <c r="H837" s="105"/>
      <c r="I837" s="105"/>
      <c r="J837" s="105"/>
      <c r="K837" s="105"/>
      <c r="L837" s="109"/>
      <c r="M837" s="109"/>
      <c r="N837" s="109"/>
      <c r="O837" s="105"/>
      <c r="P837" s="105"/>
      <c r="Q837" s="105"/>
    </row>
    <row r="838">
      <c r="A838" s="5"/>
      <c r="B838" s="105"/>
      <c r="C838" s="105"/>
      <c r="D838" s="105"/>
      <c r="E838" s="105"/>
      <c r="F838" s="105"/>
      <c r="G838" s="106"/>
      <c r="H838" s="105"/>
      <c r="I838" s="105"/>
      <c r="J838" s="105"/>
      <c r="K838" s="105"/>
      <c r="L838" s="109"/>
      <c r="M838" s="109"/>
      <c r="N838" s="109"/>
      <c r="O838" s="105"/>
      <c r="P838" s="105"/>
      <c r="Q838" s="105"/>
    </row>
    <row r="839">
      <c r="A839" s="5"/>
      <c r="B839" s="105"/>
      <c r="C839" s="105"/>
      <c r="D839" s="105"/>
      <c r="E839" s="105"/>
      <c r="F839" s="105"/>
      <c r="G839" s="106"/>
      <c r="H839" s="105"/>
      <c r="I839" s="105"/>
      <c r="J839" s="105"/>
      <c r="K839" s="105"/>
      <c r="L839" s="109"/>
      <c r="M839" s="109"/>
      <c r="N839" s="109"/>
      <c r="O839" s="105"/>
      <c r="P839" s="105"/>
      <c r="Q839" s="105"/>
    </row>
    <row r="840">
      <c r="A840" s="5"/>
      <c r="B840" s="105"/>
      <c r="C840" s="105"/>
      <c r="D840" s="105"/>
      <c r="E840" s="105"/>
      <c r="F840" s="105"/>
      <c r="G840" s="106"/>
      <c r="H840" s="105"/>
      <c r="I840" s="105"/>
      <c r="J840" s="105"/>
      <c r="K840" s="105"/>
      <c r="L840" s="109"/>
      <c r="M840" s="109"/>
      <c r="N840" s="109"/>
      <c r="O840" s="105"/>
      <c r="P840" s="105"/>
      <c r="Q840" s="105"/>
    </row>
    <row r="841">
      <c r="A841" s="5"/>
      <c r="B841" s="105"/>
      <c r="C841" s="105"/>
      <c r="D841" s="105"/>
      <c r="E841" s="105"/>
      <c r="F841" s="105"/>
      <c r="G841" s="106"/>
      <c r="H841" s="105"/>
      <c r="I841" s="105"/>
      <c r="J841" s="105"/>
      <c r="K841" s="105"/>
      <c r="L841" s="109"/>
      <c r="M841" s="109"/>
      <c r="N841" s="109"/>
      <c r="O841" s="105"/>
      <c r="P841" s="105"/>
      <c r="Q841" s="105"/>
    </row>
    <row r="842">
      <c r="A842" s="5"/>
      <c r="B842" s="105"/>
      <c r="C842" s="105"/>
      <c r="D842" s="105"/>
      <c r="E842" s="105"/>
      <c r="F842" s="105"/>
      <c r="G842" s="106"/>
      <c r="H842" s="105"/>
      <c r="I842" s="105"/>
      <c r="J842" s="105"/>
      <c r="K842" s="105"/>
      <c r="L842" s="109"/>
      <c r="M842" s="109"/>
      <c r="N842" s="109"/>
      <c r="O842" s="105"/>
      <c r="P842" s="105"/>
      <c r="Q842" s="105"/>
    </row>
    <row r="843">
      <c r="A843" s="5"/>
      <c r="B843" s="105"/>
      <c r="C843" s="105"/>
      <c r="D843" s="105"/>
      <c r="E843" s="105"/>
      <c r="F843" s="105"/>
      <c r="G843" s="106"/>
      <c r="H843" s="105"/>
      <c r="I843" s="105"/>
      <c r="J843" s="105"/>
      <c r="K843" s="105"/>
      <c r="L843" s="109"/>
      <c r="M843" s="109"/>
      <c r="N843" s="109"/>
      <c r="O843" s="105"/>
      <c r="P843" s="105"/>
      <c r="Q843" s="105"/>
    </row>
    <row r="844">
      <c r="A844" s="5"/>
      <c r="B844" s="105"/>
      <c r="C844" s="105"/>
      <c r="D844" s="105"/>
      <c r="E844" s="105"/>
      <c r="F844" s="105"/>
      <c r="G844" s="106"/>
      <c r="H844" s="105"/>
      <c r="I844" s="105"/>
      <c r="J844" s="105"/>
      <c r="K844" s="105"/>
      <c r="L844" s="109"/>
      <c r="M844" s="109"/>
      <c r="N844" s="109"/>
      <c r="O844" s="105"/>
      <c r="P844" s="105"/>
      <c r="Q844" s="105"/>
    </row>
    <row r="845">
      <c r="A845" s="5"/>
      <c r="B845" s="105"/>
      <c r="C845" s="105"/>
      <c r="D845" s="105"/>
      <c r="E845" s="105"/>
      <c r="F845" s="105"/>
      <c r="G845" s="106"/>
      <c r="H845" s="105"/>
      <c r="I845" s="105"/>
      <c r="J845" s="105"/>
      <c r="K845" s="105"/>
      <c r="L845" s="109"/>
      <c r="M845" s="109"/>
      <c r="N845" s="109"/>
      <c r="O845" s="105"/>
      <c r="P845" s="105"/>
      <c r="Q845" s="105"/>
    </row>
    <row r="846">
      <c r="A846" s="5"/>
      <c r="B846" s="105"/>
      <c r="C846" s="105"/>
      <c r="D846" s="105"/>
      <c r="E846" s="105"/>
      <c r="F846" s="105"/>
      <c r="G846" s="106"/>
      <c r="H846" s="105"/>
      <c r="I846" s="105"/>
      <c r="J846" s="105"/>
      <c r="K846" s="105"/>
      <c r="L846" s="109"/>
      <c r="M846" s="109"/>
      <c r="N846" s="109"/>
      <c r="O846" s="105"/>
      <c r="P846" s="105"/>
      <c r="Q846" s="105"/>
    </row>
    <row r="847">
      <c r="A847" s="5"/>
      <c r="B847" s="105"/>
      <c r="C847" s="105"/>
      <c r="D847" s="105"/>
      <c r="E847" s="105"/>
      <c r="F847" s="105"/>
      <c r="G847" s="106"/>
      <c r="H847" s="105"/>
      <c r="I847" s="105"/>
      <c r="J847" s="105"/>
      <c r="K847" s="105"/>
      <c r="L847" s="109"/>
      <c r="M847" s="109"/>
      <c r="N847" s="109"/>
      <c r="O847" s="105"/>
      <c r="P847" s="105"/>
      <c r="Q847" s="105"/>
    </row>
    <row r="848">
      <c r="A848" s="5"/>
      <c r="B848" s="105"/>
      <c r="C848" s="105"/>
      <c r="D848" s="105"/>
      <c r="E848" s="105"/>
      <c r="F848" s="105"/>
      <c r="G848" s="106"/>
      <c r="H848" s="105"/>
      <c r="I848" s="105"/>
      <c r="J848" s="105"/>
      <c r="K848" s="105"/>
      <c r="L848" s="109"/>
      <c r="M848" s="109"/>
      <c r="N848" s="109"/>
      <c r="O848" s="105"/>
      <c r="P848" s="105"/>
      <c r="Q848" s="105"/>
    </row>
    <row r="849">
      <c r="A849" s="5"/>
      <c r="B849" s="105"/>
      <c r="C849" s="105"/>
      <c r="D849" s="105"/>
      <c r="E849" s="105"/>
      <c r="F849" s="105"/>
      <c r="G849" s="106"/>
      <c r="H849" s="105"/>
      <c r="I849" s="105"/>
      <c r="J849" s="105"/>
      <c r="K849" s="105"/>
      <c r="L849" s="109"/>
      <c r="M849" s="109"/>
      <c r="N849" s="109"/>
      <c r="O849" s="105"/>
      <c r="P849" s="105"/>
      <c r="Q849" s="105"/>
    </row>
    <row r="850">
      <c r="A850" s="5"/>
      <c r="B850" s="105"/>
      <c r="C850" s="105"/>
      <c r="D850" s="105"/>
      <c r="E850" s="105"/>
      <c r="F850" s="105"/>
      <c r="G850" s="106"/>
      <c r="H850" s="105"/>
      <c r="I850" s="105"/>
      <c r="J850" s="105"/>
      <c r="K850" s="105"/>
      <c r="L850" s="109"/>
      <c r="M850" s="109"/>
      <c r="N850" s="109"/>
      <c r="O850" s="105"/>
      <c r="P850" s="105"/>
      <c r="Q850" s="105"/>
    </row>
    <row r="851">
      <c r="A851" s="5"/>
      <c r="B851" s="105"/>
      <c r="C851" s="105"/>
      <c r="D851" s="105"/>
      <c r="E851" s="105"/>
      <c r="F851" s="105"/>
      <c r="G851" s="106"/>
      <c r="H851" s="105"/>
      <c r="I851" s="105"/>
      <c r="J851" s="105"/>
      <c r="K851" s="105"/>
      <c r="L851" s="109"/>
      <c r="M851" s="109"/>
      <c r="N851" s="109"/>
      <c r="O851" s="105"/>
      <c r="P851" s="105"/>
      <c r="Q851" s="105"/>
    </row>
    <row r="852">
      <c r="A852" s="5"/>
      <c r="B852" s="105"/>
      <c r="C852" s="105"/>
      <c r="D852" s="105"/>
      <c r="E852" s="105"/>
      <c r="F852" s="105"/>
      <c r="G852" s="106"/>
      <c r="H852" s="105"/>
      <c r="I852" s="105"/>
      <c r="J852" s="105"/>
      <c r="K852" s="105"/>
      <c r="L852" s="109"/>
      <c r="M852" s="109"/>
      <c r="N852" s="109"/>
      <c r="O852" s="105"/>
      <c r="P852" s="105"/>
      <c r="Q852" s="105"/>
    </row>
    <row r="853">
      <c r="A853" s="5"/>
      <c r="B853" s="105"/>
      <c r="C853" s="105"/>
      <c r="D853" s="105"/>
      <c r="E853" s="105"/>
      <c r="F853" s="105"/>
      <c r="G853" s="106"/>
      <c r="H853" s="105"/>
      <c r="I853" s="105"/>
      <c r="J853" s="105"/>
      <c r="K853" s="105"/>
      <c r="L853" s="109"/>
      <c r="M853" s="109"/>
      <c r="N853" s="109"/>
      <c r="O853" s="105"/>
      <c r="P853" s="105"/>
      <c r="Q853" s="105"/>
    </row>
    <row r="854">
      <c r="A854" s="5"/>
      <c r="B854" s="105"/>
      <c r="C854" s="105"/>
      <c r="D854" s="105"/>
      <c r="E854" s="105"/>
      <c r="F854" s="105"/>
      <c r="G854" s="106"/>
      <c r="H854" s="105"/>
      <c r="I854" s="105"/>
      <c r="J854" s="105"/>
      <c r="K854" s="105"/>
      <c r="L854" s="109"/>
      <c r="M854" s="109"/>
      <c r="N854" s="109"/>
      <c r="O854" s="105"/>
      <c r="P854" s="105"/>
      <c r="Q854" s="105"/>
    </row>
    <row r="855">
      <c r="A855" s="5"/>
      <c r="B855" s="105"/>
      <c r="C855" s="105"/>
      <c r="D855" s="105"/>
      <c r="E855" s="105"/>
      <c r="F855" s="105"/>
      <c r="G855" s="106"/>
      <c r="H855" s="105"/>
      <c r="I855" s="105"/>
      <c r="J855" s="105"/>
      <c r="K855" s="105"/>
      <c r="L855" s="109"/>
      <c r="M855" s="109"/>
      <c r="N855" s="109"/>
      <c r="O855" s="105"/>
      <c r="P855" s="105"/>
      <c r="Q855" s="105"/>
    </row>
    <row r="856">
      <c r="A856" s="5"/>
      <c r="B856" s="105"/>
      <c r="C856" s="105"/>
      <c r="D856" s="105"/>
      <c r="E856" s="105"/>
      <c r="F856" s="105"/>
      <c r="G856" s="106"/>
      <c r="H856" s="105"/>
      <c r="I856" s="105"/>
      <c r="J856" s="105"/>
      <c r="K856" s="105"/>
      <c r="L856" s="109"/>
      <c r="M856" s="109"/>
      <c r="N856" s="109"/>
      <c r="O856" s="105"/>
      <c r="P856" s="105"/>
      <c r="Q856" s="105"/>
    </row>
    <row r="857">
      <c r="A857" s="5"/>
      <c r="B857" s="105"/>
      <c r="C857" s="105"/>
      <c r="D857" s="105"/>
      <c r="E857" s="105"/>
      <c r="F857" s="105"/>
      <c r="G857" s="106"/>
      <c r="H857" s="105"/>
      <c r="I857" s="105"/>
      <c r="J857" s="105"/>
      <c r="K857" s="105"/>
      <c r="L857" s="109"/>
      <c r="M857" s="109"/>
      <c r="N857" s="109"/>
      <c r="O857" s="105"/>
      <c r="P857" s="105"/>
      <c r="Q857" s="105"/>
    </row>
    <row r="858">
      <c r="A858" s="5"/>
      <c r="B858" s="105"/>
      <c r="C858" s="105"/>
      <c r="D858" s="105"/>
      <c r="E858" s="105"/>
      <c r="F858" s="105"/>
      <c r="G858" s="106"/>
      <c r="H858" s="105"/>
      <c r="I858" s="105"/>
      <c r="J858" s="105"/>
      <c r="K858" s="105"/>
      <c r="L858" s="109"/>
      <c r="M858" s="109"/>
      <c r="N858" s="109"/>
      <c r="O858" s="105"/>
      <c r="P858" s="105"/>
      <c r="Q858" s="105"/>
    </row>
    <row r="859">
      <c r="A859" s="5"/>
      <c r="B859" s="105"/>
      <c r="C859" s="105"/>
      <c r="D859" s="105"/>
      <c r="E859" s="105"/>
      <c r="F859" s="105"/>
      <c r="G859" s="106"/>
      <c r="H859" s="105"/>
      <c r="I859" s="105"/>
      <c r="J859" s="105"/>
      <c r="K859" s="105"/>
      <c r="L859" s="109"/>
      <c r="M859" s="109"/>
      <c r="N859" s="109"/>
      <c r="O859" s="105"/>
      <c r="P859" s="105"/>
      <c r="Q859" s="105"/>
    </row>
    <row r="860">
      <c r="A860" s="5"/>
      <c r="B860" s="105"/>
      <c r="C860" s="105"/>
      <c r="D860" s="105"/>
      <c r="E860" s="105"/>
      <c r="F860" s="105"/>
      <c r="G860" s="106"/>
      <c r="H860" s="105"/>
      <c r="I860" s="105"/>
      <c r="J860" s="105"/>
      <c r="K860" s="105"/>
      <c r="L860" s="109"/>
      <c r="M860" s="109"/>
      <c r="N860" s="109"/>
      <c r="O860" s="105"/>
      <c r="P860" s="105"/>
      <c r="Q860" s="105"/>
    </row>
    <row r="861">
      <c r="A861" s="5"/>
      <c r="B861" s="105"/>
      <c r="C861" s="105"/>
      <c r="D861" s="105"/>
      <c r="E861" s="105"/>
      <c r="F861" s="105"/>
      <c r="G861" s="106"/>
      <c r="H861" s="105"/>
      <c r="I861" s="105"/>
      <c r="J861" s="105"/>
      <c r="K861" s="105"/>
      <c r="L861" s="109"/>
      <c r="M861" s="109"/>
      <c r="N861" s="109"/>
      <c r="O861" s="105"/>
      <c r="P861" s="105"/>
      <c r="Q861" s="105"/>
    </row>
    <row r="862">
      <c r="A862" s="5"/>
      <c r="B862" s="105"/>
      <c r="C862" s="105"/>
      <c r="D862" s="105"/>
      <c r="E862" s="105"/>
      <c r="F862" s="105"/>
      <c r="G862" s="106"/>
      <c r="H862" s="105"/>
      <c r="I862" s="105"/>
      <c r="J862" s="105"/>
      <c r="K862" s="105"/>
      <c r="L862" s="109"/>
      <c r="M862" s="109"/>
      <c r="N862" s="109"/>
      <c r="O862" s="105"/>
      <c r="P862" s="105"/>
      <c r="Q862" s="105"/>
    </row>
    <row r="863">
      <c r="A863" s="5"/>
      <c r="B863" s="105"/>
      <c r="C863" s="105"/>
      <c r="D863" s="105"/>
      <c r="E863" s="105"/>
      <c r="F863" s="105"/>
      <c r="G863" s="106"/>
      <c r="H863" s="105"/>
      <c r="I863" s="105"/>
      <c r="J863" s="105"/>
      <c r="K863" s="105"/>
      <c r="L863" s="109"/>
      <c r="M863" s="109"/>
      <c r="N863" s="109"/>
      <c r="O863" s="105"/>
      <c r="P863" s="105"/>
      <c r="Q863" s="105"/>
    </row>
    <row r="864">
      <c r="A864" s="5"/>
      <c r="B864" s="105"/>
      <c r="C864" s="105"/>
      <c r="D864" s="105"/>
      <c r="E864" s="105"/>
      <c r="F864" s="105"/>
      <c r="G864" s="106"/>
      <c r="H864" s="105"/>
      <c r="I864" s="105"/>
      <c r="J864" s="105"/>
      <c r="K864" s="105"/>
      <c r="L864" s="109"/>
      <c r="M864" s="109"/>
      <c r="N864" s="109"/>
      <c r="O864" s="105"/>
      <c r="P864" s="105"/>
      <c r="Q864" s="105"/>
    </row>
    <row r="865">
      <c r="A865" s="5"/>
      <c r="B865" s="105"/>
      <c r="C865" s="105"/>
      <c r="D865" s="105"/>
      <c r="E865" s="105"/>
      <c r="F865" s="105"/>
      <c r="G865" s="106"/>
      <c r="H865" s="105"/>
      <c r="I865" s="105"/>
      <c r="J865" s="105"/>
      <c r="K865" s="105"/>
      <c r="L865" s="109"/>
      <c r="M865" s="109"/>
      <c r="N865" s="109"/>
      <c r="O865" s="105"/>
      <c r="P865" s="105"/>
      <c r="Q865" s="105"/>
    </row>
    <row r="866">
      <c r="A866" s="5"/>
      <c r="B866" s="105"/>
      <c r="C866" s="105"/>
      <c r="D866" s="105"/>
      <c r="E866" s="105"/>
      <c r="F866" s="105"/>
      <c r="G866" s="106"/>
      <c r="H866" s="105"/>
      <c r="I866" s="105"/>
      <c r="J866" s="105"/>
      <c r="K866" s="105"/>
      <c r="L866" s="109"/>
      <c r="M866" s="109"/>
      <c r="N866" s="109"/>
      <c r="O866" s="105"/>
      <c r="P866" s="105"/>
      <c r="Q866" s="105"/>
    </row>
    <row r="867">
      <c r="A867" s="5"/>
      <c r="B867" s="105"/>
      <c r="C867" s="105"/>
      <c r="D867" s="105"/>
      <c r="E867" s="105"/>
      <c r="F867" s="105"/>
      <c r="G867" s="106"/>
      <c r="H867" s="105"/>
      <c r="I867" s="105"/>
      <c r="J867" s="105"/>
      <c r="K867" s="105"/>
      <c r="L867" s="109"/>
      <c r="M867" s="109"/>
      <c r="N867" s="109"/>
      <c r="O867" s="105"/>
      <c r="P867" s="105"/>
      <c r="Q867" s="105"/>
    </row>
    <row r="868">
      <c r="A868" s="5"/>
      <c r="B868" s="105"/>
      <c r="C868" s="105"/>
      <c r="D868" s="105"/>
      <c r="E868" s="105"/>
      <c r="F868" s="105"/>
      <c r="G868" s="106"/>
      <c r="H868" s="105"/>
      <c r="I868" s="105"/>
      <c r="J868" s="105"/>
      <c r="K868" s="105"/>
      <c r="L868" s="109"/>
      <c r="M868" s="109"/>
      <c r="N868" s="109"/>
      <c r="O868" s="105"/>
      <c r="P868" s="105"/>
      <c r="Q868" s="105"/>
    </row>
    <row r="869">
      <c r="A869" s="5"/>
      <c r="B869" s="105"/>
      <c r="C869" s="105"/>
      <c r="D869" s="105"/>
      <c r="E869" s="105"/>
      <c r="F869" s="105"/>
      <c r="G869" s="106"/>
      <c r="H869" s="105"/>
      <c r="I869" s="105"/>
      <c r="J869" s="105"/>
      <c r="K869" s="105"/>
      <c r="L869" s="109"/>
      <c r="M869" s="109"/>
      <c r="N869" s="109"/>
      <c r="O869" s="105"/>
      <c r="P869" s="105"/>
      <c r="Q869" s="105"/>
    </row>
    <row r="870">
      <c r="A870" s="5"/>
      <c r="B870" s="105"/>
      <c r="C870" s="105"/>
      <c r="D870" s="105"/>
      <c r="E870" s="105"/>
      <c r="F870" s="105"/>
      <c r="G870" s="106"/>
      <c r="H870" s="105"/>
      <c r="I870" s="105"/>
      <c r="J870" s="105"/>
      <c r="K870" s="105"/>
      <c r="L870" s="109"/>
      <c r="M870" s="109"/>
      <c r="N870" s="109"/>
      <c r="O870" s="105"/>
      <c r="P870" s="105"/>
      <c r="Q870" s="105"/>
    </row>
    <row r="871">
      <c r="A871" s="5"/>
      <c r="B871" s="105"/>
      <c r="C871" s="105"/>
      <c r="D871" s="105"/>
      <c r="E871" s="105"/>
      <c r="F871" s="105"/>
      <c r="G871" s="106"/>
      <c r="H871" s="105"/>
      <c r="I871" s="105"/>
      <c r="J871" s="105"/>
      <c r="K871" s="105"/>
      <c r="L871" s="109"/>
      <c r="M871" s="109"/>
      <c r="N871" s="109"/>
      <c r="O871" s="105"/>
      <c r="P871" s="105"/>
      <c r="Q871" s="105"/>
    </row>
    <row r="872">
      <c r="A872" s="5"/>
      <c r="B872" s="105"/>
      <c r="C872" s="105"/>
      <c r="D872" s="105"/>
      <c r="E872" s="105"/>
      <c r="F872" s="105"/>
      <c r="G872" s="106"/>
      <c r="H872" s="105"/>
      <c r="I872" s="105"/>
      <c r="J872" s="105"/>
      <c r="K872" s="105"/>
      <c r="L872" s="109"/>
      <c r="M872" s="109"/>
      <c r="N872" s="109"/>
      <c r="O872" s="105"/>
      <c r="P872" s="105"/>
      <c r="Q872" s="105"/>
    </row>
    <row r="873">
      <c r="A873" s="5"/>
      <c r="B873" s="105"/>
      <c r="C873" s="105"/>
      <c r="D873" s="105"/>
      <c r="E873" s="105"/>
      <c r="F873" s="105"/>
      <c r="G873" s="106"/>
      <c r="H873" s="105"/>
      <c r="I873" s="105"/>
      <c r="J873" s="105"/>
      <c r="K873" s="105"/>
      <c r="L873" s="109"/>
      <c r="M873" s="109"/>
      <c r="N873" s="109"/>
      <c r="O873" s="105"/>
      <c r="P873" s="105"/>
      <c r="Q873" s="105"/>
    </row>
    <row r="874">
      <c r="A874" s="5"/>
      <c r="B874" s="105"/>
      <c r="C874" s="105"/>
      <c r="D874" s="105"/>
      <c r="E874" s="105"/>
      <c r="F874" s="105"/>
      <c r="G874" s="106"/>
      <c r="H874" s="105"/>
      <c r="I874" s="105"/>
      <c r="J874" s="105"/>
      <c r="K874" s="105"/>
      <c r="L874" s="109"/>
      <c r="M874" s="109"/>
      <c r="N874" s="109"/>
      <c r="O874" s="105"/>
      <c r="P874" s="105"/>
      <c r="Q874" s="105"/>
    </row>
    <row r="875">
      <c r="A875" s="5"/>
      <c r="B875" s="105"/>
      <c r="C875" s="105"/>
      <c r="D875" s="105"/>
      <c r="E875" s="105"/>
      <c r="F875" s="105"/>
      <c r="G875" s="106"/>
      <c r="H875" s="105"/>
      <c r="I875" s="105"/>
      <c r="J875" s="105"/>
      <c r="K875" s="105"/>
      <c r="L875" s="109"/>
      <c r="M875" s="109"/>
      <c r="N875" s="109"/>
      <c r="O875" s="105"/>
      <c r="P875" s="105"/>
      <c r="Q875" s="105"/>
    </row>
    <row r="876">
      <c r="A876" s="5"/>
      <c r="B876" s="105"/>
      <c r="C876" s="105"/>
      <c r="D876" s="105"/>
      <c r="E876" s="105"/>
      <c r="F876" s="105"/>
      <c r="G876" s="106"/>
      <c r="H876" s="105"/>
      <c r="I876" s="105"/>
      <c r="J876" s="105"/>
      <c r="K876" s="105"/>
      <c r="L876" s="109"/>
      <c r="M876" s="109"/>
      <c r="N876" s="109"/>
      <c r="O876" s="105"/>
      <c r="P876" s="105"/>
      <c r="Q876" s="105"/>
    </row>
    <row r="877">
      <c r="A877" s="5"/>
      <c r="B877" s="105"/>
      <c r="C877" s="105"/>
      <c r="D877" s="105"/>
      <c r="E877" s="105"/>
      <c r="F877" s="105"/>
      <c r="G877" s="106"/>
      <c r="H877" s="105"/>
      <c r="I877" s="105"/>
      <c r="J877" s="105"/>
      <c r="K877" s="105"/>
      <c r="L877" s="109"/>
      <c r="M877" s="109"/>
      <c r="N877" s="109"/>
      <c r="O877" s="105"/>
      <c r="P877" s="105"/>
      <c r="Q877" s="105"/>
    </row>
    <row r="878">
      <c r="A878" s="5"/>
      <c r="B878" s="105"/>
      <c r="C878" s="105"/>
      <c r="D878" s="105"/>
      <c r="E878" s="105"/>
      <c r="F878" s="105"/>
      <c r="G878" s="106"/>
      <c r="H878" s="105"/>
      <c r="I878" s="105"/>
      <c r="J878" s="105"/>
      <c r="K878" s="105"/>
      <c r="L878" s="109"/>
      <c r="M878" s="109"/>
      <c r="N878" s="109"/>
      <c r="O878" s="105"/>
      <c r="P878" s="105"/>
      <c r="Q878" s="105"/>
    </row>
    <row r="879">
      <c r="A879" s="5"/>
      <c r="B879" s="105"/>
      <c r="C879" s="105"/>
      <c r="D879" s="105"/>
      <c r="E879" s="105"/>
      <c r="F879" s="105"/>
      <c r="G879" s="106"/>
      <c r="H879" s="105"/>
      <c r="I879" s="105"/>
      <c r="J879" s="105"/>
      <c r="K879" s="105"/>
      <c r="L879" s="109"/>
      <c r="M879" s="109"/>
      <c r="N879" s="109"/>
      <c r="O879" s="105"/>
      <c r="P879" s="105"/>
      <c r="Q879" s="105"/>
    </row>
    <row r="880">
      <c r="A880" s="5"/>
      <c r="B880" s="105"/>
      <c r="C880" s="105"/>
      <c r="D880" s="105"/>
      <c r="E880" s="105"/>
      <c r="F880" s="105"/>
      <c r="G880" s="106"/>
      <c r="H880" s="105"/>
      <c r="I880" s="105"/>
      <c r="J880" s="105"/>
      <c r="K880" s="105"/>
      <c r="L880" s="109"/>
      <c r="M880" s="109"/>
      <c r="N880" s="109"/>
      <c r="O880" s="105"/>
      <c r="P880" s="105"/>
      <c r="Q880" s="105"/>
    </row>
    <row r="881">
      <c r="A881" s="5"/>
      <c r="B881" s="105"/>
      <c r="C881" s="105"/>
      <c r="D881" s="105"/>
      <c r="E881" s="105"/>
      <c r="F881" s="105"/>
      <c r="G881" s="106"/>
      <c r="H881" s="105"/>
      <c r="I881" s="105"/>
      <c r="J881" s="105"/>
      <c r="K881" s="105"/>
      <c r="L881" s="109"/>
      <c r="M881" s="109"/>
      <c r="N881" s="109"/>
      <c r="O881" s="105"/>
      <c r="P881" s="105"/>
      <c r="Q881" s="105"/>
    </row>
    <row r="882">
      <c r="A882" s="5"/>
      <c r="B882" s="105"/>
      <c r="C882" s="105"/>
      <c r="D882" s="105"/>
      <c r="E882" s="105"/>
      <c r="F882" s="105"/>
      <c r="G882" s="106"/>
      <c r="H882" s="105"/>
      <c r="I882" s="105"/>
      <c r="J882" s="105"/>
      <c r="K882" s="105"/>
      <c r="L882" s="109"/>
      <c r="M882" s="109"/>
      <c r="N882" s="109"/>
      <c r="O882" s="105"/>
      <c r="P882" s="105"/>
      <c r="Q882" s="105"/>
    </row>
    <row r="883">
      <c r="A883" s="5"/>
      <c r="B883" s="105"/>
      <c r="C883" s="105"/>
      <c r="D883" s="105"/>
      <c r="E883" s="105"/>
      <c r="F883" s="105"/>
      <c r="G883" s="106"/>
      <c r="H883" s="105"/>
      <c r="I883" s="105"/>
      <c r="J883" s="105"/>
      <c r="K883" s="105"/>
      <c r="L883" s="109"/>
      <c r="M883" s="109"/>
      <c r="N883" s="109"/>
      <c r="O883" s="105"/>
      <c r="P883" s="105"/>
      <c r="Q883" s="105"/>
    </row>
    <row r="884">
      <c r="A884" s="5"/>
      <c r="B884" s="105"/>
      <c r="C884" s="105"/>
      <c r="D884" s="105"/>
      <c r="E884" s="105"/>
      <c r="F884" s="105"/>
      <c r="G884" s="106"/>
      <c r="H884" s="105"/>
      <c r="I884" s="105"/>
      <c r="J884" s="105"/>
      <c r="K884" s="105"/>
      <c r="L884" s="109"/>
      <c r="M884" s="109"/>
      <c r="N884" s="109"/>
      <c r="O884" s="105"/>
      <c r="P884" s="105"/>
      <c r="Q884" s="105"/>
    </row>
    <row r="885">
      <c r="A885" s="5"/>
      <c r="B885" s="105"/>
      <c r="C885" s="105"/>
      <c r="D885" s="105"/>
      <c r="E885" s="105"/>
      <c r="F885" s="105"/>
      <c r="G885" s="106"/>
      <c r="H885" s="105"/>
      <c r="I885" s="105"/>
      <c r="J885" s="105"/>
      <c r="K885" s="105"/>
      <c r="L885" s="109"/>
      <c r="M885" s="109"/>
      <c r="N885" s="109"/>
      <c r="O885" s="105"/>
      <c r="P885" s="105"/>
      <c r="Q885" s="105"/>
    </row>
    <row r="886">
      <c r="A886" s="5"/>
      <c r="B886" s="105"/>
      <c r="C886" s="105"/>
      <c r="D886" s="105"/>
      <c r="E886" s="105"/>
      <c r="F886" s="105"/>
      <c r="G886" s="106"/>
      <c r="H886" s="105"/>
      <c r="I886" s="105"/>
      <c r="J886" s="105"/>
      <c r="K886" s="105"/>
      <c r="L886" s="109"/>
      <c r="M886" s="109"/>
      <c r="N886" s="109"/>
      <c r="O886" s="105"/>
      <c r="P886" s="105"/>
      <c r="Q886" s="105"/>
    </row>
    <row r="887">
      <c r="A887" s="5"/>
      <c r="B887" s="105"/>
      <c r="C887" s="105"/>
      <c r="D887" s="105"/>
      <c r="E887" s="105"/>
      <c r="F887" s="105"/>
      <c r="G887" s="106"/>
      <c r="H887" s="105"/>
      <c r="I887" s="105"/>
      <c r="J887" s="105"/>
      <c r="K887" s="105"/>
      <c r="L887" s="109"/>
      <c r="M887" s="109"/>
      <c r="N887" s="109"/>
      <c r="O887" s="105"/>
      <c r="P887" s="105"/>
      <c r="Q887" s="105"/>
    </row>
    <row r="888">
      <c r="A888" s="5"/>
      <c r="B888" s="105"/>
      <c r="C888" s="105"/>
      <c r="D888" s="105"/>
      <c r="E888" s="105"/>
      <c r="F888" s="105"/>
      <c r="G888" s="106"/>
      <c r="H888" s="105"/>
      <c r="I888" s="105"/>
      <c r="J888" s="105"/>
      <c r="K888" s="105"/>
      <c r="L888" s="109"/>
      <c r="M888" s="109"/>
      <c r="N888" s="109"/>
      <c r="O888" s="105"/>
      <c r="P888" s="105"/>
      <c r="Q888" s="105"/>
    </row>
    <row r="889">
      <c r="A889" s="5"/>
      <c r="B889" s="105"/>
      <c r="C889" s="105"/>
      <c r="D889" s="105"/>
      <c r="E889" s="105"/>
      <c r="F889" s="105"/>
      <c r="G889" s="106"/>
      <c r="H889" s="105"/>
      <c r="I889" s="105"/>
      <c r="J889" s="105"/>
      <c r="K889" s="105"/>
      <c r="L889" s="109"/>
      <c r="M889" s="109"/>
      <c r="N889" s="109"/>
      <c r="O889" s="105"/>
      <c r="P889" s="105"/>
      <c r="Q889" s="105"/>
    </row>
    <row r="890">
      <c r="A890" s="5"/>
      <c r="B890" s="105"/>
      <c r="C890" s="105"/>
      <c r="D890" s="105"/>
      <c r="E890" s="105"/>
      <c r="F890" s="105"/>
      <c r="G890" s="106"/>
      <c r="H890" s="105"/>
      <c r="I890" s="105"/>
      <c r="J890" s="105"/>
      <c r="K890" s="105"/>
      <c r="L890" s="109"/>
      <c r="M890" s="109"/>
      <c r="N890" s="109"/>
      <c r="O890" s="105"/>
      <c r="P890" s="105"/>
      <c r="Q890" s="105"/>
    </row>
    <row r="891">
      <c r="A891" s="5"/>
      <c r="B891" s="105"/>
      <c r="C891" s="105"/>
      <c r="D891" s="105"/>
      <c r="E891" s="105"/>
      <c r="F891" s="105"/>
      <c r="G891" s="106"/>
      <c r="H891" s="105"/>
      <c r="I891" s="105"/>
      <c r="J891" s="105"/>
      <c r="K891" s="105"/>
      <c r="L891" s="109"/>
      <c r="M891" s="109"/>
      <c r="N891" s="109"/>
      <c r="O891" s="105"/>
      <c r="P891" s="105"/>
      <c r="Q891" s="105"/>
    </row>
    <row r="892">
      <c r="A892" s="5"/>
      <c r="B892" s="105"/>
      <c r="C892" s="105"/>
      <c r="D892" s="105"/>
      <c r="E892" s="105"/>
      <c r="F892" s="105"/>
      <c r="G892" s="106"/>
      <c r="H892" s="105"/>
      <c r="I892" s="105"/>
      <c r="J892" s="105"/>
      <c r="K892" s="105"/>
      <c r="L892" s="109"/>
      <c r="M892" s="109"/>
      <c r="N892" s="109"/>
      <c r="O892" s="105"/>
      <c r="P892" s="105"/>
      <c r="Q892" s="105"/>
    </row>
    <row r="893">
      <c r="A893" s="5"/>
      <c r="B893" s="105"/>
      <c r="C893" s="105"/>
      <c r="D893" s="105"/>
      <c r="E893" s="105"/>
      <c r="F893" s="105"/>
      <c r="G893" s="106"/>
      <c r="H893" s="105"/>
      <c r="I893" s="105"/>
      <c r="J893" s="105"/>
      <c r="K893" s="105"/>
      <c r="L893" s="109"/>
      <c r="M893" s="109"/>
      <c r="N893" s="109"/>
      <c r="O893" s="105"/>
      <c r="P893" s="105"/>
      <c r="Q893" s="105"/>
    </row>
    <row r="894">
      <c r="A894" s="5"/>
      <c r="B894" s="105"/>
      <c r="C894" s="105"/>
      <c r="D894" s="105"/>
      <c r="E894" s="105"/>
      <c r="F894" s="105"/>
      <c r="G894" s="106"/>
      <c r="H894" s="105"/>
      <c r="I894" s="105"/>
      <c r="J894" s="105"/>
      <c r="K894" s="105"/>
      <c r="L894" s="109"/>
      <c r="M894" s="109"/>
      <c r="N894" s="109"/>
      <c r="O894" s="105"/>
      <c r="P894" s="105"/>
      <c r="Q894" s="105"/>
    </row>
    <row r="895">
      <c r="A895" s="5"/>
      <c r="B895" s="105"/>
      <c r="C895" s="105"/>
      <c r="D895" s="105"/>
      <c r="E895" s="105"/>
      <c r="F895" s="105"/>
      <c r="G895" s="106"/>
      <c r="H895" s="105"/>
      <c r="I895" s="105"/>
      <c r="J895" s="105"/>
      <c r="K895" s="105"/>
      <c r="L895" s="109"/>
      <c r="M895" s="109"/>
      <c r="N895" s="109"/>
      <c r="O895" s="105"/>
      <c r="P895" s="105"/>
      <c r="Q895" s="105"/>
    </row>
    <row r="896">
      <c r="A896" s="5"/>
      <c r="B896" s="105"/>
      <c r="C896" s="105"/>
      <c r="D896" s="105"/>
      <c r="E896" s="105"/>
      <c r="F896" s="105"/>
      <c r="G896" s="106"/>
      <c r="H896" s="105"/>
      <c r="I896" s="105"/>
      <c r="J896" s="105"/>
      <c r="K896" s="105"/>
      <c r="L896" s="109"/>
      <c r="M896" s="109"/>
      <c r="N896" s="109"/>
      <c r="O896" s="105"/>
      <c r="P896" s="105"/>
      <c r="Q896" s="105"/>
    </row>
    <row r="897">
      <c r="A897" s="5"/>
      <c r="B897" s="105"/>
      <c r="C897" s="105"/>
      <c r="D897" s="105"/>
      <c r="E897" s="105"/>
      <c r="F897" s="105"/>
      <c r="G897" s="106"/>
      <c r="H897" s="105"/>
      <c r="I897" s="105"/>
      <c r="J897" s="105"/>
      <c r="K897" s="105"/>
      <c r="L897" s="109"/>
      <c r="M897" s="109"/>
      <c r="N897" s="109"/>
      <c r="O897" s="105"/>
      <c r="P897" s="105"/>
      <c r="Q897" s="105"/>
    </row>
    <row r="898">
      <c r="A898" s="5"/>
      <c r="B898" s="105"/>
      <c r="C898" s="105"/>
      <c r="D898" s="105"/>
      <c r="E898" s="105"/>
      <c r="F898" s="105"/>
      <c r="G898" s="106"/>
      <c r="H898" s="105"/>
      <c r="I898" s="105"/>
      <c r="J898" s="105"/>
      <c r="K898" s="105"/>
      <c r="L898" s="109"/>
      <c r="M898" s="109"/>
      <c r="N898" s="109"/>
      <c r="O898" s="105"/>
      <c r="P898" s="105"/>
      <c r="Q898" s="105"/>
    </row>
    <row r="899">
      <c r="A899" s="5"/>
      <c r="B899" s="105"/>
      <c r="C899" s="105"/>
      <c r="D899" s="105"/>
      <c r="E899" s="105"/>
      <c r="F899" s="105"/>
      <c r="G899" s="106"/>
      <c r="H899" s="105"/>
      <c r="I899" s="105"/>
      <c r="J899" s="105"/>
      <c r="K899" s="105"/>
      <c r="L899" s="109"/>
      <c r="M899" s="109"/>
      <c r="N899" s="109"/>
      <c r="O899" s="105"/>
      <c r="P899" s="105"/>
      <c r="Q899" s="105"/>
    </row>
    <row r="900">
      <c r="A900" s="5"/>
      <c r="B900" s="105"/>
      <c r="C900" s="105"/>
      <c r="D900" s="105"/>
      <c r="E900" s="105"/>
      <c r="F900" s="105"/>
      <c r="G900" s="106"/>
      <c r="H900" s="105"/>
      <c r="I900" s="105"/>
      <c r="J900" s="105"/>
      <c r="K900" s="105"/>
      <c r="L900" s="109"/>
      <c r="M900" s="109"/>
      <c r="N900" s="109"/>
      <c r="O900" s="105"/>
      <c r="P900" s="105"/>
      <c r="Q900" s="105"/>
    </row>
    <row r="901">
      <c r="A901" s="5"/>
      <c r="B901" s="105"/>
      <c r="C901" s="105"/>
      <c r="D901" s="105"/>
      <c r="E901" s="105"/>
      <c r="F901" s="105"/>
      <c r="G901" s="106"/>
      <c r="H901" s="105"/>
      <c r="I901" s="105"/>
      <c r="J901" s="105"/>
      <c r="K901" s="105"/>
      <c r="L901" s="109"/>
      <c r="M901" s="109"/>
      <c r="N901" s="109"/>
      <c r="O901" s="105"/>
      <c r="P901" s="105"/>
      <c r="Q901" s="105"/>
    </row>
    <row r="902">
      <c r="A902" s="5"/>
      <c r="B902" s="105"/>
      <c r="C902" s="105"/>
      <c r="D902" s="105"/>
      <c r="E902" s="105"/>
      <c r="F902" s="105"/>
      <c r="G902" s="106"/>
      <c r="H902" s="105"/>
      <c r="I902" s="105"/>
      <c r="J902" s="105"/>
      <c r="K902" s="105"/>
      <c r="L902" s="109"/>
      <c r="M902" s="109"/>
      <c r="N902" s="109"/>
      <c r="O902" s="105"/>
      <c r="P902" s="105"/>
      <c r="Q902" s="105"/>
    </row>
    <row r="903">
      <c r="A903" s="5"/>
      <c r="B903" s="105"/>
      <c r="C903" s="105"/>
      <c r="D903" s="105"/>
      <c r="E903" s="105"/>
      <c r="F903" s="105"/>
      <c r="G903" s="106"/>
      <c r="H903" s="105"/>
      <c r="I903" s="105"/>
      <c r="J903" s="105"/>
      <c r="K903" s="105"/>
      <c r="L903" s="109"/>
      <c r="M903" s="109"/>
      <c r="N903" s="109"/>
      <c r="O903" s="105"/>
      <c r="P903" s="105"/>
      <c r="Q903" s="105"/>
    </row>
    <row r="904">
      <c r="A904" s="5"/>
      <c r="B904" s="105"/>
      <c r="C904" s="105"/>
      <c r="D904" s="105"/>
      <c r="E904" s="105"/>
      <c r="F904" s="105"/>
      <c r="G904" s="106"/>
      <c r="H904" s="105"/>
      <c r="I904" s="105"/>
      <c r="J904" s="105"/>
      <c r="K904" s="105"/>
      <c r="L904" s="109"/>
      <c r="M904" s="109"/>
      <c r="N904" s="109"/>
      <c r="O904" s="105"/>
      <c r="P904" s="105"/>
      <c r="Q904" s="105"/>
    </row>
    <row r="905">
      <c r="A905" s="5"/>
      <c r="B905" s="105"/>
      <c r="C905" s="105"/>
      <c r="D905" s="105"/>
      <c r="E905" s="105"/>
      <c r="F905" s="105"/>
      <c r="G905" s="106"/>
      <c r="H905" s="105"/>
      <c r="I905" s="105"/>
      <c r="J905" s="105"/>
      <c r="K905" s="105"/>
      <c r="L905" s="109"/>
      <c r="M905" s="109"/>
      <c r="N905" s="109"/>
      <c r="O905" s="105"/>
      <c r="P905" s="105"/>
      <c r="Q905" s="105"/>
    </row>
    <row r="906">
      <c r="A906" s="5"/>
      <c r="B906" s="105"/>
      <c r="C906" s="105"/>
      <c r="D906" s="105"/>
      <c r="E906" s="105"/>
      <c r="F906" s="105"/>
      <c r="G906" s="106"/>
      <c r="H906" s="105"/>
      <c r="I906" s="105"/>
      <c r="J906" s="105"/>
      <c r="K906" s="105"/>
      <c r="L906" s="109"/>
      <c r="M906" s="109"/>
      <c r="N906" s="109"/>
      <c r="O906" s="105"/>
      <c r="P906" s="105"/>
      <c r="Q906" s="105"/>
    </row>
    <row r="907">
      <c r="A907" s="5"/>
      <c r="B907" s="105"/>
      <c r="C907" s="105"/>
      <c r="D907" s="105"/>
      <c r="E907" s="105"/>
      <c r="F907" s="105"/>
      <c r="G907" s="106"/>
      <c r="H907" s="105"/>
      <c r="I907" s="105"/>
      <c r="J907" s="105"/>
      <c r="K907" s="105"/>
      <c r="L907" s="109"/>
      <c r="M907" s="109"/>
      <c r="N907" s="109"/>
      <c r="O907" s="105"/>
      <c r="P907" s="105"/>
      <c r="Q907" s="105"/>
    </row>
    <row r="908">
      <c r="A908" s="5"/>
      <c r="B908" s="105"/>
      <c r="C908" s="105"/>
      <c r="D908" s="105"/>
      <c r="E908" s="105"/>
      <c r="F908" s="105"/>
      <c r="G908" s="106"/>
      <c r="H908" s="105"/>
      <c r="I908" s="105"/>
      <c r="J908" s="105"/>
      <c r="K908" s="105"/>
      <c r="L908" s="109"/>
      <c r="M908" s="109"/>
      <c r="N908" s="109"/>
      <c r="O908" s="105"/>
      <c r="P908" s="105"/>
      <c r="Q908" s="105"/>
    </row>
    <row r="909">
      <c r="A909" s="5"/>
      <c r="B909" s="105"/>
      <c r="C909" s="105"/>
      <c r="D909" s="105"/>
      <c r="E909" s="105"/>
      <c r="F909" s="105"/>
      <c r="G909" s="106"/>
      <c r="H909" s="105"/>
      <c r="I909" s="105"/>
      <c r="J909" s="105"/>
      <c r="K909" s="105"/>
      <c r="L909" s="109"/>
      <c r="M909" s="109"/>
      <c r="N909" s="109"/>
      <c r="O909" s="105"/>
      <c r="P909" s="105"/>
      <c r="Q909" s="105"/>
    </row>
    <row r="910">
      <c r="A910" s="5"/>
      <c r="B910" s="105"/>
      <c r="C910" s="105"/>
      <c r="D910" s="105"/>
      <c r="E910" s="105"/>
      <c r="F910" s="105"/>
      <c r="G910" s="106"/>
      <c r="H910" s="105"/>
      <c r="I910" s="105"/>
      <c r="J910" s="105"/>
      <c r="K910" s="105"/>
      <c r="L910" s="109"/>
      <c r="M910" s="109"/>
      <c r="N910" s="109"/>
      <c r="O910" s="105"/>
      <c r="P910" s="105"/>
      <c r="Q910" s="105"/>
    </row>
    <row r="911">
      <c r="A911" s="5"/>
      <c r="B911" s="105"/>
      <c r="C911" s="105"/>
      <c r="D911" s="105"/>
      <c r="E911" s="105"/>
      <c r="F911" s="105"/>
      <c r="G911" s="106"/>
      <c r="H911" s="105"/>
      <c r="I911" s="105"/>
      <c r="J911" s="105"/>
      <c r="K911" s="105"/>
      <c r="L911" s="109"/>
      <c r="M911" s="109"/>
      <c r="N911" s="109"/>
      <c r="O911" s="105"/>
      <c r="P911" s="105"/>
      <c r="Q911" s="105"/>
    </row>
    <row r="912">
      <c r="A912" s="5"/>
      <c r="B912" s="105"/>
      <c r="C912" s="105"/>
      <c r="D912" s="105"/>
      <c r="E912" s="105"/>
      <c r="F912" s="105"/>
      <c r="G912" s="106"/>
      <c r="H912" s="105"/>
      <c r="I912" s="105"/>
      <c r="J912" s="105"/>
      <c r="K912" s="105"/>
      <c r="L912" s="109"/>
      <c r="M912" s="109"/>
      <c r="N912" s="109"/>
      <c r="O912" s="105"/>
      <c r="P912" s="105"/>
      <c r="Q912" s="105"/>
    </row>
    <row r="913">
      <c r="A913" s="5"/>
      <c r="B913" s="105"/>
      <c r="C913" s="105"/>
      <c r="D913" s="105"/>
      <c r="E913" s="105"/>
      <c r="F913" s="105"/>
      <c r="G913" s="106"/>
      <c r="H913" s="105"/>
      <c r="I913" s="105"/>
      <c r="J913" s="105"/>
      <c r="K913" s="105"/>
      <c r="L913" s="109"/>
      <c r="M913" s="109"/>
      <c r="N913" s="109"/>
      <c r="O913" s="105"/>
      <c r="P913" s="105"/>
      <c r="Q913" s="105"/>
    </row>
    <row r="914">
      <c r="A914" s="5"/>
      <c r="B914" s="105"/>
      <c r="C914" s="105"/>
      <c r="D914" s="105"/>
      <c r="E914" s="105"/>
      <c r="F914" s="105"/>
      <c r="G914" s="106"/>
      <c r="H914" s="105"/>
      <c r="I914" s="105"/>
      <c r="J914" s="105"/>
      <c r="K914" s="105"/>
      <c r="L914" s="109"/>
      <c r="M914" s="109"/>
      <c r="N914" s="109"/>
      <c r="O914" s="105"/>
      <c r="P914" s="105"/>
      <c r="Q914" s="105"/>
    </row>
    <row r="915">
      <c r="A915" s="5"/>
      <c r="B915" s="105"/>
      <c r="C915" s="105"/>
      <c r="D915" s="105"/>
      <c r="E915" s="105"/>
      <c r="F915" s="105"/>
      <c r="G915" s="106"/>
      <c r="H915" s="105"/>
      <c r="I915" s="105"/>
      <c r="J915" s="105"/>
      <c r="K915" s="105"/>
      <c r="L915" s="109"/>
      <c r="M915" s="109"/>
      <c r="N915" s="109"/>
      <c r="O915" s="105"/>
      <c r="P915" s="105"/>
      <c r="Q915" s="105"/>
    </row>
    <row r="916">
      <c r="A916" s="5"/>
      <c r="B916" s="105"/>
      <c r="C916" s="105"/>
      <c r="D916" s="105"/>
      <c r="E916" s="105"/>
      <c r="F916" s="105"/>
      <c r="G916" s="106"/>
      <c r="H916" s="105"/>
      <c r="I916" s="105"/>
      <c r="J916" s="105"/>
      <c r="K916" s="105"/>
      <c r="L916" s="109"/>
      <c r="M916" s="109"/>
      <c r="N916" s="109"/>
      <c r="O916" s="105"/>
      <c r="P916" s="105"/>
      <c r="Q916" s="105"/>
    </row>
    <row r="917">
      <c r="A917" s="5"/>
      <c r="B917" s="105"/>
      <c r="C917" s="105"/>
      <c r="D917" s="105"/>
      <c r="E917" s="105"/>
      <c r="F917" s="105"/>
      <c r="G917" s="106"/>
      <c r="H917" s="105"/>
      <c r="I917" s="105"/>
      <c r="J917" s="105"/>
      <c r="K917" s="105"/>
      <c r="L917" s="109"/>
      <c r="M917" s="109"/>
      <c r="N917" s="109"/>
      <c r="O917" s="105"/>
      <c r="P917" s="105"/>
      <c r="Q917" s="105"/>
    </row>
    <row r="918">
      <c r="A918" s="5"/>
      <c r="B918" s="105"/>
      <c r="C918" s="105"/>
      <c r="D918" s="105"/>
      <c r="E918" s="105"/>
      <c r="F918" s="105"/>
      <c r="G918" s="106"/>
      <c r="H918" s="105"/>
      <c r="I918" s="105"/>
      <c r="J918" s="105"/>
      <c r="K918" s="105"/>
      <c r="L918" s="109"/>
      <c r="M918" s="109"/>
      <c r="N918" s="109"/>
      <c r="O918" s="105"/>
      <c r="P918" s="105"/>
      <c r="Q918" s="105"/>
    </row>
    <row r="919">
      <c r="A919" s="5"/>
      <c r="B919" s="105"/>
      <c r="C919" s="105"/>
      <c r="D919" s="105"/>
      <c r="E919" s="105"/>
      <c r="F919" s="105"/>
      <c r="G919" s="106"/>
      <c r="H919" s="105"/>
      <c r="I919" s="105"/>
      <c r="J919" s="105"/>
      <c r="K919" s="105"/>
      <c r="L919" s="109"/>
      <c r="M919" s="109"/>
      <c r="N919" s="109"/>
      <c r="O919" s="105"/>
      <c r="P919" s="105"/>
      <c r="Q919" s="105"/>
    </row>
    <row r="920">
      <c r="A920" s="5"/>
      <c r="B920" s="105"/>
      <c r="C920" s="105"/>
      <c r="D920" s="105"/>
      <c r="E920" s="105"/>
      <c r="F920" s="105"/>
      <c r="G920" s="106"/>
      <c r="H920" s="105"/>
      <c r="I920" s="105"/>
      <c r="J920" s="105"/>
      <c r="K920" s="105"/>
      <c r="L920" s="109"/>
      <c r="M920" s="109"/>
      <c r="N920" s="109"/>
      <c r="O920" s="105"/>
      <c r="P920" s="105"/>
      <c r="Q920" s="105"/>
    </row>
    <row r="921">
      <c r="A921" s="5"/>
      <c r="B921" s="105"/>
      <c r="C921" s="105"/>
      <c r="D921" s="105"/>
      <c r="E921" s="105"/>
      <c r="F921" s="105"/>
      <c r="G921" s="106"/>
      <c r="H921" s="105"/>
      <c r="I921" s="105"/>
      <c r="J921" s="105"/>
      <c r="K921" s="105"/>
      <c r="L921" s="109"/>
      <c r="M921" s="109"/>
      <c r="N921" s="109"/>
      <c r="O921" s="105"/>
      <c r="P921" s="105"/>
      <c r="Q921" s="105"/>
    </row>
    <row r="922">
      <c r="A922" s="5"/>
      <c r="B922" s="105"/>
      <c r="C922" s="105"/>
      <c r="D922" s="105"/>
      <c r="E922" s="105"/>
      <c r="F922" s="105"/>
      <c r="G922" s="106"/>
      <c r="H922" s="105"/>
      <c r="I922" s="105"/>
      <c r="J922" s="105"/>
      <c r="K922" s="105"/>
      <c r="L922" s="109"/>
      <c r="M922" s="109"/>
      <c r="N922" s="109"/>
      <c r="O922" s="105"/>
      <c r="P922" s="105"/>
      <c r="Q922" s="105"/>
    </row>
    <row r="923">
      <c r="A923" s="5"/>
      <c r="B923" s="105"/>
      <c r="C923" s="105"/>
      <c r="D923" s="105"/>
      <c r="E923" s="105"/>
      <c r="F923" s="105"/>
      <c r="G923" s="106"/>
      <c r="H923" s="105"/>
      <c r="I923" s="105"/>
      <c r="J923" s="105"/>
      <c r="K923" s="105"/>
      <c r="L923" s="109"/>
      <c r="M923" s="109"/>
      <c r="N923" s="109"/>
      <c r="O923" s="105"/>
      <c r="P923" s="105"/>
      <c r="Q923" s="105"/>
    </row>
    <row r="924">
      <c r="A924" s="5"/>
      <c r="B924" s="105"/>
      <c r="C924" s="105"/>
      <c r="D924" s="105"/>
      <c r="E924" s="105"/>
      <c r="F924" s="105"/>
      <c r="G924" s="106"/>
      <c r="H924" s="105"/>
      <c r="I924" s="105"/>
      <c r="J924" s="105"/>
      <c r="K924" s="105"/>
      <c r="L924" s="109"/>
      <c r="M924" s="109"/>
      <c r="N924" s="109"/>
      <c r="O924" s="105"/>
      <c r="P924" s="105"/>
      <c r="Q924" s="105"/>
    </row>
    <row r="925">
      <c r="A925" s="5"/>
      <c r="B925" s="105"/>
      <c r="C925" s="105"/>
      <c r="D925" s="105"/>
      <c r="E925" s="105"/>
      <c r="F925" s="105"/>
      <c r="G925" s="106"/>
      <c r="H925" s="105"/>
      <c r="I925" s="105"/>
      <c r="J925" s="105"/>
      <c r="K925" s="105"/>
      <c r="L925" s="109"/>
      <c r="M925" s="109"/>
      <c r="N925" s="109"/>
      <c r="O925" s="105"/>
      <c r="P925" s="105"/>
      <c r="Q925" s="105"/>
    </row>
    <row r="926">
      <c r="A926" s="5"/>
      <c r="B926" s="105"/>
      <c r="C926" s="105"/>
      <c r="D926" s="105"/>
      <c r="E926" s="105"/>
      <c r="F926" s="105"/>
      <c r="G926" s="106"/>
      <c r="H926" s="105"/>
      <c r="I926" s="105"/>
      <c r="J926" s="105"/>
      <c r="K926" s="105"/>
      <c r="L926" s="109"/>
      <c r="M926" s="109"/>
      <c r="N926" s="109"/>
      <c r="O926" s="105"/>
      <c r="P926" s="105"/>
      <c r="Q926" s="105"/>
    </row>
    <row r="927">
      <c r="A927" s="5"/>
      <c r="B927" s="105"/>
      <c r="C927" s="105"/>
      <c r="D927" s="105"/>
      <c r="E927" s="105"/>
      <c r="F927" s="105"/>
      <c r="G927" s="106"/>
      <c r="H927" s="105"/>
      <c r="I927" s="105"/>
      <c r="J927" s="105"/>
      <c r="K927" s="105"/>
      <c r="L927" s="109"/>
      <c r="M927" s="109"/>
      <c r="N927" s="109"/>
      <c r="O927" s="105"/>
      <c r="P927" s="105"/>
      <c r="Q927" s="105"/>
    </row>
    <row r="928">
      <c r="A928" s="5"/>
      <c r="B928" s="105"/>
      <c r="C928" s="105"/>
      <c r="D928" s="105"/>
      <c r="E928" s="105"/>
      <c r="F928" s="105"/>
      <c r="G928" s="106"/>
      <c r="H928" s="105"/>
      <c r="I928" s="105"/>
      <c r="J928" s="105"/>
      <c r="K928" s="105"/>
      <c r="L928" s="109"/>
      <c r="M928" s="109"/>
      <c r="N928" s="109"/>
      <c r="O928" s="105"/>
      <c r="P928" s="105"/>
      <c r="Q928" s="105"/>
    </row>
    <row r="929">
      <c r="A929" s="5"/>
      <c r="B929" s="105"/>
      <c r="C929" s="105"/>
      <c r="D929" s="105"/>
      <c r="E929" s="105"/>
      <c r="F929" s="105"/>
      <c r="G929" s="106"/>
      <c r="H929" s="105"/>
      <c r="I929" s="105"/>
      <c r="J929" s="105"/>
      <c r="K929" s="105"/>
      <c r="L929" s="109"/>
      <c r="M929" s="109"/>
      <c r="N929" s="109"/>
      <c r="O929" s="105"/>
      <c r="P929" s="105"/>
      <c r="Q929" s="105"/>
    </row>
    <row r="930">
      <c r="A930" s="5"/>
      <c r="B930" s="105"/>
      <c r="C930" s="105"/>
      <c r="D930" s="105"/>
      <c r="E930" s="105"/>
      <c r="F930" s="105"/>
      <c r="G930" s="106"/>
      <c r="H930" s="105"/>
      <c r="I930" s="105"/>
      <c r="J930" s="105"/>
      <c r="K930" s="105"/>
      <c r="L930" s="109"/>
      <c r="M930" s="109"/>
      <c r="N930" s="109"/>
      <c r="O930" s="105"/>
      <c r="P930" s="105"/>
      <c r="Q930" s="105"/>
    </row>
    <row r="931">
      <c r="A931" s="5"/>
      <c r="B931" s="105"/>
      <c r="C931" s="105"/>
      <c r="D931" s="105"/>
      <c r="E931" s="105"/>
      <c r="F931" s="105"/>
      <c r="G931" s="106"/>
      <c r="H931" s="105"/>
      <c r="I931" s="105"/>
      <c r="J931" s="105"/>
      <c r="K931" s="105"/>
      <c r="L931" s="109"/>
      <c r="M931" s="109"/>
      <c r="N931" s="109"/>
      <c r="O931" s="105"/>
      <c r="P931" s="105"/>
      <c r="Q931" s="105"/>
    </row>
    <row r="932">
      <c r="A932" s="5"/>
      <c r="B932" s="105"/>
      <c r="C932" s="105"/>
      <c r="D932" s="105"/>
      <c r="E932" s="105"/>
      <c r="F932" s="105"/>
      <c r="G932" s="106"/>
      <c r="H932" s="105"/>
      <c r="I932" s="105"/>
      <c r="J932" s="105"/>
      <c r="K932" s="105"/>
      <c r="L932" s="109"/>
      <c r="M932" s="109"/>
      <c r="N932" s="109"/>
      <c r="O932" s="105"/>
      <c r="P932" s="105"/>
      <c r="Q932" s="105"/>
    </row>
    <row r="933">
      <c r="A933" s="5"/>
      <c r="B933" s="105"/>
      <c r="C933" s="105"/>
      <c r="D933" s="105"/>
      <c r="E933" s="105"/>
      <c r="F933" s="105"/>
      <c r="G933" s="106"/>
      <c r="H933" s="105"/>
      <c r="I933" s="105"/>
      <c r="J933" s="105"/>
      <c r="K933" s="105"/>
      <c r="L933" s="109"/>
      <c r="M933" s="109"/>
      <c r="N933" s="109"/>
      <c r="O933" s="105"/>
      <c r="P933" s="105"/>
      <c r="Q933" s="105"/>
    </row>
    <row r="934">
      <c r="A934" s="5"/>
      <c r="B934" s="105"/>
      <c r="C934" s="105"/>
      <c r="D934" s="105"/>
      <c r="E934" s="105"/>
      <c r="F934" s="105"/>
      <c r="G934" s="106"/>
      <c r="H934" s="105"/>
      <c r="I934" s="105"/>
      <c r="J934" s="105"/>
      <c r="K934" s="105"/>
      <c r="L934" s="109"/>
      <c r="M934" s="109"/>
      <c r="N934" s="109"/>
      <c r="O934" s="105"/>
      <c r="P934" s="105"/>
      <c r="Q934" s="105"/>
    </row>
    <row r="935">
      <c r="A935" s="5"/>
      <c r="B935" s="105"/>
      <c r="C935" s="105"/>
      <c r="D935" s="105"/>
      <c r="E935" s="105"/>
      <c r="F935" s="105"/>
      <c r="G935" s="106"/>
      <c r="H935" s="105"/>
      <c r="I935" s="105"/>
      <c r="J935" s="105"/>
      <c r="K935" s="105"/>
      <c r="L935" s="109"/>
      <c r="M935" s="109"/>
      <c r="N935" s="109"/>
      <c r="O935" s="105"/>
      <c r="P935" s="105"/>
      <c r="Q935" s="105"/>
    </row>
    <row r="936">
      <c r="A936" s="5"/>
      <c r="B936" s="105"/>
      <c r="C936" s="105"/>
      <c r="D936" s="105"/>
      <c r="E936" s="105"/>
      <c r="F936" s="105"/>
      <c r="G936" s="106"/>
      <c r="H936" s="105"/>
      <c r="I936" s="105"/>
      <c r="J936" s="105"/>
      <c r="K936" s="105"/>
      <c r="L936" s="109"/>
      <c r="M936" s="109"/>
      <c r="N936" s="109"/>
      <c r="O936" s="105"/>
      <c r="P936" s="105"/>
      <c r="Q936" s="105"/>
    </row>
    <row r="937">
      <c r="A937" s="5"/>
      <c r="B937" s="105"/>
      <c r="C937" s="105"/>
      <c r="D937" s="105"/>
      <c r="E937" s="105"/>
      <c r="F937" s="105"/>
      <c r="G937" s="106"/>
      <c r="H937" s="105"/>
      <c r="I937" s="105"/>
      <c r="J937" s="105"/>
      <c r="K937" s="105"/>
      <c r="L937" s="109"/>
      <c r="M937" s="109"/>
      <c r="N937" s="109"/>
      <c r="O937" s="105"/>
      <c r="P937" s="105"/>
      <c r="Q937" s="105"/>
    </row>
    <row r="938">
      <c r="A938" s="5"/>
      <c r="B938" s="105"/>
      <c r="C938" s="105"/>
      <c r="D938" s="105"/>
      <c r="E938" s="105"/>
      <c r="F938" s="105"/>
      <c r="G938" s="106"/>
      <c r="H938" s="105"/>
      <c r="I938" s="105"/>
      <c r="J938" s="105"/>
      <c r="K938" s="105"/>
      <c r="L938" s="109"/>
      <c r="M938" s="109"/>
      <c r="N938" s="109"/>
      <c r="O938" s="105"/>
      <c r="P938" s="105"/>
      <c r="Q938" s="105"/>
    </row>
    <row r="939">
      <c r="A939" s="5"/>
      <c r="B939" s="105"/>
      <c r="C939" s="105"/>
      <c r="D939" s="105"/>
      <c r="E939" s="105"/>
      <c r="F939" s="105"/>
      <c r="G939" s="106"/>
      <c r="H939" s="105"/>
      <c r="I939" s="105"/>
      <c r="J939" s="105"/>
      <c r="K939" s="105"/>
      <c r="L939" s="109"/>
      <c r="M939" s="109"/>
      <c r="N939" s="109"/>
      <c r="O939" s="105"/>
      <c r="P939" s="105"/>
      <c r="Q939" s="105"/>
    </row>
    <row r="940">
      <c r="A940" s="5"/>
      <c r="B940" s="105"/>
      <c r="C940" s="105"/>
      <c r="D940" s="105"/>
      <c r="E940" s="105"/>
      <c r="F940" s="105"/>
      <c r="G940" s="106"/>
      <c r="H940" s="105"/>
      <c r="I940" s="105"/>
      <c r="J940" s="105"/>
      <c r="K940" s="105"/>
      <c r="L940" s="109"/>
      <c r="M940" s="109"/>
      <c r="N940" s="109"/>
      <c r="O940" s="105"/>
      <c r="P940" s="105"/>
      <c r="Q940" s="105"/>
    </row>
    <row r="941">
      <c r="A941" s="5"/>
      <c r="B941" s="105"/>
      <c r="C941" s="105"/>
      <c r="D941" s="105"/>
      <c r="E941" s="105"/>
      <c r="F941" s="105"/>
      <c r="G941" s="106"/>
      <c r="H941" s="105"/>
      <c r="I941" s="105"/>
      <c r="J941" s="105"/>
      <c r="K941" s="105"/>
      <c r="L941" s="109"/>
      <c r="M941" s="109"/>
      <c r="N941" s="109"/>
      <c r="O941" s="105"/>
      <c r="P941" s="105"/>
      <c r="Q941" s="105"/>
    </row>
    <row r="942">
      <c r="A942" s="5"/>
      <c r="B942" s="105"/>
      <c r="C942" s="105"/>
      <c r="D942" s="105"/>
      <c r="E942" s="105"/>
      <c r="F942" s="105"/>
      <c r="G942" s="106"/>
      <c r="H942" s="105"/>
      <c r="I942" s="105"/>
      <c r="J942" s="105"/>
      <c r="K942" s="105"/>
      <c r="L942" s="109"/>
      <c r="M942" s="109"/>
      <c r="N942" s="109"/>
      <c r="O942" s="105"/>
      <c r="P942" s="105"/>
      <c r="Q942" s="105"/>
    </row>
    <row r="943">
      <c r="A943" s="5"/>
      <c r="B943" s="105"/>
      <c r="C943" s="105"/>
      <c r="D943" s="105"/>
      <c r="E943" s="105"/>
      <c r="F943" s="105"/>
      <c r="G943" s="106"/>
      <c r="H943" s="105"/>
      <c r="I943" s="105"/>
      <c r="J943" s="105"/>
      <c r="K943" s="105"/>
      <c r="L943" s="109"/>
      <c r="M943" s="109"/>
      <c r="N943" s="109"/>
      <c r="O943" s="105"/>
      <c r="P943" s="105"/>
      <c r="Q943" s="105"/>
    </row>
    <row r="944">
      <c r="A944" s="5"/>
      <c r="B944" s="105"/>
      <c r="C944" s="105"/>
      <c r="D944" s="105"/>
      <c r="E944" s="105"/>
      <c r="F944" s="105"/>
      <c r="G944" s="106"/>
      <c r="H944" s="105"/>
      <c r="I944" s="105"/>
      <c r="J944" s="105"/>
      <c r="K944" s="105"/>
      <c r="L944" s="109"/>
      <c r="M944" s="109"/>
      <c r="N944" s="109"/>
      <c r="O944" s="105"/>
      <c r="P944" s="105"/>
      <c r="Q944" s="105"/>
    </row>
    <row r="945">
      <c r="A945" s="5"/>
      <c r="B945" s="105"/>
      <c r="C945" s="105"/>
      <c r="D945" s="105"/>
      <c r="E945" s="105"/>
      <c r="F945" s="105"/>
      <c r="G945" s="106"/>
      <c r="H945" s="105"/>
      <c r="I945" s="105"/>
      <c r="J945" s="105"/>
      <c r="K945" s="105"/>
      <c r="L945" s="109"/>
      <c r="M945" s="109"/>
      <c r="N945" s="109"/>
      <c r="O945" s="105"/>
      <c r="P945" s="105"/>
      <c r="Q945" s="105"/>
    </row>
    <row r="946">
      <c r="A946" s="5"/>
      <c r="B946" s="105"/>
      <c r="C946" s="105"/>
      <c r="D946" s="105"/>
      <c r="E946" s="105"/>
      <c r="F946" s="105"/>
      <c r="G946" s="106"/>
      <c r="H946" s="105"/>
      <c r="I946" s="105"/>
      <c r="J946" s="105"/>
      <c r="K946" s="105"/>
      <c r="L946" s="109"/>
      <c r="M946" s="109"/>
      <c r="N946" s="109"/>
      <c r="O946" s="105"/>
      <c r="P946" s="105"/>
      <c r="Q946" s="105"/>
    </row>
    <row r="947">
      <c r="A947" s="5"/>
      <c r="B947" s="105"/>
      <c r="C947" s="105"/>
      <c r="D947" s="105"/>
      <c r="E947" s="105"/>
      <c r="F947" s="105"/>
      <c r="G947" s="106"/>
      <c r="H947" s="105"/>
      <c r="I947" s="105"/>
      <c r="J947" s="105"/>
      <c r="K947" s="105"/>
      <c r="L947" s="109"/>
      <c r="M947" s="109"/>
      <c r="N947" s="109"/>
      <c r="O947" s="105"/>
      <c r="P947" s="105"/>
      <c r="Q947" s="105"/>
    </row>
    <row r="948">
      <c r="A948" s="5"/>
      <c r="B948" s="105"/>
      <c r="C948" s="105"/>
      <c r="D948" s="105"/>
      <c r="E948" s="105"/>
      <c r="F948" s="105"/>
      <c r="G948" s="106"/>
      <c r="H948" s="105"/>
      <c r="I948" s="105"/>
      <c r="J948" s="105"/>
      <c r="K948" s="105"/>
      <c r="L948" s="109"/>
      <c r="M948" s="109"/>
      <c r="N948" s="109"/>
      <c r="O948" s="105"/>
      <c r="P948" s="105"/>
      <c r="Q948" s="105"/>
    </row>
    <row r="949">
      <c r="A949" s="5"/>
      <c r="B949" s="105"/>
      <c r="C949" s="105"/>
      <c r="D949" s="105"/>
      <c r="E949" s="105"/>
      <c r="F949" s="105"/>
      <c r="G949" s="106"/>
      <c r="H949" s="105"/>
      <c r="I949" s="105"/>
      <c r="J949" s="105"/>
      <c r="K949" s="105"/>
      <c r="L949" s="109"/>
      <c r="M949" s="109"/>
      <c r="N949" s="109"/>
      <c r="O949" s="105"/>
      <c r="P949" s="105"/>
      <c r="Q949" s="105"/>
    </row>
    <row r="950">
      <c r="A950" s="5"/>
      <c r="B950" s="105"/>
      <c r="C950" s="105"/>
      <c r="D950" s="105"/>
      <c r="E950" s="105"/>
      <c r="F950" s="105"/>
      <c r="G950" s="106"/>
      <c r="H950" s="105"/>
      <c r="I950" s="105"/>
      <c r="J950" s="105"/>
      <c r="K950" s="105"/>
      <c r="L950" s="109"/>
      <c r="M950" s="109"/>
      <c r="N950" s="109"/>
      <c r="O950" s="105"/>
      <c r="P950" s="105"/>
      <c r="Q950" s="105"/>
    </row>
    <row r="951">
      <c r="A951" s="5"/>
      <c r="B951" s="105"/>
      <c r="C951" s="105"/>
      <c r="D951" s="105"/>
      <c r="E951" s="105"/>
      <c r="F951" s="105"/>
      <c r="G951" s="106"/>
      <c r="H951" s="105"/>
      <c r="I951" s="105"/>
      <c r="J951" s="105"/>
      <c r="K951" s="105"/>
      <c r="L951" s="109"/>
      <c r="M951" s="109"/>
      <c r="N951" s="109"/>
      <c r="O951" s="105"/>
      <c r="P951" s="105"/>
      <c r="Q951" s="105"/>
    </row>
    <row r="952">
      <c r="A952" s="5"/>
      <c r="B952" s="105"/>
      <c r="C952" s="105"/>
      <c r="D952" s="105"/>
      <c r="E952" s="105"/>
      <c r="F952" s="105"/>
      <c r="G952" s="106"/>
      <c r="H952" s="105"/>
      <c r="I952" s="105"/>
      <c r="J952" s="105"/>
      <c r="K952" s="105"/>
      <c r="L952" s="109"/>
      <c r="M952" s="109"/>
      <c r="N952" s="109"/>
      <c r="O952" s="105"/>
      <c r="P952" s="105"/>
      <c r="Q952" s="105"/>
    </row>
    <row r="953">
      <c r="A953" s="5"/>
      <c r="B953" s="105"/>
      <c r="C953" s="105"/>
      <c r="D953" s="105"/>
      <c r="E953" s="105"/>
      <c r="F953" s="105"/>
      <c r="G953" s="106"/>
      <c r="H953" s="105"/>
      <c r="I953" s="105"/>
      <c r="J953" s="105"/>
      <c r="K953" s="105"/>
      <c r="L953" s="109"/>
      <c r="M953" s="109"/>
      <c r="N953" s="109"/>
      <c r="O953" s="105"/>
      <c r="P953" s="105"/>
      <c r="Q953" s="105"/>
    </row>
    <row r="954">
      <c r="A954" s="5"/>
      <c r="B954" s="105"/>
      <c r="C954" s="105"/>
      <c r="D954" s="105"/>
      <c r="E954" s="105"/>
      <c r="F954" s="105"/>
      <c r="G954" s="106"/>
      <c r="H954" s="105"/>
      <c r="I954" s="105"/>
      <c r="J954" s="105"/>
      <c r="K954" s="105"/>
      <c r="L954" s="109"/>
      <c r="M954" s="109"/>
      <c r="N954" s="109"/>
      <c r="O954" s="105"/>
      <c r="P954" s="105"/>
      <c r="Q954" s="105"/>
    </row>
    <row r="955">
      <c r="A955" s="5"/>
      <c r="B955" s="105"/>
      <c r="C955" s="105"/>
      <c r="D955" s="105"/>
      <c r="E955" s="105"/>
      <c r="F955" s="105"/>
      <c r="G955" s="106"/>
      <c r="H955" s="105"/>
      <c r="I955" s="105"/>
      <c r="J955" s="105"/>
      <c r="K955" s="105"/>
      <c r="L955" s="109"/>
      <c r="M955" s="109"/>
      <c r="N955" s="109"/>
      <c r="O955" s="105"/>
      <c r="P955" s="105"/>
      <c r="Q955" s="105"/>
    </row>
    <row r="956">
      <c r="A956" s="5"/>
      <c r="B956" s="105"/>
      <c r="C956" s="105"/>
      <c r="D956" s="105"/>
      <c r="E956" s="105"/>
      <c r="F956" s="105"/>
      <c r="G956" s="106"/>
      <c r="H956" s="105"/>
      <c r="I956" s="105"/>
      <c r="J956" s="105"/>
      <c r="K956" s="105"/>
      <c r="L956" s="109"/>
      <c r="M956" s="109"/>
      <c r="N956" s="109"/>
      <c r="O956" s="105"/>
      <c r="P956" s="105"/>
      <c r="Q956" s="105"/>
    </row>
    <row r="957">
      <c r="A957" s="5"/>
      <c r="B957" s="105"/>
      <c r="C957" s="105"/>
      <c r="D957" s="105"/>
      <c r="E957" s="105"/>
      <c r="F957" s="105"/>
      <c r="G957" s="106"/>
      <c r="H957" s="105"/>
      <c r="I957" s="105"/>
      <c r="J957" s="105"/>
      <c r="K957" s="105"/>
      <c r="L957" s="109"/>
      <c r="M957" s="109"/>
      <c r="N957" s="109"/>
      <c r="O957" s="105"/>
      <c r="P957" s="105"/>
      <c r="Q957" s="105"/>
    </row>
    <row r="958">
      <c r="A958" s="5"/>
      <c r="B958" s="105"/>
      <c r="C958" s="105"/>
      <c r="D958" s="105"/>
      <c r="E958" s="105"/>
      <c r="F958" s="105"/>
      <c r="G958" s="106"/>
      <c r="H958" s="105"/>
      <c r="I958" s="105"/>
      <c r="J958" s="105"/>
      <c r="K958" s="105"/>
      <c r="L958" s="109"/>
      <c r="M958" s="109"/>
      <c r="N958" s="109"/>
      <c r="O958" s="105"/>
      <c r="P958" s="105"/>
      <c r="Q958" s="105"/>
    </row>
    <row r="959">
      <c r="A959" s="5"/>
      <c r="B959" s="105"/>
      <c r="C959" s="105"/>
      <c r="D959" s="105"/>
      <c r="E959" s="105"/>
      <c r="F959" s="105"/>
      <c r="G959" s="106"/>
      <c r="H959" s="105"/>
      <c r="I959" s="105"/>
      <c r="J959" s="105"/>
      <c r="K959" s="105"/>
      <c r="L959" s="109"/>
      <c r="M959" s="109"/>
      <c r="N959" s="109"/>
      <c r="O959" s="105"/>
      <c r="P959" s="105"/>
      <c r="Q959" s="105"/>
    </row>
    <row r="960">
      <c r="A960" s="5"/>
      <c r="B960" s="105"/>
      <c r="C960" s="105"/>
      <c r="D960" s="105"/>
      <c r="E960" s="105"/>
      <c r="F960" s="105"/>
      <c r="G960" s="106"/>
      <c r="H960" s="105"/>
      <c r="I960" s="105"/>
      <c r="J960" s="105"/>
      <c r="K960" s="105"/>
      <c r="L960" s="109"/>
      <c r="M960" s="109"/>
      <c r="N960" s="109"/>
      <c r="O960" s="105"/>
      <c r="P960" s="105"/>
      <c r="Q960" s="105"/>
    </row>
    <row r="961">
      <c r="A961" s="5"/>
      <c r="B961" s="105"/>
      <c r="C961" s="105"/>
      <c r="D961" s="105"/>
      <c r="E961" s="105"/>
      <c r="F961" s="105"/>
      <c r="G961" s="106"/>
      <c r="H961" s="105"/>
      <c r="I961" s="105"/>
      <c r="J961" s="105"/>
      <c r="K961" s="105"/>
      <c r="L961" s="109"/>
      <c r="M961" s="109"/>
      <c r="N961" s="109"/>
      <c r="O961" s="105"/>
      <c r="P961" s="105"/>
      <c r="Q961" s="105"/>
    </row>
    <row r="962">
      <c r="A962" s="5"/>
      <c r="B962" s="105"/>
      <c r="C962" s="105"/>
      <c r="D962" s="105"/>
      <c r="E962" s="105"/>
      <c r="F962" s="105"/>
      <c r="G962" s="106"/>
      <c r="H962" s="105"/>
      <c r="I962" s="105"/>
      <c r="J962" s="105"/>
      <c r="K962" s="105"/>
      <c r="L962" s="109"/>
      <c r="M962" s="109"/>
      <c r="N962" s="109"/>
      <c r="O962" s="105"/>
      <c r="P962" s="105"/>
      <c r="Q962" s="105"/>
    </row>
    <row r="963">
      <c r="A963" s="5"/>
      <c r="B963" s="105"/>
      <c r="C963" s="105"/>
      <c r="D963" s="105"/>
      <c r="E963" s="105"/>
      <c r="F963" s="105"/>
      <c r="G963" s="106"/>
      <c r="H963" s="105"/>
      <c r="I963" s="105"/>
      <c r="J963" s="105"/>
      <c r="K963" s="105"/>
      <c r="L963" s="109"/>
      <c r="M963" s="109"/>
      <c r="N963" s="109"/>
      <c r="O963" s="105"/>
      <c r="P963" s="105"/>
      <c r="Q963" s="105"/>
    </row>
    <row r="964">
      <c r="A964" s="5"/>
      <c r="B964" s="105"/>
      <c r="C964" s="105"/>
      <c r="D964" s="105"/>
      <c r="E964" s="105"/>
      <c r="F964" s="105"/>
      <c r="G964" s="106"/>
      <c r="H964" s="105"/>
      <c r="I964" s="105"/>
      <c r="J964" s="105"/>
      <c r="K964" s="105"/>
      <c r="L964" s="109"/>
      <c r="M964" s="109"/>
      <c r="N964" s="109"/>
      <c r="O964" s="105"/>
      <c r="P964" s="105"/>
      <c r="Q964" s="105"/>
    </row>
    <row r="965">
      <c r="A965" s="5"/>
      <c r="B965" s="105"/>
      <c r="C965" s="105"/>
      <c r="D965" s="105"/>
      <c r="E965" s="105"/>
      <c r="F965" s="105"/>
      <c r="G965" s="106"/>
      <c r="H965" s="105"/>
      <c r="I965" s="105"/>
      <c r="J965" s="105"/>
      <c r="K965" s="105"/>
      <c r="L965" s="109"/>
      <c r="M965" s="109"/>
      <c r="N965" s="109"/>
      <c r="O965" s="105"/>
      <c r="P965" s="105"/>
      <c r="Q965" s="105"/>
    </row>
    <row r="966">
      <c r="A966" s="5"/>
      <c r="B966" s="105"/>
      <c r="C966" s="105"/>
      <c r="D966" s="105"/>
      <c r="E966" s="105"/>
      <c r="F966" s="105"/>
      <c r="G966" s="106"/>
      <c r="H966" s="105"/>
      <c r="I966" s="105"/>
      <c r="J966" s="105"/>
      <c r="K966" s="105"/>
      <c r="L966" s="109"/>
      <c r="M966" s="109"/>
      <c r="N966" s="109"/>
      <c r="O966" s="105"/>
      <c r="P966" s="105"/>
      <c r="Q966" s="105"/>
    </row>
    <row r="967">
      <c r="A967" s="5"/>
      <c r="B967" s="105"/>
      <c r="C967" s="105"/>
      <c r="D967" s="105"/>
      <c r="E967" s="105"/>
      <c r="F967" s="105"/>
      <c r="G967" s="106"/>
      <c r="H967" s="105"/>
      <c r="I967" s="105"/>
      <c r="J967" s="105"/>
      <c r="K967" s="105"/>
      <c r="L967" s="109"/>
      <c r="M967" s="109"/>
      <c r="N967" s="109"/>
      <c r="O967" s="105"/>
      <c r="P967" s="105"/>
      <c r="Q967" s="105"/>
    </row>
    <row r="968">
      <c r="A968" s="5"/>
      <c r="B968" s="105"/>
      <c r="C968" s="105"/>
      <c r="D968" s="105"/>
      <c r="E968" s="105"/>
      <c r="F968" s="105"/>
      <c r="G968" s="106"/>
      <c r="H968" s="105"/>
      <c r="I968" s="105"/>
      <c r="J968" s="105"/>
      <c r="K968" s="105"/>
      <c r="L968" s="109"/>
      <c r="M968" s="109"/>
      <c r="N968" s="109"/>
      <c r="O968" s="105"/>
      <c r="P968" s="105"/>
      <c r="Q968" s="105"/>
    </row>
    <row r="969">
      <c r="A969" s="5"/>
      <c r="B969" s="105"/>
      <c r="C969" s="105"/>
      <c r="D969" s="105"/>
      <c r="E969" s="105"/>
      <c r="F969" s="105"/>
      <c r="G969" s="106"/>
      <c r="H969" s="105"/>
      <c r="I969" s="105"/>
      <c r="J969" s="105"/>
      <c r="K969" s="105"/>
      <c r="L969" s="109"/>
      <c r="M969" s="109"/>
      <c r="N969" s="109"/>
      <c r="O969" s="105"/>
      <c r="P969" s="105"/>
      <c r="Q969" s="105"/>
    </row>
    <row r="970">
      <c r="A970" s="5"/>
      <c r="B970" s="105"/>
      <c r="C970" s="105"/>
      <c r="D970" s="105"/>
      <c r="E970" s="105"/>
      <c r="F970" s="105"/>
      <c r="G970" s="106"/>
      <c r="H970" s="105"/>
      <c r="I970" s="105"/>
      <c r="J970" s="105"/>
      <c r="K970" s="105"/>
      <c r="L970" s="109"/>
      <c r="M970" s="109"/>
      <c r="N970" s="109"/>
      <c r="O970" s="105"/>
      <c r="P970" s="105"/>
      <c r="Q970" s="105"/>
    </row>
    <row r="971">
      <c r="A971" s="5"/>
      <c r="B971" s="105"/>
      <c r="C971" s="105"/>
      <c r="D971" s="105"/>
      <c r="E971" s="105"/>
      <c r="F971" s="105"/>
      <c r="G971" s="106"/>
      <c r="H971" s="105"/>
      <c r="I971" s="105"/>
      <c r="J971" s="105"/>
      <c r="K971" s="105"/>
      <c r="L971" s="109"/>
      <c r="M971" s="109"/>
      <c r="N971" s="109"/>
      <c r="O971" s="105"/>
      <c r="P971" s="105"/>
      <c r="Q971" s="105"/>
    </row>
    <row r="972">
      <c r="A972" s="5"/>
      <c r="B972" s="105"/>
      <c r="C972" s="105"/>
      <c r="D972" s="105"/>
      <c r="E972" s="105"/>
      <c r="F972" s="105"/>
      <c r="G972" s="106"/>
      <c r="H972" s="105"/>
      <c r="I972" s="105"/>
      <c r="J972" s="105"/>
      <c r="K972" s="105"/>
      <c r="L972" s="109"/>
      <c r="M972" s="109"/>
      <c r="N972" s="109"/>
      <c r="O972" s="105"/>
      <c r="P972" s="105"/>
      <c r="Q972" s="105"/>
    </row>
    <row r="973">
      <c r="A973" s="5"/>
      <c r="B973" s="105"/>
      <c r="C973" s="105"/>
      <c r="D973" s="105"/>
      <c r="E973" s="105"/>
      <c r="F973" s="105"/>
      <c r="G973" s="106"/>
      <c r="H973" s="105"/>
      <c r="I973" s="105"/>
      <c r="J973" s="105"/>
      <c r="K973" s="105"/>
      <c r="L973" s="109"/>
      <c r="M973" s="109"/>
      <c r="N973" s="109"/>
      <c r="O973" s="105"/>
      <c r="P973" s="105"/>
      <c r="Q973" s="105"/>
    </row>
    <row r="974">
      <c r="A974" s="5"/>
      <c r="B974" s="105"/>
      <c r="C974" s="105"/>
      <c r="D974" s="105"/>
      <c r="E974" s="105"/>
      <c r="F974" s="105"/>
      <c r="G974" s="106"/>
      <c r="H974" s="105"/>
      <c r="I974" s="105"/>
      <c r="J974" s="105"/>
      <c r="K974" s="105"/>
      <c r="L974" s="109"/>
      <c r="M974" s="109"/>
      <c r="N974" s="109"/>
      <c r="O974" s="105"/>
      <c r="P974" s="105"/>
      <c r="Q974" s="105"/>
    </row>
    <row r="975">
      <c r="A975" s="5"/>
      <c r="B975" s="105"/>
      <c r="C975" s="105"/>
      <c r="D975" s="105"/>
      <c r="E975" s="105"/>
      <c r="F975" s="105"/>
      <c r="G975" s="106"/>
      <c r="H975" s="105"/>
      <c r="I975" s="105"/>
      <c r="J975" s="105"/>
      <c r="K975" s="105"/>
      <c r="L975" s="109"/>
      <c r="M975" s="109"/>
      <c r="N975" s="109"/>
      <c r="O975" s="105"/>
      <c r="P975" s="105"/>
      <c r="Q975" s="105"/>
    </row>
    <row r="976">
      <c r="A976" s="5"/>
      <c r="B976" s="105"/>
      <c r="C976" s="105"/>
      <c r="D976" s="105"/>
      <c r="E976" s="105"/>
      <c r="F976" s="105"/>
      <c r="G976" s="106"/>
      <c r="H976" s="105"/>
      <c r="I976" s="105"/>
      <c r="J976" s="105"/>
      <c r="K976" s="105"/>
      <c r="L976" s="109"/>
      <c r="M976" s="109"/>
      <c r="N976" s="109"/>
      <c r="O976" s="105"/>
      <c r="P976" s="105"/>
      <c r="Q976" s="105"/>
    </row>
    <row r="977">
      <c r="A977" s="5"/>
      <c r="B977" s="105"/>
      <c r="C977" s="105"/>
      <c r="D977" s="105"/>
      <c r="E977" s="105"/>
      <c r="F977" s="105"/>
      <c r="G977" s="106"/>
      <c r="H977" s="105"/>
      <c r="I977" s="105"/>
      <c r="J977" s="105"/>
      <c r="K977" s="105"/>
      <c r="L977" s="109"/>
      <c r="M977" s="109"/>
      <c r="N977" s="109"/>
      <c r="O977" s="105"/>
      <c r="P977" s="105"/>
      <c r="Q977" s="105"/>
    </row>
    <row r="978">
      <c r="A978" s="5"/>
      <c r="B978" s="105"/>
      <c r="C978" s="105"/>
      <c r="D978" s="105"/>
      <c r="E978" s="105"/>
      <c r="F978" s="105"/>
      <c r="G978" s="106"/>
      <c r="H978" s="105"/>
      <c r="I978" s="105"/>
      <c r="J978" s="105"/>
      <c r="K978" s="105"/>
      <c r="L978" s="109"/>
      <c r="M978" s="109"/>
      <c r="N978" s="109"/>
      <c r="O978" s="105"/>
      <c r="P978" s="105"/>
      <c r="Q978" s="105"/>
    </row>
  </sheetData>
  <autoFilter ref="$A$1:$M$224">
    <sortState ref="A1:M224">
      <sortCondition ref="A1:A224"/>
    </sortState>
  </autoFilter>
  <conditionalFormatting sqref="A1:A978">
    <cfRule type="expression" dxfId="1" priority="1">
      <formula>COUNTIF(A:A,A:A)&gt;1</formula>
    </cfRule>
  </conditionalFormatting>
  <hyperlinks>
    <hyperlink r:id="rId2" ref="O2"/>
    <hyperlink r:id="rId3" ref="P2"/>
    <hyperlink r:id="rId4" ref="O3"/>
    <hyperlink r:id="rId5" ref="O17"/>
    <hyperlink r:id="rId6" ref="P17"/>
    <hyperlink r:id="rId7" ref="Q17"/>
    <hyperlink r:id="rId8" ref="O18"/>
    <hyperlink r:id="rId9" ref="P18"/>
    <hyperlink r:id="rId10" ref="Q18"/>
    <hyperlink r:id="rId11" ref="O25"/>
    <hyperlink r:id="rId12" ref="P25"/>
    <hyperlink r:id="rId13" ref="Q25"/>
    <hyperlink r:id="rId14" ref="O26"/>
    <hyperlink r:id="rId15" ref="P26"/>
    <hyperlink r:id="rId16" ref="Q26"/>
    <hyperlink r:id="rId17" ref="O30"/>
    <hyperlink r:id="rId18" ref="P30"/>
    <hyperlink r:id="rId19" ref="O31"/>
    <hyperlink r:id="rId20" ref="P31"/>
    <hyperlink r:id="rId21" ref="Q31"/>
    <hyperlink r:id="rId22" ref="O32"/>
    <hyperlink r:id="rId23" ref="P32"/>
    <hyperlink r:id="rId24" ref="Q32"/>
    <hyperlink r:id="rId25" ref="O33"/>
    <hyperlink r:id="rId26" ref="P33"/>
    <hyperlink r:id="rId27" ref="Q33"/>
    <hyperlink r:id="rId28" ref="P39"/>
    <hyperlink r:id="rId29" ref="P42"/>
    <hyperlink r:id="rId30" ref="P75"/>
    <hyperlink r:id="rId31" ref="O144"/>
    <hyperlink r:id="rId32" ref="P144"/>
    <hyperlink r:id="rId33" ref="Q144"/>
    <hyperlink r:id="rId34" ref="C206"/>
    <hyperlink r:id="rId35" ref="C207"/>
    <hyperlink r:id="rId36" ref="C208"/>
    <hyperlink r:id="rId37" ref="C209"/>
    <hyperlink r:id="rId38" ref="C210"/>
    <hyperlink r:id="rId39" ref="C211"/>
    <hyperlink r:id="rId40" ref="C212"/>
    <hyperlink r:id="rId41" ref="C213"/>
    <hyperlink r:id="rId42" ref="C214"/>
    <hyperlink r:id="rId43" ref="C215"/>
    <hyperlink r:id="rId44" ref="C216"/>
    <hyperlink r:id="rId45" ref="C217"/>
  </hyperlinks>
  <drawing r:id="rId46"/>
  <legacyDrawing r:id="rId4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sheetData>
    <row r="1">
      <c r="A1" s="128" t="s">
        <v>985</v>
      </c>
      <c r="B1" s="128" t="s">
        <v>986</v>
      </c>
    </row>
    <row r="2">
      <c r="A2" s="128" t="s">
        <v>987</v>
      </c>
      <c r="B2" s="128"/>
    </row>
    <row r="3" outlineLevel="1">
      <c r="B3" s="128" t="s">
        <v>988</v>
      </c>
    </row>
    <row r="4" outlineLevel="1">
      <c r="B4" s="128" t="s">
        <v>989</v>
      </c>
    </row>
    <row r="5" outlineLevel="1">
      <c r="B5" s="128" t="s">
        <v>990</v>
      </c>
    </row>
    <row r="6" outlineLevel="1">
      <c r="B6" s="128" t="s">
        <v>991</v>
      </c>
    </row>
    <row r="7" outlineLevel="1">
      <c r="B7" s="128" t="s">
        <v>992</v>
      </c>
    </row>
    <row r="8" outlineLevel="1">
      <c r="B8" s="128" t="s">
        <v>514</v>
      </c>
    </row>
    <row r="9" outlineLevel="1">
      <c r="A9" s="128"/>
      <c r="B9" s="128" t="s">
        <v>764</v>
      </c>
    </row>
    <row r="10" outlineLevel="1">
      <c r="A10" s="128"/>
      <c r="B10" s="128" t="s">
        <v>784</v>
      </c>
    </row>
    <row r="11" outlineLevel="1">
      <c r="A11" s="128"/>
      <c r="B11" s="128" t="s">
        <v>993</v>
      </c>
    </row>
    <row r="12" outlineLevel="1">
      <c r="B12" s="128" t="s">
        <v>994</v>
      </c>
    </row>
    <row r="13" outlineLevel="1">
      <c r="A13" s="128"/>
      <c r="B13" s="128" t="s">
        <v>741</v>
      </c>
    </row>
    <row r="14">
      <c r="A14" s="128" t="s">
        <v>995</v>
      </c>
      <c r="B14" s="128"/>
    </row>
    <row r="15" outlineLevel="1">
      <c r="B15" s="128" t="s">
        <v>992</v>
      </c>
    </row>
    <row r="16" outlineLevel="1">
      <c r="B16" s="128" t="s">
        <v>996</v>
      </c>
    </row>
    <row r="17" outlineLevel="1">
      <c r="B17" s="128" t="s">
        <v>997</v>
      </c>
    </row>
    <row r="18">
      <c r="B18" s="128" t="s">
        <v>998</v>
      </c>
    </row>
    <row r="19">
      <c r="B19" s="128" t="s">
        <v>999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23.88"/>
    <col customWidth="1" min="3" max="3" width="11.5"/>
    <col customWidth="1" min="4" max="4" width="9.38"/>
    <col customWidth="1" min="5" max="5" width="101.13"/>
  </cols>
  <sheetData>
    <row r="1">
      <c r="A1" s="96" t="s">
        <v>1000</v>
      </c>
      <c r="B1" s="5" t="s">
        <v>1001</v>
      </c>
      <c r="C1" s="5" t="s">
        <v>1002</v>
      </c>
      <c r="D1" s="129" t="s">
        <v>1003</v>
      </c>
      <c r="E1" s="130" t="s">
        <v>415</v>
      </c>
    </row>
    <row r="2" hidden="1">
      <c r="A2" s="96"/>
      <c r="B2" s="131"/>
      <c r="C2" s="131"/>
      <c r="D2" s="129"/>
      <c r="E2" s="132"/>
    </row>
    <row r="3">
      <c r="A3" s="133">
        <v>46023.00833333333</v>
      </c>
      <c r="B3" s="134" t="s">
        <v>1004</v>
      </c>
      <c r="C3" s="134" t="s">
        <v>1005</v>
      </c>
      <c r="D3" s="134">
        <f>80*250 - 4000 + 1000</f>
        <v>17000</v>
      </c>
      <c r="E3" s="135" t="s">
        <v>1006</v>
      </c>
    </row>
    <row r="4">
      <c r="A4" s="133">
        <v>46048.58611111111</v>
      </c>
      <c r="B4" s="134" t="s">
        <v>1007</v>
      </c>
      <c r="C4" s="134" t="s">
        <v>1005</v>
      </c>
      <c r="D4" s="134">
        <f>(98000 + 3100 - 10000 + 1000)</f>
        <v>92100</v>
      </c>
      <c r="E4" s="135" t="s">
        <v>1008</v>
      </c>
    </row>
    <row r="5">
      <c r="A5" s="136"/>
      <c r="B5" s="134"/>
      <c r="C5" s="137"/>
      <c r="D5" s="134"/>
      <c r="E5" s="138"/>
    </row>
    <row r="6">
      <c r="A6" s="133">
        <v>46128.061111111114</v>
      </c>
      <c r="B6" s="134" t="s">
        <v>1009</v>
      </c>
      <c r="C6" s="134" t="s">
        <v>1005</v>
      </c>
      <c r="D6" s="134">
        <f>(2*48600 + 1*48600 + 56000 - 55000 - 29160 + 2200)</f>
        <v>119840</v>
      </c>
      <c r="E6" s="135" t="s">
        <v>1010</v>
      </c>
    </row>
    <row r="7">
      <c r="A7" s="133">
        <v>46142.65972222222</v>
      </c>
      <c r="B7" s="134" t="s">
        <v>1011</v>
      </c>
      <c r="C7" s="134" t="s">
        <v>1005</v>
      </c>
      <c r="D7" s="134">
        <f>(129900 + 14000 - 14000 - 15000 + 2200)</f>
        <v>117100</v>
      </c>
      <c r="E7" s="135" t="s">
        <v>1012</v>
      </c>
    </row>
    <row r="8">
      <c r="A8" s="136"/>
      <c r="B8" s="134"/>
      <c r="C8" s="137"/>
      <c r="D8" s="134"/>
      <c r="E8" s="138"/>
    </row>
    <row r="9">
      <c r="A9" s="139">
        <v>45782.90069444444</v>
      </c>
      <c r="B9" s="134" t="s">
        <v>1013</v>
      </c>
      <c r="C9" s="134" t="s">
        <v>1005</v>
      </c>
      <c r="D9" s="134">
        <f>(14500 + 8000 - 8000 - 5000 + 1500)</f>
        <v>11000</v>
      </c>
      <c r="E9" s="135" t="s">
        <v>1014</v>
      </c>
    </row>
    <row r="10">
      <c r="A10" s="139">
        <v>46147.75</v>
      </c>
      <c r="B10" s="134" t="s">
        <v>1015</v>
      </c>
      <c r="C10" s="134" t="s">
        <v>1005</v>
      </c>
      <c r="D10" s="134">
        <f>(56250 + 6500 - 6500 - 4000 + 2000)</f>
        <v>54250</v>
      </c>
      <c r="E10" s="135" t="s">
        <v>1016</v>
      </c>
    </row>
    <row r="11">
      <c r="A11" s="139">
        <v>46152.70486111111</v>
      </c>
      <c r="B11" s="134" t="s">
        <v>1009</v>
      </c>
      <c r="C11" s="134" t="s">
        <v>1005</v>
      </c>
      <c r="D11" s="134">
        <f>(28500 + 8000 - 8000 - 4000 + 2000)</f>
        <v>26500</v>
      </c>
      <c r="E11" s="135" t="s">
        <v>1017</v>
      </c>
    </row>
    <row r="12">
      <c r="A12" s="139">
        <v>46152.697222222225</v>
      </c>
      <c r="B12" s="134" t="s">
        <v>1009</v>
      </c>
      <c r="C12" s="134" t="s">
        <v>1005</v>
      </c>
      <c r="D12" s="134">
        <f>(583200 + 48900 - 48900 - 58320 + 3000)</f>
        <v>527880</v>
      </c>
      <c r="E12" s="135" t="s">
        <v>1018</v>
      </c>
    </row>
    <row r="13">
      <c r="A13" s="136"/>
      <c r="B13" s="134"/>
      <c r="C13" s="137"/>
      <c r="D13" s="134"/>
      <c r="E13" s="138"/>
    </row>
    <row r="14">
      <c r="A14" s="139">
        <v>46158.592361111114</v>
      </c>
      <c r="B14" s="134" t="s">
        <v>1019</v>
      </c>
      <c r="C14" s="134" t="s">
        <v>1005</v>
      </c>
      <c r="D14" s="134">
        <f>(3*7200) - 2160 + 66</f>
        <v>19506</v>
      </c>
      <c r="E14" s="135" t="s">
        <v>1020</v>
      </c>
    </row>
    <row r="15">
      <c r="A15" s="139">
        <v>46159.72638888889</v>
      </c>
      <c r="B15" s="134" t="s">
        <v>1004</v>
      </c>
      <c r="C15" s="134" t="s">
        <v>1005</v>
      </c>
      <c r="D15" s="134">
        <f>54426+21999-21999+10000-10885+435</f>
        <v>53976</v>
      </c>
      <c r="E15" s="135" t="s">
        <v>1021</v>
      </c>
    </row>
    <row r="16">
      <c r="A16" s="139">
        <v>46159.72638888889</v>
      </c>
      <c r="B16" s="134" t="s">
        <v>1004</v>
      </c>
      <c r="C16" s="134" t="s">
        <v>1005</v>
      </c>
      <c r="D16" s="134">
        <f>95550+28000-28000+5000-19111+765</f>
        <v>82204</v>
      </c>
      <c r="E16" s="135" t="s">
        <v>1022</v>
      </c>
    </row>
    <row r="17">
      <c r="A17" s="139">
        <v>46168.51458333333</v>
      </c>
      <c r="B17" s="134" t="s">
        <v>1004</v>
      </c>
      <c r="C17" s="134" t="s">
        <v>1005</v>
      </c>
      <c r="D17" s="134">
        <f>21999+25200-25200-4000+1000</f>
        <v>18999</v>
      </c>
      <c r="E17" s="140" t="s">
        <v>1023</v>
      </c>
    </row>
    <row r="18">
      <c r="A18" s="139">
        <v>46168.518055555556</v>
      </c>
      <c r="B18" s="134" t="s">
        <v>1011</v>
      </c>
      <c r="C18" s="134" t="s">
        <v>1005</v>
      </c>
      <c r="D18" s="134">
        <f>127000+39000-39000-10795-19050+2000</f>
        <v>99155</v>
      </c>
      <c r="E18" s="135" t="s">
        <v>1024</v>
      </c>
    </row>
    <row r="19">
      <c r="A19" s="136"/>
      <c r="B19" s="134"/>
      <c r="C19" s="137"/>
      <c r="D19" s="134"/>
      <c r="E19" s="138"/>
    </row>
    <row r="20">
      <c r="A20" s="141">
        <v>46193.69930555556</v>
      </c>
      <c r="B20" s="134" t="s">
        <v>1004</v>
      </c>
      <c r="C20" s="134" t="s">
        <v>1005</v>
      </c>
      <c r="D20" s="134">
        <f>21999+25200-25200-4399+323</f>
        <v>17923</v>
      </c>
      <c r="E20" s="135" t="s">
        <v>1025</v>
      </c>
    </row>
    <row r="21">
      <c r="A21" s="141">
        <v>46193.69930555556</v>
      </c>
      <c r="B21" s="134" t="s">
        <v>1009</v>
      </c>
      <c r="C21" s="134" t="s">
        <v>1005</v>
      </c>
      <c r="D21" s="134">
        <f>127800+22500-22500-25561+1877</f>
        <v>104116</v>
      </c>
      <c r="E21" s="135" t="s">
        <v>1026</v>
      </c>
    </row>
    <row r="22">
      <c r="A22" s="141">
        <v>46190.592361111114</v>
      </c>
      <c r="B22" s="134" t="s">
        <v>1007</v>
      </c>
      <c r="C22" s="134" t="s">
        <v>1005</v>
      </c>
      <c r="D22" s="134">
        <f>588000+6300-2000-58800+3000</f>
        <v>536500</v>
      </c>
      <c r="E22" s="135" t="s">
        <v>1027</v>
      </c>
    </row>
    <row r="23">
      <c r="A23" s="136"/>
      <c r="B23" s="134"/>
      <c r="C23" s="137"/>
      <c r="D23" s="134"/>
      <c r="E23" s="138"/>
    </row>
    <row r="24">
      <c r="A24" s="136"/>
      <c r="B24" s="134"/>
      <c r="C24" s="137"/>
      <c r="D24" s="134"/>
      <c r="E24" s="138"/>
    </row>
    <row r="25">
      <c r="A25" s="136"/>
      <c r="B25" s="134"/>
      <c r="C25" s="137"/>
      <c r="D25" s="134"/>
      <c r="E25" s="138"/>
    </row>
  </sheetData>
  <dataValidations>
    <dataValidation type="list" allowBlank="1" sqref="B3:C25">
      <formula1>'Import-BisaJurnal'!$A:$A</formula1>
    </dataValidation>
    <dataValidation type="custom" allowBlank="1" showDropDown="1" showInputMessage="1" showErrorMessage="1" prompt="Format Tanggal : dd-MMM-yyyy dalam Bahasa Inggris, misal 01-May-2019" sqref="A2:A25">
      <formula1>OR(NOT(ISERROR(DATEVALUE(A2))), AND(ISNUMBER(A2), LEFT(CELL("format", A2))="D"))</formula1>
    </dataValidation>
  </dataValidations>
  <hyperlinks>
    <hyperlink r:id="rId1" ref="E17"/>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55.63"/>
    <col customWidth="1" min="3" max="3" width="23.75"/>
    <col customWidth="1" min="4" max="5" width="10.5"/>
    <col customWidth="1" min="6" max="6" width="101.13"/>
  </cols>
  <sheetData>
    <row r="1">
      <c r="A1" s="142" t="str">
        <f t="array" ref="A1:F1717">{"Tanggal
Akun","Akun","Referensi
(Kode Transaksi)","Debit","Kredit","Keterangan";
SORT({
IF((BisaStok!B3:B5017&lt;2),,{BisaStok!B3:B5017+0.00001*MOD(ROW(BisaStok!B3:B5017),100),
"Piutang "&amp;BisaStok!F3:F5017,IF(BisaStok!B3:B5017&lt;2,,"PIU-BisaStok-"&amp;TEXT(ROW(BisaStok!B3:B5017),"00000")),BisaStok!AB3:AB5017,SUBSTITUTE(BisaStok!B3:B5017,BisaStok!B3:B5017,),BisaStok!H3:H5017});
IF((BisaStok!B3:B5017&lt;2),,{BisaStok!B3:B5017+0.00001*MOD(ROW(BisaStok!B3:B5017),100),
"          Kas ITBisa"&amp;SUBSTITUTE(BisaStok!B3:B5017,BisaStok!B3:B5017,),IF(BisaStok!B3:B5017&lt;2,,"KAS-BisaStok-"&amp;TEXT(ROW(BisaStok!B3:B5017),"00000")),SUBSTITUTE(BisaStok!B3:B5017,BisaStok!B3:B5017,),BisaStok!AB3:AB5017,BisaStok!H3:H5017});
IF((BisaStok!C3:C5017&lt;2),,{BisaStok!C3:C5017+0.00001*MOD(ROW(BisaStok!C3:C5017),100),
"Persediaan "&amp;BisaStok!A3:A5017,IF(BisaStok!B3:B5017&lt;2,,"INV-BisaStok-"&amp;TEXT(ROW(BisaStok!B3:B5017),"00000")),BisaStok!AB3:AB5017,SUBSTITUTE(BisaStok!B3:B5017,BisaStok!B3:B5017,),BisaStok!H3:H5017});
IF((BisaStok!C3:C5017&lt;2),,{BisaStok!C3:C5017+0.00001*MOD(ROW(BisaStok!C3:C5017),100),
"          Piutang "&amp;BisaStok!F3:F5017,IF(BisaStok!B3:B5017&lt;2,,"PIU-BisaStok-"&amp;TEXT(ROW(BisaStok!B3:B5017),"00000")),SUBSTITUTE(BisaStok!B3:B5017,BisaStok!B3:B5017,),BisaStok!AB3:AB5017,BisaStok!H3:H5017});
"","","","","","";
IF((BisaPerlengkapan!A2:A5017&lt;2),,{BisaPerlengkapan!A2:A5017+0.00001*MOD(ROW(BisaPerlengkapan!A2:A5017),100),BisaPerlengkapan!B2:B5017,"DBT-BisaPerlengkapan-"&amp;TEXT(ROW(BisaPerlengkapan!A2:A5017),"00000"),BisaPerlengkapan!D2:D5017,SUBSTITUTE(BisaPerlengkapan!A2:A5017,BisaPerlengkapan!A2:A5017,),BisaPerlengkapan!E2:E5017});
IF((BisaPerlengkapan!A2:A5017&lt;2),,{BisaPerlengkapan!A2:A5017+0.00001*MOD(ROW(BisaPerlengkapan!A2:A5017),100),
"          "&amp;BisaPerlengkapan!C2:C5017,"CRT-BisaPerlengkapan-"&amp;TEXT(ROW(BisaPerlengkapan!A2:A5017),"00000"),SUBSTITUTE(BisaPerlengkapan!A2:A5017,BisaPerlengkapan!A2:A5017,),BisaPerlengkapan!D2:D5017,BisaPerlengkapan!E2:E5017});
"","","","","","";
IF((BisaHilang!A2:A5017&lt;2)+(BisaHilang!C2:C5017&lt;1)+(BisaHilang!D2:D5017&lt;1),,{BisaHilang!A2:A5017+0.00001*MOD(ROW(BisaHilang!A2:A5017),100),"Persediaan "&amp;BisaHilang!B2:B5017,"INV-BisaHilang-"&amp;TEXT(ROW(BisaHilang!A2:A5017),"00000"),BisaHilang!D2:D5017,SUBSTITUTE(BisaHilang!A2:A5017,BisaHilang!A2:A5017,),SUBSTITUTE(BisaHilang!A2:A5017,BisaHilang!A2:A5017,)});
IF((BisaHilang!A2:A5017&lt;2)+(BisaHilang!C2:C5017&lt;1)+(BisaHilang!D2:D5017&lt;1),,{BisaHilang!A2:A5017+0.00001*MOD(ROW(BisaHilang!A2:A5017),100),"          Bonus "&amp;BisaHilang!B2:B5017,"BNS-BisaHilang-"&amp;TEXT(ROW(BisaHilang!A2:A5017),"00000"),SUBSTITUTE(BisaHilang!A2:A5017,BisaHilang!A2:A5017,),BisaHilang!D2:D5017,SUBSTITUTE(BisaHilang!A2:A5017,BisaHilang!A2:A5017,)});
"","","","","","";
IF((BisaHilang!A2:A5017&lt;2)+(BisaHilang!E2:E5017&lt;1)+(BisaHilang!F2:F5017&lt;1),,{BisaHilang!A2:A5017+0.00001*MOD(ROW(BisaHilang!A2:A5017),100),"Beban Hilang "&amp;BisaHilang!B2:B5017,"BBN-BisaHilang-"&amp;TEXT(ROW(BisaHilang!A2:A5017),"00000"),BisaHilang!F2:F5017,SUBSTITUTE(BisaHilang!A2:A5017,BisaHilang!A2:A5017,),SUBSTITUTE(BisaHilang!A2:A5017,BisaHilang!A2:A5017,)});
IF((BisaHilang!A2:A5017&lt;2)+(BisaHilang!E2:E5017&lt;1)+(BisaHilang!F2:F5017&lt;1),,{BisaHilang!A2:A5017+0.00001*MOD(ROW(BisaHilang!A2:A5017),100),"          Persediaan "&amp;BisaHilang!B2:B5017,"INV-BisaHilang-"&amp;TEXT(ROW(BisaHilang!A2:A5017),"00000"),SUBSTITUTE(BisaHilang!A2:A5017,BisaHilang!A2:A5017,),BisaHilang!F2:F5017,SUBSTITUTE(BisaHilang!A2:A5017,BisaHilang!A2:A5017,)});
"","","","","",""},1,TRUE)}</f>
        <v>Tanggal
Akun</v>
      </c>
      <c r="B1" s="143" t="s">
        <v>1028</v>
      </c>
      <c r="C1" s="144" t="s">
        <v>1029</v>
      </c>
      <c r="D1" s="145" t="s">
        <v>1030</v>
      </c>
      <c r="E1" s="146" t="s">
        <v>1031</v>
      </c>
      <c r="F1" s="145" t="s">
        <v>415</v>
      </c>
    </row>
    <row r="2">
      <c r="A2" s="147">
        <v>43590.40839648148</v>
      </c>
      <c r="B2" s="148" t="s">
        <v>1032</v>
      </c>
      <c r="C2" s="87" t="s">
        <v>1033</v>
      </c>
      <c r="D2" s="37">
        <v>27113.1</v>
      </c>
      <c r="E2" s="37" t="s">
        <v>1034</v>
      </c>
      <c r="F2" s="87" t="s">
        <v>35</v>
      </c>
    </row>
    <row r="3">
      <c r="A3" s="147">
        <v>43590.40839648148</v>
      </c>
      <c r="B3" s="148" t="s">
        <v>1035</v>
      </c>
      <c r="C3" s="87" t="s">
        <v>1036</v>
      </c>
      <c r="D3" s="37" t="s">
        <v>1034</v>
      </c>
      <c r="E3" s="37">
        <v>27113.1</v>
      </c>
      <c r="F3" s="87" t="s">
        <v>35</v>
      </c>
    </row>
    <row r="4">
      <c r="A4" s="147">
        <v>43596.00004</v>
      </c>
      <c r="B4" s="148" t="s">
        <v>1037</v>
      </c>
      <c r="C4" s="87" t="s">
        <v>1038</v>
      </c>
      <c r="D4" s="37">
        <v>27113.1</v>
      </c>
      <c r="E4" s="37" t="s">
        <v>1034</v>
      </c>
      <c r="F4" s="87" t="s">
        <v>35</v>
      </c>
    </row>
    <row r="5">
      <c r="A5" s="147">
        <v>43596.00004</v>
      </c>
      <c r="B5" s="148" t="s">
        <v>1039</v>
      </c>
      <c r="C5" s="87" t="s">
        <v>1033</v>
      </c>
      <c r="D5" s="37" t="s">
        <v>1034</v>
      </c>
      <c r="E5" s="37">
        <v>27113.1</v>
      </c>
      <c r="F5" s="87" t="s">
        <v>35</v>
      </c>
    </row>
    <row r="6">
      <c r="A6" s="147">
        <v>44032.00005</v>
      </c>
      <c r="B6" s="148" t="s">
        <v>1040</v>
      </c>
      <c r="C6" s="87" t="s">
        <v>1041</v>
      </c>
      <c r="D6" s="37">
        <v>21981.4</v>
      </c>
      <c r="E6" s="37" t="s">
        <v>1034</v>
      </c>
      <c r="F6" s="87" t="s">
        <v>39</v>
      </c>
    </row>
    <row r="7">
      <c r="A7" s="147">
        <v>44032.00005</v>
      </c>
      <c r="B7" s="148" t="s">
        <v>1035</v>
      </c>
      <c r="C7" s="87" t="s">
        <v>1042</v>
      </c>
      <c r="D7" s="37" t="s">
        <v>1034</v>
      </c>
      <c r="E7" s="37">
        <v>21981.4</v>
      </c>
      <c r="F7" s="87" t="s">
        <v>39</v>
      </c>
    </row>
    <row r="8">
      <c r="A8" s="147">
        <v>44039.00005</v>
      </c>
      <c r="B8" s="148" t="s">
        <v>1043</v>
      </c>
      <c r="C8" s="87" t="s">
        <v>1044</v>
      </c>
      <c r="D8" s="37">
        <v>21981.4</v>
      </c>
      <c r="E8" s="37" t="s">
        <v>1034</v>
      </c>
      <c r="F8" s="87" t="s">
        <v>39</v>
      </c>
    </row>
    <row r="9">
      <c r="A9" s="147">
        <v>44039.00005</v>
      </c>
      <c r="B9" s="148" t="s">
        <v>1045</v>
      </c>
      <c r="C9" s="87" t="s">
        <v>1041</v>
      </c>
      <c r="D9" s="37" t="s">
        <v>1034</v>
      </c>
      <c r="E9" s="37">
        <v>21981.4</v>
      </c>
      <c r="F9" s="87" t="s">
        <v>39</v>
      </c>
    </row>
    <row r="10">
      <c r="A10" s="147">
        <v>44039.00006</v>
      </c>
      <c r="B10" s="148" t="s">
        <v>1040</v>
      </c>
      <c r="C10" s="87" t="s">
        <v>1046</v>
      </c>
      <c r="D10" s="37">
        <v>13000.0</v>
      </c>
      <c r="E10" s="37" t="s">
        <v>1034</v>
      </c>
      <c r="F10" s="87" t="s">
        <v>39</v>
      </c>
    </row>
    <row r="11">
      <c r="A11" s="147">
        <v>44039.00006</v>
      </c>
      <c r="B11" s="148" t="s">
        <v>1035</v>
      </c>
      <c r="C11" s="87" t="s">
        <v>1047</v>
      </c>
      <c r="D11" s="37" t="s">
        <v>1034</v>
      </c>
      <c r="E11" s="37">
        <v>13000.0</v>
      </c>
      <c r="F11" s="87" t="s">
        <v>39</v>
      </c>
    </row>
    <row r="12">
      <c r="A12" s="147">
        <v>44041.00006</v>
      </c>
      <c r="B12" s="148" t="s">
        <v>1048</v>
      </c>
      <c r="C12" s="87" t="s">
        <v>1049</v>
      </c>
      <c r="D12" s="37">
        <v>13000.0</v>
      </c>
      <c r="E12" s="37" t="s">
        <v>1034</v>
      </c>
      <c r="F12" s="87" t="s">
        <v>39</v>
      </c>
    </row>
    <row r="13">
      <c r="A13" s="147">
        <v>44041.00006</v>
      </c>
      <c r="B13" s="148" t="s">
        <v>1045</v>
      </c>
      <c r="C13" s="87" t="s">
        <v>1046</v>
      </c>
      <c r="D13" s="37" t="s">
        <v>1034</v>
      </c>
      <c r="E13" s="37">
        <v>13000.0</v>
      </c>
      <c r="F13" s="87" t="s">
        <v>39</v>
      </c>
    </row>
    <row r="14">
      <c r="A14" s="147">
        <v>44871.00007</v>
      </c>
      <c r="B14" s="148" t="s">
        <v>1040</v>
      </c>
      <c r="C14" s="87" t="s">
        <v>1050</v>
      </c>
      <c r="D14" s="37">
        <v>461407.04000000004</v>
      </c>
      <c r="E14" s="37" t="s">
        <v>1034</v>
      </c>
      <c r="F14" s="87" t="s">
        <v>39</v>
      </c>
    </row>
    <row r="15">
      <c r="A15" s="147">
        <v>44871.00007</v>
      </c>
      <c r="B15" s="148" t="s">
        <v>1035</v>
      </c>
      <c r="C15" s="87" t="s">
        <v>1051</v>
      </c>
      <c r="D15" s="37" t="s">
        <v>1034</v>
      </c>
      <c r="E15" s="37">
        <v>461407.04000000004</v>
      </c>
      <c r="F15" s="87" t="s">
        <v>39</v>
      </c>
    </row>
    <row r="16">
      <c r="A16" s="147">
        <v>44873.00007</v>
      </c>
      <c r="B16" s="148" t="s">
        <v>1052</v>
      </c>
      <c r="C16" s="87" t="s">
        <v>1053</v>
      </c>
      <c r="D16" s="37">
        <v>461407.04000000004</v>
      </c>
      <c r="E16" s="37" t="s">
        <v>1034</v>
      </c>
      <c r="F16" s="87" t="s">
        <v>39</v>
      </c>
    </row>
    <row r="17">
      <c r="A17" s="147">
        <v>44873.00007</v>
      </c>
      <c r="B17" s="148" t="s">
        <v>1045</v>
      </c>
      <c r="C17" s="87" t="s">
        <v>1050</v>
      </c>
      <c r="D17" s="37" t="s">
        <v>1034</v>
      </c>
      <c r="E17" s="37">
        <v>461407.04000000004</v>
      </c>
      <c r="F17" s="87" t="s">
        <v>39</v>
      </c>
    </row>
    <row r="18">
      <c r="A18" s="147">
        <v>45013.00008</v>
      </c>
      <c r="B18" s="148" t="s">
        <v>1054</v>
      </c>
      <c r="C18" s="87" t="s">
        <v>1055</v>
      </c>
      <c r="D18" s="37">
        <v>2095046.0</v>
      </c>
      <c r="E18" s="37" t="s">
        <v>1034</v>
      </c>
      <c r="F18" s="87"/>
    </row>
    <row r="19">
      <c r="A19" s="147">
        <v>45013.00008</v>
      </c>
      <c r="B19" s="148" t="s">
        <v>1035</v>
      </c>
      <c r="C19" s="87" t="s">
        <v>1056</v>
      </c>
      <c r="D19" s="37" t="s">
        <v>1034</v>
      </c>
      <c r="E19" s="37">
        <v>2095046.0</v>
      </c>
      <c r="F19" s="87"/>
    </row>
    <row r="20">
      <c r="A20" s="147">
        <v>45061.00008</v>
      </c>
      <c r="B20" s="148" t="s">
        <v>1057</v>
      </c>
      <c r="C20" s="87" t="s">
        <v>1058</v>
      </c>
      <c r="D20" s="37">
        <v>2095046.0</v>
      </c>
      <c r="E20" s="37" t="s">
        <v>1034</v>
      </c>
      <c r="F20" s="87"/>
    </row>
    <row r="21">
      <c r="A21" s="147">
        <v>45061.00008</v>
      </c>
      <c r="B21" s="148" t="s">
        <v>1059</v>
      </c>
      <c r="C21" s="87" t="s">
        <v>1055</v>
      </c>
      <c r="D21" s="37" t="s">
        <v>1034</v>
      </c>
      <c r="E21" s="37">
        <v>2095046.0</v>
      </c>
      <c r="F21" s="87"/>
    </row>
    <row r="22">
      <c r="A22" s="147">
        <v>45085.00009</v>
      </c>
      <c r="B22" s="148" t="s">
        <v>1054</v>
      </c>
      <c r="C22" s="87" t="s">
        <v>1060</v>
      </c>
      <c r="D22" s="37">
        <v>2864004.0</v>
      </c>
      <c r="E22" s="37" t="s">
        <v>1034</v>
      </c>
      <c r="F22" s="87" t="s">
        <v>48</v>
      </c>
    </row>
    <row r="23">
      <c r="A23" s="147">
        <v>45085.00009</v>
      </c>
      <c r="B23" s="148" t="s">
        <v>1035</v>
      </c>
      <c r="C23" s="87" t="s">
        <v>1061</v>
      </c>
      <c r="D23" s="37" t="s">
        <v>1034</v>
      </c>
      <c r="E23" s="37">
        <v>2864004.0</v>
      </c>
      <c r="F23" s="87" t="s">
        <v>48</v>
      </c>
    </row>
    <row r="24">
      <c r="A24" s="147">
        <v>45129.00009</v>
      </c>
      <c r="B24" s="148" t="s">
        <v>1062</v>
      </c>
      <c r="C24" s="87" t="s">
        <v>1063</v>
      </c>
      <c r="D24" s="37">
        <v>2864004.0</v>
      </c>
      <c r="E24" s="37" t="s">
        <v>1034</v>
      </c>
      <c r="F24" s="87" t="s">
        <v>48</v>
      </c>
    </row>
    <row r="25">
      <c r="A25" s="147">
        <v>45129.00009</v>
      </c>
      <c r="B25" s="148" t="s">
        <v>1059</v>
      </c>
      <c r="C25" s="87" t="s">
        <v>1060</v>
      </c>
      <c r="D25" s="37" t="s">
        <v>1034</v>
      </c>
      <c r="E25" s="37">
        <v>2864004.0</v>
      </c>
      <c r="F25" s="87" t="s">
        <v>48</v>
      </c>
    </row>
    <row r="26">
      <c r="A26" s="147">
        <v>45202.3541625</v>
      </c>
      <c r="B26" s="148" t="s">
        <v>1054</v>
      </c>
      <c r="C26" s="87" t="s">
        <v>1064</v>
      </c>
      <c r="D26" s="37">
        <v>1113424.0</v>
      </c>
      <c r="E26" s="37" t="s">
        <v>1034</v>
      </c>
      <c r="F26" s="87"/>
    </row>
    <row r="27">
      <c r="A27" s="147">
        <v>45202.3541625</v>
      </c>
      <c r="B27" s="148" t="s">
        <v>1035</v>
      </c>
      <c r="C27" s="87" t="s">
        <v>1065</v>
      </c>
      <c r="D27" s="37" t="s">
        <v>1034</v>
      </c>
      <c r="E27" s="37">
        <v>1113424.0</v>
      </c>
      <c r="F27" s="87"/>
    </row>
    <row r="28">
      <c r="A28" s="147">
        <v>45232.639382407404</v>
      </c>
      <c r="B28" s="148" t="s">
        <v>1066</v>
      </c>
      <c r="C28" s="87" t="s">
        <v>1067</v>
      </c>
      <c r="D28" s="37">
        <v>1113424.0</v>
      </c>
      <c r="E28" s="37" t="s">
        <v>1034</v>
      </c>
      <c r="F28" s="87"/>
    </row>
    <row r="29">
      <c r="A29" s="147">
        <v>45232.639382407404</v>
      </c>
      <c r="B29" s="148" t="s">
        <v>1059</v>
      </c>
      <c r="C29" s="87" t="s">
        <v>1064</v>
      </c>
      <c r="D29" s="37" t="s">
        <v>1034</v>
      </c>
      <c r="E29" s="37">
        <v>1113424.0</v>
      </c>
      <c r="F29" s="87"/>
    </row>
    <row r="30">
      <c r="A30" s="147">
        <v>45265.6897512037</v>
      </c>
      <c r="B30" s="148" t="s">
        <v>1068</v>
      </c>
      <c r="C30" s="87" t="s">
        <v>1069</v>
      </c>
      <c r="D30" s="37">
        <v>361680.0</v>
      </c>
      <c r="E30" s="37" t="s">
        <v>1034</v>
      </c>
      <c r="F30" s="87"/>
    </row>
    <row r="31">
      <c r="A31" s="147">
        <v>45265.6897512037</v>
      </c>
      <c r="B31" s="148" t="s">
        <v>1035</v>
      </c>
      <c r="C31" s="87" t="s">
        <v>1070</v>
      </c>
      <c r="D31" s="37" t="s">
        <v>1034</v>
      </c>
      <c r="E31" s="37">
        <v>361680.0</v>
      </c>
      <c r="F31" s="87"/>
    </row>
    <row r="32">
      <c r="A32" s="147">
        <v>45313.25012</v>
      </c>
      <c r="B32" s="148" t="s">
        <v>1071</v>
      </c>
      <c r="C32" s="87" t="s">
        <v>1072</v>
      </c>
      <c r="D32" s="37">
        <v>10607.58</v>
      </c>
      <c r="E32" s="37" t="s">
        <v>1034</v>
      </c>
      <c r="F32" s="87" t="s">
        <v>54</v>
      </c>
    </row>
    <row r="33">
      <c r="A33" s="147">
        <v>45313.25012</v>
      </c>
      <c r="B33" s="148" t="s">
        <v>1039</v>
      </c>
      <c r="C33" s="87" t="s">
        <v>1073</v>
      </c>
      <c r="D33" s="37" t="s">
        <v>1034</v>
      </c>
      <c r="E33" s="37">
        <v>10607.58</v>
      </c>
      <c r="F33" s="87" t="s">
        <v>54</v>
      </c>
    </row>
    <row r="34">
      <c r="A34" s="147">
        <v>45336.460536666666</v>
      </c>
      <c r="B34" s="148" t="s">
        <v>1032</v>
      </c>
      <c r="C34" s="87" t="s">
        <v>1073</v>
      </c>
      <c r="D34" s="37">
        <v>10607.58</v>
      </c>
      <c r="E34" s="37" t="s">
        <v>1034</v>
      </c>
      <c r="F34" s="87" t="s">
        <v>54</v>
      </c>
    </row>
    <row r="35">
      <c r="A35" s="147">
        <v>45336.460536666666</v>
      </c>
      <c r="B35" s="148" t="s">
        <v>1035</v>
      </c>
      <c r="C35" s="87" t="s">
        <v>1074</v>
      </c>
      <c r="D35" s="37" t="s">
        <v>1034</v>
      </c>
      <c r="E35" s="37">
        <v>10607.58</v>
      </c>
      <c r="F35" s="87" t="s">
        <v>54</v>
      </c>
    </row>
    <row r="36">
      <c r="A36" s="147">
        <v>45341.63969333333</v>
      </c>
      <c r="B36" s="148" t="s">
        <v>1075</v>
      </c>
      <c r="C36" s="87" t="s">
        <v>1076</v>
      </c>
      <c r="D36" s="37">
        <v>361680.0</v>
      </c>
      <c r="E36" s="37" t="s">
        <v>1034</v>
      </c>
      <c r="F36" s="87"/>
    </row>
    <row r="37">
      <c r="A37" s="147">
        <v>45341.63969333333</v>
      </c>
      <c r="B37" s="148" t="s">
        <v>1077</v>
      </c>
      <c r="C37" s="87" t="s">
        <v>1069</v>
      </c>
      <c r="D37" s="37" t="s">
        <v>1034</v>
      </c>
      <c r="E37" s="37">
        <v>361680.0</v>
      </c>
      <c r="F37" s="87"/>
    </row>
    <row r="38">
      <c r="A38" s="147">
        <v>45361.6035675</v>
      </c>
      <c r="B38" s="148" t="s">
        <v>1078</v>
      </c>
      <c r="C38" s="87" t="s">
        <v>1079</v>
      </c>
      <c r="D38" s="37">
        <v>182500.0</v>
      </c>
      <c r="E38" s="37" t="s">
        <v>1034</v>
      </c>
      <c r="F38" s="87" t="s">
        <v>57</v>
      </c>
    </row>
    <row r="39">
      <c r="A39" s="147">
        <v>45361.6035675</v>
      </c>
      <c r="B39" s="148" t="s">
        <v>1035</v>
      </c>
      <c r="C39" s="87" t="s">
        <v>1080</v>
      </c>
      <c r="D39" s="37" t="s">
        <v>1034</v>
      </c>
      <c r="E39" s="37">
        <v>182500.0</v>
      </c>
      <c r="F39" s="87" t="s">
        <v>57</v>
      </c>
    </row>
    <row r="40">
      <c r="A40" s="147">
        <v>45365.48398416667</v>
      </c>
      <c r="B40" s="148" t="s">
        <v>1081</v>
      </c>
      <c r="C40" s="87" t="s">
        <v>1082</v>
      </c>
      <c r="D40" s="37">
        <v>182500.0</v>
      </c>
      <c r="E40" s="37" t="s">
        <v>1034</v>
      </c>
      <c r="F40" s="87" t="s">
        <v>57</v>
      </c>
    </row>
    <row r="41">
      <c r="A41" s="147">
        <v>45365.48398416667</v>
      </c>
      <c r="B41" s="148" t="s">
        <v>1083</v>
      </c>
      <c r="C41" s="87" t="s">
        <v>1079</v>
      </c>
      <c r="D41" s="37" t="s">
        <v>1034</v>
      </c>
      <c r="E41" s="37">
        <v>182500.0</v>
      </c>
      <c r="F41" s="87" t="s">
        <v>57</v>
      </c>
    </row>
    <row r="42">
      <c r="A42" s="147">
        <v>45374.67908675926</v>
      </c>
      <c r="B42" s="148" t="s">
        <v>1068</v>
      </c>
      <c r="C42" s="87" t="s">
        <v>1084</v>
      </c>
      <c r="D42" s="37">
        <v>4318000.0</v>
      </c>
      <c r="E42" s="37" t="s">
        <v>1034</v>
      </c>
      <c r="F42" s="87" t="s">
        <v>60</v>
      </c>
    </row>
    <row r="43">
      <c r="A43" s="147">
        <v>45374.67908675926</v>
      </c>
      <c r="B43" s="148" t="s">
        <v>1035</v>
      </c>
      <c r="C43" s="87" t="s">
        <v>1085</v>
      </c>
      <c r="D43" s="37" t="s">
        <v>1034</v>
      </c>
      <c r="E43" s="37">
        <v>4318000.0</v>
      </c>
      <c r="F43" s="87" t="s">
        <v>60</v>
      </c>
    </row>
    <row r="44">
      <c r="A44" s="147">
        <v>45381.200844444444</v>
      </c>
      <c r="B44" s="148" t="s">
        <v>1032</v>
      </c>
      <c r="C44" s="87" t="s">
        <v>1086</v>
      </c>
      <c r="D44" s="37">
        <v>38280.0</v>
      </c>
      <c r="E44" s="37" t="s">
        <v>1034</v>
      </c>
      <c r="F44" s="87" t="s">
        <v>62</v>
      </c>
    </row>
    <row r="45">
      <c r="A45" s="147">
        <v>45381.200844444444</v>
      </c>
      <c r="B45" s="148" t="s">
        <v>1035</v>
      </c>
      <c r="C45" s="87" t="s">
        <v>1087</v>
      </c>
      <c r="D45" s="37" t="s">
        <v>1034</v>
      </c>
      <c r="E45" s="37">
        <v>38280.0</v>
      </c>
      <c r="F45" s="87" t="s">
        <v>62</v>
      </c>
    </row>
    <row r="46">
      <c r="A46" s="147">
        <v>45384.56783518518</v>
      </c>
      <c r="B46" s="148" t="s">
        <v>1088</v>
      </c>
      <c r="C46" s="87" t="s">
        <v>1089</v>
      </c>
      <c r="D46" s="37">
        <v>38280.0</v>
      </c>
      <c r="E46" s="37" t="s">
        <v>1034</v>
      </c>
      <c r="F46" s="87" t="s">
        <v>62</v>
      </c>
    </row>
    <row r="47">
      <c r="A47" s="147">
        <v>45384.56783518518</v>
      </c>
      <c r="B47" s="148" t="s">
        <v>1039</v>
      </c>
      <c r="C47" s="87" t="s">
        <v>1086</v>
      </c>
      <c r="D47" s="37" t="s">
        <v>1034</v>
      </c>
      <c r="E47" s="37">
        <v>38280.0</v>
      </c>
      <c r="F47" s="87" t="s">
        <v>62</v>
      </c>
    </row>
    <row r="48">
      <c r="A48" s="147">
        <v>45409.658493333336</v>
      </c>
      <c r="B48" s="148" t="s">
        <v>1040</v>
      </c>
      <c r="C48" s="87" t="s">
        <v>1090</v>
      </c>
      <c r="D48" s="37">
        <v>7210919.3</v>
      </c>
      <c r="E48" s="37" t="s">
        <v>1034</v>
      </c>
      <c r="F48" s="87" t="s">
        <v>64</v>
      </c>
    </row>
    <row r="49">
      <c r="A49" s="147">
        <v>45409.658493333336</v>
      </c>
      <c r="B49" s="148" t="s">
        <v>1035</v>
      </c>
      <c r="C49" s="87" t="s">
        <v>1091</v>
      </c>
      <c r="D49" s="37" t="s">
        <v>1034</v>
      </c>
      <c r="E49" s="37">
        <v>7210919.3</v>
      </c>
      <c r="F49" s="87" t="s">
        <v>64</v>
      </c>
    </row>
    <row r="50">
      <c r="A50" s="147">
        <v>45410.55886333333</v>
      </c>
      <c r="B50" s="148" t="s">
        <v>1092</v>
      </c>
      <c r="C50" s="87" t="s">
        <v>1093</v>
      </c>
      <c r="D50" s="37">
        <v>3257743.5799999996</v>
      </c>
      <c r="E50" s="37" t="s">
        <v>1034</v>
      </c>
      <c r="F50" s="87" t="s">
        <v>153</v>
      </c>
    </row>
    <row r="51">
      <c r="A51" s="147">
        <v>45410.55886333333</v>
      </c>
      <c r="B51" s="148" t="s">
        <v>1039</v>
      </c>
      <c r="C51" s="87" t="s">
        <v>1094</v>
      </c>
      <c r="D51" s="37" t="s">
        <v>1034</v>
      </c>
      <c r="E51" s="37">
        <v>3257743.5799999996</v>
      </c>
      <c r="F51" s="87" t="s">
        <v>153</v>
      </c>
    </row>
    <row r="52">
      <c r="A52" s="147">
        <v>45411.51128111111</v>
      </c>
      <c r="B52" s="148" t="s">
        <v>1032</v>
      </c>
      <c r="C52" s="87" t="s">
        <v>1095</v>
      </c>
      <c r="D52" s="37">
        <v>784180.08</v>
      </c>
      <c r="E52" s="37" t="s">
        <v>1034</v>
      </c>
      <c r="F52" s="87" t="s">
        <v>66</v>
      </c>
    </row>
    <row r="53">
      <c r="A53" s="147">
        <v>45411.51128111111</v>
      </c>
      <c r="B53" s="148" t="s">
        <v>1035</v>
      </c>
      <c r="C53" s="87" t="s">
        <v>1096</v>
      </c>
      <c r="D53" s="37" t="s">
        <v>1034</v>
      </c>
      <c r="E53" s="37">
        <v>784180.08</v>
      </c>
      <c r="F53" s="87" t="s">
        <v>66</v>
      </c>
    </row>
    <row r="54">
      <c r="A54" s="147">
        <v>45411.6590025926</v>
      </c>
      <c r="B54" s="148" t="s">
        <v>1097</v>
      </c>
      <c r="C54" s="87" t="s">
        <v>1098</v>
      </c>
      <c r="D54" s="37">
        <v>7210919.3</v>
      </c>
      <c r="E54" s="37" t="s">
        <v>1034</v>
      </c>
      <c r="F54" s="87" t="s">
        <v>64</v>
      </c>
    </row>
    <row r="55">
      <c r="A55" s="147">
        <v>45411.6590025926</v>
      </c>
      <c r="B55" s="148" t="s">
        <v>1045</v>
      </c>
      <c r="C55" s="87" t="s">
        <v>1090</v>
      </c>
      <c r="D55" s="37" t="s">
        <v>1034</v>
      </c>
      <c r="E55" s="37">
        <v>7210919.3</v>
      </c>
      <c r="F55" s="87" t="s">
        <v>64</v>
      </c>
    </row>
    <row r="56">
      <c r="A56" s="147">
        <v>45414.41683666666</v>
      </c>
      <c r="B56" s="148" t="s">
        <v>1099</v>
      </c>
      <c r="C56" s="87" t="s">
        <v>1100</v>
      </c>
      <c r="D56" s="37">
        <v>784180.08</v>
      </c>
      <c r="E56" s="37" t="s">
        <v>1034</v>
      </c>
      <c r="F56" s="87" t="s">
        <v>66</v>
      </c>
    </row>
    <row r="57">
      <c r="A57" s="147">
        <v>45414.41683666666</v>
      </c>
      <c r="B57" s="148" t="s">
        <v>1039</v>
      </c>
      <c r="C57" s="87" t="s">
        <v>1095</v>
      </c>
      <c r="D57" s="37" t="s">
        <v>1034</v>
      </c>
      <c r="E57" s="37">
        <v>784180.08</v>
      </c>
      <c r="F57" s="87" t="s">
        <v>66</v>
      </c>
    </row>
    <row r="58">
      <c r="A58" s="147">
        <v>45414.90698555556</v>
      </c>
      <c r="B58" s="148" t="s">
        <v>1040</v>
      </c>
      <c r="C58" s="87" t="s">
        <v>1101</v>
      </c>
      <c r="D58" s="37">
        <v>5166.67</v>
      </c>
      <c r="E58" s="37" t="s">
        <v>1034</v>
      </c>
      <c r="F58" s="87" t="s">
        <v>68</v>
      </c>
    </row>
    <row r="59">
      <c r="A59" s="147">
        <v>45414.90698555556</v>
      </c>
      <c r="B59" s="148" t="s">
        <v>1035</v>
      </c>
      <c r="C59" s="87" t="s">
        <v>1102</v>
      </c>
      <c r="D59" s="37" t="s">
        <v>1034</v>
      </c>
      <c r="E59" s="37">
        <v>5166.67</v>
      </c>
      <c r="F59" s="87" t="s">
        <v>68</v>
      </c>
    </row>
    <row r="60">
      <c r="A60" s="147">
        <v>45415.65499481482</v>
      </c>
      <c r="B60" s="148" t="s">
        <v>1103</v>
      </c>
      <c r="C60" s="87" t="s">
        <v>1104</v>
      </c>
      <c r="D60" s="37">
        <v>5166.67</v>
      </c>
      <c r="E60" s="37" t="s">
        <v>1034</v>
      </c>
      <c r="F60" s="87" t="s">
        <v>68</v>
      </c>
    </row>
    <row r="61">
      <c r="A61" s="147">
        <v>45415.65499481482</v>
      </c>
      <c r="B61" s="148" t="s">
        <v>1045</v>
      </c>
      <c r="C61" s="87" t="s">
        <v>1101</v>
      </c>
      <c r="D61" s="37" t="s">
        <v>1034</v>
      </c>
      <c r="E61" s="37">
        <v>5166.67</v>
      </c>
      <c r="F61" s="87" t="s">
        <v>68</v>
      </c>
    </row>
    <row r="62">
      <c r="A62" s="147">
        <v>45417.98074555556</v>
      </c>
      <c r="B62" s="148" t="s">
        <v>1032</v>
      </c>
      <c r="C62" s="87" t="s">
        <v>1105</v>
      </c>
      <c r="D62" s="37">
        <v>298218.96</v>
      </c>
      <c r="E62" s="37" t="s">
        <v>1034</v>
      </c>
      <c r="F62" s="87" t="s">
        <v>70</v>
      </c>
    </row>
    <row r="63">
      <c r="A63" s="147">
        <v>45417.98074555556</v>
      </c>
      <c r="B63" s="148" t="s">
        <v>1035</v>
      </c>
      <c r="C63" s="87" t="s">
        <v>1106</v>
      </c>
      <c r="D63" s="37" t="s">
        <v>1034</v>
      </c>
      <c r="E63" s="37">
        <v>298218.96</v>
      </c>
      <c r="F63" s="87" t="s">
        <v>70</v>
      </c>
    </row>
    <row r="64">
      <c r="A64" s="147">
        <v>45421.20506111111</v>
      </c>
      <c r="B64" s="148" t="s">
        <v>1032</v>
      </c>
      <c r="C64" s="87" t="s">
        <v>1107</v>
      </c>
      <c r="D64" s="37">
        <v>62344.1</v>
      </c>
      <c r="E64" s="37" t="s">
        <v>1034</v>
      </c>
      <c r="F64" s="87" t="s">
        <v>73</v>
      </c>
    </row>
    <row r="65">
      <c r="A65" s="147">
        <v>45421.20506111111</v>
      </c>
      <c r="B65" s="148" t="s">
        <v>1035</v>
      </c>
      <c r="C65" s="87" t="s">
        <v>1108</v>
      </c>
      <c r="D65" s="37" t="s">
        <v>1034</v>
      </c>
      <c r="E65" s="37">
        <v>62344.1</v>
      </c>
      <c r="F65" s="87" t="s">
        <v>73</v>
      </c>
    </row>
    <row r="66">
      <c r="A66" s="147">
        <v>45421.604507129625</v>
      </c>
      <c r="B66" s="148" t="s">
        <v>1109</v>
      </c>
      <c r="C66" s="87" t="s">
        <v>1110</v>
      </c>
      <c r="D66" s="37">
        <v>298218.96</v>
      </c>
      <c r="E66" s="37" t="s">
        <v>1034</v>
      </c>
      <c r="F66" s="87" t="s">
        <v>70</v>
      </c>
    </row>
    <row r="67">
      <c r="A67" s="147">
        <v>45421.604507129625</v>
      </c>
      <c r="B67" s="148" t="s">
        <v>1039</v>
      </c>
      <c r="C67" s="87" t="s">
        <v>1105</v>
      </c>
      <c r="D67" s="37" t="s">
        <v>1034</v>
      </c>
      <c r="E67" s="37">
        <v>298218.96</v>
      </c>
      <c r="F67" s="87" t="s">
        <v>70</v>
      </c>
    </row>
    <row r="68">
      <c r="A68" s="147">
        <v>45423.62589444445</v>
      </c>
      <c r="B68" s="148" t="s">
        <v>1111</v>
      </c>
      <c r="C68" s="87" t="s">
        <v>1112</v>
      </c>
      <c r="D68" s="37">
        <v>62344.1</v>
      </c>
      <c r="E68" s="37" t="s">
        <v>1034</v>
      </c>
      <c r="F68" s="87" t="s">
        <v>73</v>
      </c>
    </row>
    <row r="69">
      <c r="A69" s="147">
        <v>45423.62589444445</v>
      </c>
      <c r="B69" s="148" t="s">
        <v>1039</v>
      </c>
      <c r="C69" s="87" t="s">
        <v>1107</v>
      </c>
      <c r="D69" s="37" t="s">
        <v>1034</v>
      </c>
      <c r="E69" s="37">
        <v>62344.1</v>
      </c>
      <c r="F69" s="87" t="s">
        <v>73</v>
      </c>
    </row>
    <row r="70">
      <c r="A70" s="147">
        <v>45426.59326555555</v>
      </c>
      <c r="B70" s="148" t="s">
        <v>1068</v>
      </c>
      <c r="C70" s="87" t="s">
        <v>1113</v>
      </c>
      <c r="D70" s="37">
        <v>1344778.0</v>
      </c>
      <c r="E70" s="37" t="s">
        <v>1034</v>
      </c>
      <c r="F70" s="87" t="s">
        <v>75</v>
      </c>
    </row>
    <row r="71">
      <c r="A71" s="147">
        <v>45426.59326555555</v>
      </c>
      <c r="B71" s="148" t="s">
        <v>1035</v>
      </c>
      <c r="C71" s="87" t="s">
        <v>1114</v>
      </c>
      <c r="D71" s="37" t="s">
        <v>1034</v>
      </c>
      <c r="E71" s="37">
        <v>1344778.0</v>
      </c>
      <c r="F71" s="87" t="s">
        <v>75</v>
      </c>
    </row>
    <row r="72">
      <c r="A72" s="147">
        <v>45426.998831111116</v>
      </c>
      <c r="B72" s="148" t="s">
        <v>1032</v>
      </c>
      <c r="C72" s="87" t="s">
        <v>1115</v>
      </c>
      <c r="D72" s="37">
        <v>5168602.32</v>
      </c>
      <c r="E72" s="37" t="s">
        <v>1034</v>
      </c>
      <c r="F72" s="87" t="s">
        <v>78</v>
      </c>
    </row>
    <row r="73">
      <c r="A73" s="147">
        <v>45426.998831111116</v>
      </c>
      <c r="B73" s="148" t="s">
        <v>1035</v>
      </c>
      <c r="C73" s="87" t="s">
        <v>1116</v>
      </c>
      <c r="D73" s="37" t="s">
        <v>1034</v>
      </c>
      <c r="E73" s="37">
        <v>5168602.32</v>
      </c>
      <c r="F73" s="87" t="s">
        <v>78</v>
      </c>
    </row>
    <row r="74">
      <c r="A74" s="147">
        <v>45429.457106574075</v>
      </c>
      <c r="B74" s="148" t="s">
        <v>1117</v>
      </c>
      <c r="C74" s="87" t="s">
        <v>1118</v>
      </c>
      <c r="D74" s="37">
        <v>5168602.32</v>
      </c>
      <c r="E74" s="37" t="s">
        <v>1034</v>
      </c>
      <c r="F74" s="87" t="s">
        <v>78</v>
      </c>
    </row>
    <row r="75">
      <c r="A75" s="147">
        <v>45429.457106574075</v>
      </c>
      <c r="B75" s="148" t="s">
        <v>1039</v>
      </c>
      <c r="C75" s="87" t="s">
        <v>1115</v>
      </c>
      <c r="D75" s="37" t="s">
        <v>1034</v>
      </c>
      <c r="E75" s="37">
        <v>5168602.32</v>
      </c>
      <c r="F75" s="87" t="s">
        <v>78</v>
      </c>
    </row>
    <row r="76">
      <c r="A76" s="147">
        <v>45452.71550777778</v>
      </c>
      <c r="B76" s="148" t="s">
        <v>1032</v>
      </c>
      <c r="C76" s="87" t="s">
        <v>1119</v>
      </c>
      <c r="D76" s="37">
        <v>1144731.0</v>
      </c>
      <c r="E76" s="37" t="s">
        <v>1034</v>
      </c>
      <c r="F76" s="87" t="s">
        <v>81</v>
      </c>
    </row>
    <row r="77">
      <c r="A77" s="147">
        <v>45452.71550777778</v>
      </c>
      <c r="B77" s="148" t="s">
        <v>1035</v>
      </c>
      <c r="C77" s="87" t="s">
        <v>1120</v>
      </c>
      <c r="D77" s="37" t="s">
        <v>1034</v>
      </c>
      <c r="E77" s="37">
        <v>1144731.0</v>
      </c>
      <c r="F77" s="87" t="s">
        <v>81</v>
      </c>
    </row>
    <row r="78">
      <c r="A78" s="147">
        <v>45453.54051777778</v>
      </c>
      <c r="B78" s="148" t="s">
        <v>1040</v>
      </c>
      <c r="C78" s="87" t="s">
        <v>1121</v>
      </c>
      <c r="D78" s="37">
        <v>5808.14</v>
      </c>
      <c r="E78" s="37" t="s">
        <v>1034</v>
      </c>
      <c r="F78" s="87" t="s">
        <v>84</v>
      </c>
    </row>
    <row r="79">
      <c r="A79" s="147">
        <v>45453.54051777778</v>
      </c>
      <c r="B79" s="148" t="s">
        <v>1035</v>
      </c>
      <c r="C79" s="87" t="s">
        <v>1122</v>
      </c>
      <c r="D79" s="37" t="s">
        <v>1034</v>
      </c>
      <c r="E79" s="37">
        <v>5808.14</v>
      </c>
      <c r="F79" s="87" t="s">
        <v>84</v>
      </c>
    </row>
    <row r="80">
      <c r="A80" s="147">
        <v>45455.60997222222</v>
      </c>
      <c r="B80" s="148" t="s">
        <v>1068</v>
      </c>
      <c r="C80" s="87" t="s">
        <v>1123</v>
      </c>
      <c r="D80" s="37">
        <v>482915.0</v>
      </c>
      <c r="E80" s="37" t="s">
        <v>1034</v>
      </c>
      <c r="F80" s="87" t="s">
        <v>87</v>
      </c>
    </row>
    <row r="81">
      <c r="A81" s="147">
        <v>45455.60997222222</v>
      </c>
      <c r="B81" s="148" t="s">
        <v>1035</v>
      </c>
      <c r="C81" s="87" t="s">
        <v>1124</v>
      </c>
      <c r="D81" s="37" t="s">
        <v>1034</v>
      </c>
      <c r="E81" s="37">
        <v>482915.0</v>
      </c>
      <c r="F81" s="87" t="s">
        <v>87</v>
      </c>
    </row>
    <row r="82">
      <c r="A82" s="147">
        <v>45455.609982222224</v>
      </c>
      <c r="B82" s="148" t="s">
        <v>1068</v>
      </c>
      <c r="C82" s="87" t="s">
        <v>1125</v>
      </c>
      <c r="D82" s="37">
        <v>2617563.0</v>
      </c>
      <c r="E82" s="37" t="s">
        <v>1034</v>
      </c>
      <c r="F82" s="87" t="s">
        <v>89</v>
      </c>
    </row>
    <row r="83">
      <c r="A83" s="147">
        <v>45455.609982222224</v>
      </c>
      <c r="B83" s="148" t="s">
        <v>1035</v>
      </c>
      <c r="C83" s="87" t="s">
        <v>1126</v>
      </c>
      <c r="D83" s="37" t="s">
        <v>1034</v>
      </c>
      <c r="E83" s="37">
        <v>2617563.0</v>
      </c>
      <c r="F83" s="87" t="s">
        <v>89</v>
      </c>
    </row>
    <row r="84">
      <c r="A84" s="147">
        <v>45456.541906666665</v>
      </c>
      <c r="B84" s="148" t="s">
        <v>1127</v>
      </c>
      <c r="C84" s="87" t="s">
        <v>1128</v>
      </c>
      <c r="D84" s="37">
        <v>5808.14</v>
      </c>
      <c r="E84" s="37" t="s">
        <v>1034</v>
      </c>
      <c r="F84" s="87" t="s">
        <v>84</v>
      </c>
    </row>
    <row r="85">
      <c r="A85" s="147">
        <v>45456.541906666665</v>
      </c>
      <c r="B85" s="148" t="s">
        <v>1045</v>
      </c>
      <c r="C85" s="87" t="s">
        <v>1121</v>
      </c>
      <c r="D85" s="37" t="s">
        <v>1034</v>
      </c>
      <c r="E85" s="37">
        <v>5808.14</v>
      </c>
      <c r="F85" s="87" t="s">
        <v>84</v>
      </c>
    </row>
    <row r="86">
      <c r="A86" s="147">
        <v>45456.594674444445</v>
      </c>
      <c r="B86" s="148" t="s">
        <v>1129</v>
      </c>
      <c r="C86" s="87" t="s">
        <v>1130</v>
      </c>
      <c r="D86" s="37">
        <v>1144731.0</v>
      </c>
      <c r="E86" s="37" t="s">
        <v>1034</v>
      </c>
      <c r="F86" s="87" t="s">
        <v>81</v>
      </c>
    </row>
    <row r="87">
      <c r="A87" s="147">
        <v>45456.594674444445</v>
      </c>
      <c r="B87" s="148" t="s">
        <v>1039</v>
      </c>
      <c r="C87" s="87" t="s">
        <v>1119</v>
      </c>
      <c r="D87" s="37" t="s">
        <v>1034</v>
      </c>
      <c r="E87" s="37">
        <v>1144731.0</v>
      </c>
      <c r="F87" s="87" t="s">
        <v>81</v>
      </c>
    </row>
    <row r="88">
      <c r="A88" s="147">
        <v>45477.91680666666</v>
      </c>
      <c r="B88" s="148" t="s">
        <v>1131</v>
      </c>
      <c r="C88" s="87" t="s">
        <v>1132</v>
      </c>
      <c r="D88" s="37">
        <v>4318000.0</v>
      </c>
      <c r="E88" s="37" t="s">
        <v>1034</v>
      </c>
      <c r="F88" s="87" t="s">
        <v>60</v>
      </c>
    </row>
    <row r="89">
      <c r="A89" s="147">
        <v>45477.91680666666</v>
      </c>
      <c r="B89" s="148" t="s">
        <v>1077</v>
      </c>
      <c r="C89" s="87" t="s">
        <v>1084</v>
      </c>
      <c r="D89" s="37" t="s">
        <v>1034</v>
      </c>
      <c r="E89" s="37">
        <v>4318000.0</v>
      </c>
      <c r="F89" s="87" t="s">
        <v>60</v>
      </c>
    </row>
    <row r="90">
      <c r="A90" s="147">
        <v>45486.57318666666</v>
      </c>
      <c r="B90" s="148" t="s">
        <v>1032</v>
      </c>
      <c r="C90" s="87" t="s">
        <v>1133</v>
      </c>
      <c r="D90" s="37">
        <v>348820.0</v>
      </c>
      <c r="E90" s="37" t="s">
        <v>1034</v>
      </c>
      <c r="F90" s="87" t="s">
        <v>92</v>
      </c>
    </row>
    <row r="91">
      <c r="A91" s="147">
        <v>45486.57318666666</v>
      </c>
      <c r="B91" s="148" t="s">
        <v>1035</v>
      </c>
      <c r="C91" s="87" t="s">
        <v>1134</v>
      </c>
      <c r="D91" s="37" t="s">
        <v>1034</v>
      </c>
      <c r="E91" s="37">
        <v>348820.0</v>
      </c>
      <c r="F91" s="87" t="s">
        <v>92</v>
      </c>
    </row>
    <row r="92">
      <c r="A92" s="147">
        <v>45488.83360333333</v>
      </c>
      <c r="B92" s="148" t="s">
        <v>1135</v>
      </c>
      <c r="C92" s="87" t="s">
        <v>1136</v>
      </c>
      <c r="D92" s="37">
        <v>348820.0</v>
      </c>
      <c r="E92" s="37" t="s">
        <v>1034</v>
      </c>
      <c r="F92" s="87" t="s">
        <v>92</v>
      </c>
    </row>
    <row r="93">
      <c r="A93" s="147">
        <v>45488.83360333333</v>
      </c>
      <c r="B93" s="148" t="s">
        <v>1039</v>
      </c>
      <c r="C93" s="87" t="s">
        <v>1133</v>
      </c>
      <c r="D93" s="37" t="s">
        <v>1034</v>
      </c>
      <c r="E93" s="37">
        <v>348820.0</v>
      </c>
      <c r="F93" s="87" t="s">
        <v>92</v>
      </c>
    </row>
    <row r="94">
      <c r="A94" s="147">
        <v>45493.66687666666</v>
      </c>
      <c r="B94" s="148" t="s">
        <v>1137</v>
      </c>
      <c r="C94" s="87" t="s">
        <v>1138</v>
      </c>
      <c r="D94" s="37">
        <v>1344778.0</v>
      </c>
      <c r="E94" s="37" t="s">
        <v>1034</v>
      </c>
      <c r="F94" s="87" t="s">
        <v>75</v>
      </c>
    </row>
    <row r="95">
      <c r="A95" s="147">
        <v>45493.66687666666</v>
      </c>
      <c r="B95" s="148" t="s">
        <v>1077</v>
      </c>
      <c r="C95" s="87" t="s">
        <v>1113</v>
      </c>
      <c r="D95" s="37" t="s">
        <v>1034</v>
      </c>
      <c r="E95" s="37">
        <v>1344778.0</v>
      </c>
      <c r="F95" s="87" t="s">
        <v>75</v>
      </c>
    </row>
    <row r="96">
      <c r="A96" s="147">
        <v>45512.03500222222</v>
      </c>
      <c r="B96" s="148" t="s">
        <v>1032</v>
      </c>
      <c r="C96" s="87" t="s">
        <v>1139</v>
      </c>
      <c r="D96" s="37">
        <v>12343.53</v>
      </c>
      <c r="E96" s="37" t="s">
        <v>1034</v>
      </c>
      <c r="F96" s="87" t="s">
        <v>95</v>
      </c>
    </row>
    <row r="97">
      <c r="A97" s="147">
        <v>45512.03500222222</v>
      </c>
      <c r="B97" s="148" t="s">
        <v>1035</v>
      </c>
      <c r="C97" s="87" t="s">
        <v>1140</v>
      </c>
      <c r="D97" s="37" t="s">
        <v>1034</v>
      </c>
      <c r="E97" s="37">
        <v>12343.53</v>
      </c>
      <c r="F97" s="87" t="s">
        <v>95</v>
      </c>
    </row>
    <row r="98">
      <c r="A98" s="147">
        <v>45513.00029</v>
      </c>
      <c r="B98" s="148" t="s">
        <v>1040</v>
      </c>
      <c r="C98" s="87" t="s">
        <v>1141</v>
      </c>
      <c r="D98" s="37">
        <v>460845.0</v>
      </c>
      <c r="E98" s="37" t="s">
        <v>1034</v>
      </c>
      <c r="F98" s="87" t="s">
        <v>98</v>
      </c>
    </row>
    <row r="99">
      <c r="A99" s="147">
        <v>45513.00029</v>
      </c>
      <c r="B99" s="148" t="s">
        <v>1035</v>
      </c>
      <c r="C99" s="87" t="s">
        <v>1142</v>
      </c>
      <c r="D99" s="37" t="s">
        <v>1034</v>
      </c>
      <c r="E99" s="37">
        <v>460845.0</v>
      </c>
      <c r="F99" s="87" t="s">
        <v>98</v>
      </c>
    </row>
    <row r="100">
      <c r="A100" s="147">
        <v>45514.66695666667</v>
      </c>
      <c r="B100" s="148" t="s">
        <v>1143</v>
      </c>
      <c r="C100" s="87" t="s">
        <v>1144</v>
      </c>
      <c r="D100" s="37">
        <v>460845.0</v>
      </c>
      <c r="E100" s="37" t="s">
        <v>1034</v>
      </c>
      <c r="F100" s="87" t="s">
        <v>98</v>
      </c>
    </row>
    <row r="101">
      <c r="A101" s="147">
        <v>45514.66695666667</v>
      </c>
      <c r="B101" s="148" t="s">
        <v>1045</v>
      </c>
      <c r="C101" s="87" t="s">
        <v>1141</v>
      </c>
      <c r="D101" s="37" t="s">
        <v>1034</v>
      </c>
      <c r="E101" s="37">
        <v>460845.0</v>
      </c>
      <c r="F101" s="87" t="s">
        <v>98</v>
      </c>
    </row>
    <row r="102">
      <c r="A102" s="147">
        <v>45515.58500222222</v>
      </c>
      <c r="B102" s="148" t="s">
        <v>1145</v>
      </c>
      <c r="C102" s="87" t="s">
        <v>1146</v>
      </c>
      <c r="D102" s="37">
        <v>12343.53</v>
      </c>
      <c r="E102" s="37" t="s">
        <v>1034</v>
      </c>
      <c r="F102" s="87" t="s">
        <v>95</v>
      </c>
    </row>
    <row r="103">
      <c r="A103" s="147">
        <v>45515.58500222222</v>
      </c>
      <c r="B103" s="148" t="s">
        <v>1039</v>
      </c>
      <c r="C103" s="87" t="s">
        <v>1139</v>
      </c>
      <c r="D103" s="37" t="s">
        <v>1034</v>
      </c>
      <c r="E103" s="37">
        <v>12343.53</v>
      </c>
      <c r="F103" s="87" t="s">
        <v>95</v>
      </c>
    </row>
    <row r="104">
      <c r="A104" s="147">
        <v>45527.62525</v>
      </c>
      <c r="B104" s="148" t="s">
        <v>1147</v>
      </c>
      <c r="C104" s="87" t="s">
        <v>1148</v>
      </c>
      <c r="D104" s="37">
        <v>482915.0</v>
      </c>
      <c r="E104" s="37" t="s">
        <v>1034</v>
      </c>
      <c r="F104" s="87" t="s">
        <v>87</v>
      </c>
    </row>
    <row r="105">
      <c r="A105" s="147">
        <v>45527.62525</v>
      </c>
      <c r="B105" s="148" t="s">
        <v>1077</v>
      </c>
      <c r="C105" s="87" t="s">
        <v>1123</v>
      </c>
      <c r="D105" s="37" t="s">
        <v>1034</v>
      </c>
      <c r="E105" s="37">
        <v>482915.0</v>
      </c>
      <c r="F105" s="87" t="s">
        <v>87</v>
      </c>
    </row>
    <row r="106">
      <c r="A106" s="147">
        <v>45527.95859333334</v>
      </c>
      <c r="B106" s="148" t="s">
        <v>1149</v>
      </c>
      <c r="C106" s="87" t="s">
        <v>1150</v>
      </c>
      <c r="D106" s="37">
        <v>2617563.0</v>
      </c>
      <c r="E106" s="37" t="s">
        <v>1034</v>
      </c>
      <c r="F106" s="87" t="s">
        <v>89</v>
      </c>
    </row>
    <row r="107">
      <c r="A107" s="147">
        <v>45527.95859333334</v>
      </c>
      <c r="B107" s="148" t="s">
        <v>1077</v>
      </c>
      <c r="C107" s="87" t="s">
        <v>1125</v>
      </c>
      <c r="D107" s="37" t="s">
        <v>1034</v>
      </c>
      <c r="E107" s="37">
        <v>2617563.0</v>
      </c>
      <c r="F107" s="87" t="s">
        <v>89</v>
      </c>
    </row>
    <row r="108">
      <c r="A108" s="147">
        <v>45563.55932777778</v>
      </c>
      <c r="B108" s="148" t="s">
        <v>1032</v>
      </c>
      <c r="C108" s="87" t="s">
        <v>1151</v>
      </c>
      <c r="D108" s="37">
        <v>4501965.0</v>
      </c>
      <c r="E108" s="37" t="s">
        <v>1034</v>
      </c>
      <c r="F108" s="87" t="s">
        <v>101</v>
      </c>
    </row>
    <row r="109">
      <c r="A109" s="147">
        <v>45563.55932777778</v>
      </c>
      <c r="B109" s="148" t="s">
        <v>1035</v>
      </c>
      <c r="C109" s="87" t="s">
        <v>1152</v>
      </c>
      <c r="D109" s="37" t="s">
        <v>1034</v>
      </c>
      <c r="E109" s="37">
        <v>4501965.0</v>
      </c>
      <c r="F109" s="87" t="s">
        <v>101</v>
      </c>
    </row>
    <row r="110">
      <c r="A110" s="147">
        <v>45565.46002222222</v>
      </c>
      <c r="B110" s="148" t="s">
        <v>1153</v>
      </c>
      <c r="C110" s="87" t="s">
        <v>1154</v>
      </c>
      <c r="D110" s="37">
        <v>4501965.0</v>
      </c>
      <c r="E110" s="37" t="s">
        <v>1034</v>
      </c>
      <c r="F110" s="87" t="s">
        <v>101</v>
      </c>
    </row>
    <row r="111">
      <c r="A111" s="147">
        <v>45565.46002222222</v>
      </c>
      <c r="B111" s="148" t="s">
        <v>1039</v>
      </c>
      <c r="C111" s="87" t="s">
        <v>1151</v>
      </c>
      <c r="D111" s="37" t="s">
        <v>1034</v>
      </c>
      <c r="E111" s="37">
        <v>4501965.0</v>
      </c>
      <c r="F111" s="87" t="s">
        <v>101</v>
      </c>
    </row>
    <row r="112">
      <c r="A112" s="147">
        <v>45566.737810000006</v>
      </c>
      <c r="B112" s="148" t="s">
        <v>1040</v>
      </c>
      <c r="C112" s="87" t="s">
        <v>1155</v>
      </c>
      <c r="D112" s="37">
        <v>53736.020000000004</v>
      </c>
      <c r="E112" s="37" t="s">
        <v>1034</v>
      </c>
      <c r="F112" s="87" t="s">
        <v>104</v>
      </c>
    </row>
    <row r="113">
      <c r="A113" s="147">
        <v>45566.737810000006</v>
      </c>
      <c r="B113" s="148" t="s">
        <v>1035</v>
      </c>
      <c r="C113" s="87" t="s">
        <v>1156</v>
      </c>
      <c r="D113" s="37" t="s">
        <v>1034</v>
      </c>
      <c r="E113" s="37">
        <v>53736.020000000004</v>
      </c>
      <c r="F113" s="87" t="s">
        <v>104</v>
      </c>
    </row>
    <row r="114">
      <c r="A114" s="147">
        <v>45570.59197666667</v>
      </c>
      <c r="B114" s="148" t="s">
        <v>1157</v>
      </c>
      <c r="C114" s="87" t="s">
        <v>1158</v>
      </c>
      <c r="D114" s="37">
        <v>53736.020000000004</v>
      </c>
      <c r="E114" s="37" t="s">
        <v>1034</v>
      </c>
      <c r="F114" s="87" t="s">
        <v>104</v>
      </c>
    </row>
    <row r="115">
      <c r="A115" s="147">
        <v>45570.59197666667</v>
      </c>
      <c r="B115" s="148" t="s">
        <v>1045</v>
      </c>
      <c r="C115" s="87" t="s">
        <v>1155</v>
      </c>
      <c r="D115" s="37" t="s">
        <v>1034</v>
      </c>
      <c r="E115" s="37">
        <v>53736.020000000004</v>
      </c>
      <c r="F115" s="87" t="s">
        <v>104</v>
      </c>
    </row>
    <row r="116">
      <c r="A116" s="147">
        <v>45592.97948666666</v>
      </c>
      <c r="B116" s="148" t="s">
        <v>1032</v>
      </c>
      <c r="C116" s="87" t="s">
        <v>1159</v>
      </c>
      <c r="D116" s="37">
        <v>677641.25</v>
      </c>
      <c r="E116" s="37" t="s">
        <v>1034</v>
      </c>
      <c r="F116" s="87" t="s">
        <v>107</v>
      </c>
    </row>
    <row r="117">
      <c r="A117" s="147">
        <v>45592.97948666666</v>
      </c>
      <c r="B117" s="148" t="s">
        <v>1035</v>
      </c>
      <c r="C117" s="87" t="s">
        <v>1160</v>
      </c>
      <c r="D117" s="37" t="s">
        <v>1034</v>
      </c>
      <c r="E117" s="37">
        <v>677641.25</v>
      </c>
      <c r="F117" s="87" t="s">
        <v>107</v>
      </c>
    </row>
    <row r="118">
      <c r="A118" s="147">
        <v>45598.59963555556</v>
      </c>
      <c r="B118" s="148" t="s">
        <v>1032</v>
      </c>
      <c r="C118" s="87" t="s">
        <v>1161</v>
      </c>
      <c r="D118" s="37">
        <v>381996.80000000005</v>
      </c>
      <c r="E118" s="37" t="s">
        <v>1034</v>
      </c>
      <c r="F118" s="87" t="s">
        <v>109</v>
      </c>
    </row>
    <row r="119">
      <c r="A119" s="147">
        <v>45598.59963555556</v>
      </c>
      <c r="B119" s="148" t="s">
        <v>1035</v>
      </c>
      <c r="C119" s="87" t="s">
        <v>1162</v>
      </c>
      <c r="D119" s="37" t="s">
        <v>1034</v>
      </c>
      <c r="E119" s="37">
        <v>381996.80000000005</v>
      </c>
      <c r="F119" s="87" t="s">
        <v>109</v>
      </c>
    </row>
    <row r="120">
      <c r="A120" s="147">
        <v>45598.71004222222</v>
      </c>
      <c r="B120" s="148" t="s">
        <v>1163</v>
      </c>
      <c r="C120" s="87" t="s">
        <v>1164</v>
      </c>
      <c r="D120" s="37">
        <v>677641.25</v>
      </c>
      <c r="E120" s="37" t="s">
        <v>1034</v>
      </c>
      <c r="F120" s="87" t="s">
        <v>107</v>
      </c>
    </row>
    <row r="121">
      <c r="A121" s="147">
        <v>45598.71004222222</v>
      </c>
      <c r="B121" s="148" t="s">
        <v>1039</v>
      </c>
      <c r="C121" s="87" t="s">
        <v>1159</v>
      </c>
      <c r="D121" s="37" t="s">
        <v>1034</v>
      </c>
      <c r="E121" s="37">
        <v>677641.25</v>
      </c>
      <c r="F121" s="87" t="s">
        <v>107</v>
      </c>
    </row>
    <row r="122">
      <c r="A122" s="147">
        <v>45605.54199666667</v>
      </c>
      <c r="B122" s="148" t="s">
        <v>1165</v>
      </c>
      <c r="C122" s="87" t="s">
        <v>1166</v>
      </c>
      <c r="D122" s="37">
        <v>381996.80000000005</v>
      </c>
      <c r="E122" s="37" t="s">
        <v>1034</v>
      </c>
      <c r="F122" s="87" t="s">
        <v>109</v>
      </c>
    </row>
    <row r="123">
      <c r="A123" s="147">
        <v>45605.54199666667</v>
      </c>
      <c r="B123" s="148" t="s">
        <v>1039</v>
      </c>
      <c r="C123" s="87" t="s">
        <v>1161</v>
      </c>
      <c r="D123" s="37" t="s">
        <v>1034</v>
      </c>
      <c r="E123" s="37">
        <v>381996.80000000005</v>
      </c>
      <c r="F123" s="87" t="s">
        <v>109</v>
      </c>
    </row>
    <row r="124">
      <c r="A124" s="147">
        <v>45624.70520111111</v>
      </c>
      <c r="B124" s="148" t="s">
        <v>1032</v>
      </c>
      <c r="C124" s="87" t="s">
        <v>1167</v>
      </c>
      <c r="D124" s="37">
        <v>1953600.0</v>
      </c>
      <c r="E124" s="37" t="s">
        <v>1034</v>
      </c>
      <c r="F124" s="87" t="s">
        <v>111</v>
      </c>
    </row>
    <row r="125">
      <c r="A125" s="147">
        <v>45624.70520111111</v>
      </c>
      <c r="B125" s="148" t="s">
        <v>1035</v>
      </c>
      <c r="C125" s="87" t="s">
        <v>1168</v>
      </c>
      <c r="D125" s="37" t="s">
        <v>1034</v>
      </c>
      <c r="E125" s="37">
        <v>1953600.0</v>
      </c>
      <c r="F125" s="87" t="s">
        <v>111</v>
      </c>
    </row>
    <row r="126">
      <c r="A126" s="147">
        <v>45626.86631222222</v>
      </c>
      <c r="B126" s="148" t="s">
        <v>1169</v>
      </c>
      <c r="C126" s="87" t="s">
        <v>1170</v>
      </c>
      <c r="D126" s="37">
        <v>1953600.0</v>
      </c>
      <c r="E126" s="37" t="s">
        <v>1034</v>
      </c>
      <c r="F126" s="87" t="s">
        <v>111</v>
      </c>
    </row>
    <row r="127">
      <c r="A127" s="147">
        <v>45626.86631222222</v>
      </c>
      <c r="B127" s="148" t="s">
        <v>1039</v>
      </c>
      <c r="C127" s="87" t="s">
        <v>1167</v>
      </c>
      <c r="D127" s="37" t="s">
        <v>1034</v>
      </c>
      <c r="E127" s="37">
        <v>1953600.0</v>
      </c>
      <c r="F127" s="87" t="s">
        <v>111</v>
      </c>
    </row>
    <row r="128">
      <c r="A128" s="147">
        <v>45638.007988888894</v>
      </c>
      <c r="B128" s="148" t="s">
        <v>1032</v>
      </c>
      <c r="C128" s="87" t="s">
        <v>1171</v>
      </c>
      <c r="D128" s="37">
        <v>734565.24</v>
      </c>
      <c r="E128" s="37" t="s">
        <v>1034</v>
      </c>
      <c r="F128" s="87" t="s">
        <v>114</v>
      </c>
    </row>
    <row r="129">
      <c r="A129" s="147">
        <v>45638.007988888894</v>
      </c>
      <c r="B129" s="148" t="s">
        <v>1035</v>
      </c>
      <c r="C129" s="87" t="s">
        <v>1172</v>
      </c>
      <c r="D129" s="37" t="s">
        <v>1034</v>
      </c>
      <c r="E129" s="37">
        <v>734565.24</v>
      </c>
      <c r="F129" s="87" t="s">
        <v>114</v>
      </c>
    </row>
    <row r="130">
      <c r="A130" s="147">
        <v>45642.61701666667</v>
      </c>
      <c r="B130" s="148" t="s">
        <v>1173</v>
      </c>
      <c r="C130" s="87" t="s">
        <v>1174</v>
      </c>
      <c r="D130" s="37">
        <v>734565.24</v>
      </c>
      <c r="E130" s="37" t="s">
        <v>1034</v>
      </c>
      <c r="F130" s="87" t="s">
        <v>114</v>
      </c>
    </row>
    <row r="131">
      <c r="A131" s="147">
        <v>45642.61701666667</v>
      </c>
      <c r="B131" s="148" t="s">
        <v>1039</v>
      </c>
      <c r="C131" s="87" t="s">
        <v>1171</v>
      </c>
      <c r="D131" s="37" t="s">
        <v>1034</v>
      </c>
      <c r="E131" s="37">
        <v>734565.24</v>
      </c>
      <c r="F131" s="87" t="s">
        <v>114</v>
      </c>
    </row>
    <row r="132">
      <c r="A132" s="147">
        <v>45644.67049888889</v>
      </c>
      <c r="B132" s="148" t="s">
        <v>1040</v>
      </c>
      <c r="C132" s="87" t="s">
        <v>1175</v>
      </c>
      <c r="D132" s="37">
        <v>525103.7999999999</v>
      </c>
      <c r="E132" s="37" t="s">
        <v>1034</v>
      </c>
      <c r="F132" s="87" t="s">
        <v>116</v>
      </c>
    </row>
    <row r="133">
      <c r="A133" s="147">
        <v>45644.67049888889</v>
      </c>
      <c r="B133" s="148" t="s">
        <v>1035</v>
      </c>
      <c r="C133" s="87" t="s">
        <v>1176</v>
      </c>
      <c r="D133" s="37" t="s">
        <v>1034</v>
      </c>
      <c r="E133" s="37">
        <v>525103.7999999999</v>
      </c>
      <c r="F133" s="87" t="s">
        <v>116</v>
      </c>
    </row>
    <row r="134">
      <c r="A134" s="147">
        <v>45644.67050888889</v>
      </c>
      <c r="B134" s="148" t="s">
        <v>1040</v>
      </c>
      <c r="C134" s="87" t="s">
        <v>1177</v>
      </c>
      <c r="D134" s="37">
        <v>176764.16</v>
      </c>
      <c r="E134" s="37" t="s">
        <v>1034</v>
      </c>
      <c r="F134" s="87" t="s">
        <v>116</v>
      </c>
    </row>
    <row r="135">
      <c r="A135" s="147">
        <v>45644.67050888889</v>
      </c>
      <c r="B135" s="148" t="s">
        <v>1035</v>
      </c>
      <c r="C135" s="87" t="s">
        <v>1178</v>
      </c>
      <c r="D135" s="37" t="s">
        <v>1034</v>
      </c>
      <c r="E135" s="37">
        <v>176764.16</v>
      </c>
      <c r="F135" s="87" t="s">
        <v>116</v>
      </c>
    </row>
    <row r="136">
      <c r="A136" s="147">
        <v>45645.83371333333</v>
      </c>
      <c r="B136" s="148" t="s">
        <v>1032</v>
      </c>
      <c r="C136" s="87" t="s">
        <v>1179</v>
      </c>
      <c r="D136" s="37">
        <v>1277191.52</v>
      </c>
      <c r="E136" s="37" t="s">
        <v>1034</v>
      </c>
      <c r="F136" s="87" t="s">
        <v>121</v>
      </c>
    </row>
    <row r="137">
      <c r="A137" s="147">
        <v>45645.83371333333</v>
      </c>
      <c r="B137" s="148" t="s">
        <v>1035</v>
      </c>
      <c r="C137" s="87" t="s">
        <v>1180</v>
      </c>
      <c r="D137" s="37" t="s">
        <v>1034</v>
      </c>
      <c r="E137" s="37">
        <v>1277191.52</v>
      </c>
      <c r="F137" s="87" t="s">
        <v>121</v>
      </c>
    </row>
    <row r="138">
      <c r="A138" s="147">
        <v>45646.6593762037</v>
      </c>
      <c r="B138" s="148" t="s">
        <v>1181</v>
      </c>
      <c r="C138" s="87" t="s">
        <v>1182</v>
      </c>
      <c r="D138" s="37">
        <v>525103.7999999999</v>
      </c>
      <c r="E138" s="37" t="s">
        <v>1034</v>
      </c>
      <c r="F138" s="87" t="s">
        <v>116</v>
      </c>
    </row>
    <row r="139">
      <c r="A139" s="147">
        <v>45646.6593762037</v>
      </c>
      <c r="B139" s="148" t="s">
        <v>1045</v>
      </c>
      <c r="C139" s="87" t="s">
        <v>1175</v>
      </c>
      <c r="D139" s="37" t="s">
        <v>1034</v>
      </c>
      <c r="E139" s="37">
        <v>525103.7999999999</v>
      </c>
      <c r="F139" s="87" t="s">
        <v>116</v>
      </c>
    </row>
    <row r="140">
      <c r="A140" s="147">
        <v>45646.659386203704</v>
      </c>
      <c r="B140" s="148" t="s">
        <v>1183</v>
      </c>
      <c r="C140" s="87" t="s">
        <v>1184</v>
      </c>
      <c r="D140" s="37">
        <v>176764.16</v>
      </c>
      <c r="E140" s="37" t="s">
        <v>1034</v>
      </c>
      <c r="F140" s="87" t="s">
        <v>116</v>
      </c>
    </row>
    <row r="141">
      <c r="A141" s="147">
        <v>45646.659386203704</v>
      </c>
      <c r="B141" s="148" t="s">
        <v>1045</v>
      </c>
      <c r="C141" s="87" t="s">
        <v>1177</v>
      </c>
      <c r="D141" s="37" t="s">
        <v>1034</v>
      </c>
      <c r="E141" s="37">
        <v>176764.16</v>
      </c>
      <c r="F141" s="87" t="s">
        <v>116</v>
      </c>
    </row>
    <row r="142">
      <c r="A142" s="147">
        <v>45649.38371333333</v>
      </c>
      <c r="B142" s="148" t="s">
        <v>1185</v>
      </c>
      <c r="C142" s="87" t="s">
        <v>1186</v>
      </c>
      <c r="D142" s="37">
        <v>1277191.52</v>
      </c>
      <c r="E142" s="37" t="s">
        <v>1034</v>
      </c>
      <c r="F142" s="87" t="s">
        <v>121</v>
      </c>
    </row>
    <row r="143">
      <c r="A143" s="147">
        <v>45649.38371333333</v>
      </c>
      <c r="B143" s="148" t="s">
        <v>1039</v>
      </c>
      <c r="C143" s="87" t="s">
        <v>1179</v>
      </c>
      <c r="D143" s="37" t="s">
        <v>1034</v>
      </c>
      <c r="E143" s="37">
        <v>1277191.52</v>
      </c>
      <c r="F143" s="87" t="s">
        <v>121</v>
      </c>
    </row>
    <row r="144">
      <c r="A144" s="147">
        <v>45681.91844555556</v>
      </c>
      <c r="B144" s="148" t="s">
        <v>1032</v>
      </c>
      <c r="C144" s="87" t="s">
        <v>1187</v>
      </c>
      <c r="D144" s="37">
        <v>81622.39</v>
      </c>
      <c r="E144" s="37" t="s">
        <v>1034</v>
      </c>
      <c r="F144" s="87" t="s">
        <v>123</v>
      </c>
    </row>
    <row r="145">
      <c r="A145" s="147">
        <v>45681.91844555556</v>
      </c>
      <c r="B145" s="148" t="s">
        <v>1035</v>
      </c>
      <c r="C145" s="87" t="s">
        <v>1188</v>
      </c>
      <c r="D145" s="37" t="s">
        <v>1034</v>
      </c>
      <c r="E145" s="37">
        <v>81622.39</v>
      </c>
      <c r="F145" s="87" t="s">
        <v>123</v>
      </c>
    </row>
    <row r="146">
      <c r="A146" s="147">
        <v>45682.02748333333</v>
      </c>
      <c r="B146" s="148" t="s">
        <v>1032</v>
      </c>
      <c r="C146" s="87" t="s">
        <v>1189</v>
      </c>
      <c r="D146" s="37">
        <v>1366614.0</v>
      </c>
      <c r="E146" s="37" t="s">
        <v>1034</v>
      </c>
      <c r="F146" s="87" t="s">
        <v>126</v>
      </c>
    </row>
    <row r="147">
      <c r="A147" s="147">
        <v>45682.02748333333</v>
      </c>
      <c r="B147" s="148" t="s">
        <v>1035</v>
      </c>
      <c r="C147" s="87" t="s">
        <v>1190</v>
      </c>
      <c r="D147" s="37" t="s">
        <v>1034</v>
      </c>
      <c r="E147" s="37">
        <v>1366614.0</v>
      </c>
      <c r="F147" s="87" t="s">
        <v>126</v>
      </c>
    </row>
    <row r="148">
      <c r="A148" s="147">
        <v>45682.027493333335</v>
      </c>
      <c r="B148" s="148" t="s">
        <v>1032</v>
      </c>
      <c r="C148" s="87" t="s">
        <v>1191</v>
      </c>
      <c r="D148" s="37">
        <v>845056.0</v>
      </c>
      <c r="E148" s="37" t="s">
        <v>1034</v>
      </c>
      <c r="F148" s="87" t="s">
        <v>126</v>
      </c>
    </row>
    <row r="149">
      <c r="A149" s="147">
        <v>45682.027493333335</v>
      </c>
      <c r="B149" s="148" t="s">
        <v>1035</v>
      </c>
      <c r="C149" s="87" t="s">
        <v>1192</v>
      </c>
      <c r="D149" s="37" t="s">
        <v>1034</v>
      </c>
      <c r="E149" s="37">
        <v>845056.0</v>
      </c>
      <c r="F149" s="87" t="s">
        <v>126</v>
      </c>
    </row>
    <row r="150">
      <c r="A150" s="147">
        <v>45685.32052888889</v>
      </c>
      <c r="B150" s="148" t="s">
        <v>1193</v>
      </c>
      <c r="C150" s="87" t="s">
        <v>1194</v>
      </c>
      <c r="D150" s="37">
        <v>81622.39</v>
      </c>
      <c r="E150" s="37" t="s">
        <v>1034</v>
      </c>
      <c r="F150" s="87" t="s">
        <v>123</v>
      </c>
    </row>
    <row r="151">
      <c r="A151" s="147">
        <v>45685.32052888889</v>
      </c>
      <c r="B151" s="148" t="s">
        <v>1039</v>
      </c>
      <c r="C151" s="87" t="s">
        <v>1187</v>
      </c>
      <c r="D151" s="37" t="s">
        <v>1034</v>
      </c>
      <c r="E151" s="37">
        <v>81622.39</v>
      </c>
      <c r="F151" s="87" t="s">
        <v>123</v>
      </c>
    </row>
    <row r="152">
      <c r="A152" s="147">
        <v>45685.472622222216</v>
      </c>
      <c r="B152" s="148" t="s">
        <v>1195</v>
      </c>
      <c r="C152" s="87" t="s">
        <v>1196</v>
      </c>
      <c r="D152" s="37">
        <v>1366614.0</v>
      </c>
      <c r="E152" s="37" t="s">
        <v>1034</v>
      </c>
      <c r="F152" s="87" t="s">
        <v>126</v>
      </c>
    </row>
    <row r="153">
      <c r="A153" s="147">
        <v>45685.472622222216</v>
      </c>
      <c r="B153" s="148" t="s">
        <v>1039</v>
      </c>
      <c r="C153" s="87" t="s">
        <v>1189</v>
      </c>
      <c r="D153" s="37" t="s">
        <v>1034</v>
      </c>
      <c r="E153" s="37">
        <v>1366614.0</v>
      </c>
      <c r="F153" s="87" t="s">
        <v>126</v>
      </c>
    </row>
    <row r="154">
      <c r="A154" s="147">
        <v>45685.47263222222</v>
      </c>
      <c r="B154" s="148" t="s">
        <v>1197</v>
      </c>
      <c r="C154" s="87" t="s">
        <v>1198</v>
      </c>
      <c r="D154" s="37">
        <v>845056.0</v>
      </c>
      <c r="E154" s="37" t="s">
        <v>1034</v>
      </c>
      <c r="F154" s="87" t="s">
        <v>126</v>
      </c>
    </row>
    <row r="155">
      <c r="A155" s="147">
        <v>45685.47263222222</v>
      </c>
      <c r="B155" s="148" t="s">
        <v>1039</v>
      </c>
      <c r="C155" s="87" t="s">
        <v>1191</v>
      </c>
      <c r="D155" s="37" t="s">
        <v>1034</v>
      </c>
      <c r="E155" s="37">
        <v>845056.0</v>
      </c>
      <c r="F155" s="87" t="s">
        <v>126</v>
      </c>
    </row>
    <row r="156">
      <c r="A156" s="147">
        <v>45705.48444777777</v>
      </c>
      <c r="B156" s="148" t="s">
        <v>1032</v>
      </c>
      <c r="C156" s="87" t="s">
        <v>1199</v>
      </c>
      <c r="D156" s="37">
        <v>96069.46</v>
      </c>
      <c r="E156" s="37" t="s">
        <v>1034</v>
      </c>
      <c r="F156" s="87" t="s">
        <v>130</v>
      </c>
    </row>
    <row r="157">
      <c r="A157" s="147">
        <v>45705.48444777777</v>
      </c>
      <c r="B157" s="148" t="s">
        <v>1035</v>
      </c>
      <c r="C157" s="87" t="s">
        <v>1200</v>
      </c>
      <c r="D157" s="37" t="s">
        <v>1034</v>
      </c>
      <c r="E157" s="37">
        <v>96069.46</v>
      </c>
      <c r="F157" s="87" t="s">
        <v>130</v>
      </c>
    </row>
    <row r="158">
      <c r="A158" s="147">
        <v>45705.48445777778</v>
      </c>
      <c r="B158" s="148" t="s">
        <v>1032</v>
      </c>
      <c r="C158" s="87" t="s">
        <v>1201</v>
      </c>
      <c r="D158" s="37">
        <v>105744.15000000001</v>
      </c>
      <c r="E158" s="37" t="s">
        <v>1034</v>
      </c>
      <c r="F158" s="87" t="s">
        <v>130</v>
      </c>
    </row>
    <row r="159">
      <c r="A159" s="147">
        <v>45705.48445777778</v>
      </c>
      <c r="B159" s="148" t="s">
        <v>1035</v>
      </c>
      <c r="C159" s="87" t="s">
        <v>1202</v>
      </c>
      <c r="D159" s="37" t="s">
        <v>1034</v>
      </c>
      <c r="E159" s="37">
        <v>105744.15000000001</v>
      </c>
      <c r="F159" s="87" t="s">
        <v>130</v>
      </c>
    </row>
    <row r="160">
      <c r="A160" s="147">
        <v>45708.68444777778</v>
      </c>
      <c r="B160" s="148" t="s">
        <v>1203</v>
      </c>
      <c r="C160" s="87" t="s">
        <v>1204</v>
      </c>
      <c r="D160" s="37">
        <v>96069.46</v>
      </c>
      <c r="E160" s="37" t="s">
        <v>1034</v>
      </c>
      <c r="F160" s="87" t="s">
        <v>130</v>
      </c>
    </row>
    <row r="161">
      <c r="A161" s="147">
        <v>45708.68444777778</v>
      </c>
      <c r="B161" s="148" t="s">
        <v>1039</v>
      </c>
      <c r="C161" s="87" t="s">
        <v>1199</v>
      </c>
      <c r="D161" s="37" t="s">
        <v>1034</v>
      </c>
      <c r="E161" s="37">
        <v>96069.46</v>
      </c>
      <c r="F161" s="87" t="s">
        <v>130</v>
      </c>
    </row>
    <row r="162">
      <c r="A162" s="147">
        <v>45708.68445777778</v>
      </c>
      <c r="B162" s="148" t="s">
        <v>1205</v>
      </c>
      <c r="C162" s="87" t="s">
        <v>1206</v>
      </c>
      <c r="D162" s="37">
        <v>105744.15000000001</v>
      </c>
      <c r="E162" s="37" t="s">
        <v>1034</v>
      </c>
      <c r="F162" s="87" t="s">
        <v>130</v>
      </c>
    </row>
    <row r="163">
      <c r="A163" s="147">
        <v>45708.68445777778</v>
      </c>
      <c r="B163" s="148" t="s">
        <v>1039</v>
      </c>
      <c r="C163" s="87" t="s">
        <v>1201</v>
      </c>
      <c r="D163" s="37" t="s">
        <v>1034</v>
      </c>
      <c r="E163" s="37">
        <v>105744.15000000001</v>
      </c>
      <c r="F163" s="87" t="s">
        <v>130</v>
      </c>
    </row>
    <row r="164">
      <c r="A164" s="147">
        <v>45712.00182888889</v>
      </c>
      <c r="B164" s="148" t="s">
        <v>1032</v>
      </c>
      <c r="C164" s="87" t="s">
        <v>1207</v>
      </c>
      <c r="D164" s="37">
        <v>1188432.0</v>
      </c>
      <c r="E164" s="37" t="s">
        <v>1034</v>
      </c>
      <c r="F164" s="87" t="s">
        <v>133</v>
      </c>
    </row>
    <row r="165">
      <c r="A165" s="147">
        <v>45712.00182888889</v>
      </c>
      <c r="B165" s="148" t="s">
        <v>1035</v>
      </c>
      <c r="C165" s="87" t="s">
        <v>1208</v>
      </c>
      <c r="D165" s="37" t="s">
        <v>1034</v>
      </c>
      <c r="E165" s="37">
        <v>1188432.0</v>
      </c>
      <c r="F165" s="87" t="s">
        <v>133</v>
      </c>
    </row>
    <row r="166">
      <c r="A166" s="147">
        <v>45712.001838888886</v>
      </c>
      <c r="B166" s="148" t="s">
        <v>1032</v>
      </c>
      <c r="C166" s="87" t="s">
        <v>1209</v>
      </c>
      <c r="D166" s="37">
        <v>961222.0800000001</v>
      </c>
      <c r="E166" s="37" t="s">
        <v>1034</v>
      </c>
      <c r="F166" s="87" t="s">
        <v>54</v>
      </c>
    </row>
    <row r="167">
      <c r="A167" s="147">
        <v>45712.001838888886</v>
      </c>
      <c r="B167" s="148" t="s">
        <v>1035</v>
      </c>
      <c r="C167" s="87" t="s">
        <v>1210</v>
      </c>
      <c r="D167" s="37" t="s">
        <v>1034</v>
      </c>
      <c r="E167" s="37">
        <v>961222.0800000001</v>
      </c>
      <c r="F167" s="87" t="s">
        <v>54</v>
      </c>
    </row>
    <row r="168">
      <c r="A168" s="147">
        <v>45712.76365444445</v>
      </c>
      <c r="B168" s="148" t="s">
        <v>1032</v>
      </c>
      <c r="C168" s="87" t="s">
        <v>1211</v>
      </c>
      <c r="D168" s="37">
        <v>3756648.07</v>
      </c>
      <c r="E168" s="37" t="s">
        <v>1034</v>
      </c>
      <c r="F168" s="87" t="s">
        <v>137</v>
      </c>
    </row>
    <row r="169">
      <c r="A169" s="147">
        <v>45712.76365444445</v>
      </c>
      <c r="B169" s="148" t="s">
        <v>1035</v>
      </c>
      <c r="C169" s="87" t="s">
        <v>1212</v>
      </c>
      <c r="D169" s="37" t="s">
        <v>1034</v>
      </c>
      <c r="E169" s="37">
        <v>3756648.07</v>
      </c>
      <c r="F169" s="87" t="s">
        <v>137</v>
      </c>
    </row>
    <row r="170">
      <c r="A170" s="147">
        <v>45712.76366444444</v>
      </c>
      <c r="B170" s="148" t="s">
        <v>1032</v>
      </c>
      <c r="C170" s="87" t="s">
        <v>1213</v>
      </c>
      <c r="D170" s="37">
        <v>343299.3</v>
      </c>
      <c r="E170" s="37" t="s">
        <v>1034</v>
      </c>
      <c r="F170" s="87" t="s">
        <v>140</v>
      </c>
    </row>
    <row r="171">
      <c r="A171" s="147">
        <v>45712.76366444444</v>
      </c>
      <c r="B171" s="148" t="s">
        <v>1035</v>
      </c>
      <c r="C171" s="87" t="s">
        <v>1214</v>
      </c>
      <c r="D171" s="37" t="s">
        <v>1034</v>
      </c>
      <c r="E171" s="37">
        <v>343299.3</v>
      </c>
      <c r="F171" s="87" t="s">
        <v>140</v>
      </c>
    </row>
    <row r="172">
      <c r="A172" s="147">
        <v>45713.30533111111</v>
      </c>
      <c r="B172" s="148" t="s">
        <v>1215</v>
      </c>
      <c r="C172" s="87" t="s">
        <v>1216</v>
      </c>
      <c r="D172" s="37">
        <v>343299.3</v>
      </c>
      <c r="E172" s="37" t="s">
        <v>1034</v>
      </c>
      <c r="F172" s="87" t="s">
        <v>140</v>
      </c>
    </row>
    <row r="173">
      <c r="A173" s="147">
        <v>45713.30533111111</v>
      </c>
      <c r="B173" s="148" t="s">
        <v>1039</v>
      </c>
      <c r="C173" s="87" t="s">
        <v>1213</v>
      </c>
      <c r="D173" s="37" t="s">
        <v>1034</v>
      </c>
      <c r="E173" s="37">
        <v>343299.3</v>
      </c>
      <c r="F173" s="87" t="s">
        <v>140</v>
      </c>
    </row>
    <row r="174">
      <c r="A174" s="147">
        <v>45713.43447777778</v>
      </c>
      <c r="B174" s="148" t="s">
        <v>1217</v>
      </c>
      <c r="C174" s="87" t="s">
        <v>1218</v>
      </c>
      <c r="D174" s="37">
        <v>961222.0800000001</v>
      </c>
      <c r="E174" s="37" t="s">
        <v>1034</v>
      </c>
      <c r="F174" s="87" t="s">
        <v>54</v>
      </c>
    </row>
    <row r="175">
      <c r="A175" s="147">
        <v>45713.43447777778</v>
      </c>
      <c r="B175" s="148" t="s">
        <v>1039</v>
      </c>
      <c r="C175" s="87" t="s">
        <v>1209</v>
      </c>
      <c r="D175" s="37" t="s">
        <v>1034</v>
      </c>
      <c r="E175" s="37">
        <v>961222.0800000001</v>
      </c>
      <c r="F175" s="87" t="s">
        <v>54</v>
      </c>
    </row>
    <row r="176">
      <c r="A176" s="147">
        <v>45713.571313333334</v>
      </c>
      <c r="B176" s="148" t="s">
        <v>1040</v>
      </c>
      <c r="C176" s="87" t="s">
        <v>1219</v>
      </c>
      <c r="D176" s="37">
        <v>221307.43999999997</v>
      </c>
      <c r="E176" s="37" t="s">
        <v>1034</v>
      </c>
      <c r="F176" s="87" t="s">
        <v>142</v>
      </c>
    </row>
    <row r="177">
      <c r="A177" s="147">
        <v>45713.571313333334</v>
      </c>
      <c r="B177" s="148" t="s">
        <v>1035</v>
      </c>
      <c r="C177" s="87" t="s">
        <v>1220</v>
      </c>
      <c r="D177" s="37" t="s">
        <v>1034</v>
      </c>
      <c r="E177" s="37">
        <v>221307.43999999997</v>
      </c>
      <c r="F177" s="87" t="s">
        <v>142</v>
      </c>
    </row>
    <row r="178">
      <c r="A178" s="147">
        <v>45715.59421</v>
      </c>
      <c r="B178" s="148" t="s">
        <v>1221</v>
      </c>
      <c r="C178" s="87" t="s">
        <v>1222</v>
      </c>
      <c r="D178" s="37">
        <v>3756648.07</v>
      </c>
      <c r="E178" s="37" t="s">
        <v>1034</v>
      </c>
      <c r="F178" s="87" t="s">
        <v>137</v>
      </c>
    </row>
    <row r="179">
      <c r="A179" s="147">
        <v>45715.59421</v>
      </c>
      <c r="B179" s="148" t="s">
        <v>1039</v>
      </c>
      <c r="C179" s="87" t="s">
        <v>1211</v>
      </c>
      <c r="D179" s="37" t="s">
        <v>1034</v>
      </c>
      <c r="E179" s="37">
        <v>3756648.07</v>
      </c>
      <c r="F179" s="87" t="s">
        <v>137</v>
      </c>
    </row>
    <row r="180">
      <c r="A180" s="147">
        <v>45716.661551111116</v>
      </c>
      <c r="B180" s="148" t="s">
        <v>1223</v>
      </c>
      <c r="C180" s="87" t="s">
        <v>1224</v>
      </c>
      <c r="D180" s="37">
        <v>1188432.0</v>
      </c>
      <c r="E180" s="37" t="s">
        <v>1034</v>
      </c>
      <c r="F180" s="87" t="s">
        <v>133</v>
      </c>
    </row>
    <row r="181">
      <c r="A181" s="147">
        <v>45716.661551111116</v>
      </c>
      <c r="B181" s="148" t="s">
        <v>1039</v>
      </c>
      <c r="C181" s="87" t="s">
        <v>1207</v>
      </c>
      <c r="D181" s="37" t="s">
        <v>1034</v>
      </c>
      <c r="E181" s="37">
        <v>1188432.0</v>
      </c>
      <c r="F181" s="87" t="s">
        <v>133</v>
      </c>
    </row>
    <row r="182">
      <c r="A182" s="147">
        <v>45717.49284111111</v>
      </c>
      <c r="B182" s="148" t="s">
        <v>1225</v>
      </c>
      <c r="C182" s="87" t="s">
        <v>1226</v>
      </c>
      <c r="D182" s="37">
        <v>221307.43999999997</v>
      </c>
      <c r="E182" s="37" t="s">
        <v>1034</v>
      </c>
      <c r="F182" s="87" t="s">
        <v>142</v>
      </c>
    </row>
    <row r="183">
      <c r="A183" s="147">
        <v>45717.49284111111</v>
      </c>
      <c r="B183" s="148" t="s">
        <v>1045</v>
      </c>
      <c r="C183" s="87" t="s">
        <v>1219</v>
      </c>
      <c r="D183" s="37" t="s">
        <v>1034</v>
      </c>
      <c r="E183" s="37">
        <v>221307.43999999997</v>
      </c>
      <c r="F183" s="87" t="s">
        <v>142</v>
      </c>
    </row>
    <row r="184">
      <c r="A184" s="147">
        <v>45719.75882333333</v>
      </c>
      <c r="B184" s="148" t="s">
        <v>1040</v>
      </c>
      <c r="C184" s="87" t="s">
        <v>1227</v>
      </c>
      <c r="D184" s="37">
        <v>2073732.0</v>
      </c>
      <c r="E184" s="37" t="s">
        <v>1034</v>
      </c>
      <c r="F184" s="87" t="s">
        <v>144</v>
      </c>
    </row>
    <row r="185">
      <c r="A185" s="147">
        <v>45719.75882333333</v>
      </c>
      <c r="B185" s="148" t="s">
        <v>1035</v>
      </c>
      <c r="C185" s="87" t="s">
        <v>1228</v>
      </c>
      <c r="D185" s="37" t="s">
        <v>1034</v>
      </c>
      <c r="E185" s="37">
        <v>2073732.0</v>
      </c>
      <c r="F185" s="87" t="s">
        <v>144</v>
      </c>
    </row>
    <row r="186">
      <c r="A186" s="147">
        <v>45722.46646222222</v>
      </c>
      <c r="B186" s="148" t="s">
        <v>1229</v>
      </c>
      <c r="C186" s="87" t="s">
        <v>1230</v>
      </c>
      <c r="D186" s="37">
        <v>2073732.0</v>
      </c>
      <c r="E186" s="37" t="s">
        <v>1034</v>
      </c>
      <c r="F186" s="87" t="s">
        <v>144</v>
      </c>
    </row>
    <row r="187">
      <c r="A187" s="147">
        <v>45722.46646222222</v>
      </c>
      <c r="B187" s="148" t="s">
        <v>1045</v>
      </c>
      <c r="C187" s="87" t="s">
        <v>1227</v>
      </c>
      <c r="D187" s="37" t="s">
        <v>1034</v>
      </c>
      <c r="E187" s="37">
        <v>2073732.0</v>
      </c>
      <c r="F187" s="87" t="s">
        <v>144</v>
      </c>
    </row>
    <row r="188">
      <c r="A188" s="147">
        <v>45751.76577777778</v>
      </c>
      <c r="B188" s="148" t="s">
        <v>1032</v>
      </c>
      <c r="C188" s="87" t="s">
        <v>1231</v>
      </c>
      <c r="D188" s="37">
        <v>578986.17</v>
      </c>
      <c r="E188" s="37" t="s">
        <v>1034</v>
      </c>
      <c r="F188" s="87" t="s">
        <v>146</v>
      </c>
    </row>
    <row r="189">
      <c r="A189" s="147">
        <v>45751.76577777778</v>
      </c>
      <c r="B189" s="148" t="s">
        <v>1035</v>
      </c>
      <c r="C189" s="87" t="s">
        <v>1232</v>
      </c>
      <c r="D189" s="37" t="s">
        <v>1034</v>
      </c>
      <c r="E189" s="37">
        <v>578986.17</v>
      </c>
      <c r="F189" s="87" t="s">
        <v>146</v>
      </c>
    </row>
    <row r="190">
      <c r="A190" s="147">
        <v>45754.61091666667</v>
      </c>
      <c r="B190" s="148" t="s">
        <v>1233</v>
      </c>
      <c r="C190" s="87" t="s">
        <v>1234</v>
      </c>
      <c r="D190" s="37">
        <v>578986.17</v>
      </c>
      <c r="E190" s="37" t="s">
        <v>1034</v>
      </c>
      <c r="F190" s="87" t="s">
        <v>146</v>
      </c>
    </row>
    <row r="191">
      <c r="A191" s="147">
        <v>45754.61091666667</v>
      </c>
      <c r="B191" s="148" t="s">
        <v>1039</v>
      </c>
      <c r="C191" s="87" t="s">
        <v>1231</v>
      </c>
      <c r="D191" s="37" t="s">
        <v>1034</v>
      </c>
      <c r="E191" s="37">
        <v>578986.17</v>
      </c>
      <c r="F191" s="87" t="s">
        <v>146</v>
      </c>
    </row>
    <row r="192">
      <c r="A192" s="147">
        <v>45756.654676666665</v>
      </c>
      <c r="B192" s="148" t="s">
        <v>1235</v>
      </c>
      <c r="C192" s="87" t="s">
        <v>1236</v>
      </c>
      <c r="D192" s="37">
        <v>4014660.24</v>
      </c>
      <c r="E192" s="37" t="s">
        <v>1034</v>
      </c>
      <c r="F192" s="87" t="s">
        <v>149</v>
      </c>
    </row>
    <row r="193">
      <c r="A193" s="147">
        <v>45756.654676666665</v>
      </c>
      <c r="B193" s="148" t="s">
        <v>1035</v>
      </c>
      <c r="C193" s="87" t="s">
        <v>1237</v>
      </c>
      <c r="D193" s="37" t="s">
        <v>1034</v>
      </c>
      <c r="E193" s="37">
        <v>4014660.24</v>
      </c>
      <c r="F193" s="87" t="s">
        <v>149</v>
      </c>
    </row>
    <row r="194">
      <c r="A194" s="147">
        <v>45772.00399222222</v>
      </c>
      <c r="B194" s="148" t="s">
        <v>1032</v>
      </c>
      <c r="C194" s="87" t="s">
        <v>1238</v>
      </c>
      <c r="D194" s="37">
        <v>1201564.0</v>
      </c>
      <c r="E194" s="37" t="s">
        <v>1034</v>
      </c>
      <c r="F194" s="87" t="s">
        <v>151</v>
      </c>
    </row>
    <row r="195">
      <c r="A195" s="147">
        <v>45772.00399222222</v>
      </c>
      <c r="B195" s="148" t="s">
        <v>1035</v>
      </c>
      <c r="C195" s="87" t="s">
        <v>1239</v>
      </c>
      <c r="D195" s="37" t="s">
        <v>1034</v>
      </c>
      <c r="E195" s="37">
        <v>1201564.0</v>
      </c>
      <c r="F195" s="87" t="s">
        <v>151</v>
      </c>
    </row>
    <row r="196">
      <c r="A196" s="147">
        <v>45772.00400222222</v>
      </c>
      <c r="B196" s="148" t="s">
        <v>1032</v>
      </c>
      <c r="C196" s="87" t="s">
        <v>1094</v>
      </c>
      <c r="D196" s="37">
        <v>3257743.5799999996</v>
      </c>
      <c r="E196" s="37" t="s">
        <v>1034</v>
      </c>
      <c r="F196" s="87" t="s">
        <v>153</v>
      </c>
    </row>
    <row r="197">
      <c r="A197" s="147">
        <v>45772.00400222222</v>
      </c>
      <c r="B197" s="148" t="s">
        <v>1035</v>
      </c>
      <c r="C197" s="87" t="s">
        <v>1240</v>
      </c>
      <c r="D197" s="37" t="s">
        <v>1034</v>
      </c>
      <c r="E197" s="37">
        <v>3257743.5799999996</v>
      </c>
      <c r="F197" s="87" t="s">
        <v>153</v>
      </c>
    </row>
    <row r="198">
      <c r="A198" s="147">
        <v>45772.50051</v>
      </c>
      <c r="B198" s="148" t="s">
        <v>1241</v>
      </c>
      <c r="C198" s="87" t="s">
        <v>1242</v>
      </c>
      <c r="D198" s="37">
        <v>4014660.24</v>
      </c>
      <c r="E198" s="37" t="s">
        <v>1034</v>
      </c>
      <c r="F198" s="87" t="s">
        <v>149</v>
      </c>
    </row>
    <row r="199">
      <c r="A199" s="147">
        <v>45772.50051</v>
      </c>
      <c r="B199" s="148" t="s">
        <v>1243</v>
      </c>
      <c r="C199" s="87" t="s">
        <v>1236</v>
      </c>
      <c r="D199" s="37" t="s">
        <v>1034</v>
      </c>
      <c r="E199" s="37">
        <v>4014660.24</v>
      </c>
      <c r="F199" s="87" t="s">
        <v>149</v>
      </c>
    </row>
    <row r="200">
      <c r="A200" s="147">
        <v>45773.73456777778</v>
      </c>
      <c r="B200" s="148" t="s">
        <v>1032</v>
      </c>
      <c r="C200" s="87" t="s">
        <v>1244</v>
      </c>
      <c r="D200" s="37">
        <v>2522031.84</v>
      </c>
      <c r="E200" s="37" t="s">
        <v>1034</v>
      </c>
      <c r="F200" s="87" t="s">
        <v>156</v>
      </c>
    </row>
    <row r="201">
      <c r="A201" s="147">
        <v>45773.73456777778</v>
      </c>
      <c r="B201" s="148" t="s">
        <v>1035</v>
      </c>
      <c r="C201" s="87" t="s">
        <v>1245</v>
      </c>
      <c r="D201" s="37" t="s">
        <v>1034</v>
      </c>
      <c r="E201" s="37">
        <v>2522031.84</v>
      </c>
      <c r="F201" s="87" t="s">
        <v>156</v>
      </c>
    </row>
    <row r="202">
      <c r="A202" s="147">
        <v>45775.402603333336</v>
      </c>
      <c r="B202" s="148" t="s">
        <v>1246</v>
      </c>
      <c r="C202" s="87" t="s">
        <v>1247</v>
      </c>
      <c r="D202" s="37">
        <v>1201564.0</v>
      </c>
      <c r="E202" s="37" t="s">
        <v>1034</v>
      </c>
      <c r="F202" s="87" t="s">
        <v>151</v>
      </c>
    </row>
    <row r="203">
      <c r="A203" s="147">
        <v>45775.402603333336</v>
      </c>
      <c r="B203" s="148" t="s">
        <v>1039</v>
      </c>
      <c r="C203" s="87" t="s">
        <v>1238</v>
      </c>
      <c r="D203" s="37" t="s">
        <v>1034</v>
      </c>
      <c r="E203" s="37">
        <v>1201564.0</v>
      </c>
      <c r="F203" s="87" t="s">
        <v>151</v>
      </c>
    </row>
    <row r="204">
      <c r="A204" s="147">
        <v>45777.717901111115</v>
      </c>
      <c r="B204" s="148" t="s">
        <v>1248</v>
      </c>
      <c r="C204" s="87" t="s">
        <v>1249</v>
      </c>
      <c r="D204" s="37">
        <v>2522031.84</v>
      </c>
      <c r="E204" s="37" t="s">
        <v>1034</v>
      </c>
      <c r="F204" s="87" t="s">
        <v>156</v>
      </c>
    </row>
    <row r="205">
      <c r="A205" s="147">
        <v>45777.717901111115</v>
      </c>
      <c r="B205" s="148" t="s">
        <v>1039</v>
      </c>
      <c r="C205" s="87" t="s">
        <v>1244</v>
      </c>
      <c r="D205" s="37" t="s">
        <v>1034</v>
      </c>
      <c r="E205" s="37">
        <v>2522031.84</v>
      </c>
      <c r="F205" s="87" t="s">
        <v>156</v>
      </c>
    </row>
    <row r="206">
      <c r="A206" s="147">
        <v>45782.756105555556</v>
      </c>
      <c r="B206" s="148" t="s">
        <v>1032</v>
      </c>
      <c r="C206" s="87" t="s">
        <v>1250</v>
      </c>
      <c r="D206" s="37">
        <v>340646.0</v>
      </c>
      <c r="E206" s="37" t="s">
        <v>1034</v>
      </c>
      <c r="F206" s="87" t="s">
        <v>158</v>
      </c>
    </row>
    <row r="207">
      <c r="A207" s="147">
        <v>45782.756105555556</v>
      </c>
      <c r="B207" s="148" t="s">
        <v>1035</v>
      </c>
      <c r="C207" s="87" t="s">
        <v>1251</v>
      </c>
      <c r="D207" s="37" t="s">
        <v>1034</v>
      </c>
      <c r="E207" s="37">
        <v>340646.0</v>
      </c>
      <c r="F207" s="87" t="s">
        <v>158</v>
      </c>
    </row>
    <row r="208">
      <c r="A208" s="147">
        <v>45782.90078444444</v>
      </c>
      <c r="B208" s="148" t="s">
        <v>1013</v>
      </c>
      <c r="C208" s="87" t="s">
        <v>1252</v>
      </c>
      <c r="D208" s="37">
        <v>11000.0</v>
      </c>
      <c r="E208" s="37" t="s">
        <v>1034</v>
      </c>
      <c r="F208" s="87" t="s">
        <v>1014</v>
      </c>
    </row>
    <row r="209">
      <c r="A209" s="147">
        <v>45782.90078444444</v>
      </c>
      <c r="B209" s="148" t="s">
        <v>1035</v>
      </c>
      <c r="C209" s="87" t="s">
        <v>1253</v>
      </c>
      <c r="D209" s="37" t="s">
        <v>1034</v>
      </c>
      <c r="E209" s="37">
        <v>11000.0</v>
      </c>
      <c r="F209" s="87" t="s">
        <v>1014</v>
      </c>
    </row>
    <row r="210">
      <c r="A210" s="147">
        <v>45789.5318</v>
      </c>
      <c r="B210" s="148" t="s">
        <v>1254</v>
      </c>
      <c r="C210" s="87" t="s">
        <v>1255</v>
      </c>
      <c r="D210" s="37">
        <v>340646.0</v>
      </c>
      <c r="E210" s="37" t="s">
        <v>1034</v>
      </c>
      <c r="F210" s="87" t="s">
        <v>158</v>
      </c>
    </row>
    <row r="211">
      <c r="A211" s="147">
        <v>45789.5318</v>
      </c>
      <c r="B211" s="148" t="s">
        <v>1039</v>
      </c>
      <c r="C211" s="87" t="s">
        <v>1250</v>
      </c>
      <c r="D211" s="37" t="s">
        <v>1034</v>
      </c>
      <c r="E211" s="37">
        <v>340646.0</v>
      </c>
      <c r="F211" s="87" t="s">
        <v>158</v>
      </c>
    </row>
    <row r="212">
      <c r="A212" s="147">
        <v>45795.77556</v>
      </c>
      <c r="B212" s="148" t="s">
        <v>1032</v>
      </c>
      <c r="C212" s="87" t="s">
        <v>1256</v>
      </c>
      <c r="D212" s="37">
        <v>142993.44</v>
      </c>
      <c r="E212" s="37" t="s">
        <v>1034</v>
      </c>
      <c r="F212" s="87" t="s">
        <v>161</v>
      </c>
    </row>
    <row r="213">
      <c r="A213" s="147">
        <v>45795.77556</v>
      </c>
      <c r="B213" s="148" t="s">
        <v>1035</v>
      </c>
      <c r="C213" s="87" t="s">
        <v>1257</v>
      </c>
      <c r="D213" s="37" t="s">
        <v>1034</v>
      </c>
      <c r="E213" s="37">
        <v>142993.44</v>
      </c>
      <c r="F213" s="87" t="s">
        <v>161</v>
      </c>
    </row>
    <row r="214">
      <c r="A214" s="147">
        <v>45795.77557</v>
      </c>
      <c r="B214" s="148" t="s">
        <v>1032</v>
      </c>
      <c r="C214" s="87" t="s">
        <v>1258</v>
      </c>
      <c r="D214" s="37">
        <v>87285.08</v>
      </c>
      <c r="E214" s="37" t="s">
        <v>1034</v>
      </c>
      <c r="F214" s="87" t="s">
        <v>161</v>
      </c>
    </row>
    <row r="215">
      <c r="A215" s="147">
        <v>45795.77557</v>
      </c>
      <c r="B215" s="148" t="s">
        <v>1035</v>
      </c>
      <c r="C215" s="87" t="s">
        <v>1259</v>
      </c>
      <c r="D215" s="37" t="s">
        <v>1034</v>
      </c>
      <c r="E215" s="37">
        <v>87285.08</v>
      </c>
      <c r="F215" s="87" t="s">
        <v>161</v>
      </c>
    </row>
    <row r="216">
      <c r="A216" s="147">
        <v>45795.77558</v>
      </c>
      <c r="B216" s="148" t="s">
        <v>1032</v>
      </c>
      <c r="C216" s="87" t="s">
        <v>1260</v>
      </c>
      <c r="D216" s="37">
        <v>79640.40000000001</v>
      </c>
      <c r="E216" s="37" t="s">
        <v>1034</v>
      </c>
      <c r="F216" s="87" t="s">
        <v>161</v>
      </c>
    </row>
    <row r="217">
      <c r="A217" s="147">
        <v>45795.77558</v>
      </c>
      <c r="B217" s="148" t="s">
        <v>1035</v>
      </c>
      <c r="C217" s="87" t="s">
        <v>1261</v>
      </c>
      <c r="D217" s="37" t="s">
        <v>1034</v>
      </c>
      <c r="E217" s="37">
        <v>79640.40000000001</v>
      </c>
      <c r="F217" s="87" t="s">
        <v>161</v>
      </c>
    </row>
    <row r="218">
      <c r="A218" s="147">
        <v>45795.775590000005</v>
      </c>
      <c r="B218" s="148" t="s">
        <v>1032</v>
      </c>
      <c r="C218" s="87" t="s">
        <v>1262</v>
      </c>
      <c r="D218" s="37">
        <v>89700.24</v>
      </c>
      <c r="E218" s="37" t="s">
        <v>1034</v>
      </c>
      <c r="F218" s="87" t="s">
        <v>161</v>
      </c>
    </row>
    <row r="219">
      <c r="A219" s="147">
        <v>45795.775590000005</v>
      </c>
      <c r="B219" s="148" t="s">
        <v>1035</v>
      </c>
      <c r="C219" s="87" t="s">
        <v>1263</v>
      </c>
      <c r="D219" s="37" t="s">
        <v>1034</v>
      </c>
      <c r="E219" s="37">
        <v>89700.24</v>
      </c>
      <c r="F219" s="87" t="s">
        <v>161</v>
      </c>
    </row>
    <row r="220">
      <c r="A220" s="147">
        <v>45795.7756</v>
      </c>
      <c r="B220" s="148" t="s">
        <v>1032</v>
      </c>
      <c r="C220" s="87" t="s">
        <v>1264</v>
      </c>
      <c r="D220" s="37">
        <v>59680.4</v>
      </c>
      <c r="E220" s="37" t="s">
        <v>1034</v>
      </c>
      <c r="F220" s="87" t="s">
        <v>161</v>
      </c>
    </row>
    <row r="221">
      <c r="A221" s="147">
        <v>45795.7756</v>
      </c>
      <c r="B221" s="148" t="s">
        <v>1035</v>
      </c>
      <c r="C221" s="87" t="s">
        <v>1265</v>
      </c>
      <c r="D221" s="37" t="s">
        <v>1034</v>
      </c>
      <c r="E221" s="37">
        <v>59680.4</v>
      </c>
      <c r="F221" s="87" t="s">
        <v>161</v>
      </c>
    </row>
    <row r="222">
      <c r="A222" s="147">
        <v>45795.775610000004</v>
      </c>
      <c r="B222" s="148" t="s">
        <v>1032</v>
      </c>
      <c r="C222" s="87" t="s">
        <v>1266</v>
      </c>
      <c r="D222" s="37">
        <v>88961.72</v>
      </c>
      <c r="E222" s="37" t="s">
        <v>1034</v>
      </c>
      <c r="F222" s="87" t="s">
        <v>161</v>
      </c>
    </row>
    <row r="223">
      <c r="A223" s="147">
        <v>45795.775610000004</v>
      </c>
      <c r="B223" s="148" t="s">
        <v>1035</v>
      </c>
      <c r="C223" s="87" t="s">
        <v>1267</v>
      </c>
      <c r="D223" s="37" t="s">
        <v>1034</v>
      </c>
      <c r="E223" s="37">
        <v>88961.72</v>
      </c>
      <c r="F223" s="87" t="s">
        <v>161</v>
      </c>
    </row>
    <row r="224">
      <c r="A224" s="147">
        <v>45795.77562</v>
      </c>
      <c r="B224" s="148" t="s">
        <v>1032</v>
      </c>
      <c r="C224" s="87" t="s">
        <v>1268</v>
      </c>
      <c r="D224" s="37">
        <v>137324.80000000002</v>
      </c>
      <c r="E224" s="37" t="s">
        <v>1034</v>
      </c>
      <c r="F224" s="87" t="s">
        <v>161</v>
      </c>
    </row>
    <row r="225">
      <c r="A225" s="147">
        <v>45795.77562</v>
      </c>
      <c r="B225" s="148" t="s">
        <v>1035</v>
      </c>
      <c r="C225" s="87" t="s">
        <v>1269</v>
      </c>
      <c r="D225" s="37" t="s">
        <v>1034</v>
      </c>
      <c r="E225" s="37">
        <v>137324.80000000002</v>
      </c>
      <c r="F225" s="87" t="s">
        <v>161</v>
      </c>
    </row>
    <row r="226">
      <c r="A226" s="147">
        <v>45795.78188</v>
      </c>
      <c r="B226" s="148" t="s">
        <v>1032</v>
      </c>
      <c r="C226" s="87" t="s">
        <v>1270</v>
      </c>
      <c r="D226" s="37">
        <v>92548.07</v>
      </c>
      <c r="E226" s="37" t="s">
        <v>1034</v>
      </c>
      <c r="F226" s="87" t="s">
        <v>170</v>
      </c>
    </row>
    <row r="227">
      <c r="A227" s="147">
        <v>45795.78188</v>
      </c>
      <c r="B227" s="148" t="s">
        <v>1035</v>
      </c>
      <c r="C227" s="87" t="s">
        <v>1271</v>
      </c>
      <c r="D227" s="37" t="s">
        <v>1034</v>
      </c>
      <c r="E227" s="37">
        <v>92548.07</v>
      </c>
      <c r="F227" s="87" t="s">
        <v>170</v>
      </c>
    </row>
    <row r="228">
      <c r="A228" s="147">
        <v>45797.44083777778</v>
      </c>
      <c r="B228" s="148" t="s">
        <v>1272</v>
      </c>
      <c r="C228" s="87" t="s">
        <v>1273</v>
      </c>
      <c r="D228" s="37">
        <v>142993.44</v>
      </c>
      <c r="E228" s="37" t="s">
        <v>1034</v>
      </c>
      <c r="F228" s="87" t="s">
        <v>161</v>
      </c>
    </row>
    <row r="229">
      <c r="A229" s="147">
        <v>45797.44083777778</v>
      </c>
      <c r="B229" s="148" t="s">
        <v>1039</v>
      </c>
      <c r="C229" s="87" t="s">
        <v>1256</v>
      </c>
      <c r="D229" s="37" t="s">
        <v>1034</v>
      </c>
      <c r="E229" s="37">
        <v>142993.44</v>
      </c>
      <c r="F229" s="87" t="s">
        <v>161</v>
      </c>
    </row>
    <row r="230">
      <c r="A230" s="147">
        <v>45797.440847777776</v>
      </c>
      <c r="B230" s="148" t="s">
        <v>1274</v>
      </c>
      <c r="C230" s="87" t="s">
        <v>1275</v>
      </c>
      <c r="D230" s="37">
        <v>87285.08</v>
      </c>
      <c r="E230" s="37" t="s">
        <v>1034</v>
      </c>
      <c r="F230" s="87" t="s">
        <v>161</v>
      </c>
    </row>
    <row r="231">
      <c r="A231" s="147">
        <v>45797.440847777776</v>
      </c>
      <c r="B231" s="148" t="s">
        <v>1039</v>
      </c>
      <c r="C231" s="87" t="s">
        <v>1258</v>
      </c>
      <c r="D231" s="37" t="s">
        <v>1034</v>
      </c>
      <c r="E231" s="37">
        <v>87285.08</v>
      </c>
      <c r="F231" s="87" t="s">
        <v>161</v>
      </c>
    </row>
    <row r="232">
      <c r="A232" s="147">
        <v>45797.44085777778</v>
      </c>
      <c r="B232" s="148" t="s">
        <v>1276</v>
      </c>
      <c r="C232" s="87" t="s">
        <v>1277</v>
      </c>
      <c r="D232" s="37">
        <v>79640.40000000001</v>
      </c>
      <c r="E232" s="37" t="s">
        <v>1034</v>
      </c>
      <c r="F232" s="87" t="s">
        <v>161</v>
      </c>
    </row>
    <row r="233">
      <c r="A233" s="147">
        <v>45797.44085777778</v>
      </c>
      <c r="B233" s="148" t="s">
        <v>1039</v>
      </c>
      <c r="C233" s="87" t="s">
        <v>1260</v>
      </c>
      <c r="D233" s="37" t="s">
        <v>1034</v>
      </c>
      <c r="E233" s="37">
        <v>79640.40000000001</v>
      </c>
      <c r="F233" s="87" t="s">
        <v>161</v>
      </c>
    </row>
    <row r="234">
      <c r="A234" s="147">
        <v>45797.44086777778</v>
      </c>
      <c r="B234" s="148" t="s">
        <v>1278</v>
      </c>
      <c r="C234" s="87" t="s">
        <v>1279</v>
      </c>
      <c r="D234" s="37">
        <v>89700.24</v>
      </c>
      <c r="E234" s="37" t="s">
        <v>1034</v>
      </c>
      <c r="F234" s="87" t="s">
        <v>161</v>
      </c>
    </row>
    <row r="235">
      <c r="A235" s="147">
        <v>45797.44086777778</v>
      </c>
      <c r="B235" s="148" t="s">
        <v>1039</v>
      </c>
      <c r="C235" s="87" t="s">
        <v>1262</v>
      </c>
      <c r="D235" s="37" t="s">
        <v>1034</v>
      </c>
      <c r="E235" s="37">
        <v>89700.24</v>
      </c>
      <c r="F235" s="87" t="s">
        <v>161</v>
      </c>
    </row>
    <row r="236">
      <c r="A236" s="147">
        <v>45797.44087777778</v>
      </c>
      <c r="B236" s="148" t="s">
        <v>1280</v>
      </c>
      <c r="C236" s="87" t="s">
        <v>1281</v>
      </c>
      <c r="D236" s="37">
        <v>59680.4</v>
      </c>
      <c r="E236" s="37" t="s">
        <v>1034</v>
      </c>
      <c r="F236" s="87" t="s">
        <v>161</v>
      </c>
    </row>
    <row r="237">
      <c r="A237" s="147">
        <v>45797.44087777778</v>
      </c>
      <c r="B237" s="148" t="s">
        <v>1039</v>
      </c>
      <c r="C237" s="87" t="s">
        <v>1264</v>
      </c>
      <c r="D237" s="37" t="s">
        <v>1034</v>
      </c>
      <c r="E237" s="37">
        <v>59680.4</v>
      </c>
      <c r="F237" s="87" t="s">
        <v>161</v>
      </c>
    </row>
    <row r="238">
      <c r="A238" s="147">
        <v>45797.44088777778</v>
      </c>
      <c r="B238" s="148" t="s">
        <v>1282</v>
      </c>
      <c r="C238" s="87" t="s">
        <v>1283</v>
      </c>
      <c r="D238" s="37">
        <v>88961.72</v>
      </c>
      <c r="E238" s="37" t="s">
        <v>1034</v>
      </c>
      <c r="F238" s="87" t="s">
        <v>161</v>
      </c>
    </row>
    <row r="239">
      <c r="A239" s="147">
        <v>45797.44088777778</v>
      </c>
      <c r="B239" s="148" t="s">
        <v>1039</v>
      </c>
      <c r="C239" s="87" t="s">
        <v>1266</v>
      </c>
      <c r="D239" s="37" t="s">
        <v>1034</v>
      </c>
      <c r="E239" s="37">
        <v>88961.72</v>
      </c>
      <c r="F239" s="87" t="s">
        <v>161</v>
      </c>
    </row>
    <row r="240">
      <c r="A240" s="147">
        <v>45797.44089777778</v>
      </c>
      <c r="B240" s="148" t="s">
        <v>1284</v>
      </c>
      <c r="C240" s="87" t="s">
        <v>1285</v>
      </c>
      <c r="D240" s="37">
        <v>137324.80000000002</v>
      </c>
      <c r="E240" s="37" t="s">
        <v>1034</v>
      </c>
      <c r="F240" s="87" t="s">
        <v>161</v>
      </c>
    </row>
    <row r="241">
      <c r="A241" s="147">
        <v>45797.44089777778</v>
      </c>
      <c r="B241" s="148" t="s">
        <v>1039</v>
      </c>
      <c r="C241" s="87" t="s">
        <v>1268</v>
      </c>
      <c r="D241" s="37" t="s">
        <v>1034</v>
      </c>
      <c r="E241" s="37">
        <v>137324.80000000002</v>
      </c>
      <c r="F241" s="87" t="s">
        <v>161</v>
      </c>
    </row>
    <row r="242">
      <c r="A242" s="147">
        <v>45798.55340777778</v>
      </c>
      <c r="B242" s="148" t="s">
        <v>1286</v>
      </c>
      <c r="C242" s="87" t="s">
        <v>1287</v>
      </c>
      <c r="D242" s="37">
        <v>92548.07</v>
      </c>
      <c r="E242" s="37" t="s">
        <v>1034</v>
      </c>
      <c r="F242" s="87" t="s">
        <v>170</v>
      </c>
    </row>
    <row r="243">
      <c r="A243" s="147">
        <v>45798.55340777778</v>
      </c>
      <c r="B243" s="148" t="s">
        <v>1039</v>
      </c>
      <c r="C243" s="87" t="s">
        <v>1270</v>
      </c>
      <c r="D243" s="37" t="s">
        <v>1034</v>
      </c>
      <c r="E243" s="37">
        <v>92548.07</v>
      </c>
      <c r="F243" s="87" t="s">
        <v>170</v>
      </c>
    </row>
    <row r="244">
      <c r="A244" s="147">
        <v>45802.06869555556</v>
      </c>
      <c r="B244" s="148" t="s">
        <v>1032</v>
      </c>
      <c r="C244" s="87" t="s">
        <v>1288</v>
      </c>
      <c r="D244" s="37">
        <v>3715734.25</v>
      </c>
      <c r="E244" s="37" t="s">
        <v>1034</v>
      </c>
      <c r="F244" s="87" t="s">
        <v>172</v>
      </c>
    </row>
    <row r="245">
      <c r="A245" s="147">
        <v>45802.06869555556</v>
      </c>
      <c r="B245" s="148" t="s">
        <v>1035</v>
      </c>
      <c r="C245" s="87" t="s">
        <v>1289</v>
      </c>
      <c r="D245" s="37" t="s">
        <v>1034</v>
      </c>
      <c r="E245" s="37">
        <v>3715734.25</v>
      </c>
      <c r="F245" s="87" t="s">
        <v>172</v>
      </c>
    </row>
    <row r="246">
      <c r="A246" s="147">
        <v>45802.6569</v>
      </c>
      <c r="B246" s="148" t="s">
        <v>1235</v>
      </c>
      <c r="C246" s="87" t="s">
        <v>1290</v>
      </c>
      <c r="D246" s="37">
        <v>100899.0</v>
      </c>
      <c r="E246" s="37" t="s">
        <v>1034</v>
      </c>
      <c r="F246" s="87" t="s">
        <v>149</v>
      </c>
    </row>
    <row r="247">
      <c r="A247" s="147">
        <v>45802.6569</v>
      </c>
      <c r="B247" s="148" t="s">
        <v>1035</v>
      </c>
      <c r="C247" s="87" t="s">
        <v>1291</v>
      </c>
      <c r="D247" s="37" t="s">
        <v>1034</v>
      </c>
      <c r="E247" s="37">
        <v>100899.0</v>
      </c>
      <c r="F247" s="87" t="s">
        <v>149</v>
      </c>
    </row>
    <row r="248">
      <c r="A248" s="147">
        <v>45810.72911222222</v>
      </c>
      <c r="B248" s="148" t="s">
        <v>1292</v>
      </c>
      <c r="C248" s="87" t="s">
        <v>1293</v>
      </c>
      <c r="D248" s="37">
        <v>3715734.25</v>
      </c>
      <c r="E248" s="37" t="s">
        <v>1034</v>
      </c>
      <c r="F248" s="87" t="s">
        <v>172</v>
      </c>
    </row>
    <row r="249">
      <c r="A249" s="147">
        <v>45810.72911222222</v>
      </c>
      <c r="B249" s="148" t="s">
        <v>1039</v>
      </c>
      <c r="C249" s="87" t="s">
        <v>1288</v>
      </c>
      <c r="D249" s="37" t="s">
        <v>1034</v>
      </c>
      <c r="E249" s="37">
        <v>3715734.25</v>
      </c>
      <c r="F249" s="87" t="s">
        <v>172</v>
      </c>
    </row>
    <row r="250">
      <c r="A250" s="147">
        <v>45811.417316666666</v>
      </c>
      <c r="B250" s="148" t="s">
        <v>1294</v>
      </c>
      <c r="C250" s="87" t="s">
        <v>1295</v>
      </c>
      <c r="D250" s="37">
        <v>100899.0</v>
      </c>
      <c r="E250" s="37" t="s">
        <v>1034</v>
      </c>
      <c r="F250" s="87" t="s">
        <v>149</v>
      </c>
    </row>
    <row r="251">
      <c r="A251" s="147">
        <v>45811.417316666666</v>
      </c>
      <c r="B251" s="148" t="s">
        <v>1243</v>
      </c>
      <c r="C251" s="87" t="s">
        <v>1290</v>
      </c>
      <c r="D251" s="37" t="s">
        <v>1034</v>
      </c>
      <c r="E251" s="37">
        <v>100899.0</v>
      </c>
      <c r="F251" s="87" t="s">
        <v>149</v>
      </c>
    </row>
    <row r="252">
      <c r="A252" s="147">
        <v>45833.00621555556</v>
      </c>
      <c r="B252" s="148" t="s">
        <v>1032</v>
      </c>
      <c r="C252" s="87" t="s">
        <v>1296</v>
      </c>
      <c r="D252" s="37">
        <v>1955784.7</v>
      </c>
      <c r="E252" s="37" t="s">
        <v>1034</v>
      </c>
      <c r="F252" s="87" t="s">
        <v>176</v>
      </c>
    </row>
    <row r="253">
      <c r="A253" s="147">
        <v>45833.00621555556</v>
      </c>
      <c r="B253" s="148" t="s">
        <v>1035</v>
      </c>
      <c r="C253" s="87" t="s">
        <v>1297</v>
      </c>
      <c r="D253" s="37" t="s">
        <v>1034</v>
      </c>
      <c r="E253" s="37">
        <v>1955784.7</v>
      </c>
      <c r="F253" s="87" t="s">
        <v>176</v>
      </c>
    </row>
    <row r="254">
      <c r="A254" s="147">
        <v>45835.533298888884</v>
      </c>
      <c r="B254" s="148" t="s">
        <v>1298</v>
      </c>
      <c r="C254" s="87" t="s">
        <v>1299</v>
      </c>
      <c r="D254" s="37">
        <v>1955784.7</v>
      </c>
      <c r="E254" s="37" t="s">
        <v>1034</v>
      </c>
      <c r="F254" s="87" t="s">
        <v>176</v>
      </c>
    </row>
    <row r="255">
      <c r="A255" s="147">
        <v>45835.533298888884</v>
      </c>
      <c r="B255" s="148" t="s">
        <v>1039</v>
      </c>
      <c r="C255" s="87" t="s">
        <v>1296</v>
      </c>
      <c r="D255" s="37" t="s">
        <v>1034</v>
      </c>
      <c r="E255" s="37">
        <v>1955784.7</v>
      </c>
      <c r="F255" s="87" t="s">
        <v>176</v>
      </c>
    </row>
    <row r="256">
      <c r="A256" s="147">
        <v>45856.61367925926</v>
      </c>
      <c r="B256" s="148" t="s">
        <v>1068</v>
      </c>
      <c r="C256" s="87" t="s">
        <v>1300</v>
      </c>
      <c r="D256" s="37">
        <v>1521583.63</v>
      </c>
      <c r="E256" s="37" t="s">
        <v>1034</v>
      </c>
      <c r="F256" s="87" t="s">
        <v>179</v>
      </c>
    </row>
    <row r="257">
      <c r="A257" s="147">
        <v>45856.61367925926</v>
      </c>
      <c r="B257" s="148" t="s">
        <v>1035</v>
      </c>
      <c r="C257" s="87" t="s">
        <v>1301</v>
      </c>
      <c r="D257" s="37" t="s">
        <v>1034</v>
      </c>
      <c r="E257" s="37">
        <v>1521583.63</v>
      </c>
      <c r="F257" s="87" t="s">
        <v>179</v>
      </c>
    </row>
    <row r="258">
      <c r="A258" s="147">
        <v>45863.00762444444</v>
      </c>
      <c r="B258" s="148" t="s">
        <v>1032</v>
      </c>
      <c r="C258" s="87" t="s">
        <v>1302</v>
      </c>
      <c r="D258" s="37">
        <v>7646032.41</v>
      </c>
      <c r="E258" s="37" t="s">
        <v>1034</v>
      </c>
      <c r="F258" s="87" t="s">
        <v>182</v>
      </c>
    </row>
    <row r="259">
      <c r="A259" s="147">
        <v>45863.00762444444</v>
      </c>
      <c r="B259" s="148" t="s">
        <v>1035</v>
      </c>
      <c r="C259" s="87" t="s">
        <v>1303</v>
      </c>
      <c r="D259" s="37" t="s">
        <v>1034</v>
      </c>
      <c r="E259" s="37">
        <v>7646032.41</v>
      </c>
      <c r="F259" s="87" t="s">
        <v>182</v>
      </c>
    </row>
    <row r="260">
      <c r="A260" s="147">
        <v>45865.73331888889</v>
      </c>
      <c r="B260" s="148" t="s">
        <v>1304</v>
      </c>
      <c r="C260" s="87" t="s">
        <v>1305</v>
      </c>
      <c r="D260" s="37">
        <v>7646032.41</v>
      </c>
      <c r="E260" s="37" t="s">
        <v>1034</v>
      </c>
      <c r="F260" s="87" t="s">
        <v>182</v>
      </c>
    </row>
    <row r="261">
      <c r="A261" s="147">
        <v>45865.73331888889</v>
      </c>
      <c r="B261" s="148" t="s">
        <v>1039</v>
      </c>
      <c r="C261" s="87" t="s">
        <v>1302</v>
      </c>
      <c r="D261" s="37" t="s">
        <v>1034</v>
      </c>
      <c r="E261" s="37">
        <v>7646032.41</v>
      </c>
      <c r="F261" s="87" t="s">
        <v>182</v>
      </c>
    </row>
    <row r="262">
      <c r="A262" s="147">
        <v>45908.52428111111</v>
      </c>
      <c r="B262" s="148" t="s">
        <v>1306</v>
      </c>
      <c r="C262" s="87" t="s">
        <v>1307</v>
      </c>
      <c r="D262" s="37">
        <v>1521583.63</v>
      </c>
      <c r="E262" s="37" t="s">
        <v>1034</v>
      </c>
      <c r="F262" s="87" t="s">
        <v>179</v>
      </c>
    </row>
    <row r="263">
      <c r="A263" s="147">
        <v>45908.52428111111</v>
      </c>
      <c r="B263" s="148" t="s">
        <v>1077</v>
      </c>
      <c r="C263" s="87" t="s">
        <v>1300</v>
      </c>
      <c r="D263" s="37" t="s">
        <v>1034</v>
      </c>
      <c r="E263" s="37">
        <v>1521583.63</v>
      </c>
      <c r="F263" s="87" t="s">
        <v>179</v>
      </c>
    </row>
    <row r="264">
      <c r="A264" s="147">
        <v>45909.60346777778</v>
      </c>
      <c r="B264" s="148" t="s">
        <v>1032</v>
      </c>
      <c r="C264" s="87" t="s">
        <v>1308</v>
      </c>
      <c r="D264" s="37">
        <v>5190507.399999999</v>
      </c>
      <c r="E264" s="37" t="s">
        <v>1034</v>
      </c>
      <c r="F264" s="87" t="s">
        <v>184</v>
      </c>
    </row>
    <row r="265">
      <c r="A265" s="147">
        <v>45909.60346777778</v>
      </c>
      <c r="B265" s="148" t="s">
        <v>1035</v>
      </c>
      <c r="C265" s="87" t="s">
        <v>1309</v>
      </c>
      <c r="D265" s="37" t="s">
        <v>1034</v>
      </c>
      <c r="E265" s="37">
        <v>5190507.399999999</v>
      </c>
      <c r="F265" s="87" t="s">
        <v>184</v>
      </c>
    </row>
    <row r="266">
      <c r="A266" s="147">
        <v>45912.44166222222</v>
      </c>
      <c r="B266" s="148" t="s">
        <v>1310</v>
      </c>
      <c r="C266" s="87" t="s">
        <v>1311</v>
      </c>
      <c r="D266" s="37">
        <v>5190507.399999999</v>
      </c>
      <c r="E266" s="37" t="s">
        <v>1034</v>
      </c>
      <c r="F266" s="87" t="s">
        <v>184</v>
      </c>
    </row>
    <row r="267">
      <c r="A267" s="147">
        <v>45912.44166222222</v>
      </c>
      <c r="B267" s="148" t="s">
        <v>1039</v>
      </c>
      <c r="C267" s="87" t="s">
        <v>1308</v>
      </c>
      <c r="D267" s="37" t="s">
        <v>1034</v>
      </c>
      <c r="E267" s="37">
        <v>5190507.399999999</v>
      </c>
      <c r="F267" s="87" t="s">
        <v>184</v>
      </c>
    </row>
    <row r="268">
      <c r="A268" s="147">
        <v>45925.12222777778</v>
      </c>
      <c r="B268" s="148" t="s">
        <v>1040</v>
      </c>
      <c r="C268" s="87" t="s">
        <v>1312</v>
      </c>
      <c r="D268" s="37">
        <v>525892.5</v>
      </c>
      <c r="E268" s="37" t="s">
        <v>1034</v>
      </c>
      <c r="F268" s="87" t="s">
        <v>186</v>
      </c>
    </row>
    <row r="269">
      <c r="A269" s="147">
        <v>45925.12222777778</v>
      </c>
      <c r="B269" s="148" t="s">
        <v>1035</v>
      </c>
      <c r="C269" s="87" t="s">
        <v>1313</v>
      </c>
      <c r="D269" s="37" t="s">
        <v>1034</v>
      </c>
      <c r="E269" s="37">
        <v>525892.5</v>
      </c>
      <c r="F269" s="87" t="s">
        <v>186</v>
      </c>
    </row>
    <row r="270">
      <c r="A270" s="147">
        <v>45927.433338888884</v>
      </c>
      <c r="B270" s="148" t="s">
        <v>1314</v>
      </c>
      <c r="C270" s="87" t="s">
        <v>1315</v>
      </c>
      <c r="D270" s="37">
        <v>525892.5</v>
      </c>
      <c r="E270" s="37" t="s">
        <v>1034</v>
      </c>
      <c r="F270" s="87" t="s">
        <v>186</v>
      </c>
    </row>
    <row r="271">
      <c r="A271" s="147">
        <v>45927.433338888884</v>
      </c>
      <c r="B271" s="148" t="s">
        <v>1045</v>
      </c>
      <c r="C271" s="87" t="s">
        <v>1312</v>
      </c>
      <c r="D271" s="37" t="s">
        <v>1034</v>
      </c>
      <c r="E271" s="37">
        <v>525892.5</v>
      </c>
      <c r="F271" s="87" t="s">
        <v>186</v>
      </c>
    </row>
    <row r="272">
      <c r="A272" s="147">
        <v>45940.01598777778</v>
      </c>
      <c r="B272" s="148" t="s">
        <v>1032</v>
      </c>
      <c r="C272" s="87" t="s">
        <v>1316</v>
      </c>
      <c r="D272" s="37">
        <v>996574.4</v>
      </c>
      <c r="E272" s="37" t="s">
        <v>1034</v>
      </c>
      <c r="F272" s="87" t="s">
        <v>189</v>
      </c>
    </row>
    <row r="273">
      <c r="A273" s="147">
        <v>45940.01598777778</v>
      </c>
      <c r="B273" s="148" t="s">
        <v>1035</v>
      </c>
      <c r="C273" s="87" t="s">
        <v>1317</v>
      </c>
      <c r="D273" s="37" t="s">
        <v>1034</v>
      </c>
      <c r="E273" s="37">
        <v>996574.4</v>
      </c>
      <c r="F273" s="87" t="s">
        <v>189</v>
      </c>
    </row>
    <row r="274">
      <c r="A274" s="147">
        <v>45940.01599777777</v>
      </c>
      <c r="B274" s="148" t="s">
        <v>1032</v>
      </c>
      <c r="C274" s="87" t="s">
        <v>1318</v>
      </c>
      <c r="D274" s="37">
        <v>135669.0</v>
      </c>
      <c r="E274" s="37" t="s">
        <v>1034</v>
      </c>
      <c r="F274" s="87" t="s">
        <v>192</v>
      </c>
    </row>
    <row r="275">
      <c r="A275" s="147">
        <v>45940.01599777777</v>
      </c>
      <c r="B275" s="148" t="s">
        <v>1035</v>
      </c>
      <c r="C275" s="87" t="s">
        <v>1319</v>
      </c>
      <c r="D275" s="37" t="s">
        <v>1034</v>
      </c>
      <c r="E275" s="37">
        <v>135669.0</v>
      </c>
      <c r="F275" s="87" t="s">
        <v>192</v>
      </c>
    </row>
    <row r="276">
      <c r="A276" s="147">
        <v>45940.73961888889</v>
      </c>
      <c r="B276" s="148" t="s">
        <v>1040</v>
      </c>
      <c r="C276" s="87" t="s">
        <v>1320</v>
      </c>
      <c r="D276" s="37">
        <v>15590.0</v>
      </c>
      <c r="E276" s="37" t="s">
        <v>1034</v>
      </c>
      <c r="F276" s="87" t="s">
        <v>195</v>
      </c>
    </row>
    <row r="277">
      <c r="A277" s="147">
        <v>45940.73961888889</v>
      </c>
      <c r="B277" s="148" t="s">
        <v>1035</v>
      </c>
      <c r="C277" s="87" t="s">
        <v>1321</v>
      </c>
      <c r="D277" s="37" t="s">
        <v>1034</v>
      </c>
      <c r="E277" s="37">
        <v>15590.0</v>
      </c>
      <c r="F277" s="87" t="s">
        <v>195</v>
      </c>
    </row>
    <row r="278">
      <c r="A278" s="147">
        <v>45940.73962888889</v>
      </c>
      <c r="B278" s="148" t="s">
        <v>1040</v>
      </c>
      <c r="C278" s="87" t="s">
        <v>1322</v>
      </c>
      <c r="D278" s="37">
        <v>87428.72</v>
      </c>
      <c r="E278" s="37" t="s">
        <v>1034</v>
      </c>
      <c r="F278" s="87" t="s">
        <v>195</v>
      </c>
    </row>
    <row r="279">
      <c r="A279" s="147">
        <v>45940.73962888889</v>
      </c>
      <c r="B279" s="148" t="s">
        <v>1035</v>
      </c>
      <c r="C279" s="87" t="s">
        <v>1323</v>
      </c>
      <c r="D279" s="37" t="s">
        <v>1034</v>
      </c>
      <c r="E279" s="37">
        <v>87428.72</v>
      </c>
      <c r="F279" s="87" t="s">
        <v>195</v>
      </c>
    </row>
    <row r="280">
      <c r="A280" s="147">
        <v>45940.73963888889</v>
      </c>
      <c r="B280" s="148" t="s">
        <v>1040</v>
      </c>
      <c r="C280" s="87" t="s">
        <v>1324</v>
      </c>
      <c r="D280" s="37">
        <v>123441.62</v>
      </c>
      <c r="E280" s="37" t="s">
        <v>1034</v>
      </c>
      <c r="F280" s="87" t="s">
        <v>195</v>
      </c>
    </row>
    <row r="281">
      <c r="A281" s="147">
        <v>45940.73963888889</v>
      </c>
      <c r="B281" s="148" t="s">
        <v>1035</v>
      </c>
      <c r="C281" s="87" t="s">
        <v>1325</v>
      </c>
      <c r="D281" s="37" t="s">
        <v>1034</v>
      </c>
      <c r="E281" s="37">
        <v>123441.62</v>
      </c>
      <c r="F281" s="87" t="s">
        <v>195</v>
      </c>
    </row>
    <row r="282">
      <c r="A282" s="147">
        <v>45940.73964888889</v>
      </c>
      <c r="B282" s="148" t="s">
        <v>1040</v>
      </c>
      <c r="C282" s="87" t="s">
        <v>1326</v>
      </c>
      <c r="D282" s="37">
        <v>61970.25</v>
      </c>
      <c r="E282" s="37" t="s">
        <v>1034</v>
      </c>
      <c r="F282" s="87" t="s">
        <v>195</v>
      </c>
    </row>
    <row r="283">
      <c r="A283" s="147">
        <v>45940.73964888889</v>
      </c>
      <c r="B283" s="148" t="s">
        <v>1035</v>
      </c>
      <c r="C283" s="87" t="s">
        <v>1327</v>
      </c>
      <c r="D283" s="37" t="s">
        <v>1034</v>
      </c>
      <c r="E283" s="37">
        <v>61970.25</v>
      </c>
      <c r="F283" s="87" t="s">
        <v>195</v>
      </c>
    </row>
    <row r="284">
      <c r="A284" s="147">
        <v>45940.73965888889</v>
      </c>
      <c r="B284" s="148" t="s">
        <v>1040</v>
      </c>
      <c r="C284" s="87" t="s">
        <v>1328</v>
      </c>
      <c r="D284" s="37">
        <v>77482.3</v>
      </c>
      <c r="E284" s="37" t="s">
        <v>1034</v>
      </c>
      <c r="F284" s="87" t="s">
        <v>195</v>
      </c>
    </row>
    <row r="285">
      <c r="A285" s="147">
        <v>45940.73965888889</v>
      </c>
      <c r="B285" s="148" t="s">
        <v>1035</v>
      </c>
      <c r="C285" s="87" t="s">
        <v>1329</v>
      </c>
      <c r="D285" s="37" t="s">
        <v>1034</v>
      </c>
      <c r="E285" s="37">
        <v>77482.3</v>
      </c>
      <c r="F285" s="87" t="s">
        <v>195</v>
      </c>
    </row>
    <row r="286">
      <c r="A286" s="147">
        <v>45940.73966888889</v>
      </c>
      <c r="B286" s="148" t="s">
        <v>1040</v>
      </c>
      <c r="C286" s="87" t="s">
        <v>1330</v>
      </c>
      <c r="D286" s="37">
        <v>29465.1</v>
      </c>
      <c r="E286" s="37" t="s">
        <v>1034</v>
      </c>
      <c r="F286" s="87" t="s">
        <v>195</v>
      </c>
    </row>
    <row r="287">
      <c r="A287" s="147">
        <v>45940.73966888889</v>
      </c>
      <c r="B287" s="148" t="s">
        <v>1035</v>
      </c>
      <c r="C287" s="87" t="s">
        <v>1331</v>
      </c>
      <c r="D287" s="37" t="s">
        <v>1034</v>
      </c>
      <c r="E287" s="37">
        <v>29465.1</v>
      </c>
      <c r="F287" s="87" t="s">
        <v>195</v>
      </c>
    </row>
    <row r="288">
      <c r="A288" s="147">
        <v>45940.75009555555</v>
      </c>
      <c r="B288" s="148" t="s">
        <v>1032</v>
      </c>
      <c r="C288" s="87" t="s">
        <v>1332</v>
      </c>
      <c r="D288" s="37">
        <v>1442216.5599999998</v>
      </c>
      <c r="E288" s="37" t="s">
        <v>1034</v>
      </c>
      <c r="F288" s="87" t="s">
        <v>203</v>
      </c>
    </row>
    <row r="289">
      <c r="A289" s="147">
        <v>45940.75009555555</v>
      </c>
      <c r="B289" s="148" t="s">
        <v>1035</v>
      </c>
      <c r="C289" s="87" t="s">
        <v>1333</v>
      </c>
      <c r="D289" s="37" t="s">
        <v>1034</v>
      </c>
      <c r="E289" s="37">
        <v>1442216.5599999998</v>
      </c>
      <c r="F289" s="87" t="s">
        <v>203</v>
      </c>
    </row>
    <row r="290">
      <c r="A290" s="147">
        <v>45940.76816111111</v>
      </c>
      <c r="B290" s="148" t="s">
        <v>1040</v>
      </c>
      <c r="C290" s="87" t="s">
        <v>1334</v>
      </c>
      <c r="D290" s="37">
        <v>886950.0</v>
      </c>
      <c r="E290" s="37" t="s">
        <v>1034</v>
      </c>
      <c r="F290" s="87" t="s">
        <v>206</v>
      </c>
    </row>
    <row r="291">
      <c r="A291" s="147">
        <v>45940.76816111111</v>
      </c>
      <c r="B291" s="148" t="s">
        <v>1035</v>
      </c>
      <c r="C291" s="87" t="s">
        <v>1335</v>
      </c>
      <c r="D291" s="37" t="s">
        <v>1034</v>
      </c>
      <c r="E291" s="37">
        <v>886950.0</v>
      </c>
      <c r="F291" s="87" t="s">
        <v>206</v>
      </c>
    </row>
    <row r="292">
      <c r="A292" s="147">
        <v>45942.52579</v>
      </c>
      <c r="B292" s="148" t="s">
        <v>1336</v>
      </c>
      <c r="C292" s="87" t="s">
        <v>1337</v>
      </c>
      <c r="D292" s="37">
        <v>1442216.5599999998</v>
      </c>
      <c r="E292" s="37" t="s">
        <v>1034</v>
      </c>
      <c r="F292" s="87" t="s">
        <v>203</v>
      </c>
    </row>
    <row r="293">
      <c r="A293" s="147">
        <v>45942.52579</v>
      </c>
      <c r="B293" s="148" t="s">
        <v>1039</v>
      </c>
      <c r="C293" s="87" t="s">
        <v>1332</v>
      </c>
      <c r="D293" s="37" t="s">
        <v>1034</v>
      </c>
      <c r="E293" s="37">
        <v>1442216.5599999998</v>
      </c>
      <c r="F293" s="87" t="s">
        <v>203</v>
      </c>
    </row>
    <row r="294">
      <c r="A294" s="147">
        <v>45943.47432111111</v>
      </c>
      <c r="B294" s="148" t="s">
        <v>1338</v>
      </c>
      <c r="C294" s="87" t="s">
        <v>1339</v>
      </c>
      <c r="D294" s="37">
        <v>996574.4</v>
      </c>
      <c r="E294" s="37" t="s">
        <v>1034</v>
      </c>
      <c r="F294" s="87" t="s">
        <v>189</v>
      </c>
    </row>
    <row r="295">
      <c r="A295" s="147">
        <v>45943.47432111111</v>
      </c>
      <c r="B295" s="148" t="s">
        <v>1039</v>
      </c>
      <c r="C295" s="87" t="s">
        <v>1316</v>
      </c>
      <c r="D295" s="37" t="s">
        <v>1034</v>
      </c>
      <c r="E295" s="37">
        <v>996574.4</v>
      </c>
      <c r="F295" s="87" t="s">
        <v>189</v>
      </c>
    </row>
    <row r="296">
      <c r="A296" s="147">
        <v>45943.47434111111</v>
      </c>
      <c r="B296" s="148" t="s">
        <v>1340</v>
      </c>
      <c r="C296" s="87" t="s">
        <v>1341</v>
      </c>
      <c r="D296" s="37">
        <v>15590.0</v>
      </c>
      <c r="E296" s="37" t="s">
        <v>1034</v>
      </c>
      <c r="F296" s="87" t="s">
        <v>195</v>
      </c>
    </row>
    <row r="297">
      <c r="A297" s="147">
        <v>45943.47434111111</v>
      </c>
      <c r="B297" s="148" t="s">
        <v>1045</v>
      </c>
      <c r="C297" s="87" t="s">
        <v>1320</v>
      </c>
      <c r="D297" s="37" t="s">
        <v>1034</v>
      </c>
      <c r="E297" s="37">
        <v>15590.0</v>
      </c>
      <c r="F297" s="87" t="s">
        <v>195</v>
      </c>
    </row>
    <row r="298">
      <c r="A298" s="147">
        <v>45943.474351111116</v>
      </c>
      <c r="B298" s="148" t="s">
        <v>1342</v>
      </c>
      <c r="C298" s="87" t="s">
        <v>1343</v>
      </c>
      <c r="D298" s="37">
        <v>87428.72</v>
      </c>
      <c r="E298" s="37" t="s">
        <v>1034</v>
      </c>
      <c r="F298" s="87" t="s">
        <v>195</v>
      </c>
    </row>
    <row r="299">
      <c r="A299" s="147">
        <v>45943.474351111116</v>
      </c>
      <c r="B299" s="148" t="s">
        <v>1045</v>
      </c>
      <c r="C299" s="87" t="s">
        <v>1322</v>
      </c>
      <c r="D299" s="37" t="s">
        <v>1034</v>
      </c>
      <c r="E299" s="37">
        <v>87428.72</v>
      </c>
      <c r="F299" s="87" t="s">
        <v>195</v>
      </c>
    </row>
    <row r="300">
      <c r="A300" s="147">
        <v>45943.47436111111</v>
      </c>
      <c r="B300" s="148" t="s">
        <v>1344</v>
      </c>
      <c r="C300" s="87" t="s">
        <v>1345</v>
      </c>
      <c r="D300" s="37">
        <v>123441.62</v>
      </c>
      <c r="E300" s="37" t="s">
        <v>1034</v>
      </c>
      <c r="F300" s="87" t="s">
        <v>195</v>
      </c>
    </row>
    <row r="301">
      <c r="A301" s="147">
        <v>45943.47436111111</v>
      </c>
      <c r="B301" s="148" t="s">
        <v>1045</v>
      </c>
      <c r="C301" s="87" t="s">
        <v>1324</v>
      </c>
      <c r="D301" s="37" t="s">
        <v>1034</v>
      </c>
      <c r="E301" s="37">
        <v>123441.62</v>
      </c>
      <c r="F301" s="87" t="s">
        <v>195</v>
      </c>
    </row>
    <row r="302">
      <c r="A302" s="147">
        <v>45943.474371111115</v>
      </c>
      <c r="B302" s="148" t="s">
        <v>1346</v>
      </c>
      <c r="C302" s="87" t="s">
        <v>1347</v>
      </c>
      <c r="D302" s="37">
        <v>61970.25</v>
      </c>
      <c r="E302" s="37" t="s">
        <v>1034</v>
      </c>
      <c r="F302" s="87" t="s">
        <v>195</v>
      </c>
    </row>
    <row r="303">
      <c r="A303" s="147">
        <v>45943.474371111115</v>
      </c>
      <c r="B303" s="148" t="s">
        <v>1045</v>
      </c>
      <c r="C303" s="87" t="s">
        <v>1326</v>
      </c>
      <c r="D303" s="37" t="s">
        <v>1034</v>
      </c>
      <c r="E303" s="37">
        <v>61970.25</v>
      </c>
      <c r="F303" s="87" t="s">
        <v>195</v>
      </c>
    </row>
    <row r="304">
      <c r="A304" s="147">
        <v>45943.47438111111</v>
      </c>
      <c r="B304" s="148" t="s">
        <v>1348</v>
      </c>
      <c r="C304" s="87" t="s">
        <v>1349</v>
      </c>
      <c r="D304" s="37">
        <v>77482.3</v>
      </c>
      <c r="E304" s="37" t="s">
        <v>1034</v>
      </c>
      <c r="F304" s="87" t="s">
        <v>195</v>
      </c>
    </row>
    <row r="305">
      <c r="A305" s="147">
        <v>45943.47438111111</v>
      </c>
      <c r="B305" s="148" t="s">
        <v>1045</v>
      </c>
      <c r="C305" s="87" t="s">
        <v>1328</v>
      </c>
      <c r="D305" s="37" t="s">
        <v>1034</v>
      </c>
      <c r="E305" s="37">
        <v>77482.3</v>
      </c>
      <c r="F305" s="87" t="s">
        <v>195</v>
      </c>
    </row>
    <row r="306">
      <c r="A306" s="147">
        <v>45943.474391111115</v>
      </c>
      <c r="B306" s="148" t="s">
        <v>1350</v>
      </c>
      <c r="C306" s="87" t="s">
        <v>1351</v>
      </c>
      <c r="D306" s="37">
        <v>29465.1</v>
      </c>
      <c r="E306" s="37" t="s">
        <v>1034</v>
      </c>
      <c r="F306" s="87" t="s">
        <v>195</v>
      </c>
    </row>
    <row r="307">
      <c r="A307" s="147">
        <v>45943.474391111115</v>
      </c>
      <c r="B307" s="148" t="s">
        <v>1045</v>
      </c>
      <c r="C307" s="87" t="s">
        <v>1330</v>
      </c>
      <c r="D307" s="37" t="s">
        <v>1034</v>
      </c>
      <c r="E307" s="37">
        <v>29465.1</v>
      </c>
      <c r="F307" s="87" t="s">
        <v>195</v>
      </c>
    </row>
    <row r="308">
      <c r="A308" s="147">
        <v>45943.484053333326</v>
      </c>
      <c r="B308" s="148" t="s">
        <v>1352</v>
      </c>
      <c r="C308" s="87" t="s">
        <v>1353</v>
      </c>
      <c r="D308" s="37">
        <v>135669.0</v>
      </c>
      <c r="E308" s="37" t="s">
        <v>1034</v>
      </c>
      <c r="F308" s="87" t="s">
        <v>192</v>
      </c>
    </row>
    <row r="309">
      <c r="A309" s="147">
        <v>45943.484053333326</v>
      </c>
      <c r="B309" s="148" t="s">
        <v>1039</v>
      </c>
      <c r="C309" s="87" t="s">
        <v>1318</v>
      </c>
      <c r="D309" s="37" t="s">
        <v>1034</v>
      </c>
      <c r="E309" s="37">
        <v>135669.0</v>
      </c>
      <c r="F309" s="87" t="s">
        <v>192</v>
      </c>
    </row>
    <row r="310">
      <c r="A310" s="147">
        <v>45945.457050000005</v>
      </c>
      <c r="B310" s="148" t="s">
        <v>1354</v>
      </c>
      <c r="C310" s="87" t="s">
        <v>1355</v>
      </c>
      <c r="D310" s="37">
        <v>886950.0</v>
      </c>
      <c r="E310" s="37" t="s">
        <v>1034</v>
      </c>
      <c r="F310" s="87" t="s">
        <v>206</v>
      </c>
    </row>
    <row r="311">
      <c r="A311" s="147">
        <v>45945.457050000005</v>
      </c>
      <c r="B311" s="148" t="s">
        <v>1045</v>
      </c>
      <c r="C311" s="87" t="s">
        <v>1334</v>
      </c>
      <c r="D311" s="37" t="s">
        <v>1034</v>
      </c>
      <c r="E311" s="37">
        <v>886950.0</v>
      </c>
      <c r="F311" s="87" t="s">
        <v>206</v>
      </c>
    </row>
    <row r="312">
      <c r="A312" s="147">
        <v>45955.01678222222</v>
      </c>
      <c r="B312" s="148" t="s">
        <v>1032</v>
      </c>
      <c r="C312" s="87" t="s">
        <v>1356</v>
      </c>
      <c r="D312" s="37">
        <v>1167622.1400000001</v>
      </c>
      <c r="E312" s="37" t="s">
        <v>1034</v>
      </c>
      <c r="F312" s="87" t="s">
        <v>208</v>
      </c>
    </row>
    <row r="313">
      <c r="A313" s="147">
        <v>45955.01678222222</v>
      </c>
      <c r="B313" s="148" t="s">
        <v>1035</v>
      </c>
      <c r="C313" s="87" t="s">
        <v>1357</v>
      </c>
      <c r="D313" s="37" t="s">
        <v>1034</v>
      </c>
      <c r="E313" s="37">
        <v>1167622.1400000001</v>
      </c>
      <c r="F313" s="87" t="s">
        <v>208</v>
      </c>
    </row>
    <row r="314">
      <c r="A314" s="147">
        <v>45955.016792222224</v>
      </c>
      <c r="B314" s="148" t="s">
        <v>1032</v>
      </c>
      <c r="C314" s="87" t="s">
        <v>1358</v>
      </c>
      <c r="D314" s="37">
        <v>1498049.91</v>
      </c>
      <c r="E314" s="37" t="s">
        <v>1034</v>
      </c>
      <c r="F314" s="87" t="s">
        <v>210</v>
      </c>
    </row>
    <row r="315">
      <c r="A315" s="147">
        <v>45955.016792222224</v>
      </c>
      <c r="B315" s="148" t="s">
        <v>1035</v>
      </c>
      <c r="C315" s="87" t="s">
        <v>1359</v>
      </c>
      <c r="D315" s="37" t="s">
        <v>1034</v>
      </c>
      <c r="E315" s="37">
        <v>1498049.91</v>
      </c>
      <c r="F315" s="87" t="s">
        <v>210</v>
      </c>
    </row>
    <row r="316">
      <c r="A316" s="147">
        <v>45955.032774444444</v>
      </c>
      <c r="B316" s="148" t="s">
        <v>1032</v>
      </c>
      <c r="C316" s="87" t="s">
        <v>1360</v>
      </c>
      <c r="D316" s="37">
        <v>240328.4</v>
      </c>
      <c r="E316" s="37" t="s">
        <v>1034</v>
      </c>
      <c r="F316" s="87" t="s">
        <v>212</v>
      </c>
    </row>
    <row r="317">
      <c r="A317" s="147">
        <v>45955.032774444444</v>
      </c>
      <c r="B317" s="148" t="s">
        <v>1035</v>
      </c>
      <c r="C317" s="87" t="s">
        <v>1361</v>
      </c>
      <c r="D317" s="37" t="s">
        <v>1034</v>
      </c>
      <c r="E317" s="37">
        <v>240328.4</v>
      </c>
      <c r="F317" s="87" t="s">
        <v>212</v>
      </c>
    </row>
    <row r="318">
      <c r="A318" s="147">
        <v>45955.03278444445</v>
      </c>
      <c r="B318" s="148" t="s">
        <v>1032</v>
      </c>
      <c r="C318" s="87" t="s">
        <v>1362</v>
      </c>
      <c r="D318" s="37">
        <v>406750.5</v>
      </c>
      <c r="E318" s="37" t="s">
        <v>1034</v>
      </c>
      <c r="F318" s="87" t="s">
        <v>212</v>
      </c>
    </row>
    <row r="319">
      <c r="A319" s="147">
        <v>45955.03278444445</v>
      </c>
      <c r="B319" s="148" t="s">
        <v>1035</v>
      </c>
      <c r="C319" s="87" t="s">
        <v>1363</v>
      </c>
      <c r="D319" s="37" t="s">
        <v>1034</v>
      </c>
      <c r="E319" s="37">
        <v>406750.5</v>
      </c>
      <c r="F319" s="87" t="s">
        <v>212</v>
      </c>
    </row>
    <row r="320">
      <c r="A320" s="147">
        <v>45955.03279444444</v>
      </c>
      <c r="B320" s="148" t="s">
        <v>1032</v>
      </c>
      <c r="C320" s="87" t="s">
        <v>1364</v>
      </c>
      <c r="D320" s="37">
        <v>106340.0</v>
      </c>
      <c r="E320" s="37" t="s">
        <v>1034</v>
      </c>
      <c r="F320" s="87" t="s">
        <v>212</v>
      </c>
    </row>
    <row r="321">
      <c r="A321" s="147">
        <v>45955.03279444444</v>
      </c>
      <c r="B321" s="148" t="s">
        <v>1035</v>
      </c>
      <c r="C321" s="87" t="s">
        <v>1365</v>
      </c>
      <c r="D321" s="37" t="s">
        <v>1034</v>
      </c>
      <c r="E321" s="37">
        <v>106340.0</v>
      </c>
      <c r="F321" s="87" t="s">
        <v>212</v>
      </c>
    </row>
    <row r="322">
      <c r="A322" s="147">
        <v>45955.03280444445</v>
      </c>
      <c r="B322" s="148" t="s">
        <v>1032</v>
      </c>
      <c r="C322" s="87" t="s">
        <v>1366</v>
      </c>
      <c r="D322" s="37">
        <v>126012.90000000001</v>
      </c>
      <c r="E322" s="37" t="s">
        <v>1034</v>
      </c>
      <c r="F322" s="87" t="s">
        <v>212</v>
      </c>
    </row>
    <row r="323">
      <c r="A323" s="147">
        <v>45955.03280444445</v>
      </c>
      <c r="B323" s="148" t="s">
        <v>1035</v>
      </c>
      <c r="C323" s="87" t="s">
        <v>1367</v>
      </c>
      <c r="D323" s="37" t="s">
        <v>1034</v>
      </c>
      <c r="E323" s="37">
        <v>126012.90000000001</v>
      </c>
      <c r="F323" s="87" t="s">
        <v>212</v>
      </c>
    </row>
    <row r="324">
      <c r="A324" s="147">
        <v>45955.03281444445</v>
      </c>
      <c r="B324" s="148" t="s">
        <v>1032</v>
      </c>
      <c r="C324" s="87" t="s">
        <v>1368</v>
      </c>
      <c r="D324" s="37">
        <v>219911.12</v>
      </c>
      <c r="E324" s="37" t="s">
        <v>1034</v>
      </c>
      <c r="F324" s="87" t="s">
        <v>212</v>
      </c>
    </row>
    <row r="325">
      <c r="A325" s="147">
        <v>45955.03281444445</v>
      </c>
      <c r="B325" s="148" t="s">
        <v>1035</v>
      </c>
      <c r="C325" s="87" t="s">
        <v>1369</v>
      </c>
      <c r="D325" s="37" t="s">
        <v>1034</v>
      </c>
      <c r="E325" s="37">
        <v>219911.12</v>
      </c>
      <c r="F325" s="87" t="s">
        <v>212</v>
      </c>
    </row>
    <row r="326">
      <c r="A326" s="147">
        <v>45955.032824444446</v>
      </c>
      <c r="B326" s="148" t="s">
        <v>1032</v>
      </c>
      <c r="C326" s="87" t="s">
        <v>1370</v>
      </c>
      <c r="D326" s="37">
        <v>85072.0</v>
      </c>
      <c r="E326" s="37" t="s">
        <v>1034</v>
      </c>
      <c r="F326" s="87" t="s">
        <v>212</v>
      </c>
    </row>
    <row r="327">
      <c r="A327" s="147">
        <v>45955.032824444446</v>
      </c>
      <c r="B327" s="148" t="s">
        <v>1035</v>
      </c>
      <c r="C327" s="87" t="s">
        <v>1371</v>
      </c>
      <c r="D327" s="37" t="s">
        <v>1034</v>
      </c>
      <c r="E327" s="37">
        <v>85072.0</v>
      </c>
      <c r="F327" s="87" t="s">
        <v>212</v>
      </c>
    </row>
    <row r="328">
      <c r="A328" s="147">
        <v>45955.03769555556</v>
      </c>
      <c r="B328" s="148" t="s">
        <v>1032</v>
      </c>
      <c r="C328" s="87" t="s">
        <v>1372</v>
      </c>
      <c r="D328" s="37">
        <v>203000.0</v>
      </c>
      <c r="E328" s="37" t="s">
        <v>1034</v>
      </c>
      <c r="F328" s="87" t="s">
        <v>220</v>
      </c>
    </row>
    <row r="329">
      <c r="A329" s="147">
        <v>45955.03769555556</v>
      </c>
      <c r="B329" s="148" t="s">
        <v>1035</v>
      </c>
      <c r="C329" s="87" t="s">
        <v>1373</v>
      </c>
      <c r="D329" s="37" t="s">
        <v>1034</v>
      </c>
      <c r="E329" s="37">
        <v>203000.0</v>
      </c>
      <c r="F329" s="87" t="s">
        <v>220</v>
      </c>
    </row>
    <row r="330">
      <c r="A330" s="147">
        <v>45956.57519555556</v>
      </c>
      <c r="B330" s="148" t="s">
        <v>1374</v>
      </c>
      <c r="C330" s="87" t="s">
        <v>1375</v>
      </c>
      <c r="D330" s="37">
        <v>203000.0</v>
      </c>
      <c r="E330" s="37" t="s">
        <v>1034</v>
      </c>
      <c r="F330" s="87" t="s">
        <v>220</v>
      </c>
    </row>
    <row r="331">
      <c r="A331" s="147">
        <v>45956.57519555556</v>
      </c>
      <c r="B331" s="148" t="s">
        <v>1039</v>
      </c>
      <c r="C331" s="87" t="s">
        <v>1372</v>
      </c>
      <c r="D331" s="37" t="s">
        <v>1034</v>
      </c>
      <c r="E331" s="37">
        <v>203000.0</v>
      </c>
      <c r="F331" s="87" t="s">
        <v>220</v>
      </c>
    </row>
    <row r="332">
      <c r="A332" s="147">
        <v>45957.41957</v>
      </c>
      <c r="B332" s="148" t="s">
        <v>1376</v>
      </c>
      <c r="C332" s="87" t="s">
        <v>1377</v>
      </c>
      <c r="D332" s="37">
        <v>1498049.91</v>
      </c>
      <c r="E332" s="37" t="s">
        <v>1034</v>
      </c>
      <c r="F332" s="87" t="s">
        <v>210</v>
      </c>
    </row>
    <row r="333">
      <c r="A333" s="147">
        <v>45957.41957</v>
      </c>
      <c r="B333" s="148" t="s">
        <v>1039</v>
      </c>
      <c r="C333" s="87" t="s">
        <v>1358</v>
      </c>
      <c r="D333" s="37" t="s">
        <v>1034</v>
      </c>
      <c r="E333" s="37">
        <v>1498049.91</v>
      </c>
      <c r="F333" s="87" t="s">
        <v>210</v>
      </c>
    </row>
    <row r="334">
      <c r="A334" s="147">
        <v>45957.56280972222</v>
      </c>
      <c r="B334" s="148" t="s">
        <v>1378</v>
      </c>
      <c r="C334" s="87" t="s">
        <v>1379</v>
      </c>
      <c r="D334" s="37">
        <v>4937595.6</v>
      </c>
      <c r="E334" s="37" t="s">
        <v>1034</v>
      </c>
      <c r="F334" s="87" t="s">
        <v>224</v>
      </c>
    </row>
    <row r="335">
      <c r="A335" s="147">
        <v>45957.56280972222</v>
      </c>
      <c r="B335" s="148" t="s">
        <v>1035</v>
      </c>
      <c r="C335" s="87" t="s">
        <v>1380</v>
      </c>
      <c r="D335" s="37" t="s">
        <v>1034</v>
      </c>
      <c r="E335" s="37">
        <v>4937595.6</v>
      </c>
      <c r="F335" s="87" t="s">
        <v>224</v>
      </c>
    </row>
    <row r="336">
      <c r="A336" s="147">
        <v>45957.562819722225</v>
      </c>
      <c r="B336" s="148" t="s">
        <v>1068</v>
      </c>
      <c r="C336" s="87" t="s">
        <v>1381</v>
      </c>
      <c r="D336" s="37">
        <v>2611391.28</v>
      </c>
      <c r="E336" s="37" t="s">
        <v>1034</v>
      </c>
      <c r="F336" s="87" t="s">
        <v>227</v>
      </c>
    </row>
    <row r="337">
      <c r="A337" s="147">
        <v>45957.562819722225</v>
      </c>
      <c r="B337" s="148" t="s">
        <v>1035</v>
      </c>
      <c r="C337" s="87" t="s">
        <v>1382</v>
      </c>
      <c r="D337" s="37" t="s">
        <v>1034</v>
      </c>
      <c r="E337" s="37">
        <v>2611391.28</v>
      </c>
      <c r="F337" s="87" t="s">
        <v>227</v>
      </c>
    </row>
    <row r="338">
      <c r="A338" s="147">
        <v>45957.56282972222</v>
      </c>
      <c r="B338" s="148" t="s">
        <v>1068</v>
      </c>
      <c r="C338" s="87" t="s">
        <v>1383</v>
      </c>
      <c r="D338" s="37">
        <v>3760641.3600000003</v>
      </c>
      <c r="E338" s="37" t="s">
        <v>1034</v>
      </c>
      <c r="F338" s="87" t="s">
        <v>230</v>
      </c>
    </row>
    <row r="339">
      <c r="A339" s="147">
        <v>45957.56282972222</v>
      </c>
      <c r="B339" s="148" t="s">
        <v>1035</v>
      </c>
      <c r="C339" s="87" t="s">
        <v>1384</v>
      </c>
      <c r="D339" s="37" t="s">
        <v>1034</v>
      </c>
      <c r="E339" s="37">
        <v>3760641.3600000003</v>
      </c>
      <c r="F339" s="87" t="s">
        <v>230</v>
      </c>
    </row>
    <row r="340">
      <c r="A340" s="147">
        <v>45957.562839722224</v>
      </c>
      <c r="B340" s="148" t="s">
        <v>1068</v>
      </c>
      <c r="C340" s="87" t="s">
        <v>1385</v>
      </c>
      <c r="D340" s="37">
        <v>7795400.0</v>
      </c>
      <c r="E340" s="37" t="s">
        <v>1034</v>
      </c>
      <c r="F340" s="87" t="s">
        <v>233</v>
      </c>
    </row>
    <row r="341">
      <c r="A341" s="147">
        <v>45957.562839722224</v>
      </c>
      <c r="B341" s="148" t="s">
        <v>1035</v>
      </c>
      <c r="C341" s="87" t="s">
        <v>1386</v>
      </c>
      <c r="D341" s="37" t="s">
        <v>1034</v>
      </c>
      <c r="E341" s="37">
        <v>7795400.0</v>
      </c>
      <c r="F341" s="87" t="s">
        <v>233</v>
      </c>
    </row>
    <row r="342">
      <c r="A342" s="147">
        <v>45957.69178222222</v>
      </c>
      <c r="B342" s="148" t="s">
        <v>1387</v>
      </c>
      <c r="C342" s="87" t="s">
        <v>1388</v>
      </c>
      <c r="D342" s="37">
        <v>1167622.1400000001</v>
      </c>
      <c r="E342" s="37" t="s">
        <v>1034</v>
      </c>
      <c r="F342" s="87" t="s">
        <v>208</v>
      </c>
    </row>
    <row r="343">
      <c r="A343" s="147">
        <v>45957.69178222222</v>
      </c>
      <c r="B343" s="148" t="s">
        <v>1039</v>
      </c>
      <c r="C343" s="87" t="s">
        <v>1356</v>
      </c>
      <c r="D343" s="37" t="s">
        <v>1034</v>
      </c>
      <c r="E343" s="37">
        <v>1167622.1400000001</v>
      </c>
      <c r="F343" s="87" t="s">
        <v>208</v>
      </c>
    </row>
    <row r="344">
      <c r="A344" s="147">
        <v>45958.88624666666</v>
      </c>
      <c r="B344" s="148" t="s">
        <v>1389</v>
      </c>
      <c r="C344" s="87" t="s">
        <v>1390</v>
      </c>
      <c r="D344" s="37">
        <v>240328.4</v>
      </c>
      <c r="E344" s="37" t="s">
        <v>1034</v>
      </c>
      <c r="F344" s="87" t="s">
        <v>212</v>
      </c>
    </row>
    <row r="345">
      <c r="A345" s="147">
        <v>45958.88624666666</v>
      </c>
      <c r="B345" s="148" t="s">
        <v>1039</v>
      </c>
      <c r="C345" s="87" t="s">
        <v>1360</v>
      </c>
      <c r="D345" s="37" t="s">
        <v>1034</v>
      </c>
      <c r="E345" s="37">
        <v>240328.4</v>
      </c>
      <c r="F345" s="87" t="s">
        <v>212</v>
      </c>
    </row>
    <row r="346">
      <c r="A346" s="147">
        <v>45958.886256666665</v>
      </c>
      <c r="B346" s="148" t="s">
        <v>1391</v>
      </c>
      <c r="C346" s="87" t="s">
        <v>1392</v>
      </c>
      <c r="D346" s="37">
        <v>406750.5</v>
      </c>
      <c r="E346" s="37" t="s">
        <v>1034</v>
      </c>
      <c r="F346" s="87" t="s">
        <v>212</v>
      </c>
    </row>
    <row r="347">
      <c r="A347" s="147">
        <v>45958.886256666665</v>
      </c>
      <c r="B347" s="148" t="s">
        <v>1039</v>
      </c>
      <c r="C347" s="87" t="s">
        <v>1362</v>
      </c>
      <c r="D347" s="37" t="s">
        <v>1034</v>
      </c>
      <c r="E347" s="37">
        <v>406750.5</v>
      </c>
      <c r="F347" s="87" t="s">
        <v>212</v>
      </c>
    </row>
    <row r="348">
      <c r="A348" s="147">
        <v>45958.88626666666</v>
      </c>
      <c r="B348" s="148" t="s">
        <v>1393</v>
      </c>
      <c r="C348" s="87" t="s">
        <v>1394</v>
      </c>
      <c r="D348" s="37">
        <v>106340.0</v>
      </c>
      <c r="E348" s="37" t="s">
        <v>1034</v>
      </c>
      <c r="F348" s="87" t="s">
        <v>212</v>
      </c>
    </row>
    <row r="349">
      <c r="A349" s="147">
        <v>45958.88626666666</v>
      </c>
      <c r="B349" s="148" t="s">
        <v>1039</v>
      </c>
      <c r="C349" s="87" t="s">
        <v>1364</v>
      </c>
      <c r="D349" s="37" t="s">
        <v>1034</v>
      </c>
      <c r="E349" s="37">
        <v>106340.0</v>
      </c>
      <c r="F349" s="87" t="s">
        <v>212</v>
      </c>
    </row>
    <row r="350">
      <c r="A350" s="147">
        <v>45958.886276666664</v>
      </c>
      <c r="B350" s="148" t="s">
        <v>1395</v>
      </c>
      <c r="C350" s="87" t="s">
        <v>1396</v>
      </c>
      <c r="D350" s="37">
        <v>126012.90000000001</v>
      </c>
      <c r="E350" s="37" t="s">
        <v>1034</v>
      </c>
      <c r="F350" s="87" t="s">
        <v>212</v>
      </c>
    </row>
    <row r="351">
      <c r="A351" s="147">
        <v>45958.886276666664</v>
      </c>
      <c r="B351" s="148" t="s">
        <v>1039</v>
      </c>
      <c r="C351" s="87" t="s">
        <v>1366</v>
      </c>
      <c r="D351" s="37" t="s">
        <v>1034</v>
      </c>
      <c r="E351" s="37">
        <v>126012.90000000001</v>
      </c>
      <c r="F351" s="87" t="s">
        <v>212</v>
      </c>
    </row>
    <row r="352">
      <c r="A352" s="147">
        <v>45958.88628666667</v>
      </c>
      <c r="B352" s="148" t="s">
        <v>1397</v>
      </c>
      <c r="C352" s="87" t="s">
        <v>1398</v>
      </c>
      <c r="D352" s="37">
        <v>219911.12</v>
      </c>
      <c r="E352" s="37" t="s">
        <v>1034</v>
      </c>
      <c r="F352" s="87" t="s">
        <v>212</v>
      </c>
    </row>
    <row r="353">
      <c r="A353" s="147">
        <v>45958.88628666667</v>
      </c>
      <c r="B353" s="148" t="s">
        <v>1039</v>
      </c>
      <c r="C353" s="87" t="s">
        <v>1368</v>
      </c>
      <c r="D353" s="37" t="s">
        <v>1034</v>
      </c>
      <c r="E353" s="37">
        <v>219911.12</v>
      </c>
      <c r="F353" s="87" t="s">
        <v>212</v>
      </c>
    </row>
    <row r="354">
      <c r="A354" s="147">
        <v>45958.886296666664</v>
      </c>
      <c r="B354" s="148" t="s">
        <v>1399</v>
      </c>
      <c r="C354" s="87" t="s">
        <v>1400</v>
      </c>
      <c r="D354" s="37">
        <v>85072.0</v>
      </c>
      <c r="E354" s="37" t="s">
        <v>1034</v>
      </c>
      <c r="F354" s="87" t="s">
        <v>212</v>
      </c>
    </row>
    <row r="355">
      <c r="A355" s="147">
        <v>45958.886296666664</v>
      </c>
      <c r="B355" s="148" t="s">
        <v>1039</v>
      </c>
      <c r="C355" s="87" t="s">
        <v>1370</v>
      </c>
      <c r="D355" s="37" t="s">
        <v>1034</v>
      </c>
      <c r="E355" s="37">
        <v>85072.0</v>
      </c>
      <c r="F355" s="87" t="s">
        <v>212</v>
      </c>
    </row>
    <row r="356">
      <c r="A356" s="147">
        <v>45969.65163444444</v>
      </c>
      <c r="B356" s="148" t="s">
        <v>1032</v>
      </c>
      <c r="C356" s="87" t="s">
        <v>1401</v>
      </c>
      <c r="D356" s="37">
        <v>451707.78</v>
      </c>
      <c r="E356" s="37" t="s">
        <v>1034</v>
      </c>
      <c r="F356" s="87" t="s">
        <v>236</v>
      </c>
    </row>
    <row r="357">
      <c r="A357" s="147">
        <v>45969.65163444444</v>
      </c>
      <c r="B357" s="148" t="s">
        <v>1035</v>
      </c>
      <c r="C357" s="87" t="s">
        <v>1402</v>
      </c>
      <c r="D357" s="37" t="s">
        <v>1034</v>
      </c>
      <c r="E357" s="37">
        <v>451707.78</v>
      </c>
      <c r="F357" s="87" t="s">
        <v>236</v>
      </c>
    </row>
    <row r="358">
      <c r="A358" s="147">
        <v>45972.019700000004</v>
      </c>
      <c r="B358" s="148" t="s">
        <v>1032</v>
      </c>
      <c r="C358" s="87" t="s">
        <v>1403</v>
      </c>
      <c r="D358" s="37">
        <v>828615.7400000001</v>
      </c>
      <c r="E358" s="37" t="s">
        <v>1034</v>
      </c>
      <c r="F358" s="87" t="s">
        <v>238</v>
      </c>
    </row>
    <row r="359">
      <c r="A359" s="147">
        <v>45972.019700000004</v>
      </c>
      <c r="B359" s="148" t="s">
        <v>1035</v>
      </c>
      <c r="C359" s="87" t="s">
        <v>1404</v>
      </c>
      <c r="D359" s="37" t="s">
        <v>1034</v>
      </c>
      <c r="E359" s="37">
        <v>828615.7400000001</v>
      </c>
      <c r="F359" s="87" t="s">
        <v>238</v>
      </c>
    </row>
    <row r="360">
      <c r="A360" s="147">
        <v>45972.109987777774</v>
      </c>
      <c r="B360" s="148" t="s">
        <v>1032</v>
      </c>
      <c r="C360" s="87" t="s">
        <v>1405</v>
      </c>
      <c r="D360" s="37">
        <v>198560.0</v>
      </c>
      <c r="E360" s="37" t="s">
        <v>1034</v>
      </c>
      <c r="F360" s="87" t="s">
        <v>241</v>
      </c>
    </row>
    <row r="361">
      <c r="A361" s="147">
        <v>45972.109987777774</v>
      </c>
      <c r="B361" s="148" t="s">
        <v>1035</v>
      </c>
      <c r="C361" s="87" t="s">
        <v>1406</v>
      </c>
      <c r="D361" s="37" t="s">
        <v>1034</v>
      </c>
      <c r="E361" s="37">
        <v>198560.0</v>
      </c>
      <c r="F361" s="87" t="s">
        <v>241</v>
      </c>
    </row>
    <row r="362">
      <c r="A362" s="147">
        <v>45972.15097</v>
      </c>
      <c r="B362" s="148" t="s">
        <v>1032</v>
      </c>
      <c r="C362" s="87" t="s">
        <v>1407</v>
      </c>
      <c r="D362" s="37">
        <v>236616.12</v>
      </c>
      <c r="E362" s="37" t="s">
        <v>1034</v>
      </c>
      <c r="F362" s="87" t="s">
        <v>243</v>
      </c>
    </row>
    <row r="363">
      <c r="A363" s="147">
        <v>45972.15097</v>
      </c>
      <c r="B363" s="148" t="s">
        <v>1035</v>
      </c>
      <c r="C363" s="87" t="s">
        <v>1408</v>
      </c>
      <c r="D363" s="37" t="s">
        <v>1034</v>
      </c>
      <c r="E363" s="37">
        <v>236616.12</v>
      </c>
      <c r="F363" s="87" t="s">
        <v>243</v>
      </c>
    </row>
    <row r="364">
      <c r="A364" s="147">
        <v>45972.15167444444</v>
      </c>
      <c r="B364" s="148" t="s">
        <v>1032</v>
      </c>
      <c r="C364" s="87" t="s">
        <v>1409</v>
      </c>
      <c r="D364" s="37">
        <v>9912325.860000001</v>
      </c>
      <c r="E364" s="37" t="s">
        <v>1034</v>
      </c>
      <c r="F364" s="87" t="s">
        <v>246</v>
      </c>
    </row>
    <row r="365">
      <c r="A365" s="147">
        <v>45972.15167444444</v>
      </c>
      <c r="B365" s="148" t="s">
        <v>1035</v>
      </c>
      <c r="C365" s="87" t="s">
        <v>1410</v>
      </c>
      <c r="D365" s="37" t="s">
        <v>1034</v>
      </c>
      <c r="E365" s="37">
        <v>9912325.860000001</v>
      </c>
      <c r="F365" s="87" t="s">
        <v>246</v>
      </c>
    </row>
    <row r="366">
      <c r="A366" s="147">
        <v>45972.15168444444</v>
      </c>
      <c r="B366" s="148" t="s">
        <v>1032</v>
      </c>
      <c r="C366" s="87" t="s">
        <v>1411</v>
      </c>
      <c r="D366" s="37">
        <v>797182.0499999999</v>
      </c>
      <c r="E366" s="37" t="s">
        <v>1034</v>
      </c>
      <c r="F366" s="87" t="s">
        <v>246</v>
      </c>
    </row>
    <row r="367">
      <c r="A367" s="147">
        <v>45972.15168444444</v>
      </c>
      <c r="B367" s="148" t="s">
        <v>1035</v>
      </c>
      <c r="C367" s="87" t="s">
        <v>1412</v>
      </c>
      <c r="D367" s="37" t="s">
        <v>1034</v>
      </c>
      <c r="E367" s="37">
        <v>797182.0499999999</v>
      </c>
      <c r="F367" s="87" t="s">
        <v>246</v>
      </c>
    </row>
    <row r="368">
      <c r="A368" s="147">
        <v>45972.166666666664</v>
      </c>
      <c r="B368" s="148" t="s">
        <v>1032</v>
      </c>
      <c r="C368" s="87" t="s">
        <v>1413</v>
      </c>
      <c r="D368" s="37">
        <v>732152.4</v>
      </c>
      <c r="E368" s="37" t="s">
        <v>1034</v>
      </c>
      <c r="F368" s="87" t="s">
        <v>250</v>
      </c>
    </row>
    <row r="369">
      <c r="A369" s="147">
        <v>45972.166666666664</v>
      </c>
      <c r="B369" s="148" t="s">
        <v>1035</v>
      </c>
      <c r="C369" s="87" t="s">
        <v>1414</v>
      </c>
      <c r="D369" s="37" t="s">
        <v>1034</v>
      </c>
      <c r="E369" s="37">
        <v>732152.4</v>
      </c>
      <c r="F369" s="87" t="s">
        <v>250</v>
      </c>
    </row>
    <row r="370">
      <c r="A370" s="147">
        <v>45972.63959333333</v>
      </c>
      <c r="B370" s="148" t="s">
        <v>1032</v>
      </c>
      <c r="C370" s="87" t="s">
        <v>1415</v>
      </c>
      <c r="D370" s="37">
        <v>1951187.0</v>
      </c>
      <c r="E370" s="37" t="s">
        <v>1034</v>
      </c>
      <c r="F370" s="87" t="s">
        <v>252</v>
      </c>
    </row>
    <row r="371">
      <c r="A371" s="147">
        <v>45972.63959333333</v>
      </c>
      <c r="B371" s="148" t="s">
        <v>1035</v>
      </c>
      <c r="C371" s="87" t="s">
        <v>1416</v>
      </c>
      <c r="D371" s="37" t="s">
        <v>1034</v>
      </c>
      <c r="E371" s="37">
        <v>1951187.0</v>
      </c>
      <c r="F371" s="87" t="s">
        <v>252</v>
      </c>
    </row>
    <row r="372">
      <c r="A372" s="147">
        <v>45974.46737111112</v>
      </c>
      <c r="B372" s="148" t="s">
        <v>1417</v>
      </c>
      <c r="C372" s="87" t="s">
        <v>1418</v>
      </c>
      <c r="D372" s="37">
        <v>1951187.0</v>
      </c>
      <c r="E372" s="37" t="s">
        <v>1034</v>
      </c>
      <c r="F372" s="87" t="s">
        <v>252</v>
      </c>
    </row>
    <row r="373">
      <c r="A373" s="147">
        <v>45974.46737111112</v>
      </c>
      <c r="B373" s="148" t="s">
        <v>1039</v>
      </c>
      <c r="C373" s="87" t="s">
        <v>1415</v>
      </c>
      <c r="D373" s="37" t="s">
        <v>1034</v>
      </c>
      <c r="E373" s="37">
        <v>1951187.0</v>
      </c>
      <c r="F373" s="87" t="s">
        <v>252</v>
      </c>
    </row>
    <row r="374">
      <c r="A374" s="147">
        <v>45974.68221</v>
      </c>
      <c r="B374" s="148" t="s">
        <v>1419</v>
      </c>
      <c r="C374" s="87" t="s">
        <v>1420</v>
      </c>
      <c r="D374" s="37">
        <v>198560.0</v>
      </c>
      <c r="E374" s="37" t="s">
        <v>1034</v>
      </c>
      <c r="F374" s="87" t="s">
        <v>241</v>
      </c>
    </row>
    <row r="375">
      <c r="A375" s="147">
        <v>45974.68221</v>
      </c>
      <c r="B375" s="148" t="s">
        <v>1039</v>
      </c>
      <c r="C375" s="87" t="s">
        <v>1405</v>
      </c>
      <c r="D375" s="37" t="s">
        <v>1034</v>
      </c>
      <c r="E375" s="37">
        <v>198560.0</v>
      </c>
      <c r="F375" s="87" t="s">
        <v>241</v>
      </c>
    </row>
    <row r="376">
      <c r="A376" s="147">
        <v>45974.71875</v>
      </c>
      <c r="B376" s="148" t="s">
        <v>1421</v>
      </c>
      <c r="C376" s="87" t="s">
        <v>1422</v>
      </c>
      <c r="D376" s="37">
        <v>732152.4</v>
      </c>
      <c r="E376" s="37" t="s">
        <v>1034</v>
      </c>
      <c r="F376" s="87" t="s">
        <v>250</v>
      </c>
    </row>
    <row r="377">
      <c r="A377" s="147">
        <v>45974.71875</v>
      </c>
      <c r="B377" s="148" t="s">
        <v>1039</v>
      </c>
      <c r="C377" s="87" t="s">
        <v>1413</v>
      </c>
      <c r="D377" s="37" t="s">
        <v>1034</v>
      </c>
      <c r="E377" s="37">
        <v>732152.4</v>
      </c>
      <c r="F377" s="87" t="s">
        <v>250</v>
      </c>
    </row>
    <row r="378">
      <c r="A378" s="147">
        <v>45974.814828888884</v>
      </c>
      <c r="B378" s="148" t="s">
        <v>1423</v>
      </c>
      <c r="C378" s="87" t="s">
        <v>1424</v>
      </c>
      <c r="D378" s="37">
        <v>451707.78</v>
      </c>
      <c r="E378" s="37" t="s">
        <v>1034</v>
      </c>
      <c r="F378" s="87" t="s">
        <v>236</v>
      </c>
    </row>
    <row r="379">
      <c r="A379" s="147">
        <v>45974.814828888884</v>
      </c>
      <c r="B379" s="148" t="s">
        <v>1039</v>
      </c>
      <c r="C379" s="87" t="s">
        <v>1401</v>
      </c>
      <c r="D379" s="37" t="s">
        <v>1034</v>
      </c>
      <c r="E379" s="37">
        <v>451707.78</v>
      </c>
      <c r="F379" s="87" t="s">
        <v>236</v>
      </c>
    </row>
    <row r="380">
      <c r="A380" s="147">
        <v>45975.59888666667</v>
      </c>
      <c r="B380" s="148" t="s">
        <v>1425</v>
      </c>
      <c r="C380" s="87" t="s">
        <v>1426</v>
      </c>
      <c r="D380" s="37">
        <v>236616.12</v>
      </c>
      <c r="E380" s="37" t="s">
        <v>1034</v>
      </c>
      <c r="F380" s="87" t="s">
        <v>243</v>
      </c>
    </row>
    <row r="381">
      <c r="A381" s="147">
        <v>45975.59888666667</v>
      </c>
      <c r="B381" s="148" t="s">
        <v>1039</v>
      </c>
      <c r="C381" s="87" t="s">
        <v>1407</v>
      </c>
      <c r="D381" s="37" t="s">
        <v>1034</v>
      </c>
      <c r="E381" s="37">
        <v>236616.12</v>
      </c>
      <c r="F381" s="87" t="s">
        <v>243</v>
      </c>
    </row>
    <row r="382">
      <c r="A382" s="147">
        <v>45980.693311111114</v>
      </c>
      <c r="B382" s="148" t="s">
        <v>1427</v>
      </c>
      <c r="C382" s="87" t="s">
        <v>1428</v>
      </c>
      <c r="D382" s="37">
        <v>828615.7400000001</v>
      </c>
      <c r="E382" s="37" t="s">
        <v>1034</v>
      </c>
      <c r="F382" s="87" t="s">
        <v>238</v>
      </c>
    </row>
    <row r="383">
      <c r="A383" s="147">
        <v>45980.693311111114</v>
      </c>
      <c r="B383" s="148" t="s">
        <v>1039</v>
      </c>
      <c r="C383" s="87" t="s">
        <v>1403</v>
      </c>
      <c r="D383" s="37" t="s">
        <v>1034</v>
      </c>
      <c r="E383" s="37">
        <v>828615.7400000001</v>
      </c>
      <c r="F383" s="87" t="s">
        <v>238</v>
      </c>
    </row>
    <row r="384">
      <c r="A384" s="147">
        <v>45981.640297777776</v>
      </c>
      <c r="B384" s="148" t="s">
        <v>1032</v>
      </c>
      <c r="C384" s="87" t="s">
        <v>1429</v>
      </c>
      <c r="D384" s="37">
        <v>65379.59999999999</v>
      </c>
      <c r="E384" s="37" t="s">
        <v>1034</v>
      </c>
      <c r="F384" s="87" t="s">
        <v>255</v>
      </c>
    </row>
    <row r="385">
      <c r="A385" s="147">
        <v>45981.640297777776</v>
      </c>
      <c r="B385" s="148" t="s">
        <v>1035</v>
      </c>
      <c r="C385" s="87" t="s">
        <v>1430</v>
      </c>
      <c r="D385" s="37" t="s">
        <v>1034</v>
      </c>
      <c r="E385" s="37">
        <v>65379.59999999999</v>
      </c>
      <c r="F385" s="87" t="s">
        <v>255</v>
      </c>
    </row>
    <row r="386">
      <c r="A386" s="147">
        <v>45984.53335333333</v>
      </c>
      <c r="B386" s="148" t="s">
        <v>1431</v>
      </c>
      <c r="C386" s="87" t="s">
        <v>1432</v>
      </c>
      <c r="D386" s="37">
        <v>65379.59999999999</v>
      </c>
      <c r="E386" s="37" t="s">
        <v>1034</v>
      </c>
      <c r="F386" s="87" t="s">
        <v>255</v>
      </c>
    </row>
    <row r="387">
      <c r="A387" s="147">
        <v>45984.53335333333</v>
      </c>
      <c r="B387" s="148" t="s">
        <v>1039</v>
      </c>
      <c r="C387" s="87" t="s">
        <v>1429</v>
      </c>
      <c r="D387" s="37" t="s">
        <v>1034</v>
      </c>
      <c r="E387" s="37">
        <v>65379.59999999999</v>
      </c>
      <c r="F387" s="87" t="s">
        <v>255</v>
      </c>
    </row>
    <row r="388">
      <c r="A388" s="147">
        <v>45986.02364111111</v>
      </c>
      <c r="B388" s="148" t="s">
        <v>1032</v>
      </c>
      <c r="C388" s="87" t="s">
        <v>1433</v>
      </c>
      <c r="D388" s="37">
        <v>386430.5</v>
      </c>
      <c r="E388" s="37" t="s">
        <v>1034</v>
      </c>
      <c r="F388" s="87" t="s">
        <v>258</v>
      </c>
    </row>
    <row r="389">
      <c r="A389" s="147">
        <v>45986.02364111111</v>
      </c>
      <c r="B389" s="148" t="s">
        <v>1035</v>
      </c>
      <c r="C389" s="87" t="s">
        <v>1434</v>
      </c>
      <c r="D389" s="37" t="s">
        <v>1034</v>
      </c>
      <c r="E389" s="37">
        <v>386430.5</v>
      </c>
      <c r="F389" s="87" t="s">
        <v>258</v>
      </c>
    </row>
    <row r="390">
      <c r="A390" s="147">
        <v>45986.02365111111</v>
      </c>
      <c r="B390" s="148" t="s">
        <v>1032</v>
      </c>
      <c r="C390" s="87" t="s">
        <v>1435</v>
      </c>
      <c r="D390" s="37">
        <v>1076358.03</v>
      </c>
      <c r="E390" s="37" t="s">
        <v>1034</v>
      </c>
      <c r="F390" s="87" t="s">
        <v>260</v>
      </c>
    </row>
    <row r="391">
      <c r="A391" s="147">
        <v>45986.02365111111</v>
      </c>
      <c r="B391" s="148" t="s">
        <v>1035</v>
      </c>
      <c r="C391" s="87" t="s">
        <v>1436</v>
      </c>
      <c r="D391" s="37" t="s">
        <v>1034</v>
      </c>
      <c r="E391" s="37">
        <v>1076358.03</v>
      </c>
      <c r="F391" s="87" t="s">
        <v>260</v>
      </c>
    </row>
    <row r="392">
      <c r="A392" s="147">
        <v>45986.02366111111</v>
      </c>
      <c r="B392" s="148" t="s">
        <v>1032</v>
      </c>
      <c r="C392" s="87" t="s">
        <v>1437</v>
      </c>
      <c r="D392" s="37">
        <v>127716.00000000001</v>
      </c>
      <c r="E392" s="37" t="s">
        <v>1034</v>
      </c>
      <c r="F392" s="87" t="s">
        <v>260</v>
      </c>
    </row>
    <row r="393">
      <c r="A393" s="147">
        <v>45986.02366111111</v>
      </c>
      <c r="B393" s="148" t="s">
        <v>1035</v>
      </c>
      <c r="C393" s="87" t="s">
        <v>1438</v>
      </c>
      <c r="D393" s="37" t="s">
        <v>1034</v>
      </c>
      <c r="E393" s="37">
        <v>127716.00000000001</v>
      </c>
      <c r="F393" s="87" t="s">
        <v>260</v>
      </c>
    </row>
    <row r="394">
      <c r="A394" s="147">
        <v>45986.02367111111</v>
      </c>
      <c r="B394" s="148" t="s">
        <v>1032</v>
      </c>
      <c r="C394" s="87" t="s">
        <v>1439</v>
      </c>
      <c r="D394" s="37">
        <v>175378.5</v>
      </c>
      <c r="E394" s="37" t="s">
        <v>1034</v>
      </c>
      <c r="F394" s="87" t="s">
        <v>260</v>
      </c>
    </row>
    <row r="395">
      <c r="A395" s="147">
        <v>45986.02367111111</v>
      </c>
      <c r="B395" s="148" t="s">
        <v>1035</v>
      </c>
      <c r="C395" s="87" t="s">
        <v>1440</v>
      </c>
      <c r="D395" s="37" t="s">
        <v>1034</v>
      </c>
      <c r="E395" s="37">
        <v>175378.5</v>
      </c>
      <c r="F395" s="87" t="s">
        <v>260</v>
      </c>
    </row>
    <row r="396">
      <c r="A396" s="147">
        <v>45986.02368111111</v>
      </c>
      <c r="B396" s="148" t="s">
        <v>1032</v>
      </c>
      <c r="C396" s="87" t="s">
        <v>1441</v>
      </c>
      <c r="D396" s="37">
        <v>212580.0</v>
      </c>
      <c r="E396" s="37" t="s">
        <v>1034</v>
      </c>
      <c r="F396" s="87" t="s">
        <v>260</v>
      </c>
    </row>
    <row r="397">
      <c r="A397" s="147">
        <v>45986.02368111111</v>
      </c>
      <c r="B397" s="148" t="s">
        <v>1035</v>
      </c>
      <c r="C397" s="87" t="s">
        <v>1442</v>
      </c>
      <c r="D397" s="37" t="s">
        <v>1034</v>
      </c>
      <c r="E397" s="37">
        <v>212580.0</v>
      </c>
      <c r="F397" s="87" t="s">
        <v>260</v>
      </c>
    </row>
    <row r="398">
      <c r="A398" s="147">
        <v>45986.023691111106</v>
      </c>
      <c r="B398" s="148" t="s">
        <v>1032</v>
      </c>
      <c r="C398" s="87" t="s">
        <v>1443</v>
      </c>
      <c r="D398" s="37">
        <v>157353.59999999998</v>
      </c>
      <c r="E398" s="37" t="s">
        <v>1034</v>
      </c>
      <c r="F398" s="87" t="s">
        <v>260</v>
      </c>
    </row>
    <row r="399">
      <c r="A399" s="147">
        <v>45986.023691111106</v>
      </c>
      <c r="B399" s="148" t="s">
        <v>1035</v>
      </c>
      <c r="C399" s="87" t="s">
        <v>1444</v>
      </c>
      <c r="D399" s="37" t="s">
        <v>1034</v>
      </c>
      <c r="E399" s="37">
        <v>157353.59999999998</v>
      </c>
      <c r="F399" s="87" t="s">
        <v>260</v>
      </c>
    </row>
    <row r="400">
      <c r="A400" s="147">
        <v>45986.02370111111</v>
      </c>
      <c r="B400" s="148" t="s">
        <v>1032</v>
      </c>
      <c r="C400" s="87" t="s">
        <v>1445</v>
      </c>
      <c r="D400" s="37">
        <v>145685.80000000002</v>
      </c>
      <c r="E400" s="37" t="s">
        <v>1034</v>
      </c>
      <c r="F400" s="87" t="s">
        <v>260</v>
      </c>
    </row>
    <row r="401">
      <c r="A401" s="147">
        <v>45986.02370111111</v>
      </c>
      <c r="B401" s="148" t="s">
        <v>1035</v>
      </c>
      <c r="C401" s="87" t="s">
        <v>1446</v>
      </c>
      <c r="D401" s="37" t="s">
        <v>1034</v>
      </c>
      <c r="E401" s="37">
        <v>145685.80000000002</v>
      </c>
      <c r="F401" s="87" t="s">
        <v>260</v>
      </c>
    </row>
    <row r="402">
      <c r="A402" s="147">
        <v>45986.023711111106</v>
      </c>
      <c r="B402" s="148" t="s">
        <v>1032</v>
      </c>
      <c r="C402" s="87" t="s">
        <v>1447</v>
      </c>
      <c r="D402" s="37">
        <v>242393.64</v>
      </c>
      <c r="E402" s="37" t="s">
        <v>1034</v>
      </c>
      <c r="F402" s="87" t="s">
        <v>267</v>
      </c>
    </row>
    <row r="403">
      <c r="A403" s="147">
        <v>45986.023711111106</v>
      </c>
      <c r="B403" s="148" t="s">
        <v>1035</v>
      </c>
      <c r="C403" s="87" t="s">
        <v>1448</v>
      </c>
      <c r="D403" s="37" t="s">
        <v>1034</v>
      </c>
      <c r="E403" s="37">
        <v>242393.64</v>
      </c>
      <c r="F403" s="87" t="s">
        <v>267</v>
      </c>
    </row>
    <row r="404">
      <c r="A404" s="147">
        <v>45986.02372111111</v>
      </c>
      <c r="B404" s="148" t="s">
        <v>1032</v>
      </c>
      <c r="C404" s="87" t="s">
        <v>1449</v>
      </c>
      <c r="D404" s="37">
        <v>286000.4</v>
      </c>
      <c r="E404" s="37" t="s">
        <v>1034</v>
      </c>
      <c r="F404" s="87" t="s">
        <v>270</v>
      </c>
    </row>
    <row r="405">
      <c r="A405" s="147">
        <v>45986.02372111111</v>
      </c>
      <c r="B405" s="148" t="s">
        <v>1035</v>
      </c>
      <c r="C405" s="87" t="s">
        <v>1450</v>
      </c>
      <c r="D405" s="37" t="s">
        <v>1034</v>
      </c>
      <c r="E405" s="37">
        <v>286000.4</v>
      </c>
      <c r="F405" s="87" t="s">
        <v>270</v>
      </c>
    </row>
    <row r="406">
      <c r="A406" s="147">
        <v>45986.023731111105</v>
      </c>
      <c r="B406" s="148" t="s">
        <v>1032</v>
      </c>
      <c r="C406" s="87" t="s">
        <v>1451</v>
      </c>
      <c r="D406" s="37">
        <v>580233.4</v>
      </c>
      <c r="E406" s="37" t="s">
        <v>1034</v>
      </c>
      <c r="F406" s="87" t="s">
        <v>270</v>
      </c>
    </row>
    <row r="407">
      <c r="A407" s="147">
        <v>45986.023731111105</v>
      </c>
      <c r="B407" s="148" t="s">
        <v>1035</v>
      </c>
      <c r="C407" s="87" t="s">
        <v>1452</v>
      </c>
      <c r="D407" s="37" t="s">
        <v>1034</v>
      </c>
      <c r="E407" s="37">
        <v>580233.4</v>
      </c>
      <c r="F407" s="87" t="s">
        <v>270</v>
      </c>
    </row>
    <row r="408">
      <c r="A408" s="147">
        <v>45986.603602222225</v>
      </c>
      <c r="B408" s="148" t="s">
        <v>1040</v>
      </c>
      <c r="C408" s="87" t="s">
        <v>1453</v>
      </c>
      <c r="D408" s="37">
        <v>314510.54</v>
      </c>
      <c r="E408" s="37" t="s">
        <v>1034</v>
      </c>
      <c r="F408" s="87" t="s">
        <v>273</v>
      </c>
    </row>
    <row r="409">
      <c r="A409" s="147">
        <v>45986.603602222225</v>
      </c>
      <c r="B409" s="148" t="s">
        <v>1035</v>
      </c>
      <c r="C409" s="87" t="s">
        <v>1454</v>
      </c>
      <c r="D409" s="37" t="s">
        <v>1034</v>
      </c>
      <c r="E409" s="37">
        <v>314510.54</v>
      </c>
      <c r="F409" s="87" t="s">
        <v>273</v>
      </c>
    </row>
    <row r="410">
      <c r="A410" s="147">
        <v>45986.60361222222</v>
      </c>
      <c r="B410" s="148" t="s">
        <v>1040</v>
      </c>
      <c r="C410" s="87" t="s">
        <v>1455</v>
      </c>
      <c r="D410" s="37">
        <v>298942.56</v>
      </c>
      <c r="E410" s="37" t="s">
        <v>1034</v>
      </c>
      <c r="F410" s="87" t="s">
        <v>273</v>
      </c>
    </row>
    <row r="411">
      <c r="A411" s="147">
        <v>45986.60361222222</v>
      </c>
      <c r="B411" s="148" t="s">
        <v>1035</v>
      </c>
      <c r="C411" s="87" t="s">
        <v>1456</v>
      </c>
      <c r="D411" s="37" t="s">
        <v>1034</v>
      </c>
      <c r="E411" s="37">
        <v>298942.56</v>
      </c>
      <c r="F411" s="87" t="s">
        <v>273</v>
      </c>
    </row>
    <row r="412">
      <c r="A412" s="147">
        <v>45986.603622222225</v>
      </c>
      <c r="B412" s="148" t="s">
        <v>1040</v>
      </c>
      <c r="C412" s="87" t="s">
        <v>1457</v>
      </c>
      <c r="D412" s="37">
        <v>17440.0</v>
      </c>
      <c r="E412" s="37" t="s">
        <v>1034</v>
      </c>
      <c r="F412" s="87" t="s">
        <v>277</v>
      </c>
    </row>
    <row r="413">
      <c r="A413" s="147">
        <v>45986.603622222225</v>
      </c>
      <c r="B413" s="148" t="s">
        <v>1035</v>
      </c>
      <c r="C413" s="87" t="s">
        <v>1458</v>
      </c>
      <c r="D413" s="37" t="s">
        <v>1034</v>
      </c>
      <c r="E413" s="37">
        <v>17440.0</v>
      </c>
      <c r="F413" s="87" t="s">
        <v>277</v>
      </c>
    </row>
    <row r="414">
      <c r="A414" s="147">
        <v>45986.60363222223</v>
      </c>
      <c r="B414" s="148" t="s">
        <v>1040</v>
      </c>
      <c r="C414" s="87" t="s">
        <v>1459</v>
      </c>
      <c r="D414" s="37">
        <v>17440.0</v>
      </c>
      <c r="E414" s="37" t="s">
        <v>1034</v>
      </c>
      <c r="F414" s="87" t="s">
        <v>277</v>
      </c>
    </row>
    <row r="415">
      <c r="A415" s="147">
        <v>45986.60363222223</v>
      </c>
      <c r="B415" s="148" t="s">
        <v>1035</v>
      </c>
      <c r="C415" s="87" t="s">
        <v>1460</v>
      </c>
      <c r="D415" s="37" t="s">
        <v>1034</v>
      </c>
      <c r="E415" s="37">
        <v>17440.0</v>
      </c>
      <c r="F415" s="87" t="s">
        <v>277</v>
      </c>
    </row>
    <row r="416">
      <c r="A416" s="147">
        <v>45986.603642222224</v>
      </c>
      <c r="B416" s="148" t="s">
        <v>1040</v>
      </c>
      <c r="C416" s="87" t="s">
        <v>1461</v>
      </c>
      <c r="D416" s="37">
        <v>40984.0</v>
      </c>
      <c r="E416" s="37" t="s">
        <v>1034</v>
      </c>
      <c r="F416" s="87" t="s">
        <v>277</v>
      </c>
    </row>
    <row r="417">
      <c r="A417" s="147">
        <v>45986.603642222224</v>
      </c>
      <c r="B417" s="148" t="s">
        <v>1035</v>
      </c>
      <c r="C417" s="87" t="s">
        <v>1462</v>
      </c>
      <c r="D417" s="37" t="s">
        <v>1034</v>
      </c>
      <c r="E417" s="37">
        <v>40984.0</v>
      </c>
      <c r="F417" s="87" t="s">
        <v>277</v>
      </c>
    </row>
    <row r="418">
      <c r="A418" s="147">
        <v>45986.60365222223</v>
      </c>
      <c r="B418" s="148" t="s">
        <v>1040</v>
      </c>
      <c r="C418" s="87" t="s">
        <v>1463</v>
      </c>
      <c r="D418" s="37">
        <v>17440.0</v>
      </c>
      <c r="E418" s="37" t="s">
        <v>1034</v>
      </c>
      <c r="F418" s="87" t="s">
        <v>277</v>
      </c>
    </row>
    <row r="419">
      <c r="A419" s="147">
        <v>45986.60365222223</v>
      </c>
      <c r="B419" s="148" t="s">
        <v>1035</v>
      </c>
      <c r="C419" s="87" t="s">
        <v>1464</v>
      </c>
      <c r="D419" s="37" t="s">
        <v>1034</v>
      </c>
      <c r="E419" s="37">
        <v>17440.0</v>
      </c>
      <c r="F419" s="87" t="s">
        <v>277</v>
      </c>
    </row>
    <row r="420">
      <c r="A420" s="147">
        <v>45986.603662222224</v>
      </c>
      <c r="B420" s="148" t="s">
        <v>1040</v>
      </c>
      <c r="C420" s="87" t="s">
        <v>1465</v>
      </c>
      <c r="D420" s="37">
        <v>89013.87</v>
      </c>
      <c r="E420" s="37" t="s">
        <v>1034</v>
      </c>
      <c r="F420" s="87" t="s">
        <v>282</v>
      </c>
    </row>
    <row r="421">
      <c r="A421" s="147">
        <v>45986.603662222224</v>
      </c>
      <c r="B421" s="148" t="s">
        <v>1035</v>
      </c>
      <c r="C421" s="87" t="s">
        <v>1466</v>
      </c>
      <c r="D421" s="37" t="s">
        <v>1034</v>
      </c>
      <c r="E421" s="37">
        <v>89013.87</v>
      </c>
      <c r="F421" s="87" t="s">
        <v>282</v>
      </c>
    </row>
    <row r="422">
      <c r="A422" s="147">
        <v>45986.60367222223</v>
      </c>
      <c r="B422" s="148" t="s">
        <v>1040</v>
      </c>
      <c r="C422" s="87" t="s">
        <v>1467</v>
      </c>
      <c r="D422" s="37">
        <v>42445.62</v>
      </c>
      <c r="E422" s="37" t="s">
        <v>1034</v>
      </c>
      <c r="F422" s="87" t="s">
        <v>282</v>
      </c>
    </row>
    <row r="423">
      <c r="A423" s="147">
        <v>45986.60367222223</v>
      </c>
      <c r="B423" s="148" t="s">
        <v>1035</v>
      </c>
      <c r="C423" s="87" t="s">
        <v>1468</v>
      </c>
      <c r="D423" s="37" t="s">
        <v>1034</v>
      </c>
      <c r="E423" s="37">
        <v>42445.62</v>
      </c>
      <c r="F423" s="87" t="s">
        <v>282</v>
      </c>
    </row>
    <row r="424">
      <c r="A424" s="147">
        <v>45986.60368222222</v>
      </c>
      <c r="B424" s="148" t="s">
        <v>1040</v>
      </c>
      <c r="C424" s="87" t="s">
        <v>1469</v>
      </c>
      <c r="D424" s="37">
        <v>66641.4</v>
      </c>
      <c r="E424" s="37" t="s">
        <v>1034</v>
      </c>
      <c r="F424" s="87" t="s">
        <v>282</v>
      </c>
    </row>
    <row r="425">
      <c r="A425" s="147">
        <v>45986.60368222222</v>
      </c>
      <c r="B425" s="148" t="s">
        <v>1035</v>
      </c>
      <c r="C425" s="87" t="s">
        <v>1470</v>
      </c>
      <c r="D425" s="37" t="s">
        <v>1034</v>
      </c>
      <c r="E425" s="37">
        <v>66641.4</v>
      </c>
      <c r="F425" s="87" t="s">
        <v>282</v>
      </c>
    </row>
    <row r="426">
      <c r="A426" s="147">
        <v>45986.60369222223</v>
      </c>
      <c r="B426" s="148" t="s">
        <v>1040</v>
      </c>
      <c r="C426" s="87" t="s">
        <v>1471</v>
      </c>
      <c r="D426" s="37">
        <v>32961.600000000006</v>
      </c>
      <c r="E426" s="37" t="s">
        <v>1034</v>
      </c>
      <c r="F426" s="87" t="s">
        <v>277</v>
      </c>
    </row>
    <row r="427">
      <c r="A427" s="147">
        <v>45986.60369222223</v>
      </c>
      <c r="B427" s="148" t="s">
        <v>1035</v>
      </c>
      <c r="C427" s="87" t="s">
        <v>1472</v>
      </c>
      <c r="D427" s="37" t="s">
        <v>1034</v>
      </c>
      <c r="E427" s="37">
        <v>32961.600000000006</v>
      </c>
      <c r="F427" s="87" t="s">
        <v>277</v>
      </c>
    </row>
    <row r="428">
      <c r="A428" s="147">
        <v>45986.60370222222</v>
      </c>
      <c r="B428" s="148" t="s">
        <v>1040</v>
      </c>
      <c r="C428" s="87" t="s">
        <v>1473</v>
      </c>
      <c r="D428" s="37">
        <v>68404.4</v>
      </c>
      <c r="E428" s="37" t="s">
        <v>1034</v>
      </c>
      <c r="F428" s="87" t="s">
        <v>282</v>
      </c>
    </row>
    <row r="429">
      <c r="A429" s="147">
        <v>45986.60370222222</v>
      </c>
      <c r="B429" s="148" t="s">
        <v>1035</v>
      </c>
      <c r="C429" s="87" t="s">
        <v>1474</v>
      </c>
      <c r="D429" s="37" t="s">
        <v>1034</v>
      </c>
      <c r="E429" s="37">
        <v>68404.4</v>
      </c>
      <c r="F429" s="87" t="s">
        <v>282</v>
      </c>
    </row>
    <row r="430">
      <c r="A430" s="147">
        <v>45986.607184444445</v>
      </c>
      <c r="B430" s="148" t="s">
        <v>1040</v>
      </c>
      <c r="C430" s="87" t="s">
        <v>1475</v>
      </c>
      <c r="D430" s="37">
        <v>989366.4</v>
      </c>
      <c r="E430" s="37" t="s">
        <v>1034</v>
      </c>
      <c r="F430" s="87" t="s">
        <v>289</v>
      </c>
    </row>
    <row r="431">
      <c r="A431" s="147">
        <v>45986.607184444445</v>
      </c>
      <c r="B431" s="148" t="s">
        <v>1035</v>
      </c>
      <c r="C431" s="87" t="s">
        <v>1476</v>
      </c>
      <c r="D431" s="37" t="s">
        <v>1034</v>
      </c>
      <c r="E431" s="37">
        <v>989366.4</v>
      </c>
      <c r="F431" s="87" t="s">
        <v>289</v>
      </c>
    </row>
    <row r="432">
      <c r="A432" s="147">
        <v>45986.61136111111</v>
      </c>
      <c r="B432" s="148" t="s">
        <v>1040</v>
      </c>
      <c r="C432" s="87" t="s">
        <v>1477</v>
      </c>
      <c r="D432" s="37">
        <v>762851.76</v>
      </c>
      <c r="E432" s="37" t="s">
        <v>1034</v>
      </c>
      <c r="F432" s="87" t="s">
        <v>292</v>
      </c>
    </row>
    <row r="433">
      <c r="A433" s="147">
        <v>45986.61136111111</v>
      </c>
      <c r="B433" s="148" t="s">
        <v>1035</v>
      </c>
      <c r="C433" s="87" t="s">
        <v>1478</v>
      </c>
      <c r="D433" s="37" t="s">
        <v>1034</v>
      </c>
      <c r="E433" s="37">
        <v>762851.76</v>
      </c>
      <c r="F433" s="87" t="s">
        <v>292</v>
      </c>
    </row>
    <row r="434">
      <c r="A434" s="147">
        <v>45987.64532888889</v>
      </c>
      <c r="B434" s="148" t="s">
        <v>1479</v>
      </c>
      <c r="C434" s="87" t="s">
        <v>1480</v>
      </c>
      <c r="D434" s="37">
        <v>89013.87</v>
      </c>
      <c r="E434" s="37" t="s">
        <v>1034</v>
      </c>
      <c r="F434" s="87" t="s">
        <v>282</v>
      </c>
    </row>
    <row r="435">
      <c r="A435" s="147">
        <v>45987.64532888889</v>
      </c>
      <c r="B435" s="148" t="s">
        <v>1045</v>
      </c>
      <c r="C435" s="87" t="s">
        <v>1465</v>
      </c>
      <c r="D435" s="37" t="s">
        <v>1034</v>
      </c>
      <c r="E435" s="37">
        <v>89013.87</v>
      </c>
      <c r="F435" s="87" t="s">
        <v>282</v>
      </c>
    </row>
    <row r="436">
      <c r="A436" s="147">
        <v>45987.64533888889</v>
      </c>
      <c r="B436" s="148" t="s">
        <v>1481</v>
      </c>
      <c r="C436" s="87" t="s">
        <v>1482</v>
      </c>
      <c r="D436" s="37">
        <v>42445.62</v>
      </c>
      <c r="E436" s="37" t="s">
        <v>1034</v>
      </c>
      <c r="F436" s="87" t="s">
        <v>282</v>
      </c>
    </row>
    <row r="437">
      <c r="A437" s="147">
        <v>45987.64533888889</v>
      </c>
      <c r="B437" s="148" t="s">
        <v>1045</v>
      </c>
      <c r="C437" s="87" t="s">
        <v>1467</v>
      </c>
      <c r="D437" s="37" t="s">
        <v>1034</v>
      </c>
      <c r="E437" s="37">
        <v>42445.62</v>
      </c>
      <c r="F437" s="87" t="s">
        <v>282</v>
      </c>
    </row>
    <row r="438">
      <c r="A438" s="147">
        <v>45987.64534888889</v>
      </c>
      <c r="B438" s="148" t="s">
        <v>1483</v>
      </c>
      <c r="C438" s="87" t="s">
        <v>1484</v>
      </c>
      <c r="D438" s="37">
        <v>66641.4</v>
      </c>
      <c r="E438" s="37" t="s">
        <v>1034</v>
      </c>
      <c r="F438" s="87" t="s">
        <v>282</v>
      </c>
    </row>
    <row r="439">
      <c r="A439" s="147">
        <v>45987.64534888889</v>
      </c>
      <c r="B439" s="148" t="s">
        <v>1045</v>
      </c>
      <c r="C439" s="87" t="s">
        <v>1469</v>
      </c>
      <c r="D439" s="37" t="s">
        <v>1034</v>
      </c>
      <c r="E439" s="37">
        <v>66641.4</v>
      </c>
      <c r="F439" s="87" t="s">
        <v>282</v>
      </c>
    </row>
    <row r="440">
      <c r="A440" s="147">
        <v>45987.64536888889</v>
      </c>
      <c r="B440" s="148" t="s">
        <v>1485</v>
      </c>
      <c r="C440" s="87" t="s">
        <v>1486</v>
      </c>
      <c r="D440" s="37">
        <v>68404.4</v>
      </c>
      <c r="E440" s="37" t="s">
        <v>1034</v>
      </c>
      <c r="F440" s="87" t="s">
        <v>282</v>
      </c>
    </row>
    <row r="441">
      <c r="A441" s="147">
        <v>45987.64536888889</v>
      </c>
      <c r="B441" s="148" t="s">
        <v>1045</v>
      </c>
      <c r="C441" s="87" t="s">
        <v>1473</v>
      </c>
      <c r="D441" s="37" t="s">
        <v>1034</v>
      </c>
      <c r="E441" s="37">
        <v>68404.4</v>
      </c>
      <c r="F441" s="87" t="s">
        <v>282</v>
      </c>
    </row>
    <row r="442">
      <c r="A442" s="147">
        <v>45987.67108333333</v>
      </c>
      <c r="B442" s="148" t="s">
        <v>1487</v>
      </c>
      <c r="C442" s="87" t="s">
        <v>1488</v>
      </c>
      <c r="D442" s="37">
        <v>762851.76</v>
      </c>
      <c r="E442" s="37" t="s">
        <v>1034</v>
      </c>
      <c r="F442" s="87" t="s">
        <v>292</v>
      </c>
    </row>
    <row r="443">
      <c r="A443" s="147">
        <v>45987.67108333333</v>
      </c>
      <c r="B443" s="148" t="s">
        <v>1045</v>
      </c>
      <c r="C443" s="87" t="s">
        <v>1477</v>
      </c>
      <c r="D443" s="37" t="s">
        <v>1034</v>
      </c>
      <c r="E443" s="37">
        <v>762851.76</v>
      </c>
      <c r="F443" s="87" t="s">
        <v>292</v>
      </c>
    </row>
    <row r="444">
      <c r="A444" s="147">
        <v>45987.806974444444</v>
      </c>
      <c r="B444" s="148" t="s">
        <v>1489</v>
      </c>
      <c r="C444" s="87" t="s">
        <v>1490</v>
      </c>
      <c r="D444" s="37">
        <v>386430.5</v>
      </c>
      <c r="E444" s="37" t="s">
        <v>1034</v>
      </c>
      <c r="F444" s="87" t="s">
        <v>258</v>
      </c>
    </row>
    <row r="445">
      <c r="A445" s="147">
        <v>45987.806974444444</v>
      </c>
      <c r="B445" s="148" t="s">
        <v>1039</v>
      </c>
      <c r="C445" s="87" t="s">
        <v>1433</v>
      </c>
      <c r="D445" s="37" t="s">
        <v>1034</v>
      </c>
      <c r="E445" s="37">
        <v>386430.5</v>
      </c>
      <c r="F445" s="87" t="s">
        <v>258</v>
      </c>
    </row>
    <row r="446">
      <c r="A446" s="147">
        <v>45988.43556666667</v>
      </c>
      <c r="B446" s="148" t="s">
        <v>1491</v>
      </c>
      <c r="C446" s="87" t="s">
        <v>1492</v>
      </c>
      <c r="D446" s="37">
        <v>17440.0</v>
      </c>
      <c r="E446" s="37" t="s">
        <v>1034</v>
      </c>
      <c r="F446" s="87" t="s">
        <v>277</v>
      </c>
    </row>
    <row r="447">
      <c r="A447" s="147">
        <v>45988.43556666667</v>
      </c>
      <c r="B447" s="148" t="s">
        <v>1045</v>
      </c>
      <c r="C447" s="87" t="s">
        <v>1457</v>
      </c>
      <c r="D447" s="37" t="s">
        <v>1034</v>
      </c>
      <c r="E447" s="37">
        <v>17440.0</v>
      </c>
      <c r="F447" s="87" t="s">
        <v>277</v>
      </c>
    </row>
    <row r="448">
      <c r="A448" s="147">
        <v>45988.43557666667</v>
      </c>
      <c r="B448" s="148" t="s">
        <v>1493</v>
      </c>
      <c r="C448" s="87" t="s">
        <v>1494</v>
      </c>
      <c r="D448" s="37">
        <v>17440.0</v>
      </c>
      <c r="E448" s="37" t="s">
        <v>1034</v>
      </c>
      <c r="F448" s="87" t="s">
        <v>277</v>
      </c>
    </row>
    <row r="449">
      <c r="A449" s="147">
        <v>45988.43557666667</v>
      </c>
      <c r="B449" s="148" t="s">
        <v>1045</v>
      </c>
      <c r="C449" s="87" t="s">
        <v>1459</v>
      </c>
      <c r="D449" s="37" t="s">
        <v>1034</v>
      </c>
      <c r="E449" s="37">
        <v>17440.0</v>
      </c>
      <c r="F449" s="87" t="s">
        <v>277</v>
      </c>
    </row>
    <row r="450">
      <c r="A450" s="147">
        <v>45988.43558666667</v>
      </c>
      <c r="B450" s="148" t="s">
        <v>1495</v>
      </c>
      <c r="C450" s="87" t="s">
        <v>1496</v>
      </c>
      <c r="D450" s="37">
        <v>40984.0</v>
      </c>
      <c r="E450" s="37" t="s">
        <v>1034</v>
      </c>
      <c r="F450" s="87" t="s">
        <v>277</v>
      </c>
    </row>
    <row r="451">
      <c r="A451" s="147">
        <v>45988.43558666667</v>
      </c>
      <c r="B451" s="148" t="s">
        <v>1045</v>
      </c>
      <c r="C451" s="87" t="s">
        <v>1461</v>
      </c>
      <c r="D451" s="37" t="s">
        <v>1034</v>
      </c>
      <c r="E451" s="37">
        <v>40984.0</v>
      </c>
      <c r="F451" s="87" t="s">
        <v>277</v>
      </c>
    </row>
    <row r="452">
      <c r="A452" s="147">
        <v>45988.43559666667</v>
      </c>
      <c r="B452" s="148" t="s">
        <v>1497</v>
      </c>
      <c r="C452" s="87" t="s">
        <v>1498</v>
      </c>
      <c r="D452" s="37">
        <v>17440.0</v>
      </c>
      <c r="E452" s="37" t="s">
        <v>1034</v>
      </c>
      <c r="F452" s="87" t="s">
        <v>277</v>
      </c>
    </row>
    <row r="453">
      <c r="A453" s="147">
        <v>45988.43559666667</v>
      </c>
      <c r="B453" s="148" t="s">
        <v>1045</v>
      </c>
      <c r="C453" s="87" t="s">
        <v>1463</v>
      </c>
      <c r="D453" s="37" t="s">
        <v>1034</v>
      </c>
      <c r="E453" s="37">
        <v>17440.0</v>
      </c>
      <c r="F453" s="87" t="s">
        <v>277</v>
      </c>
    </row>
    <row r="454">
      <c r="A454" s="147">
        <v>45988.43563666667</v>
      </c>
      <c r="B454" s="148" t="s">
        <v>1499</v>
      </c>
      <c r="C454" s="87" t="s">
        <v>1500</v>
      </c>
      <c r="D454" s="37">
        <v>32961.600000000006</v>
      </c>
      <c r="E454" s="37" t="s">
        <v>1034</v>
      </c>
      <c r="F454" s="87" t="s">
        <v>277</v>
      </c>
    </row>
    <row r="455">
      <c r="A455" s="147">
        <v>45988.43563666667</v>
      </c>
      <c r="B455" s="148" t="s">
        <v>1045</v>
      </c>
      <c r="C455" s="87" t="s">
        <v>1471</v>
      </c>
      <c r="D455" s="37" t="s">
        <v>1034</v>
      </c>
      <c r="E455" s="37">
        <v>32961.600000000006</v>
      </c>
      <c r="F455" s="87" t="s">
        <v>277</v>
      </c>
    </row>
    <row r="456">
      <c r="A456" s="147">
        <v>45988.61749111111</v>
      </c>
      <c r="B456" s="148" t="s">
        <v>1501</v>
      </c>
      <c r="C456" s="87" t="s">
        <v>1502</v>
      </c>
      <c r="D456" s="37">
        <v>314510.54</v>
      </c>
      <c r="E456" s="37" t="s">
        <v>1034</v>
      </c>
      <c r="F456" s="87" t="s">
        <v>273</v>
      </c>
    </row>
    <row r="457">
      <c r="A457" s="147">
        <v>45988.61749111111</v>
      </c>
      <c r="B457" s="148" t="s">
        <v>1045</v>
      </c>
      <c r="C457" s="87" t="s">
        <v>1453</v>
      </c>
      <c r="D457" s="37" t="s">
        <v>1034</v>
      </c>
      <c r="E457" s="37">
        <v>314510.54</v>
      </c>
      <c r="F457" s="87" t="s">
        <v>273</v>
      </c>
    </row>
    <row r="458">
      <c r="A458" s="147">
        <v>45988.617501111105</v>
      </c>
      <c r="B458" s="148" t="s">
        <v>1503</v>
      </c>
      <c r="C458" s="87" t="s">
        <v>1504</v>
      </c>
      <c r="D458" s="37">
        <v>298942.56</v>
      </c>
      <c r="E458" s="37" t="s">
        <v>1034</v>
      </c>
      <c r="F458" s="87" t="s">
        <v>273</v>
      </c>
    </row>
    <row r="459">
      <c r="A459" s="147">
        <v>45988.617501111105</v>
      </c>
      <c r="B459" s="148" t="s">
        <v>1045</v>
      </c>
      <c r="C459" s="87" t="s">
        <v>1455</v>
      </c>
      <c r="D459" s="37" t="s">
        <v>1034</v>
      </c>
      <c r="E459" s="37">
        <v>298942.56</v>
      </c>
      <c r="F459" s="87" t="s">
        <v>273</v>
      </c>
    </row>
    <row r="460">
      <c r="A460" s="147">
        <v>45989.623851111115</v>
      </c>
      <c r="B460" s="148" t="s">
        <v>1505</v>
      </c>
      <c r="C460" s="87" t="s">
        <v>1506</v>
      </c>
      <c r="D460" s="37">
        <v>989366.4</v>
      </c>
      <c r="E460" s="37" t="s">
        <v>1034</v>
      </c>
      <c r="F460" s="87" t="s">
        <v>289</v>
      </c>
    </row>
    <row r="461">
      <c r="A461" s="147">
        <v>45989.623851111115</v>
      </c>
      <c r="B461" s="148" t="s">
        <v>1045</v>
      </c>
      <c r="C461" s="87" t="s">
        <v>1475</v>
      </c>
      <c r="D461" s="37" t="s">
        <v>1034</v>
      </c>
      <c r="E461" s="37">
        <v>989366.4</v>
      </c>
      <c r="F461" s="87" t="s">
        <v>289</v>
      </c>
    </row>
    <row r="462">
      <c r="A462" s="147">
        <v>45990.43136</v>
      </c>
      <c r="B462" s="148" t="s">
        <v>1507</v>
      </c>
      <c r="C462" s="87" t="s">
        <v>1508</v>
      </c>
      <c r="D462" s="37">
        <v>286000.4</v>
      </c>
      <c r="E462" s="37" t="s">
        <v>1034</v>
      </c>
      <c r="F462" s="87" t="s">
        <v>270</v>
      </c>
    </row>
    <row r="463">
      <c r="A463" s="147">
        <v>45990.43136</v>
      </c>
      <c r="B463" s="148" t="s">
        <v>1039</v>
      </c>
      <c r="C463" s="87" t="s">
        <v>1449</v>
      </c>
      <c r="D463" s="37" t="s">
        <v>1034</v>
      </c>
      <c r="E463" s="37">
        <v>286000.4</v>
      </c>
      <c r="F463" s="87" t="s">
        <v>270</v>
      </c>
    </row>
    <row r="464">
      <c r="A464" s="147">
        <v>45990.43137</v>
      </c>
      <c r="B464" s="148" t="s">
        <v>1509</v>
      </c>
      <c r="C464" s="87" t="s">
        <v>1510</v>
      </c>
      <c r="D464" s="37">
        <v>580233.4</v>
      </c>
      <c r="E464" s="37" t="s">
        <v>1034</v>
      </c>
      <c r="F464" s="87" t="s">
        <v>270</v>
      </c>
    </row>
    <row r="465">
      <c r="A465" s="147">
        <v>45990.43137</v>
      </c>
      <c r="B465" s="148" t="s">
        <v>1039</v>
      </c>
      <c r="C465" s="87" t="s">
        <v>1451</v>
      </c>
      <c r="D465" s="37" t="s">
        <v>1034</v>
      </c>
      <c r="E465" s="37">
        <v>580233.4</v>
      </c>
      <c r="F465" s="87" t="s">
        <v>270</v>
      </c>
    </row>
    <row r="466">
      <c r="A466" s="147">
        <v>45990.55420666667</v>
      </c>
      <c r="B466" s="148" t="s">
        <v>1511</v>
      </c>
      <c r="C466" s="87" t="s">
        <v>1512</v>
      </c>
      <c r="D466" s="37">
        <v>1076358.03</v>
      </c>
      <c r="E466" s="37" t="s">
        <v>1034</v>
      </c>
      <c r="F466" s="87" t="s">
        <v>260</v>
      </c>
    </row>
    <row r="467">
      <c r="A467" s="147">
        <v>45990.55420666667</v>
      </c>
      <c r="B467" s="148" t="s">
        <v>1039</v>
      </c>
      <c r="C467" s="87" t="s">
        <v>1435</v>
      </c>
      <c r="D467" s="37" t="s">
        <v>1034</v>
      </c>
      <c r="E467" s="37">
        <v>1076358.03</v>
      </c>
      <c r="F467" s="87" t="s">
        <v>260</v>
      </c>
    </row>
    <row r="468">
      <c r="A468" s="147">
        <v>45990.55421666667</v>
      </c>
      <c r="B468" s="148" t="s">
        <v>1513</v>
      </c>
      <c r="C468" s="87" t="s">
        <v>1514</v>
      </c>
      <c r="D468" s="37">
        <v>127716.00000000001</v>
      </c>
      <c r="E468" s="37" t="s">
        <v>1034</v>
      </c>
      <c r="F468" s="87" t="s">
        <v>260</v>
      </c>
    </row>
    <row r="469">
      <c r="A469" s="147">
        <v>45990.55421666667</v>
      </c>
      <c r="B469" s="148" t="s">
        <v>1039</v>
      </c>
      <c r="C469" s="87" t="s">
        <v>1437</v>
      </c>
      <c r="D469" s="37" t="s">
        <v>1034</v>
      </c>
      <c r="E469" s="37">
        <v>127716.00000000001</v>
      </c>
      <c r="F469" s="87" t="s">
        <v>260</v>
      </c>
    </row>
    <row r="470">
      <c r="A470" s="147">
        <v>45990.55422666667</v>
      </c>
      <c r="B470" s="148" t="s">
        <v>1515</v>
      </c>
      <c r="C470" s="87" t="s">
        <v>1516</v>
      </c>
      <c r="D470" s="37">
        <v>175378.5</v>
      </c>
      <c r="E470" s="37" t="s">
        <v>1034</v>
      </c>
      <c r="F470" s="87" t="s">
        <v>260</v>
      </c>
    </row>
    <row r="471">
      <c r="A471" s="147">
        <v>45990.55422666667</v>
      </c>
      <c r="B471" s="148" t="s">
        <v>1039</v>
      </c>
      <c r="C471" s="87" t="s">
        <v>1439</v>
      </c>
      <c r="D471" s="37" t="s">
        <v>1034</v>
      </c>
      <c r="E471" s="37">
        <v>175378.5</v>
      </c>
      <c r="F471" s="87" t="s">
        <v>260</v>
      </c>
    </row>
    <row r="472">
      <c r="A472" s="147">
        <v>45990.55423666667</v>
      </c>
      <c r="B472" s="148" t="s">
        <v>1517</v>
      </c>
      <c r="C472" s="87" t="s">
        <v>1518</v>
      </c>
      <c r="D472" s="37">
        <v>212580.0</v>
      </c>
      <c r="E472" s="37" t="s">
        <v>1034</v>
      </c>
      <c r="F472" s="87" t="s">
        <v>260</v>
      </c>
    </row>
    <row r="473">
      <c r="A473" s="147">
        <v>45990.55423666667</v>
      </c>
      <c r="B473" s="148" t="s">
        <v>1039</v>
      </c>
      <c r="C473" s="87" t="s">
        <v>1441</v>
      </c>
      <c r="D473" s="37" t="s">
        <v>1034</v>
      </c>
      <c r="E473" s="37">
        <v>212580.0</v>
      </c>
      <c r="F473" s="87" t="s">
        <v>260</v>
      </c>
    </row>
    <row r="474">
      <c r="A474" s="147">
        <v>45990.55424666667</v>
      </c>
      <c r="B474" s="148" t="s">
        <v>1519</v>
      </c>
      <c r="C474" s="87" t="s">
        <v>1520</v>
      </c>
      <c r="D474" s="37">
        <v>157353.59999999998</v>
      </c>
      <c r="E474" s="37" t="s">
        <v>1034</v>
      </c>
      <c r="F474" s="87" t="s">
        <v>260</v>
      </c>
    </row>
    <row r="475">
      <c r="A475" s="147">
        <v>45990.55424666667</v>
      </c>
      <c r="B475" s="148" t="s">
        <v>1039</v>
      </c>
      <c r="C475" s="87" t="s">
        <v>1443</v>
      </c>
      <c r="D475" s="37" t="s">
        <v>1034</v>
      </c>
      <c r="E475" s="37">
        <v>157353.59999999998</v>
      </c>
      <c r="F475" s="87" t="s">
        <v>260</v>
      </c>
    </row>
    <row r="476">
      <c r="A476" s="147">
        <v>45990.55425666667</v>
      </c>
      <c r="B476" s="148" t="s">
        <v>1521</v>
      </c>
      <c r="C476" s="87" t="s">
        <v>1522</v>
      </c>
      <c r="D476" s="37">
        <v>145685.80000000002</v>
      </c>
      <c r="E476" s="37" t="s">
        <v>1034</v>
      </c>
      <c r="F476" s="87" t="s">
        <v>260</v>
      </c>
    </row>
    <row r="477">
      <c r="A477" s="147">
        <v>45990.55425666667</v>
      </c>
      <c r="B477" s="148" t="s">
        <v>1039</v>
      </c>
      <c r="C477" s="87" t="s">
        <v>1445</v>
      </c>
      <c r="D477" s="37" t="s">
        <v>1034</v>
      </c>
      <c r="E477" s="37">
        <v>145685.80000000002</v>
      </c>
      <c r="F477" s="87" t="s">
        <v>260</v>
      </c>
    </row>
    <row r="478">
      <c r="A478" s="147">
        <v>45990.57093333333</v>
      </c>
      <c r="B478" s="148" t="s">
        <v>1523</v>
      </c>
      <c r="C478" s="87" t="s">
        <v>1524</v>
      </c>
      <c r="D478" s="37">
        <v>242393.64</v>
      </c>
      <c r="E478" s="37" t="s">
        <v>1034</v>
      </c>
      <c r="F478" s="87" t="s">
        <v>267</v>
      </c>
    </row>
    <row r="479">
      <c r="A479" s="147">
        <v>45990.57093333333</v>
      </c>
      <c r="B479" s="148" t="s">
        <v>1039</v>
      </c>
      <c r="C479" s="87" t="s">
        <v>1447</v>
      </c>
      <c r="D479" s="37" t="s">
        <v>1034</v>
      </c>
      <c r="E479" s="37">
        <v>242393.64</v>
      </c>
      <c r="F479" s="87" t="s">
        <v>267</v>
      </c>
    </row>
    <row r="480">
      <c r="A480" s="147">
        <v>45996.71623222222</v>
      </c>
      <c r="B480" s="148" t="s">
        <v>1235</v>
      </c>
      <c r="C480" s="87" t="s">
        <v>1525</v>
      </c>
      <c r="D480" s="37">
        <v>5086442.24</v>
      </c>
      <c r="E480" s="37" t="s">
        <v>1034</v>
      </c>
      <c r="F480" s="87" t="s">
        <v>149</v>
      </c>
    </row>
    <row r="481">
      <c r="A481" s="147">
        <v>45996.71623222222</v>
      </c>
      <c r="B481" s="148" t="s">
        <v>1035</v>
      </c>
      <c r="C481" s="87" t="s">
        <v>1526</v>
      </c>
      <c r="D481" s="37" t="s">
        <v>1034</v>
      </c>
      <c r="E481" s="37">
        <v>5086442.24</v>
      </c>
      <c r="F481" s="87" t="s">
        <v>149</v>
      </c>
    </row>
    <row r="482">
      <c r="A482" s="147">
        <v>46002.595424444444</v>
      </c>
      <c r="B482" s="148" t="s">
        <v>1527</v>
      </c>
      <c r="C482" s="87" t="s">
        <v>1528</v>
      </c>
      <c r="D482" s="37">
        <v>9912325.860000001</v>
      </c>
      <c r="E482" s="37" t="s">
        <v>1034</v>
      </c>
      <c r="F482" s="87" t="s">
        <v>246</v>
      </c>
    </row>
    <row r="483">
      <c r="A483" s="147">
        <v>46002.595424444444</v>
      </c>
      <c r="B483" s="148" t="s">
        <v>1039</v>
      </c>
      <c r="C483" s="87" t="s">
        <v>1409</v>
      </c>
      <c r="D483" s="37" t="s">
        <v>1034</v>
      </c>
      <c r="E483" s="37">
        <v>9912325.860000001</v>
      </c>
      <c r="F483" s="87" t="s">
        <v>246</v>
      </c>
    </row>
    <row r="484">
      <c r="A484" s="147">
        <v>46002.59543444445</v>
      </c>
      <c r="B484" s="148" t="s">
        <v>1529</v>
      </c>
      <c r="C484" s="87" t="s">
        <v>1530</v>
      </c>
      <c r="D484" s="37">
        <v>797182.0499999999</v>
      </c>
      <c r="E484" s="37" t="s">
        <v>1034</v>
      </c>
      <c r="F484" s="87" t="s">
        <v>246</v>
      </c>
    </row>
    <row r="485">
      <c r="A485" s="147">
        <v>46002.59543444445</v>
      </c>
      <c r="B485" s="148" t="s">
        <v>1039</v>
      </c>
      <c r="C485" s="87" t="s">
        <v>1411</v>
      </c>
      <c r="D485" s="37" t="s">
        <v>1034</v>
      </c>
      <c r="E485" s="37">
        <v>797182.0499999999</v>
      </c>
      <c r="F485" s="87" t="s">
        <v>246</v>
      </c>
    </row>
    <row r="486">
      <c r="A486" s="147">
        <v>46002.67596444444</v>
      </c>
      <c r="B486" s="148" t="s">
        <v>1032</v>
      </c>
      <c r="C486" s="87" t="s">
        <v>1531</v>
      </c>
      <c r="D486" s="37">
        <v>1347105.3</v>
      </c>
      <c r="E486" s="37" t="s">
        <v>1034</v>
      </c>
      <c r="F486" s="87" t="s">
        <v>296</v>
      </c>
    </row>
    <row r="487">
      <c r="A487" s="147">
        <v>46002.67596444444</v>
      </c>
      <c r="B487" s="148" t="s">
        <v>1035</v>
      </c>
      <c r="C487" s="87" t="s">
        <v>1532</v>
      </c>
      <c r="D487" s="37" t="s">
        <v>1034</v>
      </c>
      <c r="E487" s="37">
        <v>1347105.3</v>
      </c>
      <c r="F487" s="87" t="s">
        <v>296</v>
      </c>
    </row>
    <row r="488">
      <c r="A488" s="147">
        <v>46002.68778</v>
      </c>
      <c r="B488" s="148" t="s">
        <v>1032</v>
      </c>
      <c r="C488" s="87" t="s">
        <v>1533</v>
      </c>
      <c r="D488" s="37">
        <v>145136.25999999998</v>
      </c>
      <c r="E488" s="37" t="s">
        <v>1034</v>
      </c>
      <c r="F488" s="87" t="s">
        <v>298</v>
      </c>
    </row>
    <row r="489">
      <c r="A489" s="147">
        <v>46002.68778</v>
      </c>
      <c r="B489" s="148" t="s">
        <v>1035</v>
      </c>
      <c r="C489" s="87" t="s">
        <v>1534</v>
      </c>
      <c r="D489" s="37" t="s">
        <v>1034</v>
      </c>
      <c r="E489" s="37">
        <v>145136.25999999998</v>
      </c>
      <c r="F489" s="87" t="s">
        <v>298</v>
      </c>
    </row>
    <row r="490">
      <c r="A490" s="147">
        <v>46003.02042888889</v>
      </c>
      <c r="B490" s="148" t="s">
        <v>1032</v>
      </c>
      <c r="C490" s="87" t="s">
        <v>1535</v>
      </c>
      <c r="D490" s="37">
        <v>1124108.1800000002</v>
      </c>
      <c r="E490" s="37" t="s">
        <v>1034</v>
      </c>
      <c r="F490" s="87" t="s">
        <v>300</v>
      </c>
    </row>
    <row r="491">
      <c r="A491" s="147">
        <v>46003.02042888889</v>
      </c>
      <c r="B491" s="148" t="s">
        <v>1035</v>
      </c>
      <c r="C491" s="87" t="s">
        <v>1536</v>
      </c>
      <c r="D491" s="37" t="s">
        <v>1034</v>
      </c>
      <c r="E491" s="37">
        <v>1124108.1800000002</v>
      </c>
      <c r="F491" s="87" t="s">
        <v>300</v>
      </c>
    </row>
    <row r="492">
      <c r="A492" s="147">
        <v>46003.02043888889</v>
      </c>
      <c r="B492" s="148" t="s">
        <v>1032</v>
      </c>
      <c r="C492" s="87" t="s">
        <v>1537</v>
      </c>
      <c r="D492" s="37">
        <v>1081002.72</v>
      </c>
      <c r="E492" s="37" t="s">
        <v>1034</v>
      </c>
      <c r="F492" s="87" t="s">
        <v>303</v>
      </c>
    </row>
    <row r="493">
      <c r="A493" s="147">
        <v>46003.02043888889</v>
      </c>
      <c r="B493" s="148" t="s">
        <v>1035</v>
      </c>
      <c r="C493" s="87" t="s">
        <v>1538</v>
      </c>
      <c r="D493" s="37" t="s">
        <v>1034</v>
      </c>
      <c r="E493" s="37">
        <v>1081002.72</v>
      </c>
      <c r="F493" s="87" t="s">
        <v>303</v>
      </c>
    </row>
    <row r="494">
      <c r="A494" s="147">
        <v>46003.61131666667</v>
      </c>
      <c r="B494" s="148" t="s">
        <v>1539</v>
      </c>
      <c r="C494" s="87" t="s">
        <v>1540</v>
      </c>
      <c r="D494" s="37">
        <v>4937595.6</v>
      </c>
      <c r="E494" s="37" t="s">
        <v>1034</v>
      </c>
      <c r="F494" s="87" t="s">
        <v>224</v>
      </c>
    </row>
    <row r="495">
      <c r="A495" s="147">
        <v>46003.61131666667</v>
      </c>
      <c r="B495" s="148" t="s">
        <v>1541</v>
      </c>
      <c r="C495" s="87" t="s">
        <v>1379</v>
      </c>
      <c r="D495" s="37" t="s">
        <v>1034</v>
      </c>
      <c r="E495" s="37">
        <v>4937595.6</v>
      </c>
      <c r="F495" s="87" t="s">
        <v>224</v>
      </c>
    </row>
    <row r="496">
      <c r="A496" s="147">
        <v>46003.61133666667</v>
      </c>
      <c r="B496" s="148" t="s">
        <v>1542</v>
      </c>
      <c r="C496" s="87" t="s">
        <v>1543</v>
      </c>
      <c r="D496" s="37">
        <v>3760641.3600000003</v>
      </c>
      <c r="E496" s="37" t="s">
        <v>1034</v>
      </c>
      <c r="F496" s="87" t="s">
        <v>230</v>
      </c>
    </row>
    <row r="497">
      <c r="A497" s="147">
        <v>46003.61133666667</v>
      </c>
      <c r="B497" s="148" t="s">
        <v>1077</v>
      </c>
      <c r="C497" s="87" t="s">
        <v>1383</v>
      </c>
      <c r="D497" s="37" t="s">
        <v>1034</v>
      </c>
      <c r="E497" s="37">
        <v>3760641.3600000003</v>
      </c>
      <c r="F497" s="87" t="s">
        <v>230</v>
      </c>
    </row>
    <row r="498">
      <c r="A498" s="147">
        <v>46003.62669888889</v>
      </c>
      <c r="B498" s="148" t="s">
        <v>1032</v>
      </c>
      <c r="C498" s="87" t="s">
        <v>1544</v>
      </c>
      <c r="D498" s="37">
        <v>392292.0</v>
      </c>
      <c r="E498" s="37" t="s">
        <v>1034</v>
      </c>
      <c r="F498" s="87" t="s">
        <v>305</v>
      </c>
    </row>
    <row r="499">
      <c r="A499" s="147">
        <v>46003.62669888889</v>
      </c>
      <c r="B499" s="148" t="s">
        <v>1035</v>
      </c>
      <c r="C499" s="87" t="s">
        <v>1545</v>
      </c>
      <c r="D499" s="37" t="s">
        <v>1034</v>
      </c>
      <c r="E499" s="37">
        <v>392292.0</v>
      </c>
      <c r="F499" s="87" t="s">
        <v>305</v>
      </c>
    </row>
    <row r="500">
      <c r="A500" s="147">
        <v>46003.63365333333</v>
      </c>
      <c r="B500" s="148" t="s">
        <v>1032</v>
      </c>
      <c r="C500" s="87" t="s">
        <v>1546</v>
      </c>
      <c r="D500" s="37">
        <v>2494944.0</v>
      </c>
      <c r="E500" s="37" t="s">
        <v>1034</v>
      </c>
      <c r="F500" s="87" t="s">
        <v>308</v>
      </c>
    </row>
    <row r="501">
      <c r="A501" s="147">
        <v>46003.63365333333</v>
      </c>
      <c r="B501" s="148" t="s">
        <v>1035</v>
      </c>
      <c r="C501" s="87" t="s">
        <v>1547</v>
      </c>
      <c r="D501" s="37" t="s">
        <v>1034</v>
      </c>
      <c r="E501" s="37">
        <v>2494944.0</v>
      </c>
      <c r="F501" s="87" t="s">
        <v>308</v>
      </c>
    </row>
    <row r="502">
      <c r="A502" s="147">
        <v>46004.79959555556</v>
      </c>
      <c r="B502" s="148" t="s">
        <v>1548</v>
      </c>
      <c r="C502" s="87" t="s">
        <v>1549</v>
      </c>
      <c r="D502" s="37">
        <v>1124108.1800000002</v>
      </c>
      <c r="E502" s="37" t="s">
        <v>1034</v>
      </c>
      <c r="F502" s="87" t="s">
        <v>300</v>
      </c>
    </row>
    <row r="503">
      <c r="A503" s="147">
        <v>46004.79959555556</v>
      </c>
      <c r="B503" s="148" t="s">
        <v>1039</v>
      </c>
      <c r="C503" s="87" t="s">
        <v>1535</v>
      </c>
      <c r="D503" s="37" t="s">
        <v>1034</v>
      </c>
      <c r="E503" s="37">
        <v>1124108.1800000002</v>
      </c>
      <c r="F503" s="87" t="s">
        <v>300</v>
      </c>
    </row>
    <row r="504">
      <c r="A504" s="147">
        <v>46004.81629222222</v>
      </c>
      <c r="B504" s="148" t="s">
        <v>1550</v>
      </c>
      <c r="C504" s="87" t="s">
        <v>1551</v>
      </c>
      <c r="D504" s="37">
        <v>2494944.0</v>
      </c>
      <c r="E504" s="37" t="s">
        <v>1034</v>
      </c>
      <c r="F504" s="87" t="s">
        <v>308</v>
      </c>
    </row>
    <row r="505">
      <c r="A505" s="147">
        <v>46004.81629222222</v>
      </c>
      <c r="B505" s="148" t="s">
        <v>1039</v>
      </c>
      <c r="C505" s="87" t="s">
        <v>1546</v>
      </c>
      <c r="D505" s="37" t="s">
        <v>1034</v>
      </c>
      <c r="E505" s="37">
        <v>2494944.0</v>
      </c>
      <c r="F505" s="87" t="s">
        <v>308</v>
      </c>
    </row>
    <row r="506">
      <c r="A506" s="147">
        <v>46005.429382222224</v>
      </c>
      <c r="B506" s="148" t="s">
        <v>1552</v>
      </c>
      <c r="C506" s="87" t="s">
        <v>1553</v>
      </c>
      <c r="D506" s="37">
        <v>2611391.28</v>
      </c>
      <c r="E506" s="37" t="s">
        <v>1034</v>
      </c>
      <c r="F506" s="87" t="s">
        <v>227</v>
      </c>
    </row>
    <row r="507">
      <c r="A507" s="147">
        <v>46005.429382222224</v>
      </c>
      <c r="B507" s="148" t="s">
        <v>1077</v>
      </c>
      <c r="C507" s="87" t="s">
        <v>1381</v>
      </c>
      <c r="D507" s="37" t="s">
        <v>1034</v>
      </c>
      <c r="E507" s="37">
        <v>2611391.28</v>
      </c>
      <c r="F507" s="87" t="s">
        <v>227</v>
      </c>
    </row>
    <row r="508">
      <c r="A508" s="147">
        <v>46005.80444666667</v>
      </c>
      <c r="B508" s="148" t="s">
        <v>1554</v>
      </c>
      <c r="C508" s="87" t="s">
        <v>1555</v>
      </c>
      <c r="D508" s="37">
        <v>145136.25999999998</v>
      </c>
      <c r="E508" s="37" t="s">
        <v>1034</v>
      </c>
      <c r="F508" s="87" t="s">
        <v>298</v>
      </c>
    </row>
    <row r="509">
      <c r="A509" s="147">
        <v>46005.80444666667</v>
      </c>
      <c r="B509" s="148" t="s">
        <v>1039</v>
      </c>
      <c r="C509" s="87" t="s">
        <v>1533</v>
      </c>
      <c r="D509" s="37" t="s">
        <v>1034</v>
      </c>
      <c r="E509" s="37">
        <v>145136.25999999998</v>
      </c>
      <c r="F509" s="87" t="s">
        <v>298</v>
      </c>
    </row>
    <row r="510">
      <c r="A510" s="147">
        <v>46006.47738333333</v>
      </c>
      <c r="B510" s="148" t="s">
        <v>1556</v>
      </c>
      <c r="C510" s="87" t="s">
        <v>1557</v>
      </c>
      <c r="D510" s="37">
        <v>1081002.72</v>
      </c>
      <c r="E510" s="37" t="s">
        <v>1034</v>
      </c>
      <c r="F510" s="87" t="s">
        <v>303</v>
      </c>
    </row>
    <row r="511">
      <c r="A511" s="147">
        <v>46006.47738333333</v>
      </c>
      <c r="B511" s="148" t="s">
        <v>1039</v>
      </c>
      <c r="C511" s="87" t="s">
        <v>1537</v>
      </c>
      <c r="D511" s="37" t="s">
        <v>1034</v>
      </c>
      <c r="E511" s="37">
        <v>1081002.72</v>
      </c>
      <c r="F511" s="87" t="s">
        <v>303</v>
      </c>
    </row>
    <row r="512">
      <c r="A512" s="147">
        <v>46007.66343</v>
      </c>
      <c r="B512" s="148" t="s">
        <v>1558</v>
      </c>
      <c r="C512" s="87" t="s">
        <v>1559</v>
      </c>
      <c r="D512" s="37">
        <v>7795400.0</v>
      </c>
      <c r="E512" s="37" t="s">
        <v>1034</v>
      </c>
      <c r="F512" s="87" t="s">
        <v>233</v>
      </c>
    </row>
    <row r="513">
      <c r="A513" s="147">
        <v>46007.66343</v>
      </c>
      <c r="B513" s="148" t="s">
        <v>1077</v>
      </c>
      <c r="C513" s="87" t="s">
        <v>1385</v>
      </c>
      <c r="D513" s="37" t="s">
        <v>1034</v>
      </c>
      <c r="E513" s="37">
        <v>7795400.0</v>
      </c>
      <c r="F513" s="87" t="s">
        <v>233</v>
      </c>
    </row>
    <row r="514">
      <c r="A514" s="147">
        <v>46008.52527</v>
      </c>
      <c r="B514" s="148" t="s">
        <v>1560</v>
      </c>
      <c r="C514" s="87" t="s">
        <v>1561</v>
      </c>
      <c r="D514" s="37">
        <v>1347105.3</v>
      </c>
      <c r="E514" s="37" t="s">
        <v>1034</v>
      </c>
      <c r="F514" s="87" t="s">
        <v>296</v>
      </c>
    </row>
    <row r="515">
      <c r="A515" s="147">
        <v>46008.52527</v>
      </c>
      <c r="B515" s="148" t="s">
        <v>1039</v>
      </c>
      <c r="C515" s="87" t="s">
        <v>1531</v>
      </c>
      <c r="D515" s="37" t="s">
        <v>1034</v>
      </c>
      <c r="E515" s="37">
        <v>1347105.3</v>
      </c>
      <c r="F515" s="87" t="s">
        <v>296</v>
      </c>
    </row>
    <row r="516">
      <c r="A516" s="147">
        <v>46008.92253222223</v>
      </c>
      <c r="B516" s="148" t="s">
        <v>1562</v>
      </c>
      <c r="C516" s="87" t="s">
        <v>1563</v>
      </c>
      <c r="D516" s="37">
        <v>392292.0</v>
      </c>
      <c r="E516" s="37" t="s">
        <v>1034</v>
      </c>
      <c r="F516" s="87" t="s">
        <v>305</v>
      </c>
    </row>
    <row r="517">
      <c r="A517" s="147">
        <v>46008.92253222223</v>
      </c>
      <c r="B517" s="148" t="s">
        <v>1039</v>
      </c>
      <c r="C517" s="87" t="s">
        <v>1544</v>
      </c>
      <c r="D517" s="37" t="s">
        <v>1034</v>
      </c>
      <c r="E517" s="37">
        <v>392292.0</v>
      </c>
      <c r="F517" s="87" t="s">
        <v>305</v>
      </c>
    </row>
    <row r="518">
      <c r="A518" s="147">
        <v>46012.67387111111</v>
      </c>
      <c r="B518" s="148" t="s">
        <v>1564</v>
      </c>
      <c r="C518" s="87" t="s">
        <v>1565</v>
      </c>
      <c r="D518" s="37">
        <v>5086442.24</v>
      </c>
      <c r="E518" s="37" t="s">
        <v>1034</v>
      </c>
      <c r="F518" s="87" t="s">
        <v>149</v>
      </c>
    </row>
    <row r="519">
      <c r="A519" s="147">
        <v>46012.67387111111</v>
      </c>
      <c r="B519" s="148" t="s">
        <v>1243</v>
      </c>
      <c r="C519" s="87" t="s">
        <v>1525</v>
      </c>
      <c r="D519" s="37" t="s">
        <v>1034</v>
      </c>
      <c r="E519" s="37">
        <v>5086442.24</v>
      </c>
      <c r="F519" s="87" t="s">
        <v>149</v>
      </c>
    </row>
    <row r="520">
      <c r="A520" s="147">
        <v>46022.41699666667</v>
      </c>
      <c r="B520" s="148" t="s">
        <v>1566</v>
      </c>
      <c r="C520" s="87" t="s">
        <v>1567</v>
      </c>
      <c r="D520" s="37"/>
      <c r="E520" s="37" t="s">
        <v>1034</v>
      </c>
      <c r="F520" s="87"/>
    </row>
    <row r="521">
      <c r="A521" s="147">
        <v>46022.41699666667</v>
      </c>
      <c r="B521" s="148" t="s">
        <v>1035</v>
      </c>
      <c r="C521" s="87" t="s">
        <v>1568</v>
      </c>
      <c r="D521" s="37" t="s">
        <v>1034</v>
      </c>
      <c r="E521" s="37"/>
      <c r="F521" s="87"/>
    </row>
    <row r="522">
      <c r="A522" s="147">
        <v>46022.45866333334</v>
      </c>
      <c r="B522" s="148" t="s">
        <v>1569</v>
      </c>
      <c r="C522" s="87" t="s">
        <v>1570</v>
      </c>
      <c r="D522" s="37"/>
      <c r="E522" s="37" t="s">
        <v>1034</v>
      </c>
      <c r="F522" s="87"/>
    </row>
    <row r="523">
      <c r="A523" s="147">
        <v>46022.45866333334</v>
      </c>
      <c r="B523" s="148" t="s">
        <v>1571</v>
      </c>
      <c r="C523" s="87" t="s">
        <v>1567</v>
      </c>
      <c r="D523" s="37" t="s">
        <v>1034</v>
      </c>
      <c r="E523" s="37"/>
      <c r="F523" s="87"/>
    </row>
    <row r="524">
      <c r="A524" s="147">
        <v>46023.008363333334</v>
      </c>
      <c r="B524" s="148" t="s">
        <v>1004</v>
      </c>
      <c r="C524" s="87" t="s">
        <v>1572</v>
      </c>
      <c r="D524" s="37">
        <v>17000.0</v>
      </c>
      <c r="E524" s="37" t="s">
        <v>1034</v>
      </c>
      <c r="F524" s="87" t="s">
        <v>1006</v>
      </c>
    </row>
    <row r="525">
      <c r="A525" s="147">
        <v>46023.008363333334</v>
      </c>
      <c r="B525" s="148" t="s">
        <v>1035</v>
      </c>
      <c r="C525" s="87" t="s">
        <v>1573</v>
      </c>
      <c r="D525" s="37" t="s">
        <v>1034</v>
      </c>
      <c r="E525" s="37">
        <v>17000.0</v>
      </c>
      <c r="F525" s="87" t="s">
        <v>1006</v>
      </c>
    </row>
    <row r="526">
      <c r="A526" s="147">
        <v>46023.04169666667</v>
      </c>
      <c r="B526" s="148" t="s">
        <v>1569</v>
      </c>
      <c r="C526" s="87" t="s">
        <v>1574</v>
      </c>
      <c r="D526" s="37">
        <v>1.0</v>
      </c>
      <c r="E526" s="37" t="s">
        <v>1034</v>
      </c>
      <c r="F526" s="87" t="s">
        <v>1034</v>
      </c>
    </row>
    <row r="527">
      <c r="A527" s="147">
        <v>46023.04169666667</v>
      </c>
      <c r="B527" s="148" t="s">
        <v>1575</v>
      </c>
      <c r="C527" s="87" t="s">
        <v>1576</v>
      </c>
      <c r="D527" s="37" t="s">
        <v>1034</v>
      </c>
      <c r="E527" s="37">
        <v>1.0</v>
      </c>
      <c r="F527" s="87" t="s">
        <v>1034</v>
      </c>
    </row>
    <row r="528">
      <c r="A528" s="147">
        <v>46023.04170666666</v>
      </c>
      <c r="B528" s="148" t="s">
        <v>1577</v>
      </c>
      <c r="C528" s="87" t="s">
        <v>1578</v>
      </c>
      <c r="D528" s="37">
        <v>1.0</v>
      </c>
      <c r="E528" s="37" t="s">
        <v>1034</v>
      </c>
      <c r="F528" s="87" t="s">
        <v>1034</v>
      </c>
    </row>
    <row r="529">
      <c r="A529" s="147">
        <v>46023.04170666666</v>
      </c>
      <c r="B529" s="148" t="s">
        <v>1579</v>
      </c>
      <c r="C529" s="87" t="s">
        <v>1580</v>
      </c>
      <c r="D529" s="37" t="s">
        <v>1034</v>
      </c>
      <c r="E529" s="37">
        <v>1.0</v>
      </c>
      <c r="F529" s="87" t="s">
        <v>1034</v>
      </c>
    </row>
    <row r="530">
      <c r="A530" s="147">
        <v>46024.65936777778</v>
      </c>
      <c r="B530" s="148" t="s">
        <v>1581</v>
      </c>
      <c r="C530" s="87" t="s">
        <v>1582</v>
      </c>
      <c r="D530" s="37">
        <v>1614375.0</v>
      </c>
      <c r="E530" s="37" t="s">
        <v>1034</v>
      </c>
      <c r="F530" s="87" t="s">
        <v>149</v>
      </c>
    </row>
    <row r="531">
      <c r="A531" s="147">
        <v>46024.65936777778</v>
      </c>
      <c r="B531" s="148" t="s">
        <v>1035</v>
      </c>
      <c r="C531" s="87" t="s">
        <v>1583</v>
      </c>
      <c r="D531" s="37" t="s">
        <v>1034</v>
      </c>
      <c r="E531" s="37">
        <v>1614375.0</v>
      </c>
      <c r="F531" s="87" t="s">
        <v>149</v>
      </c>
    </row>
    <row r="532">
      <c r="A532" s="147">
        <v>46036.74895111111</v>
      </c>
      <c r="B532" s="148" t="s">
        <v>1294</v>
      </c>
      <c r="C532" s="87" t="s">
        <v>1584</v>
      </c>
      <c r="D532" s="37">
        <v>1614375.0</v>
      </c>
      <c r="E532" s="37" t="s">
        <v>1034</v>
      </c>
      <c r="F532" s="87" t="s">
        <v>149</v>
      </c>
    </row>
    <row r="533">
      <c r="A533" s="147">
        <v>46036.74895111111</v>
      </c>
      <c r="B533" s="148" t="s">
        <v>1585</v>
      </c>
      <c r="C533" s="87" t="s">
        <v>1582</v>
      </c>
      <c r="D533" s="37" t="s">
        <v>1034</v>
      </c>
      <c r="E533" s="37">
        <v>1614375.0</v>
      </c>
      <c r="F533" s="87" t="s">
        <v>149</v>
      </c>
    </row>
    <row r="534">
      <c r="A534" s="147">
        <v>46041.68785</v>
      </c>
      <c r="B534" s="148" t="s">
        <v>1586</v>
      </c>
      <c r="C534" s="87" t="s">
        <v>1587</v>
      </c>
      <c r="D534" s="37">
        <v>24620.0</v>
      </c>
      <c r="E534" s="37" t="s">
        <v>1034</v>
      </c>
      <c r="F534" s="87" t="s">
        <v>314</v>
      </c>
    </row>
    <row r="535">
      <c r="A535" s="147">
        <v>46041.68785</v>
      </c>
      <c r="B535" s="148" t="s">
        <v>1035</v>
      </c>
      <c r="C535" s="87" t="s">
        <v>1588</v>
      </c>
      <c r="D535" s="37" t="s">
        <v>1034</v>
      </c>
      <c r="E535" s="37">
        <v>24620.0</v>
      </c>
      <c r="F535" s="87" t="s">
        <v>314</v>
      </c>
    </row>
    <row r="536">
      <c r="A536" s="147">
        <v>46044.16862164351</v>
      </c>
      <c r="B536" s="148" t="s">
        <v>1589</v>
      </c>
      <c r="C536" s="87" t="s">
        <v>1590</v>
      </c>
      <c r="D536" s="37">
        <v>25822.0</v>
      </c>
      <c r="E536" s="37" t="s">
        <v>1034</v>
      </c>
      <c r="F536" s="87" t="s">
        <v>1034</v>
      </c>
    </row>
    <row r="537">
      <c r="A537" s="147">
        <v>46044.16862164351</v>
      </c>
      <c r="B537" s="148" t="s">
        <v>1591</v>
      </c>
      <c r="C537" s="87" t="s">
        <v>1592</v>
      </c>
      <c r="D537" s="37" t="s">
        <v>1034</v>
      </c>
      <c r="E537" s="37">
        <v>25822.0</v>
      </c>
      <c r="F537" s="87" t="s">
        <v>1034</v>
      </c>
    </row>
    <row r="538">
      <c r="A538" s="147">
        <v>46044.168631643515</v>
      </c>
      <c r="B538" s="148" t="s">
        <v>1062</v>
      </c>
      <c r="C538" s="87" t="s">
        <v>1593</v>
      </c>
      <c r="D538" s="37">
        <v>11440.0</v>
      </c>
      <c r="E538" s="37" t="s">
        <v>1034</v>
      </c>
      <c r="F538" s="87" t="s">
        <v>1034</v>
      </c>
    </row>
    <row r="539">
      <c r="A539" s="147">
        <v>46044.168631643515</v>
      </c>
      <c r="B539" s="148" t="s">
        <v>1594</v>
      </c>
      <c r="C539" s="87" t="s">
        <v>1595</v>
      </c>
      <c r="D539" s="37" t="s">
        <v>1034</v>
      </c>
      <c r="E539" s="37">
        <v>11440.0</v>
      </c>
      <c r="F539" s="87" t="s">
        <v>1034</v>
      </c>
    </row>
    <row r="540">
      <c r="A540" s="147">
        <v>46044.16864164351</v>
      </c>
      <c r="B540" s="148" t="s">
        <v>1066</v>
      </c>
      <c r="C540" s="87" t="s">
        <v>1596</v>
      </c>
      <c r="D540" s="37">
        <v>129532.0</v>
      </c>
      <c r="E540" s="37" t="s">
        <v>1034</v>
      </c>
      <c r="F540" s="87" t="s">
        <v>1034</v>
      </c>
    </row>
    <row r="541">
      <c r="A541" s="147">
        <v>46044.16864164351</v>
      </c>
      <c r="B541" s="148" t="s">
        <v>1597</v>
      </c>
      <c r="C541" s="87" t="s">
        <v>1598</v>
      </c>
      <c r="D541" s="37" t="s">
        <v>1034</v>
      </c>
      <c r="E541" s="37">
        <v>129532.0</v>
      </c>
      <c r="F541" s="87" t="s">
        <v>1034</v>
      </c>
    </row>
    <row r="542">
      <c r="A542" s="147">
        <v>46044.168651643515</v>
      </c>
      <c r="B542" s="148" t="s">
        <v>1075</v>
      </c>
      <c r="C542" s="87" t="s">
        <v>1599</v>
      </c>
      <c r="D542" s="37">
        <v>96448.0</v>
      </c>
      <c r="E542" s="37" t="s">
        <v>1034</v>
      </c>
      <c r="F542" s="87" t="s">
        <v>1034</v>
      </c>
    </row>
    <row r="543">
      <c r="A543" s="147">
        <v>46044.168651643515</v>
      </c>
      <c r="B543" s="148" t="s">
        <v>1600</v>
      </c>
      <c r="C543" s="87" t="s">
        <v>1601</v>
      </c>
      <c r="D543" s="37" t="s">
        <v>1034</v>
      </c>
      <c r="E543" s="37">
        <v>96448.0</v>
      </c>
      <c r="F543" s="87" t="s">
        <v>1034</v>
      </c>
    </row>
    <row r="544">
      <c r="A544" s="147">
        <v>46044.16866164351</v>
      </c>
      <c r="B544" s="148" t="s">
        <v>1602</v>
      </c>
      <c r="C544" s="87" t="s">
        <v>1603</v>
      </c>
      <c r="D544" s="37">
        <v>348324.0</v>
      </c>
      <c r="E544" s="37" t="s">
        <v>1034</v>
      </c>
      <c r="F544" s="87" t="s">
        <v>1034</v>
      </c>
    </row>
    <row r="545">
      <c r="A545" s="147">
        <v>46044.16866164351</v>
      </c>
      <c r="B545" s="148" t="s">
        <v>1604</v>
      </c>
      <c r="C545" s="87" t="s">
        <v>1605</v>
      </c>
      <c r="D545" s="37" t="s">
        <v>1034</v>
      </c>
      <c r="E545" s="37">
        <v>348324.0</v>
      </c>
      <c r="F545" s="87" t="s">
        <v>1034</v>
      </c>
    </row>
    <row r="546">
      <c r="A546" s="147">
        <v>46044.168671643514</v>
      </c>
      <c r="B546" s="148" t="s">
        <v>1606</v>
      </c>
      <c r="C546" s="87" t="s">
        <v>1607</v>
      </c>
      <c r="D546" s="37">
        <v>147911.68</v>
      </c>
      <c r="E546" s="37" t="s">
        <v>1034</v>
      </c>
      <c r="F546" s="87" t="s">
        <v>1034</v>
      </c>
    </row>
    <row r="547">
      <c r="A547" s="147">
        <v>46044.168671643514</v>
      </c>
      <c r="B547" s="148" t="s">
        <v>1608</v>
      </c>
      <c r="C547" s="87" t="s">
        <v>1609</v>
      </c>
      <c r="D547" s="37" t="s">
        <v>1034</v>
      </c>
      <c r="E547" s="37">
        <v>147911.68</v>
      </c>
      <c r="F547" s="87" t="s">
        <v>1034</v>
      </c>
    </row>
    <row r="548">
      <c r="A548" s="147">
        <v>46044.16868164351</v>
      </c>
      <c r="B548" s="148" t="s">
        <v>1610</v>
      </c>
      <c r="C548" s="87" t="s">
        <v>1611</v>
      </c>
      <c r="D548" s="37">
        <v>128992.65000000001</v>
      </c>
      <c r="E548" s="37" t="s">
        <v>1034</v>
      </c>
      <c r="F548" s="87" t="s">
        <v>1034</v>
      </c>
    </row>
    <row r="549">
      <c r="A549" s="147">
        <v>46044.16868164351</v>
      </c>
      <c r="B549" s="148" t="s">
        <v>1612</v>
      </c>
      <c r="C549" s="87" t="s">
        <v>1613</v>
      </c>
      <c r="D549" s="37" t="s">
        <v>1034</v>
      </c>
      <c r="E549" s="37">
        <v>128992.65000000001</v>
      </c>
      <c r="F549" s="87" t="s">
        <v>1034</v>
      </c>
    </row>
    <row r="550">
      <c r="A550" s="147">
        <v>46044.168691643514</v>
      </c>
      <c r="B550" s="148" t="s">
        <v>1614</v>
      </c>
      <c r="C550" s="87" t="s">
        <v>1615</v>
      </c>
      <c r="D550" s="37">
        <v>12757.560000000001</v>
      </c>
      <c r="E550" s="37" t="s">
        <v>1034</v>
      </c>
      <c r="F550" s="87" t="s">
        <v>1034</v>
      </c>
    </row>
    <row r="551">
      <c r="A551" s="147">
        <v>46044.168691643514</v>
      </c>
      <c r="B551" s="148" t="s">
        <v>1616</v>
      </c>
      <c r="C551" s="87" t="s">
        <v>1617</v>
      </c>
      <c r="D551" s="37" t="s">
        <v>1034</v>
      </c>
      <c r="E551" s="37">
        <v>12757.560000000001</v>
      </c>
      <c r="F551" s="87" t="s">
        <v>1034</v>
      </c>
    </row>
    <row r="552">
      <c r="A552" s="147">
        <v>46044.16870164351</v>
      </c>
      <c r="B552" s="148" t="s">
        <v>1421</v>
      </c>
      <c r="C552" s="87" t="s">
        <v>1618</v>
      </c>
      <c r="D552" s="37">
        <v>52296.6</v>
      </c>
      <c r="E552" s="37" t="s">
        <v>1034</v>
      </c>
      <c r="F552" s="87" t="s">
        <v>1034</v>
      </c>
    </row>
    <row r="553">
      <c r="A553" s="147">
        <v>46044.16870164351</v>
      </c>
      <c r="B553" s="148" t="s">
        <v>1619</v>
      </c>
      <c r="C553" s="87" t="s">
        <v>1620</v>
      </c>
      <c r="D553" s="37" t="s">
        <v>1034</v>
      </c>
      <c r="E553" s="37">
        <v>52296.6</v>
      </c>
      <c r="F553" s="87" t="s">
        <v>1034</v>
      </c>
    </row>
    <row r="554">
      <c r="A554" s="147">
        <v>46044.16871164351</v>
      </c>
      <c r="B554" s="148" t="s">
        <v>1233</v>
      </c>
      <c r="C554" s="87" t="s">
        <v>1621</v>
      </c>
      <c r="D554" s="37">
        <v>22705.34</v>
      </c>
      <c r="E554" s="37" t="s">
        <v>1034</v>
      </c>
      <c r="F554" s="87" t="s">
        <v>1034</v>
      </c>
    </row>
    <row r="555">
      <c r="A555" s="147">
        <v>46044.16871164351</v>
      </c>
      <c r="B555" s="148" t="s">
        <v>1622</v>
      </c>
      <c r="C555" s="87" t="s">
        <v>1623</v>
      </c>
      <c r="D555" s="37" t="s">
        <v>1034</v>
      </c>
      <c r="E555" s="37">
        <v>22705.34</v>
      </c>
      <c r="F555" s="87" t="s">
        <v>1034</v>
      </c>
    </row>
    <row r="556">
      <c r="A556" s="147">
        <v>46044.16872164352</v>
      </c>
      <c r="B556" s="148" t="s">
        <v>1507</v>
      </c>
      <c r="C556" s="87" t="s">
        <v>1624</v>
      </c>
      <c r="D556" s="37">
        <v>21760.9</v>
      </c>
      <c r="E556" s="37" t="s">
        <v>1034</v>
      </c>
      <c r="F556" s="87" t="s">
        <v>1034</v>
      </c>
    </row>
    <row r="557">
      <c r="A557" s="147">
        <v>46044.16872164352</v>
      </c>
      <c r="B557" s="148" t="s">
        <v>1625</v>
      </c>
      <c r="C557" s="87" t="s">
        <v>1626</v>
      </c>
      <c r="D557" s="37" t="s">
        <v>1034</v>
      </c>
      <c r="E557" s="37">
        <v>21760.9</v>
      </c>
      <c r="F557" s="87" t="s">
        <v>1034</v>
      </c>
    </row>
    <row r="558">
      <c r="A558" s="147">
        <v>46044.16873164351</v>
      </c>
      <c r="B558" s="148" t="s">
        <v>1627</v>
      </c>
      <c r="C558" s="87" t="s">
        <v>1628</v>
      </c>
      <c r="D558" s="37">
        <v>148920.0</v>
      </c>
      <c r="E558" s="37" t="s">
        <v>1034</v>
      </c>
      <c r="F558" s="87" t="s">
        <v>1034</v>
      </c>
    </row>
    <row r="559">
      <c r="A559" s="147">
        <v>46044.16873164351</v>
      </c>
      <c r="B559" s="148" t="s">
        <v>1629</v>
      </c>
      <c r="C559" s="87" t="s">
        <v>1630</v>
      </c>
      <c r="D559" s="37" t="s">
        <v>1034</v>
      </c>
      <c r="E559" s="37">
        <v>148920.0</v>
      </c>
      <c r="F559" s="87" t="s">
        <v>1034</v>
      </c>
    </row>
    <row r="560">
      <c r="A560" s="147">
        <v>46044.45799888889</v>
      </c>
      <c r="B560" s="148" t="s">
        <v>1586</v>
      </c>
      <c r="C560" s="87" t="s">
        <v>1631</v>
      </c>
      <c r="D560" s="37">
        <v>117000.0</v>
      </c>
      <c r="E560" s="37" t="s">
        <v>1034</v>
      </c>
      <c r="F560" s="87" t="s">
        <v>316</v>
      </c>
    </row>
    <row r="561">
      <c r="A561" s="147">
        <v>46044.45799888889</v>
      </c>
      <c r="B561" s="148" t="s">
        <v>1035</v>
      </c>
      <c r="C561" s="87" t="s">
        <v>1632</v>
      </c>
      <c r="D561" s="37" t="s">
        <v>1034</v>
      </c>
      <c r="E561" s="37">
        <v>117000.0</v>
      </c>
      <c r="F561" s="87" t="s">
        <v>316</v>
      </c>
    </row>
    <row r="562">
      <c r="A562" s="147">
        <v>46046.137134259254</v>
      </c>
      <c r="B562" s="148" t="s">
        <v>1633</v>
      </c>
      <c r="C562" s="87" t="s">
        <v>1634</v>
      </c>
      <c r="D562" s="37">
        <v>108147.2</v>
      </c>
      <c r="E562" s="37" t="s">
        <v>1034</v>
      </c>
      <c r="F562" s="87" t="s">
        <v>1034</v>
      </c>
    </row>
    <row r="563">
      <c r="A563" s="147">
        <v>46046.137134259254</v>
      </c>
      <c r="B563" s="148" t="s">
        <v>1635</v>
      </c>
      <c r="C563" s="87" t="s">
        <v>1636</v>
      </c>
      <c r="D563" s="37" t="s">
        <v>1034</v>
      </c>
      <c r="E563" s="37">
        <v>108147.2</v>
      </c>
      <c r="F563" s="87" t="s">
        <v>1034</v>
      </c>
    </row>
    <row r="564">
      <c r="A564" s="147">
        <v>46046.13714425926</v>
      </c>
      <c r="B564" s="148" t="s">
        <v>1637</v>
      </c>
      <c r="C564" s="87" t="s">
        <v>1638</v>
      </c>
      <c r="D564" s="37">
        <v>318438.12</v>
      </c>
      <c r="E564" s="37" t="s">
        <v>1034</v>
      </c>
      <c r="F564" s="87" t="s">
        <v>1034</v>
      </c>
    </row>
    <row r="565">
      <c r="A565" s="147">
        <v>46046.13714425926</v>
      </c>
      <c r="B565" s="148" t="s">
        <v>1639</v>
      </c>
      <c r="C565" s="87" t="s">
        <v>1640</v>
      </c>
      <c r="D565" s="37" t="s">
        <v>1034</v>
      </c>
      <c r="E565" s="37">
        <v>318438.12</v>
      </c>
      <c r="F565" s="87" t="s">
        <v>1034</v>
      </c>
    </row>
    <row r="566">
      <c r="A566" s="147">
        <v>46046.13715425925</v>
      </c>
      <c r="B566" s="148" t="s">
        <v>1637</v>
      </c>
      <c r="C566" s="87" t="s">
        <v>1641</v>
      </c>
      <c r="D566" s="37">
        <v>39367.35</v>
      </c>
      <c r="E566" s="37" t="s">
        <v>1034</v>
      </c>
      <c r="F566" s="87" t="s">
        <v>1034</v>
      </c>
    </row>
    <row r="567">
      <c r="A567" s="147">
        <v>46046.13715425925</v>
      </c>
      <c r="B567" s="148" t="s">
        <v>1639</v>
      </c>
      <c r="C567" s="87" t="s">
        <v>1642</v>
      </c>
      <c r="D567" s="37" t="s">
        <v>1034</v>
      </c>
      <c r="E567" s="37">
        <v>39367.35</v>
      </c>
      <c r="F567" s="87" t="s">
        <v>1034</v>
      </c>
    </row>
    <row r="568">
      <c r="A568" s="147">
        <v>46046.13716425926</v>
      </c>
      <c r="B568" s="148" t="s">
        <v>1643</v>
      </c>
      <c r="C568" s="87" t="s">
        <v>1644</v>
      </c>
      <c r="D568" s="37">
        <v>96460.0</v>
      </c>
      <c r="E568" s="37" t="s">
        <v>1034</v>
      </c>
      <c r="F568" s="87" t="s">
        <v>1034</v>
      </c>
    </row>
    <row r="569">
      <c r="A569" s="147">
        <v>46046.13716425926</v>
      </c>
      <c r="B569" s="148" t="s">
        <v>1645</v>
      </c>
      <c r="C569" s="87" t="s">
        <v>1646</v>
      </c>
      <c r="D569" s="37" t="s">
        <v>1034</v>
      </c>
      <c r="E569" s="37">
        <v>96460.0</v>
      </c>
      <c r="F569" s="87" t="s">
        <v>1034</v>
      </c>
    </row>
    <row r="570">
      <c r="A570" s="147">
        <v>46046.13717425925</v>
      </c>
      <c r="B570" s="148" t="s">
        <v>1075</v>
      </c>
      <c r="C570" s="87" t="s">
        <v>1647</v>
      </c>
      <c r="D570" s="37">
        <v>168784.0</v>
      </c>
      <c r="E570" s="37" t="s">
        <v>1034</v>
      </c>
      <c r="F570" s="87" t="s">
        <v>1034</v>
      </c>
    </row>
    <row r="571">
      <c r="A571" s="147">
        <v>46046.13717425925</v>
      </c>
      <c r="B571" s="148" t="s">
        <v>1600</v>
      </c>
      <c r="C571" s="87" t="s">
        <v>1648</v>
      </c>
      <c r="D571" s="37" t="s">
        <v>1034</v>
      </c>
      <c r="E571" s="37">
        <v>168784.0</v>
      </c>
      <c r="F571" s="87" t="s">
        <v>1034</v>
      </c>
    </row>
    <row r="572">
      <c r="A572" s="147">
        <v>46046.137184259256</v>
      </c>
      <c r="B572" s="148" t="s">
        <v>1649</v>
      </c>
      <c r="C572" s="87" t="s">
        <v>1650</v>
      </c>
      <c r="D572" s="37">
        <v>237900.0</v>
      </c>
      <c r="E572" s="37" t="s">
        <v>1034</v>
      </c>
      <c r="F572" s="87" t="s">
        <v>1034</v>
      </c>
    </row>
    <row r="573">
      <c r="A573" s="147">
        <v>46046.137184259256</v>
      </c>
      <c r="B573" s="148" t="s">
        <v>1651</v>
      </c>
      <c r="C573" s="87" t="s">
        <v>1652</v>
      </c>
      <c r="D573" s="37" t="s">
        <v>1034</v>
      </c>
      <c r="E573" s="37">
        <v>237900.0</v>
      </c>
      <c r="F573" s="87" t="s">
        <v>1034</v>
      </c>
    </row>
    <row r="574">
      <c r="A574" s="147">
        <v>46046.13719425925</v>
      </c>
      <c r="B574" s="148" t="s">
        <v>1564</v>
      </c>
      <c r="C574" s="87" t="s">
        <v>1653</v>
      </c>
      <c r="D574" s="37">
        <v>10837.59</v>
      </c>
      <c r="E574" s="37" t="s">
        <v>1034</v>
      </c>
      <c r="F574" s="87" t="s">
        <v>1034</v>
      </c>
    </row>
    <row r="575">
      <c r="A575" s="147">
        <v>46046.13719425925</v>
      </c>
      <c r="B575" s="148" t="s">
        <v>1654</v>
      </c>
      <c r="C575" s="87" t="s">
        <v>1655</v>
      </c>
      <c r="D575" s="37" t="s">
        <v>1034</v>
      </c>
      <c r="E575" s="37">
        <v>10837.59</v>
      </c>
      <c r="F575" s="87" t="s">
        <v>1034</v>
      </c>
    </row>
    <row r="576">
      <c r="A576" s="147">
        <v>46046.137204259256</v>
      </c>
      <c r="B576" s="148" t="s">
        <v>1374</v>
      </c>
      <c r="C576" s="87" t="s">
        <v>1656</v>
      </c>
      <c r="D576" s="37">
        <v>63000.0</v>
      </c>
      <c r="E576" s="37" t="s">
        <v>1034</v>
      </c>
      <c r="F576" s="87" t="s">
        <v>1034</v>
      </c>
    </row>
    <row r="577">
      <c r="A577" s="147">
        <v>46046.137204259256</v>
      </c>
      <c r="B577" s="148" t="s">
        <v>1657</v>
      </c>
      <c r="C577" s="87" t="s">
        <v>1658</v>
      </c>
      <c r="D577" s="37" t="s">
        <v>1034</v>
      </c>
      <c r="E577" s="37">
        <v>63000.0</v>
      </c>
      <c r="F577" s="87" t="s">
        <v>1034</v>
      </c>
    </row>
    <row r="578">
      <c r="A578" s="147">
        <v>46046.13721425925</v>
      </c>
      <c r="B578" s="148" t="s">
        <v>1562</v>
      </c>
      <c r="C578" s="87" t="s">
        <v>1659</v>
      </c>
      <c r="D578" s="37">
        <v>161532.0</v>
      </c>
      <c r="E578" s="37" t="s">
        <v>1034</v>
      </c>
      <c r="F578" s="87" t="s">
        <v>1034</v>
      </c>
    </row>
    <row r="579">
      <c r="A579" s="147">
        <v>46046.13721425925</v>
      </c>
      <c r="B579" s="148" t="s">
        <v>1660</v>
      </c>
      <c r="C579" s="87" t="s">
        <v>1661</v>
      </c>
      <c r="D579" s="37" t="s">
        <v>1034</v>
      </c>
      <c r="E579" s="37">
        <v>161532.0</v>
      </c>
      <c r="F579" s="87" t="s">
        <v>1034</v>
      </c>
    </row>
    <row r="580">
      <c r="A580" s="147">
        <v>46046.137224259255</v>
      </c>
      <c r="B580" s="148" t="s">
        <v>1165</v>
      </c>
      <c r="C580" s="87" t="s">
        <v>1662</v>
      </c>
      <c r="D580" s="37">
        <v>73028.8</v>
      </c>
      <c r="E580" s="37" t="s">
        <v>1034</v>
      </c>
      <c r="F580" s="87" t="s">
        <v>1034</v>
      </c>
    </row>
    <row r="581">
      <c r="A581" s="147">
        <v>46046.137224259255</v>
      </c>
      <c r="B581" s="148" t="s">
        <v>1663</v>
      </c>
      <c r="C581" s="87" t="s">
        <v>1664</v>
      </c>
      <c r="D581" s="37" t="s">
        <v>1034</v>
      </c>
      <c r="E581" s="37">
        <v>73028.8</v>
      </c>
      <c r="F581" s="87" t="s">
        <v>1034</v>
      </c>
    </row>
    <row r="582">
      <c r="A582" s="147">
        <v>46046.13723425926</v>
      </c>
      <c r="B582" s="148" t="s">
        <v>1665</v>
      </c>
      <c r="C582" s="87" t="s">
        <v>1666</v>
      </c>
      <c r="D582" s="37">
        <v>9124.48</v>
      </c>
      <c r="E582" s="37" t="s">
        <v>1034</v>
      </c>
      <c r="F582" s="87" t="s">
        <v>1034</v>
      </c>
    </row>
    <row r="583">
      <c r="A583" s="147">
        <v>46046.13723425926</v>
      </c>
      <c r="B583" s="148" t="s">
        <v>1667</v>
      </c>
      <c r="C583" s="87" t="s">
        <v>1668</v>
      </c>
      <c r="D583" s="37" t="s">
        <v>1034</v>
      </c>
      <c r="E583" s="37">
        <v>9124.48</v>
      </c>
      <c r="F583" s="87" t="s">
        <v>1034</v>
      </c>
    </row>
    <row r="584">
      <c r="A584" s="147">
        <v>46046.137244259255</v>
      </c>
      <c r="B584" s="148" t="s">
        <v>1669</v>
      </c>
      <c r="C584" s="87" t="s">
        <v>1670</v>
      </c>
      <c r="D584" s="37">
        <v>35799.38</v>
      </c>
      <c r="E584" s="37" t="s">
        <v>1034</v>
      </c>
      <c r="F584" s="87" t="s">
        <v>1034</v>
      </c>
    </row>
    <row r="585">
      <c r="A585" s="147">
        <v>46046.137244259255</v>
      </c>
      <c r="B585" s="148" t="s">
        <v>1671</v>
      </c>
      <c r="C585" s="87" t="s">
        <v>1672</v>
      </c>
      <c r="D585" s="37" t="s">
        <v>1034</v>
      </c>
      <c r="E585" s="37">
        <v>35799.38</v>
      </c>
      <c r="F585" s="87" t="s">
        <v>1034</v>
      </c>
    </row>
    <row r="586">
      <c r="A586" s="147">
        <v>46046.13725425926</v>
      </c>
      <c r="B586" s="148" t="s">
        <v>1673</v>
      </c>
      <c r="C586" s="87" t="s">
        <v>1674</v>
      </c>
      <c r="D586" s="37">
        <v>5082.63</v>
      </c>
      <c r="E586" s="37" t="s">
        <v>1034</v>
      </c>
      <c r="F586" s="87" t="s">
        <v>1034</v>
      </c>
    </row>
    <row r="587">
      <c r="A587" s="147">
        <v>46046.13725425926</v>
      </c>
      <c r="B587" s="148" t="s">
        <v>1675</v>
      </c>
      <c r="C587" s="87" t="s">
        <v>1676</v>
      </c>
      <c r="D587" s="37" t="s">
        <v>1034</v>
      </c>
      <c r="E587" s="37">
        <v>5082.63</v>
      </c>
      <c r="F587" s="87" t="s">
        <v>1034</v>
      </c>
    </row>
    <row r="588">
      <c r="A588" s="147">
        <v>46046.137264259254</v>
      </c>
      <c r="B588" s="148" t="s">
        <v>1147</v>
      </c>
      <c r="C588" s="87" t="s">
        <v>1677</v>
      </c>
      <c r="D588" s="37">
        <v>178433.0</v>
      </c>
      <c r="E588" s="37" t="s">
        <v>1034</v>
      </c>
      <c r="F588" s="87" t="s">
        <v>1034</v>
      </c>
    </row>
    <row r="589">
      <c r="A589" s="147">
        <v>46046.137264259254</v>
      </c>
      <c r="B589" s="148" t="s">
        <v>1678</v>
      </c>
      <c r="C589" s="87" t="s">
        <v>1679</v>
      </c>
      <c r="D589" s="37" t="s">
        <v>1034</v>
      </c>
      <c r="E589" s="37">
        <v>178433.0</v>
      </c>
      <c r="F589" s="87" t="s">
        <v>1034</v>
      </c>
    </row>
    <row r="590">
      <c r="A590" s="147">
        <v>46046.13727425926</v>
      </c>
      <c r="B590" s="148" t="s">
        <v>1680</v>
      </c>
      <c r="C590" s="87" t="s">
        <v>1681</v>
      </c>
      <c r="D590" s="37">
        <v>19805.0</v>
      </c>
      <c r="E590" s="37" t="s">
        <v>1034</v>
      </c>
      <c r="F590" s="87" t="s">
        <v>1034</v>
      </c>
    </row>
    <row r="591">
      <c r="A591" s="147">
        <v>46046.13727425926</v>
      </c>
      <c r="B591" s="148" t="s">
        <v>1682</v>
      </c>
      <c r="C591" s="87" t="s">
        <v>1683</v>
      </c>
      <c r="D591" s="37" t="s">
        <v>1034</v>
      </c>
      <c r="E591" s="37">
        <v>19805.0</v>
      </c>
      <c r="F591" s="87" t="s">
        <v>1034</v>
      </c>
    </row>
    <row r="592">
      <c r="A592" s="147">
        <v>46046.137284259254</v>
      </c>
      <c r="B592" s="148" t="s">
        <v>1684</v>
      </c>
      <c r="C592" s="87" t="s">
        <v>1685</v>
      </c>
      <c r="D592" s="37">
        <v>198727.08</v>
      </c>
      <c r="E592" s="37" t="s">
        <v>1034</v>
      </c>
      <c r="F592" s="87" t="s">
        <v>1034</v>
      </c>
    </row>
    <row r="593">
      <c r="A593" s="147">
        <v>46046.137284259254</v>
      </c>
      <c r="B593" s="148" t="s">
        <v>1686</v>
      </c>
      <c r="C593" s="87" t="s">
        <v>1687</v>
      </c>
      <c r="D593" s="37" t="s">
        <v>1034</v>
      </c>
      <c r="E593" s="37">
        <v>198727.08</v>
      </c>
      <c r="F593" s="87" t="s">
        <v>1034</v>
      </c>
    </row>
    <row r="594">
      <c r="A594" s="147">
        <v>46046.13729425926</v>
      </c>
      <c r="B594" s="148" t="s">
        <v>1688</v>
      </c>
      <c r="C594" s="87" t="s">
        <v>1689</v>
      </c>
      <c r="D594" s="37">
        <v>56763.35</v>
      </c>
      <c r="E594" s="37" t="s">
        <v>1034</v>
      </c>
      <c r="F594" s="87" t="s">
        <v>1034</v>
      </c>
    </row>
    <row r="595">
      <c r="A595" s="147">
        <v>46046.13729425926</v>
      </c>
      <c r="B595" s="148" t="s">
        <v>1690</v>
      </c>
      <c r="C595" s="87" t="s">
        <v>1691</v>
      </c>
      <c r="D595" s="37" t="s">
        <v>1034</v>
      </c>
      <c r="E595" s="37">
        <v>56763.35</v>
      </c>
      <c r="F595" s="87" t="s">
        <v>1034</v>
      </c>
    </row>
    <row r="596">
      <c r="A596" s="147">
        <v>46046.13730425925</v>
      </c>
      <c r="B596" s="148" t="s">
        <v>1135</v>
      </c>
      <c r="C596" s="87" t="s">
        <v>1692</v>
      </c>
      <c r="D596" s="37">
        <v>37450.0</v>
      </c>
      <c r="E596" s="37" t="s">
        <v>1034</v>
      </c>
      <c r="F596" s="87" t="s">
        <v>1034</v>
      </c>
    </row>
    <row r="597">
      <c r="A597" s="147">
        <v>46046.13730425925</v>
      </c>
      <c r="B597" s="148" t="s">
        <v>1693</v>
      </c>
      <c r="C597" s="87" t="s">
        <v>1694</v>
      </c>
      <c r="D597" s="37" t="s">
        <v>1034</v>
      </c>
      <c r="E597" s="37">
        <v>37450.0</v>
      </c>
      <c r="F597" s="87" t="s">
        <v>1034</v>
      </c>
    </row>
    <row r="598">
      <c r="A598" s="147">
        <v>46046.13731425926</v>
      </c>
      <c r="B598" s="148" t="s">
        <v>1695</v>
      </c>
      <c r="C598" s="87" t="s">
        <v>1696</v>
      </c>
      <c r="D598" s="37">
        <v>20791.2</v>
      </c>
      <c r="E598" s="37" t="s">
        <v>1034</v>
      </c>
      <c r="F598" s="87" t="s">
        <v>1034</v>
      </c>
    </row>
    <row r="599">
      <c r="A599" s="147">
        <v>46046.13731425926</v>
      </c>
      <c r="B599" s="148" t="s">
        <v>1697</v>
      </c>
      <c r="C599" s="87" t="s">
        <v>1698</v>
      </c>
      <c r="D599" s="37" t="s">
        <v>1034</v>
      </c>
      <c r="E599" s="37">
        <v>20791.2</v>
      </c>
      <c r="F599" s="87" t="s">
        <v>1034</v>
      </c>
    </row>
    <row r="600">
      <c r="A600" s="147">
        <v>46046.13732425925</v>
      </c>
      <c r="B600" s="148" t="s">
        <v>1606</v>
      </c>
      <c r="C600" s="87" t="s">
        <v>1699</v>
      </c>
      <c r="D600" s="37">
        <v>32621.129999999997</v>
      </c>
      <c r="E600" s="37" t="s">
        <v>1034</v>
      </c>
      <c r="F600" s="87" t="s">
        <v>1034</v>
      </c>
    </row>
    <row r="601">
      <c r="A601" s="147">
        <v>46046.13732425925</v>
      </c>
      <c r="B601" s="148" t="s">
        <v>1608</v>
      </c>
      <c r="C601" s="87" t="s">
        <v>1700</v>
      </c>
      <c r="D601" s="37" t="s">
        <v>1034</v>
      </c>
      <c r="E601" s="37">
        <v>32621.129999999997</v>
      </c>
      <c r="F601" s="87" t="s">
        <v>1034</v>
      </c>
    </row>
    <row r="602">
      <c r="A602" s="147">
        <v>46047.37119333333</v>
      </c>
      <c r="B602" s="148" t="s">
        <v>1241</v>
      </c>
      <c r="C602" s="87" t="s">
        <v>1701</v>
      </c>
      <c r="D602" s="37">
        <v>117000.0</v>
      </c>
      <c r="E602" s="37" t="s">
        <v>1034</v>
      </c>
      <c r="F602" s="87" t="s">
        <v>316</v>
      </c>
    </row>
    <row r="603">
      <c r="A603" s="147">
        <v>46047.37119333333</v>
      </c>
      <c r="B603" s="148" t="s">
        <v>1702</v>
      </c>
      <c r="C603" s="87" t="s">
        <v>1631</v>
      </c>
      <c r="D603" s="37" t="s">
        <v>1034</v>
      </c>
      <c r="E603" s="37">
        <v>117000.0</v>
      </c>
      <c r="F603" s="87" t="s">
        <v>316</v>
      </c>
    </row>
    <row r="604">
      <c r="A604" s="147">
        <v>46047.59826666667</v>
      </c>
      <c r="B604" s="148" t="s">
        <v>1427</v>
      </c>
      <c r="C604" s="87" t="s">
        <v>1703</v>
      </c>
      <c r="D604" s="37">
        <v>24620.0</v>
      </c>
      <c r="E604" s="37" t="s">
        <v>1034</v>
      </c>
      <c r="F604" s="87" t="s">
        <v>314</v>
      </c>
    </row>
    <row r="605">
      <c r="A605" s="147">
        <v>46047.59826666667</v>
      </c>
      <c r="B605" s="148" t="s">
        <v>1702</v>
      </c>
      <c r="C605" s="87" t="s">
        <v>1587</v>
      </c>
      <c r="D605" s="37" t="s">
        <v>1034</v>
      </c>
      <c r="E605" s="37">
        <v>24620.0</v>
      </c>
      <c r="F605" s="87" t="s">
        <v>314</v>
      </c>
    </row>
    <row r="606">
      <c r="A606" s="147">
        <v>46047.99550888889</v>
      </c>
      <c r="B606" s="148" t="s">
        <v>1586</v>
      </c>
      <c r="C606" s="87" t="s">
        <v>1704</v>
      </c>
      <c r="D606" s="37">
        <v>183270.0</v>
      </c>
      <c r="E606" s="37" t="s">
        <v>1034</v>
      </c>
      <c r="F606" s="87" t="s">
        <v>318</v>
      </c>
    </row>
    <row r="607">
      <c r="A607" s="147">
        <v>46047.99550888889</v>
      </c>
      <c r="B607" s="148" t="s">
        <v>1035</v>
      </c>
      <c r="C607" s="87" t="s">
        <v>1705</v>
      </c>
      <c r="D607" s="37" t="s">
        <v>1034</v>
      </c>
      <c r="E607" s="37">
        <v>183270.0</v>
      </c>
      <c r="F607" s="87" t="s">
        <v>318</v>
      </c>
    </row>
    <row r="608">
      <c r="A608" s="147">
        <v>46048.58615111111</v>
      </c>
      <c r="B608" s="148" t="s">
        <v>1007</v>
      </c>
      <c r="C608" s="87" t="s">
        <v>1706</v>
      </c>
      <c r="D608" s="37">
        <v>92100.0</v>
      </c>
      <c r="E608" s="37" t="s">
        <v>1034</v>
      </c>
      <c r="F608" s="87" t="s">
        <v>1008</v>
      </c>
    </row>
    <row r="609">
      <c r="A609" s="147">
        <v>46048.58615111111</v>
      </c>
      <c r="B609" s="148" t="s">
        <v>1035</v>
      </c>
      <c r="C609" s="87" t="s">
        <v>1707</v>
      </c>
      <c r="D609" s="37" t="s">
        <v>1034</v>
      </c>
      <c r="E609" s="37">
        <v>92100.0</v>
      </c>
      <c r="F609" s="87" t="s">
        <v>1008</v>
      </c>
    </row>
    <row r="610">
      <c r="A610" s="147">
        <v>46050.48300888889</v>
      </c>
      <c r="B610" s="148" t="s">
        <v>1183</v>
      </c>
      <c r="C610" s="87" t="s">
        <v>1708</v>
      </c>
      <c r="D610" s="37">
        <v>183270.0</v>
      </c>
      <c r="E610" s="37" t="s">
        <v>1034</v>
      </c>
      <c r="F610" s="87" t="s">
        <v>318</v>
      </c>
    </row>
    <row r="611">
      <c r="A611" s="147">
        <v>46050.48300888889</v>
      </c>
      <c r="B611" s="148" t="s">
        <v>1702</v>
      </c>
      <c r="C611" s="87" t="s">
        <v>1704</v>
      </c>
      <c r="D611" s="37" t="s">
        <v>1034</v>
      </c>
      <c r="E611" s="37">
        <v>183270.0</v>
      </c>
      <c r="F611" s="87" t="s">
        <v>318</v>
      </c>
    </row>
    <row r="612">
      <c r="A612" s="147">
        <v>46052.48459296296</v>
      </c>
      <c r="B612" s="148" t="s">
        <v>1378</v>
      </c>
      <c r="C612" s="87" t="s">
        <v>1709</v>
      </c>
      <c r="D612" s="37">
        <v>7128914.636882661</v>
      </c>
      <c r="E612" s="37" t="s">
        <v>1034</v>
      </c>
      <c r="F612" s="87" t="s">
        <v>321</v>
      </c>
    </row>
    <row r="613">
      <c r="A613" s="147">
        <v>46052.48459296296</v>
      </c>
      <c r="B613" s="148" t="s">
        <v>1035</v>
      </c>
      <c r="C613" s="87" t="s">
        <v>1710</v>
      </c>
      <c r="D613" s="37" t="s">
        <v>1034</v>
      </c>
      <c r="E613" s="37">
        <v>7128914.636882661</v>
      </c>
      <c r="F613" s="87" t="s">
        <v>321</v>
      </c>
    </row>
    <row r="614">
      <c r="A614" s="147">
        <v>46052.48461453704</v>
      </c>
      <c r="B614" s="148" t="s">
        <v>1378</v>
      </c>
      <c r="C614" s="87" t="s">
        <v>1711</v>
      </c>
      <c r="D614" s="37">
        <v>3551007.050467227</v>
      </c>
      <c r="E614" s="37" t="s">
        <v>1034</v>
      </c>
      <c r="F614" s="87" t="s">
        <v>322</v>
      </c>
    </row>
    <row r="615">
      <c r="A615" s="147">
        <v>46052.48461453704</v>
      </c>
      <c r="B615" s="148" t="s">
        <v>1035</v>
      </c>
      <c r="C615" s="87" t="s">
        <v>1712</v>
      </c>
      <c r="D615" s="37" t="s">
        <v>1034</v>
      </c>
      <c r="E615" s="37">
        <v>3551007.050467227</v>
      </c>
      <c r="F615" s="87" t="s">
        <v>322</v>
      </c>
    </row>
    <row r="616">
      <c r="A616" s="147">
        <v>46052.484636111105</v>
      </c>
      <c r="B616" s="148" t="s">
        <v>1378</v>
      </c>
      <c r="C616" s="87" t="s">
        <v>1713</v>
      </c>
      <c r="D616" s="37">
        <v>8877517.626168067</v>
      </c>
      <c r="E616" s="37" t="s">
        <v>1034</v>
      </c>
      <c r="F616" s="87" t="s">
        <v>322</v>
      </c>
    </row>
    <row r="617">
      <c r="A617" s="147">
        <v>46052.484636111105</v>
      </c>
      <c r="B617" s="148" t="s">
        <v>1035</v>
      </c>
      <c r="C617" s="87" t="s">
        <v>1714</v>
      </c>
      <c r="D617" s="37" t="s">
        <v>1034</v>
      </c>
      <c r="E617" s="37">
        <v>8877517.626168067</v>
      </c>
      <c r="F617" s="87" t="s">
        <v>322</v>
      </c>
    </row>
    <row r="618">
      <c r="A618" s="147">
        <v>46052.484657685185</v>
      </c>
      <c r="B618" s="148" t="s">
        <v>1378</v>
      </c>
      <c r="C618" s="87" t="s">
        <v>1715</v>
      </c>
      <c r="D618" s="37">
        <v>1.7755035252336133E7</v>
      </c>
      <c r="E618" s="37" t="s">
        <v>1034</v>
      </c>
      <c r="F618" s="87" t="s">
        <v>322</v>
      </c>
    </row>
    <row r="619">
      <c r="A619" s="147">
        <v>46052.484657685185</v>
      </c>
      <c r="B619" s="148" t="s">
        <v>1035</v>
      </c>
      <c r="C619" s="87" t="s">
        <v>1716</v>
      </c>
      <c r="D619" s="37" t="s">
        <v>1034</v>
      </c>
      <c r="E619" s="37">
        <v>1.7755035252336133E7</v>
      </c>
      <c r="F619" s="87" t="s">
        <v>322</v>
      </c>
    </row>
    <row r="620">
      <c r="A620" s="147">
        <v>46052.48467925926</v>
      </c>
      <c r="B620" s="148" t="s">
        <v>1378</v>
      </c>
      <c r="C620" s="87" t="s">
        <v>1717</v>
      </c>
      <c r="D620" s="37">
        <v>3551007.050467227</v>
      </c>
      <c r="E620" s="37" t="s">
        <v>1034</v>
      </c>
      <c r="F620" s="87" t="s">
        <v>322</v>
      </c>
    </row>
    <row r="621">
      <c r="A621" s="147">
        <v>46052.48467925926</v>
      </c>
      <c r="B621" s="148" t="s">
        <v>1035</v>
      </c>
      <c r="C621" s="87" t="s">
        <v>1718</v>
      </c>
      <c r="D621" s="37" t="s">
        <v>1034</v>
      </c>
      <c r="E621" s="37">
        <v>3551007.050467227</v>
      </c>
      <c r="F621" s="87" t="s">
        <v>322</v>
      </c>
    </row>
    <row r="622">
      <c r="A622" s="147">
        <v>46052.48470083333</v>
      </c>
      <c r="B622" s="148" t="s">
        <v>1378</v>
      </c>
      <c r="C622" s="87" t="s">
        <v>1719</v>
      </c>
      <c r="D622" s="37">
        <v>5859980.7118617</v>
      </c>
      <c r="E622" s="37" t="s">
        <v>1034</v>
      </c>
      <c r="F622" s="87" t="s">
        <v>324</v>
      </c>
    </row>
    <row r="623">
      <c r="A623" s="147">
        <v>46052.48470083333</v>
      </c>
      <c r="B623" s="148" t="s">
        <v>1035</v>
      </c>
      <c r="C623" s="87" t="s">
        <v>1720</v>
      </c>
      <c r="D623" s="37" t="s">
        <v>1034</v>
      </c>
      <c r="E623" s="37">
        <v>5859980.7118617</v>
      </c>
      <c r="F623" s="87" t="s">
        <v>324</v>
      </c>
    </row>
    <row r="624">
      <c r="A624" s="147">
        <v>46052.48472240741</v>
      </c>
      <c r="B624" s="148" t="s">
        <v>1378</v>
      </c>
      <c r="C624" s="87" t="s">
        <v>1721</v>
      </c>
      <c r="D624" s="37">
        <v>3167129.671816984</v>
      </c>
      <c r="E624" s="37" t="s">
        <v>1034</v>
      </c>
      <c r="F624" s="87" t="s">
        <v>325</v>
      </c>
    </row>
    <row r="625">
      <c r="A625" s="147">
        <v>46052.48472240741</v>
      </c>
      <c r="B625" s="148" t="s">
        <v>1035</v>
      </c>
      <c r="C625" s="87" t="s">
        <v>1722</v>
      </c>
      <c r="D625" s="37" t="s">
        <v>1034</v>
      </c>
      <c r="E625" s="37">
        <v>3167129.671816984</v>
      </c>
      <c r="F625" s="87" t="s">
        <v>325</v>
      </c>
    </row>
    <row r="626">
      <c r="A626" s="147">
        <v>46054.20531111111</v>
      </c>
      <c r="B626" s="148" t="s">
        <v>1586</v>
      </c>
      <c r="C626" s="87" t="s">
        <v>1723</v>
      </c>
      <c r="D626" s="37">
        <v>17250.0</v>
      </c>
      <c r="E626" s="37" t="s">
        <v>1034</v>
      </c>
      <c r="F626" s="87" t="s">
        <v>327</v>
      </c>
    </row>
    <row r="627">
      <c r="A627" s="147">
        <v>46054.20531111111</v>
      </c>
      <c r="B627" s="148" t="s">
        <v>1035</v>
      </c>
      <c r="C627" s="87" t="s">
        <v>1724</v>
      </c>
      <c r="D627" s="37" t="s">
        <v>1034</v>
      </c>
      <c r="E627" s="37">
        <v>17250.0</v>
      </c>
      <c r="F627" s="87" t="s">
        <v>327</v>
      </c>
    </row>
    <row r="628">
      <c r="A628" s="147">
        <v>46054.21643222222</v>
      </c>
      <c r="B628" s="148" t="s">
        <v>1586</v>
      </c>
      <c r="C628" s="87" t="s">
        <v>1725</v>
      </c>
      <c r="D628" s="37">
        <v>1134775.0</v>
      </c>
      <c r="E628" s="37" t="s">
        <v>1034</v>
      </c>
      <c r="F628" s="87" t="s">
        <v>328</v>
      </c>
    </row>
    <row r="629">
      <c r="A629" s="147">
        <v>46054.21643222222</v>
      </c>
      <c r="B629" s="148" t="s">
        <v>1035</v>
      </c>
      <c r="C629" s="87" t="s">
        <v>1726</v>
      </c>
      <c r="D629" s="37" t="s">
        <v>1034</v>
      </c>
      <c r="E629" s="37">
        <v>1134775.0</v>
      </c>
      <c r="F629" s="87" t="s">
        <v>328</v>
      </c>
    </row>
    <row r="630">
      <c r="A630" s="147">
        <v>46059.84074777778</v>
      </c>
      <c r="B630" s="148" t="s">
        <v>1586</v>
      </c>
      <c r="C630" s="87" t="s">
        <v>1727</v>
      </c>
      <c r="D630" s="37">
        <v>204536.0</v>
      </c>
      <c r="E630" s="37" t="s">
        <v>1034</v>
      </c>
      <c r="F630" s="87" t="s">
        <v>330</v>
      </c>
    </row>
    <row r="631">
      <c r="A631" s="147">
        <v>46059.84074777778</v>
      </c>
      <c r="B631" s="148" t="s">
        <v>1035</v>
      </c>
      <c r="C631" s="87" t="s">
        <v>1728</v>
      </c>
      <c r="D631" s="37" t="s">
        <v>1034</v>
      </c>
      <c r="E631" s="37">
        <v>204536.0</v>
      </c>
      <c r="F631" s="87" t="s">
        <v>330</v>
      </c>
    </row>
    <row r="632">
      <c r="A632" s="147">
        <v>46060.48171</v>
      </c>
      <c r="B632" s="148" t="s">
        <v>1254</v>
      </c>
      <c r="C632" s="87" t="s">
        <v>1729</v>
      </c>
      <c r="D632" s="37">
        <v>1134775.0</v>
      </c>
      <c r="E632" s="37" t="s">
        <v>1034</v>
      </c>
      <c r="F632" s="87" t="s">
        <v>328</v>
      </c>
    </row>
    <row r="633">
      <c r="A633" s="147">
        <v>46060.48171</v>
      </c>
      <c r="B633" s="148" t="s">
        <v>1702</v>
      </c>
      <c r="C633" s="87" t="s">
        <v>1725</v>
      </c>
      <c r="D633" s="37" t="s">
        <v>1034</v>
      </c>
      <c r="E633" s="37">
        <v>1134775.0</v>
      </c>
      <c r="F633" s="87" t="s">
        <v>328</v>
      </c>
    </row>
    <row r="634">
      <c r="A634" s="147">
        <v>46060.507394444445</v>
      </c>
      <c r="B634" s="148" t="s">
        <v>1354</v>
      </c>
      <c r="C634" s="87" t="s">
        <v>1730</v>
      </c>
      <c r="D634" s="37">
        <v>17250.0</v>
      </c>
      <c r="E634" s="37" t="s">
        <v>1034</v>
      </c>
      <c r="F634" s="87" t="s">
        <v>327</v>
      </c>
    </row>
    <row r="635">
      <c r="A635" s="147">
        <v>46060.507394444445</v>
      </c>
      <c r="B635" s="148" t="s">
        <v>1702</v>
      </c>
      <c r="C635" s="87" t="s">
        <v>1723</v>
      </c>
      <c r="D635" s="37" t="s">
        <v>1034</v>
      </c>
      <c r="E635" s="37">
        <v>17250.0</v>
      </c>
      <c r="F635" s="87" t="s">
        <v>327</v>
      </c>
    </row>
    <row r="636">
      <c r="A636" s="147">
        <v>46061.835202222224</v>
      </c>
      <c r="B636" s="148" t="s">
        <v>1586</v>
      </c>
      <c r="C636" s="87" t="s">
        <v>1731</v>
      </c>
      <c r="D636" s="37">
        <v>205507.0</v>
      </c>
      <c r="E636" s="37" t="s">
        <v>1034</v>
      </c>
      <c r="F636" s="87" t="s">
        <v>331</v>
      </c>
    </row>
    <row r="637">
      <c r="A637" s="147">
        <v>46061.835202222224</v>
      </c>
      <c r="B637" s="148" t="s">
        <v>1035</v>
      </c>
      <c r="C637" s="87" t="s">
        <v>1732</v>
      </c>
      <c r="D637" s="37" t="s">
        <v>1034</v>
      </c>
      <c r="E637" s="37">
        <v>205507.0</v>
      </c>
      <c r="F637" s="87" t="s">
        <v>331</v>
      </c>
    </row>
    <row r="638">
      <c r="A638" s="147">
        <v>46061.83799</v>
      </c>
      <c r="B638" s="148" t="s">
        <v>1586</v>
      </c>
      <c r="C638" s="87" t="s">
        <v>1733</v>
      </c>
      <c r="D638" s="37">
        <v>205903.0</v>
      </c>
      <c r="E638" s="37" t="s">
        <v>1034</v>
      </c>
      <c r="F638" s="87" t="s">
        <v>333</v>
      </c>
    </row>
    <row r="639">
      <c r="A639" s="147">
        <v>46061.83799</v>
      </c>
      <c r="B639" s="148" t="s">
        <v>1035</v>
      </c>
      <c r="C639" s="87" t="s">
        <v>1734</v>
      </c>
      <c r="D639" s="37" t="s">
        <v>1034</v>
      </c>
      <c r="E639" s="37">
        <v>205903.0</v>
      </c>
      <c r="F639" s="87" t="s">
        <v>333</v>
      </c>
    </row>
    <row r="640">
      <c r="A640" s="147">
        <v>46062.61435888889</v>
      </c>
      <c r="B640" s="148" t="s">
        <v>1417</v>
      </c>
      <c r="C640" s="87" t="s">
        <v>1735</v>
      </c>
      <c r="D640" s="37">
        <v>204536.0</v>
      </c>
      <c r="E640" s="37" t="s">
        <v>1034</v>
      </c>
      <c r="F640" s="87" t="s">
        <v>330</v>
      </c>
    </row>
    <row r="641">
      <c r="A641" s="147">
        <v>46062.61435888889</v>
      </c>
      <c r="B641" s="148" t="s">
        <v>1702</v>
      </c>
      <c r="C641" s="87" t="s">
        <v>1727</v>
      </c>
      <c r="D641" s="37" t="s">
        <v>1034</v>
      </c>
      <c r="E641" s="37">
        <v>204536.0</v>
      </c>
      <c r="F641" s="87" t="s">
        <v>330</v>
      </c>
    </row>
    <row r="642">
      <c r="A642" s="147">
        <v>46063.83591666667</v>
      </c>
      <c r="B642" s="148" t="s">
        <v>1586</v>
      </c>
      <c r="C642" s="87" t="s">
        <v>1736</v>
      </c>
      <c r="D642" s="37">
        <v>200721.0</v>
      </c>
      <c r="E642" s="37" t="s">
        <v>1034</v>
      </c>
      <c r="F642" s="87" t="s">
        <v>334</v>
      </c>
    </row>
    <row r="643">
      <c r="A643" s="147">
        <v>46063.83591666667</v>
      </c>
      <c r="B643" s="148" t="s">
        <v>1035</v>
      </c>
      <c r="C643" s="87" t="s">
        <v>1737</v>
      </c>
      <c r="D643" s="37" t="s">
        <v>1034</v>
      </c>
      <c r="E643" s="37">
        <v>200721.0</v>
      </c>
      <c r="F643" s="87" t="s">
        <v>334</v>
      </c>
    </row>
    <row r="644">
      <c r="A644" s="147">
        <v>46064.58867444444</v>
      </c>
      <c r="B644" s="148" t="s">
        <v>1489</v>
      </c>
      <c r="C644" s="87" t="s">
        <v>1738</v>
      </c>
      <c r="D644" s="37">
        <v>205507.0</v>
      </c>
      <c r="E644" s="37" t="s">
        <v>1034</v>
      </c>
      <c r="F644" s="87" t="s">
        <v>331</v>
      </c>
    </row>
    <row r="645">
      <c r="A645" s="147">
        <v>46064.58867444444</v>
      </c>
      <c r="B645" s="148" t="s">
        <v>1702</v>
      </c>
      <c r="C645" s="87" t="s">
        <v>1731</v>
      </c>
      <c r="D645" s="37" t="s">
        <v>1034</v>
      </c>
      <c r="E645" s="37">
        <v>205507.0</v>
      </c>
      <c r="F645" s="87" t="s">
        <v>331</v>
      </c>
    </row>
    <row r="646">
      <c r="A646" s="147">
        <v>46064.867871111106</v>
      </c>
      <c r="B646" s="148" t="s">
        <v>1586</v>
      </c>
      <c r="C646" s="87" t="s">
        <v>1739</v>
      </c>
      <c r="D646" s="37">
        <v>119700.0</v>
      </c>
      <c r="E646" s="37" t="s">
        <v>1034</v>
      </c>
      <c r="F646" s="87" t="s">
        <v>335</v>
      </c>
    </row>
    <row r="647">
      <c r="A647" s="147">
        <v>46064.867871111106</v>
      </c>
      <c r="B647" s="148" t="s">
        <v>1035</v>
      </c>
      <c r="C647" s="87" t="s">
        <v>1740</v>
      </c>
      <c r="D647" s="37" t="s">
        <v>1034</v>
      </c>
      <c r="E647" s="37">
        <v>119700.0</v>
      </c>
      <c r="F647" s="87" t="s">
        <v>335</v>
      </c>
    </row>
    <row r="648">
      <c r="A648" s="147">
        <v>46065.319934444444</v>
      </c>
      <c r="B648" s="148" t="s">
        <v>1560</v>
      </c>
      <c r="C648" s="87" t="s">
        <v>1741</v>
      </c>
      <c r="D648" s="37">
        <v>205903.0</v>
      </c>
      <c r="E648" s="37" t="s">
        <v>1034</v>
      </c>
      <c r="F648" s="87" t="s">
        <v>333</v>
      </c>
    </row>
    <row r="649">
      <c r="A649" s="147">
        <v>46065.319934444444</v>
      </c>
      <c r="B649" s="148" t="s">
        <v>1702</v>
      </c>
      <c r="C649" s="87" t="s">
        <v>1733</v>
      </c>
      <c r="D649" s="37" t="s">
        <v>1034</v>
      </c>
      <c r="E649" s="37">
        <v>205903.0</v>
      </c>
      <c r="F649" s="87" t="s">
        <v>333</v>
      </c>
    </row>
    <row r="650">
      <c r="A650" s="147">
        <v>46065.789388888894</v>
      </c>
      <c r="B650" s="148" t="s">
        <v>1421</v>
      </c>
      <c r="C650" s="87" t="s">
        <v>1742</v>
      </c>
      <c r="D650" s="37">
        <v>200721.0</v>
      </c>
      <c r="E650" s="37" t="s">
        <v>1034</v>
      </c>
      <c r="F650" s="87" t="s">
        <v>334</v>
      </c>
    </row>
    <row r="651">
      <c r="A651" s="147">
        <v>46065.789388888894</v>
      </c>
      <c r="B651" s="148" t="s">
        <v>1702</v>
      </c>
      <c r="C651" s="87" t="s">
        <v>1736</v>
      </c>
      <c r="D651" s="37" t="s">
        <v>1034</v>
      </c>
      <c r="E651" s="37">
        <v>200721.0</v>
      </c>
      <c r="F651" s="87" t="s">
        <v>334</v>
      </c>
    </row>
    <row r="652">
      <c r="A652" s="147">
        <v>46065.83524222222</v>
      </c>
      <c r="B652" s="148" t="s">
        <v>1586</v>
      </c>
      <c r="C652" s="87" t="s">
        <v>1743</v>
      </c>
      <c r="D652" s="37">
        <v>32401.98246958683</v>
      </c>
      <c r="E652" s="37" t="s">
        <v>1034</v>
      </c>
      <c r="F652" s="87" t="s">
        <v>336</v>
      </c>
    </row>
    <row r="653">
      <c r="A653" s="147">
        <v>46065.83524222222</v>
      </c>
      <c r="B653" s="148" t="s">
        <v>1035</v>
      </c>
      <c r="C653" s="87" t="s">
        <v>1744</v>
      </c>
      <c r="D653" s="37" t="s">
        <v>1034</v>
      </c>
      <c r="E653" s="37">
        <v>32401.98246958683</v>
      </c>
      <c r="F653" s="87" t="s">
        <v>336</v>
      </c>
    </row>
    <row r="654">
      <c r="A654" s="147">
        <v>46065.83525222222</v>
      </c>
      <c r="B654" s="148" t="s">
        <v>1586</v>
      </c>
      <c r="C654" s="87" t="s">
        <v>1745</v>
      </c>
      <c r="D654" s="37">
        <v>168534.01753041317</v>
      </c>
      <c r="E654" s="37" t="s">
        <v>1034</v>
      </c>
      <c r="F654" s="87" t="s">
        <v>336</v>
      </c>
    </row>
    <row r="655">
      <c r="A655" s="147">
        <v>46065.83525222222</v>
      </c>
      <c r="B655" s="148" t="s">
        <v>1035</v>
      </c>
      <c r="C655" s="87" t="s">
        <v>1746</v>
      </c>
      <c r="D655" s="37" t="s">
        <v>1034</v>
      </c>
      <c r="E655" s="37">
        <v>168534.01753041317</v>
      </c>
      <c r="F655" s="87" t="s">
        <v>336</v>
      </c>
    </row>
    <row r="656">
      <c r="A656" s="147">
        <v>46065.837345555556</v>
      </c>
      <c r="B656" s="148" t="s">
        <v>1586</v>
      </c>
      <c r="C656" s="87" t="s">
        <v>1747</v>
      </c>
      <c r="D656" s="37">
        <v>205675.0</v>
      </c>
      <c r="E656" s="37" t="s">
        <v>1034</v>
      </c>
      <c r="F656" s="87" t="s">
        <v>338</v>
      </c>
    </row>
    <row r="657">
      <c r="A657" s="147">
        <v>46065.837345555556</v>
      </c>
      <c r="B657" s="148" t="s">
        <v>1035</v>
      </c>
      <c r="C657" s="87" t="s">
        <v>1748</v>
      </c>
      <c r="D657" s="37" t="s">
        <v>1034</v>
      </c>
      <c r="E657" s="37">
        <v>205675.0</v>
      </c>
      <c r="F657" s="87" t="s">
        <v>338</v>
      </c>
    </row>
    <row r="658">
      <c r="A658" s="147">
        <v>46067.50606555556</v>
      </c>
      <c r="B658" s="148" t="s">
        <v>1338</v>
      </c>
      <c r="C658" s="87" t="s">
        <v>1749</v>
      </c>
      <c r="D658" s="37">
        <v>119700.0</v>
      </c>
      <c r="E658" s="37" t="s">
        <v>1034</v>
      </c>
      <c r="F658" s="87" t="s">
        <v>335</v>
      </c>
    </row>
    <row r="659">
      <c r="A659" s="147">
        <v>46067.50606555556</v>
      </c>
      <c r="B659" s="148" t="s">
        <v>1702</v>
      </c>
      <c r="C659" s="87" t="s">
        <v>1739</v>
      </c>
      <c r="D659" s="37" t="s">
        <v>1034</v>
      </c>
      <c r="E659" s="37">
        <v>119700.0</v>
      </c>
      <c r="F659" s="87" t="s">
        <v>335</v>
      </c>
    </row>
    <row r="660">
      <c r="A660" s="147">
        <v>46067.52623444444</v>
      </c>
      <c r="B660" s="148" t="s">
        <v>1487</v>
      </c>
      <c r="C660" s="87" t="s">
        <v>1750</v>
      </c>
      <c r="D660" s="37">
        <v>205675.0</v>
      </c>
      <c r="E660" s="37" t="s">
        <v>1034</v>
      </c>
      <c r="F660" s="87" t="s">
        <v>338</v>
      </c>
    </row>
    <row r="661">
      <c r="A661" s="147">
        <v>46067.52623444444</v>
      </c>
      <c r="B661" s="148" t="s">
        <v>1702</v>
      </c>
      <c r="C661" s="87" t="s">
        <v>1747</v>
      </c>
      <c r="D661" s="37" t="s">
        <v>1034</v>
      </c>
      <c r="E661" s="37">
        <v>205675.0</v>
      </c>
      <c r="F661" s="87" t="s">
        <v>338</v>
      </c>
    </row>
    <row r="662">
      <c r="A662" s="147">
        <v>46067.63802</v>
      </c>
      <c r="B662" s="148" t="s">
        <v>1246</v>
      </c>
      <c r="C662" s="87" t="s">
        <v>1751</v>
      </c>
      <c r="D662" s="37">
        <v>32401.98246958683</v>
      </c>
      <c r="E662" s="37" t="s">
        <v>1034</v>
      </c>
      <c r="F662" s="87" t="s">
        <v>336</v>
      </c>
    </row>
    <row r="663">
      <c r="A663" s="147">
        <v>46067.63802</v>
      </c>
      <c r="B663" s="148" t="s">
        <v>1702</v>
      </c>
      <c r="C663" s="87" t="s">
        <v>1743</v>
      </c>
      <c r="D663" s="37" t="s">
        <v>1034</v>
      </c>
      <c r="E663" s="37">
        <v>32401.98246958683</v>
      </c>
      <c r="F663" s="87" t="s">
        <v>336</v>
      </c>
    </row>
    <row r="664">
      <c r="A664" s="147">
        <v>46067.638029999995</v>
      </c>
      <c r="B664" s="148" t="s">
        <v>1197</v>
      </c>
      <c r="C664" s="87" t="s">
        <v>1752</v>
      </c>
      <c r="D664" s="37">
        <v>168534.01753041317</v>
      </c>
      <c r="E664" s="37" t="s">
        <v>1034</v>
      </c>
      <c r="F664" s="87" t="s">
        <v>336</v>
      </c>
    </row>
    <row r="665">
      <c r="A665" s="147">
        <v>46067.638029999995</v>
      </c>
      <c r="B665" s="148" t="s">
        <v>1702</v>
      </c>
      <c r="C665" s="87" t="s">
        <v>1745</v>
      </c>
      <c r="D665" s="37" t="s">
        <v>1034</v>
      </c>
      <c r="E665" s="37">
        <v>168534.01753041317</v>
      </c>
      <c r="F665" s="87" t="s">
        <v>336</v>
      </c>
    </row>
    <row r="666">
      <c r="A666" s="147">
        <v>46068.023466666666</v>
      </c>
      <c r="B666" s="148" t="s">
        <v>1586</v>
      </c>
      <c r="C666" s="87" t="s">
        <v>1753</v>
      </c>
      <c r="D666" s="37">
        <v>32200.0</v>
      </c>
      <c r="E666" s="37" t="s">
        <v>1034</v>
      </c>
      <c r="F666" s="87" t="s">
        <v>339</v>
      </c>
    </row>
    <row r="667">
      <c r="A667" s="147">
        <v>46068.023466666666</v>
      </c>
      <c r="B667" s="148" t="s">
        <v>1035</v>
      </c>
      <c r="C667" s="87" t="s">
        <v>1754</v>
      </c>
      <c r="D667" s="37" t="s">
        <v>1034</v>
      </c>
      <c r="E667" s="37">
        <v>32200.0</v>
      </c>
      <c r="F667" s="87" t="s">
        <v>339</v>
      </c>
    </row>
    <row r="668">
      <c r="A668" s="147">
        <v>46068.02417111111</v>
      </c>
      <c r="B668" s="148" t="s">
        <v>1586</v>
      </c>
      <c r="C668" s="87" t="s">
        <v>1755</v>
      </c>
      <c r="D668" s="37">
        <v>20100.0</v>
      </c>
      <c r="E668" s="37" t="s">
        <v>1034</v>
      </c>
      <c r="F668" s="87" t="s">
        <v>340</v>
      </c>
    </row>
    <row r="669">
      <c r="A669" s="147">
        <v>46068.02417111111</v>
      </c>
      <c r="B669" s="148" t="s">
        <v>1035</v>
      </c>
      <c r="C669" s="87" t="s">
        <v>1756</v>
      </c>
      <c r="D669" s="37" t="s">
        <v>1034</v>
      </c>
      <c r="E669" s="37">
        <v>20100.0</v>
      </c>
      <c r="F669" s="87" t="s">
        <v>340</v>
      </c>
    </row>
    <row r="670">
      <c r="A670" s="147">
        <v>46068.02904222222</v>
      </c>
      <c r="B670" s="148" t="s">
        <v>1586</v>
      </c>
      <c r="C670" s="87" t="s">
        <v>1757</v>
      </c>
      <c r="D670" s="37">
        <v>16744.0</v>
      </c>
      <c r="E670" s="37" t="s">
        <v>1034</v>
      </c>
      <c r="F670" s="87" t="s">
        <v>341</v>
      </c>
    </row>
    <row r="671">
      <c r="A671" s="147">
        <v>46068.02904222222</v>
      </c>
      <c r="B671" s="148" t="s">
        <v>1035</v>
      </c>
      <c r="C671" s="87" t="s">
        <v>1758</v>
      </c>
      <c r="D671" s="37" t="s">
        <v>1034</v>
      </c>
      <c r="E671" s="37">
        <v>16744.0</v>
      </c>
      <c r="F671" s="87" t="s">
        <v>341</v>
      </c>
    </row>
    <row r="672">
      <c r="A672" s="147">
        <v>46068.02974666667</v>
      </c>
      <c r="B672" s="148" t="s">
        <v>1586</v>
      </c>
      <c r="C672" s="87" t="s">
        <v>1759</v>
      </c>
      <c r="D672" s="37">
        <v>16340.0</v>
      </c>
      <c r="E672" s="37" t="s">
        <v>1034</v>
      </c>
      <c r="F672" s="87" t="s">
        <v>342</v>
      </c>
    </row>
    <row r="673">
      <c r="A673" s="147">
        <v>46068.02974666667</v>
      </c>
      <c r="B673" s="148" t="s">
        <v>1035</v>
      </c>
      <c r="C673" s="87" t="s">
        <v>1760</v>
      </c>
      <c r="D673" s="37" t="s">
        <v>1034</v>
      </c>
      <c r="E673" s="37">
        <v>16340.0</v>
      </c>
      <c r="F673" s="87" t="s">
        <v>342</v>
      </c>
    </row>
    <row r="674">
      <c r="A674" s="147">
        <v>46068.04225666667</v>
      </c>
      <c r="B674" s="148" t="s">
        <v>1586</v>
      </c>
      <c r="C674" s="87" t="s">
        <v>1761</v>
      </c>
      <c r="D674" s="37">
        <v>395444.0</v>
      </c>
      <c r="E674" s="37" t="s">
        <v>1034</v>
      </c>
      <c r="F674" s="87" t="s">
        <v>344</v>
      </c>
    </row>
    <row r="675">
      <c r="A675" s="147">
        <v>46068.04225666667</v>
      </c>
      <c r="B675" s="148" t="s">
        <v>1035</v>
      </c>
      <c r="C675" s="87" t="s">
        <v>1762</v>
      </c>
      <c r="D675" s="37" t="s">
        <v>1034</v>
      </c>
      <c r="E675" s="37">
        <v>395444.0</v>
      </c>
      <c r="F675" s="87" t="s">
        <v>344</v>
      </c>
    </row>
    <row r="676">
      <c r="A676" s="147">
        <v>46068.04226666666</v>
      </c>
      <c r="B676" s="148" t="s">
        <v>1586</v>
      </c>
      <c r="C676" s="87" t="s">
        <v>1763</v>
      </c>
      <c r="D676" s="37">
        <v>740712.0</v>
      </c>
      <c r="E676" s="37" t="s">
        <v>1034</v>
      </c>
      <c r="F676" s="87" t="s">
        <v>345</v>
      </c>
    </row>
    <row r="677">
      <c r="A677" s="147">
        <v>46068.04226666666</v>
      </c>
      <c r="B677" s="148" t="s">
        <v>1035</v>
      </c>
      <c r="C677" s="87" t="s">
        <v>1764</v>
      </c>
      <c r="D677" s="37" t="s">
        <v>1034</v>
      </c>
      <c r="E677" s="37">
        <v>740712.0</v>
      </c>
      <c r="F677" s="87" t="s">
        <v>345</v>
      </c>
    </row>
    <row r="678">
      <c r="A678" s="147">
        <v>46068.062415555556</v>
      </c>
      <c r="B678" s="148" t="s">
        <v>1586</v>
      </c>
      <c r="C678" s="87" t="s">
        <v>1765</v>
      </c>
      <c r="D678" s="37">
        <v>1137000.0</v>
      </c>
      <c r="E678" s="37" t="s">
        <v>1034</v>
      </c>
      <c r="F678" s="87" t="s">
        <v>347</v>
      </c>
    </row>
    <row r="679">
      <c r="A679" s="147">
        <v>46068.062415555556</v>
      </c>
      <c r="B679" s="148" t="s">
        <v>1035</v>
      </c>
      <c r="C679" s="87" t="s">
        <v>1766</v>
      </c>
      <c r="D679" s="37" t="s">
        <v>1034</v>
      </c>
      <c r="E679" s="37">
        <v>1137000.0</v>
      </c>
      <c r="F679" s="87" t="s">
        <v>347</v>
      </c>
    </row>
    <row r="680">
      <c r="A680" s="147">
        <v>46069.57700888889</v>
      </c>
      <c r="B680" s="148" t="s">
        <v>1586</v>
      </c>
      <c r="C680" s="87" t="s">
        <v>1767</v>
      </c>
      <c r="D680" s="37">
        <v>19550.0</v>
      </c>
      <c r="E680" s="37" t="s">
        <v>1034</v>
      </c>
      <c r="F680" s="87" t="s">
        <v>348</v>
      </c>
    </row>
    <row r="681">
      <c r="A681" s="147">
        <v>46069.57700888889</v>
      </c>
      <c r="B681" s="148" t="s">
        <v>1035</v>
      </c>
      <c r="C681" s="87" t="s">
        <v>1768</v>
      </c>
      <c r="D681" s="37" t="s">
        <v>1034</v>
      </c>
      <c r="E681" s="37">
        <v>19550.0</v>
      </c>
      <c r="F681" s="87" t="s">
        <v>348</v>
      </c>
    </row>
    <row r="682">
      <c r="A682" s="147">
        <v>46071.35406222223</v>
      </c>
      <c r="B682" s="148" t="s">
        <v>1560</v>
      </c>
      <c r="C682" s="87" t="s">
        <v>1769</v>
      </c>
      <c r="D682" s="37">
        <v>395444.0</v>
      </c>
      <c r="E682" s="37" t="s">
        <v>1034</v>
      </c>
      <c r="F682" s="87" t="s">
        <v>344</v>
      </c>
    </row>
    <row r="683">
      <c r="A683" s="147">
        <v>46071.35406222223</v>
      </c>
      <c r="B683" s="148" t="s">
        <v>1702</v>
      </c>
      <c r="C683" s="87" t="s">
        <v>1761</v>
      </c>
      <c r="D683" s="37" t="s">
        <v>1034</v>
      </c>
      <c r="E683" s="37">
        <v>395444.0</v>
      </c>
      <c r="F683" s="87" t="s">
        <v>344</v>
      </c>
    </row>
    <row r="684">
      <c r="A684" s="147">
        <v>46071.40265333333</v>
      </c>
      <c r="B684" s="148" t="s">
        <v>1560</v>
      </c>
      <c r="C684" s="87" t="s">
        <v>1770</v>
      </c>
      <c r="D684" s="37">
        <v>16744.0</v>
      </c>
      <c r="E684" s="37" t="s">
        <v>1034</v>
      </c>
      <c r="F684" s="87" t="s">
        <v>341</v>
      </c>
    </row>
    <row r="685">
      <c r="A685" s="147">
        <v>46071.40265333333</v>
      </c>
      <c r="B685" s="148" t="s">
        <v>1702</v>
      </c>
      <c r="C685" s="87" t="s">
        <v>1757</v>
      </c>
      <c r="D685" s="37" t="s">
        <v>1034</v>
      </c>
      <c r="E685" s="37">
        <v>16744.0</v>
      </c>
      <c r="F685" s="87" t="s">
        <v>341</v>
      </c>
    </row>
    <row r="686">
      <c r="A686" s="147">
        <v>46071.402663333334</v>
      </c>
      <c r="B686" s="148" t="s">
        <v>1560</v>
      </c>
      <c r="C686" s="87" t="s">
        <v>1771</v>
      </c>
      <c r="D686" s="37">
        <v>16340.0</v>
      </c>
      <c r="E686" s="37" t="s">
        <v>1034</v>
      </c>
      <c r="F686" s="87" t="s">
        <v>342</v>
      </c>
    </row>
    <row r="687">
      <c r="A687" s="147">
        <v>46071.402663333334</v>
      </c>
      <c r="B687" s="148" t="s">
        <v>1702</v>
      </c>
      <c r="C687" s="87" t="s">
        <v>1759</v>
      </c>
      <c r="D687" s="37" t="s">
        <v>1034</v>
      </c>
      <c r="E687" s="37">
        <v>16340.0</v>
      </c>
      <c r="F687" s="87" t="s">
        <v>342</v>
      </c>
    </row>
    <row r="688">
      <c r="A688" s="147">
        <v>46071.65198888889</v>
      </c>
      <c r="B688" s="148" t="s">
        <v>1560</v>
      </c>
      <c r="C688" s="87" t="s">
        <v>1772</v>
      </c>
      <c r="D688" s="37">
        <v>740712.0</v>
      </c>
      <c r="E688" s="37" t="s">
        <v>1034</v>
      </c>
      <c r="F688" s="87" t="s">
        <v>345</v>
      </c>
    </row>
    <row r="689">
      <c r="A689" s="147">
        <v>46071.65198888889</v>
      </c>
      <c r="B689" s="148" t="s">
        <v>1702</v>
      </c>
      <c r="C689" s="87" t="s">
        <v>1763</v>
      </c>
      <c r="D689" s="37" t="s">
        <v>1034</v>
      </c>
      <c r="E689" s="37">
        <v>740712.0</v>
      </c>
      <c r="F689" s="87" t="s">
        <v>345</v>
      </c>
    </row>
    <row r="690">
      <c r="A690" s="147">
        <v>46072.51799111111</v>
      </c>
      <c r="B690" s="148" t="s">
        <v>1581</v>
      </c>
      <c r="C690" s="87" t="s">
        <v>1773</v>
      </c>
      <c r="D690" s="37">
        <v>2414983.0</v>
      </c>
      <c r="E690" s="37" t="s">
        <v>1034</v>
      </c>
      <c r="F690" s="87" t="s">
        <v>149</v>
      </c>
    </row>
    <row r="691">
      <c r="A691" s="147">
        <v>46072.51799111111</v>
      </c>
      <c r="B691" s="148" t="s">
        <v>1035</v>
      </c>
      <c r="C691" s="87" t="s">
        <v>1774</v>
      </c>
      <c r="D691" s="37" t="s">
        <v>1034</v>
      </c>
      <c r="E691" s="37">
        <v>2414983.0</v>
      </c>
      <c r="F691" s="87" t="s">
        <v>149</v>
      </c>
    </row>
    <row r="692">
      <c r="A692" s="147">
        <v>46073.58110555555</v>
      </c>
      <c r="B692" s="148" t="s">
        <v>1248</v>
      </c>
      <c r="C692" s="87" t="s">
        <v>1775</v>
      </c>
      <c r="D692" s="37">
        <v>32200.0</v>
      </c>
      <c r="E692" s="37" t="s">
        <v>1034</v>
      </c>
      <c r="F692" s="87" t="s">
        <v>339</v>
      </c>
    </row>
    <row r="693">
      <c r="A693" s="147">
        <v>46073.58110555555</v>
      </c>
      <c r="B693" s="148" t="s">
        <v>1702</v>
      </c>
      <c r="C693" s="87" t="s">
        <v>1753</v>
      </c>
      <c r="D693" s="37" t="s">
        <v>1034</v>
      </c>
      <c r="E693" s="37">
        <v>32200.0</v>
      </c>
      <c r="F693" s="87" t="s">
        <v>339</v>
      </c>
    </row>
    <row r="694">
      <c r="A694" s="147">
        <v>46073.58111555556</v>
      </c>
      <c r="B694" s="148" t="s">
        <v>1248</v>
      </c>
      <c r="C694" s="87" t="s">
        <v>1776</v>
      </c>
      <c r="D694" s="37">
        <v>20100.0</v>
      </c>
      <c r="E694" s="37" t="s">
        <v>1034</v>
      </c>
      <c r="F694" s="87" t="s">
        <v>340</v>
      </c>
    </row>
    <row r="695">
      <c r="A695" s="147">
        <v>46073.58111555556</v>
      </c>
      <c r="B695" s="148" t="s">
        <v>1702</v>
      </c>
      <c r="C695" s="87" t="s">
        <v>1755</v>
      </c>
      <c r="D695" s="37" t="s">
        <v>1034</v>
      </c>
      <c r="E695" s="37">
        <v>20100.0</v>
      </c>
      <c r="F695" s="87" t="s">
        <v>340</v>
      </c>
    </row>
    <row r="696">
      <c r="A696" s="147">
        <v>46073.803397777774</v>
      </c>
      <c r="B696" s="148" t="s">
        <v>1306</v>
      </c>
      <c r="C696" s="87" t="s">
        <v>1777</v>
      </c>
      <c r="D696" s="37">
        <v>19550.0</v>
      </c>
      <c r="E696" s="37" t="s">
        <v>1034</v>
      </c>
      <c r="F696" s="87" t="s">
        <v>348</v>
      </c>
    </row>
    <row r="697">
      <c r="A697" s="147">
        <v>46073.803397777774</v>
      </c>
      <c r="B697" s="148" t="s">
        <v>1702</v>
      </c>
      <c r="C697" s="87" t="s">
        <v>1767</v>
      </c>
      <c r="D697" s="37" t="s">
        <v>1034</v>
      </c>
      <c r="E697" s="37">
        <v>19550.0</v>
      </c>
      <c r="F697" s="87" t="s">
        <v>348</v>
      </c>
    </row>
    <row r="698">
      <c r="A698" s="147">
        <v>46073.81522333333</v>
      </c>
      <c r="B698" s="148" t="s">
        <v>1586</v>
      </c>
      <c r="C698" s="87" t="s">
        <v>1778</v>
      </c>
      <c r="D698" s="37">
        <v>19398.0</v>
      </c>
      <c r="E698" s="37" t="s">
        <v>1034</v>
      </c>
      <c r="F698" s="87" t="s">
        <v>350</v>
      </c>
    </row>
    <row r="699">
      <c r="A699" s="147">
        <v>46073.81522333333</v>
      </c>
      <c r="B699" s="148" t="s">
        <v>1035</v>
      </c>
      <c r="C699" s="87" t="s">
        <v>1779</v>
      </c>
      <c r="D699" s="37" t="s">
        <v>1034</v>
      </c>
      <c r="E699" s="37">
        <v>19398.0</v>
      </c>
      <c r="F699" s="87" t="s">
        <v>350</v>
      </c>
    </row>
    <row r="700">
      <c r="A700" s="147">
        <v>46076.55894333334</v>
      </c>
      <c r="B700" s="148" t="s">
        <v>1254</v>
      </c>
      <c r="C700" s="87" t="s">
        <v>1780</v>
      </c>
      <c r="D700" s="37">
        <v>1137000.0</v>
      </c>
      <c r="E700" s="37" t="s">
        <v>1034</v>
      </c>
      <c r="F700" s="87" t="s">
        <v>347</v>
      </c>
    </row>
    <row r="701">
      <c r="A701" s="147">
        <v>46076.55894333334</v>
      </c>
      <c r="B701" s="148" t="s">
        <v>1702</v>
      </c>
      <c r="C701" s="87" t="s">
        <v>1765</v>
      </c>
      <c r="D701" s="37" t="s">
        <v>1034</v>
      </c>
      <c r="E701" s="37">
        <v>1137000.0</v>
      </c>
      <c r="F701" s="87" t="s">
        <v>347</v>
      </c>
    </row>
    <row r="702">
      <c r="A702" s="147">
        <v>46076.69300111111</v>
      </c>
      <c r="B702" s="148" t="s">
        <v>1248</v>
      </c>
      <c r="C702" s="87" t="s">
        <v>1781</v>
      </c>
      <c r="D702" s="37">
        <v>19398.0</v>
      </c>
      <c r="E702" s="37" t="s">
        <v>1034</v>
      </c>
      <c r="F702" s="87" t="s">
        <v>350</v>
      </c>
    </row>
    <row r="703">
      <c r="A703" s="147">
        <v>46076.69300111111</v>
      </c>
      <c r="B703" s="148" t="s">
        <v>1702</v>
      </c>
      <c r="C703" s="87" t="s">
        <v>1778</v>
      </c>
      <c r="D703" s="37" t="s">
        <v>1034</v>
      </c>
      <c r="E703" s="37">
        <v>19398.0</v>
      </c>
      <c r="F703" s="87" t="s">
        <v>350</v>
      </c>
    </row>
    <row r="704">
      <c r="A704" s="147">
        <v>46079.58396333334</v>
      </c>
      <c r="B704" s="148" t="s">
        <v>1241</v>
      </c>
      <c r="C704" s="87" t="s">
        <v>1782</v>
      </c>
      <c r="D704" s="37">
        <v>2414983.0</v>
      </c>
      <c r="E704" s="37" t="s">
        <v>1034</v>
      </c>
      <c r="F704" s="87" t="s">
        <v>149</v>
      </c>
    </row>
    <row r="705">
      <c r="A705" s="147">
        <v>46079.58396333334</v>
      </c>
      <c r="B705" s="148" t="s">
        <v>1585</v>
      </c>
      <c r="C705" s="87" t="s">
        <v>1773</v>
      </c>
      <c r="D705" s="37" t="s">
        <v>1034</v>
      </c>
      <c r="E705" s="37">
        <v>2414983.0</v>
      </c>
      <c r="F705" s="87" t="s">
        <v>149</v>
      </c>
    </row>
    <row r="706">
      <c r="A706" s="147">
        <v>46081.67407630786</v>
      </c>
      <c r="B706" s="148" t="s">
        <v>1783</v>
      </c>
      <c r="C706" s="87" t="s">
        <v>1784</v>
      </c>
      <c r="D706" s="37">
        <v>217319.5</v>
      </c>
      <c r="E706" s="37" t="s">
        <v>1034</v>
      </c>
      <c r="F706" s="87" t="s">
        <v>1034</v>
      </c>
    </row>
    <row r="707">
      <c r="A707" s="147">
        <v>46081.67407630786</v>
      </c>
      <c r="B707" s="148" t="s">
        <v>1785</v>
      </c>
      <c r="C707" s="87" t="s">
        <v>1786</v>
      </c>
      <c r="D707" s="37" t="s">
        <v>1034</v>
      </c>
      <c r="E707" s="37">
        <v>217319.5</v>
      </c>
      <c r="F707" s="87" t="s">
        <v>1034</v>
      </c>
    </row>
    <row r="708">
      <c r="A708" s="147">
        <v>46081.67408630787</v>
      </c>
      <c r="B708" s="148" t="s">
        <v>1787</v>
      </c>
      <c r="C708" s="87" t="s">
        <v>1788</v>
      </c>
      <c r="D708" s="37">
        <v>77592.0</v>
      </c>
      <c r="E708" s="37" t="s">
        <v>1034</v>
      </c>
      <c r="F708" s="87" t="s">
        <v>1034</v>
      </c>
    </row>
    <row r="709">
      <c r="A709" s="147">
        <v>46081.67408630787</v>
      </c>
      <c r="B709" s="148" t="s">
        <v>1789</v>
      </c>
      <c r="C709" s="87" t="s">
        <v>1790</v>
      </c>
      <c r="D709" s="37" t="s">
        <v>1034</v>
      </c>
      <c r="E709" s="37">
        <v>77592.0</v>
      </c>
      <c r="F709" s="87" t="s">
        <v>1034</v>
      </c>
    </row>
    <row r="710">
      <c r="A710" s="147">
        <v>46081.67409630786</v>
      </c>
      <c r="B710" s="148" t="s">
        <v>1233</v>
      </c>
      <c r="C710" s="87" t="s">
        <v>1791</v>
      </c>
      <c r="D710" s="37">
        <v>34058.01</v>
      </c>
      <c r="E710" s="37" t="s">
        <v>1034</v>
      </c>
      <c r="F710" s="87" t="s">
        <v>1034</v>
      </c>
    </row>
    <row r="711">
      <c r="A711" s="147">
        <v>46081.67409630786</v>
      </c>
      <c r="B711" s="148" t="s">
        <v>1622</v>
      </c>
      <c r="C711" s="87" t="s">
        <v>1792</v>
      </c>
      <c r="D711" s="37" t="s">
        <v>1034</v>
      </c>
      <c r="E711" s="37">
        <v>34058.01</v>
      </c>
      <c r="F711" s="87" t="s">
        <v>1034</v>
      </c>
    </row>
    <row r="712">
      <c r="A712" s="147">
        <v>46081.674106307866</v>
      </c>
      <c r="B712" s="148" t="s">
        <v>1783</v>
      </c>
      <c r="C712" s="87" t="s">
        <v>1793</v>
      </c>
      <c r="D712" s="37">
        <v>38350.5</v>
      </c>
      <c r="E712" s="37" t="s">
        <v>1034</v>
      </c>
      <c r="F712" s="87" t="s">
        <v>1034</v>
      </c>
    </row>
    <row r="713">
      <c r="A713" s="147">
        <v>46081.674106307866</v>
      </c>
      <c r="B713" s="148" t="s">
        <v>1785</v>
      </c>
      <c r="C713" s="87" t="s">
        <v>1794</v>
      </c>
      <c r="D713" s="37" t="s">
        <v>1034</v>
      </c>
      <c r="E713" s="37">
        <v>38350.5</v>
      </c>
      <c r="F713" s="87" t="s">
        <v>1034</v>
      </c>
    </row>
    <row r="714">
      <c r="A714" s="147">
        <v>46081.67411630787</v>
      </c>
      <c r="B714" s="148" t="s">
        <v>1783</v>
      </c>
      <c r="C714" s="87" t="s">
        <v>1795</v>
      </c>
      <c r="D714" s="37">
        <v>230103.0</v>
      </c>
      <c r="E714" s="37" t="s">
        <v>1034</v>
      </c>
      <c r="F714" s="87" t="s">
        <v>1034</v>
      </c>
    </row>
    <row r="715">
      <c r="A715" s="147">
        <v>46081.67411630787</v>
      </c>
      <c r="B715" s="148" t="s">
        <v>1785</v>
      </c>
      <c r="C715" s="87" t="s">
        <v>1796</v>
      </c>
      <c r="D715" s="37" t="s">
        <v>1034</v>
      </c>
      <c r="E715" s="37">
        <v>230103.0</v>
      </c>
      <c r="F715" s="87" t="s">
        <v>1034</v>
      </c>
    </row>
    <row r="716">
      <c r="A716" s="147">
        <v>46081.674126307866</v>
      </c>
      <c r="B716" s="148" t="s">
        <v>1680</v>
      </c>
      <c r="C716" s="87" t="s">
        <v>1797</v>
      </c>
      <c r="D716" s="37">
        <v>19603.448275862098</v>
      </c>
      <c r="E716" s="37" t="s">
        <v>1034</v>
      </c>
      <c r="F716" s="87" t="s">
        <v>1034</v>
      </c>
    </row>
    <row r="717">
      <c r="A717" s="147">
        <v>46081.674126307866</v>
      </c>
      <c r="B717" s="148" t="s">
        <v>1682</v>
      </c>
      <c r="C717" s="87" t="s">
        <v>1798</v>
      </c>
      <c r="D717" s="37" t="s">
        <v>1034</v>
      </c>
      <c r="E717" s="37">
        <v>19603.448275862098</v>
      </c>
      <c r="F717" s="87" t="s">
        <v>1034</v>
      </c>
    </row>
    <row r="718">
      <c r="A718" s="147">
        <v>46081.67413630787</v>
      </c>
      <c r="B718" s="148" t="s">
        <v>1606</v>
      </c>
      <c r="C718" s="87" t="s">
        <v>1799</v>
      </c>
      <c r="D718" s="37">
        <v>95365.85365853661</v>
      </c>
      <c r="E718" s="37" t="s">
        <v>1034</v>
      </c>
      <c r="F718" s="87" t="s">
        <v>1034</v>
      </c>
    </row>
    <row r="719">
      <c r="A719" s="147">
        <v>46081.67413630787</v>
      </c>
      <c r="B719" s="148" t="s">
        <v>1608</v>
      </c>
      <c r="C719" s="87" t="s">
        <v>1800</v>
      </c>
      <c r="D719" s="37" t="s">
        <v>1034</v>
      </c>
      <c r="E719" s="37">
        <v>95365.85365853661</v>
      </c>
      <c r="F719" s="87" t="s">
        <v>1034</v>
      </c>
    </row>
    <row r="720">
      <c r="A720" s="147">
        <v>46081.73398333333</v>
      </c>
      <c r="B720" s="148" t="s">
        <v>1586</v>
      </c>
      <c r="C720" s="87" t="s">
        <v>1801</v>
      </c>
      <c r="D720" s="37">
        <v>19398.0</v>
      </c>
      <c r="E720" s="37" t="s">
        <v>1034</v>
      </c>
      <c r="F720" s="87" t="s">
        <v>351</v>
      </c>
    </row>
    <row r="721">
      <c r="A721" s="147">
        <v>46081.73398333333</v>
      </c>
      <c r="B721" s="148" t="s">
        <v>1035</v>
      </c>
      <c r="C721" s="87" t="s">
        <v>1802</v>
      </c>
      <c r="D721" s="37" t="s">
        <v>1034</v>
      </c>
      <c r="E721" s="37">
        <v>19398.0</v>
      </c>
      <c r="F721" s="87" t="s">
        <v>351</v>
      </c>
    </row>
    <row r="722">
      <c r="A722" s="147">
        <v>46081.85066</v>
      </c>
      <c r="B722" s="148" t="s">
        <v>1586</v>
      </c>
      <c r="C722" s="87" t="s">
        <v>1803</v>
      </c>
      <c r="D722" s="37">
        <v>724600.0</v>
      </c>
      <c r="E722" s="37" t="s">
        <v>1034</v>
      </c>
      <c r="F722" s="87" t="s">
        <v>352</v>
      </c>
    </row>
    <row r="723">
      <c r="A723" s="147">
        <v>46081.85066</v>
      </c>
      <c r="B723" s="148" t="s">
        <v>1035</v>
      </c>
      <c r="C723" s="87" t="s">
        <v>1804</v>
      </c>
      <c r="D723" s="37" t="s">
        <v>1034</v>
      </c>
      <c r="E723" s="37">
        <v>724600.0</v>
      </c>
      <c r="F723" s="87" t="s">
        <v>352</v>
      </c>
    </row>
    <row r="724">
      <c r="A724" s="147">
        <v>46082.18955888889</v>
      </c>
      <c r="B724" s="148" t="s">
        <v>1586</v>
      </c>
      <c r="C724" s="87" t="s">
        <v>1805</v>
      </c>
      <c r="D724" s="37">
        <v>735688.0</v>
      </c>
      <c r="E724" s="37" t="s">
        <v>1034</v>
      </c>
      <c r="F724" s="87" t="s">
        <v>353</v>
      </c>
    </row>
    <row r="725">
      <c r="A725" s="147">
        <v>46082.18955888889</v>
      </c>
      <c r="B725" s="148" t="s">
        <v>1035</v>
      </c>
      <c r="C725" s="87" t="s">
        <v>1806</v>
      </c>
      <c r="D725" s="37" t="s">
        <v>1034</v>
      </c>
      <c r="E725" s="37">
        <v>735688.0</v>
      </c>
      <c r="F725" s="87" t="s">
        <v>353</v>
      </c>
    </row>
    <row r="726">
      <c r="A726" s="147">
        <v>46084.574985555555</v>
      </c>
      <c r="B726" s="148" t="s">
        <v>1586</v>
      </c>
      <c r="C726" s="87" t="s">
        <v>1807</v>
      </c>
      <c r="D726" s="37">
        <v>19398.0</v>
      </c>
      <c r="E726" s="37" t="s">
        <v>1034</v>
      </c>
      <c r="F726" s="87" t="s">
        <v>354</v>
      </c>
    </row>
    <row r="727">
      <c r="A727" s="147">
        <v>46084.574985555555</v>
      </c>
      <c r="B727" s="148" t="s">
        <v>1035</v>
      </c>
      <c r="C727" s="87" t="s">
        <v>1808</v>
      </c>
      <c r="D727" s="37" t="s">
        <v>1034</v>
      </c>
      <c r="E727" s="37">
        <v>19398.0</v>
      </c>
      <c r="F727" s="87" t="s">
        <v>354</v>
      </c>
    </row>
    <row r="728">
      <c r="A728" s="147">
        <v>46084.60207888889</v>
      </c>
      <c r="B728" s="148" t="s">
        <v>1586</v>
      </c>
      <c r="C728" s="87" t="s">
        <v>1809</v>
      </c>
      <c r="D728" s="37">
        <v>4224525.0</v>
      </c>
      <c r="E728" s="37" t="s">
        <v>1034</v>
      </c>
      <c r="F728" s="87" t="s">
        <v>355</v>
      </c>
    </row>
    <row r="729">
      <c r="A729" s="147">
        <v>46084.60207888889</v>
      </c>
      <c r="B729" s="148" t="s">
        <v>1035</v>
      </c>
      <c r="C729" s="87" t="s">
        <v>1810</v>
      </c>
      <c r="D729" s="37" t="s">
        <v>1034</v>
      </c>
      <c r="E729" s="37">
        <v>4224525.0</v>
      </c>
      <c r="F729" s="87" t="s">
        <v>355</v>
      </c>
    </row>
    <row r="730">
      <c r="A730" s="147">
        <v>46085.55551111111</v>
      </c>
      <c r="B730" s="148" t="s">
        <v>1248</v>
      </c>
      <c r="C730" s="87" t="s">
        <v>1811</v>
      </c>
      <c r="D730" s="37">
        <v>19398.0</v>
      </c>
      <c r="E730" s="37" t="s">
        <v>1034</v>
      </c>
      <c r="F730" s="87" t="s">
        <v>351</v>
      </c>
    </row>
    <row r="731">
      <c r="A731" s="147">
        <v>46085.55551111111</v>
      </c>
      <c r="B731" s="148" t="s">
        <v>1702</v>
      </c>
      <c r="C731" s="87" t="s">
        <v>1801</v>
      </c>
      <c r="D731" s="37" t="s">
        <v>1034</v>
      </c>
      <c r="E731" s="37">
        <v>19398.0</v>
      </c>
      <c r="F731" s="87" t="s">
        <v>351</v>
      </c>
    </row>
    <row r="732">
      <c r="A732" s="147">
        <v>46088.45415222222</v>
      </c>
      <c r="B732" s="148" t="s">
        <v>1248</v>
      </c>
      <c r="C732" s="87" t="s">
        <v>1812</v>
      </c>
      <c r="D732" s="37">
        <v>19398.0</v>
      </c>
      <c r="E732" s="37" t="s">
        <v>1034</v>
      </c>
      <c r="F732" s="87" t="s">
        <v>354</v>
      </c>
    </row>
    <row r="733">
      <c r="A733" s="147">
        <v>46088.45415222222</v>
      </c>
      <c r="B733" s="148" t="s">
        <v>1702</v>
      </c>
      <c r="C733" s="87" t="s">
        <v>1807</v>
      </c>
      <c r="D733" s="37" t="s">
        <v>1034</v>
      </c>
      <c r="E733" s="37">
        <v>19398.0</v>
      </c>
      <c r="F733" s="87" t="s">
        <v>354</v>
      </c>
    </row>
    <row r="734">
      <c r="A734" s="147">
        <v>46088.78885444444</v>
      </c>
      <c r="B734" s="148" t="s">
        <v>1560</v>
      </c>
      <c r="C734" s="87" t="s">
        <v>1813</v>
      </c>
      <c r="D734" s="37">
        <v>724600.0</v>
      </c>
      <c r="E734" s="37" t="s">
        <v>1034</v>
      </c>
      <c r="F734" s="87" t="s">
        <v>352</v>
      </c>
    </row>
    <row r="735">
      <c r="A735" s="147">
        <v>46088.78885444444</v>
      </c>
      <c r="B735" s="148" t="s">
        <v>1702</v>
      </c>
      <c r="C735" s="87" t="s">
        <v>1803</v>
      </c>
      <c r="D735" s="37" t="s">
        <v>1034</v>
      </c>
      <c r="E735" s="37">
        <v>724600.0</v>
      </c>
      <c r="F735" s="87" t="s">
        <v>352</v>
      </c>
    </row>
    <row r="736">
      <c r="A736" s="147">
        <v>46088.81317</v>
      </c>
      <c r="B736" s="148" t="s">
        <v>1254</v>
      </c>
      <c r="C736" s="87" t="s">
        <v>1814</v>
      </c>
      <c r="D736" s="37">
        <v>735688.0</v>
      </c>
      <c r="E736" s="37" t="s">
        <v>1034</v>
      </c>
      <c r="F736" s="87" t="s">
        <v>353</v>
      </c>
    </row>
    <row r="737">
      <c r="A737" s="147">
        <v>46088.81317</v>
      </c>
      <c r="B737" s="148" t="s">
        <v>1702</v>
      </c>
      <c r="C737" s="87" t="s">
        <v>1805</v>
      </c>
      <c r="D737" s="37" t="s">
        <v>1034</v>
      </c>
      <c r="E737" s="37">
        <v>735688.0</v>
      </c>
      <c r="F737" s="87" t="s">
        <v>353</v>
      </c>
    </row>
    <row r="738">
      <c r="A738" s="147">
        <v>46088.93958888888</v>
      </c>
      <c r="B738" s="148" t="s">
        <v>1586</v>
      </c>
      <c r="C738" s="87" t="s">
        <v>1815</v>
      </c>
      <c r="D738" s="37">
        <v>2176348.0</v>
      </c>
      <c r="E738" s="37" t="s">
        <v>1034</v>
      </c>
      <c r="F738" s="87" t="s">
        <v>357</v>
      </c>
    </row>
    <row r="739">
      <c r="A739" s="147">
        <v>46088.93958888888</v>
      </c>
      <c r="B739" s="148" t="s">
        <v>1035</v>
      </c>
      <c r="C739" s="87" t="s">
        <v>1816</v>
      </c>
      <c r="D739" s="37" t="s">
        <v>1034</v>
      </c>
      <c r="E739" s="37">
        <v>2176348.0</v>
      </c>
      <c r="F739" s="87" t="s">
        <v>357</v>
      </c>
    </row>
    <row r="740">
      <c r="A740" s="147">
        <v>46088.93959888889</v>
      </c>
      <c r="B740" s="148" t="s">
        <v>1586</v>
      </c>
      <c r="C740" s="87" t="s">
        <v>1817</v>
      </c>
      <c r="D740" s="37">
        <v>442468.0</v>
      </c>
      <c r="E740" s="37" t="s">
        <v>1034</v>
      </c>
      <c r="F740" s="87" t="s">
        <v>359</v>
      </c>
    </row>
    <row r="741">
      <c r="A741" s="147">
        <v>46088.93959888889</v>
      </c>
      <c r="B741" s="148" t="s">
        <v>1035</v>
      </c>
      <c r="C741" s="87" t="s">
        <v>1818</v>
      </c>
      <c r="D741" s="37" t="s">
        <v>1034</v>
      </c>
      <c r="E741" s="37">
        <v>442468.0</v>
      </c>
      <c r="F741" s="87" t="s">
        <v>359</v>
      </c>
    </row>
    <row r="742">
      <c r="A742" s="147">
        <v>46088.93960888888</v>
      </c>
      <c r="B742" s="148" t="s">
        <v>1586</v>
      </c>
      <c r="C742" s="87" t="s">
        <v>1819</v>
      </c>
      <c r="D742" s="37">
        <v>213961.0</v>
      </c>
      <c r="E742" s="37" t="s">
        <v>1034</v>
      </c>
      <c r="F742" s="87" t="s">
        <v>361</v>
      </c>
    </row>
    <row r="743">
      <c r="A743" s="147">
        <v>46088.93960888888</v>
      </c>
      <c r="B743" s="148" t="s">
        <v>1035</v>
      </c>
      <c r="C743" s="87" t="s">
        <v>1820</v>
      </c>
      <c r="D743" s="37" t="s">
        <v>1034</v>
      </c>
      <c r="E743" s="37">
        <v>213961.0</v>
      </c>
      <c r="F743" s="87" t="s">
        <v>361</v>
      </c>
    </row>
    <row r="744">
      <c r="A744" s="147">
        <v>46088.99170222222</v>
      </c>
      <c r="B744" s="148" t="s">
        <v>1586</v>
      </c>
      <c r="C744" s="87" t="s">
        <v>1821</v>
      </c>
      <c r="D744" s="37">
        <v>2155344.0</v>
      </c>
      <c r="E744" s="37" t="s">
        <v>1034</v>
      </c>
      <c r="F744" s="87" t="s">
        <v>362</v>
      </c>
    </row>
    <row r="745">
      <c r="A745" s="147">
        <v>46088.99170222222</v>
      </c>
      <c r="B745" s="148" t="s">
        <v>1035</v>
      </c>
      <c r="C745" s="87" t="s">
        <v>1822</v>
      </c>
      <c r="D745" s="37" t="s">
        <v>1034</v>
      </c>
      <c r="E745" s="37">
        <v>2155344.0</v>
      </c>
      <c r="F745" s="87" t="s">
        <v>362</v>
      </c>
    </row>
    <row r="746">
      <c r="A746" s="147">
        <v>46088.991712222225</v>
      </c>
      <c r="B746" s="148" t="s">
        <v>1586</v>
      </c>
      <c r="C746" s="87" t="s">
        <v>1823</v>
      </c>
      <c r="D746" s="37">
        <v>680960.0</v>
      </c>
      <c r="E746" s="37" t="s">
        <v>1034</v>
      </c>
      <c r="F746" s="87" t="s">
        <v>363</v>
      </c>
    </row>
    <row r="747">
      <c r="A747" s="147">
        <v>46088.991712222225</v>
      </c>
      <c r="B747" s="148" t="s">
        <v>1035</v>
      </c>
      <c r="C747" s="87" t="s">
        <v>1824</v>
      </c>
      <c r="D747" s="37" t="s">
        <v>1034</v>
      </c>
      <c r="E747" s="37">
        <v>680960.0</v>
      </c>
      <c r="F747" s="87" t="s">
        <v>363</v>
      </c>
    </row>
    <row r="748">
      <c r="A748" s="147">
        <v>46090.42782333334</v>
      </c>
      <c r="B748" s="148" t="s">
        <v>1374</v>
      </c>
      <c r="C748" s="87" t="s">
        <v>1825</v>
      </c>
      <c r="D748" s="37">
        <v>680960.0</v>
      </c>
      <c r="E748" s="37" t="s">
        <v>1034</v>
      </c>
      <c r="F748" s="87" t="s">
        <v>363</v>
      </c>
    </row>
    <row r="749">
      <c r="A749" s="147">
        <v>46090.42782333334</v>
      </c>
      <c r="B749" s="148" t="s">
        <v>1702</v>
      </c>
      <c r="C749" s="87" t="s">
        <v>1823</v>
      </c>
      <c r="D749" s="37" t="s">
        <v>1034</v>
      </c>
      <c r="E749" s="37">
        <v>680960.0</v>
      </c>
      <c r="F749" s="87" t="s">
        <v>363</v>
      </c>
    </row>
    <row r="750">
      <c r="A750" s="147">
        <v>46091.51253555556</v>
      </c>
      <c r="B750" s="148" t="s">
        <v>1185</v>
      </c>
      <c r="C750" s="87" t="s">
        <v>1826</v>
      </c>
      <c r="D750" s="37">
        <v>2155344.0</v>
      </c>
      <c r="E750" s="37" t="s">
        <v>1034</v>
      </c>
      <c r="F750" s="87" t="s">
        <v>362</v>
      </c>
    </row>
    <row r="751">
      <c r="A751" s="147">
        <v>46091.51253555556</v>
      </c>
      <c r="B751" s="148" t="s">
        <v>1702</v>
      </c>
      <c r="C751" s="87" t="s">
        <v>1821</v>
      </c>
      <c r="D751" s="37" t="s">
        <v>1034</v>
      </c>
      <c r="E751" s="37">
        <v>2155344.0</v>
      </c>
      <c r="F751" s="87" t="s">
        <v>362</v>
      </c>
    </row>
    <row r="752">
      <c r="A752" s="147">
        <v>46092.45071999999</v>
      </c>
      <c r="B752" s="148" t="s">
        <v>1523</v>
      </c>
      <c r="C752" s="87" t="s">
        <v>1827</v>
      </c>
      <c r="D752" s="37">
        <v>213961.0</v>
      </c>
      <c r="E752" s="37" t="s">
        <v>1034</v>
      </c>
      <c r="F752" s="87" t="s">
        <v>361</v>
      </c>
    </row>
    <row r="753">
      <c r="A753" s="147">
        <v>46092.45071999999</v>
      </c>
      <c r="B753" s="148" t="s">
        <v>1702</v>
      </c>
      <c r="C753" s="87" t="s">
        <v>1819</v>
      </c>
      <c r="D753" s="37" t="s">
        <v>1034</v>
      </c>
      <c r="E753" s="37">
        <v>213961.0</v>
      </c>
      <c r="F753" s="87" t="s">
        <v>361</v>
      </c>
    </row>
    <row r="754">
      <c r="A754" s="147">
        <v>46092.78821</v>
      </c>
      <c r="B754" s="148" t="s">
        <v>1374</v>
      </c>
      <c r="C754" s="87" t="s">
        <v>1828</v>
      </c>
      <c r="D754" s="37">
        <v>442468.0</v>
      </c>
      <c r="E754" s="37" t="s">
        <v>1034</v>
      </c>
      <c r="F754" s="87" t="s">
        <v>359</v>
      </c>
    </row>
    <row r="755">
      <c r="A755" s="147">
        <v>46092.78821</v>
      </c>
      <c r="B755" s="148" t="s">
        <v>1702</v>
      </c>
      <c r="C755" s="87" t="s">
        <v>1817</v>
      </c>
      <c r="D755" s="37" t="s">
        <v>1034</v>
      </c>
      <c r="E755" s="37">
        <v>442468.0</v>
      </c>
      <c r="F755" s="87" t="s">
        <v>359</v>
      </c>
    </row>
    <row r="756">
      <c r="A756" s="147">
        <v>46092.8007</v>
      </c>
      <c r="B756" s="148" t="s">
        <v>1185</v>
      </c>
      <c r="C756" s="87" t="s">
        <v>1829</v>
      </c>
      <c r="D756" s="37">
        <v>2176348.0</v>
      </c>
      <c r="E756" s="37" t="s">
        <v>1034</v>
      </c>
      <c r="F756" s="87" t="s">
        <v>357</v>
      </c>
    </row>
    <row r="757">
      <c r="A757" s="147">
        <v>46092.8007</v>
      </c>
      <c r="B757" s="148" t="s">
        <v>1702</v>
      </c>
      <c r="C757" s="87" t="s">
        <v>1815</v>
      </c>
      <c r="D757" s="37" t="s">
        <v>1034</v>
      </c>
      <c r="E757" s="37">
        <v>2176348.0</v>
      </c>
      <c r="F757" s="87" t="s">
        <v>357</v>
      </c>
    </row>
    <row r="758">
      <c r="A758" s="147">
        <v>46099.51735666667</v>
      </c>
      <c r="B758" s="148" t="s">
        <v>1248</v>
      </c>
      <c r="C758" s="87" t="s">
        <v>1830</v>
      </c>
      <c r="D758" s="37">
        <v>4224525.0</v>
      </c>
      <c r="E758" s="37" t="s">
        <v>1034</v>
      </c>
      <c r="F758" s="87" t="s">
        <v>355</v>
      </c>
    </row>
    <row r="759">
      <c r="A759" s="147">
        <v>46099.51735666667</v>
      </c>
      <c r="B759" s="148" t="s">
        <v>1702</v>
      </c>
      <c r="C759" s="87" t="s">
        <v>1809</v>
      </c>
      <c r="D759" s="37" t="s">
        <v>1034</v>
      </c>
      <c r="E759" s="37">
        <v>4224525.0</v>
      </c>
      <c r="F759" s="87" t="s">
        <v>355</v>
      </c>
    </row>
    <row r="760">
      <c r="A760" s="147">
        <v>46116.70107444444</v>
      </c>
      <c r="B760" s="148" t="s">
        <v>1831</v>
      </c>
      <c r="C760" s="87" t="s">
        <v>1832</v>
      </c>
      <c r="D760" s="37">
        <v>7128914.636882661</v>
      </c>
      <c r="E760" s="37" t="s">
        <v>1034</v>
      </c>
      <c r="F760" s="87" t="s">
        <v>321</v>
      </c>
    </row>
    <row r="761">
      <c r="A761" s="147">
        <v>46116.70107444444</v>
      </c>
      <c r="B761" s="148" t="s">
        <v>1541</v>
      </c>
      <c r="C761" s="87" t="s">
        <v>1709</v>
      </c>
      <c r="D761" s="37" t="s">
        <v>1034</v>
      </c>
      <c r="E761" s="37">
        <v>7128914.636882661</v>
      </c>
      <c r="F761" s="87" t="s">
        <v>321</v>
      </c>
    </row>
    <row r="762">
      <c r="A762" s="147">
        <v>46116.701084444445</v>
      </c>
      <c r="B762" s="148" t="s">
        <v>1149</v>
      </c>
      <c r="C762" s="87" t="s">
        <v>1833</v>
      </c>
      <c r="D762" s="37">
        <v>3551007.050467227</v>
      </c>
      <c r="E762" s="37" t="s">
        <v>1034</v>
      </c>
      <c r="F762" s="87" t="s">
        <v>322</v>
      </c>
    </row>
    <row r="763">
      <c r="A763" s="147">
        <v>46116.701084444445</v>
      </c>
      <c r="B763" s="148" t="s">
        <v>1541</v>
      </c>
      <c r="C763" s="87" t="s">
        <v>1711</v>
      </c>
      <c r="D763" s="37" t="s">
        <v>1034</v>
      </c>
      <c r="E763" s="37">
        <v>3551007.050467227</v>
      </c>
      <c r="F763" s="87" t="s">
        <v>322</v>
      </c>
    </row>
    <row r="764">
      <c r="A764" s="147">
        <v>46116.70109444444</v>
      </c>
      <c r="B764" s="148" t="s">
        <v>1147</v>
      </c>
      <c r="C764" s="87" t="s">
        <v>1834</v>
      </c>
      <c r="D764" s="37">
        <v>8877517.626168067</v>
      </c>
      <c r="E764" s="37" t="s">
        <v>1034</v>
      </c>
      <c r="F764" s="87" t="s">
        <v>322</v>
      </c>
    </row>
    <row r="765">
      <c r="A765" s="147">
        <v>46116.70109444444</v>
      </c>
      <c r="B765" s="148" t="s">
        <v>1541</v>
      </c>
      <c r="C765" s="87" t="s">
        <v>1713</v>
      </c>
      <c r="D765" s="37" t="s">
        <v>1034</v>
      </c>
      <c r="E765" s="37">
        <v>8877517.626168067</v>
      </c>
      <c r="F765" s="87" t="s">
        <v>322</v>
      </c>
    </row>
    <row r="766">
      <c r="A766" s="147">
        <v>46116.701104444444</v>
      </c>
      <c r="B766" s="148" t="s">
        <v>1254</v>
      </c>
      <c r="C766" s="87" t="s">
        <v>1835</v>
      </c>
      <c r="D766" s="37">
        <v>1.7755035252336133E7</v>
      </c>
      <c r="E766" s="37" t="s">
        <v>1034</v>
      </c>
      <c r="F766" s="87" t="s">
        <v>322</v>
      </c>
    </row>
    <row r="767">
      <c r="A767" s="147">
        <v>46116.701104444444</v>
      </c>
      <c r="B767" s="148" t="s">
        <v>1541</v>
      </c>
      <c r="C767" s="87" t="s">
        <v>1715</v>
      </c>
      <c r="D767" s="37" t="s">
        <v>1034</v>
      </c>
      <c r="E767" s="37">
        <v>1.7755035252336133E7</v>
      </c>
      <c r="F767" s="87" t="s">
        <v>322</v>
      </c>
    </row>
    <row r="768">
      <c r="A768" s="147">
        <v>46116.70111444444</v>
      </c>
      <c r="B768" s="148" t="s">
        <v>1221</v>
      </c>
      <c r="C768" s="87" t="s">
        <v>1836</v>
      </c>
      <c r="D768" s="37">
        <v>3551007.050467227</v>
      </c>
      <c r="E768" s="37" t="s">
        <v>1034</v>
      </c>
      <c r="F768" s="87" t="s">
        <v>322</v>
      </c>
    </row>
    <row r="769">
      <c r="A769" s="147">
        <v>46116.70111444444</v>
      </c>
      <c r="B769" s="148" t="s">
        <v>1541</v>
      </c>
      <c r="C769" s="87" t="s">
        <v>1717</v>
      </c>
      <c r="D769" s="37" t="s">
        <v>1034</v>
      </c>
      <c r="E769" s="37">
        <v>3551007.050467227</v>
      </c>
      <c r="F769" s="87" t="s">
        <v>322</v>
      </c>
    </row>
    <row r="770">
      <c r="A770" s="147">
        <v>46116.701124444444</v>
      </c>
      <c r="B770" s="148" t="s">
        <v>1487</v>
      </c>
      <c r="C770" s="87" t="s">
        <v>1837</v>
      </c>
      <c r="D770" s="37">
        <v>5859980.7118617</v>
      </c>
      <c r="E770" s="37" t="s">
        <v>1034</v>
      </c>
      <c r="F770" s="87" t="s">
        <v>324</v>
      </c>
    </row>
    <row r="771">
      <c r="A771" s="147">
        <v>46116.701124444444</v>
      </c>
      <c r="B771" s="148" t="s">
        <v>1541</v>
      </c>
      <c r="C771" s="87" t="s">
        <v>1719</v>
      </c>
      <c r="D771" s="37" t="s">
        <v>1034</v>
      </c>
      <c r="E771" s="37">
        <v>5859980.7118617</v>
      </c>
      <c r="F771" s="87" t="s">
        <v>324</v>
      </c>
    </row>
    <row r="772">
      <c r="A772" s="147">
        <v>46116.70113444445</v>
      </c>
      <c r="B772" s="148" t="s">
        <v>1306</v>
      </c>
      <c r="C772" s="87" t="s">
        <v>1838</v>
      </c>
      <c r="D772" s="37">
        <v>3167129.671816984</v>
      </c>
      <c r="E772" s="37" t="s">
        <v>1034</v>
      </c>
      <c r="F772" s="87" t="s">
        <v>325</v>
      </c>
    </row>
    <row r="773">
      <c r="A773" s="147">
        <v>46116.70113444445</v>
      </c>
      <c r="B773" s="148" t="s">
        <v>1541</v>
      </c>
      <c r="C773" s="87" t="s">
        <v>1721</v>
      </c>
      <c r="D773" s="37" t="s">
        <v>1034</v>
      </c>
      <c r="E773" s="37">
        <v>3167129.671816984</v>
      </c>
      <c r="F773" s="87" t="s">
        <v>325</v>
      </c>
    </row>
    <row r="774">
      <c r="A774" s="147">
        <v>46128.06117111111</v>
      </c>
      <c r="B774" s="148" t="s">
        <v>1009</v>
      </c>
      <c r="C774" s="87" t="s">
        <v>1839</v>
      </c>
      <c r="D774" s="37">
        <v>119840.0</v>
      </c>
      <c r="E774" s="37" t="s">
        <v>1034</v>
      </c>
      <c r="F774" s="87" t="s">
        <v>1010</v>
      </c>
    </row>
    <row r="775">
      <c r="A775" s="147">
        <v>46128.06117111111</v>
      </c>
      <c r="B775" s="148" t="s">
        <v>1035</v>
      </c>
      <c r="C775" s="87" t="s">
        <v>1840</v>
      </c>
      <c r="D775" s="37" t="s">
        <v>1034</v>
      </c>
      <c r="E775" s="37">
        <v>119840.0</v>
      </c>
      <c r="F775" s="87" t="s">
        <v>1010</v>
      </c>
    </row>
    <row r="776">
      <c r="A776" s="147">
        <v>46133.54033333333</v>
      </c>
      <c r="B776" s="148" t="s">
        <v>1586</v>
      </c>
      <c r="C776" s="87" t="s">
        <v>1841</v>
      </c>
      <c r="D776" s="37">
        <v>26000.0</v>
      </c>
      <c r="E776" s="37" t="s">
        <v>1034</v>
      </c>
      <c r="F776" s="87" t="s">
        <v>365</v>
      </c>
    </row>
    <row r="777">
      <c r="A777" s="147">
        <v>46133.54033333333</v>
      </c>
      <c r="B777" s="148" t="s">
        <v>1035</v>
      </c>
      <c r="C777" s="87" t="s">
        <v>1842</v>
      </c>
      <c r="D777" s="37" t="s">
        <v>1034</v>
      </c>
      <c r="E777" s="37">
        <v>26000.0</v>
      </c>
      <c r="F777" s="87" t="s">
        <v>365</v>
      </c>
    </row>
    <row r="778">
      <c r="A778" s="147">
        <v>46135.39103777778</v>
      </c>
      <c r="B778" s="148" t="s">
        <v>1586</v>
      </c>
      <c r="C778" s="87" t="s">
        <v>1843</v>
      </c>
      <c r="D778" s="37">
        <v>614500.2834868889</v>
      </c>
      <c r="E778" s="37" t="s">
        <v>1034</v>
      </c>
      <c r="F778" s="87" t="s">
        <v>367</v>
      </c>
    </row>
    <row r="779">
      <c r="A779" s="147">
        <v>46135.39103777778</v>
      </c>
      <c r="B779" s="148" t="s">
        <v>1035</v>
      </c>
      <c r="C779" s="87" t="s">
        <v>1844</v>
      </c>
      <c r="D779" s="37" t="s">
        <v>1034</v>
      </c>
      <c r="E779" s="37">
        <v>614500.2834868889</v>
      </c>
      <c r="F779" s="87" t="s">
        <v>367</v>
      </c>
    </row>
    <row r="780">
      <c r="A780" s="147">
        <v>46135.391047777775</v>
      </c>
      <c r="B780" s="148" t="s">
        <v>1586</v>
      </c>
      <c r="C780" s="87" t="s">
        <v>1845</v>
      </c>
      <c r="D780" s="37">
        <v>624156.7165131111</v>
      </c>
      <c r="E780" s="37" t="s">
        <v>1034</v>
      </c>
      <c r="F780" s="87" t="s">
        <v>367</v>
      </c>
    </row>
    <row r="781">
      <c r="A781" s="147">
        <v>46135.391047777775</v>
      </c>
      <c r="B781" s="148" t="s">
        <v>1035</v>
      </c>
      <c r="C781" s="87" t="s">
        <v>1846</v>
      </c>
      <c r="D781" s="37" t="s">
        <v>1034</v>
      </c>
      <c r="E781" s="37">
        <v>624156.7165131111</v>
      </c>
      <c r="F781" s="87" t="s">
        <v>367</v>
      </c>
    </row>
    <row r="782">
      <c r="A782" s="147">
        <v>46136.67437111111</v>
      </c>
      <c r="B782" s="148" t="s">
        <v>1354</v>
      </c>
      <c r="C782" s="87" t="s">
        <v>1847</v>
      </c>
      <c r="D782" s="37">
        <v>614500.2834868889</v>
      </c>
      <c r="E782" s="37" t="s">
        <v>1034</v>
      </c>
      <c r="F782" s="87" t="s">
        <v>367</v>
      </c>
    </row>
    <row r="783">
      <c r="A783" s="147">
        <v>46136.67437111111</v>
      </c>
      <c r="B783" s="148" t="s">
        <v>1702</v>
      </c>
      <c r="C783" s="87" t="s">
        <v>1843</v>
      </c>
      <c r="D783" s="37" t="s">
        <v>1034</v>
      </c>
      <c r="E783" s="37">
        <v>614500.2834868889</v>
      </c>
      <c r="F783" s="87" t="s">
        <v>367</v>
      </c>
    </row>
    <row r="784">
      <c r="A784" s="147">
        <v>46136.67438111111</v>
      </c>
      <c r="B784" s="148" t="s">
        <v>1431</v>
      </c>
      <c r="C784" s="87" t="s">
        <v>1848</v>
      </c>
      <c r="D784" s="37">
        <v>624156.7165131111</v>
      </c>
      <c r="E784" s="37" t="s">
        <v>1034</v>
      </c>
      <c r="F784" s="87" t="s">
        <v>367</v>
      </c>
    </row>
    <row r="785">
      <c r="A785" s="147">
        <v>46136.67438111111</v>
      </c>
      <c r="B785" s="148" t="s">
        <v>1702</v>
      </c>
      <c r="C785" s="87" t="s">
        <v>1845</v>
      </c>
      <c r="D785" s="37" t="s">
        <v>1034</v>
      </c>
      <c r="E785" s="37">
        <v>624156.7165131111</v>
      </c>
      <c r="F785" s="87" t="s">
        <v>367</v>
      </c>
    </row>
    <row r="786">
      <c r="A786" s="147">
        <v>46137.00980777778</v>
      </c>
      <c r="B786" s="148" t="s">
        <v>1586</v>
      </c>
      <c r="C786" s="87" t="s">
        <v>1849</v>
      </c>
      <c r="D786" s="37">
        <v>362533.0</v>
      </c>
      <c r="E786" s="37" t="s">
        <v>1034</v>
      </c>
      <c r="F786" s="87" t="s">
        <v>368</v>
      </c>
    </row>
    <row r="787">
      <c r="A787" s="147">
        <v>46137.00980777778</v>
      </c>
      <c r="B787" s="148" t="s">
        <v>1035</v>
      </c>
      <c r="C787" s="87" t="s">
        <v>1850</v>
      </c>
      <c r="D787" s="37" t="s">
        <v>1034</v>
      </c>
      <c r="E787" s="37">
        <v>362533.0</v>
      </c>
      <c r="F787" s="87" t="s">
        <v>368</v>
      </c>
    </row>
    <row r="788">
      <c r="A788" s="147">
        <v>46137.009817777776</v>
      </c>
      <c r="B788" s="148" t="s">
        <v>1586</v>
      </c>
      <c r="C788" s="87" t="s">
        <v>1851</v>
      </c>
      <c r="D788" s="37">
        <v>767717.0</v>
      </c>
      <c r="E788" s="37" t="s">
        <v>1034</v>
      </c>
      <c r="F788" s="87" t="s">
        <v>370</v>
      </c>
    </row>
    <row r="789">
      <c r="A789" s="147">
        <v>46137.009817777776</v>
      </c>
      <c r="B789" s="148" t="s">
        <v>1035</v>
      </c>
      <c r="C789" s="87" t="s">
        <v>1852</v>
      </c>
      <c r="D789" s="37" t="s">
        <v>1034</v>
      </c>
      <c r="E789" s="37">
        <v>767717.0</v>
      </c>
      <c r="F789" s="87" t="s">
        <v>370</v>
      </c>
    </row>
    <row r="790">
      <c r="A790" s="147">
        <v>46137.393805555555</v>
      </c>
      <c r="B790" s="148" t="s">
        <v>1217</v>
      </c>
      <c r="C790" s="87" t="s">
        <v>1853</v>
      </c>
      <c r="D790" s="37">
        <v>26000.0</v>
      </c>
      <c r="E790" s="37" t="s">
        <v>1034</v>
      </c>
      <c r="F790" s="87" t="s">
        <v>365</v>
      </c>
    </row>
    <row r="791">
      <c r="A791" s="147">
        <v>46137.393805555555</v>
      </c>
      <c r="B791" s="148" t="s">
        <v>1702</v>
      </c>
      <c r="C791" s="87" t="s">
        <v>1841</v>
      </c>
      <c r="D791" s="37" t="s">
        <v>1034</v>
      </c>
      <c r="E791" s="37">
        <v>26000.0</v>
      </c>
      <c r="F791" s="87" t="s">
        <v>365</v>
      </c>
    </row>
    <row r="792">
      <c r="A792" s="147">
        <v>46139.48411333333</v>
      </c>
      <c r="B792" s="148" t="s">
        <v>1560</v>
      </c>
      <c r="C792" s="87" t="s">
        <v>1854</v>
      </c>
      <c r="D792" s="37">
        <v>362533.0</v>
      </c>
      <c r="E792" s="37" t="s">
        <v>1034</v>
      </c>
      <c r="F792" s="87" t="s">
        <v>368</v>
      </c>
    </row>
    <row r="793">
      <c r="A793" s="147">
        <v>46139.48411333333</v>
      </c>
      <c r="B793" s="148" t="s">
        <v>1702</v>
      </c>
      <c r="C793" s="87" t="s">
        <v>1849</v>
      </c>
      <c r="D793" s="37" t="s">
        <v>1034</v>
      </c>
      <c r="E793" s="37">
        <v>362533.0</v>
      </c>
      <c r="F793" s="87" t="s">
        <v>368</v>
      </c>
    </row>
    <row r="794">
      <c r="A794" s="147">
        <v>46139.58898444444</v>
      </c>
      <c r="B794" s="148" t="s">
        <v>1354</v>
      </c>
      <c r="C794" s="87" t="s">
        <v>1855</v>
      </c>
      <c r="D794" s="37">
        <v>767717.0</v>
      </c>
      <c r="E794" s="37" t="s">
        <v>1034</v>
      </c>
      <c r="F794" s="87" t="s">
        <v>370</v>
      </c>
    </row>
    <row r="795">
      <c r="A795" s="147">
        <v>46139.58898444444</v>
      </c>
      <c r="B795" s="148" t="s">
        <v>1702</v>
      </c>
      <c r="C795" s="87" t="s">
        <v>1851</v>
      </c>
      <c r="D795" s="37" t="s">
        <v>1034</v>
      </c>
      <c r="E795" s="37">
        <v>767717.0</v>
      </c>
      <c r="F795" s="87" t="s">
        <v>370</v>
      </c>
    </row>
    <row r="796">
      <c r="A796" s="147">
        <v>46142.65979222222</v>
      </c>
      <c r="B796" s="148" t="s">
        <v>1011</v>
      </c>
      <c r="C796" s="87" t="s">
        <v>1856</v>
      </c>
      <c r="D796" s="37">
        <v>117100.0</v>
      </c>
      <c r="E796" s="37" t="s">
        <v>1034</v>
      </c>
      <c r="F796" s="87" t="s">
        <v>1012</v>
      </c>
    </row>
    <row r="797">
      <c r="A797" s="147">
        <v>46142.65979222222</v>
      </c>
      <c r="B797" s="148" t="s">
        <v>1035</v>
      </c>
      <c r="C797" s="87" t="s">
        <v>1857</v>
      </c>
      <c r="D797" s="37" t="s">
        <v>1034</v>
      </c>
      <c r="E797" s="37">
        <v>117100.0</v>
      </c>
      <c r="F797" s="87" t="s">
        <v>1012</v>
      </c>
    </row>
    <row r="798">
      <c r="A798" s="147">
        <v>46147.01052222223</v>
      </c>
      <c r="B798" s="148" t="s">
        <v>1586</v>
      </c>
      <c r="C798" s="87" t="s">
        <v>1858</v>
      </c>
      <c r="D798" s="37">
        <v>234037.00000000003</v>
      </c>
      <c r="E798" s="37" t="s">
        <v>1034</v>
      </c>
      <c r="F798" s="87" t="s">
        <v>372</v>
      </c>
    </row>
    <row r="799">
      <c r="A799" s="147">
        <v>46147.01052222223</v>
      </c>
      <c r="B799" s="148" t="s">
        <v>1035</v>
      </c>
      <c r="C799" s="87" t="s">
        <v>1859</v>
      </c>
      <c r="D799" s="37" t="s">
        <v>1034</v>
      </c>
      <c r="E799" s="37">
        <v>234037.00000000003</v>
      </c>
      <c r="F799" s="87" t="s">
        <v>372</v>
      </c>
    </row>
    <row r="800">
      <c r="A800" s="147">
        <v>46147.01053222222</v>
      </c>
      <c r="B800" s="148" t="s">
        <v>1586</v>
      </c>
      <c r="C800" s="87" t="s">
        <v>1860</v>
      </c>
      <c r="D800" s="37">
        <v>5002055.145619859</v>
      </c>
      <c r="E800" s="37" t="s">
        <v>1034</v>
      </c>
      <c r="F800" s="87" t="s">
        <v>374</v>
      </c>
    </row>
    <row r="801">
      <c r="A801" s="147">
        <v>46147.01053222222</v>
      </c>
      <c r="B801" s="148" t="s">
        <v>1035</v>
      </c>
      <c r="C801" s="87" t="s">
        <v>1861</v>
      </c>
      <c r="D801" s="37" t="s">
        <v>1034</v>
      </c>
      <c r="E801" s="37">
        <v>5002055.145619859</v>
      </c>
      <c r="F801" s="87" t="s">
        <v>374</v>
      </c>
    </row>
    <row r="802">
      <c r="A802" s="147">
        <v>46147.010542222226</v>
      </c>
      <c r="B802" s="148" t="s">
        <v>1586</v>
      </c>
      <c r="C802" s="87" t="s">
        <v>1862</v>
      </c>
      <c r="D802" s="37">
        <v>796431.5823351134</v>
      </c>
      <c r="E802" s="37" t="s">
        <v>1034</v>
      </c>
      <c r="F802" s="87" t="s">
        <v>374</v>
      </c>
    </row>
    <row r="803">
      <c r="A803" s="147">
        <v>46147.010542222226</v>
      </c>
      <c r="B803" s="148" t="s">
        <v>1035</v>
      </c>
      <c r="C803" s="87" t="s">
        <v>1863</v>
      </c>
      <c r="D803" s="37" t="s">
        <v>1034</v>
      </c>
      <c r="E803" s="37">
        <v>796431.5823351134</v>
      </c>
      <c r="F803" s="87" t="s">
        <v>374</v>
      </c>
    </row>
    <row r="804">
      <c r="A804" s="147">
        <v>46147.01055222222</v>
      </c>
      <c r="B804" s="148" t="s">
        <v>1586</v>
      </c>
      <c r="C804" s="87" t="s">
        <v>1864</v>
      </c>
      <c r="D804" s="37">
        <v>395087.2720450282</v>
      </c>
      <c r="E804" s="37" t="s">
        <v>1034</v>
      </c>
      <c r="F804" s="87" t="s">
        <v>374</v>
      </c>
    </row>
    <row r="805">
      <c r="A805" s="147">
        <v>46147.01055222222</v>
      </c>
      <c r="B805" s="148" t="s">
        <v>1035</v>
      </c>
      <c r="C805" s="87" t="s">
        <v>1865</v>
      </c>
      <c r="D805" s="37" t="s">
        <v>1034</v>
      </c>
      <c r="E805" s="37">
        <v>395087.2720450282</v>
      </c>
      <c r="F805" s="87" t="s">
        <v>374</v>
      </c>
    </row>
    <row r="806">
      <c r="A806" s="147">
        <v>46147.010562222225</v>
      </c>
      <c r="B806" s="148" t="s">
        <v>1586</v>
      </c>
      <c r="C806" s="87" t="s">
        <v>1866</v>
      </c>
      <c r="D806" s="37">
        <v>68012.99999999999</v>
      </c>
      <c r="E806" s="37" t="s">
        <v>1034</v>
      </c>
      <c r="F806" s="87" t="s">
        <v>376</v>
      </c>
    </row>
    <row r="807">
      <c r="A807" s="147">
        <v>46147.010562222225</v>
      </c>
      <c r="B807" s="148" t="s">
        <v>1035</v>
      </c>
      <c r="C807" s="87" t="s">
        <v>1867</v>
      </c>
      <c r="D807" s="37" t="s">
        <v>1034</v>
      </c>
      <c r="E807" s="37">
        <v>68012.99999999999</v>
      </c>
      <c r="F807" s="87" t="s">
        <v>376</v>
      </c>
    </row>
    <row r="808">
      <c r="A808" s="147">
        <v>46147.54214666667</v>
      </c>
      <c r="B808" s="148" t="s">
        <v>1248</v>
      </c>
      <c r="C808" s="87" t="s">
        <v>1868</v>
      </c>
      <c r="D808" s="37">
        <v>353681.16279069777</v>
      </c>
      <c r="E808" s="37" t="s">
        <v>1034</v>
      </c>
      <c r="F808" s="87" t="s">
        <v>1034</v>
      </c>
    </row>
    <row r="809">
      <c r="A809" s="147">
        <v>46147.54214666667</v>
      </c>
      <c r="B809" s="148" t="s">
        <v>1869</v>
      </c>
      <c r="C809" s="87" t="s">
        <v>1870</v>
      </c>
      <c r="D809" s="37" t="s">
        <v>1034</v>
      </c>
      <c r="E809" s="37">
        <v>353681.16279069777</v>
      </c>
      <c r="F809" s="87" t="s">
        <v>1034</v>
      </c>
    </row>
    <row r="810">
      <c r="A810" s="147">
        <v>46147.54215666666</v>
      </c>
      <c r="B810" s="148" t="s">
        <v>1871</v>
      </c>
      <c r="C810" s="87" t="s">
        <v>1872</v>
      </c>
      <c r="D810" s="37">
        <v>2124927.48</v>
      </c>
      <c r="E810" s="37" t="s">
        <v>1034</v>
      </c>
      <c r="F810" s="87" t="s">
        <v>1034</v>
      </c>
    </row>
    <row r="811">
      <c r="A811" s="147">
        <v>46147.54215666666</v>
      </c>
      <c r="B811" s="148" t="s">
        <v>1873</v>
      </c>
      <c r="C811" s="87" t="s">
        <v>1874</v>
      </c>
      <c r="D811" s="37" t="s">
        <v>1034</v>
      </c>
      <c r="E811" s="37">
        <v>2124927.48</v>
      </c>
      <c r="F811" s="87" t="s">
        <v>1034</v>
      </c>
    </row>
    <row r="812">
      <c r="A812" s="147">
        <v>46147.7501</v>
      </c>
      <c r="B812" s="148" t="s">
        <v>1015</v>
      </c>
      <c r="C812" s="87" t="s">
        <v>1875</v>
      </c>
      <c r="D812" s="37">
        <v>54250.0</v>
      </c>
      <c r="E812" s="37" t="s">
        <v>1034</v>
      </c>
      <c r="F812" s="87" t="s">
        <v>1016</v>
      </c>
    </row>
    <row r="813">
      <c r="A813" s="147">
        <v>46147.7501</v>
      </c>
      <c r="B813" s="148" t="s">
        <v>1035</v>
      </c>
      <c r="C813" s="87" t="s">
        <v>1876</v>
      </c>
      <c r="D813" s="37" t="s">
        <v>1034</v>
      </c>
      <c r="E813" s="37">
        <v>54250.0</v>
      </c>
      <c r="F813" s="87" t="s">
        <v>1016</v>
      </c>
    </row>
    <row r="814">
      <c r="A814" s="147">
        <v>46147.82718888889</v>
      </c>
      <c r="B814" s="148" t="s">
        <v>1354</v>
      </c>
      <c r="C814" s="87" t="s">
        <v>1877</v>
      </c>
      <c r="D814" s="37">
        <v>234037.00000000003</v>
      </c>
      <c r="E814" s="37" t="s">
        <v>1034</v>
      </c>
      <c r="F814" s="87" t="s">
        <v>372</v>
      </c>
    </row>
    <row r="815">
      <c r="A815" s="147">
        <v>46147.82718888889</v>
      </c>
      <c r="B815" s="148" t="s">
        <v>1702</v>
      </c>
      <c r="C815" s="87" t="s">
        <v>1858</v>
      </c>
      <c r="D815" s="37" t="s">
        <v>1034</v>
      </c>
      <c r="E815" s="37">
        <v>234037.00000000003</v>
      </c>
      <c r="F815" s="87" t="s">
        <v>372</v>
      </c>
    </row>
    <row r="816">
      <c r="A816" s="147">
        <v>46148.40289333333</v>
      </c>
      <c r="B816" s="148" t="s">
        <v>1292</v>
      </c>
      <c r="C816" s="87" t="s">
        <v>1878</v>
      </c>
      <c r="D816" s="37">
        <v>5002055.145619859</v>
      </c>
      <c r="E816" s="37" t="s">
        <v>1034</v>
      </c>
      <c r="F816" s="87" t="s">
        <v>374</v>
      </c>
    </row>
    <row r="817">
      <c r="A817" s="147">
        <v>46148.40289333333</v>
      </c>
      <c r="B817" s="148" t="s">
        <v>1702</v>
      </c>
      <c r="C817" s="87" t="s">
        <v>1860</v>
      </c>
      <c r="D817" s="37" t="s">
        <v>1034</v>
      </c>
      <c r="E817" s="37">
        <v>5002055.145619859</v>
      </c>
      <c r="F817" s="87" t="s">
        <v>374</v>
      </c>
    </row>
    <row r="818">
      <c r="A818" s="147">
        <v>46148.402903333335</v>
      </c>
      <c r="B818" s="148" t="s">
        <v>1298</v>
      </c>
      <c r="C818" s="87" t="s">
        <v>1879</v>
      </c>
      <c r="D818" s="37">
        <v>796431.5823351134</v>
      </c>
      <c r="E818" s="37" t="s">
        <v>1034</v>
      </c>
      <c r="F818" s="87" t="s">
        <v>374</v>
      </c>
    </row>
    <row r="819">
      <c r="A819" s="147">
        <v>46148.402903333335</v>
      </c>
      <c r="B819" s="148" t="s">
        <v>1702</v>
      </c>
      <c r="C819" s="87" t="s">
        <v>1862</v>
      </c>
      <c r="D819" s="37" t="s">
        <v>1034</v>
      </c>
      <c r="E819" s="37">
        <v>796431.5823351134</v>
      </c>
      <c r="F819" s="87" t="s">
        <v>374</v>
      </c>
    </row>
    <row r="820">
      <c r="A820" s="147">
        <v>46148.40291333333</v>
      </c>
      <c r="B820" s="148" t="s">
        <v>1193</v>
      </c>
      <c r="C820" s="87" t="s">
        <v>1880</v>
      </c>
      <c r="D820" s="37">
        <v>395087.2720450282</v>
      </c>
      <c r="E820" s="37" t="s">
        <v>1034</v>
      </c>
      <c r="F820" s="87" t="s">
        <v>374</v>
      </c>
    </row>
    <row r="821">
      <c r="A821" s="147">
        <v>46148.40291333333</v>
      </c>
      <c r="B821" s="148" t="s">
        <v>1702</v>
      </c>
      <c r="C821" s="87" t="s">
        <v>1864</v>
      </c>
      <c r="D821" s="37" t="s">
        <v>1034</v>
      </c>
      <c r="E821" s="37">
        <v>395087.2720450282</v>
      </c>
      <c r="F821" s="87" t="s">
        <v>374</v>
      </c>
    </row>
    <row r="822">
      <c r="A822" s="147">
        <v>46149.56125666667</v>
      </c>
      <c r="B822" s="148" t="s">
        <v>1560</v>
      </c>
      <c r="C822" s="87" t="s">
        <v>1881</v>
      </c>
      <c r="D822" s="37">
        <v>68012.99999999999</v>
      </c>
      <c r="E822" s="37" t="s">
        <v>1034</v>
      </c>
      <c r="F822" s="87" t="s">
        <v>376</v>
      </c>
    </row>
    <row r="823">
      <c r="A823" s="147">
        <v>46149.56125666667</v>
      </c>
      <c r="B823" s="148" t="s">
        <v>1702</v>
      </c>
      <c r="C823" s="87" t="s">
        <v>1866</v>
      </c>
      <c r="D823" s="37" t="s">
        <v>1034</v>
      </c>
      <c r="E823" s="37">
        <v>68012.99999999999</v>
      </c>
      <c r="F823" s="87" t="s">
        <v>376</v>
      </c>
    </row>
    <row r="824">
      <c r="A824" s="147">
        <v>46150.936266666664</v>
      </c>
      <c r="B824" s="148" t="s">
        <v>1378</v>
      </c>
      <c r="C824" s="87" t="s">
        <v>1882</v>
      </c>
      <c r="D824" s="37">
        <v>7398807.607712686</v>
      </c>
      <c r="E824" s="37" t="s">
        <v>1034</v>
      </c>
      <c r="F824" s="87" t="s">
        <v>378</v>
      </c>
    </row>
    <row r="825">
      <c r="A825" s="147">
        <v>46150.936266666664</v>
      </c>
      <c r="B825" s="148" t="s">
        <v>1035</v>
      </c>
      <c r="C825" s="87" t="s">
        <v>1883</v>
      </c>
      <c r="D825" s="37" t="s">
        <v>1034</v>
      </c>
      <c r="E825" s="37">
        <v>7398807.607712686</v>
      </c>
      <c r="F825" s="87" t="s">
        <v>378</v>
      </c>
    </row>
    <row r="826">
      <c r="A826" s="147">
        <v>46150.93627666667</v>
      </c>
      <c r="B826" s="148" t="s">
        <v>1378</v>
      </c>
      <c r="C826" s="87" t="s">
        <v>1884</v>
      </c>
      <c r="D826" s="37">
        <v>1.5364855137939965E7</v>
      </c>
      <c r="E826" s="37" t="s">
        <v>1034</v>
      </c>
      <c r="F826" s="87" t="s">
        <v>379</v>
      </c>
    </row>
    <row r="827">
      <c r="A827" s="147">
        <v>46150.93627666667</v>
      </c>
      <c r="B827" s="148" t="s">
        <v>1035</v>
      </c>
      <c r="C827" s="87" t="s">
        <v>1885</v>
      </c>
      <c r="D827" s="37" t="s">
        <v>1034</v>
      </c>
      <c r="E827" s="37">
        <v>1.5364855137939965E7</v>
      </c>
      <c r="F827" s="87" t="s">
        <v>379</v>
      </c>
    </row>
    <row r="828">
      <c r="A828" s="147">
        <v>46150.93628666667</v>
      </c>
      <c r="B828" s="148" t="s">
        <v>1378</v>
      </c>
      <c r="C828" s="87" t="s">
        <v>1886</v>
      </c>
      <c r="D828" s="37">
        <v>1.1140134576459572E7</v>
      </c>
      <c r="E828" s="37" t="s">
        <v>1034</v>
      </c>
      <c r="F828" s="87" t="s">
        <v>382</v>
      </c>
    </row>
    <row r="829">
      <c r="A829" s="147">
        <v>46150.93628666667</v>
      </c>
      <c r="B829" s="148" t="s">
        <v>1035</v>
      </c>
      <c r="C829" s="87" t="s">
        <v>1887</v>
      </c>
      <c r="D829" s="37" t="s">
        <v>1034</v>
      </c>
      <c r="E829" s="37">
        <v>1.1140134576459572E7</v>
      </c>
      <c r="F829" s="87" t="s">
        <v>382</v>
      </c>
    </row>
    <row r="830">
      <c r="A830" s="147">
        <v>46150.93629666667</v>
      </c>
      <c r="B830" s="148" t="s">
        <v>1378</v>
      </c>
      <c r="C830" s="87" t="s">
        <v>1888</v>
      </c>
      <c r="D830" s="37">
        <v>3231146.935577555</v>
      </c>
      <c r="E830" s="37" t="s">
        <v>1034</v>
      </c>
      <c r="F830" s="87" t="s">
        <v>384</v>
      </c>
    </row>
    <row r="831">
      <c r="A831" s="147">
        <v>46150.93629666667</v>
      </c>
      <c r="B831" s="148" t="s">
        <v>1035</v>
      </c>
      <c r="C831" s="87" t="s">
        <v>1889</v>
      </c>
      <c r="D831" s="37" t="s">
        <v>1034</v>
      </c>
      <c r="E831" s="37">
        <v>3231146.935577555</v>
      </c>
      <c r="F831" s="87" t="s">
        <v>384</v>
      </c>
    </row>
    <row r="832">
      <c r="A832" s="147">
        <v>46150.93630666667</v>
      </c>
      <c r="B832" s="148" t="s">
        <v>1378</v>
      </c>
      <c r="C832" s="87" t="s">
        <v>1890</v>
      </c>
      <c r="D832" s="37">
        <v>1.292458774231022E7</v>
      </c>
      <c r="E832" s="37" t="s">
        <v>1034</v>
      </c>
      <c r="F832" s="87" t="s">
        <v>384</v>
      </c>
    </row>
    <row r="833">
      <c r="A833" s="147">
        <v>46150.93630666667</v>
      </c>
      <c r="B833" s="148" t="s">
        <v>1035</v>
      </c>
      <c r="C833" s="87" t="s">
        <v>1891</v>
      </c>
      <c r="D833" s="37" t="s">
        <v>1034</v>
      </c>
      <c r="E833" s="37">
        <v>1.292458774231022E7</v>
      </c>
      <c r="F833" s="87" t="s">
        <v>384</v>
      </c>
    </row>
    <row r="834">
      <c r="A834" s="147">
        <v>46152.69734222222</v>
      </c>
      <c r="B834" s="148" t="s">
        <v>1009</v>
      </c>
      <c r="C834" s="87" t="s">
        <v>1892</v>
      </c>
      <c r="D834" s="37">
        <v>527880.0</v>
      </c>
      <c r="E834" s="37" t="s">
        <v>1034</v>
      </c>
      <c r="F834" s="87" t="s">
        <v>1018</v>
      </c>
    </row>
    <row r="835">
      <c r="A835" s="147">
        <v>46152.69734222222</v>
      </c>
      <c r="B835" s="148" t="s">
        <v>1035</v>
      </c>
      <c r="C835" s="87" t="s">
        <v>1893</v>
      </c>
      <c r="D835" s="37" t="s">
        <v>1034</v>
      </c>
      <c r="E835" s="37">
        <v>527880.0</v>
      </c>
      <c r="F835" s="87" t="s">
        <v>1018</v>
      </c>
    </row>
    <row r="836">
      <c r="A836" s="147">
        <v>46152.70497111111</v>
      </c>
      <c r="B836" s="148" t="s">
        <v>1009</v>
      </c>
      <c r="C836" s="87" t="s">
        <v>1894</v>
      </c>
      <c r="D836" s="37">
        <v>26500.0</v>
      </c>
      <c r="E836" s="37" t="s">
        <v>1034</v>
      </c>
      <c r="F836" s="87" t="s">
        <v>1017</v>
      </c>
    </row>
    <row r="837">
      <c r="A837" s="147">
        <v>46152.70497111111</v>
      </c>
      <c r="B837" s="148" t="s">
        <v>1035</v>
      </c>
      <c r="C837" s="87" t="s">
        <v>1895</v>
      </c>
      <c r="D837" s="37" t="s">
        <v>1034</v>
      </c>
      <c r="E837" s="37">
        <v>26500.0</v>
      </c>
      <c r="F837" s="87" t="s">
        <v>1017</v>
      </c>
    </row>
    <row r="838">
      <c r="A838" s="147">
        <v>46154.382844444444</v>
      </c>
      <c r="B838" s="148" t="s">
        <v>1586</v>
      </c>
      <c r="C838" s="87" t="s">
        <v>1896</v>
      </c>
      <c r="D838" s="37">
        <v>503388.0</v>
      </c>
      <c r="E838" s="37" t="s">
        <v>1034</v>
      </c>
      <c r="F838" s="87" t="s">
        <v>387</v>
      </c>
    </row>
    <row r="839">
      <c r="A839" s="147">
        <v>46154.382844444444</v>
      </c>
      <c r="B839" s="148" t="s">
        <v>1035</v>
      </c>
      <c r="C839" s="87" t="s">
        <v>1897</v>
      </c>
      <c r="D839" s="37" t="s">
        <v>1034</v>
      </c>
      <c r="E839" s="37">
        <v>503388.0</v>
      </c>
      <c r="F839" s="87" t="s">
        <v>387</v>
      </c>
    </row>
    <row r="840">
      <c r="A840" s="147">
        <v>46154.61478888889</v>
      </c>
      <c r="B840" s="148" t="s">
        <v>1183</v>
      </c>
      <c r="C840" s="87" t="s">
        <v>1898</v>
      </c>
      <c r="D840" s="37">
        <v>503388.0</v>
      </c>
      <c r="E840" s="37" t="s">
        <v>1034</v>
      </c>
      <c r="F840" s="87" t="s">
        <v>387</v>
      </c>
    </row>
    <row r="841">
      <c r="A841" s="147">
        <v>46154.61478888889</v>
      </c>
      <c r="B841" s="148" t="s">
        <v>1702</v>
      </c>
      <c r="C841" s="87" t="s">
        <v>1896</v>
      </c>
      <c r="D841" s="37" t="s">
        <v>1034</v>
      </c>
      <c r="E841" s="37">
        <v>503388.0</v>
      </c>
      <c r="F841" s="87" t="s">
        <v>387</v>
      </c>
    </row>
    <row r="842">
      <c r="A842" s="147">
        <v>46158.59250111111</v>
      </c>
      <c r="B842" s="148" t="s">
        <v>1019</v>
      </c>
      <c r="C842" s="87" t="s">
        <v>1899</v>
      </c>
      <c r="D842" s="37">
        <v>19506.0</v>
      </c>
      <c r="E842" s="37" t="s">
        <v>1034</v>
      </c>
      <c r="F842" s="87" t="s">
        <v>1020</v>
      </c>
    </row>
    <row r="843">
      <c r="A843" s="147">
        <v>46158.59250111111</v>
      </c>
      <c r="B843" s="148" t="s">
        <v>1035</v>
      </c>
      <c r="C843" s="87" t="s">
        <v>1900</v>
      </c>
      <c r="D843" s="37" t="s">
        <v>1034</v>
      </c>
      <c r="E843" s="37">
        <v>19506.0</v>
      </c>
      <c r="F843" s="87" t="s">
        <v>1020</v>
      </c>
    </row>
    <row r="844">
      <c r="A844" s="147">
        <v>46158.593271111116</v>
      </c>
      <c r="B844" s="148" t="s">
        <v>1586</v>
      </c>
      <c r="C844" s="87" t="s">
        <v>1901</v>
      </c>
      <c r="D844" s="37">
        <v>301929.00000000006</v>
      </c>
      <c r="E844" s="37" t="s">
        <v>1034</v>
      </c>
      <c r="F844" s="87" t="s">
        <v>389</v>
      </c>
    </row>
    <row r="845">
      <c r="A845" s="147">
        <v>46158.593271111116</v>
      </c>
      <c r="B845" s="148" t="s">
        <v>1035</v>
      </c>
      <c r="C845" s="87" t="s">
        <v>1902</v>
      </c>
      <c r="D845" s="37" t="s">
        <v>1034</v>
      </c>
      <c r="E845" s="37">
        <v>301929.00000000006</v>
      </c>
      <c r="F845" s="87" t="s">
        <v>389</v>
      </c>
    </row>
    <row r="846">
      <c r="A846" s="147">
        <v>46158.59328111111</v>
      </c>
      <c r="B846" s="148" t="s">
        <v>1586</v>
      </c>
      <c r="C846" s="87" t="s">
        <v>1903</v>
      </c>
      <c r="D846" s="37">
        <v>220333.14018691587</v>
      </c>
      <c r="E846" s="37" t="s">
        <v>1034</v>
      </c>
      <c r="F846" s="87" t="s">
        <v>391</v>
      </c>
    </row>
    <row r="847">
      <c r="A847" s="147">
        <v>46158.59328111111</v>
      </c>
      <c r="B847" s="148" t="s">
        <v>1035</v>
      </c>
      <c r="C847" s="87" t="s">
        <v>1904</v>
      </c>
      <c r="D847" s="37" t="s">
        <v>1034</v>
      </c>
      <c r="E847" s="37">
        <v>220333.14018691587</v>
      </c>
      <c r="F847" s="87" t="s">
        <v>391</v>
      </c>
    </row>
    <row r="848">
      <c r="A848" s="147">
        <v>46158.593291111116</v>
      </c>
      <c r="B848" s="148" t="s">
        <v>1586</v>
      </c>
      <c r="C848" s="87" t="s">
        <v>1905</v>
      </c>
      <c r="D848" s="37">
        <v>202273.04672897194</v>
      </c>
      <c r="E848" s="37" t="s">
        <v>1034</v>
      </c>
      <c r="F848" s="87" t="s">
        <v>391</v>
      </c>
    </row>
    <row r="849">
      <c r="A849" s="147">
        <v>46158.593291111116</v>
      </c>
      <c r="B849" s="148" t="s">
        <v>1035</v>
      </c>
      <c r="C849" s="87" t="s">
        <v>1906</v>
      </c>
      <c r="D849" s="37" t="s">
        <v>1034</v>
      </c>
      <c r="E849" s="37">
        <v>202273.04672897194</v>
      </c>
      <c r="F849" s="87" t="s">
        <v>391</v>
      </c>
    </row>
    <row r="850">
      <c r="A850" s="147">
        <v>46158.59330111111</v>
      </c>
      <c r="B850" s="148" t="s">
        <v>1586</v>
      </c>
      <c r="C850" s="87" t="s">
        <v>1907</v>
      </c>
      <c r="D850" s="37">
        <v>157122.81308411216</v>
      </c>
      <c r="E850" s="37" t="s">
        <v>1034</v>
      </c>
      <c r="F850" s="87" t="s">
        <v>391</v>
      </c>
    </row>
    <row r="851">
      <c r="A851" s="147">
        <v>46158.59330111111</v>
      </c>
      <c r="B851" s="148" t="s">
        <v>1035</v>
      </c>
      <c r="C851" s="87" t="s">
        <v>1908</v>
      </c>
      <c r="D851" s="37" t="s">
        <v>1034</v>
      </c>
      <c r="E851" s="37">
        <v>157122.81308411216</v>
      </c>
      <c r="F851" s="87" t="s">
        <v>391</v>
      </c>
    </row>
    <row r="852">
      <c r="A852" s="147">
        <v>46159.72653888889</v>
      </c>
      <c r="B852" s="148" t="s">
        <v>1004</v>
      </c>
      <c r="C852" s="87" t="s">
        <v>1909</v>
      </c>
      <c r="D852" s="37">
        <v>53976.0</v>
      </c>
      <c r="E852" s="37" t="s">
        <v>1034</v>
      </c>
      <c r="F852" s="87" t="s">
        <v>1021</v>
      </c>
    </row>
    <row r="853">
      <c r="A853" s="147">
        <v>46159.72653888889</v>
      </c>
      <c r="B853" s="148" t="s">
        <v>1035</v>
      </c>
      <c r="C853" s="87" t="s">
        <v>1910</v>
      </c>
      <c r="D853" s="37" t="s">
        <v>1034</v>
      </c>
      <c r="E853" s="37">
        <v>53976.0</v>
      </c>
      <c r="F853" s="87" t="s">
        <v>1021</v>
      </c>
    </row>
    <row r="854">
      <c r="A854" s="147">
        <v>46159.726548888895</v>
      </c>
      <c r="B854" s="148" t="s">
        <v>1004</v>
      </c>
      <c r="C854" s="87" t="s">
        <v>1911</v>
      </c>
      <c r="D854" s="37">
        <v>82204.0</v>
      </c>
      <c r="E854" s="37" t="s">
        <v>1034</v>
      </c>
      <c r="F854" s="87" t="s">
        <v>1022</v>
      </c>
    </row>
    <row r="855">
      <c r="A855" s="147">
        <v>46159.726548888895</v>
      </c>
      <c r="B855" s="148" t="s">
        <v>1035</v>
      </c>
      <c r="C855" s="87" t="s">
        <v>1912</v>
      </c>
      <c r="D855" s="37" t="s">
        <v>1034</v>
      </c>
      <c r="E855" s="37">
        <v>82204.0</v>
      </c>
      <c r="F855" s="87" t="s">
        <v>1022</v>
      </c>
    </row>
    <row r="856">
      <c r="A856" s="147">
        <v>46160.15233888889</v>
      </c>
      <c r="B856" s="148" t="s">
        <v>1586</v>
      </c>
      <c r="C856" s="87" t="s">
        <v>1913</v>
      </c>
      <c r="D856" s="37">
        <v>9857.000000000002</v>
      </c>
      <c r="E856" s="37" t="s">
        <v>1034</v>
      </c>
      <c r="F856" s="87" t="s">
        <v>394</v>
      </c>
    </row>
    <row r="857">
      <c r="A857" s="147">
        <v>46160.15233888889</v>
      </c>
      <c r="B857" s="148" t="s">
        <v>1035</v>
      </c>
      <c r="C857" s="87" t="s">
        <v>1914</v>
      </c>
      <c r="D857" s="37" t="s">
        <v>1034</v>
      </c>
      <c r="E857" s="37">
        <v>9857.000000000002</v>
      </c>
      <c r="F857" s="87" t="s">
        <v>394</v>
      </c>
    </row>
    <row r="858">
      <c r="A858" s="147">
        <v>46160.50994777778</v>
      </c>
      <c r="B858" s="148" t="s">
        <v>1915</v>
      </c>
      <c r="C858" s="87" t="s">
        <v>1916</v>
      </c>
      <c r="D858" s="37">
        <v>220333.14018691587</v>
      </c>
      <c r="E858" s="37" t="s">
        <v>1034</v>
      </c>
      <c r="F858" s="87" t="s">
        <v>391</v>
      </c>
    </row>
    <row r="859">
      <c r="A859" s="147">
        <v>46160.50994777778</v>
      </c>
      <c r="B859" s="148" t="s">
        <v>1702</v>
      </c>
      <c r="C859" s="87" t="s">
        <v>1903</v>
      </c>
      <c r="D859" s="37" t="s">
        <v>1034</v>
      </c>
      <c r="E859" s="37">
        <v>220333.14018691587</v>
      </c>
      <c r="F859" s="87" t="s">
        <v>391</v>
      </c>
    </row>
    <row r="860">
      <c r="A860" s="147">
        <v>46160.50995777778</v>
      </c>
      <c r="B860" s="148" t="s">
        <v>1917</v>
      </c>
      <c r="C860" s="87" t="s">
        <v>1918</v>
      </c>
      <c r="D860" s="37">
        <v>202273.04672897194</v>
      </c>
      <c r="E860" s="37" t="s">
        <v>1034</v>
      </c>
      <c r="F860" s="87" t="s">
        <v>391</v>
      </c>
    </row>
    <row r="861">
      <c r="A861" s="147">
        <v>46160.50995777778</v>
      </c>
      <c r="B861" s="148" t="s">
        <v>1702</v>
      </c>
      <c r="C861" s="87" t="s">
        <v>1905</v>
      </c>
      <c r="D861" s="37" t="s">
        <v>1034</v>
      </c>
      <c r="E861" s="37">
        <v>202273.04672897194</v>
      </c>
      <c r="F861" s="87" t="s">
        <v>391</v>
      </c>
    </row>
    <row r="862">
      <c r="A862" s="147">
        <v>46160.509967777776</v>
      </c>
      <c r="B862" s="148" t="s">
        <v>1919</v>
      </c>
      <c r="C862" s="87" t="s">
        <v>1920</v>
      </c>
      <c r="D862" s="37">
        <v>157122.81308411216</v>
      </c>
      <c r="E862" s="37" t="s">
        <v>1034</v>
      </c>
      <c r="F862" s="87" t="s">
        <v>391</v>
      </c>
    </row>
    <row r="863">
      <c r="A863" s="147">
        <v>46160.509967777776</v>
      </c>
      <c r="B863" s="148" t="s">
        <v>1702</v>
      </c>
      <c r="C863" s="87" t="s">
        <v>1907</v>
      </c>
      <c r="D863" s="37" t="s">
        <v>1034</v>
      </c>
      <c r="E863" s="37">
        <v>157122.81308411216</v>
      </c>
      <c r="F863" s="87" t="s">
        <v>391</v>
      </c>
    </row>
    <row r="864">
      <c r="A864" s="147">
        <v>46162.53707111111</v>
      </c>
      <c r="B864" s="148" t="s">
        <v>1586</v>
      </c>
      <c r="C864" s="87" t="s">
        <v>1921</v>
      </c>
      <c r="D864" s="37">
        <v>18694.999999999993</v>
      </c>
      <c r="E864" s="37" t="s">
        <v>1034</v>
      </c>
      <c r="F864" s="87" t="s">
        <v>396</v>
      </c>
    </row>
    <row r="865">
      <c r="A865" s="147">
        <v>46162.53707111111</v>
      </c>
      <c r="B865" s="148" t="s">
        <v>1035</v>
      </c>
      <c r="C865" s="87" t="s">
        <v>1922</v>
      </c>
      <c r="D865" s="37" t="s">
        <v>1034</v>
      </c>
      <c r="E865" s="37">
        <v>18694.999999999993</v>
      </c>
      <c r="F865" s="87" t="s">
        <v>396</v>
      </c>
    </row>
    <row r="866">
      <c r="A866" s="147">
        <v>46162.53777555556</v>
      </c>
      <c r="B866" s="148" t="s">
        <v>1586</v>
      </c>
      <c r="C866" s="87" t="s">
        <v>1923</v>
      </c>
      <c r="D866" s="37">
        <v>23716.0</v>
      </c>
      <c r="E866" s="37" t="s">
        <v>1034</v>
      </c>
      <c r="F866" s="87" t="s">
        <v>397</v>
      </c>
    </row>
    <row r="867">
      <c r="A867" s="147">
        <v>46162.53777555556</v>
      </c>
      <c r="B867" s="148" t="s">
        <v>1035</v>
      </c>
      <c r="C867" s="87" t="s">
        <v>1924</v>
      </c>
      <c r="D867" s="37" t="s">
        <v>1034</v>
      </c>
      <c r="E867" s="37">
        <v>23716.0</v>
      </c>
      <c r="F867" s="87" t="s">
        <v>397</v>
      </c>
    </row>
    <row r="868">
      <c r="A868" s="147">
        <v>46162.53917444444</v>
      </c>
      <c r="B868" s="148" t="s">
        <v>1586</v>
      </c>
      <c r="C868" s="87" t="s">
        <v>1925</v>
      </c>
      <c r="D868" s="37">
        <v>23925.0</v>
      </c>
      <c r="E868" s="37" t="s">
        <v>1034</v>
      </c>
      <c r="F868" s="87" t="s">
        <v>399</v>
      </c>
    </row>
    <row r="869">
      <c r="A869" s="147">
        <v>46162.53917444444</v>
      </c>
      <c r="B869" s="148" t="s">
        <v>1035</v>
      </c>
      <c r="C869" s="87" t="s">
        <v>1926</v>
      </c>
      <c r="D869" s="37" t="s">
        <v>1034</v>
      </c>
      <c r="E869" s="37">
        <v>23925.0</v>
      </c>
      <c r="F869" s="87" t="s">
        <v>399</v>
      </c>
    </row>
    <row r="870">
      <c r="A870" s="147">
        <v>46162.55442222222</v>
      </c>
      <c r="B870" s="148" t="s">
        <v>1217</v>
      </c>
      <c r="C870" s="87" t="s">
        <v>1927</v>
      </c>
      <c r="D870" s="37">
        <v>9857.000000000002</v>
      </c>
      <c r="E870" s="37" t="s">
        <v>1034</v>
      </c>
      <c r="F870" s="87" t="s">
        <v>394</v>
      </c>
    </row>
    <row r="871">
      <c r="A871" s="147">
        <v>46162.55442222222</v>
      </c>
      <c r="B871" s="148" t="s">
        <v>1702</v>
      </c>
      <c r="C871" s="87" t="s">
        <v>1913</v>
      </c>
      <c r="D871" s="37" t="s">
        <v>1034</v>
      </c>
      <c r="E871" s="37">
        <v>9857.000000000002</v>
      </c>
      <c r="F871" s="87" t="s">
        <v>394</v>
      </c>
    </row>
    <row r="872">
      <c r="A872" s="147">
        <v>46163.37174333334</v>
      </c>
      <c r="B872" s="148" t="s">
        <v>1165</v>
      </c>
      <c r="C872" s="87" t="s">
        <v>1928</v>
      </c>
      <c r="D872" s="37">
        <v>301929.00000000006</v>
      </c>
      <c r="E872" s="37" t="s">
        <v>1034</v>
      </c>
      <c r="F872" s="87" t="s">
        <v>389</v>
      </c>
    </row>
    <row r="873">
      <c r="A873" s="147">
        <v>46163.37174333334</v>
      </c>
      <c r="B873" s="148" t="s">
        <v>1702</v>
      </c>
      <c r="C873" s="87" t="s">
        <v>1901</v>
      </c>
      <c r="D873" s="37" t="s">
        <v>1034</v>
      </c>
      <c r="E873" s="37">
        <v>301929.00000000006</v>
      </c>
      <c r="F873" s="87" t="s">
        <v>389</v>
      </c>
    </row>
    <row r="874">
      <c r="A874" s="147">
        <v>46163.45374777778</v>
      </c>
      <c r="B874" s="148" t="s">
        <v>1241</v>
      </c>
      <c r="C874" s="87" t="s">
        <v>1929</v>
      </c>
      <c r="D874" s="37">
        <v>23716.0</v>
      </c>
      <c r="E874" s="37" t="s">
        <v>1034</v>
      </c>
      <c r="F874" s="87" t="s">
        <v>397</v>
      </c>
    </row>
    <row r="875">
      <c r="A875" s="147">
        <v>46163.45374777778</v>
      </c>
      <c r="B875" s="148" t="s">
        <v>1702</v>
      </c>
      <c r="C875" s="87" t="s">
        <v>1923</v>
      </c>
      <c r="D875" s="37" t="s">
        <v>1034</v>
      </c>
      <c r="E875" s="37">
        <v>23716.0</v>
      </c>
      <c r="F875" s="87" t="s">
        <v>397</v>
      </c>
    </row>
    <row r="876">
      <c r="A876" s="147">
        <v>46164.67804333333</v>
      </c>
      <c r="B876" s="148" t="s">
        <v>1241</v>
      </c>
      <c r="C876" s="87" t="s">
        <v>1930</v>
      </c>
      <c r="D876" s="37">
        <v>18694.999999999993</v>
      </c>
      <c r="E876" s="37" t="s">
        <v>1034</v>
      </c>
      <c r="F876" s="87" t="s">
        <v>396</v>
      </c>
    </row>
    <row r="877">
      <c r="A877" s="147">
        <v>46164.67804333333</v>
      </c>
      <c r="B877" s="148" t="s">
        <v>1702</v>
      </c>
      <c r="C877" s="87" t="s">
        <v>1921</v>
      </c>
      <c r="D877" s="37" t="s">
        <v>1034</v>
      </c>
      <c r="E877" s="37">
        <v>18694.999999999993</v>
      </c>
      <c r="F877" s="87" t="s">
        <v>396</v>
      </c>
    </row>
    <row r="878">
      <c r="A878" s="147">
        <v>46165.66486888889</v>
      </c>
      <c r="B878" s="148" t="s">
        <v>1241</v>
      </c>
      <c r="C878" s="87" t="s">
        <v>1931</v>
      </c>
      <c r="D878" s="37">
        <v>23925.0</v>
      </c>
      <c r="E878" s="37" t="s">
        <v>1034</v>
      </c>
      <c r="F878" s="87" t="s">
        <v>399</v>
      </c>
    </row>
    <row r="879">
      <c r="A879" s="147">
        <v>46165.66486888889</v>
      </c>
      <c r="B879" s="148" t="s">
        <v>1702</v>
      </c>
      <c r="C879" s="87" t="s">
        <v>1925</v>
      </c>
      <c r="D879" s="37" t="s">
        <v>1034</v>
      </c>
      <c r="E879" s="37">
        <v>23925.0</v>
      </c>
      <c r="F879" s="87" t="s">
        <v>399</v>
      </c>
    </row>
    <row r="880">
      <c r="A880" s="147">
        <v>46167.45376777778</v>
      </c>
      <c r="B880" s="148" t="s">
        <v>1586</v>
      </c>
      <c r="C880" s="87" t="s">
        <v>1932</v>
      </c>
      <c r="D880" s="37">
        <v>18702.999999999993</v>
      </c>
      <c r="E880" s="37" t="s">
        <v>1034</v>
      </c>
      <c r="F880" s="87" t="s">
        <v>400</v>
      </c>
    </row>
    <row r="881">
      <c r="A881" s="147">
        <v>46167.45376777778</v>
      </c>
      <c r="B881" s="148" t="s">
        <v>1035</v>
      </c>
      <c r="C881" s="87" t="s">
        <v>1933</v>
      </c>
      <c r="D881" s="37" t="s">
        <v>1034</v>
      </c>
      <c r="E881" s="37">
        <v>18702.999999999993</v>
      </c>
      <c r="F881" s="87" t="s">
        <v>400</v>
      </c>
    </row>
    <row r="882">
      <c r="A882" s="147">
        <v>46168.354462222225</v>
      </c>
      <c r="B882" s="148" t="s">
        <v>1564</v>
      </c>
      <c r="C882" s="87" t="s">
        <v>1934</v>
      </c>
      <c r="D882" s="37">
        <v>18702.999999999993</v>
      </c>
      <c r="E882" s="37" t="s">
        <v>1034</v>
      </c>
      <c r="F882" s="87" t="s">
        <v>400</v>
      </c>
    </row>
    <row r="883">
      <c r="A883" s="147">
        <v>46168.354462222225</v>
      </c>
      <c r="B883" s="148" t="s">
        <v>1702</v>
      </c>
      <c r="C883" s="87" t="s">
        <v>1932</v>
      </c>
      <c r="D883" s="37" t="s">
        <v>1034</v>
      </c>
      <c r="E883" s="37">
        <v>18702.999999999993</v>
      </c>
      <c r="F883" s="87" t="s">
        <v>400</v>
      </c>
    </row>
    <row r="884">
      <c r="A884" s="147">
        <v>46168.51475333333</v>
      </c>
      <c r="B884" s="148" t="s">
        <v>1004</v>
      </c>
      <c r="C884" s="87" t="s">
        <v>1935</v>
      </c>
      <c r="D884" s="37">
        <v>18999.0</v>
      </c>
      <c r="E884" s="37" t="s">
        <v>1034</v>
      </c>
      <c r="F884" s="87" t="s">
        <v>1936</v>
      </c>
    </row>
    <row r="885">
      <c r="A885" s="147">
        <v>46168.51475333333</v>
      </c>
      <c r="B885" s="148" t="s">
        <v>1035</v>
      </c>
      <c r="C885" s="87" t="s">
        <v>1937</v>
      </c>
      <c r="D885" s="37" t="s">
        <v>1034</v>
      </c>
      <c r="E885" s="37">
        <v>18999.0</v>
      </c>
      <c r="F885" s="87" t="s">
        <v>1936</v>
      </c>
    </row>
    <row r="886">
      <c r="A886" s="147">
        <v>46168.51823555556</v>
      </c>
      <c r="B886" s="148" t="s">
        <v>1011</v>
      </c>
      <c r="C886" s="87" t="s">
        <v>1938</v>
      </c>
      <c r="D886" s="37">
        <v>99155.0</v>
      </c>
      <c r="E886" s="37" t="s">
        <v>1034</v>
      </c>
      <c r="F886" s="87" t="s">
        <v>1024</v>
      </c>
    </row>
    <row r="887">
      <c r="A887" s="147">
        <v>46168.51823555556</v>
      </c>
      <c r="B887" s="148" t="s">
        <v>1035</v>
      </c>
      <c r="C887" s="87" t="s">
        <v>1939</v>
      </c>
      <c r="D887" s="37" t="s">
        <v>1034</v>
      </c>
      <c r="E887" s="37">
        <v>99155.0</v>
      </c>
      <c r="F887" s="87" t="s">
        <v>1024</v>
      </c>
    </row>
    <row r="888">
      <c r="A888" s="147">
        <v>46169.679814814815</v>
      </c>
      <c r="B888" s="148" t="s">
        <v>1378</v>
      </c>
      <c r="C888" s="87" t="s">
        <v>1940</v>
      </c>
      <c r="D888" s="37">
        <v>6848870.0</v>
      </c>
      <c r="E888" s="37" t="s">
        <v>1034</v>
      </c>
      <c r="F888" s="87" t="s">
        <v>402</v>
      </c>
    </row>
    <row r="889">
      <c r="A889" s="147">
        <v>46169.679814814815</v>
      </c>
      <c r="B889" s="148" t="s">
        <v>1035</v>
      </c>
      <c r="C889" s="87" t="s">
        <v>1941</v>
      </c>
      <c r="D889" s="37" t="s">
        <v>1034</v>
      </c>
      <c r="E889" s="37">
        <v>6848870.0</v>
      </c>
      <c r="F889" s="87" t="s">
        <v>402</v>
      </c>
    </row>
    <row r="890">
      <c r="A890" s="147">
        <v>46169.67982481482</v>
      </c>
      <c r="B890" s="148" t="s">
        <v>1378</v>
      </c>
      <c r="C890" s="87" t="s">
        <v>1942</v>
      </c>
      <c r="D890" s="37">
        <v>2.8449176086956527E7</v>
      </c>
      <c r="E890" s="37" t="s">
        <v>1034</v>
      </c>
      <c r="F890" s="87" t="s">
        <v>403</v>
      </c>
    </row>
    <row r="891">
      <c r="A891" s="147">
        <v>46169.67982481482</v>
      </c>
      <c r="B891" s="148" t="s">
        <v>1035</v>
      </c>
      <c r="C891" s="87" t="s">
        <v>1943</v>
      </c>
      <c r="D891" s="37" t="s">
        <v>1034</v>
      </c>
      <c r="E891" s="37">
        <v>2.8449176086956527E7</v>
      </c>
      <c r="F891" s="87" t="s">
        <v>403</v>
      </c>
    </row>
    <row r="892">
      <c r="A892" s="147">
        <v>46169.679834814815</v>
      </c>
      <c r="B892" s="148" t="s">
        <v>1378</v>
      </c>
      <c r="C892" s="87" t="s">
        <v>1944</v>
      </c>
      <c r="D892" s="37">
        <v>1.1379670434782607E7</v>
      </c>
      <c r="E892" s="37" t="s">
        <v>1034</v>
      </c>
      <c r="F892" s="87" t="s">
        <v>403</v>
      </c>
    </row>
    <row r="893">
      <c r="A893" s="147">
        <v>46169.679834814815</v>
      </c>
      <c r="B893" s="148" t="s">
        <v>1035</v>
      </c>
      <c r="C893" s="87" t="s">
        <v>1945</v>
      </c>
      <c r="D893" s="37" t="s">
        <v>1034</v>
      </c>
      <c r="E893" s="37">
        <v>1.1379670434782607E7</v>
      </c>
      <c r="F893" s="87" t="s">
        <v>403</v>
      </c>
    </row>
    <row r="894">
      <c r="A894" s="147">
        <v>46169.67984481482</v>
      </c>
      <c r="B894" s="148" t="s">
        <v>1378</v>
      </c>
      <c r="C894" s="87" t="s">
        <v>1946</v>
      </c>
      <c r="D894" s="37">
        <v>3793223.4782608696</v>
      </c>
      <c r="E894" s="37" t="s">
        <v>1034</v>
      </c>
      <c r="F894" s="87" t="s">
        <v>403</v>
      </c>
    </row>
    <row r="895">
      <c r="A895" s="147">
        <v>46169.67984481482</v>
      </c>
      <c r="B895" s="148" t="s">
        <v>1035</v>
      </c>
      <c r="C895" s="87" t="s">
        <v>1947</v>
      </c>
      <c r="D895" s="37" t="s">
        <v>1034</v>
      </c>
      <c r="E895" s="37">
        <v>3793223.4782608696</v>
      </c>
      <c r="F895" s="87" t="s">
        <v>403</v>
      </c>
    </row>
    <row r="896">
      <c r="A896" s="147">
        <v>46172.99981555555</v>
      </c>
      <c r="B896" s="148" t="s">
        <v>1948</v>
      </c>
      <c r="C896" s="87" t="s">
        <v>1949</v>
      </c>
      <c r="D896" s="37">
        <v>27482.0</v>
      </c>
      <c r="E896" s="37" t="s">
        <v>1034</v>
      </c>
      <c r="F896" s="87" t="s">
        <v>1034</v>
      </c>
    </row>
    <row r="897">
      <c r="A897" s="147">
        <v>46172.99981555555</v>
      </c>
      <c r="B897" s="148" t="s">
        <v>1950</v>
      </c>
      <c r="C897" s="87" t="s">
        <v>1951</v>
      </c>
      <c r="D897" s="37" t="s">
        <v>1034</v>
      </c>
      <c r="E897" s="37">
        <v>27482.0</v>
      </c>
      <c r="F897" s="87" t="s">
        <v>1034</v>
      </c>
    </row>
    <row r="898">
      <c r="A898" s="147">
        <v>46172.999825555555</v>
      </c>
      <c r="B898" s="148" t="s">
        <v>1952</v>
      </c>
      <c r="C898" s="87" t="s">
        <v>1953</v>
      </c>
      <c r="D898" s="37">
        <v>269770.0</v>
      </c>
      <c r="E898" s="37" t="s">
        <v>1034</v>
      </c>
      <c r="F898" s="87" t="s">
        <v>1034</v>
      </c>
    </row>
    <row r="899">
      <c r="A899" s="147">
        <v>46172.999825555555</v>
      </c>
      <c r="B899" s="148" t="s">
        <v>1954</v>
      </c>
      <c r="C899" s="87" t="s">
        <v>1955</v>
      </c>
      <c r="D899" s="37" t="s">
        <v>1034</v>
      </c>
      <c r="E899" s="37">
        <v>269770.0</v>
      </c>
      <c r="F899" s="87" t="s">
        <v>1034</v>
      </c>
    </row>
    <row r="900">
      <c r="A900" s="147">
        <v>46178.417206666665</v>
      </c>
      <c r="B900" s="148" t="s">
        <v>1221</v>
      </c>
      <c r="C900" s="87" t="s">
        <v>1956</v>
      </c>
      <c r="D900" s="37">
        <v>53980.0</v>
      </c>
      <c r="E900" s="37" t="s">
        <v>1034</v>
      </c>
      <c r="F900" s="87" t="s">
        <v>1034</v>
      </c>
    </row>
    <row r="901">
      <c r="A901" s="147">
        <v>46178.417206666665</v>
      </c>
      <c r="B901" s="148" t="s">
        <v>1957</v>
      </c>
      <c r="C901" s="87" t="s">
        <v>1958</v>
      </c>
      <c r="D901" s="37" t="s">
        <v>1034</v>
      </c>
      <c r="E901" s="37">
        <v>53980.0</v>
      </c>
      <c r="F901" s="87" t="s">
        <v>1034</v>
      </c>
    </row>
    <row r="902">
      <c r="A902" s="147">
        <v>46178.41721666666</v>
      </c>
      <c r="B902" s="148" t="s">
        <v>1552</v>
      </c>
      <c r="C902" s="87" t="s">
        <v>1959</v>
      </c>
      <c r="D902" s="37">
        <v>64532.39157934783</v>
      </c>
      <c r="E902" s="37" t="s">
        <v>1034</v>
      </c>
      <c r="F902" s="87" t="s">
        <v>1034</v>
      </c>
    </row>
    <row r="903">
      <c r="A903" s="147">
        <v>46178.41721666666</v>
      </c>
      <c r="B903" s="148" t="s">
        <v>1960</v>
      </c>
      <c r="C903" s="87" t="s">
        <v>1961</v>
      </c>
      <c r="D903" s="37" t="s">
        <v>1034</v>
      </c>
      <c r="E903" s="37">
        <v>64532.39157934783</v>
      </c>
      <c r="F903" s="87" t="s">
        <v>1034</v>
      </c>
    </row>
    <row r="904">
      <c r="A904" s="147">
        <v>46178.417226666665</v>
      </c>
      <c r="B904" s="148" t="s">
        <v>1542</v>
      </c>
      <c r="C904" s="87" t="s">
        <v>1962</v>
      </c>
      <c r="D904" s="37">
        <v>195877.68199999997</v>
      </c>
      <c r="E904" s="37" t="s">
        <v>1034</v>
      </c>
      <c r="F904" s="87" t="s">
        <v>1034</v>
      </c>
    </row>
    <row r="905">
      <c r="A905" s="147">
        <v>46178.417226666665</v>
      </c>
      <c r="B905" s="148" t="s">
        <v>1963</v>
      </c>
      <c r="C905" s="87" t="s">
        <v>1964</v>
      </c>
      <c r="D905" s="37" t="s">
        <v>1034</v>
      </c>
      <c r="E905" s="37">
        <v>195877.68199999997</v>
      </c>
      <c r="F905" s="87" t="s">
        <v>1034</v>
      </c>
    </row>
    <row r="906">
      <c r="A906" s="147">
        <v>46186.20768888889</v>
      </c>
      <c r="B906" s="148" t="s">
        <v>1965</v>
      </c>
      <c r="C906" s="87" t="s">
        <v>1966</v>
      </c>
      <c r="D906" s="37">
        <v>11617.000000000002</v>
      </c>
      <c r="E906" s="37" t="s">
        <v>1034</v>
      </c>
      <c r="F906" s="87" t="s">
        <v>408</v>
      </c>
    </row>
    <row r="907">
      <c r="A907" s="147">
        <v>46186.20768888889</v>
      </c>
      <c r="B907" s="148" t="s">
        <v>1035</v>
      </c>
      <c r="C907" s="87" t="s">
        <v>1967</v>
      </c>
      <c r="D907" s="37" t="s">
        <v>1034</v>
      </c>
      <c r="E907" s="37">
        <v>11617.000000000002</v>
      </c>
      <c r="F907" s="87" t="s">
        <v>408</v>
      </c>
    </row>
    <row r="908">
      <c r="A908" s="147">
        <v>46186.53268888889</v>
      </c>
      <c r="B908" s="148" t="s">
        <v>1217</v>
      </c>
      <c r="C908" s="87" t="s">
        <v>1968</v>
      </c>
      <c r="D908" s="37">
        <v>11617.000000000002</v>
      </c>
      <c r="E908" s="37" t="s">
        <v>1034</v>
      </c>
      <c r="F908" s="87" t="s">
        <v>408</v>
      </c>
    </row>
    <row r="909">
      <c r="A909" s="147">
        <v>46186.53268888889</v>
      </c>
      <c r="B909" s="148" t="s">
        <v>1969</v>
      </c>
      <c r="C909" s="87" t="s">
        <v>1966</v>
      </c>
      <c r="D909" s="37" t="s">
        <v>1034</v>
      </c>
      <c r="E909" s="37">
        <v>11617.000000000002</v>
      </c>
      <c r="F909" s="87" t="s">
        <v>408</v>
      </c>
    </row>
    <row r="910">
      <c r="A910" s="147">
        <v>46189.19934555556</v>
      </c>
      <c r="B910" s="148" t="s">
        <v>1965</v>
      </c>
      <c r="C910" s="87" t="s">
        <v>1970</v>
      </c>
      <c r="D910" s="37">
        <v>11611.0</v>
      </c>
      <c r="E910" s="37" t="s">
        <v>1034</v>
      </c>
      <c r="F910" s="87" t="s">
        <v>407</v>
      </c>
    </row>
    <row r="911">
      <c r="A911" s="147">
        <v>46189.19934555556</v>
      </c>
      <c r="B911" s="148" t="s">
        <v>1035</v>
      </c>
      <c r="C911" s="87" t="s">
        <v>1971</v>
      </c>
      <c r="D911" s="37" t="s">
        <v>1034</v>
      </c>
      <c r="E911" s="37">
        <v>11611.0</v>
      </c>
      <c r="F911" s="87" t="s">
        <v>407</v>
      </c>
    </row>
    <row r="912">
      <c r="A912" s="147">
        <v>46190.555595555554</v>
      </c>
      <c r="B912" s="148" t="s">
        <v>1217</v>
      </c>
      <c r="C912" s="87" t="s">
        <v>1972</v>
      </c>
      <c r="D912" s="37">
        <v>11611.0</v>
      </c>
      <c r="E912" s="37" t="s">
        <v>1034</v>
      </c>
      <c r="F912" s="87" t="s">
        <v>407</v>
      </c>
    </row>
    <row r="913">
      <c r="A913" s="147">
        <v>46190.555595555554</v>
      </c>
      <c r="B913" s="148" t="s">
        <v>1969</v>
      </c>
      <c r="C913" s="87" t="s">
        <v>1970</v>
      </c>
      <c r="D913" s="37" t="s">
        <v>1034</v>
      </c>
      <c r="E913" s="37">
        <v>11611.0</v>
      </c>
      <c r="F913" s="87" t="s">
        <v>407</v>
      </c>
    </row>
    <row r="914">
      <c r="A914" s="147">
        <v>46190.592581111116</v>
      </c>
      <c r="B914" s="148" t="s">
        <v>1007</v>
      </c>
      <c r="C914" s="87" t="s">
        <v>1973</v>
      </c>
      <c r="D914" s="37">
        <v>536500.0</v>
      </c>
      <c r="E914" s="37" t="s">
        <v>1034</v>
      </c>
      <c r="F914" s="87" t="s">
        <v>1027</v>
      </c>
    </row>
    <row r="915">
      <c r="A915" s="147">
        <v>46190.592581111116</v>
      </c>
      <c r="B915" s="148" t="s">
        <v>1035</v>
      </c>
      <c r="C915" s="87" t="s">
        <v>1974</v>
      </c>
      <c r="D915" s="37" t="s">
        <v>1034</v>
      </c>
      <c r="E915" s="37">
        <v>536500.0</v>
      </c>
      <c r="F915" s="87" t="s">
        <v>1027</v>
      </c>
    </row>
    <row r="916">
      <c r="A916" s="147">
        <v>46193.69950555556</v>
      </c>
      <c r="B916" s="148" t="s">
        <v>1004</v>
      </c>
      <c r="C916" s="87" t="s">
        <v>1975</v>
      </c>
      <c r="D916" s="37">
        <v>17923.0</v>
      </c>
      <c r="E916" s="37" t="s">
        <v>1034</v>
      </c>
      <c r="F916" s="87" t="s">
        <v>1025</v>
      </c>
    </row>
    <row r="917">
      <c r="A917" s="147">
        <v>46193.69950555556</v>
      </c>
      <c r="B917" s="148" t="s">
        <v>1035</v>
      </c>
      <c r="C917" s="87" t="s">
        <v>1976</v>
      </c>
      <c r="D917" s="37" t="s">
        <v>1034</v>
      </c>
      <c r="E917" s="37">
        <v>17923.0</v>
      </c>
      <c r="F917" s="87" t="s">
        <v>1025</v>
      </c>
    </row>
    <row r="918">
      <c r="A918" s="147">
        <v>46193.699515555556</v>
      </c>
      <c r="B918" s="148" t="s">
        <v>1009</v>
      </c>
      <c r="C918" s="87" t="s">
        <v>1977</v>
      </c>
      <c r="D918" s="37">
        <v>104116.0</v>
      </c>
      <c r="E918" s="37" t="s">
        <v>1034</v>
      </c>
      <c r="F918" s="87" t="s">
        <v>1026</v>
      </c>
    </row>
    <row r="919">
      <c r="A919" s="147">
        <v>46193.699515555556</v>
      </c>
      <c r="B919" s="148" t="s">
        <v>1035</v>
      </c>
      <c r="C919" s="87" t="s">
        <v>1978</v>
      </c>
      <c r="D919" s="37" t="s">
        <v>1034</v>
      </c>
      <c r="E919" s="37">
        <v>104116.0</v>
      </c>
      <c r="F919" s="87" t="s">
        <v>1026</v>
      </c>
    </row>
    <row r="920">
      <c r="A920" s="147">
        <v>46198.593049780095</v>
      </c>
      <c r="B920" s="148" t="s">
        <v>1979</v>
      </c>
      <c r="C920" s="87" t="s">
        <v>1980</v>
      </c>
      <c r="D920" s="37">
        <v>254746.0</v>
      </c>
      <c r="E920" s="37" t="s">
        <v>1034</v>
      </c>
      <c r="F920" s="87" t="s">
        <v>1034</v>
      </c>
    </row>
    <row r="921">
      <c r="A921" s="147">
        <v>46198.593049780095</v>
      </c>
      <c r="B921" s="148" t="s">
        <v>1981</v>
      </c>
      <c r="C921" s="87" t="s">
        <v>1982</v>
      </c>
      <c r="D921" s="37" t="s">
        <v>1034</v>
      </c>
      <c r="E921" s="37">
        <v>254746.0</v>
      </c>
      <c r="F921" s="87" t="s">
        <v>1034</v>
      </c>
    </row>
    <row r="922">
      <c r="A922" s="147">
        <v>46198.5930597801</v>
      </c>
      <c r="B922" s="148" t="s">
        <v>1643</v>
      </c>
      <c r="C922" s="87" t="s">
        <v>1983</v>
      </c>
      <c r="D922" s="37">
        <v>72843.0</v>
      </c>
      <c r="E922" s="37" t="s">
        <v>1034</v>
      </c>
      <c r="F922" s="87" t="s">
        <v>1034</v>
      </c>
    </row>
    <row r="923">
      <c r="A923" s="147">
        <v>46198.5930597801</v>
      </c>
      <c r="B923" s="148" t="s">
        <v>1645</v>
      </c>
      <c r="C923" s="87" t="s">
        <v>1984</v>
      </c>
      <c r="D923" s="37" t="s">
        <v>1034</v>
      </c>
      <c r="E923" s="37">
        <v>72843.0</v>
      </c>
      <c r="F923" s="87" t="s">
        <v>1034</v>
      </c>
    </row>
    <row r="924">
      <c r="A924" s="147">
        <v>46198.593069780094</v>
      </c>
      <c r="B924" s="148" t="s">
        <v>1075</v>
      </c>
      <c r="C924" s="87" t="s">
        <v>1985</v>
      </c>
      <c r="D924" s="37">
        <v>12490.0</v>
      </c>
      <c r="E924" s="37" t="s">
        <v>1034</v>
      </c>
      <c r="F924" s="87" t="s">
        <v>1034</v>
      </c>
    </row>
    <row r="925">
      <c r="A925" s="147">
        <v>46198.593069780094</v>
      </c>
      <c r="B925" s="148" t="s">
        <v>1600</v>
      </c>
      <c r="C925" s="87" t="s">
        <v>1986</v>
      </c>
      <c r="D925" s="37" t="s">
        <v>1034</v>
      </c>
      <c r="E925" s="37">
        <v>12490.0</v>
      </c>
      <c r="F925" s="87" t="s">
        <v>1034</v>
      </c>
    </row>
    <row r="926">
      <c r="A926" s="147">
        <v>46198.5930797801</v>
      </c>
      <c r="B926" s="148" t="s">
        <v>1987</v>
      </c>
      <c r="C926" s="87" t="s">
        <v>1988</v>
      </c>
      <c r="D926" s="37">
        <v>129596.0</v>
      </c>
      <c r="E926" s="37" t="s">
        <v>1034</v>
      </c>
      <c r="F926" s="87" t="s">
        <v>1034</v>
      </c>
    </row>
    <row r="927">
      <c r="A927" s="147">
        <v>46198.5930797801</v>
      </c>
      <c r="B927" s="148" t="s">
        <v>1989</v>
      </c>
      <c r="C927" s="87" t="s">
        <v>1990</v>
      </c>
      <c r="D927" s="37" t="s">
        <v>1034</v>
      </c>
      <c r="E927" s="37">
        <v>129596.0</v>
      </c>
      <c r="F927" s="87" t="s">
        <v>1034</v>
      </c>
    </row>
    <row r="928">
      <c r="A928" s="147">
        <v>46198.59308978009</v>
      </c>
      <c r="B928" s="148" t="s">
        <v>1627</v>
      </c>
      <c r="C928" s="87" t="s">
        <v>1991</v>
      </c>
      <c r="D928" s="37">
        <v>22100.0</v>
      </c>
      <c r="E928" s="37" t="s">
        <v>1034</v>
      </c>
      <c r="F928" s="87" t="s">
        <v>1034</v>
      </c>
    </row>
    <row r="929">
      <c r="A929" s="147">
        <v>46198.59308978009</v>
      </c>
      <c r="B929" s="148" t="s">
        <v>1629</v>
      </c>
      <c r="C929" s="87" t="s">
        <v>1992</v>
      </c>
      <c r="D929" s="37" t="s">
        <v>1034</v>
      </c>
      <c r="E929" s="37">
        <v>22100.0</v>
      </c>
      <c r="F929" s="87" t="s">
        <v>1034</v>
      </c>
    </row>
    <row r="930">
      <c r="A930" s="147">
        <v>46198.5930997801</v>
      </c>
      <c r="B930" s="148" t="s">
        <v>1417</v>
      </c>
      <c r="C930" s="87" t="s">
        <v>1993</v>
      </c>
      <c r="D930" s="37">
        <v>535306.0</v>
      </c>
      <c r="E930" s="37" t="s">
        <v>1034</v>
      </c>
      <c r="F930" s="87" t="s">
        <v>1034</v>
      </c>
    </row>
    <row r="931">
      <c r="A931" s="147">
        <v>46198.5930997801</v>
      </c>
      <c r="B931" s="148" t="s">
        <v>1994</v>
      </c>
      <c r="C931" s="87" t="s">
        <v>1995</v>
      </c>
      <c r="D931" s="37" t="s">
        <v>1034</v>
      </c>
      <c r="E931" s="37">
        <v>535306.0</v>
      </c>
      <c r="F931" s="87" t="s">
        <v>1034</v>
      </c>
    </row>
    <row r="932">
      <c r="A932" s="147">
        <v>46198.59310978009</v>
      </c>
      <c r="B932" s="148" t="s">
        <v>1996</v>
      </c>
      <c r="C932" s="87" t="s">
        <v>1997</v>
      </c>
      <c r="D932" s="37">
        <v>151500.0</v>
      </c>
      <c r="E932" s="37" t="s">
        <v>1034</v>
      </c>
      <c r="F932" s="87" t="s">
        <v>1034</v>
      </c>
    </row>
    <row r="933">
      <c r="A933" s="147">
        <v>46198.59310978009</v>
      </c>
      <c r="B933" s="148" t="s">
        <v>1998</v>
      </c>
      <c r="C933" s="87" t="s">
        <v>1999</v>
      </c>
      <c r="D933" s="37" t="s">
        <v>1034</v>
      </c>
      <c r="E933" s="37">
        <v>151500.0</v>
      </c>
      <c r="F933" s="87" t="s">
        <v>1034</v>
      </c>
    </row>
    <row r="934">
      <c r="A934" s="147">
        <v>46198.5931197801</v>
      </c>
      <c r="B934" s="148" t="s">
        <v>2000</v>
      </c>
      <c r="C934" s="87" t="s">
        <v>2001</v>
      </c>
      <c r="D934" s="37">
        <v>43916.0</v>
      </c>
      <c r="E934" s="37" t="s">
        <v>1034</v>
      </c>
      <c r="F934" s="87" t="s">
        <v>1034</v>
      </c>
    </row>
    <row r="935">
      <c r="A935" s="147">
        <v>46198.5931197801</v>
      </c>
      <c r="B935" s="148" t="s">
        <v>2002</v>
      </c>
      <c r="C935" s="87" t="s">
        <v>2003</v>
      </c>
      <c r="D935" s="37" t="s">
        <v>1034</v>
      </c>
      <c r="E935" s="37">
        <v>43916.0</v>
      </c>
      <c r="F935" s="87" t="s">
        <v>1034</v>
      </c>
    </row>
    <row r="936">
      <c r="A936" s="147">
        <v>46198.59312978009</v>
      </c>
      <c r="B936" s="148" t="s">
        <v>2004</v>
      </c>
      <c r="C936" s="87" t="s">
        <v>2005</v>
      </c>
      <c r="D936" s="37">
        <v>955567.0</v>
      </c>
      <c r="E936" s="37" t="s">
        <v>1034</v>
      </c>
      <c r="F936" s="87" t="s">
        <v>1034</v>
      </c>
    </row>
    <row r="937">
      <c r="A937" s="147">
        <v>46198.59312978009</v>
      </c>
      <c r="B937" s="148" t="s">
        <v>2006</v>
      </c>
      <c r="C937" s="87" t="s">
        <v>2007</v>
      </c>
      <c r="D937" s="37" t="s">
        <v>1034</v>
      </c>
      <c r="E937" s="37">
        <v>955567.0</v>
      </c>
      <c r="F937" s="87" t="s">
        <v>1034</v>
      </c>
    </row>
    <row r="938">
      <c r="A938" s="147">
        <v>46198.593139780096</v>
      </c>
      <c r="B938" s="148" t="s">
        <v>2008</v>
      </c>
      <c r="C938" s="87" t="s">
        <v>2009</v>
      </c>
      <c r="D938" s="37">
        <v>98818.0</v>
      </c>
      <c r="E938" s="37" t="s">
        <v>1034</v>
      </c>
      <c r="F938" s="87" t="s">
        <v>1034</v>
      </c>
    </row>
    <row r="939">
      <c r="A939" s="147">
        <v>46198.593139780096</v>
      </c>
      <c r="B939" s="148" t="s">
        <v>2010</v>
      </c>
      <c r="C939" s="87" t="s">
        <v>2011</v>
      </c>
      <c r="D939" s="37" t="s">
        <v>1034</v>
      </c>
      <c r="E939" s="37">
        <v>98818.0</v>
      </c>
      <c r="F939" s="87" t="s">
        <v>1034</v>
      </c>
    </row>
    <row r="940">
      <c r="A940" s="147">
        <v>46198.59314978009</v>
      </c>
      <c r="B940" s="148" t="s">
        <v>2012</v>
      </c>
      <c r="C940" s="87" t="s">
        <v>2013</v>
      </c>
      <c r="D940" s="37">
        <v>682.0</v>
      </c>
      <c r="E940" s="37" t="s">
        <v>1034</v>
      </c>
      <c r="F940" s="87" t="s">
        <v>1034</v>
      </c>
    </row>
    <row r="941">
      <c r="A941" s="147">
        <v>46198.59314978009</v>
      </c>
      <c r="B941" s="148" t="s">
        <v>2014</v>
      </c>
      <c r="C941" s="87" t="s">
        <v>2015</v>
      </c>
      <c r="D941" s="37" t="s">
        <v>1034</v>
      </c>
      <c r="E941" s="37">
        <v>682.0</v>
      </c>
      <c r="F941" s="87" t="s">
        <v>1034</v>
      </c>
    </row>
    <row r="942">
      <c r="A942" s="147">
        <v>46198.593159780095</v>
      </c>
      <c r="B942" s="148" t="s">
        <v>2016</v>
      </c>
      <c r="C942" s="87" t="s">
        <v>2017</v>
      </c>
      <c r="D942" s="37">
        <v>71870.0</v>
      </c>
      <c r="E942" s="37" t="s">
        <v>1034</v>
      </c>
      <c r="F942" s="87" t="s">
        <v>1034</v>
      </c>
    </row>
    <row r="943">
      <c r="A943" s="147">
        <v>46198.593159780095</v>
      </c>
      <c r="B943" s="148" t="s">
        <v>2018</v>
      </c>
      <c r="C943" s="87" t="s">
        <v>2019</v>
      </c>
      <c r="D943" s="37" t="s">
        <v>1034</v>
      </c>
      <c r="E943" s="37">
        <v>71870.0</v>
      </c>
      <c r="F943" s="87" t="s">
        <v>1034</v>
      </c>
    </row>
    <row r="944">
      <c r="A944" s="147">
        <v>46198.59316978009</v>
      </c>
      <c r="B944" s="148" t="s">
        <v>2020</v>
      </c>
      <c r="C944" s="87" t="s">
        <v>2021</v>
      </c>
      <c r="D944" s="37">
        <v>9835.0</v>
      </c>
      <c r="E944" s="37" t="s">
        <v>1034</v>
      </c>
      <c r="F944" s="87" t="s">
        <v>1034</v>
      </c>
    </row>
    <row r="945">
      <c r="A945" s="147">
        <v>46198.59316978009</v>
      </c>
      <c r="B945" s="148" t="s">
        <v>2022</v>
      </c>
      <c r="C945" s="87" t="s">
        <v>2023</v>
      </c>
      <c r="D945" s="37" t="s">
        <v>1034</v>
      </c>
      <c r="E945" s="37">
        <v>9835.0</v>
      </c>
      <c r="F945" s="87" t="s">
        <v>1034</v>
      </c>
    </row>
    <row r="946">
      <c r="A946" s="147">
        <v>46198.593179780095</v>
      </c>
      <c r="B946" s="148" t="s">
        <v>2024</v>
      </c>
      <c r="C946" s="87" t="s">
        <v>2025</v>
      </c>
      <c r="D946" s="37">
        <v>142717.0</v>
      </c>
      <c r="E946" s="37" t="s">
        <v>1034</v>
      </c>
      <c r="F946" s="87" t="s">
        <v>1034</v>
      </c>
    </row>
    <row r="947">
      <c r="A947" s="147">
        <v>46198.593179780095</v>
      </c>
      <c r="B947" s="148" t="s">
        <v>2026</v>
      </c>
      <c r="C947" s="87" t="s">
        <v>2027</v>
      </c>
      <c r="D947" s="37" t="s">
        <v>1034</v>
      </c>
      <c r="E947" s="37">
        <v>142717.0</v>
      </c>
      <c r="F947" s="87" t="s">
        <v>1034</v>
      </c>
    </row>
    <row r="948">
      <c r="A948" s="147">
        <v>46198.59318978009</v>
      </c>
      <c r="B948" s="148" t="s">
        <v>1550</v>
      </c>
      <c r="C948" s="87" t="s">
        <v>2028</v>
      </c>
      <c r="D948" s="37">
        <v>43690.0</v>
      </c>
      <c r="E948" s="37" t="s">
        <v>1034</v>
      </c>
      <c r="F948" s="87" t="s">
        <v>1034</v>
      </c>
    </row>
    <row r="949">
      <c r="A949" s="147">
        <v>46198.59318978009</v>
      </c>
      <c r="B949" s="148" t="s">
        <v>2029</v>
      </c>
      <c r="C949" s="87" t="s">
        <v>2030</v>
      </c>
      <c r="D949" s="37" t="s">
        <v>1034</v>
      </c>
      <c r="E949" s="37">
        <v>43690.0</v>
      </c>
      <c r="F949" s="87" t="s">
        <v>1034</v>
      </c>
    </row>
    <row r="950">
      <c r="A950" s="147">
        <v>46198.593199780094</v>
      </c>
      <c r="B950" s="148" t="s">
        <v>2031</v>
      </c>
      <c r="C950" s="87" t="s">
        <v>2032</v>
      </c>
      <c r="D950" s="37">
        <v>117309.0</v>
      </c>
      <c r="E950" s="37" t="s">
        <v>1034</v>
      </c>
      <c r="F950" s="87" t="s">
        <v>1034</v>
      </c>
    </row>
    <row r="951">
      <c r="A951" s="147">
        <v>46198.593199780094</v>
      </c>
      <c r="B951" s="148" t="s">
        <v>2033</v>
      </c>
      <c r="C951" s="87" t="s">
        <v>2034</v>
      </c>
      <c r="D951" s="37" t="s">
        <v>1034</v>
      </c>
      <c r="E951" s="37">
        <v>117309.0</v>
      </c>
      <c r="F951" s="87" t="s">
        <v>1034</v>
      </c>
    </row>
    <row r="952">
      <c r="A952" s="147" t="s">
        <v>1034</v>
      </c>
      <c r="B952" s="148" t="s">
        <v>1034</v>
      </c>
      <c r="C952" s="87" t="s">
        <v>1034</v>
      </c>
      <c r="D952" s="37" t="s">
        <v>1034</v>
      </c>
      <c r="E952" s="37" t="s">
        <v>1034</v>
      </c>
      <c r="F952" s="87" t="s">
        <v>1034</v>
      </c>
    </row>
    <row r="953">
      <c r="A953" s="147" t="s">
        <v>1034</v>
      </c>
      <c r="B953" s="148" t="s">
        <v>1034</v>
      </c>
      <c r="C953" s="87" t="s">
        <v>1034</v>
      </c>
      <c r="D953" s="37" t="s">
        <v>1034</v>
      </c>
      <c r="E953" s="37" t="s">
        <v>1034</v>
      </c>
      <c r="F953" s="87" t="s">
        <v>1034</v>
      </c>
    </row>
    <row r="954">
      <c r="A954" s="147" t="s">
        <v>1034</v>
      </c>
      <c r="B954" s="148" t="s">
        <v>1034</v>
      </c>
      <c r="C954" s="87" t="s">
        <v>1034</v>
      </c>
      <c r="D954" s="37" t="s">
        <v>1034</v>
      </c>
      <c r="E954" s="37" t="s">
        <v>1034</v>
      </c>
      <c r="F954" s="87" t="s">
        <v>1034</v>
      </c>
    </row>
    <row r="955">
      <c r="A955" s="147" t="s">
        <v>1034</v>
      </c>
      <c r="B955" s="148" t="s">
        <v>1034</v>
      </c>
      <c r="C955" s="87" t="s">
        <v>1034</v>
      </c>
      <c r="D955" s="37" t="s">
        <v>1034</v>
      </c>
      <c r="E955" s="37" t="s">
        <v>1034</v>
      </c>
      <c r="F955" s="87" t="s">
        <v>1034</v>
      </c>
    </row>
    <row r="956">
      <c r="A956" s="147"/>
      <c r="B956" s="148"/>
      <c r="C956" s="87"/>
      <c r="D956" s="37"/>
      <c r="E956" s="37"/>
      <c r="F956" s="87"/>
    </row>
    <row r="957">
      <c r="A957" s="147"/>
      <c r="B957" s="148"/>
      <c r="C957" s="87"/>
      <c r="D957" s="37"/>
      <c r="E957" s="37"/>
      <c r="F957" s="87"/>
    </row>
    <row r="958">
      <c r="A958" s="147"/>
      <c r="B958" s="148"/>
      <c r="C958" s="87"/>
      <c r="D958" s="37"/>
      <c r="E958" s="37"/>
      <c r="F958" s="87"/>
    </row>
    <row r="959">
      <c r="A959" s="147"/>
      <c r="B959" s="148"/>
      <c r="C959" s="87"/>
      <c r="D959" s="37"/>
      <c r="E959" s="37"/>
      <c r="F959" s="87"/>
    </row>
    <row r="960">
      <c r="A960" s="147"/>
      <c r="B960" s="148"/>
      <c r="C960" s="87"/>
      <c r="D960" s="37"/>
      <c r="E960" s="37"/>
      <c r="F960" s="87"/>
    </row>
    <row r="961">
      <c r="A961" s="147"/>
      <c r="B961" s="148"/>
      <c r="C961" s="87"/>
      <c r="D961" s="37"/>
      <c r="E961" s="37"/>
      <c r="F961" s="87"/>
    </row>
    <row r="962">
      <c r="A962" s="147"/>
      <c r="B962" s="148"/>
      <c r="C962" s="87"/>
      <c r="D962" s="37"/>
      <c r="E962" s="37"/>
      <c r="F962" s="87"/>
    </row>
    <row r="963">
      <c r="A963" s="147"/>
      <c r="B963" s="148"/>
      <c r="C963" s="87"/>
      <c r="D963" s="37"/>
      <c r="E963" s="37"/>
      <c r="F963" s="87"/>
    </row>
    <row r="964">
      <c r="A964" s="147"/>
      <c r="B964" s="148"/>
      <c r="C964" s="87"/>
      <c r="D964" s="37"/>
      <c r="E964" s="37"/>
      <c r="F964" s="87"/>
    </row>
    <row r="965">
      <c r="A965" s="147"/>
      <c r="B965" s="148"/>
      <c r="C965" s="87"/>
      <c r="D965" s="37"/>
      <c r="E965" s="37"/>
      <c r="F965" s="87"/>
    </row>
    <row r="966">
      <c r="A966" s="147"/>
      <c r="B966" s="148"/>
      <c r="C966" s="87"/>
      <c r="D966" s="37"/>
      <c r="E966" s="37"/>
      <c r="F966" s="87"/>
    </row>
    <row r="967">
      <c r="A967" s="147"/>
      <c r="B967" s="148"/>
      <c r="C967" s="87"/>
      <c r="D967" s="37"/>
      <c r="E967" s="37"/>
      <c r="F967" s="87"/>
    </row>
    <row r="968">
      <c r="A968" s="147"/>
      <c r="B968" s="148"/>
      <c r="C968" s="87"/>
      <c r="D968" s="37"/>
      <c r="E968" s="37"/>
      <c r="F968" s="87"/>
    </row>
    <row r="969">
      <c r="A969" s="147"/>
      <c r="B969" s="148"/>
      <c r="C969" s="87"/>
      <c r="D969" s="37"/>
      <c r="E969" s="37"/>
      <c r="F969" s="87"/>
    </row>
    <row r="970">
      <c r="A970" s="147"/>
      <c r="B970" s="148"/>
      <c r="C970" s="87"/>
      <c r="D970" s="37"/>
      <c r="E970" s="37"/>
      <c r="F970" s="87"/>
    </row>
    <row r="971">
      <c r="A971" s="147"/>
      <c r="B971" s="148"/>
      <c r="C971" s="87"/>
      <c r="D971" s="37"/>
      <c r="E971" s="37"/>
      <c r="F971" s="87"/>
    </row>
    <row r="972">
      <c r="A972" s="147"/>
      <c r="B972" s="148"/>
      <c r="C972" s="87"/>
      <c r="D972" s="37"/>
      <c r="E972" s="37"/>
      <c r="F972" s="87"/>
    </row>
    <row r="973">
      <c r="A973" s="147"/>
      <c r="B973" s="148"/>
      <c r="C973" s="87"/>
      <c r="D973" s="37"/>
      <c r="E973" s="37"/>
      <c r="F973" s="87"/>
    </row>
    <row r="974">
      <c r="A974" s="147"/>
      <c r="B974" s="148"/>
      <c r="C974" s="87"/>
      <c r="D974" s="37"/>
      <c r="E974" s="37"/>
      <c r="F974" s="87"/>
    </row>
    <row r="975">
      <c r="A975" s="147"/>
      <c r="B975" s="148"/>
      <c r="C975" s="87"/>
      <c r="D975" s="37"/>
      <c r="E975" s="37"/>
      <c r="F975" s="87"/>
    </row>
    <row r="976">
      <c r="A976" s="147"/>
      <c r="B976" s="148"/>
      <c r="C976" s="87"/>
      <c r="D976" s="37"/>
      <c r="E976" s="37"/>
      <c r="F976" s="87"/>
    </row>
    <row r="977">
      <c r="A977" s="147"/>
      <c r="B977" s="148"/>
      <c r="C977" s="87"/>
      <c r="D977" s="37"/>
      <c r="E977" s="37"/>
      <c r="F977" s="87"/>
    </row>
    <row r="978">
      <c r="A978" s="147"/>
      <c r="B978" s="148"/>
      <c r="C978" s="87"/>
      <c r="D978" s="37"/>
      <c r="E978" s="37"/>
      <c r="F978" s="87"/>
    </row>
    <row r="979">
      <c r="A979" s="147"/>
      <c r="B979" s="148"/>
      <c r="C979" s="87"/>
      <c r="D979" s="37"/>
      <c r="E979" s="37"/>
      <c r="F979" s="87"/>
    </row>
    <row r="980">
      <c r="A980" s="147"/>
      <c r="B980" s="148"/>
      <c r="C980" s="87"/>
      <c r="D980" s="37"/>
      <c r="E980" s="37"/>
      <c r="F980" s="87"/>
    </row>
    <row r="981">
      <c r="A981" s="147"/>
      <c r="B981" s="148"/>
      <c r="C981" s="87"/>
      <c r="D981" s="37"/>
      <c r="E981" s="37"/>
      <c r="F981" s="87"/>
    </row>
    <row r="982">
      <c r="A982" s="147"/>
      <c r="B982" s="148"/>
      <c r="C982" s="87"/>
      <c r="D982" s="37"/>
      <c r="E982" s="37"/>
      <c r="F982" s="87"/>
    </row>
    <row r="983">
      <c r="A983" s="147"/>
      <c r="B983" s="148"/>
      <c r="C983" s="87"/>
      <c r="D983" s="37"/>
      <c r="E983" s="37"/>
      <c r="F983" s="87"/>
    </row>
    <row r="984">
      <c r="A984" s="147"/>
      <c r="B984" s="148"/>
      <c r="C984" s="87"/>
      <c r="D984" s="37"/>
      <c r="E984" s="37"/>
      <c r="F984" s="87"/>
    </row>
    <row r="985">
      <c r="A985" s="147"/>
      <c r="B985" s="148"/>
      <c r="C985" s="87"/>
      <c r="D985" s="37"/>
      <c r="E985" s="37"/>
      <c r="F985" s="87"/>
    </row>
    <row r="986">
      <c r="A986" s="147"/>
      <c r="B986" s="148"/>
      <c r="C986" s="87"/>
      <c r="D986" s="37"/>
      <c r="E986" s="37"/>
      <c r="F986" s="87"/>
    </row>
    <row r="987">
      <c r="A987" s="147"/>
      <c r="B987" s="148"/>
      <c r="C987" s="87"/>
      <c r="D987" s="37"/>
      <c r="E987" s="37"/>
      <c r="F987" s="87"/>
    </row>
    <row r="988">
      <c r="A988" s="147"/>
      <c r="B988" s="148"/>
      <c r="C988" s="87"/>
      <c r="D988" s="37"/>
      <c r="E988" s="37"/>
      <c r="F988" s="87"/>
    </row>
    <row r="989">
      <c r="A989" s="147"/>
      <c r="B989" s="148"/>
      <c r="C989" s="87"/>
      <c r="D989" s="37"/>
      <c r="E989" s="37"/>
      <c r="F989" s="87"/>
    </row>
    <row r="990">
      <c r="A990" s="147"/>
      <c r="B990" s="148"/>
      <c r="C990" s="87"/>
      <c r="D990" s="37"/>
      <c r="E990" s="37"/>
      <c r="F990" s="87"/>
    </row>
    <row r="991">
      <c r="A991" s="147"/>
      <c r="B991" s="148"/>
      <c r="C991" s="87"/>
      <c r="D991" s="37"/>
      <c r="E991" s="37"/>
      <c r="F991" s="87"/>
    </row>
    <row r="992">
      <c r="A992" s="147"/>
      <c r="B992" s="148"/>
      <c r="C992" s="87"/>
      <c r="D992" s="37"/>
      <c r="E992" s="37"/>
      <c r="F992" s="87"/>
    </row>
    <row r="993">
      <c r="A993" s="147"/>
      <c r="B993" s="148"/>
      <c r="C993" s="87"/>
      <c r="D993" s="37"/>
      <c r="E993" s="37"/>
      <c r="F993" s="87"/>
    </row>
    <row r="994">
      <c r="A994" s="147"/>
      <c r="B994" s="148"/>
      <c r="C994" s="87"/>
      <c r="D994" s="37"/>
      <c r="E994" s="37"/>
      <c r="F994" s="87"/>
    </row>
    <row r="995">
      <c r="A995" s="147"/>
      <c r="B995" s="148"/>
      <c r="C995" s="87"/>
      <c r="D995" s="37"/>
      <c r="E995" s="37"/>
      <c r="F995" s="87"/>
    </row>
    <row r="996">
      <c r="A996" s="147"/>
      <c r="B996" s="148"/>
      <c r="C996" s="87"/>
      <c r="D996" s="37"/>
      <c r="E996" s="37"/>
      <c r="F996" s="87"/>
    </row>
    <row r="997">
      <c r="A997" s="147"/>
      <c r="B997" s="148"/>
      <c r="C997" s="87"/>
      <c r="D997" s="37"/>
      <c r="E997" s="37"/>
      <c r="F997" s="87"/>
    </row>
    <row r="998">
      <c r="A998" s="147"/>
      <c r="B998" s="148"/>
      <c r="C998" s="87"/>
      <c r="D998" s="37"/>
      <c r="E998" s="37"/>
      <c r="F998" s="87"/>
    </row>
    <row r="999">
      <c r="A999" s="147"/>
      <c r="B999" s="148"/>
      <c r="C999" s="87"/>
      <c r="D999" s="37"/>
      <c r="E999" s="37"/>
      <c r="F999" s="87"/>
    </row>
    <row r="1000">
      <c r="A1000" s="147"/>
      <c r="B1000" s="148"/>
      <c r="C1000" s="87"/>
      <c r="D1000" s="37"/>
      <c r="E1000" s="37"/>
      <c r="F1000" s="87"/>
    </row>
    <row r="1001">
      <c r="A1001" s="147"/>
      <c r="B1001" s="148"/>
      <c r="C1001" s="87"/>
      <c r="D1001" s="37"/>
      <c r="E1001" s="37"/>
      <c r="F1001" s="87"/>
    </row>
    <row r="1002">
      <c r="A1002" s="147"/>
      <c r="B1002" s="148"/>
      <c r="C1002" s="87"/>
      <c r="D1002" s="37"/>
      <c r="E1002" s="37"/>
      <c r="F1002" s="87"/>
    </row>
    <row r="1003">
      <c r="A1003" s="147"/>
      <c r="B1003" s="148"/>
      <c r="C1003" s="87"/>
      <c r="D1003" s="37"/>
      <c r="E1003" s="37"/>
      <c r="F1003" s="87"/>
    </row>
    <row r="1004">
      <c r="A1004" s="147"/>
      <c r="B1004" s="148"/>
      <c r="C1004" s="87"/>
      <c r="D1004" s="37"/>
      <c r="E1004" s="37"/>
      <c r="F1004" s="87"/>
    </row>
    <row r="1005">
      <c r="A1005" s="147"/>
      <c r="B1005" s="148"/>
      <c r="C1005" s="87"/>
      <c r="D1005" s="37"/>
      <c r="E1005" s="37"/>
      <c r="F1005" s="87"/>
    </row>
    <row r="1006">
      <c r="A1006" s="147"/>
      <c r="B1006" s="148"/>
      <c r="C1006" s="87"/>
      <c r="D1006" s="37"/>
      <c r="E1006" s="37"/>
      <c r="F1006" s="87"/>
    </row>
    <row r="1007">
      <c r="A1007" s="147"/>
      <c r="B1007" s="148"/>
      <c r="C1007" s="87"/>
      <c r="D1007" s="37"/>
      <c r="E1007" s="37"/>
      <c r="F1007" s="87"/>
    </row>
    <row r="1008">
      <c r="A1008" s="147"/>
      <c r="B1008" s="148"/>
      <c r="C1008" s="87"/>
      <c r="D1008" s="37"/>
      <c r="E1008" s="37"/>
      <c r="F1008" s="87"/>
    </row>
    <row r="1009">
      <c r="A1009" s="147"/>
      <c r="B1009" s="148"/>
      <c r="C1009" s="87"/>
      <c r="D1009" s="37"/>
      <c r="E1009" s="37"/>
      <c r="F1009" s="87"/>
    </row>
    <row r="1010">
      <c r="A1010" s="147"/>
      <c r="B1010" s="148"/>
      <c r="C1010" s="87"/>
      <c r="D1010" s="37"/>
      <c r="E1010" s="37"/>
      <c r="F1010" s="87"/>
    </row>
    <row r="1011">
      <c r="A1011" s="147"/>
      <c r="B1011" s="148"/>
      <c r="C1011" s="87"/>
      <c r="D1011" s="37"/>
      <c r="E1011" s="37"/>
      <c r="F1011" s="87"/>
    </row>
    <row r="1012">
      <c r="A1012" s="147"/>
      <c r="B1012" s="148"/>
      <c r="C1012" s="87"/>
      <c r="D1012" s="37"/>
      <c r="E1012" s="37"/>
      <c r="F1012" s="87"/>
    </row>
    <row r="1013">
      <c r="A1013" s="147"/>
      <c r="B1013" s="148"/>
      <c r="C1013" s="87"/>
      <c r="D1013" s="37"/>
      <c r="E1013" s="37"/>
      <c r="F1013" s="87"/>
    </row>
    <row r="1014">
      <c r="A1014" s="147"/>
      <c r="B1014" s="148"/>
      <c r="C1014" s="87"/>
      <c r="D1014" s="37"/>
      <c r="E1014" s="37"/>
      <c r="F1014" s="87"/>
    </row>
    <row r="1015">
      <c r="A1015" s="147"/>
      <c r="B1015" s="148"/>
      <c r="C1015" s="87"/>
      <c r="D1015" s="37"/>
      <c r="E1015" s="37"/>
      <c r="F1015" s="87"/>
    </row>
    <row r="1016">
      <c r="A1016" s="147"/>
      <c r="B1016" s="148"/>
      <c r="C1016" s="87"/>
      <c r="D1016" s="37"/>
      <c r="E1016" s="37"/>
      <c r="F1016" s="87"/>
    </row>
    <row r="1017">
      <c r="A1017" s="147"/>
      <c r="B1017" s="148"/>
      <c r="C1017" s="87"/>
      <c r="D1017" s="37"/>
      <c r="E1017" s="37"/>
      <c r="F1017" s="87"/>
    </row>
    <row r="1018">
      <c r="A1018" s="147"/>
      <c r="B1018" s="148"/>
      <c r="C1018" s="87"/>
      <c r="D1018" s="37"/>
      <c r="E1018" s="37"/>
      <c r="F1018" s="87"/>
    </row>
    <row r="1019">
      <c r="A1019" s="147"/>
      <c r="B1019" s="148"/>
      <c r="C1019" s="87"/>
      <c r="D1019" s="37"/>
      <c r="E1019" s="37"/>
      <c r="F1019" s="87"/>
    </row>
    <row r="1020">
      <c r="A1020" s="147"/>
      <c r="B1020" s="148"/>
      <c r="C1020" s="87"/>
      <c r="D1020" s="37"/>
      <c r="E1020" s="37"/>
      <c r="F1020" s="87"/>
    </row>
    <row r="1021">
      <c r="A1021" s="147"/>
      <c r="B1021" s="148"/>
      <c r="C1021" s="87"/>
      <c r="D1021" s="37"/>
      <c r="E1021" s="37"/>
      <c r="F1021" s="87"/>
    </row>
    <row r="1022">
      <c r="A1022" s="147"/>
      <c r="B1022" s="148"/>
      <c r="C1022" s="87"/>
      <c r="D1022" s="37"/>
      <c r="E1022" s="37"/>
      <c r="F1022" s="87"/>
    </row>
    <row r="1023">
      <c r="A1023" s="147"/>
      <c r="B1023" s="148"/>
      <c r="C1023" s="87"/>
      <c r="D1023" s="37"/>
      <c r="E1023" s="37"/>
      <c r="F1023" s="87"/>
    </row>
    <row r="1024">
      <c r="A1024" s="147"/>
      <c r="B1024" s="148"/>
      <c r="C1024" s="87"/>
      <c r="D1024" s="37"/>
      <c r="E1024" s="37"/>
      <c r="F1024" s="87"/>
    </row>
    <row r="1025">
      <c r="A1025" s="147"/>
      <c r="B1025" s="148"/>
      <c r="C1025" s="87"/>
      <c r="D1025" s="37"/>
      <c r="E1025" s="37"/>
      <c r="F1025" s="87"/>
    </row>
    <row r="1026">
      <c r="A1026" s="147"/>
      <c r="B1026" s="148"/>
      <c r="C1026" s="87"/>
      <c r="D1026" s="37"/>
      <c r="E1026" s="37"/>
      <c r="F1026" s="87"/>
    </row>
    <row r="1027">
      <c r="A1027" s="147"/>
      <c r="B1027" s="148"/>
      <c r="C1027" s="87"/>
      <c r="D1027" s="37"/>
      <c r="E1027" s="37"/>
      <c r="F1027" s="87"/>
    </row>
    <row r="1028">
      <c r="A1028" s="147"/>
      <c r="B1028" s="148"/>
      <c r="C1028" s="87"/>
      <c r="D1028" s="37"/>
      <c r="E1028" s="37"/>
      <c r="F1028" s="87"/>
    </row>
    <row r="1029">
      <c r="A1029" s="147"/>
      <c r="B1029" s="148"/>
      <c r="C1029" s="87"/>
      <c r="D1029" s="37"/>
      <c r="E1029" s="37"/>
      <c r="F1029" s="87"/>
    </row>
    <row r="1030">
      <c r="A1030" s="147"/>
      <c r="B1030" s="148"/>
      <c r="C1030" s="87"/>
      <c r="D1030" s="37"/>
      <c r="E1030" s="37"/>
      <c r="F1030" s="87"/>
    </row>
    <row r="1031">
      <c r="A1031" s="147"/>
      <c r="B1031" s="148"/>
      <c r="C1031" s="87"/>
      <c r="D1031" s="37"/>
      <c r="E1031" s="37"/>
      <c r="F1031" s="87"/>
    </row>
    <row r="1032">
      <c r="A1032" s="147"/>
      <c r="B1032" s="148"/>
      <c r="C1032" s="87"/>
      <c r="D1032" s="37"/>
      <c r="E1032" s="37"/>
      <c r="F1032" s="87"/>
    </row>
    <row r="1033">
      <c r="A1033" s="147"/>
      <c r="B1033" s="148"/>
      <c r="C1033" s="87"/>
      <c r="D1033" s="37"/>
      <c r="E1033" s="37"/>
      <c r="F1033" s="87"/>
    </row>
    <row r="1034">
      <c r="A1034" s="147"/>
      <c r="B1034" s="148"/>
      <c r="C1034" s="87"/>
      <c r="D1034" s="37"/>
      <c r="E1034" s="37"/>
      <c r="F1034" s="87"/>
    </row>
    <row r="1035">
      <c r="A1035" s="147"/>
      <c r="B1035" s="148"/>
      <c r="C1035" s="87"/>
      <c r="D1035" s="37"/>
      <c r="E1035" s="37"/>
      <c r="F1035" s="87"/>
    </row>
    <row r="1036">
      <c r="A1036" s="147"/>
      <c r="B1036" s="148"/>
      <c r="C1036" s="87"/>
      <c r="D1036" s="37"/>
      <c r="E1036" s="37"/>
      <c r="F1036" s="87"/>
    </row>
    <row r="1037">
      <c r="A1037" s="147"/>
      <c r="B1037" s="148"/>
      <c r="C1037" s="87"/>
      <c r="D1037" s="37"/>
      <c r="E1037" s="37"/>
      <c r="F1037" s="87"/>
    </row>
    <row r="1038">
      <c r="A1038" s="147"/>
      <c r="B1038" s="148"/>
      <c r="C1038" s="87"/>
      <c r="D1038" s="37"/>
      <c r="E1038" s="37"/>
      <c r="F1038" s="87"/>
    </row>
    <row r="1039">
      <c r="A1039" s="147"/>
      <c r="B1039" s="148"/>
      <c r="C1039" s="87"/>
      <c r="D1039" s="37"/>
      <c r="E1039" s="37"/>
      <c r="F1039" s="87"/>
    </row>
    <row r="1040">
      <c r="A1040" s="147"/>
      <c r="B1040" s="148"/>
      <c r="C1040" s="87"/>
      <c r="D1040" s="37"/>
      <c r="E1040" s="37"/>
      <c r="F1040" s="87"/>
    </row>
    <row r="1041">
      <c r="A1041" s="147"/>
      <c r="B1041" s="148"/>
      <c r="C1041" s="87"/>
      <c r="D1041" s="37"/>
      <c r="E1041" s="37"/>
      <c r="F1041" s="87"/>
    </row>
    <row r="1042">
      <c r="A1042" s="147"/>
      <c r="B1042" s="148"/>
      <c r="C1042" s="87"/>
      <c r="D1042" s="37"/>
      <c r="E1042" s="37"/>
      <c r="F1042" s="87"/>
    </row>
    <row r="1043">
      <c r="A1043" s="147"/>
      <c r="B1043" s="148"/>
      <c r="C1043" s="87"/>
      <c r="D1043" s="37"/>
      <c r="E1043" s="37"/>
      <c r="F1043" s="87"/>
    </row>
    <row r="1044">
      <c r="A1044" s="147"/>
      <c r="B1044" s="148"/>
      <c r="C1044" s="87"/>
      <c r="D1044" s="37"/>
      <c r="E1044" s="37"/>
      <c r="F1044" s="87"/>
    </row>
    <row r="1045">
      <c r="A1045" s="147"/>
      <c r="B1045" s="148"/>
      <c r="C1045" s="87"/>
      <c r="D1045" s="37"/>
      <c r="E1045" s="37"/>
      <c r="F1045" s="87"/>
    </row>
    <row r="1046">
      <c r="A1046" s="147"/>
      <c r="B1046" s="148"/>
      <c r="C1046" s="87"/>
      <c r="D1046" s="37"/>
      <c r="E1046" s="37"/>
      <c r="F1046" s="87"/>
    </row>
    <row r="1047">
      <c r="A1047" s="147"/>
      <c r="B1047" s="148"/>
      <c r="C1047" s="87"/>
      <c r="D1047" s="37"/>
      <c r="E1047" s="37"/>
      <c r="F1047" s="87"/>
    </row>
    <row r="1048">
      <c r="A1048" s="147"/>
      <c r="B1048" s="148"/>
      <c r="C1048" s="87"/>
      <c r="D1048" s="37"/>
      <c r="E1048" s="37"/>
      <c r="F1048" s="87"/>
    </row>
    <row r="1049">
      <c r="A1049" s="147"/>
      <c r="B1049" s="148"/>
      <c r="C1049" s="87"/>
      <c r="D1049" s="37"/>
      <c r="E1049" s="37"/>
      <c r="F1049" s="87"/>
    </row>
    <row r="1050">
      <c r="A1050" s="147"/>
      <c r="B1050" s="148"/>
      <c r="C1050" s="87"/>
      <c r="D1050" s="37"/>
      <c r="E1050" s="37"/>
      <c r="F1050" s="87"/>
    </row>
    <row r="1051">
      <c r="A1051" s="147"/>
      <c r="B1051" s="148"/>
      <c r="C1051" s="87"/>
      <c r="D1051" s="37"/>
      <c r="E1051" s="37"/>
      <c r="F1051" s="87"/>
    </row>
    <row r="1052">
      <c r="A1052" s="147"/>
      <c r="B1052" s="148"/>
      <c r="C1052" s="87"/>
      <c r="D1052" s="37"/>
      <c r="E1052" s="37"/>
      <c r="F1052" s="87"/>
    </row>
    <row r="1053">
      <c r="A1053" s="147"/>
      <c r="B1053" s="148"/>
      <c r="C1053" s="87"/>
      <c r="D1053" s="37"/>
      <c r="E1053" s="37"/>
      <c r="F1053" s="87"/>
    </row>
    <row r="1054">
      <c r="A1054" s="147"/>
      <c r="B1054" s="148"/>
      <c r="C1054" s="87"/>
      <c r="D1054" s="37"/>
      <c r="E1054" s="37"/>
      <c r="F1054" s="87"/>
    </row>
    <row r="1055">
      <c r="A1055" s="147"/>
      <c r="B1055" s="148"/>
      <c r="C1055" s="87"/>
      <c r="D1055" s="37"/>
      <c r="E1055" s="37"/>
      <c r="F1055" s="87"/>
    </row>
    <row r="1056">
      <c r="A1056" s="147"/>
      <c r="B1056" s="148"/>
      <c r="C1056" s="87"/>
      <c r="D1056" s="37"/>
      <c r="E1056" s="37"/>
      <c r="F1056" s="87"/>
    </row>
    <row r="1057">
      <c r="A1057" s="147"/>
      <c r="B1057" s="148"/>
      <c r="C1057" s="87"/>
      <c r="D1057" s="37"/>
      <c r="E1057" s="37"/>
      <c r="F1057" s="87"/>
    </row>
    <row r="1058">
      <c r="A1058" s="147"/>
      <c r="B1058" s="148"/>
      <c r="C1058" s="87"/>
      <c r="D1058" s="37"/>
      <c r="E1058" s="37"/>
      <c r="F1058" s="87"/>
    </row>
    <row r="1059">
      <c r="A1059" s="147"/>
      <c r="B1059" s="148"/>
      <c r="C1059" s="87"/>
      <c r="D1059" s="37"/>
      <c r="E1059" s="37"/>
      <c r="F1059" s="87"/>
    </row>
    <row r="1060">
      <c r="A1060" s="147"/>
      <c r="B1060" s="148"/>
      <c r="C1060" s="87"/>
      <c r="D1060" s="37"/>
      <c r="E1060" s="37"/>
      <c r="F1060" s="87"/>
    </row>
    <row r="1061">
      <c r="A1061" s="147"/>
      <c r="B1061" s="148"/>
      <c r="C1061" s="87"/>
      <c r="D1061" s="37"/>
      <c r="E1061" s="37"/>
      <c r="F1061" s="87"/>
    </row>
    <row r="1062">
      <c r="A1062" s="147"/>
      <c r="B1062" s="148"/>
      <c r="C1062" s="87"/>
      <c r="D1062" s="37"/>
      <c r="E1062" s="37"/>
      <c r="F1062" s="87"/>
    </row>
    <row r="1063">
      <c r="A1063" s="147"/>
      <c r="B1063" s="148"/>
      <c r="C1063" s="87"/>
      <c r="D1063" s="37"/>
      <c r="E1063" s="37"/>
      <c r="F1063" s="87"/>
    </row>
    <row r="1064">
      <c r="A1064" s="147"/>
      <c r="B1064" s="148"/>
      <c r="C1064" s="87"/>
      <c r="D1064" s="37"/>
      <c r="E1064" s="37"/>
      <c r="F1064" s="87"/>
    </row>
    <row r="1065">
      <c r="A1065" s="147"/>
      <c r="B1065" s="148"/>
      <c r="C1065" s="87"/>
      <c r="D1065" s="37"/>
      <c r="E1065" s="37"/>
      <c r="F1065" s="87"/>
    </row>
    <row r="1066">
      <c r="A1066" s="147"/>
      <c r="B1066" s="148"/>
      <c r="C1066" s="87"/>
      <c r="D1066" s="37"/>
      <c r="E1066" s="37"/>
      <c r="F1066" s="87"/>
    </row>
    <row r="1067">
      <c r="A1067" s="147"/>
      <c r="B1067" s="148"/>
      <c r="C1067" s="87"/>
      <c r="D1067" s="37"/>
      <c r="E1067" s="37"/>
      <c r="F1067" s="87"/>
    </row>
    <row r="1068">
      <c r="A1068" s="147"/>
      <c r="B1068" s="148"/>
      <c r="C1068" s="87"/>
      <c r="D1068" s="37"/>
      <c r="E1068" s="37"/>
      <c r="F1068" s="87"/>
    </row>
    <row r="1069">
      <c r="A1069" s="147"/>
      <c r="B1069" s="148"/>
      <c r="C1069" s="87"/>
      <c r="D1069" s="37"/>
      <c r="E1069" s="37"/>
      <c r="F1069" s="87"/>
    </row>
    <row r="1070">
      <c r="A1070" s="147"/>
      <c r="B1070" s="148"/>
      <c r="C1070" s="87"/>
      <c r="D1070" s="37"/>
      <c r="E1070" s="37"/>
      <c r="F1070" s="87"/>
    </row>
    <row r="1071">
      <c r="A1071" s="147"/>
      <c r="B1071" s="148"/>
      <c r="C1071" s="87"/>
      <c r="D1071" s="37"/>
      <c r="E1071" s="37"/>
      <c r="F1071" s="87"/>
    </row>
    <row r="1072">
      <c r="A1072" s="147"/>
      <c r="B1072" s="148"/>
      <c r="C1072" s="87"/>
      <c r="D1072" s="37"/>
      <c r="E1072" s="37"/>
      <c r="F1072" s="87"/>
    </row>
    <row r="1073">
      <c r="A1073" s="147"/>
      <c r="B1073" s="148"/>
      <c r="C1073" s="87"/>
      <c r="D1073" s="37"/>
      <c r="E1073" s="37"/>
      <c r="F1073" s="87"/>
    </row>
    <row r="1074">
      <c r="A1074" s="147"/>
      <c r="B1074" s="148"/>
      <c r="C1074" s="87"/>
      <c r="D1074" s="37"/>
      <c r="E1074" s="37"/>
      <c r="F1074" s="87"/>
    </row>
    <row r="1075">
      <c r="A1075" s="147"/>
      <c r="B1075" s="148"/>
      <c r="C1075" s="87"/>
      <c r="D1075" s="37"/>
      <c r="E1075" s="37"/>
      <c r="F1075" s="87"/>
    </row>
    <row r="1076">
      <c r="A1076" s="147"/>
      <c r="B1076" s="148"/>
      <c r="C1076" s="87"/>
      <c r="D1076" s="37"/>
      <c r="E1076" s="37"/>
      <c r="F1076" s="87"/>
    </row>
    <row r="1077">
      <c r="A1077" s="147"/>
      <c r="B1077" s="148"/>
      <c r="C1077" s="87"/>
      <c r="D1077" s="37"/>
      <c r="E1077" s="37"/>
      <c r="F1077" s="87"/>
    </row>
    <row r="1078">
      <c r="A1078" s="147"/>
      <c r="B1078" s="148"/>
      <c r="C1078" s="87"/>
      <c r="D1078" s="37"/>
      <c r="E1078" s="37"/>
      <c r="F1078" s="87"/>
    </row>
    <row r="1079">
      <c r="A1079" s="147"/>
      <c r="B1079" s="148"/>
      <c r="C1079" s="87"/>
      <c r="D1079" s="37"/>
      <c r="E1079" s="37"/>
      <c r="F1079" s="87"/>
    </row>
    <row r="1080">
      <c r="A1080" s="147"/>
      <c r="B1080" s="148"/>
      <c r="C1080" s="87"/>
      <c r="D1080" s="37"/>
      <c r="E1080" s="37"/>
      <c r="F1080" s="87"/>
    </row>
    <row r="1081">
      <c r="A1081" s="147"/>
      <c r="B1081" s="148"/>
      <c r="C1081" s="87"/>
      <c r="D1081" s="37"/>
      <c r="E1081" s="37"/>
      <c r="F1081" s="87"/>
    </row>
    <row r="1082">
      <c r="A1082" s="147"/>
      <c r="B1082" s="148"/>
      <c r="C1082" s="87"/>
      <c r="D1082" s="37"/>
      <c r="E1082" s="37"/>
      <c r="F1082" s="87"/>
    </row>
    <row r="1083">
      <c r="A1083" s="147"/>
      <c r="B1083" s="148"/>
      <c r="C1083" s="87"/>
      <c r="D1083" s="37"/>
      <c r="E1083" s="37"/>
      <c r="F1083" s="87"/>
    </row>
    <row r="1084">
      <c r="A1084" s="147"/>
      <c r="B1084" s="148"/>
      <c r="C1084" s="87"/>
      <c r="D1084" s="37"/>
      <c r="E1084" s="37"/>
      <c r="F1084" s="87"/>
    </row>
    <row r="1085">
      <c r="A1085" s="147"/>
      <c r="B1085" s="148"/>
      <c r="C1085" s="87"/>
      <c r="D1085" s="37"/>
      <c r="E1085" s="37"/>
      <c r="F1085" s="87"/>
    </row>
    <row r="1086">
      <c r="A1086" s="147"/>
      <c r="B1086" s="148"/>
      <c r="C1086" s="87"/>
      <c r="D1086" s="37"/>
      <c r="E1086" s="37"/>
      <c r="F1086" s="87"/>
    </row>
    <row r="1087">
      <c r="A1087" s="147"/>
      <c r="B1087" s="148"/>
      <c r="C1087" s="87"/>
      <c r="D1087" s="37"/>
      <c r="E1087" s="37"/>
      <c r="F1087" s="87"/>
    </row>
    <row r="1088">
      <c r="A1088" s="147"/>
      <c r="B1088" s="148"/>
      <c r="C1088" s="87"/>
      <c r="D1088" s="37"/>
      <c r="E1088" s="37"/>
      <c r="F1088" s="87"/>
    </row>
    <row r="1089">
      <c r="A1089" s="147"/>
      <c r="B1089" s="148"/>
      <c r="C1089" s="87"/>
      <c r="D1089" s="37"/>
      <c r="E1089" s="37"/>
      <c r="F1089" s="87"/>
    </row>
    <row r="1090">
      <c r="A1090" s="147"/>
      <c r="B1090" s="148"/>
      <c r="C1090" s="87"/>
      <c r="D1090" s="37"/>
      <c r="E1090" s="37"/>
      <c r="F1090" s="87"/>
    </row>
    <row r="1091">
      <c r="A1091" s="147"/>
      <c r="B1091" s="148"/>
      <c r="C1091" s="87"/>
      <c r="D1091" s="37"/>
      <c r="E1091" s="37"/>
      <c r="F1091" s="87"/>
    </row>
    <row r="1092">
      <c r="A1092" s="147"/>
      <c r="B1092" s="148"/>
      <c r="C1092" s="87"/>
      <c r="D1092" s="37"/>
      <c r="E1092" s="37"/>
      <c r="F1092" s="87"/>
    </row>
    <row r="1093">
      <c r="A1093" s="147"/>
      <c r="B1093" s="148"/>
      <c r="C1093" s="87"/>
      <c r="D1093" s="37"/>
      <c r="E1093" s="37"/>
      <c r="F1093" s="87"/>
    </row>
    <row r="1094">
      <c r="A1094" s="147"/>
      <c r="B1094" s="148"/>
      <c r="C1094" s="87"/>
      <c r="D1094" s="37"/>
      <c r="E1094" s="37"/>
      <c r="F1094" s="87"/>
    </row>
    <row r="1095">
      <c r="A1095" s="147"/>
      <c r="B1095" s="148"/>
      <c r="C1095" s="87"/>
      <c r="D1095" s="37"/>
      <c r="E1095" s="37"/>
      <c r="F1095" s="87"/>
    </row>
    <row r="1096">
      <c r="A1096" s="147"/>
      <c r="B1096" s="148"/>
      <c r="C1096" s="87"/>
      <c r="D1096" s="37"/>
      <c r="E1096" s="37"/>
      <c r="F1096" s="87"/>
    </row>
    <row r="1097">
      <c r="A1097" s="147"/>
      <c r="B1097" s="148"/>
      <c r="C1097" s="87"/>
      <c r="D1097" s="37"/>
      <c r="E1097" s="37"/>
      <c r="F1097" s="87"/>
    </row>
    <row r="1098">
      <c r="A1098" s="147"/>
      <c r="B1098" s="148"/>
      <c r="C1098" s="87"/>
      <c r="D1098" s="37"/>
      <c r="E1098" s="37"/>
      <c r="F1098" s="87"/>
    </row>
    <row r="1099">
      <c r="A1099" s="147"/>
      <c r="B1099" s="148"/>
      <c r="C1099" s="87"/>
      <c r="D1099" s="37"/>
      <c r="E1099" s="37"/>
      <c r="F1099" s="87"/>
    </row>
    <row r="1100">
      <c r="A1100" s="147"/>
      <c r="B1100" s="148"/>
      <c r="C1100" s="87"/>
      <c r="D1100" s="37"/>
      <c r="E1100" s="37"/>
      <c r="F1100" s="87"/>
    </row>
    <row r="1101">
      <c r="A1101" s="147"/>
      <c r="B1101" s="148"/>
      <c r="C1101" s="87"/>
      <c r="D1101" s="37"/>
      <c r="E1101" s="37"/>
      <c r="F1101" s="87"/>
    </row>
    <row r="1102">
      <c r="A1102" s="147"/>
      <c r="B1102" s="148"/>
      <c r="C1102" s="87"/>
      <c r="D1102" s="37"/>
      <c r="E1102" s="37"/>
      <c r="F1102" s="87"/>
    </row>
    <row r="1103">
      <c r="A1103" s="147"/>
      <c r="B1103" s="148"/>
      <c r="C1103" s="87"/>
      <c r="D1103" s="37"/>
      <c r="E1103" s="37"/>
      <c r="F1103" s="87"/>
    </row>
    <row r="1104">
      <c r="A1104" s="147"/>
      <c r="B1104" s="148"/>
      <c r="C1104" s="87"/>
      <c r="D1104" s="37"/>
      <c r="E1104" s="37"/>
      <c r="F1104" s="87"/>
    </row>
    <row r="1105">
      <c r="A1105" s="147"/>
      <c r="B1105" s="148"/>
      <c r="C1105" s="87"/>
      <c r="D1105" s="37"/>
      <c r="E1105" s="37"/>
      <c r="F1105" s="87"/>
    </row>
    <row r="1106">
      <c r="A1106" s="147"/>
      <c r="B1106" s="148"/>
      <c r="C1106" s="87"/>
      <c r="D1106" s="37"/>
      <c r="E1106" s="37"/>
      <c r="F1106" s="87"/>
    </row>
    <row r="1107">
      <c r="A1107" s="147"/>
      <c r="B1107" s="148"/>
      <c r="C1107" s="87"/>
      <c r="D1107" s="37"/>
      <c r="E1107" s="37"/>
      <c r="F1107" s="87"/>
    </row>
    <row r="1108">
      <c r="A1108" s="147"/>
      <c r="B1108" s="148"/>
      <c r="C1108" s="87"/>
      <c r="D1108" s="37"/>
      <c r="E1108" s="37"/>
      <c r="F1108" s="87"/>
    </row>
    <row r="1109">
      <c r="A1109" s="147"/>
      <c r="B1109" s="148"/>
      <c r="C1109" s="87"/>
      <c r="D1109" s="37"/>
      <c r="E1109" s="37"/>
      <c r="F1109" s="87"/>
    </row>
    <row r="1110">
      <c r="A1110" s="147"/>
      <c r="B1110" s="148"/>
      <c r="C1110" s="87"/>
      <c r="D1110" s="37"/>
      <c r="E1110" s="37"/>
      <c r="F1110" s="87"/>
    </row>
    <row r="1111">
      <c r="A1111" s="147"/>
      <c r="B1111" s="148"/>
      <c r="C1111" s="87"/>
      <c r="D1111" s="37"/>
      <c r="E1111" s="37"/>
      <c r="F1111" s="87"/>
    </row>
    <row r="1112">
      <c r="A1112" s="147"/>
      <c r="B1112" s="148"/>
      <c r="C1112" s="87"/>
      <c r="D1112" s="37"/>
      <c r="E1112" s="37"/>
      <c r="F1112" s="87"/>
    </row>
    <row r="1113">
      <c r="A1113" s="147"/>
      <c r="B1113" s="148"/>
      <c r="C1113" s="87"/>
      <c r="D1113" s="37"/>
      <c r="E1113" s="37"/>
      <c r="F1113" s="87"/>
    </row>
    <row r="1114">
      <c r="A1114" s="147"/>
      <c r="B1114" s="148"/>
      <c r="C1114" s="87"/>
      <c r="D1114" s="37"/>
      <c r="E1114" s="37"/>
      <c r="F1114" s="87"/>
    </row>
    <row r="1115">
      <c r="A1115" s="147"/>
      <c r="B1115" s="148"/>
      <c r="C1115" s="87"/>
      <c r="D1115" s="37"/>
      <c r="E1115" s="37"/>
      <c r="F1115" s="87"/>
    </row>
    <row r="1116">
      <c r="A1116" s="147"/>
      <c r="B1116" s="148"/>
      <c r="C1116" s="87"/>
      <c r="D1116" s="37"/>
      <c r="E1116" s="37"/>
      <c r="F1116" s="87"/>
    </row>
    <row r="1117">
      <c r="A1117" s="147"/>
      <c r="B1117" s="148"/>
      <c r="C1117" s="87"/>
      <c r="D1117" s="37"/>
      <c r="E1117" s="37"/>
      <c r="F1117" s="87"/>
    </row>
    <row r="1118">
      <c r="A1118" s="147"/>
      <c r="B1118" s="148"/>
      <c r="C1118" s="87"/>
      <c r="D1118" s="37"/>
      <c r="E1118" s="37"/>
      <c r="F1118" s="87"/>
    </row>
    <row r="1119">
      <c r="A1119" s="147"/>
      <c r="B1119" s="148"/>
      <c r="C1119" s="87"/>
      <c r="D1119" s="37"/>
      <c r="E1119" s="37"/>
      <c r="F1119" s="87"/>
    </row>
    <row r="1120">
      <c r="A1120" s="147"/>
      <c r="B1120" s="148"/>
      <c r="C1120" s="87"/>
      <c r="D1120" s="37"/>
      <c r="E1120" s="37"/>
      <c r="F1120" s="87"/>
    </row>
    <row r="1121">
      <c r="A1121" s="147"/>
      <c r="B1121" s="148"/>
      <c r="C1121" s="87"/>
      <c r="D1121" s="37"/>
      <c r="E1121" s="37"/>
      <c r="F1121" s="87"/>
    </row>
    <row r="1122">
      <c r="A1122" s="147"/>
      <c r="B1122" s="148"/>
      <c r="C1122" s="87"/>
      <c r="D1122" s="37"/>
      <c r="E1122" s="37"/>
      <c r="F1122" s="87"/>
    </row>
    <row r="1123">
      <c r="A1123" s="147"/>
      <c r="B1123" s="148"/>
      <c r="C1123" s="87"/>
      <c r="D1123" s="37"/>
      <c r="E1123" s="37"/>
      <c r="F1123" s="87"/>
    </row>
    <row r="1124">
      <c r="A1124" s="147"/>
      <c r="B1124" s="148"/>
      <c r="C1124" s="87"/>
      <c r="D1124" s="37"/>
      <c r="E1124" s="37"/>
      <c r="F1124" s="87"/>
    </row>
    <row r="1125">
      <c r="A1125" s="147"/>
      <c r="B1125" s="148"/>
      <c r="C1125" s="87"/>
      <c r="D1125" s="37"/>
      <c r="E1125" s="37"/>
      <c r="F1125" s="87"/>
    </row>
    <row r="1126">
      <c r="A1126" s="147"/>
      <c r="B1126" s="148"/>
      <c r="C1126" s="87"/>
      <c r="D1126" s="37"/>
      <c r="E1126" s="37"/>
      <c r="F1126" s="87"/>
    </row>
    <row r="1127">
      <c r="A1127" s="147"/>
      <c r="B1127" s="148"/>
      <c r="C1127" s="87"/>
      <c r="D1127" s="37"/>
      <c r="E1127" s="37"/>
      <c r="F1127" s="87"/>
    </row>
    <row r="1128">
      <c r="A1128" s="147"/>
      <c r="B1128" s="148"/>
      <c r="C1128" s="87"/>
      <c r="D1128" s="37"/>
      <c r="E1128" s="37"/>
      <c r="F1128" s="87"/>
    </row>
    <row r="1129">
      <c r="A1129" s="147"/>
      <c r="B1129" s="148"/>
      <c r="C1129" s="87"/>
      <c r="D1129" s="37"/>
      <c r="E1129" s="37"/>
      <c r="F1129" s="87"/>
    </row>
    <row r="1130">
      <c r="A1130" s="147"/>
      <c r="B1130" s="148"/>
      <c r="C1130" s="87"/>
      <c r="D1130" s="37"/>
      <c r="E1130" s="37"/>
      <c r="F1130" s="87"/>
    </row>
    <row r="1131">
      <c r="A1131" s="147"/>
      <c r="B1131" s="148"/>
      <c r="C1131" s="87"/>
      <c r="D1131" s="37"/>
      <c r="E1131" s="37"/>
      <c r="F1131" s="87"/>
    </row>
    <row r="1132">
      <c r="A1132" s="147"/>
      <c r="B1132" s="148"/>
      <c r="C1132" s="87"/>
      <c r="D1132" s="37"/>
      <c r="E1132" s="37"/>
      <c r="F1132" s="87"/>
    </row>
    <row r="1133">
      <c r="A1133" s="147"/>
      <c r="B1133" s="148"/>
      <c r="C1133" s="87"/>
      <c r="D1133" s="37"/>
      <c r="E1133" s="37"/>
      <c r="F1133" s="87"/>
    </row>
    <row r="1134">
      <c r="A1134" s="147"/>
      <c r="B1134" s="148"/>
      <c r="C1134" s="87"/>
      <c r="D1134" s="37"/>
      <c r="E1134" s="37"/>
      <c r="F1134" s="87"/>
    </row>
    <row r="1135">
      <c r="A1135" s="147"/>
      <c r="B1135" s="148"/>
      <c r="C1135" s="87"/>
      <c r="D1135" s="37"/>
      <c r="E1135" s="37"/>
      <c r="F1135" s="87"/>
    </row>
    <row r="1136">
      <c r="A1136" s="147"/>
      <c r="B1136" s="148"/>
      <c r="C1136" s="87"/>
      <c r="D1136" s="37"/>
      <c r="E1136" s="37"/>
      <c r="F1136" s="87"/>
    </row>
    <row r="1137">
      <c r="A1137" s="147"/>
      <c r="B1137" s="148"/>
      <c r="C1137" s="87"/>
      <c r="D1137" s="37"/>
      <c r="E1137" s="37"/>
      <c r="F1137" s="87"/>
    </row>
    <row r="1138">
      <c r="A1138" s="147"/>
      <c r="B1138" s="148"/>
      <c r="C1138" s="87"/>
      <c r="D1138" s="37"/>
      <c r="E1138" s="37"/>
      <c r="F1138" s="87"/>
    </row>
    <row r="1139">
      <c r="A1139" s="147"/>
      <c r="B1139" s="148"/>
      <c r="C1139" s="87"/>
      <c r="D1139" s="37"/>
      <c r="E1139" s="37"/>
      <c r="F1139" s="87"/>
    </row>
    <row r="1140">
      <c r="A1140" s="147"/>
      <c r="B1140" s="148"/>
      <c r="C1140" s="87"/>
      <c r="D1140" s="37"/>
      <c r="E1140" s="37"/>
      <c r="F1140" s="87"/>
    </row>
    <row r="1141">
      <c r="A1141" s="147"/>
      <c r="B1141" s="148"/>
      <c r="C1141" s="87"/>
      <c r="D1141" s="37"/>
      <c r="E1141" s="37"/>
      <c r="F1141" s="87"/>
    </row>
    <row r="1142">
      <c r="A1142" s="147"/>
      <c r="B1142" s="148"/>
      <c r="C1142" s="87"/>
      <c r="D1142" s="37"/>
      <c r="E1142" s="37"/>
      <c r="F1142" s="87"/>
    </row>
    <row r="1143">
      <c r="A1143" s="147"/>
      <c r="B1143" s="148"/>
      <c r="C1143" s="87"/>
      <c r="D1143" s="37"/>
      <c r="E1143" s="37"/>
      <c r="F1143" s="87"/>
    </row>
    <row r="1144">
      <c r="A1144" s="147"/>
      <c r="B1144" s="148"/>
      <c r="C1144" s="87"/>
      <c r="D1144" s="37"/>
      <c r="E1144" s="37"/>
      <c r="F1144" s="87"/>
    </row>
    <row r="1145">
      <c r="A1145" s="147"/>
      <c r="B1145" s="148"/>
      <c r="C1145" s="87"/>
      <c r="D1145" s="37"/>
      <c r="E1145" s="37"/>
      <c r="F1145" s="87"/>
    </row>
    <row r="1146">
      <c r="A1146" s="147"/>
      <c r="B1146" s="148"/>
      <c r="C1146" s="87"/>
      <c r="D1146" s="37"/>
      <c r="E1146" s="37"/>
      <c r="F1146" s="87"/>
    </row>
    <row r="1147">
      <c r="A1147" s="147"/>
      <c r="B1147" s="148"/>
      <c r="C1147" s="87"/>
      <c r="D1147" s="37"/>
      <c r="E1147" s="37"/>
      <c r="F1147" s="87"/>
    </row>
    <row r="1148">
      <c r="A1148" s="147"/>
      <c r="B1148" s="148"/>
      <c r="C1148" s="87"/>
      <c r="D1148" s="37"/>
      <c r="E1148" s="37"/>
      <c r="F1148" s="87"/>
    </row>
    <row r="1149">
      <c r="A1149" s="147"/>
      <c r="B1149" s="148"/>
      <c r="C1149" s="87"/>
      <c r="D1149" s="37"/>
      <c r="E1149" s="37"/>
      <c r="F1149" s="87"/>
    </row>
    <row r="1150">
      <c r="A1150" s="147"/>
      <c r="B1150" s="148"/>
      <c r="C1150" s="87"/>
      <c r="D1150" s="37"/>
      <c r="E1150" s="37"/>
      <c r="F1150" s="87"/>
    </row>
    <row r="1151">
      <c r="A1151" s="147"/>
      <c r="B1151" s="148"/>
      <c r="C1151" s="87"/>
      <c r="D1151" s="37"/>
      <c r="E1151" s="37"/>
      <c r="F1151" s="87"/>
    </row>
    <row r="1152">
      <c r="A1152" s="147"/>
      <c r="B1152" s="148"/>
      <c r="C1152" s="87"/>
      <c r="D1152" s="37"/>
      <c r="E1152" s="37"/>
      <c r="F1152" s="87"/>
    </row>
    <row r="1153">
      <c r="A1153" s="147"/>
      <c r="B1153" s="148"/>
      <c r="C1153" s="87"/>
      <c r="D1153" s="37"/>
      <c r="E1153" s="37"/>
      <c r="F1153" s="87"/>
    </row>
    <row r="1154">
      <c r="A1154" s="147"/>
      <c r="B1154" s="148"/>
      <c r="C1154" s="87"/>
      <c r="D1154" s="37"/>
      <c r="E1154" s="37"/>
      <c r="F1154" s="87"/>
    </row>
    <row r="1155">
      <c r="A1155" s="147"/>
      <c r="B1155" s="148"/>
      <c r="C1155" s="87"/>
      <c r="D1155" s="37"/>
      <c r="E1155" s="37"/>
      <c r="F1155" s="87"/>
    </row>
    <row r="1156">
      <c r="A1156" s="147"/>
      <c r="B1156" s="148"/>
      <c r="C1156" s="87"/>
      <c r="D1156" s="37"/>
      <c r="E1156" s="37"/>
      <c r="F1156" s="87"/>
    </row>
    <row r="1157">
      <c r="A1157" s="147"/>
      <c r="B1157" s="148"/>
      <c r="C1157" s="87"/>
      <c r="D1157" s="37"/>
      <c r="E1157" s="37"/>
      <c r="F1157" s="87"/>
    </row>
    <row r="1158">
      <c r="A1158" s="147"/>
      <c r="B1158" s="148"/>
      <c r="C1158" s="87"/>
      <c r="D1158" s="37"/>
      <c r="E1158" s="37"/>
      <c r="F1158" s="87"/>
    </row>
    <row r="1159">
      <c r="A1159" s="147"/>
      <c r="B1159" s="148"/>
      <c r="C1159" s="87"/>
      <c r="D1159" s="37"/>
      <c r="E1159" s="37"/>
      <c r="F1159" s="87"/>
    </row>
    <row r="1160">
      <c r="A1160" s="147"/>
      <c r="B1160" s="148"/>
      <c r="C1160" s="87"/>
      <c r="D1160" s="37"/>
      <c r="E1160" s="37"/>
      <c r="F1160" s="87"/>
    </row>
    <row r="1161">
      <c r="A1161" s="147"/>
      <c r="B1161" s="148"/>
      <c r="C1161" s="87"/>
      <c r="D1161" s="37"/>
      <c r="E1161" s="37"/>
      <c r="F1161" s="87"/>
    </row>
    <row r="1162">
      <c r="A1162" s="147"/>
      <c r="B1162" s="148"/>
      <c r="C1162" s="87"/>
      <c r="D1162" s="37"/>
      <c r="E1162" s="37"/>
      <c r="F1162" s="87"/>
    </row>
    <row r="1163">
      <c r="A1163" s="147"/>
      <c r="B1163" s="148"/>
      <c r="C1163" s="87"/>
      <c r="D1163" s="37"/>
      <c r="E1163" s="37"/>
      <c r="F1163" s="87"/>
    </row>
    <row r="1164">
      <c r="A1164" s="147"/>
      <c r="B1164" s="148"/>
      <c r="C1164" s="87"/>
      <c r="D1164" s="37"/>
      <c r="E1164" s="37"/>
      <c r="F1164" s="87"/>
    </row>
    <row r="1165">
      <c r="A1165" s="147"/>
      <c r="B1165" s="148"/>
      <c r="C1165" s="87"/>
      <c r="D1165" s="37"/>
      <c r="E1165" s="37"/>
      <c r="F1165" s="87"/>
    </row>
    <row r="1166">
      <c r="A1166" s="147"/>
      <c r="B1166" s="148"/>
      <c r="C1166" s="87"/>
      <c r="D1166" s="37"/>
      <c r="E1166" s="37"/>
      <c r="F1166" s="87"/>
    </row>
    <row r="1167">
      <c r="A1167" s="147"/>
      <c r="B1167" s="148"/>
      <c r="C1167" s="87"/>
      <c r="D1167" s="37"/>
      <c r="E1167" s="37"/>
      <c r="F1167" s="87"/>
    </row>
    <row r="1168">
      <c r="A1168" s="147"/>
      <c r="B1168" s="148"/>
      <c r="C1168" s="87"/>
      <c r="D1168" s="37"/>
      <c r="E1168" s="37"/>
      <c r="F1168" s="87"/>
    </row>
    <row r="1169">
      <c r="A1169" s="147"/>
      <c r="B1169" s="148"/>
      <c r="C1169" s="87"/>
      <c r="D1169" s="37"/>
      <c r="E1169" s="37"/>
      <c r="F1169" s="87"/>
    </row>
    <row r="1170">
      <c r="A1170" s="147"/>
      <c r="B1170" s="148"/>
      <c r="C1170" s="87"/>
      <c r="D1170" s="37"/>
      <c r="E1170" s="37"/>
      <c r="F1170" s="87"/>
    </row>
    <row r="1171">
      <c r="A1171" s="147"/>
      <c r="B1171" s="148"/>
      <c r="C1171" s="87"/>
      <c r="D1171" s="37"/>
      <c r="E1171" s="37"/>
      <c r="F1171" s="87"/>
    </row>
    <row r="1172">
      <c r="A1172" s="147"/>
      <c r="B1172" s="148"/>
      <c r="C1172" s="87"/>
      <c r="D1172" s="37"/>
      <c r="E1172" s="37"/>
      <c r="F1172" s="87"/>
    </row>
    <row r="1173">
      <c r="A1173" s="147"/>
      <c r="B1173" s="148"/>
      <c r="C1173" s="87"/>
      <c r="D1173" s="37"/>
      <c r="E1173" s="37"/>
      <c r="F1173" s="87"/>
    </row>
    <row r="1174">
      <c r="A1174" s="147"/>
      <c r="B1174" s="148"/>
      <c r="C1174" s="87"/>
      <c r="D1174" s="37"/>
      <c r="E1174" s="37"/>
      <c r="F1174" s="87"/>
    </row>
    <row r="1175">
      <c r="A1175" s="147"/>
      <c r="B1175" s="148"/>
      <c r="C1175" s="87"/>
      <c r="D1175" s="37"/>
      <c r="E1175" s="37"/>
      <c r="F1175" s="87"/>
    </row>
    <row r="1176">
      <c r="A1176" s="147"/>
      <c r="B1176" s="148"/>
      <c r="C1176" s="87"/>
      <c r="D1176" s="37"/>
      <c r="E1176" s="37"/>
      <c r="F1176" s="87"/>
    </row>
    <row r="1177">
      <c r="A1177" s="147"/>
      <c r="B1177" s="148"/>
      <c r="C1177" s="87"/>
      <c r="D1177" s="37"/>
      <c r="E1177" s="37"/>
      <c r="F1177" s="87"/>
    </row>
    <row r="1178">
      <c r="A1178" s="147"/>
      <c r="B1178" s="148"/>
      <c r="C1178" s="87"/>
      <c r="D1178" s="37"/>
      <c r="E1178" s="37"/>
      <c r="F1178" s="87"/>
    </row>
    <row r="1179">
      <c r="A1179" s="147"/>
      <c r="B1179" s="148"/>
      <c r="C1179" s="87"/>
      <c r="D1179" s="37"/>
      <c r="E1179" s="37"/>
      <c r="F1179" s="87"/>
    </row>
    <row r="1180">
      <c r="A1180" s="147"/>
      <c r="B1180" s="148"/>
      <c r="C1180" s="87"/>
      <c r="D1180" s="37"/>
      <c r="E1180" s="37"/>
      <c r="F1180" s="87"/>
    </row>
    <row r="1181">
      <c r="A1181" s="147"/>
      <c r="B1181" s="148"/>
      <c r="C1181" s="87"/>
      <c r="D1181" s="37"/>
      <c r="E1181" s="37"/>
      <c r="F1181" s="87"/>
    </row>
    <row r="1182">
      <c r="A1182" s="147"/>
      <c r="B1182" s="148"/>
      <c r="C1182" s="87"/>
      <c r="D1182" s="37"/>
      <c r="E1182" s="37"/>
      <c r="F1182" s="87"/>
    </row>
    <row r="1183">
      <c r="A1183" s="147"/>
      <c r="B1183" s="148"/>
      <c r="C1183" s="87"/>
      <c r="D1183" s="37"/>
      <c r="E1183" s="37"/>
      <c r="F1183" s="87"/>
    </row>
    <row r="1184">
      <c r="A1184" s="147"/>
      <c r="B1184" s="148"/>
      <c r="C1184" s="87"/>
      <c r="D1184" s="37"/>
      <c r="E1184" s="37"/>
      <c r="F1184" s="87"/>
    </row>
    <row r="1185">
      <c r="A1185" s="147"/>
      <c r="B1185" s="148"/>
      <c r="C1185" s="87"/>
      <c r="D1185" s="37"/>
      <c r="E1185" s="37"/>
      <c r="F1185" s="87"/>
    </row>
    <row r="1186">
      <c r="A1186" s="147"/>
      <c r="B1186" s="148"/>
      <c r="C1186" s="87"/>
      <c r="D1186" s="37"/>
      <c r="E1186" s="37"/>
      <c r="F1186" s="87"/>
    </row>
    <row r="1187">
      <c r="A1187" s="147"/>
      <c r="B1187" s="148"/>
      <c r="C1187" s="87"/>
      <c r="D1187" s="37"/>
      <c r="E1187" s="37"/>
      <c r="F1187" s="87"/>
    </row>
    <row r="1188">
      <c r="A1188" s="147"/>
      <c r="B1188" s="148"/>
      <c r="C1188" s="87"/>
      <c r="D1188" s="37"/>
      <c r="E1188" s="37"/>
      <c r="F1188" s="87"/>
    </row>
    <row r="1189">
      <c r="A1189" s="147"/>
      <c r="B1189" s="148"/>
      <c r="C1189" s="87"/>
      <c r="D1189" s="37"/>
      <c r="E1189" s="37"/>
      <c r="F1189" s="87"/>
    </row>
    <row r="1190">
      <c r="A1190" s="147"/>
      <c r="B1190" s="148"/>
      <c r="C1190" s="87"/>
      <c r="D1190" s="37"/>
      <c r="E1190" s="37"/>
      <c r="F1190" s="87"/>
    </row>
    <row r="1191">
      <c r="A1191" s="147"/>
      <c r="B1191" s="148"/>
      <c r="C1191" s="87"/>
      <c r="D1191" s="37"/>
      <c r="E1191" s="37"/>
      <c r="F1191" s="87"/>
    </row>
    <row r="1192">
      <c r="A1192" s="147"/>
      <c r="B1192" s="148"/>
      <c r="C1192" s="87"/>
      <c r="D1192" s="37"/>
      <c r="E1192" s="37"/>
      <c r="F1192" s="87"/>
    </row>
    <row r="1193">
      <c r="A1193" s="147"/>
      <c r="B1193" s="148"/>
      <c r="C1193" s="87"/>
      <c r="D1193" s="37"/>
      <c r="E1193" s="37"/>
      <c r="F1193" s="87"/>
    </row>
    <row r="1194">
      <c r="A1194" s="147"/>
      <c r="B1194" s="148"/>
      <c r="C1194" s="87"/>
      <c r="D1194" s="37"/>
      <c r="E1194" s="37"/>
      <c r="F1194" s="87"/>
    </row>
    <row r="1195">
      <c r="A1195" s="147"/>
      <c r="B1195" s="148"/>
      <c r="C1195" s="87"/>
      <c r="D1195" s="37"/>
      <c r="E1195" s="37"/>
      <c r="F1195" s="87"/>
    </row>
    <row r="1196">
      <c r="A1196" s="147"/>
      <c r="B1196" s="148"/>
      <c r="C1196" s="87"/>
      <c r="D1196" s="37"/>
      <c r="E1196" s="37"/>
      <c r="F1196" s="87"/>
    </row>
    <row r="1197">
      <c r="A1197" s="147"/>
      <c r="B1197" s="148"/>
      <c r="C1197" s="87"/>
      <c r="D1197" s="37"/>
      <c r="E1197" s="37"/>
      <c r="F1197" s="87"/>
    </row>
    <row r="1198">
      <c r="A1198" s="147"/>
      <c r="B1198" s="148"/>
      <c r="C1198" s="87"/>
      <c r="D1198" s="37"/>
      <c r="E1198" s="37"/>
      <c r="F1198" s="87"/>
    </row>
    <row r="1199">
      <c r="A1199" s="147"/>
      <c r="B1199" s="148"/>
      <c r="C1199" s="87"/>
      <c r="D1199" s="37"/>
      <c r="E1199" s="37"/>
      <c r="F1199" s="87"/>
    </row>
    <row r="1200">
      <c r="A1200" s="147"/>
      <c r="B1200" s="148"/>
      <c r="C1200" s="87"/>
      <c r="D1200" s="37"/>
      <c r="E1200" s="37"/>
      <c r="F1200" s="87"/>
    </row>
    <row r="1201">
      <c r="A1201" s="147"/>
      <c r="B1201" s="148"/>
      <c r="C1201" s="87"/>
      <c r="D1201" s="37"/>
      <c r="E1201" s="37"/>
      <c r="F1201" s="87"/>
    </row>
    <row r="1202">
      <c r="A1202" s="147"/>
      <c r="B1202" s="148"/>
      <c r="C1202" s="87"/>
      <c r="D1202" s="37"/>
      <c r="E1202" s="37"/>
      <c r="F1202" s="87"/>
    </row>
    <row r="1203">
      <c r="A1203" s="147"/>
      <c r="B1203" s="148"/>
      <c r="C1203" s="87"/>
      <c r="D1203" s="37"/>
      <c r="E1203" s="37"/>
      <c r="F1203" s="87"/>
    </row>
    <row r="1204">
      <c r="A1204" s="147"/>
      <c r="B1204" s="148"/>
      <c r="C1204" s="87"/>
      <c r="D1204" s="37"/>
      <c r="E1204" s="37"/>
      <c r="F1204" s="87"/>
    </row>
    <row r="1205">
      <c r="A1205" s="147"/>
      <c r="B1205" s="148"/>
      <c r="C1205" s="87"/>
      <c r="D1205" s="37"/>
      <c r="E1205" s="37"/>
      <c r="F1205" s="87"/>
    </row>
    <row r="1206">
      <c r="A1206" s="147"/>
      <c r="B1206" s="148"/>
      <c r="C1206" s="87"/>
      <c r="D1206" s="37"/>
      <c r="E1206" s="37"/>
      <c r="F1206" s="87"/>
    </row>
    <row r="1207">
      <c r="A1207" s="147"/>
      <c r="B1207" s="148"/>
      <c r="C1207" s="87"/>
      <c r="D1207" s="37"/>
      <c r="E1207" s="37"/>
      <c r="F1207" s="87"/>
    </row>
    <row r="1208">
      <c r="A1208" s="147"/>
      <c r="B1208" s="148"/>
      <c r="C1208" s="87"/>
      <c r="D1208" s="37"/>
      <c r="E1208" s="37"/>
      <c r="F1208" s="87"/>
    </row>
    <row r="1209">
      <c r="A1209" s="147"/>
      <c r="B1209" s="148"/>
      <c r="C1209" s="87"/>
      <c r="D1209" s="37"/>
      <c r="E1209" s="37"/>
      <c r="F1209" s="87"/>
    </row>
    <row r="1210">
      <c r="A1210" s="147"/>
      <c r="B1210" s="148"/>
      <c r="C1210" s="87"/>
      <c r="D1210" s="37"/>
      <c r="E1210" s="37"/>
      <c r="F1210" s="87"/>
    </row>
    <row r="1211">
      <c r="A1211" s="147"/>
      <c r="B1211" s="148"/>
      <c r="C1211" s="87"/>
      <c r="D1211" s="37"/>
      <c r="E1211" s="37"/>
      <c r="F1211" s="87"/>
    </row>
    <row r="1212">
      <c r="A1212" s="147"/>
      <c r="B1212" s="148"/>
      <c r="C1212" s="87"/>
      <c r="D1212" s="37"/>
      <c r="E1212" s="37"/>
      <c r="F1212" s="87"/>
    </row>
    <row r="1213">
      <c r="A1213" s="147"/>
      <c r="B1213" s="148"/>
      <c r="C1213" s="87"/>
      <c r="D1213" s="37"/>
      <c r="E1213" s="37"/>
      <c r="F1213" s="87"/>
    </row>
    <row r="1214">
      <c r="A1214" s="147"/>
      <c r="B1214" s="148"/>
      <c r="C1214" s="87"/>
      <c r="D1214" s="37"/>
      <c r="E1214" s="37"/>
      <c r="F1214" s="87"/>
    </row>
    <row r="1215">
      <c r="A1215" s="147"/>
      <c r="B1215" s="148"/>
      <c r="C1215" s="87"/>
      <c r="D1215" s="37"/>
      <c r="E1215" s="37"/>
      <c r="F1215" s="87"/>
    </row>
    <row r="1216">
      <c r="A1216" s="147"/>
      <c r="B1216" s="148"/>
      <c r="C1216" s="87"/>
      <c r="D1216" s="37"/>
      <c r="E1216" s="37"/>
      <c r="F1216" s="87"/>
    </row>
    <row r="1217">
      <c r="A1217" s="147"/>
      <c r="B1217" s="148"/>
      <c r="C1217" s="87"/>
      <c r="D1217" s="37"/>
      <c r="E1217" s="37"/>
      <c r="F1217" s="87"/>
    </row>
    <row r="1218">
      <c r="A1218" s="147"/>
      <c r="B1218" s="148"/>
      <c r="C1218" s="87"/>
      <c r="D1218" s="37"/>
      <c r="E1218" s="37"/>
      <c r="F1218" s="87"/>
    </row>
    <row r="1219">
      <c r="A1219" s="147"/>
      <c r="B1219" s="148"/>
      <c r="C1219" s="87"/>
      <c r="D1219" s="37"/>
      <c r="E1219" s="37"/>
      <c r="F1219" s="87"/>
    </row>
    <row r="1220">
      <c r="A1220" s="147"/>
      <c r="B1220" s="148"/>
      <c r="C1220" s="87"/>
      <c r="D1220" s="37"/>
      <c r="E1220" s="37"/>
      <c r="F1220" s="87"/>
    </row>
    <row r="1221">
      <c r="A1221" s="147"/>
      <c r="B1221" s="148"/>
      <c r="C1221" s="87"/>
      <c r="D1221" s="37"/>
      <c r="E1221" s="37"/>
      <c r="F1221" s="87"/>
    </row>
    <row r="1222">
      <c r="A1222" s="147"/>
      <c r="B1222" s="148"/>
      <c r="C1222" s="87"/>
      <c r="D1222" s="37"/>
      <c r="E1222" s="37"/>
      <c r="F1222" s="87"/>
    </row>
    <row r="1223">
      <c r="A1223" s="147"/>
      <c r="B1223" s="148"/>
      <c r="C1223" s="87"/>
      <c r="D1223" s="37"/>
      <c r="E1223" s="37"/>
      <c r="F1223" s="87"/>
    </row>
    <row r="1224">
      <c r="A1224" s="147"/>
      <c r="B1224" s="148"/>
      <c r="C1224" s="87"/>
      <c r="D1224" s="37"/>
      <c r="E1224" s="37"/>
      <c r="F1224" s="87"/>
    </row>
    <row r="1225">
      <c r="A1225" s="147"/>
      <c r="B1225" s="148"/>
      <c r="C1225" s="87"/>
      <c r="D1225" s="37"/>
      <c r="E1225" s="37"/>
      <c r="F1225" s="87"/>
    </row>
    <row r="1226">
      <c r="A1226" s="147"/>
      <c r="B1226" s="148"/>
      <c r="C1226" s="87"/>
      <c r="D1226" s="37"/>
      <c r="E1226" s="37"/>
      <c r="F1226" s="87"/>
    </row>
    <row r="1227">
      <c r="A1227" s="147"/>
      <c r="B1227" s="148"/>
      <c r="C1227" s="87"/>
      <c r="D1227" s="37"/>
      <c r="E1227" s="37"/>
      <c r="F1227" s="87"/>
    </row>
    <row r="1228">
      <c r="A1228" s="147"/>
      <c r="B1228" s="148"/>
      <c r="C1228" s="87"/>
      <c r="D1228" s="37"/>
      <c r="E1228" s="37"/>
      <c r="F1228" s="87"/>
    </row>
    <row r="1229">
      <c r="A1229" s="147"/>
      <c r="B1229" s="148"/>
      <c r="C1229" s="87"/>
      <c r="D1229" s="37"/>
      <c r="E1229" s="37"/>
      <c r="F1229" s="87"/>
    </row>
    <row r="1230">
      <c r="A1230" s="147"/>
      <c r="B1230" s="148"/>
      <c r="C1230" s="87"/>
      <c r="D1230" s="37"/>
      <c r="E1230" s="37"/>
      <c r="F1230" s="87"/>
    </row>
    <row r="1231">
      <c r="A1231" s="147"/>
      <c r="B1231" s="148"/>
      <c r="C1231" s="87"/>
      <c r="D1231" s="37"/>
      <c r="E1231" s="37"/>
      <c r="F1231" s="87"/>
    </row>
    <row r="1232">
      <c r="A1232" s="147"/>
      <c r="B1232" s="148"/>
      <c r="C1232" s="87"/>
      <c r="D1232" s="37"/>
      <c r="E1232" s="37"/>
      <c r="F1232" s="87"/>
    </row>
    <row r="1233">
      <c r="A1233" s="147"/>
      <c r="B1233" s="148"/>
      <c r="C1233" s="87"/>
      <c r="D1233" s="37"/>
      <c r="E1233" s="37"/>
      <c r="F1233" s="87"/>
    </row>
    <row r="1234">
      <c r="A1234" s="147"/>
      <c r="B1234" s="148"/>
      <c r="C1234" s="87"/>
      <c r="D1234" s="37"/>
      <c r="E1234" s="37"/>
      <c r="F1234" s="87"/>
    </row>
    <row r="1235">
      <c r="A1235" s="147"/>
      <c r="B1235" s="148"/>
      <c r="C1235" s="87"/>
      <c r="D1235" s="37"/>
      <c r="E1235" s="37"/>
      <c r="F1235" s="87"/>
    </row>
    <row r="1236">
      <c r="A1236" s="147"/>
      <c r="B1236" s="148"/>
      <c r="C1236" s="87"/>
      <c r="D1236" s="37"/>
      <c r="E1236" s="37"/>
      <c r="F1236" s="87"/>
    </row>
    <row r="1237">
      <c r="A1237" s="147"/>
      <c r="B1237" s="148"/>
      <c r="C1237" s="87"/>
      <c r="D1237" s="37"/>
      <c r="E1237" s="37"/>
      <c r="F1237" s="87"/>
    </row>
    <row r="1238">
      <c r="A1238" s="147"/>
      <c r="B1238" s="148"/>
      <c r="C1238" s="87"/>
      <c r="D1238" s="37"/>
      <c r="E1238" s="37"/>
      <c r="F1238" s="87"/>
    </row>
    <row r="1239">
      <c r="A1239" s="147"/>
      <c r="B1239" s="148"/>
      <c r="C1239" s="87"/>
      <c r="D1239" s="37"/>
      <c r="E1239" s="37"/>
      <c r="F1239" s="87"/>
    </row>
    <row r="1240">
      <c r="A1240" s="147"/>
      <c r="B1240" s="148"/>
      <c r="C1240" s="87"/>
      <c r="D1240" s="37"/>
      <c r="E1240" s="37"/>
      <c r="F1240" s="87"/>
    </row>
    <row r="1241">
      <c r="A1241" s="147"/>
      <c r="B1241" s="148"/>
      <c r="C1241" s="87"/>
      <c r="D1241" s="37"/>
      <c r="E1241" s="37"/>
      <c r="F1241" s="87"/>
    </row>
    <row r="1242">
      <c r="A1242" s="147"/>
      <c r="B1242" s="148"/>
      <c r="C1242" s="87"/>
      <c r="D1242" s="37"/>
      <c r="E1242" s="37"/>
      <c r="F1242" s="87"/>
    </row>
    <row r="1243">
      <c r="A1243" s="147"/>
      <c r="B1243" s="148"/>
      <c r="C1243" s="87"/>
      <c r="D1243" s="37"/>
      <c r="E1243" s="37"/>
      <c r="F1243" s="87"/>
    </row>
    <row r="1244">
      <c r="A1244" s="147"/>
      <c r="B1244" s="148"/>
      <c r="C1244" s="87"/>
      <c r="D1244" s="37"/>
      <c r="E1244" s="37"/>
      <c r="F1244" s="87"/>
    </row>
    <row r="1245">
      <c r="A1245" s="147"/>
      <c r="B1245" s="148"/>
      <c r="C1245" s="87"/>
      <c r="D1245" s="37"/>
      <c r="E1245" s="37"/>
      <c r="F1245" s="87"/>
    </row>
    <row r="1246">
      <c r="A1246" s="147"/>
      <c r="B1246" s="148"/>
      <c r="C1246" s="87"/>
      <c r="D1246" s="37"/>
      <c r="E1246" s="37"/>
      <c r="F1246" s="87"/>
    </row>
    <row r="1247">
      <c r="A1247" s="147"/>
      <c r="B1247" s="148"/>
      <c r="C1247" s="87"/>
      <c r="D1247" s="37"/>
      <c r="E1247" s="37"/>
      <c r="F1247" s="87"/>
    </row>
    <row r="1248">
      <c r="A1248" s="147"/>
      <c r="B1248" s="148"/>
      <c r="C1248" s="87"/>
      <c r="D1248" s="37"/>
      <c r="E1248" s="37"/>
      <c r="F1248" s="87"/>
    </row>
    <row r="1249">
      <c r="A1249" s="147"/>
      <c r="B1249" s="148"/>
      <c r="C1249" s="87"/>
      <c r="D1249" s="37"/>
      <c r="E1249" s="37"/>
      <c r="F1249" s="87"/>
    </row>
    <row r="1250">
      <c r="A1250" s="147"/>
      <c r="B1250" s="148"/>
      <c r="C1250" s="87"/>
      <c r="D1250" s="37"/>
      <c r="E1250" s="37"/>
      <c r="F1250" s="87"/>
    </row>
    <row r="1251">
      <c r="A1251" s="147"/>
      <c r="B1251" s="148"/>
      <c r="C1251" s="87"/>
      <c r="D1251" s="37"/>
      <c r="E1251" s="37"/>
      <c r="F1251" s="87"/>
    </row>
    <row r="1252">
      <c r="A1252" s="147"/>
      <c r="B1252" s="148"/>
      <c r="C1252" s="87"/>
      <c r="D1252" s="37"/>
      <c r="E1252" s="37"/>
      <c r="F1252" s="87"/>
    </row>
    <row r="1253">
      <c r="A1253" s="147"/>
      <c r="B1253" s="148"/>
      <c r="C1253" s="87"/>
      <c r="D1253" s="37"/>
      <c r="E1253" s="37"/>
      <c r="F1253" s="87"/>
    </row>
    <row r="1254">
      <c r="A1254" s="147"/>
      <c r="B1254" s="148"/>
      <c r="C1254" s="87"/>
      <c r="D1254" s="37"/>
      <c r="E1254" s="37"/>
      <c r="F1254" s="87"/>
    </row>
    <row r="1255">
      <c r="A1255" s="147"/>
      <c r="B1255" s="148"/>
      <c r="C1255" s="87"/>
      <c r="D1255" s="37"/>
      <c r="E1255" s="37"/>
      <c r="F1255" s="87"/>
    </row>
    <row r="1256">
      <c r="A1256" s="147"/>
      <c r="B1256" s="148"/>
      <c r="C1256" s="87"/>
      <c r="D1256" s="37"/>
      <c r="E1256" s="37"/>
      <c r="F1256" s="87"/>
    </row>
    <row r="1257">
      <c r="A1257" s="147"/>
      <c r="B1257" s="148"/>
      <c r="C1257" s="87"/>
      <c r="D1257" s="37"/>
      <c r="E1257" s="37"/>
      <c r="F1257" s="87"/>
    </row>
    <row r="1258">
      <c r="A1258" s="147"/>
      <c r="B1258" s="148"/>
      <c r="C1258" s="87"/>
      <c r="D1258" s="37"/>
      <c r="E1258" s="37"/>
      <c r="F1258" s="87"/>
    </row>
    <row r="1259">
      <c r="A1259" s="147"/>
      <c r="B1259" s="148"/>
      <c r="C1259" s="87"/>
      <c r="D1259" s="37"/>
      <c r="E1259" s="37"/>
      <c r="F1259" s="87"/>
    </row>
    <row r="1260">
      <c r="A1260" s="147"/>
      <c r="B1260" s="148"/>
      <c r="C1260" s="87"/>
      <c r="D1260" s="37"/>
      <c r="E1260" s="37"/>
      <c r="F1260" s="87"/>
    </row>
    <row r="1261">
      <c r="A1261" s="147"/>
      <c r="B1261" s="148"/>
      <c r="C1261" s="87"/>
      <c r="D1261" s="37"/>
      <c r="E1261" s="37"/>
      <c r="F1261" s="87"/>
    </row>
    <row r="1262">
      <c r="A1262" s="147"/>
      <c r="B1262" s="148"/>
      <c r="C1262" s="87"/>
      <c r="D1262" s="37"/>
      <c r="E1262" s="37"/>
      <c r="F1262" s="87"/>
    </row>
    <row r="1263">
      <c r="A1263" s="147"/>
      <c r="B1263" s="148"/>
      <c r="C1263" s="87"/>
      <c r="D1263" s="37"/>
      <c r="E1263" s="37"/>
      <c r="F1263" s="87"/>
    </row>
    <row r="1264">
      <c r="A1264" s="147"/>
      <c r="B1264" s="148"/>
      <c r="C1264" s="87"/>
      <c r="D1264" s="37"/>
      <c r="E1264" s="37"/>
      <c r="F1264" s="87"/>
    </row>
    <row r="1265">
      <c r="A1265" s="147"/>
      <c r="B1265" s="148"/>
      <c r="C1265" s="87"/>
      <c r="D1265" s="37"/>
      <c r="E1265" s="37"/>
      <c r="F1265" s="87"/>
    </row>
    <row r="1266">
      <c r="A1266" s="147"/>
      <c r="B1266" s="148"/>
      <c r="C1266" s="87"/>
      <c r="D1266" s="37"/>
      <c r="E1266" s="37"/>
      <c r="F1266" s="87"/>
    </row>
    <row r="1267">
      <c r="A1267" s="147"/>
      <c r="B1267" s="148"/>
      <c r="C1267" s="87"/>
      <c r="D1267" s="37"/>
      <c r="E1267" s="37"/>
      <c r="F1267" s="87"/>
    </row>
    <row r="1268">
      <c r="A1268" s="147"/>
      <c r="B1268" s="148"/>
      <c r="C1268" s="87"/>
      <c r="D1268" s="37"/>
      <c r="E1268" s="37"/>
      <c r="F1268" s="87"/>
    </row>
    <row r="1269">
      <c r="A1269" s="147"/>
      <c r="B1269" s="148"/>
      <c r="C1269" s="87"/>
      <c r="D1269" s="37"/>
      <c r="E1269" s="37"/>
      <c r="F1269" s="87"/>
    </row>
    <row r="1270">
      <c r="A1270" s="147"/>
      <c r="B1270" s="148"/>
      <c r="C1270" s="87"/>
      <c r="D1270" s="37"/>
      <c r="E1270" s="37"/>
      <c r="F1270" s="87"/>
    </row>
    <row r="1271">
      <c r="A1271" s="147"/>
      <c r="B1271" s="148"/>
      <c r="C1271" s="87"/>
      <c r="D1271" s="37"/>
      <c r="E1271" s="37"/>
      <c r="F1271" s="87"/>
    </row>
    <row r="1272">
      <c r="A1272" s="147"/>
      <c r="B1272" s="148"/>
      <c r="C1272" s="87"/>
      <c r="D1272" s="37"/>
      <c r="E1272" s="37"/>
      <c r="F1272" s="87"/>
    </row>
    <row r="1273">
      <c r="A1273" s="147"/>
      <c r="B1273" s="148"/>
      <c r="C1273" s="87"/>
      <c r="D1273" s="37"/>
      <c r="E1273" s="37"/>
      <c r="F1273" s="87"/>
    </row>
    <row r="1274">
      <c r="A1274" s="147"/>
      <c r="B1274" s="148"/>
      <c r="C1274" s="87"/>
      <c r="D1274" s="37"/>
      <c r="E1274" s="37"/>
      <c r="F1274" s="87"/>
    </row>
    <row r="1275">
      <c r="A1275" s="147"/>
      <c r="B1275" s="148"/>
      <c r="C1275" s="87"/>
      <c r="D1275" s="37"/>
      <c r="E1275" s="37"/>
      <c r="F1275" s="87"/>
    </row>
    <row r="1276">
      <c r="A1276" s="147"/>
      <c r="B1276" s="148"/>
      <c r="C1276" s="87"/>
      <c r="D1276" s="37"/>
      <c r="E1276" s="37"/>
      <c r="F1276" s="87"/>
    </row>
    <row r="1277">
      <c r="A1277" s="147"/>
      <c r="B1277" s="148"/>
      <c r="C1277" s="87"/>
      <c r="D1277" s="37"/>
      <c r="E1277" s="37"/>
      <c r="F1277" s="87"/>
    </row>
    <row r="1278">
      <c r="A1278" s="147"/>
      <c r="B1278" s="148"/>
      <c r="C1278" s="87"/>
      <c r="D1278" s="37"/>
      <c r="E1278" s="37"/>
      <c r="F1278" s="87"/>
    </row>
    <row r="1279">
      <c r="A1279" s="147"/>
      <c r="B1279" s="148"/>
      <c r="C1279" s="87"/>
      <c r="D1279" s="37"/>
      <c r="E1279" s="37"/>
      <c r="F1279" s="87"/>
    </row>
    <row r="1280">
      <c r="A1280" s="147"/>
      <c r="B1280" s="148"/>
      <c r="C1280" s="87"/>
      <c r="D1280" s="37"/>
      <c r="E1280" s="37"/>
      <c r="F1280" s="87"/>
    </row>
    <row r="1281">
      <c r="A1281" s="147"/>
      <c r="B1281" s="148"/>
      <c r="C1281" s="87"/>
      <c r="D1281" s="37"/>
      <c r="E1281" s="37"/>
      <c r="F1281" s="87"/>
    </row>
    <row r="1282">
      <c r="A1282" s="147"/>
      <c r="B1282" s="148"/>
      <c r="C1282" s="87"/>
      <c r="D1282" s="37"/>
      <c r="E1282" s="37"/>
      <c r="F1282" s="87"/>
    </row>
    <row r="1283">
      <c r="A1283" s="147"/>
      <c r="B1283" s="148"/>
      <c r="C1283" s="87"/>
      <c r="D1283" s="37"/>
      <c r="E1283" s="37"/>
      <c r="F1283" s="87"/>
    </row>
    <row r="1284">
      <c r="A1284" s="147"/>
      <c r="B1284" s="148"/>
      <c r="C1284" s="87"/>
      <c r="D1284" s="37"/>
      <c r="E1284" s="37"/>
      <c r="F1284" s="87"/>
    </row>
    <row r="1285">
      <c r="A1285" s="147"/>
      <c r="B1285" s="148"/>
      <c r="C1285" s="87"/>
      <c r="D1285" s="37"/>
      <c r="E1285" s="37"/>
      <c r="F1285" s="87"/>
    </row>
    <row r="1286">
      <c r="A1286" s="147"/>
      <c r="B1286" s="148"/>
      <c r="C1286" s="87"/>
      <c r="D1286" s="37"/>
      <c r="E1286" s="37"/>
      <c r="F1286" s="87"/>
    </row>
    <row r="1287">
      <c r="A1287" s="147"/>
      <c r="B1287" s="148"/>
      <c r="C1287" s="87"/>
      <c r="D1287" s="37"/>
      <c r="E1287" s="37"/>
      <c r="F1287" s="87"/>
    </row>
    <row r="1288">
      <c r="A1288" s="147"/>
      <c r="B1288" s="148"/>
      <c r="C1288" s="87"/>
      <c r="D1288" s="37"/>
      <c r="E1288" s="37"/>
      <c r="F1288" s="87"/>
    </row>
    <row r="1289">
      <c r="A1289" s="147"/>
      <c r="B1289" s="148"/>
      <c r="C1289" s="87"/>
      <c r="D1289" s="37"/>
      <c r="E1289" s="37"/>
      <c r="F1289" s="87"/>
    </row>
    <row r="1290">
      <c r="A1290" s="147"/>
      <c r="B1290" s="148"/>
      <c r="C1290" s="87"/>
      <c r="D1290" s="37"/>
      <c r="E1290" s="37"/>
      <c r="F1290" s="87"/>
    </row>
    <row r="1291">
      <c r="A1291" s="147"/>
      <c r="B1291" s="148"/>
      <c r="C1291" s="87"/>
      <c r="D1291" s="37"/>
      <c r="E1291" s="37"/>
      <c r="F1291" s="87"/>
    </row>
    <row r="1292">
      <c r="A1292" s="147"/>
      <c r="B1292" s="148"/>
      <c r="C1292" s="87"/>
      <c r="D1292" s="37"/>
      <c r="E1292" s="37"/>
      <c r="F1292" s="87"/>
    </row>
    <row r="1293">
      <c r="A1293" s="147"/>
      <c r="B1293" s="148"/>
      <c r="C1293" s="87"/>
      <c r="D1293" s="37"/>
      <c r="E1293" s="37"/>
      <c r="F1293" s="87"/>
    </row>
    <row r="1294">
      <c r="A1294" s="147"/>
      <c r="B1294" s="148"/>
      <c r="C1294" s="87"/>
      <c r="D1294" s="37"/>
      <c r="E1294" s="37"/>
      <c r="F1294" s="87"/>
    </row>
    <row r="1295">
      <c r="A1295" s="147"/>
      <c r="B1295" s="148"/>
      <c r="C1295" s="87"/>
      <c r="D1295" s="37"/>
      <c r="E1295" s="37"/>
      <c r="F1295" s="87"/>
    </row>
    <row r="1296">
      <c r="A1296" s="147"/>
      <c r="B1296" s="148"/>
      <c r="C1296" s="87"/>
      <c r="D1296" s="37"/>
      <c r="E1296" s="37"/>
      <c r="F1296" s="87"/>
    </row>
    <row r="1297">
      <c r="A1297" s="147"/>
      <c r="B1297" s="148"/>
      <c r="C1297" s="87"/>
      <c r="D1297" s="37"/>
      <c r="E1297" s="37"/>
      <c r="F1297" s="87"/>
    </row>
    <row r="1298">
      <c r="A1298" s="147"/>
      <c r="B1298" s="148"/>
      <c r="C1298" s="87"/>
      <c r="D1298" s="37"/>
      <c r="E1298" s="37"/>
      <c r="F1298" s="87"/>
    </row>
    <row r="1299">
      <c r="A1299" s="147"/>
      <c r="B1299" s="148"/>
      <c r="C1299" s="87"/>
      <c r="D1299" s="37"/>
      <c r="E1299" s="37"/>
      <c r="F1299" s="87"/>
    </row>
    <row r="1300">
      <c r="A1300" s="147"/>
      <c r="B1300" s="148"/>
      <c r="C1300" s="87"/>
      <c r="D1300" s="37"/>
      <c r="E1300" s="37"/>
      <c r="F1300" s="87"/>
    </row>
    <row r="1301">
      <c r="A1301" s="147"/>
      <c r="B1301" s="148"/>
      <c r="C1301" s="87"/>
      <c r="D1301" s="37"/>
      <c r="E1301" s="37"/>
      <c r="F1301" s="87"/>
    </row>
    <row r="1302">
      <c r="A1302" s="147"/>
      <c r="B1302" s="148"/>
      <c r="C1302" s="87"/>
      <c r="D1302" s="37"/>
      <c r="E1302" s="37"/>
      <c r="F1302" s="87"/>
    </row>
    <row r="1303">
      <c r="A1303" s="147"/>
      <c r="B1303" s="148"/>
      <c r="C1303" s="87"/>
      <c r="D1303" s="37"/>
      <c r="E1303" s="37"/>
      <c r="F1303" s="87"/>
    </row>
    <row r="1304">
      <c r="A1304" s="147"/>
      <c r="B1304" s="148"/>
      <c r="C1304" s="87"/>
      <c r="D1304" s="37"/>
      <c r="E1304" s="37"/>
      <c r="F1304" s="87"/>
    </row>
    <row r="1305">
      <c r="A1305" s="147"/>
      <c r="B1305" s="148"/>
      <c r="C1305" s="87"/>
      <c r="D1305" s="37"/>
      <c r="E1305" s="37"/>
      <c r="F1305" s="87"/>
    </row>
    <row r="1306">
      <c r="A1306" s="147"/>
      <c r="B1306" s="148"/>
      <c r="C1306" s="87"/>
      <c r="D1306" s="37"/>
      <c r="E1306" s="37"/>
      <c r="F1306" s="87"/>
    </row>
    <row r="1307">
      <c r="A1307" s="147"/>
      <c r="B1307" s="148"/>
      <c r="C1307" s="87"/>
      <c r="D1307" s="37"/>
      <c r="E1307" s="37"/>
      <c r="F1307" s="87"/>
    </row>
    <row r="1308">
      <c r="A1308" s="147"/>
      <c r="B1308" s="148"/>
      <c r="C1308" s="87"/>
      <c r="D1308" s="37"/>
      <c r="E1308" s="37"/>
      <c r="F1308" s="87"/>
    </row>
    <row r="1309">
      <c r="A1309" s="147"/>
      <c r="B1309" s="148"/>
      <c r="C1309" s="87"/>
      <c r="D1309" s="37"/>
      <c r="E1309" s="37"/>
      <c r="F1309" s="87"/>
    </row>
    <row r="1310">
      <c r="A1310" s="147"/>
      <c r="B1310" s="148"/>
      <c r="C1310" s="87"/>
      <c r="D1310" s="37"/>
      <c r="E1310" s="37"/>
      <c r="F1310" s="87"/>
    </row>
    <row r="1311">
      <c r="A1311" s="147"/>
      <c r="B1311" s="148"/>
      <c r="C1311" s="87"/>
      <c r="D1311" s="37"/>
      <c r="E1311" s="37"/>
      <c r="F1311" s="87"/>
    </row>
    <row r="1312">
      <c r="A1312" s="147"/>
      <c r="B1312" s="148"/>
      <c r="C1312" s="87"/>
      <c r="D1312" s="37"/>
      <c r="E1312" s="37"/>
      <c r="F1312" s="87"/>
    </row>
    <row r="1313">
      <c r="A1313" s="147"/>
      <c r="B1313" s="148"/>
      <c r="C1313" s="87"/>
      <c r="D1313" s="37"/>
      <c r="E1313" s="37"/>
      <c r="F1313" s="87"/>
    </row>
    <row r="1314">
      <c r="A1314" s="147"/>
      <c r="B1314" s="148"/>
      <c r="C1314" s="87"/>
      <c r="D1314" s="37"/>
      <c r="E1314" s="37"/>
      <c r="F1314" s="87"/>
    </row>
    <row r="1315">
      <c r="A1315" s="147"/>
      <c r="B1315" s="148"/>
      <c r="C1315" s="87"/>
      <c r="D1315" s="37"/>
      <c r="E1315" s="37"/>
      <c r="F1315" s="87"/>
    </row>
    <row r="1316">
      <c r="A1316" s="147"/>
      <c r="B1316" s="148"/>
      <c r="C1316" s="87"/>
      <c r="D1316" s="37"/>
      <c r="E1316" s="37"/>
      <c r="F1316" s="87"/>
    </row>
    <row r="1317">
      <c r="A1317" s="147"/>
      <c r="B1317" s="148"/>
      <c r="C1317" s="87"/>
      <c r="D1317" s="37"/>
      <c r="E1317" s="37"/>
      <c r="F1317" s="87"/>
    </row>
    <row r="1318">
      <c r="A1318" s="147"/>
      <c r="B1318" s="148"/>
      <c r="C1318" s="87"/>
      <c r="D1318" s="37"/>
      <c r="E1318" s="37"/>
      <c r="F1318" s="87"/>
    </row>
    <row r="1319">
      <c r="A1319" s="147"/>
      <c r="B1319" s="148"/>
      <c r="C1319" s="87"/>
      <c r="D1319" s="37"/>
      <c r="E1319" s="37"/>
      <c r="F1319" s="87"/>
    </row>
    <row r="1320">
      <c r="A1320" s="147"/>
      <c r="B1320" s="148"/>
      <c r="C1320" s="87"/>
      <c r="D1320" s="37"/>
      <c r="E1320" s="37"/>
      <c r="F1320" s="87"/>
    </row>
    <row r="1321">
      <c r="A1321" s="147"/>
      <c r="B1321" s="148"/>
      <c r="C1321" s="87"/>
      <c r="D1321" s="37"/>
      <c r="E1321" s="37"/>
      <c r="F1321" s="87"/>
    </row>
    <row r="1322">
      <c r="A1322" s="147"/>
      <c r="B1322" s="148"/>
      <c r="C1322" s="87"/>
      <c r="D1322" s="37"/>
      <c r="E1322" s="37"/>
      <c r="F1322" s="87"/>
    </row>
    <row r="1323">
      <c r="A1323" s="147"/>
      <c r="B1323" s="148"/>
      <c r="C1323" s="87"/>
      <c r="D1323" s="37"/>
      <c r="E1323" s="37"/>
      <c r="F1323" s="87"/>
    </row>
    <row r="1324">
      <c r="A1324" s="147"/>
      <c r="B1324" s="148"/>
      <c r="C1324" s="87"/>
      <c r="D1324" s="37"/>
      <c r="E1324" s="37"/>
      <c r="F1324" s="87"/>
    </row>
    <row r="1325">
      <c r="A1325" s="147"/>
      <c r="B1325" s="148"/>
      <c r="C1325" s="87"/>
      <c r="D1325" s="37"/>
      <c r="E1325" s="37"/>
      <c r="F1325" s="87"/>
    </row>
    <row r="1326">
      <c r="A1326" s="147"/>
      <c r="B1326" s="148"/>
      <c r="C1326" s="87"/>
      <c r="D1326" s="37"/>
      <c r="E1326" s="37"/>
      <c r="F1326" s="87"/>
    </row>
    <row r="1327">
      <c r="A1327" s="147"/>
      <c r="B1327" s="148"/>
      <c r="C1327" s="87"/>
      <c r="D1327" s="37"/>
      <c r="E1327" s="37"/>
      <c r="F1327" s="87"/>
    </row>
    <row r="1328">
      <c r="A1328" s="147"/>
      <c r="B1328" s="148"/>
      <c r="C1328" s="87"/>
      <c r="D1328" s="37"/>
      <c r="E1328" s="37"/>
      <c r="F1328" s="87"/>
    </row>
    <row r="1329">
      <c r="A1329" s="147"/>
      <c r="B1329" s="148"/>
      <c r="C1329" s="87"/>
      <c r="D1329" s="37"/>
      <c r="E1329" s="37"/>
      <c r="F1329" s="87"/>
    </row>
    <row r="1330">
      <c r="A1330" s="147"/>
      <c r="B1330" s="148"/>
      <c r="C1330" s="87"/>
      <c r="D1330" s="37"/>
      <c r="E1330" s="37"/>
      <c r="F1330" s="87"/>
    </row>
    <row r="1331">
      <c r="A1331" s="147"/>
      <c r="B1331" s="148"/>
      <c r="C1331" s="87"/>
      <c r="D1331" s="37"/>
      <c r="E1331" s="37"/>
      <c r="F1331" s="87"/>
    </row>
    <row r="1332">
      <c r="A1332" s="147"/>
      <c r="B1332" s="148"/>
      <c r="C1332" s="87"/>
      <c r="D1332" s="37"/>
      <c r="E1332" s="37"/>
      <c r="F1332" s="87"/>
    </row>
    <row r="1333">
      <c r="A1333" s="147"/>
      <c r="B1333" s="148"/>
      <c r="C1333" s="87"/>
      <c r="D1333" s="37"/>
      <c r="E1333" s="37"/>
      <c r="F1333" s="87"/>
    </row>
    <row r="1334">
      <c r="A1334" s="147"/>
      <c r="B1334" s="148"/>
      <c r="C1334" s="87"/>
      <c r="D1334" s="37"/>
      <c r="E1334" s="37"/>
      <c r="F1334" s="87"/>
    </row>
    <row r="1335">
      <c r="A1335" s="147"/>
      <c r="B1335" s="148"/>
      <c r="C1335" s="87"/>
      <c r="D1335" s="37"/>
      <c r="E1335" s="37"/>
      <c r="F1335" s="87"/>
    </row>
    <row r="1336">
      <c r="A1336" s="147"/>
      <c r="B1336" s="148"/>
      <c r="C1336" s="87"/>
      <c r="D1336" s="37"/>
      <c r="E1336" s="37"/>
      <c r="F1336" s="87"/>
    </row>
    <row r="1337">
      <c r="A1337" s="147"/>
      <c r="B1337" s="148"/>
      <c r="C1337" s="87"/>
      <c r="D1337" s="37"/>
      <c r="E1337" s="37"/>
      <c r="F1337" s="87"/>
    </row>
    <row r="1338">
      <c r="A1338" s="147"/>
      <c r="B1338" s="148"/>
      <c r="C1338" s="87"/>
      <c r="D1338" s="37"/>
      <c r="E1338" s="37"/>
      <c r="F1338" s="87"/>
    </row>
    <row r="1339">
      <c r="A1339" s="147"/>
      <c r="B1339" s="148"/>
      <c r="C1339" s="87"/>
      <c r="D1339" s="37"/>
      <c r="E1339" s="37"/>
      <c r="F1339" s="87"/>
    </row>
    <row r="1340">
      <c r="A1340" s="147"/>
      <c r="B1340" s="148"/>
      <c r="C1340" s="87"/>
      <c r="D1340" s="37"/>
      <c r="E1340" s="37"/>
      <c r="F1340" s="87"/>
    </row>
    <row r="1341">
      <c r="A1341" s="147"/>
      <c r="B1341" s="148"/>
      <c r="C1341" s="87"/>
      <c r="D1341" s="37"/>
      <c r="E1341" s="37"/>
      <c r="F1341" s="87"/>
    </row>
    <row r="1342">
      <c r="A1342" s="147"/>
      <c r="B1342" s="148"/>
      <c r="C1342" s="87"/>
      <c r="D1342" s="37"/>
      <c r="E1342" s="37"/>
      <c r="F1342" s="87"/>
    </row>
    <row r="1343">
      <c r="A1343" s="147"/>
      <c r="B1343" s="148"/>
      <c r="C1343" s="87"/>
      <c r="D1343" s="37"/>
      <c r="E1343" s="37"/>
      <c r="F1343" s="87"/>
    </row>
    <row r="1344">
      <c r="A1344" s="147"/>
      <c r="B1344" s="148"/>
      <c r="C1344" s="87"/>
      <c r="D1344" s="37"/>
      <c r="E1344" s="37"/>
      <c r="F1344" s="87"/>
    </row>
    <row r="1345">
      <c r="A1345" s="147"/>
      <c r="B1345" s="148"/>
      <c r="C1345" s="87"/>
      <c r="D1345" s="37"/>
      <c r="E1345" s="37"/>
      <c r="F1345" s="87"/>
    </row>
    <row r="1346">
      <c r="A1346" s="147"/>
      <c r="B1346" s="148"/>
      <c r="C1346" s="87"/>
      <c r="D1346" s="37"/>
      <c r="E1346" s="37"/>
      <c r="F1346" s="87"/>
    </row>
    <row r="1347">
      <c r="A1347" s="147"/>
      <c r="B1347" s="148"/>
      <c r="C1347" s="87"/>
      <c r="D1347" s="37"/>
      <c r="E1347" s="37"/>
      <c r="F1347" s="87"/>
    </row>
    <row r="1348">
      <c r="A1348" s="147"/>
      <c r="B1348" s="148"/>
      <c r="C1348" s="87"/>
      <c r="D1348" s="37"/>
      <c r="E1348" s="37"/>
      <c r="F1348" s="87"/>
    </row>
    <row r="1349">
      <c r="A1349" s="147"/>
      <c r="B1349" s="148"/>
      <c r="C1349" s="87"/>
      <c r="D1349" s="37"/>
      <c r="E1349" s="37"/>
      <c r="F1349" s="87"/>
    </row>
    <row r="1350">
      <c r="A1350" s="147"/>
      <c r="B1350" s="148"/>
      <c r="C1350" s="87"/>
      <c r="D1350" s="37"/>
      <c r="E1350" s="37"/>
      <c r="F1350" s="87"/>
    </row>
    <row r="1351">
      <c r="A1351" s="147"/>
      <c r="B1351" s="148"/>
      <c r="C1351" s="87"/>
      <c r="D1351" s="37"/>
      <c r="E1351" s="37"/>
      <c r="F1351" s="87"/>
    </row>
    <row r="1352">
      <c r="A1352" s="147"/>
      <c r="B1352" s="148"/>
      <c r="C1352" s="87"/>
      <c r="D1352" s="37"/>
      <c r="E1352" s="37"/>
      <c r="F1352" s="87"/>
    </row>
    <row r="1353">
      <c r="A1353" s="147"/>
      <c r="B1353" s="148"/>
      <c r="C1353" s="87"/>
      <c r="D1353" s="37"/>
      <c r="E1353" s="37"/>
      <c r="F1353" s="87"/>
    </row>
    <row r="1354">
      <c r="A1354" s="147"/>
      <c r="B1354" s="148"/>
      <c r="C1354" s="87"/>
      <c r="D1354" s="37"/>
      <c r="E1354" s="37"/>
      <c r="F1354" s="87"/>
    </row>
    <row r="1355">
      <c r="A1355" s="147"/>
      <c r="B1355" s="148"/>
      <c r="C1355" s="87"/>
      <c r="D1355" s="37"/>
      <c r="E1355" s="37"/>
      <c r="F1355" s="87"/>
    </row>
    <row r="1356">
      <c r="A1356" s="147"/>
      <c r="B1356" s="148"/>
      <c r="C1356" s="87"/>
      <c r="D1356" s="37"/>
      <c r="E1356" s="37"/>
      <c r="F1356" s="87"/>
    </row>
    <row r="1357">
      <c r="A1357" s="147"/>
      <c r="B1357" s="148"/>
      <c r="C1357" s="87"/>
      <c r="D1357" s="37"/>
      <c r="E1357" s="37"/>
      <c r="F1357" s="87"/>
    </row>
    <row r="1358">
      <c r="A1358" s="147"/>
      <c r="B1358" s="148"/>
      <c r="C1358" s="87"/>
      <c r="D1358" s="37"/>
      <c r="E1358" s="37"/>
      <c r="F1358" s="87"/>
    </row>
    <row r="1359">
      <c r="A1359" s="147"/>
      <c r="B1359" s="148"/>
      <c r="C1359" s="87"/>
      <c r="D1359" s="37"/>
      <c r="E1359" s="37"/>
      <c r="F1359" s="87"/>
    </row>
    <row r="1360">
      <c r="A1360" s="147"/>
      <c r="B1360" s="148"/>
      <c r="C1360" s="87"/>
      <c r="D1360" s="37"/>
      <c r="E1360" s="37"/>
      <c r="F1360" s="87"/>
    </row>
    <row r="1361">
      <c r="A1361" s="147"/>
      <c r="B1361" s="148"/>
      <c r="C1361" s="87"/>
      <c r="D1361" s="37"/>
      <c r="E1361" s="37"/>
      <c r="F1361" s="87"/>
    </row>
    <row r="1362">
      <c r="A1362" s="147"/>
      <c r="B1362" s="148"/>
      <c r="C1362" s="87"/>
      <c r="D1362" s="37"/>
      <c r="E1362" s="37"/>
      <c r="F1362" s="87"/>
    </row>
    <row r="1363">
      <c r="A1363" s="147"/>
      <c r="B1363" s="148"/>
      <c r="C1363" s="87"/>
      <c r="D1363" s="37"/>
      <c r="E1363" s="37"/>
      <c r="F1363" s="87"/>
    </row>
    <row r="1364">
      <c r="A1364" s="147"/>
      <c r="B1364" s="148"/>
      <c r="C1364" s="87"/>
      <c r="D1364" s="37"/>
      <c r="E1364" s="37"/>
      <c r="F1364" s="87"/>
    </row>
    <row r="1365">
      <c r="A1365" s="147"/>
      <c r="B1365" s="148"/>
      <c r="C1365" s="87"/>
      <c r="D1365" s="37"/>
      <c r="E1365" s="37"/>
      <c r="F1365" s="87"/>
    </row>
    <row r="1366">
      <c r="A1366" s="147"/>
      <c r="B1366" s="148"/>
      <c r="C1366" s="87"/>
      <c r="D1366" s="37"/>
      <c r="E1366" s="37"/>
      <c r="F1366" s="87"/>
    </row>
    <row r="1367">
      <c r="A1367" s="147"/>
      <c r="B1367" s="148"/>
      <c r="C1367" s="87"/>
      <c r="D1367" s="37"/>
      <c r="E1367" s="37"/>
      <c r="F1367" s="87"/>
    </row>
    <row r="1368">
      <c r="A1368" s="147"/>
      <c r="B1368" s="148"/>
      <c r="C1368" s="87"/>
      <c r="D1368" s="37"/>
      <c r="E1368" s="37"/>
      <c r="F1368" s="87"/>
    </row>
    <row r="1369">
      <c r="A1369" s="147"/>
      <c r="B1369" s="148"/>
      <c r="C1369" s="87"/>
      <c r="D1369" s="37"/>
      <c r="E1369" s="37"/>
      <c r="F1369" s="87"/>
    </row>
    <row r="1370">
      <c r="A1370" s="147"/>
      <c r="B1370" s="148"/>
      <c r="C1370" s="87"/>
      <c r="D1370" s="37"/>
      <c r="E1370" s="37"/>
      <c r="F1370" s="87"/>
    </row>
    <row r="1371">
      <c r="A1371" s="147"/>
      <c r="B1371" s="148"/>
      <c r="C1371" s="87"/>
      <c r="D1371" s="37"/>
      <c r="E1371" s="37"/>
      <c r="F1371" s="87"/>
    </row>
    <row r="1372">
      <c r="A1372" s="147"/>
      <c r="B1372" s="148"/>
      <c r="C1372" s="87"/>
      <c r="D1372" s="37"/>
      <c r="E1372" s="37"/>
      <c r="F1372" s="87"/>
    </row>
    <row r="1373">
      <c r="A1373" s="147"/>
      <c r="B1373" s="148"/>
      <c r="C1373" s="87"/>
      <c r="D1373" s="37"/>
      <c r="E1373" s="37"/>
      <c r="F1373" s="87"/>
    </row>
    <row r="1374">
      <c r="A1374" s="147"/>
      <c r="B1374" s="148"/>
      <c r="C1374" s="87"/>
      <c r="D1374" s="37"/>
      <c r="E1374" s="37"/>
      <c r="F1374" s="87"/>
    </row>
    <row r="1375">
      <c r="A1375" s="147"/>
      <c r="B1375" s="148"/>
      <c r="C1375" s="87"/>
      <c r="D1375" s="37"/>
      <c r="E1375" s="37"/>
      <c r="F1375" s="87"/>
    </row>
    <row r="1376">
      <c r="A1376" s="147"/>
      <c r="B1376" s="148"/>
      <c r="C1376" s="87"/>
      <c r="D1376" s="37"/>
      <c r="E1376" s="37"/>
      <c r="F1376" s="87"/>
    </row>
    <row r="1377">
      <c r="A1377" s="147"/>
      <c r="B1377" s="148"/>
      <c r="C1377" s="87"/>
      <c r="D1377" s="37"/>
      <c r="E1377" s="37"/>
      <c r="F1377" s="87"/>
    </row>
    <row r="1378">
      <c r="A1378" s="147"/>
      <c r="B1378" s="148"/>
      <c r="C1378" s="87"/>
      <c r="D1378" s="37"/>
      <c r="E1378" s="37"/>
      <c r="F1378" s="87"/>
    </row>
    <row r="1379">
      <c r="A1379" s="147"/>
      <c r="B1379" s="148"/>
      <c r="C1379" s="87"/>
      <c r="D1379" s="37"/>
      <c r="E1379" s="37"/>
      <c r="F1379" s="87"/>
    </row>
    <row r="1380">
      <c r="A1380" s="147"/>
      <c r="B1380" s="148"/>
      <c r="C1380" s="87"/>
      <c r="D1380" s="37"/>
      <c r="E1380" s="37"/>
      <c r="F1380" s="87"/>
    </row>
    <row r="1381">
      <c r="A1381" s="147"/>
      <c r="B1381" s="148"/>
      <c r="C1381" s="87"/>
      <c r="D1381" s="37"/>
      <c r="E1381" s="37"/>
      <c r="F1381" s="87"/>
    </row>
    <row r="1382">
      <c r="A1382" s="147"/>
      <c r="B1382" s="148"/>
      <c r="C1382" s="87"/>
      <c r="D1382" s="37"/>
      <c r="E1382" s="37"/>
      <c r="F1382" s="87"/>
    </row>
    <row r="1383">
      <c r="A1383" s="147"/>
      <c r="B1383" s="148"/>
      <c r="C1383" s="87"/>
      <c r="D1383" s="37"/>
      <c r="E1383" s="37"/>
      <c r="F1383" s="87"/>
    </row>
    <row r="1384">
      <c r="A1384" s="147"/>
      <c r="B1384" s="148"/>
      <c r="C1384" s="87"/>
      <c r="D1384" s="37"/>
      <c r="E1384" s="37"/>
      <c r="F1384" s="87"/>
    </row>
    <row r="1385">
      <c r="A1385" s="147"/>
      <c r="B1385" s="148"/>
      <c r="C1385" s="87"/>
      <c r="D1385" s="37"/>
      <c r="E1385" s="37"/>
      <c r="F1385" s="87"/>
    </row>
    <row r="1386">
      <c r="A1386" s="147"/>
      <c r="B1386" s="148"/>
      <c r="C1386" s="87"/>
      <c r="D1386" s="37"/>
      <c r="E1386" s="37"/>
      <c r="F1386" s="87"/>
    </row>
    <row r="1387">
      <c r="A1387" s="147"/>
      <c r="B1387" s="148"/>
      <c r="C1387" s="87"/>
      <c r="D1387" s="37"/>
      <c r="E1387" s="37"/>
      <c r="F1387" s="87"/>
    </row>
    <row r="1388">
      <c r="A1388" s="147"/>
      <c r="B1388" s="148"/>
      <c r="C1388" s="87"/>
      <c r="D1388" s="37"/>
      <c r="E1388" s="37"/>
      <c r="F1388" s="87"/>
    </row>
    <row r="1389">
      <c r="A1389" s="147"/>
      <c r="B1389" s="148"/>
      <c r="C1389" s="87"/>
      <c r="D1389" s="37"/>
      <c r="E1389" s="37"/>
      <c r="F1389" s="87"/>
    </row>
    <row r="1390">
      <c r="A1390" s="147"/>
      <c r="B1390" s="148"/>
      <c r="C1390" s="87"/>
      <c r="D1390" s="37"/>
      <c r="E1390" s="37"/>
      <c r="F1390" s="87"/>
    </row>
    <row r="1391">
      <c r="A1391" s="147"/>
      <c r="B1391" s="148"/>
      <c r="C1391" s="87"/>
      <c r="D1391" s="37"/>
      <c r="E1391" s="37"/>
      <c r="F1391" s="87"/>
    </row>
    <row r="1392">
      <c r="A1392" s="147"/>
      <c r="B1392" s="148"/>
      <c r="C1392" s="87"/>
      <c r="D1392" s="37"/>
      <c r="E1392" s="37"/>
      <c r="F1392" s="87"/>
    </row>
    <row r="1393">
      <c r="A1393" s="147"/>
      <c r="B1393" s="148"/>
      <c r="C1393" s="87"/>
      <c r="D1393" s="37"/>
      <c r="E1393" s="37"/>
      <c r="F1393" s="87"/>
    </row>
    <row r="1394">
      <c r="A1394" s="147"/>
      <c r="B1394" s="148"/>
      <c r="C1394" s="87"/>
      <c r="D1394" s="37"/>
      <c r="E1394" s="37"/>
      <c r="F1394" s="87"/>
    </row>
    <row r="1395">
      <c r="A1395" s="147"/>
      <c r="B1395" s="148"/>
      <c r="C1395" s="87"/>
      <c r="D1395" s="37"/>
      <c r="E1395" s="37"/>
      <c r="F1395" s="87"/>
    </row>
    <row r="1396">
      <c r="A1396" s="147"/>
      <c r="B1396" s="148"/>
      <c r="C1396" s="87"/>
      <c r="D1396" s="37"/>
      <c r="E1396" s="37"/>
      <c r="F1396" s="87"/>
    </row>
    <row r="1397">
      <c r="A1397" s="147"/>
      <c r="B1397" s="148"/>
      <c r="C1397" s="87"/>
      <c r="D1397" s="37"/>
      <c r="E1397" s="37"/>
      <c r="F1397" s="87"/>
    </row>
    <row r="1398">
      <c r="A1398" s="147"/>
      <c r="B1398" s="148"/>
      <c r="C1398" s="87"/>
      <c r="D1398" s="37"/>
      <c r="E1398" s="37"/>
      <c r="F1398" s="87"/>
    </row>
    <row r="1399">
      <c r="A1399" s="147"/>
      <c r="B1399" s="148"/>
      <c r="C1399" s="87"/>
      <c r="D1399" s="37"/>
      <c r="E1399" s="37"/>
      <c r="F1399" s="87"/>
    </row>
    <row r="1400">
      <c r="A1400" s="147"/>
      <c r="B1400" s="148"/>
      <c r="C1400" s="87"/>
      <c r="D1400" s="37"/>
      <c r="E1400" s="37"/>
      <c r="F1400" s="87"/>
    </row>
    <row r="1401">
      <c r="A1401" s="147"/>
      <c r="B1401" s="148"/>
      <c r="C1401" s="87"/>
      <c r="D1401" s="37"/>
      <c r="E1401" s="37"/>
      <c r="F1401" s="87"/>
    </row>
    <row r="1402">
      <c r="A1402" s="147"/>
      <c r="B1402" s="148"/>
      <c r="C1402" s="87"/>
      <c r="D1402" s="37"/>
      <c r="E1402" s="37"/>
      <c r="F1402" s="87"/>
    </row>
    <row r="1403">
      <c r="A1403" s="147"/>
      <c r="B1403" s="148"/>
      <c r="C1403" s="87"/>
      <c r="D1403" s="37"/>
      <c r="E1403" s="37"/>
      <c r="F1403" s="87"/>
    </row>
    <row r="1404">
      <c r="A1404" s="147"/>
      <c r="B1404" s="148"/>
      <c r="C1404" s="87"/>
      <c r="D1404" s="37"/>
      <c r="E1404" s="37"/>
      <c r="F1404" s="87"/>
    </row>
    <row r="1405">
      <c r="A1405" s="147"/>
      <c r="B1405" s="148"/>
      <c r="C1405" s="87"/>
      <c r="D1405" s="37"/>
      <c r="E1405" s="37"/>
      <c r="F1405" s="87"/>
    </row>
    <row r="1406">
      <c r="A1406" s="147"/>
      <c r="B1406" s="148"/>
      <c r="C1406" s="87"/>
      <c r="D1406" s="37"/>
      <c r="E1406" s="37"/>
      <c r="F1406" s="87"/>
    </row>
    <row r="1407">
      <c r="A1407" s="147"/>
      <c r="B1407" s="148"/>
      <c r="C1407" s="87"/>
      <c r="D1407" s="37"/>
      <c r="E1407" s="37"/>
      <c r="F1407" s="87"/>
    </row>
    <row r="1408">
      <c r="A1408" s="147"/>
      <c r="B1408" s="148"/>
      <c r="C1408" s="87"/>
      <c r="D1408" s="37"/>
      <c r="E1408" s="37"/>
      <c r="F1408" s="87"/>
    </row>
    <row r="1409">
      <c r="A1409" s="147"/>
      <c r="B1409" s="148"/>
      <c r="C1409" s="87"/>
      <c r="D1409" s="37"/>
      <c r="E1409" s="37"/>
      <c r="F1409" s="87"/>
    </row>
    <row r="1410">
      <c r="A1410" s="147"/>
      <c r="B1410" s="148"/>
      <c r="C1410" s="87"/>
      <c r="D1410" s="37"/>
      <c r="E1410" s="37"/>
      <c r="F1410" s="87"/>
    </row>
    <row r="1411">
      <c r="A1411" s="147"/>
      <c r="B1411" s="148"/>
      <c r="C1411" s="87"/>
      <c r="D1411" s="37"/>
      <c r="E1411" s="37"/>
      <c r="F1411" s="87"/>
    </row>
    <row r="1412">
      <c r="A1412" s="147"/>
      <c r="B1412" s="148"/>
      <c r="C1412" s="87"/>
      <c r="D1412" s="37"/>
      <c r="E1412" s="37"/>
      <c r="F1412" s="87"/>
    </row>
    <row r="1413">
      <c r="A1413" s="147"/>
      <c r="B1413" s="148"/>
      <c r="C1413" s="87"/>
      <c r="D1413" s="37"/>
      <c r="E1413" s="37"/>
      <c r="F1413" s="87"/>
    </row>
    <row r="1414">
      <c r="A1414" s="147"/>
      <c r="B1414" s="148"/>
      <c r="C1414" s="87"/>
      <c r="D1414" s="37"/>
      <c r="E1414" s="37"/>
      <c r="F1414" s="87"/>
    </row>
    <row r="1415">
      <c r="A1415" s="147"/>
      <c r="B1415" s="148"/>
      <c r="C1415" s="87"/>
      <c r="D1415" s="37"/>
      <c r="E1415" s="37"/>
      <c r="F1415" s="87"/>
    </row>
    <row r="1416">
      <c r="A1416" s="147"/>
      <c r="B1416" s="148"/>
      <c r="C1416" s="87"/>
      <c r="D1416" s="37"/>
      <c r="E1416" s="37"/>
      <c r="F1416" s="87"/>
    </row>
    <row r="1417">
      <c r="A1417" s="147"/>
      <c r="B1417" s="148"/>
      <c r="C1417" s="87"/>
      <c r="D1417" s="37"/>
      <c r="E1417" s="37"/>
      <c r="F1417" s="87"/>
    </row>
    <row r="1418">
      <c r="A1418" s="147"/>
      <c r="B1418" s="148"/>
      <c r="C1418" s="87"/>
      <c r="D1418" s="37"/>
      <c r="E1418" s="37"/>
      <c r="F1418" s="87"/>
    </row>
    <row r="1419">
      <c r="A1419" s="147"/>
      <c r="B1419" s="148"/>
      <c r="C1419" s="87"/>
      <c r="D1419" s="37"/>
      <c r="E1419" s="37"/>
      <c r="F1419" s="87"/>
    </row>
    <row r="1420">
      <c r="A1420" s="147"/>
      <c r="B1420" s="148"/>
      <c r="C1420" s="87"/>
      <c r="D1420" s="37"/>
      <c r="E1420" s="37"/>
      <c r="F1420" s="87"/>
    </row>
    <row r="1421">
      <c r="A1421" s="147"/>
      <c r="B1421" s="148"/>
      <c r="C1421" s="87"/>
      <c r="D1421" s="37"/>
      <c r="E1421" s="37"/>
      <c r="F1421" s="87"/>
    </row>
    <row r="1422">
      <c r="A1422" s="147"/>
      <c r="B1422" s="148"/>
      <c r="C1422" s="87"/>
      <c r="D1422" s="37"/>
      <c r="E1422" s="37"/>
      <c r="F1422" s="87"/>
    </row>
    <row r="1423">
      <c r="A1423" s="147"/>
      <c r="B1423" s="148"/>
      <c r="C1423" s="87"/>
      <c r="D1423" s="37"/>
      <c r="E1423" s="37"/>
      <c r="F1423" s="87"/>
    </row>
    <row r="1424">
      <c r="A1424" s="147"/>
      <c r="B1424" s="148"/>
      <c r="C1424" s="87"/>
      <c r="D1424" s="37"/>
      <c r="E1424" s="37"/>
      <c r="F1424" s="87"/>
    </row>
    <row r="1425">
      <c r="A1425" s="147"/>
      <c r="B1425" s="148"/>
      <c r="C1425" s="87"/>
      <c r="D1425" s="37"/>
      <c r="E1425" s="37"/>
      <c r="F1425" s="87"/>
    </row>
    <row r="1426">
      <c r="A1426" s="147"/>
      <c r="B1426" s="148"/>
      <c r="C1426" s="87"/>
      <c r="D1426" s="37"/>
      <c r="E1426" s="37"/>
      <c r="F1426" s="87"/>
    </row>
    <row r="1427">
      <c r="A1427" s="147"/>
      <c r="B1427" s="148"/>
      <c r="C1427" s="87"/>
      <c r="D1427" s="37"/>
      <c r="E1427" s="37"/>
      <c r="F1427" s="87"/>
    </row>
    <row r="1428">
      <c r="A1428" s="147"/>
      <c r="B1428" s="148"/>
      <c r="C1428" s="87"/>
      <c r="D1428" s="37"/>
      <c r="E1428" s="37"/>
      <c r="F1428" s="87"/>
    </row>
    <row r="1429">
      <c r="A1429" s="147"/>
      <c r="B1429" s="148"/>
      <c r="C1429" s="87"/>
      <c r="D1429" s="37"/>
      <c r="E1429" s="37"/>
      <c r="F1429" s="87"/>
    </row>
    <row r="1430">
      <c r="A1430" s="147"/>
      <c r="B1430" s="148"/>
      <c r="C1430" s="87"/>
      <c r="D1430" s="37"/>
      <c r="E1430" s="37"/>
      <c r="F1430" s="87"/>
    </row>
    <row r="1431">
      <c r="A1431" s="147"/>
      <c r="B1431" s="148"/>
      <c r="C1431" s="87"/>
      <c r="D1431" s="37"/>
      <c r="E1431" s="37"/>
      <c r="F1431" s="87"/>
    </row>
    <row r="1432">
      <c r="A1432" s="147"/>
      <c r="B1432" s="148"/>
      <c r="C1432" s="87"/>
      <c r="D1432" s="37"/>
      <c r="E1432" s="37"/>
      <c r="F1432" s="87"/>
    </row>
    <row r="1433">
      <c r="A1433" s="147"/>
      <c r="B1433" s="148"/>
      <c r="C1433" s="87"/>
      <c r="D1433" s="37"/>
      <c r="E1433" s="37"/>
      <c r="F1433" s="87"/>
    </row>
    <row r="1434">
      <c r="A1434" s="147"/>
      <c r="B1434" s="148"/>
      <c r="C1434" s="87"/>
      <c r="D1434" s="37"/>
      <c r="E1434" s="37"/>
      <c r="F1434" s="87"/>
    </row>
    <row r="1435">
      <c r="A1435" s="147"/>
      <c r="B1435" s="148"/>
      <c r="C1435" s="87"/>
      <c r="D1435" s="37"/>
      <c r="E1435" s="37"/>
      <c r="F1435" s="87"/>
    </row>
    <row r="1436">
      <c r="A1436" s="147"/>
      <c r="B1436" s="148"/>
      <c r="C1436" s="87"/>
      <c r="D1436" s="37"/>
      <c r="E1436" s="37"/>
      <c r="F1436" s="87"/>
    </row>
    <row r="1437">
      <c r="A1437" s="147"/>
      <c r="B1437" s="148"/>
      <c r="C1437" s="87"/>
      <c r="D1437" s="37"/>
      <c r="E1437" s="37"/>
      <c r="F1437" s="87"/>
    </row>
    <row r="1438">
      <c r="A1438" s="147"/>
      <c r="B1438" s="148"/>
      <c r="C1438" s="87"/>
      <c r="D1438" s="37"/>
      <c r="E1438" s="37"/>
      <c r="F1438" s="87"/>
    </row>
    <row r="1439">
      <c r="A1439" s="147"/>
      <c r="B1439" s="148"/>
      <c r="C1439" s="87"/>
      <c r="D1439" s="37"/>
      <c r="E1439" s="37"/>
      <c r="F1439" s="87"/>
    </row>
    <row r="1440">
      <c r="A1440" s="147"/>
      <c r="B1440" s="148"/>
      <c r="C1440" s="87"/>
      <c r="D1440" s="37"/>
      <c r="E1440" s="37"/>
      <c r="F1440" s="87"/>
    </row>
    <row r="1441">
      <c r="A1441" s="147"/>
      <c r="B1441" s="148"/>
      <c r="C1441" s="87"/>
      <c r="D1441" s="37"/>
      <c r="E1441" s="37"/>
      <c r="F1441" s="87"/>
    </row>
    <row r="1442">
      <c r="A1442" s="147"/>
      <c r="B1442" s="148"/>
      <c r="C1442" s="87"/>
      <c r="D1442" s="37"/>
      <c r="E1442" s="37"/>
      <c r="F1442" s="87"/>
    </row>
    <row r="1443">
      <c r="A1443" s="147"/>
      <c r="B1443" s="148"/>
      <c r="C1443" s="87"/>
      <c r="D1443" s="37"/>
      <c r="E1443" s="37"/>
      <c r="F1443" s="87"/>
    </row>
    <row r="1444">
      <c r="A1444" s="147"/>
      <c r="B1444" s="148"/>
      <c r="C1444" s="87"/>
      <c r="D1444" s="37"/>
      <c r="E1444" s="37"/>
      <c r="F1444" s="87"/>
    </row>
    <row r="1445">
      <c r="A1445" s="147"/>
      <c r="B1445" s="148"/>
      <c r="C1445" s="87"/>
      <c r="D1445" s="37"/>
      <c r="E1445" s="37"/>
      <c r="F1445" s="87"/>
    </row>
    <row r="1446">
      <c r="A1446" s="147"/>
      <c r="B1446" s="148"/>
      <c r="C1446" s="87"/>
      <c r="D1446" s="37"/>
      <c r="E1446" s="37"/>
      <c r="F1446" s="87"/>
    </row>
    <row r="1447">
      <c r="A1447" s="147"/>
      <c r="B1447" s="148"/>
      <c r="C1447" s="87"/>
      <c r="D1447" s="37"/>
      <c r="E1447" s="37"/>
      <c r="F1447" s="87"/>
    </row>
    <row r="1448">
      <c r="A1448" s="147"/>
      <c r="B1448" s="148"/>
      <c r="C1448" s="87"/>
      <c r="D1448" s="37"/>
      <c r="E1448" s="37"/>
      <c r="F1448" s="87"/>
    </row>
    <row r="1449">
      <c r="A1449" s="147"/>
      <c r="B1449" s="148"/>
      <c r="C1449" s="87"/>
      <c r="D1449" s="37"/>
      <c r="E1449" s="37"/>
      <c r="F1449" s="87"/>
    </row>
    <row r="1450">
      <c r="A1450" s="147"/>
      <c r="B1450" s="148"/>
      <c r="C1450" s="87"/>
      <c r="D1450" s="37"/>
      <c r="E1450" s="37"/>
      <c r="F1450" s="87"/>
    </row>
    <row r="1451">
      <c r="A1451" s="147"/>
      <c r="B1451" s="148"/>
      <c r="C1451" s="87"/>
      <c r="D1451" s="37"/>
      <c r="E1451" s="37"/>
      <c r="F1451" s="87"/>
    </row>
    <row r="1452">
      <c r="A1452" s="147"/>
      <c r="B1452" s="148"/>
      <c r="C1452" s="87"/>
      <c r="D1452" s="37"/>
      <c r="E1452" s="37"/>
      <c r="F1452" s="87"/>
    </row>
    <row r="1453">
      <c r="A1453" s="147"/>
      <c r="B1453" s="148"/>
      <c r="C1453" s="87"/>
      <c r="D1453" s="37"/>
      <c r="E1453" s="37"/>
      <c r="F1453" s="87"/>
    </row>
    <row r="1454">
      <c r="A1454" s="147"/>
      <c r="B1454" s="148"/>
      <c r="C1454" s="87"/>
      <c r="D1454" s="37"/>
      <c r="E1454" s="37"/>
      <c r="F1454" s="87"/>
    </row>
    <row r="1455">
      <c r="A1455" s="147"/>
      <c r="B1455" s="148"/>
      <c r="C1455" s="87"/>
      <c r="D1455" s="37"/>
      <c r="E1455" s="37"/>
      <c r="F1455" s="87"/>
    </row>
    <row r="1456">
      <c r="A1456" s="147"/>
      <c r="B1456" s="148"/>
      <c r="C1456" s="87"/>
      <c r="D1456" s="37"/>
      <c r="E1456" s="37"/>
      <c r="F1456" s="87"/>
    </row>
    <row r="1457">
      <c r="A1457" s="147"/>
      <c r="B1457" s="148"/>
      <c r="C1457" s="87"/>
      <c r="D1457" s="37"/>
      <c r="E1457" s="37"/>
      <c r="F1457" s="87"/>
    </row>
    <row r="1458">
      <c r="A1458" s="147"/>
      <c r="B1458" s="148"/>
      <c r="C1458" s="87"/>
      <c r="D1458" s="37"/>
      <c r="E1458" s="37"/>
      <c r="F1458" s="87"/>
    </row>
    <row r="1459">
      <c r="A1459" s="147"/>
      <c r="B1459" s="148"/>
      <c r="C1459" s="87"/>
      <c r="D1459" s="37"/>
      <c r="E1459" s="37"/>
      <c r="F1459" s="87"/>
    </row>
    <row r="1460">
      <c r="A1460" s="147"/>
      <c r="B1460" s="148"/>
      <c r="C1460" s="87"/>
      <c r="D1460" s="37"/>
      <c r="E1460" s="37"/>
      <c r="F1460" s="87"/>
    </row>
    <row r="1461">
      <c r="A1461" s="147"/>
      <c r="B1461" s="148"/>
      <c r="C1461" s="87"/>
      <c r="D1461" s="37"/>
      <c r="E1461" s="37"/>
      <c r="F1461" s="87"/>
    </row>
    <row r="1462">
      <c r="A1462" s="147"/>
      <c r="B1462" s="148"/>
      <c r="C1462" s="87"/>
      <c r="D1462" s="37"/>
      <c r="E1462" s="37"/>
      <c r="F1462" s="87"/>
    </row>
    <row r="1463">
      <c r="A1463" s="147"/>
      <c r="B1463" s="148"/>
      <c r="C1463" s="87"/>
      <c r="D1463" s="37"/>
      <c r="E1463" s="37"/>
      <c r="F1463" s="87"/>
    </row>
    <row r="1464">
      <c r="A1464" s="147"/>
      <c r="B1464" s="148"/>
      <c r="C1464" s="87"/>
      <c r="D1464" s="37"/>
      <c r="E1464" s="37"/>
      <c r="F1464" s="87"/>
    </row>
    <row r="1465">
      <c r="A1465" s="147"/>
      <c r="B1465" s="148"/>
      <c r="C1465" s="87"/>
      <c r="D1465" s="37"/>
      <c r="E1465" s="37"/>
      <c r="F1465" s="87"/>
    </row>
    <row r="1466">
      <c r="A1466" s="147"/>
      <c r="B1466" s="148"/>
      <c r="C1466" s="87"/>
      <c r="D1466" s="37"/>
      <c r="E1466" s="37"/>
      <c r="F1466" s="87"/>
    </row>
    <row r="1467">
      <c r="A1467" s="147"/>
      <c r="B1467" s="148"/>
      <c r="C1467" s="87"/>
      <c r="D1467" s="37"/>
      <c r="E1467" s="37"/>
      <c r="F1467" s="87"/>
    </row>
    <row r="1468">
      <c r="A1468" s="147"/>
      <c r="B1468" s="148"/>
      <c r="C1468" s="87"/>
      <c r="D1468" s="37"/>
      <c r="E1468" s="37"/>
      <c r="F1468" s="87"/>
    </row>
    <row r="1469">
      <c r="A1469" s="147"/>
      <c r="B1469" s="148"/>
      <c r="C1469" s="87"/>
      <c r="D1469" s="37"/>
      <c r="E1469" s="37"/>
      <c r="F1469" s="87"/>
    </row>
    <row r="1470">
      <c r="A1470" s="147"/>
      <c r="B1470" s="148"/>
      <c r="C1470" s="87"/>
      <c r="D1470" s="37"/>
      <c r="E1470" s="37"/>
      <c r="F1470" s="87"/>
    </row>
    <row r="1471">
      <c r="A1471" s="147"/>
      <c r="B1471" s="148"/>
      <c r="C1471" s="87"/>
      <c r="D1471" s="37"/>
      <c r="E1471" s="37"/>
      <c r="F1471" s="87"/>
    </row>
    <row r="1472">
      <c r="A1472" s="147"/>
      <c r="B1472" s="148"/>
      <c r="C1472" s="87"/>
      <c r="D1472" s="37"/>
      <c r="E1472" s="37"/>
      <c r="F1472" s="87"/>
    </row>
    <row r="1473">
      <c r="A1473" s="147"/>
      <c r="B1473" s="148"/>
      <c r="C1473" s="87"/>
      <c r="D1473" s="37"/>
      <c r="E1473" s="37"/>
      <c r="F1473" s="87"/>
    </row>
    <row r="1474">
      <c r="A1474" s="147"/>
      <c r="B1474" s="148"/>
      <c r="C1474" s="87"/>
      <c r="D1474" s="37"/>
      <c r="E1474" s="37"/>
      <c r="F1474" s="87"/>
    </row>
    <row r="1475">
      <c r="A1475" s="147"/>
      <c r="B1475" s="148"/>
      <c r="C1475" s="87"/>
      <c r="D1475" s="37"/>
      <c r="E1475" s="37"/>
      <c r="F1475" s="87"/>
    </row>
    <row r="1476">
      <c r="A1476" s="147"/>
      <c r="B1476" s="148"/>
      <c r="C1476" s="87"/>
      <c r="D1476" s="37"/>
      <c r="E1476" s="37"/>
      <c r="F1476" s="87"/>
    </row>
    <row r="1477">
      <c r="A1477" s="147"/>
      <c r="B1477" s="148"/>
      <c r="C1477" s="87"/>
      <c r="D1477" s="37"/>
      <c r="E1477" s="37"/>
      <c r="F1477" s="87"/>
    </row>
    <row r="1478">
      <c r="A1478" s="147"/>
      <c r="B1478" s="148"/>
      <c r="C1478" s="87"/>
      <c r="D1478" s="37"/>
      <c r="E1478" s="37"/>
      <c r="F1478" s="87"/>
    </row>
    <row r="1479">
      <c r="A1479" s="147"/>
      <c r="B1479" s="148"/>
      <c r="C1479" s="87"/>
      <c r="D1479" s="37"/>
      <c r="E1479" s="37"/>
      <c r="F1479" s="87"/>
    </row>
    <row r="1480">
      <c r="A1480" s="147"/>
      <c r="B1480" s="148"/>
      <c r="C1480" s="87"/>
      <c r="D1480" s="37"/>
      <c r="E1480" s="37"/>
      <c r="F1480" s="87"/>
    </row>
    <row r="1481">
      <c r="A1481" s="147"/>
      <c r="B1481" s="148"/>
      <c r="C1481" s="87"/>
      <c r="D1481" s="37"/>
      <c r="E1481" s="37"/>
      <c r="F1481" s="87"/>
    </row>
    <row r="1482">
      <c r="A1482" s="147"/>
      <c r="B1482" s="148"/>
      <c r="C1482" s="87"/>
      <c r="D1482" s="37"/>
      <c r="E1482" s="37"/>
      <c r="F1482" s="87"/>
    </row>
    <row r="1483">
      <c r="A1483" s="147"/>
      <c r="B1483" s="148"/>
      <c r="C1483" s="87"/>
      <c r="D1483" s="37"/>
      <c r="E1483" s="37"/>
      <c r="F1483" s="87"/>
    </row>
    <row r="1484">
      <c r="A1484" s="147"/>
      <c r="B1484" s="148"/>
      <c r="C1484" s="87"/>
      <c r="D1484" s="37"/>
      <c r="E1484" s="37"/>
      <c r="F1484" s="87"/>
    </row>
    <row r="1485">
      <c r="A1485" s="147"/>
      <c r="B1485" s="148"/>
      <c r="C1485" s="87"/>
      <c r="D1485" s="37"/>
      <c r="E1485" s="37"/>
      <c r="F1485" s="87"/>
    </row>
    <row r="1486">
      <c r="A1486" s="147"/>
      <c r="B1486" s="148"/>
      <c r="C1486" s="87"/>
      <c r="D1486" s="37"/>
      <c r="E1486" s="37"/>
      <c r="F1486" s="87"/>
    </row>
    <row r="1487">
      <c r="A1487" s="147"/>
      <c r="B1487" s="148"/>
      <c r="C1487" s="87"/>
      <c r="D1487" s="37"/>
      <c r="E1487" s="37"/>
      <c r="F1487" s="87"/>
    </row>
    <row r="1488">
      <c r="A1488" s="147"/>
      <c r="B1488" s="148"/>
      <c r="C1488" s="87"/>
      <c r="D1488" s="37"/>
      <c r="E1488" s="37"/>
      <c r="F1488" s="87"/>
    </row>
    <row r="1489">
      <c r="A1489" s="147"/>
      <c r="B1489" s="148"/>
      <c r="C1489" s="87"/>
      <c r="D1489" s="37"/>
      <c r="E1489" s="37"/>
      <c r="F1489" s="87"/>
    </row>
    <row r="1490">
      <c r="A1490" s="147"/>
      <c r="B1490" s="148"/>
      <c r="C1490" s="87"/>
      <c r="D1490" s="37"/>
      <c r="E1490" s="37"/>
      <c r="F1490" s="87"/>
    </row>
    <row r="1491">
      <c r="A1491" s="147"/>
      <c r="B1491" s="148"/>
      <c r="C1491" s="87"/>
      <c r="D1491" s="37"/>
      <c r="E1491" s="37"/>
      <c r="F1491" s="87"/>
    </row>
    <row r="1492">
      <c r="A1492" s="147"/>
      <c r="B1492" s="148"/>
      <c r="C1492" s="87"/>
      <c r="D1492" s="37"/>
      <c r="E1492" s="37"/>
      <c r="F1492" s="87"/>
    </row>
    <row r="1493">
      <c r="A1493" s="147"/>
      <c r="B1493" s="148"/>
      <c r="C1493" s="87"/>
      <c r="D1493" s="37"/>
      <c r="E1493" s="37"/>
      <c r="F1493" s="87"/>
    </row>
    <row r="1494">
      <c r="A1494" s="147"/>
      <c r="B1494" s="148"/>
      <c r="C1494" s="87"/>
      <c r="D1494" s="37"/>
      <c r="E1494" s="37"/>
      <c r="F1494" s="87"/>
    </row>
    <row r="1495">
      <c r="A1495" s="147"/>
      <c r="B1495" s="148"/>
      <c r="C1495" s="87"/>
      <c r="D1495" s="37"/>
      <c r="E1495" s="37"/>
      <c r="F1495" s="87"/>
    </row>
    <row r="1496">
      <c r="A1496" s="147"/>
      <c r="B1496" s="148"/>
      <c r="C1496" s="87"/>
      <c r="D1496" s="37"/>
      <c r="E1496" s="37"/>
      <c r="F1496" s="87"/>
    </row>
    <row r="1497">
      <c r="A1497" s="147"/>
      <c r="B1497" s="148"/>
      <c r="C1497" s="87"/>
      <c r="D1497" s="37"/>
      <c r="E1497" s="37"/>
      <c r="F1497" s="87"/>
    </row>
    <row r="1498">
      <c r="A1498" s="147"/>
      <c r="B1498" s="148"/>
      <c r="C1498" s="87"/>
      <c r="D1498" s="37"/>
      <c r="E1498" s="37"/>
      <c r="F1498" s="87"/>
    </row>
    <row r="1499">
      <c r="A1499" s="147"/>
      <c r="B1499" s="148"/>
      <c r="C1499" s="87"/>
      <c r="D1499" s="37"/>
      <c r="E1499" s="37"/>
      <c r="F1499" s="87"/>
    </row>
    <row r="1500">
      <c r="A1500" s="147"/>
      <c r="B1500" s="148"/>
      <c r="C1500" s="87"/>
      <c r="D1500" s="37"/>
      <c r="E1500" s="37"/>
      <c r="F1500" s="87"/>
    </row>
    <row r="1501">
      <c r="A1501" s="147"/>
      <c r="B1501" s="148"/>
      <c r="C1501" s="87"/>
      <c r="D1501" s="37"/>
      <c r="E1501" s="37"/>
      <c r="F1501" s="87"/>
    </row>
    <row r="1502">
      <c r="A1502" s="147"/>
      <c r="B1502" s="148"/>
      <c r="C1502" s="87"/>
      <c r="D1502" s="37"/>
      <c r="E1502" s="37"/>
      <c r="F1502" s="87"/>
    </row>
    <row r="1503">
      <c r="A1503" s="147"/>
      <c r="B1503" s="148"/>
      <c r="C1503" s="87"/>
      <c r="D1503" s="37"/>
      <c r="E1503" s="37"/>
      <c r="F1503" s="87"/>
    </row>
    <row r="1504">
      <c r="A1504" s="147"/>
      <c r="B1504" s="148"/>
      <c r="C1504" s="87"/>
      <c r="D1504" s="37"/>
      <c r="E1504" s="37"/>
      <c r="F1504" s="87"/>
    </row>
    <row r="1505">
      <c r="A1505" s="147"/>
      <c r="B1505" s="148"/>
      <c r="C1505" s="87"/>
      <c r="D1505" s="37"/>
      <c r="E1505" s="37"/>
      <c r="F1505" s="87"/>
    </row>
    <row r="1506">
      <c r="A1506" s="147"/>
      <c r="B1506" s="148"/>
      <c r="C1506" s="87"/>
      <c r="D1506" s="37"/>
      <c r="E1506" s="37"/>
      <c r="F1506" s="87"/>
    </row>
    <row r="1507">
      <c r="A1507" s="147"/>
      <c r="B1507" s="148"/>
      <c r="C1507" s="87"/>
      <c r="D1507" s="37"/>
      <c r="E1507" s="37"/>
      <c r="F1507" s="87"/>
    </row>
    <row r="1508">
      <c r="A1508" s="147"/>
      <c r="B1508" s="148"/>
      <c r="C1508" s="87"/>
      <c r="D1508" s="37"/>
      <c r="E1508" s="37"/>
      <c r="F1508" s="87"/>
    </row>
    <row r="1509">
      <c r="A1509" s="147"/>
      <c r="B1509" s="148"/>
      <c r="C1509" s="87"/>
      <c r="D1509" s="37"/>
      <c r="E1509" s="37"/>
      <c r="F1509" s="87"/>
    </row>
    <row r="1510">
      <c r="A1510" s="147"/>
      <c r="B1510" s="148"/>
      <c r="C1510" s="87"/>
      <c r="D1510" s="37"/>
      <c r="E1510" s="37"/>
      <c r="F1510" s="87"/>
    </row>
    <row r="1511">
      <c r="A1511" s="147"/>
      <c r="B1511" s="148"/>
      <c r="C1511" s="87"/>
      <c r="D1511" s="37"/>
      <c r="E1511" s="37"/>
      <c r="F1511" s="87"/>
    </row>
    <row r="1512">
      <c r="A1512" s="147"/>
      <c r="B1512" s="148"/>
      <c r="C1512" s="87"/>
      <c r="D1512" s="37"/>
      <c r="E1512" s="37"/>
      <c r="F1512" s="87"/>
    </row>
    <row r="1513">
      <c r="A1513" s="147"/>
      <c r="B1513" s="148"/>
      <c r="C1513" s="87"/>
      <c r="D1513" s="37"/>
      <c r="E1513" s="37"/>
      <c r="F1513" s="87"/>
    </row>
    <row r="1514">
      <c r="A1514" s="147"/>
      <c r="B1514" s="148"/>
      <c r="C1514" s="87"/>
      <c r="D1514" s="37"/>
      <c r="E1514" s="37"/>
      <c r="F1514" s="87"/>
    </row>
    <row r="1515">
      <c r="A1515" s="147"/>
      <c r="B1515" s="148"/>
      <c r="C1515" s="87"/>
      <c r="D1515" s="37"/>
      <c r="E1515" s="37"/>
      <c r="F1515" s="87"/>
    </row>
    <row r="1516">
      <c r="A1516" s="147"/>
      <c r="B1516" s="148"/>
      <c r="C1516" s="87"/>
      <c r="D1516" s="37"/>
      <c r="E1516" s="37"/>
      <c r="F1516" s="87"/>
    </row>
    <row r="1517">
      <c r="A1517" s="147"/>
      <c r="B1517" s="148"/>
      <c r="C1517" s="87"/>
      <c r="D1517" s="37"/>
      <c r="E1517" s="37"/>
      <c r="F1517" s="87"/>
    </row>
    <row r="1518">
      <c r="A1518" s="147"/>
      <c r="B1518" s="148"/>
      <c r="C1518" s="87"/>
      <c r="D1518" s="37"/>
      <c r="E1518" s="37"/>
      <c r="F1518" s="87"/>
    </row>
    <row r="1519">
      <c r="A1519" s="147"/>
      <c r="B1519" s="148"/>
      <c r="C1519" s="87"/>
      <c r="D1519" s="37"/>
      <c r="E1519" s="37"/>
      <c r="F1519" s="87"/>
    </row>
    <row r="1520">
      <c r="A1520" s="147"/>
      <c r="B1520" s="148"/>
      <c r="C1520" s="87"/>
      <c r="D1520" s="37"/>
      <c r="E1520" s="37"/>
      <c r="F1520" s="87"/>
    </row>
    <row r="1521">
      <c r="A1521" s="147"/>
      <c r="B1521" s="148"/>
      <c r="C1521" s="87"/>
      <c r="D1521" s="37"/>
      <c r="E1521" s="37"/>
      <c r="F1521" s="87"/>
    </row>
    <row r="1522">
      <c r="A1522" s="147"/>
      <c r="B1522" s="148"/>
      <c r="C1522" s="87"/>
      <c r="D1522" s="37"/>
      <c r="E1522" s="37"/>
      <c r="F1522" s="87"/>
    </row>
    <row r="1523">
      <c r="A1523" s="147"/>
      <c r="B1523" s="148"/>
      <c r="C1523" s="87"/>
      <c r="D1523" s="37"/>
      <c r="E1523" s="37"/>
      <c r="F1523" s="87"/>
    </row>
    <row r="1524">
      <c r="A1524" s="147"/>
      <c r="B1524" s="148"/>
      <c r="C1524" s="87"/>
      <c r="D1524" s="37"/>
      <c r="E1524" s="37"/>
      <c r="F1524" s="87"/>
    </row>
    <row r="1525">
      <c r="A1525" s="147"/>
      <c r="B1525" s="148"/>
      <c r="C1525" s="87"/>
      <c r="D1525" s="37"/>
      <c r="E1525" s="37"/>
      <c r="F1525" s="87"/>
    </row>
    <row r="1526">
      <c r="A1526" s="147"/>
      <c r="B1526" s="148"/>
      <c r="C1526" s="87"/>
      <c r="D1526" s="37"/>
      <c r="E1526" s="37"/>
      <c r="F1526" s="87"/>
    </row>
    <row r="1527">
      <c r="A1527" s="147"/>
      <c r="B1527" s="148"/>
      <c r="C1527" s="87"/>
      <c r="D1527" s="37"/>
      <c r="E1527" s="37"/>
      <c r="F1527" s="87"/>
    </row>
    <row r="1528">
      <c r="A1528" s="147"/>
      <c r="B1528" s="148"/>
      <c r="C1528" s="87"/>
      <c r="D1528" s="37"/>
      <c r="E1528" s="37"/>
      <c r="F1528" s="87"/>
    </row>
    <row r="1529">
      <c r="A1529" s="147"/>
      <c r="B1529" s="148"/>
      <c r="C1529" s="87"/>
      <c r="D1529" s="37"/>
      <c r="E1529" s="37"/>
      <c r="F1529" s="87"/>
    </row>
    <row r="1530">
      <c r="A1530" s="147"/>
      <c r="B1530" s="148"/>
      <c r="C1530" s="87"/>
      <c r="D1530" s="37"/>
      <c r="E1530" s="37"/>
      <c r="F1530" s="87"/>
    </row>
    <row r="1531">
      <c r="A1531" s="147"/>
      <c r="B1531" s="148"/>
      <c r="C1531" s="87"/>
      <c r="D1531" s="37"/>
      <c r="E1531" s="37"/>
      <c r="F1531" s="87"/>
    </row>
    <row r="1532">
      <c r="A1532" s="147"/>
      <c r="B1532" s="148"/>
      <c r="C1532" s="87"/>
      <c r="D1532" s="37"/>
      <c r="E1532" s="37"/>
      <c r="F1532" s="87"/>
    </row>
    <row r="1533">
      <c r="A1533" s="147"/>
      <c r="B1533" s="148"/>
      <c r="C1533" s="87"/>
      <c r="D1533" s="37"/>
      <c r="E1533" s="37"/>
      <c r="F1533" s="87"/>
    </row>
    <row r="1534">
      <c r="A1534" s="147"/>
      <c r="B1534" s="148"/>
      <c r="C1534" s="87"/>
      <c r="D1534" s="37"/>
      <c r="E1534" s="37"/>
      <c r="F1534" s="87"/>
    </row>
    <row r="1535">
      <c r="A1535" s="147"/>
      <c r="B1535" s="148"/>
      <c r="C1535" s="87"/>
      <c r="D1535" s="37"/>
      <c r="E1535" s="37"/>
      <c r="F1535" s="87"/>
    </row>
    <row r="1536">
      <c r="A1536" s="147"/>
      <c r="B1536" s="148"/>
      <c r="C1536" s="87"/>
      <c r="D1536" s="37"/>
      <c r="E1536" s="37"/>
      <c r="F1536" s="87"/>
    </row>
    <row r="1537">
      <c r="A1537" s="147"/>
      <c r="B1537" s="148"/>
      <c r="C1537" s="87"/>
      <c r="D1537" s="37"/>
      <c r="E1537" s="37"/>
      <c r="F1537" s="87"/>
    </row>
    <row r="1538">
      <c r="A1538" s="147"/>
      <c r="B1538" s="148"/>
      <c r="C1538" s="87"/>
      <c r="D1538" s="37"/>
      <c r="E1538" s="37"/>
      <c r="F1538" s="87"/>
    </row>
    <row r="1539">
      <c r="A1539" s="147"/>
      <c r="B1539" s="148"/>
      <c r="C1539" s="87"/>
      <c r="D1539" s="37"/>
      <c r="E1539" s="37"/>
      <c r="F1539" s="87"/>
    </row>
    <row r="1540">
      <c r="A1540" s="147"/>
      <c r="B1540" s="148"/>
      <c r="C1540" s="87"/>
      <c r="D1540" s="37"/>
      <c r="E1540" s="37"/>
      <c r="F1540" s="87"/>
    </row>
    <row r="1541">
      <c r="A1541" s="147"/>
      <c r="B1541" s="148"/>
      <c r="C1541" s="87"/>
      <c r="D1541" s="37"/>
      <c r="E1541" s="37"/>
      <c r="F1541" s="87"/>
    </row>
    <row r="1542">
      <c r="A1542" s="147"/>
      <c r="B1542" s="148"/>
      <c r="C1542" s="87"/>
      <c r="D1542" s="37"/>
      <c r="E1542" s="37"/>
      <c r="F1542" s="87"/>
    </row>
    <row r="1543">
      <c r="A1543" s="147"/>
      <c r="B1543" s="148"/>
      <c r="C1543" s="87"/>
      <c r="D1543" s="37"/>
      <c r="E1543" s="37"/>
      <c r="F1543" s="87"/>
    </row>
    <row r="1544">
      <c r="A1544" s="147"/>
      <c r="B1544" s="148"/>
      <c r="C1544" s="87"/>
      <c r="D1544" s="37"/>
      <c r="E1544" s="37"/>
      <c r="F1544" s="87"/>
    </row>
    <row r="1545">
      <c r="A1545" s="147"/>
      <c r="B1545" s="148"/>
      <c r="C1545" s="87"/>
      <c r="D1545" s="37"/>
      <c r="E1545" s="37"/>
      <c r="F1545" s="87"/>
    </row>
    <row r="1546">
      <c r="A1546" s="147"/>
      <c r="B1546" s="148"/>
      <c r="C1546" s="87"/>
      <c r="D1546" s="37"/>
      <c r="E1546" s="37"/>
      <c r="F1546" s="87"/>
    </row>
    <row r="1547">
      <c r="A1547" s="147"/>
      <c r="B1547" s="148"/>
      <c r="C1547" s="87"/>
      <c r="D1547" s="37"/>
      <c r="E1547" s="37"/>
      <c r="F1547" s="87"/>
    </row>
    <row r="1548">
      <c r="A1548" s="147"/>
      <c r="B1548" s="148"/>
      <c r="C1548" s="87"/>
      <c r="D1548" s="37"/>
      <c r="E1548" s="37"/>
      <c r="F1548" s="87"/>
    </row>
    <row r="1549">
      <c r="A1549" s="147"/>
      <c r="B1549" s="148"/>
      <c r="C1549" s="87"/>
      <c r="D1549" s="37"/>
      <c r="E1549" s="37"/>
      <c r="F1549" s="87"/>
    </row>
    <row r="1550">
      <c r="A1550" s="147"/>
      <c r="B1550" s="148"/>
      <c r="C1550" s="87"/>
      <c r="D1550" s="37"/>
      <c r="E1550" s="37"/>
      <c r="F1550" s="87"/>
    </row>
    <row r="1551">
      <c r="A1551" s="147"/>
      <c r="B1551" s="148"/>
      <c r="C1551" s="87"/>
      <c r="D1551" s="37"/>
      <c r="E1551" s="37"/>
      <c r="F1551" s="87"/>
    </row>
    <row r="1552">
      <c r="A1552" s="147"/>
      <c r="B1552" s="148"/>
      <c r="C1552" s="87"/>
      <c r="D1552" s="37"/>
      <c r="E1552" s="37"/>
      <c r="F1552" s="87"/>
    </row>
    <row r="1553">
      <c r="A1553" s="147"/>
      <c r="B1553" s="148"/>
      <c r="C1553" s="87"/>
      <c r="D1553" s="37"/>
      <c r="E1553" s="37"/>
      <c r="F1553" s="87"/>
    </row>
    <row r="1554">
      <c r="A1554" s="147"/>
      <c r="B1554" s="148"/>
      <c r="C1554" s="87"/>
      <c r="D1554" s="37"/>
      <c r="E1554" s="37"/>
      <c r="F1554" s="87"/>
    </row>
    <row r="1555">
      <c r="A1555" s="147"/>
      <c r="B1555" s="148"/>
      <c r="C1555" s="87"/>
      <c r="D1555" s="37"/>
      <c r="E1555" s="37"/>
      <c r="F1555" s="87"/>
    </row>
    <row r="1556">
      <c r="A1556" s="147"/>
      <c r="B1556" s="148"/>
      <c r="C1556" s="87"/>
      <c r="D1556" s="37"/>
      <c r="E1556" s="37"/>
      <c r="F1556" s="87"/>
    </row>
    <row r="1557">
      <c r="A1557" s="147"/>
      <c r="B1557" s="148"/>
      <c r="C1557" s="87"/>
      <c r="D1557" s="37"/>
      <c r="E1557" s="37"/>
      <c r="F1557" s="87"/>
    </row>
    <row r="1558">
      <c r="A1558" s="147"/>
      <c r="B1558" s="148"/>
      <c r="C1558" s="87"/>
      <c r="D1558" s="37"/>
      <c r="E1558" s="37"/>
      <c r="F1558" s="87"/>
    </row>
    <row r="1559">
      <c r="A1559" s="147"/>
      <c r="B1559" s="148"/>
      <c r="C1559" s="87"/>
      <c r="D1559" s="37"/>
      <c r="E1559" s="37"/>
      <c r="F1559" s="87"/>
    </row>
    <row r="1560">
      <c r="A1560" s="147"/>
      <c r="B1560" s="148"/>
      <c r="C1560" s="87"/>
      <c r="D1560" s="37"/>
      <c r="E1560" s="37"/>
      <c r="F1560" s="87"/>
    </row>
    <row r="1561">
      <c r="A1561" s="147"/>
      <c r="B1561" s="148"/>
      <c r="C1561" s="87"/>
      <c r="D1561" s="37"/>
      <c r="E1561" s="37"/>
      <c r="F1561" s="87"/>
    </row>
    <row r="1562">
      <c r="A1562" s="147"/>
      <c r="B1562" s="148"/>
      <c r="C1562" s="87"/>
      <c r="D1562" s="37"/>
      <c r="E1562" s="37"/>
      <c r="F1562" s="87"/>
    </row>
    <row r="1563">
      <c r="A1563" s="147"/>
      <c r="B1563" s="148"/>
      <c r="C1563" s="87"/>
      <c r="D1563" s="37"/>
      <c r="E1563" s="37"/>
      <c r="F1563" s="87"/>
    </row>
    <row r="1564">
      <c r="A1564" s="147"/>
      <c r="B1564" s="148"/>
      <c r="C1564" s="87"/>
      <c r="D1564" s="37"/>
      <c r="E1564" s="37"/>
      <c r="F1564" s="87"/>
    </row>
    <row r="1565">
      <c r="A1565" s="147"/>
      <c r="B1565" s="148"/>
      <c r="C1565" s="87"/>
      <c r="D1565" s="37"/>
      <c r="E1565" s="37"/>
      <c r="F1565" s="87"/>
    </row>
    <row r="1566">
      <c r="A1566" s="147"/>
      <c r="B1566" s="148"/>
      <c r="C1566" s="87"/>
      <c r="D1566" s="37"/>
      <c r="E1566" s="37"/>
      <c r="F1566" s="87"/>
    </row>
    <row r="1567">
      <c r="A1567" s="147"/>
      <c r="B1567" s="148"/>
      <c r="C1567" s="87"/>
      <c r="D1567" s="37"/>
      <c r="E1567" s="37"/>
      <c r="F1567" s="87"/>
    </row>
    <row r="1568">
      <c r="A1568" s="147"/>
      <c r="B1568" s="148"/>
      <c r="C1568" s="87"/>
      <c r="D1568" s="37"/>
      <c r="E1568" s="37"/>
      <c r="F1568" s="87"/>
    </row>
    <row r="1569">
      <c r="A1569" s="147"/>
      <c r="B1569" s="148"/>
      <c r="C1569" s="87"/>
      <c r="D1569" s="37"/>
      <c r="E1569" s="37"/>
      <c r="F1569" s="87"/>
    </row>
    <row r="1570">
      <c r="A1570" s="147"/>
      <c r="B1570" s="148"/>
      <c r="C1570" s="87"/>
      <c r="D1570" s="37"/>
      <c r="E1570" s="37"/>
      <c r="F1570" s="87"/>
    </row>
    <row r="1571">
      <c r="A1571" s="147"/>
      <c r="B1571" s="148"/>
      <c r="C1571" s="87"/>
      <c r="D1571" s="37"/>
      <c r="E1571" s="37"/>
      <c r="F1571" s="87"/>
    </row>
    <row r="1572">
      <c r="A1572" s="147"/>
      <c r="B1572" s="148"/>
      <c r="C1572" s="87"/>
      <c r="D1572" s="37"/>
      <c r="E1572" s="37"/>
      <c r="F1572" s="87"/>
    </row>
    <row r="1573">
      <c r="A1573" s="147"/>
      <c r="B1573" s="148"/>
      <c r="C1573" s="87"/>
      <c r="D1573" s="37"/>
      <c r="E1573" s="37"/>
      <c r="F1573" s="87"/>
    </row>
    <row r="1574">
      <c r="A1574" s="147"/>
      <c r="B1574" s="148"/>
      <c r="C1574" s="87"/>
      <c r="D1574" s="37"/>
      <c r="E1574" s="37"/>
      <c r="F1574" s="87"/>
    </row>
    <row r="1575">
      <c r="A1575" s="147"/>
      <c r="B1575" s="148"/>
      <c r="C1575" s="87"/>
      <c r="D1575" s="37"/>
      <c r="E1575" s="37"/>
      <c r="F1575" s="87"/>
    </row>
    <row r="1576">
      <c r="A1576" s="147"/>
      <c r="B1576" s="148"/>
      <c r="C1576" s="87"/>
      <c r="D1576" s="37"/>
      <c r="E1576" s="37"/>
      <c r="F1576" s="87"/>
    </row>
    <row r="1577">
      <c r="A1577" s="147"/>
      <c r="B1577" s="148"/>
      <c r="C1577" s="87"/>
      <c r="D1577" s="37"/>
      <c r="E1577" s="37"/>
      <c r="F1577" s="87"/>
    </row>
    <row r="1578">
      <c r="A1578" s="147"/>
      <c r="B1578" s="148"/>
      <c r="C1578" s="87"/>
      <c r="D1578" s="37"/>
      <c r="E1578" s="37"/>
      <c r="F1578" s="87"/>
    </row>
    <row r="1579">
      <c r="A1579" s="147"/>
      <c r="B1579" s="148"/>
      <c r="C1579" s="87"/>
      <c r="D1579" s="37"/>
      <c r="E1579" s="37"/>
      <c r="F1579" s="87"/>
    </row>
    <row r="1580">
      <c r="A1580" s="147"/>
      <c r="B1580" s="148"/>
      <c r="C1580" s="87"/>
      <c r="D1580" s="37"/>
      <c r="E1580" s="37"/>
      <c r="F1580" s="87"/>
    </row>
    <row r="1581">
      <c r="A1581" s="147"/>
      <c r="B1581" s="148"/>
      <c r="C1581" s="87"/>
      <c r="D1581" s="37"/>
      <c r="E1581" s="37"/>
      <c r="F1581" s="87"/>
    </row>
    <row r="1582">
      <c r="A1582" s="147"/>
      <c r="B1582" s="148"/>
      <c r="C1582" s="87"/>
      <c r="D1582" s="37"/>
      <c r="E1582" s="37"/>
      <c r="F1582" s="87"/>
    </row>
    <row r="1583">
      <c r="A1583" s="147"/>
      <c r="B1583" s="148"/>
      <c r="C1583" s="87"/>
      <c r="D1583" s="37"/>
      <c r="E1583" s="37"/>
      <c r="F1583" s="87"/>
    </row>
    <row r="1584">
      <c r="A1584" s="147"/>
      <c r="B1584" s="148"/>
      <c r="C1584" s="87"/>
      <c r="D1584" s="37"/>
      <c r="E1584" s="37"/>
      <c r="F1584" s="87"/>
    </row>
    <row r="1585">
      <c r="A1585" s="147"/>
      <c r="B1585" s="148"/>
      <c r="C1585" s="87"/>
      <c r="D1585" s="37"/>
      <c r="E1585" s="37"/>
      <c r="F1585" s="87"/>
    </row>
    <row r="1586">
      <c r="A1586" s="147"/>
      <c r="B1586" s="148"/>
      <c r="C1586" s="87"/>
      <c r="D1586" s="37"/>
      <c r="E1586" s="37"/>
      <c r="F1586" s="87"/>
    </row>
    <row r="1587">
      <c r="A1587" s="147"/>
      <c r="B1587" s="148"/>
      <c r="C1587" s="87"/>
      <c r="D1587" s="37"/>
      <c r="E1587" s="37"/>
      <c r="F1587" s="87"/>
    </row>
    <row r="1588">
      <c r="A1588" s="147"/>
      <c r="B1588" s="148"/>
      <c r="C1588" s="87"/>
      <c r="D1588" s="37"/>
      <c r="E1588" s="37"/>
      <c r="F1588" s="87"/>
    </row>
    <row r="1589">
      <c r="A1589" s="147"/>
      <c r="B1589" s="148"/>
      <c r="C1589" s="87"/>
      <c r="D1589" s="37"/>
      <c r="E1589" s="37"/>
      <c r="F1589" s="87"/>
    </row>
    <row r="1590">
      <c r="A1590" s="147"/>
      <c r="B1590" s="148"/>
      <c r="C1590" s="87"/>
      <c r="D1590" s="37"/>
      <c r="E1590" s="37"/>
      <c r="F1590" s="87"/>
    </row>
    <row r="1591">
      <c r="A1591" s="147"/>
      <c r="B1591" s="148"/>
      <c r="C1591" s="87"/>
      <c r="D1591" s="37"/>
      <c r="E1591" s="37"/>
      <c r="F1591" s="87"/>
    </row>
    <row r="1592">
      <c r="A1592" s="147"/>
      <c r="B1592" s="148"/>
      <c r="C1592" s="87"/>
      <c r="D1592" s="37"/>
      <c r="E1592" s="37"/>
      <c r="F1592" s="87"/>
    </row>
    <row r="1593">
      <c r="A1593" s="147"/>
      <c r="B1593" s="148"/>
      <c r="C1593" s="87"/>
      <c r="D1593" s="37"/>
      <c r="E1593" s="37"/>
      <c r="F1593" s="87"/>
    </row>
    <row r="1594">
      <c r="A1594" s="147"/>
      <c r="B1594" s="148"/>
      <c r="C1594" s="87"/>
      <c r="D1594" s="37"/>
      <c r="E1594" s="37"/>
      <c r="F1594" s="87"/>
    </row>
    <row r="1595">
      <c r="A1595" s="147"/>
      <c r="B1595" s="148"/>
      <c r="C1595" s="87"/>
      <c r="D1595" s="37"/>
      <c r="E1595" s="37"/>
      <c r="F1595" s="87"/>
    </row>
    <row r="1596">
      <c r="A1596" s="147"/>
      <c r="B1596" s="148"/>
      <c r="C1596" s="87"/>
      <c r="D1596" s="37"/>
      <c r="E1596" s="37"/>
      <c r="F1596" s="87"/>
    </row>
    <row r="1597">
      <c r="A1597" s="147"/>
      <c r="B1597" s="148"/>
      <c r="C1597" s="87"/>
      <c r="D1597" s="37"/>
      <c r="E1597" s="37"/>
      <c r="F1597" s="87"/>
    </row>
    <row r="1598">
      <c r="A1598" s="147"/>
      <c r="B1598" s="148"/>
      <c r="C1598" s="87"/>
      <c r="D1598" s="37"/>
      <c r="E1598" s="37"/>
      <c r="F1598" s="87"/>
    </row>
    <row r="1599">
      <c r="A1599" s="147"/>
      <c r="B1599" s="148"/>
      <c r="C1599" s="87"/>
      <c r="D1599" s="37"/>
      <c r="E1599" s="37"/>
      <c r="F1599" s="87"/>
    </row>
    <row r="1600">
      <c r="A1600" s="147"/>
      <c r="B1600" s="148"/>
      <c r="C1600" s="87"/>
      <c r="D1600" s="37"/>
      <c r="E1600" s="37"/>
      <c r="F1600" s="87"/>
    </row>
    <row r="1601">
      <c r="A1601" s="147"/>
      <c r="B1601" s="148"/>
      <c r="C1601" s="87"/>
      <c r="D1601" s="37"/>
      <c r="E1601" s="37"/>
      <c r="F1601" s="87"/>
    </row>
    <row r="1602">
      <c r="A1602" s="147"/>
      <c r="B1602" s="148"/>
      <c r="C1602" s="87"/>
      <c r="D1602" s="37"/>
      <c r="E1602" s="37"/>
      <c r="F1602" s="87"/>
    </row>
    <row r="1603">
      <c r="A1603" s="147"/>
      <c r="B1603" s="148"/>
      <c r="C1603" s="87"/>
      <c r="D1603" s="37"/>
      <c r="E1603" s="37"/>
      <c r="F1603" s="87"/>
    </row>
    <row r="1604">
      <c r="A1604" s="147"/>
      <c r="B1604" s="148"/>
      <c r="C1604" s="87"/>
      <c r="D1604" s="37"/>
      <c r="E1604" s="37"/>
      <c r="F1604" s="87"/>
    </row>
    <row r="1605">
      <c r="A1605" s="147"/>
      <c r="B1605" s="148"/>
      <c r="C1605" s="87"/>
      <c r="D1605" s="37"/>
      <c r="E1605" s="37"/>
      <c r="F1605" s="87"/>
    </row>
    <row r="1606">
      <c r="A1606" s="147"/>
      <c r="B1606" s="148"/>
      <c r="C1606" s="87"/>
      <c r="D1606" s="37"/>
      <c r="E1606" s="37"/>
      <c r="F1606" s="87"/>
    </row>
    <row r="1607">
      <c r="A1607" s="147"/>
      <c r="B1607" s="148"/>
      <c r="C1607" s="87"/>
      <c r="D1607" s="37"/>
      <c r="E1607" s="37"/>
      <c r="F1607" s="87"/>
    </row>
    <row r="1608">
      <c r="A1608" s="147"/>
      <c r="B1608" s="148"/>
      <c r="C1608" s="87"/>
      <c r="D1608" s="37"/>
      <c r="E1608" s="37"/>
      <c r="F1608" s="87"/>
    </row>
    <row r="1609">
      <c r="A1609" s="147"/>
      <c r="B1609" s="148"/>
      <c r="C1609" s="87"/>
      <c r="D1609" s="37"/>
      <c r="E1609" s="37"/>
      <c r="F1609" s="87"/>
    </row>
    <row r="1610">
      <c r="A1610" s="147"/>
      <c r="B1610" s="148"/>
      <c r="C1610" s="87"/>
      <c r="D1610" s="37"/>
      <c r="E1610" s="37"/>
      <c r="F1610" s="87"/>
    </row>
    <row r="1611">
      <c r="A1611" s="147"/>
      <c r="B1611" s="148"/>
      <c r="C1611" s="87"/>
      <c r="D1611" s="37"/>
      <c r="E1611" s="37"/>
      <c r="F1611" s="87"/>
    </row>
    <row r="1612">
      <c r="A1612" s="147"/>
      <c r="B1612" s="148"/>
      <c r="C1612" s="87"/>
      <c r="D1612" s="37"/>
      <c r="E1612" s="37"/>
      <c r="F1612" s="87"/>
    </row>
    <row r="1613">
      <c r="A1613" s="147"/>
      <c r="B1613" s="148"/>
      <c r="C1613" s="87"/>
      <c r="D1613" s="37"/>
      <c r="E1613" s="37"/>
      <c r="F1613" s="87"/>
    </row>
    <row r="1614">
      <c r="A1614" s="147"/>
      <c r="B1614" s="148"/>
      <c r="C1614" s="87"/>
      <c r="D1614" s="37"/>
      <c r="E1614" s="37"/>
      <c r="F1614" s="87"/>
    </row>
    <row r="1615">
      <c r="A1615" s="147"/>
      <c r="B1615" s="148"/>
      <c r="C1615" s="87"/>
      <c r="D1615" s="37"/>
      <c r="E1615" s="37"/>
      <c r="F1615" s="87"/>
    </row>
    <row r="1616">
      <c r="A1616" s="147"/>
      <c r="B1616" s="148"/>
      <c r="C1616" s="87"/>
      <c r="D1616" s="37"/>
      <c r="E1616" s="37"/>
      <c r="F1616" s="87"/>
    </row>
    <row r="1617">
      <c r="A1617" s="147"/>
      <c r="B1617" s="148"/>
      <c r="C1617" s="87"/>
      <c r="D1617" s="37"/>
      <c r="E1617" s="37"/>
      <c r="F1617" s="87"/>
    </row>
    <row r="1618">
      <c r="A1618" s="147"/>
      <c r="B1618" s="148"/>
      <c r="C1618" s="87"/>
      <c r="D1618" s="37"/>
      <c r="E1618" s="37"/>
      <c r="F1618" s="87"/>
    </row>
    <row r="1619">
      <c r="A1619" s="147"/>
      <c r="B1619" s="148"/>
      <c r="C1619" s="87"/>
      <c r="D1619" s="37"/>
      <c r="E1619" s="37"/>
      <c r="F1619" s="87"/>
    </row>
    <row r="1620">
      <c r="A1620" s="147"/>
      <c r="B1620" s="148"/>
      <c r="C1620" s="87"/>
      <c r="D1620" s="37"/>
      <c r="E1620" s="37"/>
      <c r="F1620" s="87"/>
    </row>
    <row r="1621">
      <c r="A1621" s="147"/>
      <c r="B1621" s="148"/>
      <c r="C1621" s="87"/>
      <c r="D1621" s="37"/>
      <c r="E1621" s="37"/>
      <c r="F1621" s="87"/>
    </row>
    <row r="1622">
      <c r="A1622" s="147"/>
      <c r="B1622" s="148"/>
      <c r="C1622" s="87"/>
      <c r="D1622" s="37"/>
      <c r="E1622" s="37"/>
      <c r="F1622" s="87"/>
    </row>
    <row r="1623">
      <c r="A1623" s="147"/>
      <c r="B1623" s="148"/>
      <c r="C1623" s="87"/>
      <c r="D1623" s="37"/>
      <c r="E1623" s="37"/>
      <c r="F1623" s="87"/>
    </row>
    <row r="1624">
      <c r="A1624" s="147"/>
      <c r="B1624" s="148"/>
      <c r="C1624" s="87"/>
      <c r="D1624" s="37"/>
      <c r="E1624" s="37"/>
      <c r="F1624" s="87"/>
    </row>
    <row r="1625">
      <c r="A1625" s="147"/>
      <c r="B1625" s="148"/>
      <c r="C1625" s="87"/>
      <c r="D1625" s="37"/>
      <c r="E1625" s="37"/>
      <c r="F1625" s="87"/>
    </row>
    <row r="1626">
      <c r="A1626" s="147"/>
      <c r="B1626" s="148"/>
      <c r="C1626" s="87"/>
      <c r="D1626" s="37"/>
      <c r="E1626" s="37"/>
      <c r="F1626" s="87"/>
    </row>
    <row r="1627">
      <c r="A1627" s="147"/>
      <c r="B1627" s="148"/>
      <c r="C1627" s="87"/>
      <c r="D1627" s="37"/>
      <c r="E1627" s="37"/>
      <c r="F1627" s="87"/>
    </row>
    <row r="1628">
      <c r="A1628" s="147"/>
      <c r="B1628" s="148"/>
      <c r="C1628" s="87"/>
      <c r="D1628" s="37"/>
      <c r="E1628" s="37"/>
      <c r="F1628" s="87"/>
    </row>
    <row r="1629">
      <c r="A1629" s="147"/>
      <c r="B1629" s="148"/>
      <c r="C1629" s="87"/>
      <c r="D1629" s="37"/>
      <c r="E1629" s="37"/>
      <c r="F1629" s="87"/>
    </row>
    <row r="1630">
      <c r="A1630" s="147"/>
      <c r="B1630" s="148"/>
      <c r="C1630" s="87"/>
      <c r="D1630" s="37"/>
      <c r="E1630" s="37"/>
      <c r="F1630" s="87"/>
    </row>
    <row r="1631">
      <c r="A1631" s="147"/>
      <c r="B1631" s="148"/>
      <c r="C1631" s="87"/>
      <c r="D1631" s="37"/>
      <c r="E1631" s="37"/>
      <c r="F1631" s="87"/>
    </row>
    <row r="1632">
      <c r="A1632" s="147"/>
      <c r="B1632" s="148"/>
      <c r="C1632" s="87"/>
      <c r="D1632" s="37"/>
      <c r="E1632" s="37"/>
      <c r="F1632" s="87"/>
    </row>
    <row r="1633">
      <c r="A1633" s="147"/>
      <c r="B1633" s="148"/>
      <c r="C1633" s="87"/>
      <c r="D1633" s="37"/>
      <c r="E1633" s="37"/>
      <c r="F1633" s="87"/>
    </row>
    <row r="1634">
      <c r="A1634" s="147"/>
      <c r="B1634" s="148"/>
      <c r="C1634" s="87"/>
      <c r="D1634" s="37"/>
      <c r="E1634" s="37"/>
      <c r="F1634" s="87"/>
    </row>
    <row r="1635">
      <c r="A1635" s="147"/>
      <c r="B1635" s="148"/>
      <c r="C1635" s="87"/>
      <c r="D1635" s="37"/>
      <c r="E1635" s="37"/>
      <c r="F1635" s="87"/>
    </row>
    <row r="1636">
      <c r="A1636" s="147"/>
      <c r="B1636" s="148"/>
      <c r="C1636" s="87"/>
      <c r="D1636" s="37"/>
      <c r="E1636" s="37"/>
      <c r="F1636" s="87"/>
    </row>
    <row r="1637">
      <c r="A1637" s="147"/>
      <c r="B1637" s="148"/>
      <c r="C1637" s="87"/>
      <c r="D1637" s="37"/>
      <c r="E1637" s="37"/>
      <c r="F1637" s="87"/>
    </row>
    <row r="1638">
      <c r="A1638" s="147"/>
      <c r="B1638" s="148"/>
      <c r="C1638" s="87"/>
      <c r="D1638" s="37"/>
      <c r="E1638" s="37"/>
      <c r="F1638" s="87"/>
    </row>
    <row r="1639">
      <c r="A1639" s="147"/>
      <c r="B1639" s="148"/>
      <c r="C1639" s="87"/>
      <c r="D1639" s="37"/>
      <c r="E1639" s="37"/>
      <c r="F1639" s="87"/>
    </row>
    <row r="1640">
      <c r="A1640" s="147"/>
      <c r="B1640" s="148"/>
      <c r="C1640" s="87"/>
      <c r="D1640" s="37"/>
      <c r="E1640" s="37"/>
      <c r="F1640" s="87"/>
    </row>
    <row r="1641">
      <c r="A1641" s="147"/>
      <c r="B1641" s="148"/>
      <c r="C1641" s="87"/>
      <c r="D1641" s="37"/>
      <c r="E1641" s="37"/>
      <c r="F1641" s="87"/>
    </row>
    <row r="1642">
      <c r="A1642" s="147"/>
      <c r="B1642" s="148"/>
      <c r="C1642" s="87"/>
      <c r="D1642" s="37"/>
      <c r="E1642" s="37"/>
      <c r="F1642" s="87"/>
    </row>
    <row r="1643">
      <c r="A1643" s="147"/>
      <c r="B1643" s="148"/>
      <c r="C1643" s="87"/>
      <c r="D1643" s="37"/>
      <c r="E1643" s="37"/>
      <c r="F1643" s="87"/>
    </row>
    <row r="1644">
      <c r="A1644" s="147"/>
      <c r="B1644" s="148"/>
      <c r="C1644" s="87"/>
      <c r="D1644" s="37"/>
      <c r="E1644" s="37"/>
      <c r="F1644" s="87"/>
    </row>
    <row r="1645">
      <c r="A1645" s="147"/>
      <c r="B1645" s="148"/>
      <c r="C1645" s="87"/>
      <c r="D1645" s="37"/>
      <c r="E1645" s="37"/>
      <c r="F1645" s="87"/>
    </row>
    <row r="1646">
      <c r="A1646" s="147"/>
      <c r="B1646" s="148"/>
      <c r="C1646" s="87"/>
      <c r="D1646" s="37"/>
      <c r="E1646" s="37"/>
      <c r="F1646" s="87"/>
    </row>
    <row r="1647">
      <c r="A1647" s="147"/>
      <c r="B1647" s="148"/>
      <c r="C1647" s="87"/>
      <c r="D1647" s="37"/>
      <c r="E1647" s="37"/>
      <c r="F1647" s="87"/>
    </row>
    <row r="1648">
      <c r="A1648" s="147"/>
      <c r="B1648" s="148"/>
      <c r="C1648" s="87"/>
      <c r="D1648" s="37"/>
      <c r="E1648" s="37"/>
      <c r="F1648" s="87"/>
    </row>
    <row r="1649">
      <c r="A1649" s="147"/>
      <c r="B1649" s="148"/>
      <c r="C1649" s="87"/>
      <c r="D1649" s="37"/>
      <c r="E1649" s="37"/>
      <c r="F1649" s="87"/>
    </row>
    <row r="1650">
      <c r="A1650" s="147"/>
      <c r="B1650" s="148"/>
      <c r="C1650" s="87"/>
      <c r="D1650" s="37"/>
      <c r="E1650" s="37"/>
      <c r="F1650" s="87"/>
    </row>
    <row r="1651">
      <c r="A1651" s="147"/>
      <c r="B1651" s="148"/>
      <c r="C1651" s="87"/>
      <c r="D1651" s="37"/>
      <c r="E1651" s="37"/>
      <c r="F1651" s="87"/>
    </row>
    <row r="1652">
      <c r="A1652" s="147"/>
      <c r="B1652" s="148"/>
      <c r="C1652" s="87"/>
      <c r="D1652" s="37"/>
      <c r="E1652" s="37"/>
      <c r="F1652" s="87"/>
    </row>
    <row r="1653">
      <c r="A1653" s="147"/>
      <c r="B1653" s="148"/>
      <c r="C1653" s="87"/>
      <c r="D1653" s="37"/>
      <c r="E1653" s="37"/>
      <c r="F1653" s="87"/>
    </row>
    <row r="1654">
      <c r="A1654" s="147"/>
      <c r="B1654" s="148"/>
      <c r="C1654" s="87"/>
      <c r="D1654" s="37"/>
      <c r="E1654" s="37"/>
      <c r="F1654" s="87"/>
    </row>
    <row r="1655">
      <c r="A1655" s="147"/>
      <c r="B1655" s="148"/>
      <c r="C1655" s="87"/>
      <c r="D1655" s="37"/>
      <c r="E1655" s="37"/>
      <c r="F1655" s="87"/>
    </row>
    <row r="1656">
      <c r="A1656" s="147"/>
      <c r="B1656" s="148"/>
      <c r="C1656" s="87"/>
      <c r="D1656" s="37"/>
      <c r="E1656" s="37"/>
      <c r="F1656" s="87"/>
    </row>
    <row r="1657">
      <c r="A1657" s="147"/>
      <c r="B1657" s="148"/>
      <c r="C1657" s="87"/>
      <c r="D1657" s="37"/>
      <c r="E1657" s="37"/>
      <c r="F1657" s="87"/>
    </row>
    <row r="1658">
      <c r="A1658" s="147"/>
      <c r="B1658" s="148"/>
      <c r="C1658" s="87"/>
      <c r="D1658" s="37"/>
      <c r="E1658" s="37"/>
      <c r="F1658" s="87"/>
    </row>
    <row r="1659">
      <c r="A1659" s="147"/>
      <c r="B1659" s="148"/>
      <c r="C1659" s="87"/>
      <c r="D1659" s="37"/>
      <c r="E1659" s="37"/>
      <c r="F1659" s="87"/>
    </row>
    <row r="1660">
      <c r="A1660" s="147"/>
      <c r="B1660" s="148"/>
      <c r="C1660" s="87"/>
      <c r="D1660" s="37"/>
      <c r="E1660" s="37"/>
      <c r="F1660" s="87"/>
    </row>
    <row r="1661">
      <c r="A1661" s="147"/>
      <c r="B1661" s="148"/>
      <c r="C1661" s="87"/>
      <c r="D1661" s="37"/>
      <c r="E1661" s="37"/>
      <c r="F1661" s="87"/>
    </row>
    <row r="1662">
      <c r="A1662" s="147"/>
      <c r="B1662" s="148"/>
      <c r="C1662" s="87"/>
      <c r="D1662" s="37"/>
      <c r="E1662" s="37"/>
      <c r="F1662" s="87"/>
    </row>
    <row r="1663">
      <c r="A1663" s="147"/>
      <c r="B1663" s="148"/>
      <c r="C1663" s="87"/>
      <c r="D1663" s="37"/>
      <c r="E1663" s="37"/>
      <c r="F1663" s="87"/>
    </row>
    <row r="1664">
      <c r="A1664" s="147"/>
      <c r="B1664" s="148"/>
      <c r="C1664" s="87"/>
      <c r="D1664" s="37"/>
      <c r="E1664" s="37"/>
      <c r="F1664" s="87"/>
    </row>
    <row r="1665">
      <c r="A1665" s="147"/>
      <c r="B1665" s="148"/>
      <c r="C1665" s="87"/>
      <c r="D1665" s="37"/>
      <c r="E1665" s="37"/>
      <c r="F1665" s="87"/>
    </row>
    <row r="1666">
      <c r="A1666" s="147"/>
      <c r="B1666" s="148"/>
      <c r="C1666" s="87"/>
      <c r="D1666" s="37"/>
      <c r="E1666" s="37"/>
      <c r="F1666" s="87"/>
    </row>
    <row r="1667">
      <c r="A1667" s="147"/>
      <c r="B1667" s="148"/>
      <c r="C1667" s="87"/>
      <c r="D1667" s="37"/>
      <c r="E1667" s="37"/>
      <c r="F1667" s="87"/>
    </row>
    <row r="1668">
      <c r="A1668" s="147"/>
      <c r="B1668" s="148"/>
      <c r="C1668" s="87"/>
      <c r="D1668" s="37"/>
      <c r="E1668" s="37"/>
      <c r="F1668" s="87"/>
    </row>
    <row r="1669">
      <c r="A1669" s="147"/>
      <c r="B1669" s="148"/>
      <c r="C1669" s="87"/>
      <c r="D1669" s="37"/>
      <c r="E1669" s="37"/>
      <c r="F1669" s="87"/>
    </row>
    <row r="1670">
      <c r="A1670" s="147"/>
      <c r="B1670" s="148"/>
      <c r="C1670" s="87"/>
      <c r="D1670" s="37"/>
      <c r="E1670" s="37"/>
      <c r="F1670" s="87"/>
    </row>
    <row r="1671">
      <c r="A1671" s="147"/>
      <c r="B1671" s="148"/>
      <c r="C1671" s="87"/>
      <c r="D1671" s="37"/>
      <c r="E1671" s="37"/>
      <c r="F1671" s="87"/>
    </row>
    <row r="1672">
      <c r="A1672" s="147"/>
      <c r="B1672" s="148"/>
      <c r="C1672" s="87"/>
      <c r="D1672" s="37"/>
      <c r="E1672" s="37"/>
      <c r="F1672" s="87"/>
    </row>
    <row r="1673">
      <c r="A1673" s="147"/>
      <c r="B1673" s="148"/>
      <c r="C1673" s="87"/>
      <c r="D1673" s="37"/>
      <c r="E1673" s="37"/>
      <c r="F1673" s="87"/>
    </row>
    <row r="1674">
      <c r="A1674" s="147"/>
      <c r="B1674" s="148"/>
      <c r="C1674" s="87"/>
      <c r="D1674" s="37"/>
      <c r="E1674" s="37"/>
      <c r="F1674" s="87"/>
    </row>
    <row r="1675">
      <c r="A1675" s="147"/>
      <c r="B1675" s="148"/>
      <c r="C1675" s="87"/>
      <c r="D1675" s="37"/>
      <c r="E1675" s="37"/>
      <c r="F1675" s="87"/>
    </row>
    <row r="1676">
      <c r="A1676" s="147"/>
      <c r="B1676" s="148"/>
      <c r="C1676" s="87"/>
      <c r="D1676" s="37"/>
      <c r="E1676" s="37"/>
      <c r="F1676" s="87"/>
    </row>
    <row r="1677">
      <c r="A1677" s="147"/>
      <c r="B1677" s="148"/>
      <c r="C1677" s="87"/>
      <c r="D1677" s="37"/>
      <c r="E1677" s="37"/>
      <c r="F1677" s="87"/>
    </row>
    <row r="1678">
      <c r="A1678" s="147"/>
      <c r="B1678" s="148"/>
      <c r="C1678" s="87"/>
      <c r="D1678" s="37"/>
      <c r="E1678" s="37"/>
      <c r="F1678" s="87"/>
    </row>
    <row r="1679">
      <c r="A1679" s="147"/>
      <c r="B1679" s="148"/>
      <c r="C1679" s="87"/>
      <c r="D1679" s="37"/>
      <c r="E1679" s="37"/>
      <c r="F1679" s="87"/>
    </row>
    <row r="1680">
      <c r="A1680" s="147"/>
      <c r="B1680" s="148"/>
      <c r="C1680" s="87"/>
      <c r="D1680" s="37"/>
      <c r="E1680" s="37"/>
      <c r="F1680" s="87"/>
    </row>
    <row r="1681">
      <c r="A1681" s="147"/>
      <c r="B1681" s="148"/>
      <c r="C1681" s="87"/>
      <c r="D1681" s="37"/>
      <c r="E1681" s="37"/>
      <c r="F1681" s="87"/>
    </row>
    <row r="1682">
      <c r="A1682" s="147"/>
      <c r="B1682" s="148"/>
      <c r="C1682" s="87"/>
      <c r="D1682" s="37"/>
      <c r="E1682" s="37"/>
      <c r="F1682" s="87"/>
    </row>
    <row r="1683">
      <c r="A1683" s="147"/>
      <c r="B1683" s="148"/>
      <c r="C1683" s="87"/>
      <c r="D1683" s="37"/>
      <c r="E1683" s="37"/>
      <c r="F1683" s="87"/>
    </row>
    <row r="1684">
      <c r="A1684" s="147"/>
      <c r="B1684" s="148"/>
      <c r="C1684" s="87"/>
      <c r="D1684" s="37"/>
      <c r="E1684" s="37"/>
      <c r="F1684" s="87"/>
    </row>
    <row r="1685">
      <c r="A1685" s="147"/>
      <c r="B1685" s="148"/>
      <c r="C1685" s="87"/>
      <c r="D1685" s="37"/>
      <c r="E1685" s="37"/>
      <c r="F1685" s="87"/>
    </row>
    <row r="1686">
      <c r="A1686" s="147"/>
      <c r="B1686" s="148"/>
      <c r="C1686" s="87"/>
      <c r="D1686" s="37"/>
      <c r="E1686" s="37"/>
      <c r="F1686" s="87"/>
    </row>
    <row r="1687">
      <c r="A1687" s="147"/>
      <c r="B1687" s="148"/>
      <c r="C1687" s="87"/>
      <c r="D1687" s="37"/>
      <c r="E1687" s="37"/>
      <c r="F1687" s="87"/>
    </row>
    <row r="1688">
      <c r="A1688" s="147"/>
      <c r="B1688" s="148"/>
      <c r="C1688" s="87"/>
      <c r="D1688" s="37"/>
      <c r="E1688" s="37"/>
      <c r="F1688" s="87"/>
    </row>
    <row r="1689">
      <c r="A1689" s="147"/>
      <c r="B1689" s="148"/>
      <c r="C1689" s="87"/>
      <c r="D1689" s="37"/>
      <c r="E1689" s="37"/>
      <c r="F1689" s="87"/>
    </row>
    <row r="1690">
      <c r="A1690" s="147"/>
      <c r="B1690" s="148"/>
      <c r="C1690" s="87"/>
      <c r="D1690" s="37"/>
      <c r="E1690" s="37"/>
      <c r="F1690" s="87"/>
    </row>
    <row r="1691">
      <c r="A1691" s="147"/>
      <c r="B1691" s="148"/>
      <c r="C1691" s="87"/>
      <c r="D1691" s="37"/>
      <c r="E1691" s="37"/>
      <c r="F1691" s="87"/>
    </row>
    <row r="1692">
      <c r="A1692" s="147"/>
      <c r="B1692" s="148"/>
      <c r="C1692" s="87"/>
      <c r="D1692" s="37"/>
      <c r="E1692" s="37"/>
      <c r="F1692" s="87"/>
    </row>
    <row r="1693">
      <c r="A1693" s="147"/>
      <c r="B1693" s="148"/>
      <c r="C1693" s="87"/>
      <c r="D1693" s="37"/>
      <c r="E1693" s="37"/>
      <c r="F1693" s="87"/>
    </row>
    <row r="1694">
      <c r="A1694" s="147"/>
      <c r="B1694" s="148"/>
      <c r="C1694" s="87"/>
      <c r="D1694" s="37"/>
      <c r="E1694" s="37"/>
      <c r="F1694" s="87"/>
    </row>
    <row r="1695">
      <c r="A1695" s="147"/>
      <c r="B1695" s="148"/>
      <c r="C1695" s="87"/>
      <c r="D1695" s="37"/>
      <c r="E1695" s="37"/>
      <c r="F1695" s="87"/>
    </row>
    <row r="1696">
      <c r="A1696" s="147"/>
      <c r="B1696" s="148"/>
      <c r="C1696" s="87"/>
      <c r="D1696" s="37"/>
      <c r="E1696" s="37"/>
      <c r="F1696" s="87"/>
    </row>
    <row r="1697">
      <c r="A1697" s="147"/>
      <c r="B1697" s="148"/>
      <c r="C1697" s="87"/>
      <c r="D1697" s="37"/>
      <c r="E1697" s="37"/>
      <c r="F1697" s="87"/>
    </row>
    <row r="1698">
      <c r="A1698" s="147"/>
      <c r="B1698" s="148"/>
      <c r="C1698" s="87"/>
      <c r="D1698" s="37"/>
      <c r="E1698" s="37"/>
      <c r="F1698" s="87"/>
    </row>
    <row r="1699">
      <c r="A1699" s="147"/>
      <c r="B1699" s="148"/>
      <c r="C1699" s="87"/>
      <c r="D1699" s="37"/>
      <c r="E1699" s="37"/>
      <c r="F1699" s="87"/>
    </row>
    <row r="1700">
      <c r="A1700" s="147"/>
      <c r="B1700" s="148"/>
      <c r="C1700" s="87"/>
      <c r="D1700" s="37"/>
      <c r="E1700" s="37"/>
      <c r="F1700" s="87"/>
    </row>
    <row r="1701">
      <c r="A1701" s="147"/>
      <c r="B1701" s="148"/>
      <c r="C1701" s="87"/>
      <c r="D1701" s="37"/>
      <c r="E1701" s="37"/>
      <c r="F1701" s="87"/>
    </row>
    <row r="1702">
      <c r="A1702" s="147"/>
      <c r="B1702" s="148"/>
      <c r="C1702" s="87"/>
      <c r="D1702" s="37"/>
      <c r="E1702" s="37"/>
      <c r="F1702" s="87"/>
    </row>
    <row r="1703">
      <c r="A1703" s="147"/>
      <c r="B1703" s="148"/>
      <c r="C1703" s="87"/>
      <c r="D1703" s="37"/>
      <c r="E1703" s="37"/>
      <c r="F1703" s="87"/>
    </row>
    <row r="1704">
      <c r="A1704" s="147"/>
      <c r="B1704" s="148"/>
      <c r="C1704" s="87"/>
      <c r="D1704" s="37"/>
      <c r="E1704" s="37"/>
      <c r="F1704" s="87"/>
    </row>
    <row r="1705">
      <c r="A1705" s="147"/>
      <c r="B1705" s="148"/>
      <c r="C1705" s="87"/>
      <c r="D1705" s="37"/>
      <c r="E1705" s="37"/>
      <c r="F1705" s="87"/>
    </row>
    <row r="1706">
      <c r="A1706" s="147"/>
      <c r="B1706" s="148"/>
      <c r="C1706" s="87"/>
      <c r="D1706" s="37"/>
      <c r="E1706" s="37"/>
      <c r="F1706" s="87"/>
    </row>
    <row r="1707">
      <c r="A1707" s="147"/>
      <c r="B1707" s="148"/>
      <c r="C1707" s="87"/>
      <c r="D1707" s="37"/>
      <c r="E1707" s="37"/>
      <c r="F1707" s="87"/>
    </row>
    <row r="1708">
      <c r="A1708" s="147"/>
      <c r="B1708" s="148"/>
      <c r="C1708" s="87"/>
      <c r="D1708" s="37"/>
      <c r="E1708" s="37"/>
      <c r="F1708" s="87"/>
    </row>
    <row r="1709">
      <c r="A1709" s="147"/>
      <c r="B1709" s="148"/>
      <c r="C1709" s="87"/>
      <c r="D1709" s="37"/>
      <c r="E1709" s="37"/>
      <c r="F1709" s="87"/>
    </row>
    <row r="1710">
      <c r="A1710" s="147"/>
      <c r="B1710" s="148"/>
      <c r="C1710" s="87"/>
      <c r="D1710" s="37"/>
      <c r="E1710" s="37"/>
      <c r="F1710" s="87"/>
    </row>
    <row r="1711">
      <c r="A1711" s="147"/>
      <c r="B1711" s="148"/>
      <c r="C1711" s="87"/>
      <c r="D1711" s="37"/>
      <c r="E1711" s="37"/>
      <c r="F1711" s="87"/>
    </row>
    <row r="1712">
      <c r="A1712" s="147"/>
      <c r="B1712" s="148"/>
      <c r="C1712" s="87"/>
      <c r="D1712" s="37"/>
      <c r="E1712" s="37"/>
      <c r="F1712" s="87"/>
    </row>
    <row r="1713">
      <c r="A1713" s="147"/>
      <c r="B1713" s="148"/>
      <c r="C1713" s="87"/>
      <c r="D1713" s="37"/>
      <c r="E1713" s="37"/>
      <c r="F1713" s="87"/>
    </row>
    <row r="1714">
      <c r="A1714" s="147"/>
      <c r="B1714" s="148"/>
      <c r="C1714" s="87"/>
      <c r="D1714" s="37"/>
      <c r="E1714" s="37"/>
      <c r="F1714" s="87"/>
    </row>
    <row r="1715">
      <c r="A1715" s="147"/>
      <c r="B1715" s="148"/>
      <c r="C1715" s="87"/>
      <c r="D1715" s="37"/>
      <c r="E1715" s="37"/>
      <c r="F1715" s="87"/>
    </row>
    <row r="1716">
      <c r="A1716" s="147"/>
      <c r="B1716" s="148"/>
      <c r="C1716" s="87"/>
      <c r="D1716" s="37"/>
      <c r="E1716" s="37"/>
      <c r="F1716" s="87"/>
    </row>
    <row r="1717">
      <c r="A1717" s="147"/>
      <c r="B1717" s="148"/>
      <c r="C1717" s="87"/>
      <c r="D1717" s="37"/>
      <c r="E1717" s="37"/>
      <c r="F1717" s="87"/>
    </row>
    <row r="1718">
      <c r="A1718" s="147"/>
      <c r="B1718" s="148"/>
      <c r="C1718" s="87"/>
      <c r="D1718" s="37"/>
      <c r="E1718" s="37"/>
      <c r="F1718" s="87"/>
    </row>
    <row r="1719">
      <c r="A1719" s="147"/>
      <c r="B1719" s="148"/>
      <c r="C1719" s="87"/>
      <c r="D1719" s="37"/>
      <c r="E1719" s="37"/>
      <c r="F1719" s="87"/>
    </row>
    <row r="1720">
      <c r="A1720" s="147"/>
      <c r="B1720" s="148"/>
      <c r="C1720" s="87"/>
      <c r="D1720" s="37"/>
      <c r="E1720" s="37"/>
      <c r="F1720" s="87"/>
    </row>
    <row r="1721">
      <c r="A1721" s="147"/>
      <c r="B1721" s="148"/>
      <c r="C1721" s="87"/>
      <c r="D1721" s="37"/>
      <c r="E1721" s="37"/>
      <c r="F1721" s="87"/>
    </row>
    <row r="1722">
      <c r="A1722" s="147"/>
      <c r="B1722" s="148"/>
      <c r="C1722" s="87"/>
      <c r="D1722" s="37"/>
      <c r="E1722" s="37"/>
      <c r="F1722" s="87"/>
    </row>
    <row r="1723">
      <c r="A1723" s="147"/>
      <c r="B1723" s="148"/>
      <c r="C1723" s="87"/>
      <c r="D1723" s="37"/>
      <c r="E1723" s="37"/>
      <c r="F1723" s="87"/>
    </row>
    <row r="1724">
      <c r="A1724" s="147"/>
      <c r="B1724" s="148"/>
      <c r="C1724" s="87"/>
      <c r="D1724" s="37"/>
      <c r="E1724" s="37"/>
      <c r="F1724" s="87"/>
    </row>
    <row r="1725">
      <c r="A1725" s="147"/>
      <c r="B1725" s="148"/>
      <c r="C1725" s="87"/>
      <c r="D1725" s="37"/>
      <c r="E1725" s="37"/>
      <c r="F1725" s="87"/>
    </row>
    <row r="1726">
      <c r="A1726" s="147"/>
      <c r="B1726" s="148"/>
      <c r="C1726" s="87"/>
      <c r="D1726" s="37"/>
      <c r="E1726" s="37"/>
      <c r="F1726" s="87"/>
    </row>
    <row r="1727">
      <c r="A1727" s="147"/>
      <c r="B1727" s="148"/>
      <c r="C1727" s="87"/>
      <c r="D1727" s="37"/>
      <c r="E1727" s="37"/>
      <c r="F1727" s="87"/>
    </row>
    <row r="1728">
      <c r="A1728" s="147"/>
      <c r="B1728" s="148"/>
      <c r="C1728" s="87"/>
      <c r="D1728" s="37"/>
      <c r="E1728" s="37"/>
      <c r="F1728" s="87"/>
    </row>
    <row r="1729">
      <c r="A1729" s="147"/>
      <c r="B1729" s="148"/>
      <c r="C1729" s="87"/>
      <c r="D1729" s="37"/>
      <c r="E1729" s="37"/>
      <c r="F1729" s="87"/>
    </row>
    <row r="1730">
      <c r="A1730" s="147"/>
      <c r="B1730" s="148"/>
      <c r="C1730" s="87"/>
      <c r="D1730" s="37"/>
      <c r="E1730" s="37"/>
      <c r="F1730" s="87"/>
    </row>
    <row r="1731">
      <c r="A1731" s="147"/>
      <c r="B1731" s="148"/>
      <c r="C1731" s="87"/>
      <c r="D1731" s="37"/>
      <c r="E1731" s="37"/>
      <c r="F1731" s="87"/>
    </row>
    <row r="1732">
      <c r="A1732" s="147"/>
      <c r="B1732" s="148"/>
      <c r="C1732" s="87"/>
      <c r="D1732" s="37"/>
      <c r="E1732" s="37"/>
      <c r="F1732" s="87"/>
    </row>
    <row r="1733">
      <c r="A1733" s="147"/>
      <c r="B1733" s="148"/>
      <c r="C1733" s="87"/>
      <c r="D1733" s="37"/>
      <c r="E1733" s="37"/>
      <c r="F1733" s="87"/>
    </row>
    <row r="1734">
      <c r="A1734" s="147"/>
      <c r="B1734" s="148"/>
      <c r="C1734" s="87"/>
      <c r="D1734" s="37"/>
      <c r="E1734" s="37"/>
      <c r="F1734" s="87"/>
    </row>
    <row r="1735">
      <c r="A1735" s="147"/>
      <c r="B1735" s="148"/>
      <c r="C1735" s="87"/>
      <c r="D1735" s="37"/>
      <c r="E1735" s="37"/>
      <c r="F1735" s="87"/>
    </row>
    <row r="1736">
      <c r="A1736" s="147"/>
      <c r="B1736" s="148"/>
      <c r="C1736" s="87"/>
      <c r="D1736" s="37"/>
      <c r="E1736" s="37"/>
      <c r="F1736" s="87"/>
    </row>
    <row r="1737">
      <c r="A1737" s="147"/>
      <c r="B1737" s="148"/>
      <c r="C1737" s="87"/>
      <c r="D1737" s="37"/>
      <c r="E1737" s="37"/>
      <c r="F1737" s="87"/>
    </row>
    <row r="1738">
      <c r="A1738" s="147"/>
      <c r="B1738" s="148"/>
      <c r="C1738" s="87"/>
      <c r="D1738" s="37"/>
      <c r="E1738" s="37"/>
      <c r="F1738" s="87"/>
    </row>
    <row r="1739">
      <c r="A1739" s="147"/>
      <c r="B1739" s="148"/>
      <c r="C1739" s="87"/>
      <c r="D1739" s="37"/>
      <c r="E1739" s="37"/>
      <c r="F1739" s="87"/>
    </row>
    <row r="1740">
      <c r="A1740" s="147"/>
      <c r="B1740" s="148"/>
      <c r="C1740" s="87"/>
      <c r="D1740" s="37"/>
      <c r="E1740" s="37"/>
      <c r="F1740" s="87"/>
    </row>
    <row r="1741">
      <c r="A1741" s="147"/>
      <c r="B1741" s="148"/>
      <c r="C1741" s="87"/>
      <c r="D1741" s="37"/>
      <c r="E1741" s="37"/>
      <c r="F1741" s="87"/>
    </row>
    <row r="1742">
      <c r="A1742" s="147"/>
      <c r="B1742" s="148"/>
      <c r="C1742" s="87"/>
      <c r="D1742" s="37"/>
      <c r="E1742" s="37"/>
      <c r="F1742" s="87"/>
    </row>
    <row r="1743">
      <c r="A1743" s="147"/>
      <c r="B1743" s="148"/>
      <c r="C1743" s="87"/>
      <c r="D1743" s="37"/>
      <c r="E1743" s="37"/>
      <c r="F1743" s="87"/>
    </row>
    <row r="1744">
      <c r="A1744" s="147"/>
      <c r="B1744" s="148"/>
      <c r="C1744" s="87"/>
      <c r="D1744" s="37"/>
      <c r="E1744" s="37"/>
      <c r="F1744" s="87"/>
    </row>
    <row r="1745">
      <c r="A1745" s="147"/>
      <c r="B1745" s="148"/>
      <c r="C1745" s="87"/>
      <c r="D1745" s="37"/>
      <c r="E1745" s="37"/>
      <c r="F1745" s="87"/>
    </row>
    <row r="1746">
      <c r="A1746" s="147"/>
      <c r="B1746" s="148"/>
      <c r="C1746" s="87"/>
      <c r="D1746" s="37"/>
      <c r="E1746" s="37"/>
      <c r="F1746" s="87"/>
    </row>
    <row r="1747">
      <c r="A1747" s="147"/>
      <c r="B1747" s="148"/>
      <c r="C1747" s="87"/>
      <c r="D1747" s="37"/>
      <c r="E1747" s="37"/>
      <c r="F1747" s="87"/>
    </row>
    <row r="1748">
      <c r="A1748" s="147"/>
      <c r="B1748" s="148"/>
      <c r="C1748" s="87"/>
      <c r="D1748" s="37"/>
      <c r="E1748" s="37"/>
      <c r="F1748" s="87"/>
    </row>
    <row r="1749">
      <c r="A1749" s="147"/>
      <c r="B1749" s="148"/>
      <c r="C1749" s="87"/>
      <c r="D1749" s="37"/>
      <c r="E1749" s="37"/>
      <c r="F1749" s="87"/>
    </row>
    <row r="1750">
      <c r="A1750" s="147"/>
      <c r="B1750" s="148"/>
      <c r="C1750" s="87"/>
      <c r="D1750" s="37"/>
      <c r="E1750" s="37"/>
      <c r="F1750" s="87"/>
    </row>
    <row r="1751">
      <c r="A1751" s="147"/>
      <c r="B1751" s="148"/>
      <c r="C1751" s="87"/>
      <c r="D1751" s="37"/>
      <c r="E1751" s="37"/>
      <c r="F1751" s="87"/>
    </row>
    <row r="1752">
      <c r="A1752" s="147"/>
      <c r="B1752" s="148"/>
      <c r="C1752" s="87"/>
      <c r="D1752" s="37"/>
      <c r="E1752" s="37"/>
      <c r="F1752" s="87"/>
    </row>
    <row r="1753">
      <c r="A1753" s="147"/>
      <c r="B1753" s="148"/>
      <c r="C1753" s="87"/>
      <c r="D1753" s="37"/>
      <c r="E1753" s="37"/>
      <c r="F1753" s="87"/>
    </row>
    <row r="1754">
      <c r="A1754" s="147"/>
      <c r="B1754" s="148"/>
      <c r="C1754" s="87"/>
      <c r="D1754" s="37"/>
      <c r="E1754" s="37"/>
      <c r="F1754" s="87"/>
    </row>
    <row r="1755">
      <c r="A1755" s="147"/>
      <c r="B1755" s="148"/>
      <c r="C1755" s="87"/>
      <c r="D1755" s="37"/>
      <c r="E1755" s="37"/>
      <c r="F1755" s="87"/>
    </row>
    <row r="1756">
      <c r="A1756" s="147"/>
      <c r="B1756" s="148"/>
      <c r="C1756" s="87"/>
      <c r="D1756" s="37"/>
      <c r="E1756" s="37"/>
      <c r="F1756" s="87"/>
    </row>
    <row r="1757">
      <c r="A1757" s="147"/>
      <c r="B1757" s="148"/>
      <c r="C1757" s="87"/>
      <c r="D1757" s="37"/>
      <c r="E1757" s="37"/>
      <c r="F1757" s="87"/>
    </row>
    <row r="1758">
      <c r="A1758" s="147"/>
      <c r="B1758" s="148"/>
      <c r="C1758" s="87"/>
      <c r="D1758" s="37"/>
      <c r="E1758" s="37"/>
      <c r="F1758" s="87"/>
    </row>
    <row r="1759">
      <c r="A1759" s="147"/>
      <c r="B1759" s="148"/>
      <c r="C1759" s="87"/>
      <c r="D1759" s="37"/>
      <c r="E1759" s="37"/>
      <c r="F1759" s="87"/>
    </row>
    <row r="1760">
      <c r="A1760" s="147"/>
      <c r="B1760" s="148"/>
      <c r="C1760" s="87"/>
      <c r="D1760" s="37"/>
      <c r="E1760" s="37"/>
      <c r="F1760" s="87"/>
    </row>
    <row r="1761">
      <c r="A1761" s="147"/>
      <c r="B1761" s="148"/>
      <c r="C1761" s="87"/>
      <c r="D1761" s="37"/>
      <c r="E1761" s="37"/>
      <c r="F1761" s="87"/>
    </row>
    <row r="1762">
      <c r="A1762" s="147"/>
      <c r="B1762" s="148"/>
      <c r="C1762" s="87"/>
      <c r="D1762" s="37"/>
      <c r="E1762" s="37"/>
      <c r="F1762" s="87"/>
    </row>
    <row r="1763">
      <c r="A1763" s="147"/>
      <c r="B1763" s="148"/>
      <c r="C1763" s="87"/>
      <c r="D1763" s="37"/>
      <c r="E1763" s="37"/>
      <c r="F1763" s="87"/>
    </row>
    <row r="1764">
      <c r="A1764" s="147"/>
      <c r="B1764" s="148"/>
      <c r="C1764" s="87"/>
      <c r="D1764" s="37"/>
      <c r="E1764" s="37"/>
      <c r="F1764" s="87"/>
    </row>
    <row r="1765">
      <c r="A1765" s="147"/>
      <c r="B1765" s="148"/>
      <c r="C1765" s="87"/>
      <c r="D1765" s="37"/>
      <c r="E1765" s="37"/>
      <c r="F1765" s="87"/>
    </row>
    <row r="1766">
      <c r="A1766" s="147"/>
      <c r="B1766" s="148"/>
      <c r="C1766" s="87"/>
      <c r="D1766" s="37"/>
      <c r="E1766" s="37"/>
      <c r="F1766" s="87"/>
    </row>
    <row r="1767">
      <c r="A1767" s="147"/>
      <c r="B1767" s="148"/>
      <c r="C1767" s="87"/>
      <c r="D1767" s="37"/>
      <c r="E1767" s="37"/>
      <c r="F1767" s="87"/>
    </row>
    <row r="1768">
      <c r="A1768" s="147"/>
      <c r="B1768" s="148"/>
      <c r="C1768" s="87"/>
      <c r="D1768" s="37"/>
      <c r="E1768" s="37"/>
      <c r="F1768" s="87"/>
    </row>
    <row r="1769">
      <c r="A1769" s="147"/>
      <c r="B1769" s="148"/>
      <c r="C1769" s="87"/>
      <c r="D1769" s="37"/>
      <c r="E1769" s="37"/>
      <c r="F1769" s="87"/>
    </row>
    <row r="1770">
      <c r="A1770" s="147"/>
      <c r="B1770" s="148"/>
      <c r="C1770" s="87"/>
      <c r="D1770" s="37"/>
      <c r="E1770" s="37"/>
      <c r="F1770" s="87"/>
    </row>
    <row r="1771">
      <c r="A1771" s="147"/>
      <c r="B1771" s="148"/>
      <c r="C1771" s="87"/>
      <c r="D1771" s="37"/>
      <c r="E1771" s="37"/>
      <c r="F1771" s="87"/>
    </row>
    <row r="1772">
      <c r="A1772" s="147"/>
      <c r="B1772" s="148"/>
      <c r="C1772" s="87"/>
      <c r="D1772" s="37"/>
      <c r="E1772" s="37"/>
      <c r="F1772" s="87"/>
    </row>
    <row r="1773">
      <c r="A1773" s="147"/>
      <c r="B1773" s="148"/>
      <c r="C1773" s="87"/>
      <c r="D1773" s="37"/>
      <c r="E1773" s="37"/>
      <c r="F1773" s="87"/>
    </row>
    <row r="1774">
      <c r="A1774" s="147"/>
      <c r="B1774" s="148"/>
      <c r="C1774" s="87"/>
      <c r="D1774" s="37"/>
      <c r="E1774" s="37"/>
      <c r="F1774" s="87"/>
    </row>
    <row r="1775">
      <c r="A1775" s="147"/>
      <c r="B1775" s="148"/>
      <c r="C1775" s="87"/>
      <c r="D1775" s="37"/>
      <c r="E1775" s="37"/>
      <c r="F1775" s="87"/>
    </row>
    <row r="1776">
      <c r="A1776" s="147"/>
      <c r="B1776" s="148"/>
      <c r="C1776" s="87"/>
      <c r="D1776" s="37"/>
      <c r="E1776" s="37"/>
      <c r="F1776" s="87"/>
    </row>
    <row r="1777">
      <c r="A1777" s="147"/>
      <c r="B1777" s="148"/>
      <c r="C1777" s="87"/>
      <c r="D1777" s="37"/>
      <c r="E1777" s="37"/>
      <c r="F1777" s="87"/>
    </row>
    <row r="1778">
      <c r="A1778" s="147"/>
      <c r="B1778" s="148"/>
      <c r="C1778" s="87"/>
      <c r="D1778" s="37"/>
      <c r="E1778" s="37"/>
      <c r="F1778" s="87"/>
    </row>
    <row r="1779">
      <c r="A1779" s="147"/>
      <c r="B1779" s="148"/>
      <c r="C1779" s="87"/>
      <c r="D1779" s="37"/>
      <c r="E1779" s="37"/>
      <c r="F1779" s="87"/>
    </row>
    <row r="1780">
      <c r="A1780" s="147"/>
      <c r="B1780" s="148"/>
      <c r="C1780" s="87"/>
      <c r="D1780" s="37"/>
      <c r="E1780" s="37"/>
      <c r="F1780" s="87"/>
    </row>
    <row r="1781">
      <c r="A1781" s="147"/>
      <c r="B1781" s="148"/>
      <c r="C1781" s="87"/>
      <c r="D1781" s="37"/>
      <c r="E1781" s="37"/>
      <c r="F1781" s="87"/>
    </row>
    <row r="1782">
      <c r="A1782" s="147"/>
      <c r="B1782" s="148"/>
      <c r="C1782" s="87"/>
      <c r="D1782" s="37"/>
      <c r="E1782" s="37"/>
      <c r="F1782" s="87"/>
    </row>
    <row r="1783">
      <c r="A1783" s="147"/>
      <c r="B1783" s="148"/>
      <c r="C1783" s="87"/>
      <c r="D1783" s="37"/>
      <c r="E1783" s="37"/>
      <c r="F1783" s="87"/>
    </row>
    <row r="1784">
      <c r="A1784" s="147"/>
      <c r="B1784" s="148"/>
      <c r="C1784" s="87"/>
      <c r="D1784" s="37"/>
      <c r="E1784" s="37"/>
      <c r="F1784" s="87"/>
    </row>
    <row r="1785">
      <c r="A1785" s="147"/>
      <c r="B1785" s="148"/>
      <c r="C1785" s="87"/>
      <c r="D1785" s="37"/>
      <c r="E1785" s="37"/>
      <c r="F1785" s="87"/>
    </row>
    <row r="1786">
      <c r="A1786" s="147"/>
      <c r="B1786" s="148"/>
      <c r="C1786" s="87"/>
      <c r="D1786" s="37"/>
      <c r="E1786" s="37"/>
      <c r="F1786" s="87"/>
    </row>
    <row r="1787">
      <c r="A1787" s="147"/>
      <c r="B1787" s="148"/>
      <c r="C1787" s="87"/>
      <c r="D1787" s="37"/>
      <c r="E1787" s="37"/>
      <c r="F1787" s="87"/>
    </row>
    <row r="1788">
      <c r="A1788" s="147"/>
      <c r="B1788" s="148"/>
      <c r="C1788" s="87"/>
      <c r="D1788" s="37"/>
      <c r="E1788" s="37"/>
      <c r="F1788" s="87"/>
    </row>
    <row r="1789">
      <c r="A1789" s="147"/>
      <c r="B1789" s="148"/>
      <c r="C1789" s="87"/>
      <c r="D1789" s="37"/>
      <c r="E1789" s="37"/>
      <c r="F1789" s="87"/>
    </row>
    <row r="1790">
      <c r="A1790" s="147"/>
      <c r="B1790" s="148"/>
      <c r="C1790" s="87"/>
      <c r="D1790" s="37"/>
      <c r="E1790" s="37"/>
      <c r="F1790" s="87"/>
    </row>
    <row r="1791">
      <c r="A1791" s="147"/>
      <c r="B1791" s="148"/>
      <c r="C1791" s="87"/>
      <c r="D1791" s="37"/>
      <c r="E1791" s="37"/>
      <c r="F1791" s="87"/>
    </row>
    <row r="1792">
      <c r="A1792" s="147"/>
      <c r="B1792" s="148"/>
      <c r="C1792" s="87"/>
      <c r="D1792" s="37"/>
      <c r="E1792" s="37"/>
      <c r="F1792" s="87"/>
    </row>
    <row r="1793">
      <c r="A1793" s="147"/>
      <c r="B1793" s="148"/>
      <c r="C1793" s="87"/>
      <c r="D1793" s="37"/>
      <c r="E1793" s="37"/>
      <c r="F1793" s="87"/>
    </row>
    <row r="1794">
      <c r="A1794" s="147"/>
      <c r="B1794" s="148"/>
      <c r="C1794" s="87"/>
      <c r="D1794" s="37"/>
      <c r="E1794" s="37"/>
      <c r="F1794" s="87"/>
    </row>
    <row r="1795">
      <c r="A1795" s="147"/>
      <c r="B1795" s="148"/>
      <c r="C1795" s="87"/>
      <c r="D1795" s="37"/>
      <c r="E1795" s="37"/>
      <c r="F1795" s="87"/>
    </row>
    <row r="1796">
      <c r="A1796" s="147"/>
      <c r="B1796" s="148"/>
      <c r="C1796" s="87"/>
      <c r="D1796" s="37"/>
      <c r="E1796" s="37"/>
      <c r="F1796" s="87"/>
    </row>
    <row r="1797">
      <c r="A1797" s="147"/>
      <c r="B1797" s="148"/>
      <c r="C1797" s="87"/>
      <c r="D1797" s="37"/>
      <c r="E1797" s="37"/>
      <c r="F1797" s="87"/>
    </row>
    <row r="1798">
      <c r="A1798" s="147"/>
      <c r="B1798" s="148"/>
      <c r="C1798" s="87"/>
      <c r="D1798" s="37"/>
      <c r="E1798" s="37"/>
      <c r="F1798" s="87"/>
    </row>
    <row r="1799">
      <c r="A1799" s="147"/>
      <c r="B1799" s="148"/>
      <c r="C1799" s="87"/>
      <c r="D1799" s="37"/>
      <c r="E1799" s="37"/>
      <c r="F1799" s="87"/>
    </row>
    <row r="1800">
      <c r="A1800" s="147"/>
      <c r="B1800" s="148"/>
      <c r="C1800" s="87"/>
      <c r="D1800" s="37"/>
      <c r="E1800" s="37"/>
      <c r="F1800" s="87"/>
    </row>
    <row r="1801">
      <c r="A1801" s="147"/>
      <c r="B1801" s="148"/>
      <c r="C1801" s="87"/>
      <c r="D1801" s="37"/>
      <c r="E1801" s="37"/>
      <c r="F1801" s="87"/>
    </row>
    <row r="1802">
      <c r="A1802" s="147"/>
      <c r="B1802" s="148"/>
      <c r="C1802" s="87"/>
      <c r="D1802" s="37"/>
      <c r="E1802" s="37"/>
      <c r="F1802" s="87"/>
    </row>
    <row r="1803">
      <c r="A1803" s="147"/>
      <c r="B1803" s="148"/>
      <c r="C1803" s="87"/>
      <c r="D1803" s="37"/>
      <c r="E1803" s="37"/>
      <c r="F1803" s="87"/>
    </row>
    <row r="1804">
      <c r="A1804" s="147"/>
      <c r="B1804" s="148"/>
      <c r="C1804" s="87"/>
      <c r="D1804" s="37"/>
      <c r="E1804" s="37"/>
      <c r="F1804" s="87"/>
    </row>
    <row r="1805">
      <c r="A1805" s="147"/>
      <c r="B1805" s="148"/>
      <c r="C1805" s="87"/>
      <c r="D1805" s="37"/>
      <c r="E1805" s="37"/>
      <c r="F1805" s="87"/>
    </row>
    <row r="1806">
      <c r="A1806" s="147"/>
      <c r="B1806" s="148"/>
      <c r="C1806" s="87"/>
      <c r="D1806" s="37"/>
      <c r="E1806" s="37"/>
      <c r="F1806" s="87"/>
    </row>
    <row r="1807">
      <c r="A1807" s="147"/>
      <c r="B1807" s="148"/>
      <c r="C1807" s="87"/>
      <c r="D1807" s="37"/>
      <c r="E1807" s="37"/>
      <c r="F1807" s="87"/>
    </row>
    <row r="1808">
      <c r="A1808" s="147"/>
      <c r="B1808" s="148"/>
      <c r="C1808" s="87"/>
      <c r="D1808" s="37"/>
      <c r="E1808" s="37"/>
      <c r="F1808" s="87"/>
    </row>
    <row r="1809">
      <c r="A1809" s="147"/>
      <c r="B1809" s="148"/>
      <c r="C1809" s="87"/>
      <c r="D1809" s="37"/>
      <c r="E1809" s="37"/>
      <c r="F1809" s="87"/>
    </row>
    <row r="1810">
      <c r="A1810" s="147"/>
      <c r="B1810" s="148"/>
      <c r="C1810" s="87"/>
      <c r="D1810" s="37"/>
      <c r="E1810" s="37"/>
      <c r="F1810" s="87"/>
    </row>
    <row r="1811">
      <c r="A1811" s="147"/>
      <c r="B1811" s="148"/>
      <c r="C1811" s="87"/>
      <c r="D1811" s="37"/>
      <c r="E1811" s="37"/>
      <c r="F1811" s="87"/>
    </row>
    <row r="1812">
      <c r="A1812" s="147"/>
      <c r="B1812" s="148"/>
      <c r="C1812" s="87"/>
      <c r="D1812" s="37"/>
      <c r="E1812" s="37"/>
      <c r="F1812" s="87"/>
    </row>
    <row r="1813">
      <c r="A1813" s="147"/>
      <c r="B1813" s="148"/>
      <c r="C1813" s="87"/>
      <c r="D1813" s="37"/>
      <c r="E1813" s="37"/>
      <c r="F1813" s="87"/>
    </row>
    <row r="1814">
      <c r="A1814" s="147"/>
      <c r="B1814" s="148"/>
      <c r="C1814" s="87"/>
      <c r="D1814" s="37"/>
      <c r="E1814" s="37"/>
      <c r="F1814" s="87"/>
    </row>
    <row r="1815">
      <c r="A1815" s="147"/>
      <c r="B1815" s="148"/>
      <c r="C1815" s="87"/>
      <c r="D1815" s="37"/>
      <c r="E1815" s="37"/>
      <c r="F1815" s="87"/>
    </row>
    <row r="1816">
      <c r="A1816" s="147"/>
      <c r="B1816" s="148"/>
      <c r="C1816" s="87"/>
      <c r="D1816" s="37"/>
      <c r="E1816" s="37"/>
      <c r="F1816" s="87"/>
    </row>
    <row r="1817">
      <c r="A1817" s="147"/>
      <c r="B1817" s="148"/>
      <c r="C1817" s="87"/>
      <c r="D1817" s="37"/>
      <c r="E1817" s="37"/>
      <c r="F1817" s="87"/>
    </row>
    <row r="1818">
      <c r="A1818" s="147"/>
      <c r="B1818" s="148"/>
      <c r="C1818" s="87"/>
      <c r="D1818" s="37"/>
      <c r="E1818" s="37"/>
      <c r="F1818" s="87"/>
    </row>
    <row r="1819">
      <c r="A1819" s="147"/>
      <c r="B1819" s="148"/>
      <c r="C1819" s="87"/>
      <c r="D1819" s="37"/>
      <c r="E1819" s="37"/>
      <c r="F1819" s="87"/>
    </row>
    <row r="1820">
      <c r="A1820" s="147"/>
      <c r="B1820" s="148"/>
      <c r="C1820" s="87"/>
      <c r="D1820" s="37"/>
      <c r="E1820" s="37"/>
      <c r="F1820" s="87"/>
    </row>
    <row r="1821">
      <c r="A1821" s="147"/>
      <c r="B1821" s="148"/>
      <c r="C1821" s="87"/>
      <c r="D1821" s="37"/>
      <c r="E1821" s="37"/>
      <c r="F1821" s="87"/>
    </row>
    <row r="1822">
      <c r="A1822" s="147"/>
      <c r="B1822" s="148"/>
      <c r="C1822" s="87"/>
      <c r="D1822" s="37"/>
      <c r="E1822" s="37"/>
      <c r="F1822" s="87"/>
    </row>
    <row r="1823">
      <c r="A1823" s="147"/>
      <c r="B1823" s="148"/>
      <c r="C1823" s="87"/>
      <c r="D1823" s="37"/>
      <c r="E1823" s="37"/>
      <c r="F1823" s="87"/>
    </row>
    <row r="1824">
      <c r="A1824" s="147"/>
      <c r="B1824" s="148"/>
      <c r="C1824" s="87"/>
      <c r="D1824" s="37"/>
      <c r="E1824" s="37"/>
      <c r="F1824" s="87"/>
    </row>
    <row r="1825">
      <c r="A1825" s="147"/>
      <c r="B1825" s="148"/>
      <c r="C1825" s="87"/>
      <c r="D1825" s="37"/>
      <c r="E1825" s="37"/>
      <c r="F1825" s="87"/>
    </row>
    <row r="1826">
      <c r="A1826" s="147"/>
      <c r="B1826" s="148"/>
      <c r="C1826" s="87"/>
      <c r="D1826" s="37"/>
      <c r="E1826" s="37"/>
      <c r="F1826" s="87"/>
    </row>
    <row r="1827">
      <c r="A1827" s="147"/>
      <c r="B1827" s="148"/>
      <c r="C1827" s="87"/>
      <c r="D1827" s="37"/>
      <c r="E1827" s="37"/>
      <c r="F1827" s="87"/>
    </row>
    <row r="1828">
      <c r="A1828" s="147"/>
      <c r="B1828" s="148"/>
      <c r="C1828" s="87"/>
      <c r="D1828" s="37"/>
      <c r="E1828" s="37"/>
      <c r="F1828" s="87"/>
    </row>
    <row r="1829">
      <c r="A1829" s="147"/>
      <c r="B1829" s="148"/>
      <c r="C1829" s="87"/>
      <c r="D1829" s="37"/>
      <c r="E1829" s="37"/>
      <c r="F1829" s="87"/>
    </row>
    <row r="1830">
      <c r="A1830" s="147"/>
      <c r="B1830" s="148"/>
      <c r="C1830" s="87"/>
      <c r="D1830" s="37"/>
      <c r="E1830" s="37"/>
      <c r="F1830" s="87"/>
    </row>
    <row r="1831">
      <c r="A1831" s="147"/>
      <c r="B1831" s="148"/>
      <c r="C1831" s="87"/>
      <c r="D1831" s="37"/>
      <c r="E1831" s="37"/>
      <c r="F1831" s="87"/>
    </row>
    <row r="1832">
      <c r="A1832" s="147"/>
      <c r="B1832" s="148"/>
      <c r="C1832" s="87"/>
      <c r="D1832" s="37"/>
      <c r="E1832" s="37"/>
      <c r="F1832" s="87"/>
    </row>
    <row r="1833">
      <c r="A1833" s="147"/>
      <c r="B1833" s="148"/>
      <c r="C1833" s="87"/>
      <c r="D1833" s="37"/>
      <c r="E1833" s="37"/>
      <c r="F1833" s="87"/>
    </row>
    <row r="1834">
      <c r="A1834" s="147"/>
      <c r="B1834" s="148"/>
      <c r="C1834" s="87"/>
      <c r="D1834" s="37"/>
      <c r="E1834" s="37"/>
      <c r="F1834" s="87"/>
    </row>
    <row r="1835">
      <c r="A1835" s="147"/>
      <c r="B1835" s="148"/>
      <c r="C1835" s="87"/>
      <c r="D1835" s="37"/>
      <c r="E1835" s="37"/>
      <c r="F1835" s="87"/>
    </row>
    <row r="1836">
      <c r="A1836" s="147"/>
      <c r="B1836" s="148"/>
      <c r="C1836" s="87"/>
      <c r="D1836" s="37"/>
      <c r="E1836" s="37"/>
      <c r="F1836" s="87"/>
    </row>
    <row r="1837">
      <c r="A1837" s="147"/>
      <c r="B1837" s="148"/>
      <c r="C1837" s="87"/>
      <c r="D1837" s="37"/>
      <c r="E1837" s="37"/>
      <c r="F1837" s="87"/>
    </row>
    <row r="1838">
      <c r="A1838" s="147"/>
      <c r="B1838" s="148"/>
      <c r="C1838" s="87"/>
      <c r="D1838" s="37"/>
      <c r="E1838" s="37"/>
      <c r="F1838" s="87"/>
    </row>
    <row r="1839">
      <c r="A1839" s="147"/>
      <c r="B1839" s="148"/>
      <c r="C1839" s="87"/>
      <c r="D1839" s="37"/>
      <c r="E1839" s="37"/>
      <c r="F1839" s="87"/>
    </row>
    <row r="1840">
      <c r="A1840" s="147"/>
      <c r="B1840" s="148"/>
      <c r="C1840" s="87"/>
      <c r="D1840" s="37"/>
      <c r="E1840" s="37"/>
      <c r="F1840" s="87"/>
    </row>
    <row r="1841">
      <c r="A1841" s="147"/>
      <c r="B1841" s="148"/>
      <c r="C1841" s="87"/>
      <c r="D1841" s="37"/>
      <c r="E1841" s="37"/>
      <c r="F1841" s="87"/>
    </row>
    <row r="1842">
      <c r="A1842" s="147"/>
      <c r="B1842" s="148"/>
      <c r="C1842" s="87"/>
      <c r="D1842" s="37"/>
      <c r="E1842" s="37"/>
      <c r="F1842" s="87"/>
    </row>
    <row r="1843">
      <c r="A1843" s="147"/>
      <c r="B1843" s="148"/>
      <c r="C1843" s="87"/>
      <c r="D1843" s="37"/>
      <c r="E1843" s="37"/>
      <c r="F1843" s="87"/>
    </row>
    <row r="1844">
      <c r="A1844" s="147"/>
      <c r="B1844" s="148"/>
      <c r="C1844" s="87"/>
      <c r="D1844" s="37"/>
      <c r="E1844" s="37"/>
      <c r="F1844" s="87"/>
    </row>
    <row r="1845">
      <c r="A1845" s="147"/>
      <c r="B1845" s="148"/>
      <c r="C1845" s="87"/>
      <c r="D1845" s="37"/>
      <c r="E1845" s="37"/>
      <c r="F1845" s="87"/>
    </row>
    <row r="1846">
      <c r="A1846" s="147"/>
      <c r="B1846" s="148"/>
      <c r="C1846" s="87"/>
      <c r="D1846" s="37"/>
      <c r="E1846" s="37"/>
      <c r="F1846" s="87"/>
    </row>
    <row r="1847">
      <c r="A1847" s="147"/>
      <c r="B1847" s="148"/>
      <c r="C1847" s="87"/>
      <c r="D1847" s="37"/>
      <c r="E1847" s="37"/>
      <c r="F1847" s="87"/>
    </row>
    <row r="1848">
      <c r="A1848" s="147"/>
      <c r="B1848" s="148"/>
      <c r="C1848" s="87"/>
      <c r="D1848" s="37"/>
      <c r="E1848" s="37"/>
      <c r="F1848" s="87"/>
    </row>
    <row r="1849">
      <c r="A1849" s="147"/>
      <c r="B1849" s="148"/>
      <c r="C1849" s="87"/>
      <c r="D1849" s="37"/>
      <c r="E1849" s="37"/>
      <c r="F1849" s="87"/>
    </row>
    <row r="1850">
      <c r="A1850" s="147"/>
      <c r="B1850" s="148"/>
      <c r="C1850" s="87"/>
      <c r="D1850" s="37"/>
      <c r="E1850" s="37"/>
      <c r="F1850" s="87"/>
    </row>
    <row r="1851">
      <c r="A1851" s="147"/>
      <c r="B1851" s="148"/>
      <c r="C1851" s="87"/>
      <c r="D1851" s="37"/>
      <c r="E1851" s="37"/>
      <c r="F1851" s="87"/>
    </row>
    <row r="1852">
      <c r="A1852" s="147"/>
      <c r="B1852" s="148"/>
      <c r="C1852" s="87"/>
      <c r="D1852" s="37"/>
      <c r="E1852" s="37"/>
      <c r="F1852" s="87"/>
    </row>
    <row r="1853">
      <c r="A1853" s="147"/>
      <c r="B1853" s="148"/>
      <c r="C1853" s="87"/>
      <c r="D1853" s="37"/>
      <c r="E1853" s="37"/>
      <c r="F1853" s="87"/>
    </row>
    <row r="1854">
      <c r="A1854" s="147"/>
      <c r="B1854" s="148"/>
      <c r="C1854" s="87"/>
      <c r="D1854" s="37"/>
      <c r="E1854" s="37"/>
      <c r="F1854" s="87"/>
    </row>
    <row r="1855">
      <c r="A1855" s="147"/>
      <c r="B1855" s="148"/>
      <c r="C1855" s="87"/>
      <c r="D1855" s="37"/>
      <c r="E1855" s="37"/>
      <c r="F1855" s="87"/>
    </row>
    <row r="1856">
      <c r="A1856" s="147"/>
      <c r="B1856" s="148"/>
      <c r="C1856" s="87"/>
      <c r="D1856" s="37"/>
      <c r="E1856" s="37"/>
      <c r="F1856" s="87"/>
    </row>
    <row r="1857">
      <c r="A1857" s="147"/>
      <c r="B1857" s="148"/>
      <c r="C1857" s="87"/>
      <c r="D1857" s="37"/>
      <c r="E1857" s="37"/>
      <c r="F1857" s="87"/>
    </row>
    <row r="1858">
      <c r="A1858" s="147"/>
      <c r="B1858" s="148"/>
      <c r="C1858" s="87"/>
      <c r="D1858" s="37"/>
      <c r="E1858" s="37"/>
      <c r="F1858" s="87"/>
    </row>
    <row r="1859">
      <c r="A1859" s="147"/>
      <c r="B1859" s="148"/>
      <c r="C1859" s="87"/>
      <c r="D1859" s="37"/>
      <c r="E1859" s="37"/>
      <c r="F1859" s="87"/>
    </row>
    <row r="1860">
      <c r="A1860" s="147"/>
      <c r="B1860" s="148"/>
      <c r="C1860" s="87"/>
      <c r="D1860" s="37"/>
      <c r="E1860" s="37"/>
      <c r="F1860" s="87"/>
    </row>
    <row r="1861">
      <c r="A1861" s="147"/>
      <c r="B1861" s="148"/>
      <c r="C1861" s="87"/>
      <c r="D1861" s="37"/>
      <c r="E1861" s="37"/>
      <c r="F1861" s="87"/>
    </row>
    <row r="1862">
      <c r="A1862" s="147"/>
      <c r="B1862" s="148"/>
      <c r="C1862" s="87"/>
      <c r="D1862" s="37"/>
      <c r="E1862" s="37"/>
      <c r="F1862" s="87"/>
    </row>
    <row r="1863">
      <c r="A1863" s="147"/>
      <c r="B1863" s="148"/>
      <c r="C1863" s="87"/>
      <c r="D1863" s="37"/>
      <c r="E1863" s="37"/>
      <c r="F1863" s="87"/>
    </row>
    <row r="1864">
      <c r="A1864" s="147"/>
      <c r="B1864" s="148"/>
      <c r="C1864" s="87"/>
      <c r="D1864" s="37"/>
      <c r="E1864" s="37"/>
      <c r="F1864" s="87"/>
    </row>
    <row r="1865">
      <c r="A1865" s="147"/>
      <c r="B1865" s="148"/>
      <c r="C1865" s="87"/>
      <c r="D1865" s="37"/>
      <c r="E1865" s="37"/>
      <c r="F1865" s="87"/>
    </row>
    <row r="1866">
      <c r="A1866" s="147"/>
      <c r="B1866" s="148"/>
      <c r="C1866" s="87"/>
      <c r="D1866" s="37"/>
      <c r="E1866" s="37"/>
      <c r="F1866" s="87"/>
    </row>
    <row r="1867">
      <c r="A1867" s="147"/>
      <c r="B1867" s="148"/>
      <c r="C1867" s="87"/>
      <c r="D1867" s="37"/>
      <c r="E1867" s="37"/>
      <c r="F1867" s="87"/>
    </row>
    <row r="1868">
      <c r="A1868" s="147"/>
      <c r="B1868" s="148"/>
      <c r="C1868" s="87"/>
      <c r="D1868" s="37"/>
      <c r="E1868" s="37"/>
      <c r="F1868" s="87"/>
    </row>
    <row r="1869">
      <c r="A1869" s="147"/>
      <c r="B1869" s="148"/>
      <c r="C1869" s="87"/>
      <c r="D1869" s="37"/>
      <c r="E1869" s="37"/>
      <c r="F1869" s="87"/>
    </row>
    <row r="1870">
      <c r="A1870" s="147"/>
      <c r="B1870" s="148"/>
      <c r="C1870" s="87"/>
      <c r="D1870" s="37"/>
      <c r="E1870" s="37"/>
      <c r="F1870" s="87"/>
    </row>
    <row r="1871">
      <c r="A1871" s="147"/>
      <c r="B1871" s="148"/>
      <c r="C1871" s="87"/>
      <c r="D1871" s="37"/>
      <c r="E1871" s="37"/>
      <c r="F1871" s="87"/>
    </row>
    <row r="1872">
      <c r="A1872" s="147"/>
      <c r="B1872" s="148"/>
      <c r="C1872" s="87"/>
      <c r="D1872" s="37"/>
      <c r="E1872" s="37"/>
      <c r="F1872" s="87"/>
    </row>
    <row r="1873">
      <c r="A1873" s="147"/>
      <c r="B1873" s="148"/>
      <c r="C1873" s="87"/>
      <c r="D1873" s="37"/>
      <c r="E1873" s="37"/>
      <c r="F1873" s="87"/>
    </row>
    <row r="1874">
      <c r="A1874" s="147"/>
      <c r="B1874" s="148"/>
      <c r="C1874" s="87"/>
      <c r="D1874" s="37"/>
      <c r="E1874" s="37"/>
      <c r="F1874" s="87"/>
    </row>
    <row r="1875">
      <c r="A1875" s="147"/>
      <c r="B1875" s="148"/>
      <c r="C1875" s="87"/>
      <c r="D1875" s="37"/>
      <c r="E1875" s="37"/>
      <c r="F1875" s="87"/>
    </row>
    <row r="1876">
      <c r="A1876" s="147"/>
      <c r="B1876" s="148"/>
      <c r="C1876" s="87"/>
      <c r="D1876" s="37"/>
      <c r="E1876" s="37"/>
      <c r="F1876" s="87"/>
    </row>
    <row r="1877">
      <c r="A1877" s="147"/>
      <c r="B1877" s="148"/>
      <c r="C1877" s="87"/>
      <c r="D1877" s="37"/>
      <c r="E1877" s="37"/>
      <c r="F1877" s="87"/>
    </row>
    <row r="1878">
      <c r="A1878" s="147"/>
      <c r="B1878" s="148"/>
      <c r="C1878" s="87"/>
      <c r="D1878" s="37"/>
      <c r="E1878" s="37"/>
      <c r="F1878" s="87"/>
    </row>
    <row r="1879">
      <c r="A1879" s="147"/>
      <c r="B1879" s="148"/>
      <c r="C1879" s="87"/>
      <c r="D1879" s="37"/>
      <c r="E1879" s="37"/>
      <c r="F1879" s="87"/>
    </row>
    <row r="1880">
      <c r="A1880" s="147"/>
      <c r="B1880" s="148"/>
      <c r="C1880" s="87"/>
      <c r="D1880" s="37"/>
      <c r="E1880" s="37"/>
      <c r="F1880" s="87"/>
    </row>
    <row r="1881">
      <c r="A1881" s="147"/>
      <c r="B1881" s="148"/>
      <c r="C1881" s="87"/>
      <c r="D1881" s="37"/>
      <c r="E1881" s="37"/>
      <c r="F1881" s="87"/>
    </row>
    <row r="1882">
      <c r="A1882" s="147"/>
      <c r="B1882" s="148"/>
      <c r="C1882" s="87"/>
      <c r="D1882" s="37"/>
      <c r="E1882" s="37"/>
      <c r="F1882" s="87"/>
    </row>
    <row r="1883">
      <c r="A1883" s="147"/>
      <c r="B1883" s="148"/>
      <c r="C1883" s="87"/>
      <c r="D1883" s="37"/>
      <c r="E1883" s="37"/>
      <c r="F1883" s="87"/>
    </row>
    <row r="1884">
      <c r="A1884" s="147"/>
      <c r="B1884" s="148"/>
      <c r="C1884" s="87"/>
      <c r="D1884" s="37"/>
      <c r="E1884" s="37"/>
      <c r="F1884" s="87"/>
    </row>
    <row r="1885">
      <c r="A1885" s="147"/>
      <c r="B1885" s="148"/>
      <c r="C1885" s="87"/>
      <c r="D1885" s="37"/>
      <c r="E1885" s="37"/>
      <c r="F1885" s="87"/>
    </row>
    <row r="1886">
      <c r="A1886" s="147"/>
      <c r="B1886" s="148"/>
      <c r="C1886" s="87"/>
      <c r="D1886" s="37"/>
      <c r="E1886" s="37"/>
      <c r="F1886" s="87"/>
    </row>
    <row r="1887">
      <c r="A1887" s="147"/>
      <c r="B1887" s="148"/>
      <c r="C1887" s="87"/>
      <c r="D1887" s="37"/>
      <c r="E1887" s="37"/>
      <c r="F1887" s="87"/>
    </row>
    <row r="1888">
      <c r="A1888" s="147"/>
      <c r="B1888" s="148"/>
      <c r="C1888" s="87"/>
      <c r="D1888" s="37"/>
      <c r="E1888" s="37"/>
      <c r="F1888" s="87"/>
    </row>
    <row r="1889">
      <c r="A1889" s="147"/>
      <c r="B1889" s="148"/>
      <c r="C1889" s="87"/>
      <c r="D1889" s="37"/>
      <c r="E1889" s="37"/>
      <c r="F1889" s="87"/>
    </row>
    <row r="1890">
      <c r="A1890" s="147"/>
      <c r="B1890" s="148"/>
      <c r="C1890" s="87"/>
      <c r="D1890" s="37"/>
      <c r="E1890" s="37"/>
      <c r="F1890" s="87"/>
    </row>
    <row r="1891">
      <c r="A1891" s="147"/>
      <c r="B1891" s="148"/>
      <c r="C1891" s="87"/>
      <c r="D1891" s="37"/>
      <c r="E1891" s="37"/>
      <c r="F1891" s="87"/>
    </row>
    <row r="1892">
      <c r="A1892" s="147"/>
      <c r="B1892" s="148"/>
      <c r="C1892" s="87"/>
      <c r="D1892" s="37"/>
      <c r="E1892" s="37"/>
      <c r="F1892" s="87"/>
    </row>
    <row r="1893">
      <c r="A1893" s="147"/>
      <c r="B1893" s="148"/>
      <c r="C1893" s="87"/>
      <c r="D1893" s="37"/>
      <c r="E1893" s="37"/>
      <c r="F1893" s="87"/>
    </row>
    <row r="1894">
      <c r="A1894" s="147"/>
      <c r="B1894" s="148"/>
      <c r="C1894" s="87"/>
      <c r="D1894" s="37"/>
      <c r="E1894" s="37"/>
      <c r="F1894" s="87"/>
    </row>
    <row r="1895">
      <c r="A1895" s="147"/>
      <c r="B1895" s="148"/>
      <c r="C1895" s="87"/>
      <c r="D1895" s="37"/>
      <c r="E1895" s="37"/>
      <c r="F1895" s="87"/>
    </row>
    <row r="1896">
      <c r="A1896" s="147"/>
      <c r="B1896" s="148"/>
      <c r="C1896" s="87"/>
      <c r="D1896" s="37"/>
      <c r="E1896" s="37"/>
      <c r="F1896" s="87"/>
    </row>
    <row r="1897">
      <c r="A1897" s="147"/>
      <c r="B1897" s="148"/>
      <c r="C1897" s="87"/>
      <c r="D1897" s="37"/>
      <c r="E1897" s="37"/>
      <c r="F1897" s="87"/>
    </row>
    <row r="1898">
      <c r="A1898" s="147"/>
      <c r="B1898" s="148"/>
      <c r="C1898" s="87"/>
      <c r="D1898" s="37"/>
      <c r="E1898" s="37"/>
      <c r="F1898" s="87"/>
    </row>
    <row r="1899">
      <c r="A1899" s="147"/>
      <c r="B1899" s="148"/>
      <c r="C1899" s="87"/>
      <c r="D1899" s="37"/>
      <c r="E1899" s="37"/>
      <c r="F1899" s="87"/>
    </row>
    <row r="1900">
      <c r="A1900" s="147"/>
      <c r="B1900" s="148"/>
      <c r="C1900" s="87"/>
      <c r="D1900" s="37"/>
      <c r="E1900" s="37"/>
      <c r="F1900" s="87"/>
    </row>
    <row r="1901">
      <c r="A1901" s="147"/>
      <c r="B1901" s="148"/>
      <c r="C1901" s="87"/>
      <c r="D1901" s="37"/>
      <c r="E1901" s="37"/>
      <c r="F1901" s="87"/>
    </row>
    <row r="1902">
      <c r="A1902" s="147"/>
      <c r="B1902" s="148"/>
      <c r="C1902" s="87"/>
      <c r="D1902" s="37"/>
      <c r="E1902" s="37"/>
      <c r="F1902" s="87"/>
    </row>
    <row r="1903">
      <c r="A1903" s="147"/>
      <c r="B1903" s="148"/>
      <c r="C1903" s="87"/>
      <c r="D1903" s="37"/>
      <c r="E1903" s="37"/>
      <c r="F1903" s="87"/>
    </row>
    <row r="1904">
      <c r="A1904" s="147"/>
      <c r="B1904" s="148"/>
      <c r="C1904" s="87"/>
      <c r="D1904" s="37"/>
      <c r="E1904" s="37"/>
      <c r="F1904" s="87"/>
    </row>
    <row r="1905">
      <c r="A1905" s="147"/>
      <c r="B1905" s="148"/>
      <c r="C1905" s="87"/>
      <c r="D1905" s="37"/>
      <c r="E1905" s="37"/>
      <c r="F1905" s="87"/>
    </row>
    <row r="1906">
      <c r="A1906" s="147"/>
      <c r="B1906" s="148"/>
      <c r="C1906" s="87"/>
      <c r="D1906" s="37"/>
      <c r="E1906" s="37"/>
      <c r="F1906" s="87"/>
    </row>
    <row r="1907">
      <c r="A1907" s="147"/>
      <c r="B1907" s="148"/>
      <c r="C1907" s="87"/>
      <c r="D1907" s="37"/>
      <c r="E1907" s="37"/>
      <c r="F1907" s="87"/>
    </row>
    <row r="1908">
      <c r="A1908" s="147"/>
      <c r="B1908" s="148"/>
      <c r="C1908" s="87"/>
      <c r="D1908" s="37"/>
      <c r="E1908" s="37"/>
      <c r="F1908" s="87"/>
    </row>
    <row r="1909">
      <c r="A1909" s="147"/>
      <c r="B1909" s="148"/>
      <c r="C1909" s="87"/>
      <c r="D1909" s="37"/>
      <c r="E1909" s="37"/>
      <c r="F1909" s="87"/>
    </row>
    <row r="1910">
      <c r="A1910" s="147"/>
      <c r="B1910" s="148"/>
      <c r="C1910" s="87"/>
      <c r="D1910" s="37"/>
      <c r="E1910" s="37"/>
      <c r="F1910" s="87"/>
    </row>
    <row r="1911">
      <c r="A1911" s="147"/>
      <c r="B1911" s="148"/>
      <c r="C1911" s="87"/>
      <c r="D1911" s="37"/>
      <c r="E1911" s="37"/>
      <c r="F1911" s="87"/>
    </row>
    <row r="1912">
      <c r="A1912" s="147"/>
      <c r="B1912" s="148"/>
      <c r="C1912" s="87"/>
      <c r="D1912" s="37"/>
      <c r="E1912" s="37"/>
      <c r="F1912" s="87"/>
    </row>
    <row r="1913">
      <c r="A1913" s="147"/>
      <c r="B1913" s="148"/>
      <c r="C1913" s="87"/>
      <c r="D1913" s="37"/>
      <c r="E1913" s="37"/>
      <c r="F1913" s="87"/>
    </row>
    <row r="1914">
      <c r="A1914" s="147"/>
      <c r="B1914" s="148"/>
      <c r="C1914" s="87"/>
      <c r="D1914" s="37"/>
      <c r="E1914" s="37"/>
      <c r="F1914" s="87"/>
    </row>
    <row r="1915">
      <c r="A1915" s="147"/>
      <c r="B1915" s="148"/>
      <c r="C1915" s="87"/>
      <c r="D1915" s="37"/>
      <c r="E1915" s="37"/>
      <c r="F1915" s="87"/>
    </row>
    <row r="1916">
      <c r="A1916" s="147"/>
      <c r="B1916" s="148"/>
      <c r="C1916" s="87"/>
      <c r="D1916" s="37"/>
      <c r="E1916" s="37"/>
      <c r="F1916" s="87"/>
    </row>
    <row r="1917">
      <c r="A1917" s="147"/>
      <c r="B1917" s="148"/>
      <c r="C1917" s="87"/>
      <c r="D1917" s="37"/>
      <c r="E1917" s="37"/>
      <c r="F1917" s="87"/>
    </row>
    <row r="1918">
      <c r="A1918" s="147"/>
      <c r="B1918" s="148"/>
      <c r="C1918" s="87"/>
      <c r="D1918" s="37"/>
      <c r="E1918" s="37"/>
      <c r="F1918" s="87"/>
    </row>
    <row r="1919">
      <c r="A1919" s="147"/>
      <c r="B1919" s="148"/>
      <c r="C1919" s="87"/>
      <c r="D1919" s="37"/>
      <c r="E1919" s="37"/>
      <c r="F1919" s="87"/>
    </row>
    <row r="1920">
      <c r="A1920" s="147"/>
      <c r="B1920" s="148"/>
      <c r="C1920" s="87"/>
      <c r="D1920" s="37"/>
      <c r="E1920" s="37"/>
      <c r="F1920" s="87"/>
    </row>
    <row r="1921">
      <c r="A1921" s="147"/>
      <c r="B1921" s="148"/>
      <c r="C1921" s="87"/>
      <c r="D1921" s="37"/>
      <c r="E1921" s="37"/>
      <c r="F1921" s="87"/>
    </row>
    <row r="1922">
      <c r="A1922" s="147"/>
      <c r="B1922" s="148"/>
      <c r="C1922" s="87"/>
      <c r="D1922" s="37"/>
      <c r="E1922" s="37"/>
      <c r="F1922" s="87"/>
    </row>
    <row r="1923">
      <c r="A1923" s="147"/>
      <c r="B1923" s="148"/>
      <c r="C1923" s="87"/>
      <c r="D1923" s="37"/>
      <c r="E1923" s="37"/>
      <c r="F1923" s="87"/>
    </row>
    <row r="1924">
      <c r="A1924" s="147"/>
      <c r="B1924" s="148"/>
      <c r="C1924" s="87"/>
      <c r="D1924" s="37"/>
      <c r="E1924" s="37"/>
      <c r="F1924" s="87"/>
    </row>
    <row r="1925">
      <c r="A1925" s="147"/>
      <c r="B1925" s="148"/>
      <c r="C1925" s="87"/>
      <c r="D1925" s="37"/>
      <c r="E1925" s="37"/>
      <c r="F1925" s="87"/>
    </row>
    <row r="1926">
      <c r="A1926" s="147"/>
      <c r="B1926" s="148"/>
      <c r="C1926" s="87"/>
      <c r="D1926" s="37"/>
      <c r="E1926" s="37"/>
      <c r="F1926" s="87"/>
    </row>
    <row r="1927">
      <c r="A1927" s="147"/>
      <c r="B1927" s="148"/>
      <c r="C1927" s="87"/>
      <c r="D1927" s="37"/>
      <c r="E1927" s="37"/>
      <c r="F1927" s="87"/>
    </row>
    <row r="1928">
      <c r="A1928" s="147"/>
      <c r="B1928" s="148"/>
      <c r="C1928" s="87"/>
      <c r="D1928" s="37"/>
      <c r="E1928" s="37"/>
      <c r="F1928" s="87"/>
    </row>
    <row r="1929">
      <c r="A1929" s="147"/>
      <c r="B1929" s="148"/>
      <c r="C1929" s="87"/>
      <c r="D1929" s="37"/>
      <c r="E1929" s="37"/>
      <c r="F1929" s="87"/>
    </row>
    <row r="1930">
      <c r="A1930" s="147"/>
      <c r="B1930" s="148"/>
      <c r="C1930" s="87"/>
      <c r="D1930" s="37"/>
      <c r="E1930" s="37"/>
      <c r="F1930" s="87"/>
    </row>
    <row r="1931">
      <c r="A1931" s="147"/>
      <c r="B1931" s="148"/>
      <c r="C1931" s="87"/>
      <c r="D1931" s="37"/>
      <c r="E1931" s="37"/>
      <c r="F1931" s="87"/>
    </row>
    <row r="1932">
      <c r="A1932" s="147"/>
      <c r="B1932" s="148"/>
      <c r="C1932" s="87"/>
      <c r="D1932" s="37"/>
      <c r="E1932" s="37"/>
      <c r="F1932" s="87"/>
    </row>
    <row r="1933">
      <c r="A1933" s="147"/>
      <c r="B1933" s="148"/>
      <c r="C1933" s="87"/>
      <c r="D1933" s="37"/>
      <c r="E1933" s="37"/>
      <c r="F1933" s="87"/>
    </row>
    <row r="1934">
      <c r="A1934" s="147"/>
      <c r="B1934" s="148"/>
      <c r="C1934" s="87"/>
      <c r="D1934" s="37"/>
      <c r="E1934" s="37"/>
      <c r="F1934" s="87"/>
    </row>
    <row r="1935">
      <c r="A1935" s="147"/>
      <c r="B1935" s="148"/>
      <c r="C1935" s="87"/>
      <c r="D1935" s="37"/>
      <c r="E1935" s="37"/>
      <c r="F1935" s="87"/>
    </row>
    <row r="1936">
      <c r="A1936" s="147"/>
      <c r="B1936" s="148"/>
      <c r="C1936" s="87"/>
      <c r="D1936" s="37"/>
      <c r="E1936" s="37"/>
      <c r="F1936" s="87"/>
    </row>
    <row r="1937">
      <c r="A1937" s="147"/>
      <c r="B1937" s="148"/>
      <c r="C1937" s="87"/>
      <c r="D1937" s="37"/>
      <c r="E1937" s="37"/>
      <c r="F1937" s="87"/>
    </row>
    <row r="1938">
      <c r="A1938" s="147"/>
      <c r="B1938" s="148"/>
      <c r="C1938" s="87"/>
      <c r="D1938" s="37"/>
      <c r="E1938" s="37"/>
      <c r="F1938" s="87"/>
    </row>
    <row r="1939">
      <c r="A1939" s="147"/>
      <c r="B1939" s="148"/>
      <c r="C1939" s="87"/>
      <c r="D1939" s="37"/>
      <c r="E1939" s="37"/>
      <c r="F1939" s="87"/>
    </row>
    <row r="1940">
      <c r="A1940" s="147"/>
      <c r="B1940" s="148"/>
      <c r="C1940" s="87"/>
      <c r="D1940" s="37"/>
      <c r="E1940" s="37"/>
      <c r="F1940" s="87"/>
    </row>
    <row r="1941">
      <c r="A1941" s="147"/>
      <c r="B1941" s="148"/>
      <c r="C1941" s="87"/>
      <c r="D1941" s="37"/>
      <c r="E1941" s="37"/>
      <c r="F1941" s="87"/>
    </row>
    <row r="1942">
      <c r="A1942" s="147"/>
      <c r="B1942" s="148"/>
      <c r="C1942" s="87"/>
      <c r="D1942" s="37"/>
      <c r="E1942" s="37"/>
      <c r="F1942" s="87"/>
    </row>
    <row r="1943">
      <c r="A1943" s="147"/>
      <c r="B1943" s="148"/>
      <c r="C1943" s="87"/>
      <c r="D1943" s="37"/>
      <c r="E1943" s="37"/>
      <c r="F1943" s="87"/>
    </row>
    <row r="1944">
      <c r="A1944" s="147"/>
      <c r="B1944" s="148"/>
      <c r="C1944" s="87"/>
      <c r="D1944" s="37"/>
      <c r="E1944" s="37"/>
      <c r="F1944" s="87"/>
    </row>
    <row r="1945">
      <c r="A1945" s="147"/>
      <c r="B1945" s="148"/>
      <c r="C1945" s="87"/>
      <c r="D1945" s="37"/>
      <c r="E1945" s="37"/>
      <c r="F1945" s="87"/>
    </row>
    <row r="1946">
      <c r="A1946" s="147"/>
      <c r="B1946" s="148"/>
      <c r="C1946" s="87"/>
      <c r="D1946" s="37"/>
      <c r="E1946" s="37"/>
      <c r="F1946" s="87"/>
    </row>
    <row r="1947">
      <c r="A1947" s="147"/>
      <c r="B1947" s="148"/>
      <c r="C1947" s="87"/>
      <c r="D1947" s="37"/>
      <c r="E1947" s="37"/>
      <c r="F1947" s="87"/>
    </row>
    <row r="1948">
      <c r="A1948" s="147"/>
      <c r="B1948" s="148"/>
      <c r="C1948" s="87"/>
      <c r="D1948" s="37"/>
      <c r="E1948" s="37"/>
      <c r="F1948" s="87"/>
    </row>
    <row r="1949">
      <c r="A1949" s="147"/>
      <c r="B1949" s="148"/>
      <c r="C1949" s="87"/>
      <c r="D1949" s="37"/>
      <c r="E1949" s="37"/>
      <c r="F1949" s="87"/>
    </row>
    <row r="1950">
      <c r="A1950" s="147"/>
      <c r="B1950" s="148"/>
      <c r="C1950" s="87"/>
      <c r="D1950" s="37"/>
      <c r="E1950" s="37"/>
      <c r="F1950" s="87"/>
    </row>
    <row r="1951">
      <c r="A1951" s="147"/>
      <c r="B1951" s="148"/>
      <c r="C1951" s="87"/>
      <c r="D1951" s="37"/>
      <c r="E1951" s="37"/>
      <c r="F1951" s="87"/>
    </row>
    <row r="1952">
      <c r="A1952" s="147"/>
      <c r="B1952" s="148"/>
      <c r="C1952" s="87"/>
      <c r="D1952" s="37"/>
      <c r="E1952" s="37"/>
      <c r="F1952" s="87"/>
    </row>
    <row r="1953">
      <c r="A1953" s="147"/>
      <c r="B1953" s="148"/>
      <c r="C1953" s="87"/>
      <c r="D1953" s="37"/>
      <c r="E1953" s="37"/>
      <c r="F1953" s="87"/>
    </row>
    <row r="1954">
      <c r="A1954" s="147"/>
      <c r="B1954" s="148"/>
      <c r="C1954" s="87"/>
      <c r="D1954" s="37"/>
      <c r="E1954" s="37"/>
      <c r="F1954" s="87"/>
    </row>
    <row r="1955">
      <c r="A1955" s="147"/>
      <c r="B1955" s="148"/>
      <c r="C1955" s="87"/>
      <c r="D1955" s="37"/>
      <c r="E1955" s="37"/>
      <c r="F1955" s="87"/>
    </row>
    <row r="1956">
      <c r="A1956" s="147"/>
      <c r="B1956" s="148"/>
      <c r="C1956" s="87"/>
      <c r="D1956" s="37"/>
      <c r="E1956" s="37"/>
      <c r="F1956" s="87"/>
    </row>
    <row r="1957">
      <c r="A1957" s="147"/>
      <c r="B1957" s="148"/>
      <c r="C1957" s="87"/>
      <c r="D1957" s="37"/>
      <c r="E1957" s="37"/>
      <c r="F1957" s="87"/>
    </row>
    <row r="1958">
      <c r="A1958" s="147"/>
      <c r="B1958" s="148"/>
      <c r="C1958" s="87"/>
      <c r="D1958" s="37"/>
      <c r="E1958" s="37"/>
      <c r="F1958" s="87"/>
    </row>
    <row r="1959">
      <c r="A1959" s="147"/>
      <c r="B1959" s="148"/>
      <c r="C1959" s="87"/>
      <c r="D1959" s="37"/>
      <c r="E1959" s="37"/>
      <c r="F1959" s="87"/>
    </row>
    <row r="1960">
      <c r="A1960" s="147"/>
      <c r="B1960" s="148"/>
      <c r="C1960" s="87"/>
      <c r="D1960" s="37"/>
      <c r="E1960" s="37"/>
      <c r="F1960" s="87"/>
    </row>
    <row r="1961">
      <c r="A1961" s="147"/>
      <c r="B1961" s="148"/>
      <c r="C1961" s="87"/>
      <c r="D1961" s="37"/>
      <c r="E1961" s="37"/>
      <c r="F1961" s="87"/>
    </row>
    <row r="1962">
      <c r="A1962" s="147"/>
      <c r="B1962" s="148"/>
      <c r="C1962" s="87"/>
      <c r="D1962" s="37"/>
      <c r="E1962" s="37"/>
      <c r="F1962" s="87"/>
    </row>
    <row r="1963">
      <c r="A1963" s="147"/>
      <c r="B1963" s="148"/>
      <c r="C1963" s="87"/>
      <c r="D1963" s="37"/>
      <c r="E1963" s="37"/>
      <c r="F1963" s="87"/>
    </row>
    <row r="1964">
      <c r="A1964" s="147"/>
      <c r="B1964" s="148"/>
      <c r="C1964" s="87"/>
      <c r="D1964" s="37"/>
      <c r="E1964" s="37"/>
      <c r="F1964" s="87"/>
    </row>
    <row r="1965">
      <c r="A1965" s="147"/>
      <c r="B1965" s="148"/>
      <c r="C1965" s="87"/>
      <c r="D1965" s="37"/>
      <c r="E1965" s="37"/>
      <c r="F1965" s="87"/>
    </row>
    <row r="1966">
      <c r="A1966" s="147"/>
      <c r="B1966" s="148"/>
      <c r="C1966" s="87"/>
      <c r="D1966" s="37"/>
      <c r="E1966" s="37"/>
      <c r="F1966" s="87"/>
    </row>
    <row r="1967">
      <c r="A1967" s="147"/>
      <c r="B1967" s="148"/>
      <c r="C1967" s="87"/>
      <c r="D1967" s="37"/>
      <c r="E1967" s="37"/>
      <c r="F1967" s="87"/>
    </row>
    <row r="1968">
      <c r="A1968" s="147"/>
      <c r="B1968" s="148"/>
      <c r="C1968" s="87"/>
      <c r="D1968" s="37"/>
      <c r="E1968" s="37"/>
      <c r="F1968" s="87"/>
    </row>
    <row r="1969">
      <c r="A1969" s="147"/>
      <c r="B1969" s="148"/>
      <c r="C1969" s="87"/>
      <c r="D1969" s="37"/>
      <c r="E1969" s="37"/>
      <c r="F1969" s="87"/>
    </row>
    <row r="1970">
      <c r="A1970" s="147"/>
      <c r="B1970" s="148"/>
      <c r="C1970" s="87"/>
      <c r="D1970" s="37"/>
      <c r="E1970" s="37"/>
      <c r="F1970" s="87"/>
    </row>
    <row r="1971">
      <c r="A1971" s="147"/>
      <c r="B1971" s="148"/>
      <c r="C1971" s="87"/>
      <c r="D1971" s="37"/>
      <c r="E1971" s="37"/>
      <c r="F1971" s="87"/>
    </row>
    <row r="1972">
      <c r="A1972" s="147"/>
      <c r="B1972" s="148"/>
      <c r="C1972" s="87"/>
      <c r="D1972" s="37"/>
      <c r="E1972" s="37"/>
      <c r="F1972" s="87"/>
    </row>
    <row r="1973">
      <c r="A1973" s="147"/>
      <c r="B1973" s="148"/>
      <c r="C1973" s="87"/>
      <c r="D1973" s="37"/>
      <c r="E1973" s="37"/>
      <c r="F1973" s="87"/>
    </row>
    <row r="1974">
      <c r="A1974" s="147"/>
      <c r="B1974" s="148"/>
      <c r="C1974" s="87"/>
      <c r="D1974" s="37"/>
      <c r="E1974" s="37"/>
      <c r="F1974" s="87"/>
    </row>
    <row r="1975">
      <c r="A1975" s="147"/>
      <c r="B1975" s="148"/>
      <c r="C1975" s="87"/>
      <c r="D1975" s="37"/>
      <c r="E1975" s="37"/>
      <c r="F1975" s="87"/>
    </row>
    <row r="1976">
      <c r="A1976" s="147"/>
      <c r="B1976" s="148"/>
      <c r="C1976" s="87"/>
      <c r="D1976" s="37"/>
      <c r="E1976" s="37"/>
      <c r="F1976" s="87"/>
    </row>
    <row r="1977">
      <c r="A1977" s="147"/>
      <c r="B1977" s="148"/>
      <c r="C1977" s="87"/>
      <c r="D1977" s="37"/>
      <c r="E1977" s="37"/>
      <c r="F1977" s="87"/>
    </row>
    <row r="1978">
      <c r="A1978" s="147"/>
      <c r="B1978" s="148"/>
      <c r="C1978" s="87"/>
      <c r="D1978" s="37"/>
      <c r="E1978" s="37"/>
      <c r="F1978" s="87"/>
    </row>
    <row r="1979">
      <c r="A1979" s="147"/>
      <c r="B1979" s="148"/>
      <c r="C1979" s="87"/>
      <c r="D1979" s="37"/>
      <c r="E1979" s="37"/>
      <c r="F1979" s="87"/>
    </row>
    <row r="1980">
      <c r="A1980" s="147"/>
      <c r="B1980" s="148"/>
      <c r="C1980" s="87"/>
      <c r="D1980" s="37"/>
      <c r="E1980" s="37"/>
      <c r="F1980" s="87"/>
    </row>
    <row r="1981">
      <c r="A1981" s="147"/>
      <c r="B1981" s="148"/>
      <c r="C1981" s="87"/>
      <c r="D1981" s="37"/>
      <c r="E1981" s="37"/>
      <c r="F1981" s="87"/>
    </row>
    <row r="1982">
      <c r="A1982" s="147"/>
      <c r="B1982" s="148"/>
      <c r="C1982" s="87"/>
      <c r="D1982" s="37"/>
      <c r="E1982" s="37"/>
      <c r="F1982" s="87"/>
    </row>
    <row r="1983">
      <c r="A1983" s="147"/>
      <c r="B1983" s="148"/>
      <c r="C1983" s="87"/>
      <c r="D1983" s="37"/>
      <c r="E1983" s="37"/>
      <c r="F1983" s="87"/>
    </row>
    <row r="1984">
      <c r="A1984" s="147"/>
      <c r="B1984" s="148"/>
      <c r="C1984" s="87"/>
      <c r="D1984" s="37"/>
      <c r="E1984" s="37"/>
      <c r="F1984" s="87"/>
    </row>
    <row r="1985">
      <c r="A1985" s="147"/>
      <c r="B1985" s="148"/>
      <c r="C1985" s="87"/>
      <c r="D1985" s="37"/>
      <c r="E1985" s="37"/>
      <c r="F1985" s="87"/>
    </row>
    <row r="1986">
      <c r="A1986" s="147"/>
      <c r="B1986" s="148"/>
      <c r="C1986" s="87"/>
      <c r="D1986" s="37"/>
      <c r="E1986" s="37"/>
      <c r="F1986" s="87"/>
    </row>
    <row r="1987">
      <c r="A1987" s="147"/>
      <c r="B1987" s="148"/>
      <c r="C1987" s="87"/>
      <c r="D1987" s="37"/>
      <c r="E1987" s="37"/>
      <c r="F1987" s="87"/>
    </row>
    <row r="1988">
      <c r="A1988" s="147"/>
      <c r="B1988" s="148"/>
      <c r="C1988" s="87"/>
      <c r="D1988" s="37"/>
      <c r="E1988" s="37"/>
      <c r="F1988" s="87"/>
    </row>
    <row r="1989">
      <c r="A1989" s="147"/>
      <c r="B1989" s="148"/>
      <c r="C1989" s="87"/>
      <c r="D1989" s="37"/>
      <c r="E1989" s="37"/>
      <c r="F1989" s="87"/>
    </row>
    <row r="1990">
      <c r="A1990" s="147"/>
      <c r="B1990" s="148"/>
      <c r="C1990" s="87"/>
      <c r="D1990" s="37"/>
      <c r="E1990" s="37"/>
      <c r="F1990" s="87"/>
    </row>
    <row r="1991">
      <c r="A1991" s="147"/>
      <c r="B1991" s="148"/>
      <c r="C1991" s="87"/>
      <c r="D1991" s="37"/>
      <c r="E1991" s="37"/>
      <c r="F1991" s="87"/>
    </row>
    <row r="1992">
      <c r="A1992" s="147"/>
      <c r="B1992" s="148"/>
      <c r="C1992" s="87"/>
      <c r="D1992" s="37"/>
      <c r="E1992" s="37"/>
      <c r="F1992" s="87"/>
    </row>
    <row r="1993">
      <c r="A1993" s="147"/>
      <c r="B1993" s="148"/>
      <c r="C1993" s="87"/>
      <c r="D1993" s="37"/>
      <c r="E1993" s="37"/>
      <c r="F1993" s="87"/>
    </row>
    <row r="1994">
      <c r="A1994" s="147"/>
      <c r="B1994" s="148"/>
      <c r="C1994" s="87"/>
      <c r="D1994" s="37"/>
      <c r="E1994" s="37"/>
      <c r="F1994" s="87"/>
    </row>
    <row r="1995">
      <c r="A1995" s="147"/>
      <c r="B1995" s="148"/>
      <c r="C1995" s="87"/>
      <c r="D1995" s="37"/>
      <c r="E1995" s="37"/>
      <c r="F1995" s="87"/>
    </row>
    <row r="1996">
      <c r="A1996" s="147"/>
      <c r="B1996" s="148"/>
      <c r="C1996" s="87"/>
      <c r="D1996" s="37"/>
      <c r="E1996" s="37"/>
      <c r="F1996" s="87"/>
    </row>
    <row r="1997">
      <c r="A1997" s="147"/>
      <c r="B1997" s="148"/>
      <c r="C1997" s="87"/>
      <c r="D1997" s="37"/>
      <c r="E1997" s="37"/>
      <c r="F1997" s="87"/>
    </row>
    <row r="1998">
      <c r="A1998" s="147"/>
      <c r="B1998" s="148"/>
      <c r="C1998" s="87"/>
      <c r="D1998" s="37"/>
      <c r="E1998" s="37"/>
      <c r="F1998" s="87"/>
    </row>
    <row r="1999">
      <c r="A1999" s="147"/>
      <c r="B1999" s="148"/>
      <c r="C1999" s="87"/>
      <c r="D1999" s="37"/>
      <c r="E1999" s="37"/>
      <c r="F1999" s="87"/>
    </row>
    <row r="2000">
      <c r="A2000" s="147"/>
      <c r="B2000" s="148"/>
      <c r="C2000" s="87"/>
      <c r="D2000" s="37"/>
      <c r="E2000" s="37"/>
      <c r="F2000" s="87"/>
    </row>
    <row r="2001">
      <c r="A2001" s="147"/>
      <c r="B2001" s="148"/>
      <c r="C2001" s="87"/>
      <c r="D2001" s="37"/>
      <c r="E2001" s="37"/>
      <c r="F2001" s="87"/>
    </row>
    <row r="2002">
      <c r="A2002" s="147"/>
      <c r="B2002" s="148"/>
      <c r="C2002" s="87"/>
      <c r="D2002" s="37"/>
      <c r="E2002" s="37"/>
      <c r="F2002" s="87"/>
    </row>
    <row r="2003">
      <c r="A2003" s="147"/>
      <c r="B2003" s="148"/>
      <c r="C2003" s="87"/>
      <c r="D2003" s="37"/>
      <c r="E2003" s="37"/>
      <c r="F2003" s="87"/>
    </row>
    <row r="2004">
      <c r="A2004" s="147"/>
      <c r="B2004" s="148"/>
      <c r="C2004" s="87"/>
      <c r="D2004" s="37"/>
      <c r="E2004" s="37"/>
      <c r="F2004" s="87"/>
    </row>
    <row r="2005">
      <c r="A2005" s="147"/>
      <c r="B2005" s="148"/>
      <c r="C2005" s="87"/>
      <c r="D2005" s="37"/>
      <c r="E2005" s="37"/>
      <c r="F2005" s="87"/>
    </row>
    <row r="2006">
      <c r="A2006" s="147"/>
      <c r="B2006" s="148"/>
      <c r="C2006" s="87"/>
      <c r="D2006" s="37"/>
      <c r="E2006" s="37"/>
      <c r="F2006" s="87"/>
    </row>
    <row r="2007">
      <c r="A2007" s="147"/>
      <c r="B2007" s="148"/>
      <c r="C2007" s="87"/>
      <c r="D2007" s="37"/>
      <c r="E2007" s="37"/>
      <c r="F2007" s="87"/>
    </row>
    <row r="2008">
      <c r="A2008" s="147"/>
      <c r="B2008" s="148"/>
      <c r="C2008" s="87"/>
      <c r="D2008" s="37"/>
      <c r="E2008" s="37"/>
      <c r="F2008" s="87"/>
    </row>
    <row r="2009">
      <c r="A2009" s="147"/>
      <c r="B2009" s="148"/>
      <c r="C2009" s="87"/>
      <c r="D2009" s="37"/>
      <c r="E2009" s="37"/>
      <c r="F2009" s="87"/>
    </row>
    <row r="2010">
      <c r="A2010" s="147"/>
      <c r="B2010" s="148"/>
      <c r="C2010" s="87"/>
      <c r="D2010" s="37"/>
      <c r="E2010" s="37"/>
      <c r="F2010" s="87"/>
    </row>
    <row r="2011">
      <c r="A2011" s="147"/>
      <c r="B2011" s="148"/>
      <c r="C2011" s="87"/>
      <c r="D2011" s="37"/>
      <c r="E2011" s="37"/>
      <c r="F2011" s="87"/>
    </row>
    <row r="2012">
      <c r="A2012" s="147"/>
      <c r="B2012" s="148"/>
      <c r="C2012" s="87"/>
      <c r="D2012" s="37"/>
      <c r="E2012" s="37"/>
      <c r="F2012" s="87"/>
    </row>
    <row r="2013">
      <c r="A2013" s="147"/>
      <c r="B2013" s="148"/>
      <c r="C2013" s="87"/>
      <c r="D2013" s="37"/>
      <c r="E2013" s="37"/>
      <c r="F2013" s="87"/>
    </row>
    <row r="2014">
      <c r="A2014" s="147"/>
      <c r="B2014" s="148"/>
      <c r="C2014" s="87"/>
      <c r="D2014" s="37"/>
      <c r="E2014" s="37"/>
      <c r="F2014" s="87"/>
    </row>
    <row r="2015">
      <c r="A2015" s="147"/>
      <c r="B2015" s="148"/>
      <c r="C2015" s="87"/>
      <c r="D2015" s="37"/>
      <c r="E2015" s="37"/>
      <c r="F2015" s="87"/>
    </row>
    <row r="2016">
      <c r="A2016" s="147"/>
      <c r="B2016" s="148"/>
      <c r="C2016" s="87"/>
      <c r="D2016" s="37"/>
      <c r="E2016" s="37"/>
      <c r="F2016" s="87"/>
    </row>
    <row r="2017">
      <c r="A2017" s="147"/>
      <c r="B2017" s="148"/>
      <c r="C2017" s="87"/>
      <c r="D2017" s="37"/>
      <c r="E2017" s="37"/>
      <c r="F2017" s="87"/>
    </row>
    <row r="2018">
      <c r="A2018" s="147"/>
      <c r="B2018" s="148"/>
      <c r="C2018" s="87"/>
      <c r="D2018" s="37"/>
      <c r="E2018" s="37"/>
      <c r="F2018" s="87"/>
    </row>
    <row r="2019">
      <c r="A2019" s="147"/>
      <c r="B2019" s="148"/>
      <c r="C2019" s="87"/>
      <c r="D2019" s="37"/>
      <c r="E2019" s="37"/>
      <c r="F2019" s="87"/>
    </row>
    <row r="2020">
      <c r="A2020" s="147"/>
      <c r="B2020" s="148"/>
      <c r="C2020" s="87"/>
      <c r="D2020" s="37"/>
      <c r="E2020" s="37"/>
      <c r="F2020" s="87"/>
    </row>
    <row r="2021">
      <c r="A2021" s="147"/>
      <c r="B2021" s="148"/>
      <c r="C2021" s="87"/>
      <c r="D2021" s="37"/>
      <c r="E2021" s="37"/>
      <c r="F2021" s="87"/>
    </row>
    <row r="2022">
      <c r="A2022" s="147"/>
      <c r="B2022" s="148"/>
      <c r="C2022" s="87"/>
      <c r="D2022" s="37"/>
      <c r="E2022" s="37"/>
      <c r="F2022" s="87"/>
    </row>
    <row r="2023">
      <c r="A2023" s="147"/>
      <c r="B2023" s="148"/>
      <c r="C2023" s="87"/>
      <c r="D2023" s="37"/>
      <c r="E2023" s="37"/>
      <c r="F2023" s="87"/>
    </row>
    <row r="2024">
      <c r="A2024" s="147"/>
      <c r="B2024" s="148"/>
      <c r="C2024" s="87"/>
      <c r="D2024" s="37"/>
      <c r="E2024" s="37"/>
      <c r="F2024" s="87"/>
    </row>
    <row r="2025">
      <c r="A2025" s="147"/>
      <c r="B2025" s="148"/>
      <c r="C2025" s="87"/>
      <c r="D2025" s="37"/>
      <c r="E2025" s="37"/>
      <c r="F2025" s="87"/>
    </row>
    <row r="2026">
      <c r="A2026" s="147"/>
      <c r="B2026" s="148"/>
      <c r="C2026" s="87"/>
      <c r="D2026" s="37"/>
      <c r="E2026" s="37"/>
      <c r="F2026" s="87"/>
    </row>
    <row r="2027">
      <c r="A2027" s="147"/>
      <c r="B2027" s="148"/>
      <c r="C2027" s="87"/>
      <c r="D2027" s="37"/>
      <c r="E2027" s="37"/>
      <c r="F2027" s="87"/>
    </row>
    <row r="2028">
      <c r="A2028" s="147"/>
      <c r="B2028" s="148"/>
      <c r="C2028" s="87"/>
      <c r="D2028" s="37"/>
      <c r="E2028" s="37"/>
      <c r="F2028" s="87"/>
    </row>
    <row r="2029">
      <c r="A2029" s="147"/>
      <c r="B2029" s="148"/>
      <c r="C2029" s="87"/>
      <c r="D2029" s="37"/>
      <c r="E2029" s="37"/>
      <c r="F2029" s="87"/>
    </row>
    <row r="2030">
      <c r="A2030" s="147"/>
      <c r="B2030" s="148"/>
      <c r="C2030" s="87"/>
      <c r="D2030" s="37"/>
      <c r="E2030" s="37"/>
      <c r="F2030" s="87"/>
    </row>
    <row r="2031">
      <c r="A2031" s="147"/>
      <c r="B2031" s="148"/>
      <c r="C2031" s="87"/>
      <c r="D2031" s="37"/>
      <c r="E2031" s="37"/>
      <c r="F2031" s="87"/>
    </row>
    <row r="2032">
      <c r="A2032" s="147"/>
      <c r="B2032" s="148"/>
      <c r="C2032" s="87"/>
      <c r="D2032" s="37"/>
      <c r="E2032" s="37"/>
      <c r="F2032" s="87"/>
    </row>
    <row r="2033">
      <c r="A2033" s="147"/>
      <c r="B2033" s="148"/>
      <c r="C2033" s="87"/>
      <c r="D2033" s="37"/>
      <c r="E2033" s="37"/>
      <c r="F2033" s="87"/>
    </row>
    <row r="2034">
      <c r="A2034" s="147"/>
      <c r="B2034" s="148"/>
      <c r="C2034" s="87"/>
      <c r="D2034" s="37"/>
      <c r="E2034" s="37"/>
      <c r="F2034" s="87"/>
    </row>
    <row r="2035">
      <c r="A2035" s="147"/>
      <c r="B2035" s="148"/>
      <c r="C2035" s="87"/>
      <c r="D2035" s="37"/>
      <c r="E2035" s="37"/>
      <c r="F2035" s="87"/>
    </row>
    <row r="2036">
      <c r="A2036" s="147"/>
      <c r="B2036" s="148"/>
      <c r="C2036" s="87"/>
      <c r="D2036" s="37"/>
      <c r="E2036" s="37"/>
      <c r="F2036" s="87"/>
    </row>
    <row r="2037">
      <c r="A2037" s="147"/>
      <c r="B2037" s="148"/>
      <c r="C2037" s="87"/>
      <c r="D2037" s="37"/>
      <c r="E2037" s="37"/>
      <c r="F2037" s="87"/>
    </row>
    <row r="2038">
      <c r="A2038" s="147"/>
      <c r="B2038" s="148"/>
      <c r="C2038" s="87"/>
      <c r="D2038" s="37"/>
      <c r="E2038" s="37"/>
      <c r="F2038" s="87"/>
    </row>
    <row r="2039">
      <c r="A2039" s="147"/>
      <c r="B2039" s="148"/>
      <c r="C2039" s="87"/>
      <c r="D2039" s="37"/>
      <c r="E2039" s="37"/>
      <c r="F2039" s="87"/>
    </row>
    <row r="2040">
      <c r="A2040" s="147"/>
      <c r="B2040" s="148"/>
      <c r="C2040" s="87"/>
      <c r="D2040" s="37"/>
      <c r="E2040" s="37"/>
      <c r="F2040" s="87"/>
    </row>
    <row r="2041">
      <c r="A2041" s="147"/>
      <c r="B2041" s="148"/>
      <c r="C2041" s="87"/>
      <c r="D2041" s="37"/>
      <c r="E2041" s="37"/>
      <c r="F2041" s="87"/>
    </row>
    <row r="2042">
      <c r="A2042" s="147"/>
      <c r="B2042" s="148"/>
      <c r="C2042" s="87"/>
      <c r="D2042" s="37"/>
      <c r="E2042" s="37"/>
      <c r="F2042" s="87"/>
    </row>
    <row r="2043">
      <c r="A2043" s="147"/>
      <c r="B2043" s="148"/>
      <c r="C2043" s="87"/>
      <c r="D2043" s="37"/>
      <c r="E2043" s="37"/>
      <c r="F2043" s="87"/>
    </row>
    <row r="2044">
      <c r="A2044" s="147"/>
      <c r="B2044" s="148"/>
      <c r="C2044" s="87"/>
      <c r="D2044" s="37"/>
      <c r="E2044" s="37"/>
      <c r="F2044" s="87"/>
    </row>
    <row r="2045">
      <c r="A2045" s="147"/>
      <c r="B2045" s="148"/>
      <c r="C2045" s="87"/>
      <c r="D2045" s="37"/>
      <c r="E2045" s="37"/>
      <c r="F2045" s="87"/>
    </row>
    <row r="2046">
      <c r="A2046" s="147"/>
      <c r="B2046" s="148"/>
      <c r="C2046" s="87"/>
      <c r="D2046" s="37"/>
      <c r="E2046" s="37"/>
      <c r="F2046" s="87"/>
    </row>
    <row r="2047">
      <c r="A2047" s="147"/>
      <c r="B2047" s="148"/>
      <c r="C2047" s="87"/>
      <c r="D2047" s="37"/>
      <c r="E2047" s="37"/>
      <c r="F2047" s="87"/>
    </row>
    <row r="2048">
      <c r="A2048" s="147"/>
      <c r="B2048" s="148"/>
      <c r="C2048" s="87"/>
      <c r="D2048" s="37"/>
      <c r="E2048" s="37"/>
      <c r="F2048" s="87"/>
    </row>
    <row r="2049">
      <c r="A2049" s="147"/>
      <c r="B2049" s="148"/>
      <c r="C2049" s="87"/>
      <c r="D2049" s="37"/>
      <c r="E2049" s="37"/>
      <c r="F2049" s="87"/>
    </row>
    <row r="2050">
      <c r="A2050" s="147"/>
      <c r="B2050" s="148"/>
      <c r="C2050" s="87"/>
      <c r="D2050" s="37"/>
      <c r="E2050" s="37"/>
      <c r="F2050" s="87"/>
    </row>
    <row r="2051">
      <c r="A2051" s="147"/>
      <c r="B2051" s="148"/>
      <c r="C2051" s="87"/>
      <c r="D2051" s="37"/>
      <c r="E2051" s="37"/>
      <c r="F2051" s="87"/>
    </row>
    <row r="2052">
      <c r="A2052" s="147"/>
      <c r="B2052" s="148"/>
      <c r="C2052" s="87"/>
      <c r="D2052" s="37"/>
      <c r="E2052" s="37"/>
      <c r="F2052" s="87"/>
    </row>
    <row r="2053">
      <c r="A2053" s="147"/>
      <c r="B2053" s="148"/>
      <c r="C2053" s="87"/>
      <c r="D2053" s="37"/>
      <c r="E2053" s="37"/>
      <c r="F2053" s="87"/>
    </row>
    <row r="2054">
      <c r="A2054" s="147"/>
      <c r="B2054" s="148"/>
      <c r="C2054" s="87"/>
      <c r="D2054" s="37"/>
      <c r="E2054" s="37"/>
      <c r="F2054" s="87"/>
    </row>
    <row r="2055">
      <c r="A2055" s="147"/>
      <c r="B2055" s="148"/>
      <c r="C2055" s="87"/>
      <c r="D2055" s="37"/>
      <c r="E2055" s="37"/>
      <c r="F2055" s="87"/>
    </row>
    <row r="2056">
      <c r="A2056" s="147"/>
      <c r="B2056" s="148"/>
      <c r="C2056" s="87"/>
      <c r="D2056" s="37"/>
      <c r="E2056" s="37"/>
      <c r="F2056" s="87"/>
    </row>
    <row r="2057">
      <c r="A2057" s="147"/>
      <c r="B2057" s="148"/>
      <c r="C2057" s="87"/>
      <c r="D2057" s="37"/>
      <c r="E2057" s="37"/>
      <c r="F2057" s="87"/>
    </row>
    <row r="2058">
      <c r="A2058" s="147"/>
      <c r="B2058" s="148"/>
      <c r="C2058" s="87"/>
      <c r="D2058" s="37"/>
      <c r="E2058" s="37"/>
      <c r="F2058" s="87"/>
    </row>
    <row r="2059">
      <c r="A2059" s="147"/>
      <c r="B2059" s="148"/>
      <c r="C2059" s="87"/>
      <c r="D2059" s="37"/>
      <c r="E2059" s="37"/>
      <c r="F2059" s="87"/>
    </row>
    <row r="2060">
      <c r="A2060" s="147"/>
      <c r="B2060" s="148"/>
      <c r="C2060" s="87"/>
      <c r="D2060" s="37"/>
      <c r="E2060" s="37"/>
      <c r="F2060" s="87"/>
    </row>
    <row r="2061">
      <c r="A2061" s="147"/>
      <c r="B2061" s="148"/>
      <c r="C2061" s="87"/>
      <c r="D2061" s="37"/>
      <c r="E2061" s="37"/>
      <c r="F2061" s="87"/>
    </row>
    <row r="2062">
      <c r="A2062" s="147"/>
      <c r="B2062" s="148"/>
      <c r="C2062" s="87"/>
      <c r="D2062" s="37"/>
      <c r="E2062" s="37"/>
      <c r="F2062" s="87"/>
    </row>
    <row r="2063">
      <c r="A2063" s="147"/>
      <c r="B2063" s="148"/>
      <c r="C2063" s="87"/>
      <c r="D2063" s="37"/>
      <c r="E2063" s="37"/>
      <c r="F2063" s="87"/>
    </row>
    <row r="2064">
      <c r="A2064" s="147"/>
      <c r="B2064" s="148"/>
      <c r="C2064" s="87"/>
      <c r="D2064" s="37"/>
      <c r="E2064" s="37"/>
      <c r="F2064" s="87"/>
    </row>
    <row r="2065">
      <c r="A2065" s="147"/>
      <c r="B2065" s="148"/>
      <c r="C2065" s="87"/>
      <c r="D2065" s="37"/>
      <c r="E2065" s="37"/>
      <c r="F2065" s="87"/>
    </row>
    <row r="2066">
      <c r="A2066" s="147"/>
      <c r="B2066" s="148"/>
      <c r="C2066" s="87"/>
      <c r="D2066" s="37"/>
      <c r="E2066" s="37"/>
      <c r="F2066" s="87"/>
    </row>
    <row r="2067">
      <c r="A2067" s="147"/>
      <c r="B2067" s="148"/>
      <c r="C2067" s="87"/>
      <c r="D2067" s="37"/>
      <c r="E2067" s="37"/>
      <c r="F2067" s="87"/>
    </row>
    <row r="2068">
      <c r="A2068" s="147"/>
      <c r="B2068" s="148"/>
      <c r="C2068" s="87"/>
      <c r="D2068" s="37"/>
      <c r="E2068" s="37"/>
      <c r="F2068" s="87"/>
    </row>
    <row r="2069">
      <c r="A2069" s="147"/>
      <c r="B2069" s="148"/>
      <c r="C2069" s="87"/>
      <c r="D2069" s="37"/>
      <c r="E2069" s="37"/>
      <c r="F2069" s="87"/>
    </row>
    <row r="2070">
      <c r="A2070" s="147"/>
      <c r="B2070" s="148"/>
      <c r="C2070" s="87"/>
      <c r="D2070" s="37"/>
      <c r="E2070" s="37"/>
      <c r="F2070" s="87"/>
    </row>
    <row r="2071">
      <c r="A2071" s="147"/>
      <c r="B2071" s="148"/>
      <c r="C2071" s="87"/>
      <c r="D2071" s="37"/>
      <c r="E2071" s="37"/>
      <c r="F2071" s="87"/>
    </row>
    <row r="2072">
      <c r="A2072" s="147"/>
      <c r="B2072" s="148"/>
      <c r="C2072" s="87"/>
      <c r="D2072" s="37"/>
      <c r="E2072" s="37"/>
      <c r="F2072" s="87"/>
    </row>
    <row r="2073">
      <c r="A2073" s="147"/>
      <c r="B2073" s="148"/>
      <c r="C2073" s="87"/>
      <c r="D2073" s="37"/>
      <c r="E2073" s="37"/>
      <c r="F2073" s="87"/>
    </row>
    <row r="2074">
      <c r="A2074" s="147"/>
      <c r="B2074" s="148"/>
      <c r="C2074" s="87"/>
      <c r="D2074" s="37"/>
      <c r="E2074" s="37"/>
      <c r="F2074" s="87"/>
    </row>
    <row r="2075">
      <c r="A2075" s="147"/>
      <c r="B2075" s="148"/>
      <c r="C2075" s="87"/>
      <c r="D2075" s="37"/>
      <c r="E2075" s="37"/>
      <c r="F2075" s="87"/>
    </row>
    <row r="2076">
      <c r="A2076" s="147"/>
      <c r="B2076" s="148"/>
      <c r="C2076" s="87"/>
      <c r="D2076" s="37"/>
      <c r="E2076" s="37"/>
      <c r="F2076" s="87"/>
    </row>
    <row r="2077">
      <c r="A2077" s="147"/>
      <c r="B2077" s="148"/>
      <c r="C2077" s="87"/>
      <c r="D2077" s="37"/>
      <c r="E2077" s="37"/>
      <c r="F2077" s="87"/>
    </row>
    <row r="2078">
      <c r="A2078" s="147"/>
      <c r="B2078" s="148"/>
      <c r="C2078" s="87"/>
      <c r="D2078" s="37"/>
      <c r="E2078" s="37"/>
      <c r="F2078" s="87"/>
    </row>
    <row r="2079">
      <c r="A2079" s="147"/>
      <c r="B2079" s="148"/>
      <c r="C2079" s="87"/>
      <c r="D2079" s="37"/>
      <c r="E2079" s="37"/>
      <c r="F2079" s="87"/>
    </row>
    <row r="2080">
      <c r="A2080" s="147"/>
      <c r="B2080" s="148"/>
      <c r="C2080" s="87"/>
      <c r="D2080" s="37"/>
      <c r="E2080" s="37"/>
      <c r="F2080" s="87"/>
    </row>
    <row r="2081">
      <c r="A2081" s="147"/>
      <c r="B2081" s="148"/>
      <c r="C2081" s="87"/>
      <c r="D2081" s="37"/>
      <c r="E2081" s="37"/>
      <c r="F2081" s="87"/>
    </row>
    <row r="2082">
      <c r="A2082" s="147"/>
      <c r="B2082" s="148"/>
      <c r="C2082" s="87"/>
      <c r="D2082" s="37"/>
      <c r="E2082" s="37"/>
      <c r="F2082" s="87"/>
    </row>
    <row r="2083">
      <c r="A2083" s="147"/>
      <c r="B2083" s="148"/>
      <c r="C2083" s="87"/>
      <c r="D2083" s="37"/>
      <c r="E2083" s="37"/>
      <c r="F2083" s="87"/>
    </row>
    <row r="2084">
      <c r="A2084" s="147"/>
      <c r="B2084" s="148"/>
      <c r="C2084" s="87"/>
      <c r="D2084" s="37"/>
      <c r="E2084" s="37"/>
      <c r="F2084" s="87"/>
    </row>
    <row r="2085">
      <c r="A2085" s="147"/>
      <c r="B2085" s="148"/>
      <c r="C2085" s="87"/>
      <c r="D2085" s="37"/>
      <c r="E2085" s="37"/>
      <c r="F2085" s="87"/>
    </row>
    <row r="2086">
      <c r="A2086" s="147"/>
      <c r="B2086" s="148"/>
      <c r="C2086" s="87"/>
      <c r="D2086" s="37"/>
      <c r="E2086" s="37"/>
      <c r="F2086" s="87"/>
    </row>
    <row r="2087">
      <c r="A2087" s="147"/>
      <c r="B2087" s="148"/>
      <c r="C2087" s="87"/>
      <c r="D2087" s="37"/>
      <c r="E2087" s="37"/>
      <c r="F2087" s="87"/>
    </row>
    <row r="2088">
      <c r="A2088" s="147"/>
      <c r="B2088" s="148"/>
      <c r="C2088" s="87"/>
      <c r="D2088" s="37"/>
      <c r="E2088" s="37"/>
      <c r="F2088" s="87"/>
    </row>
    <row r="2089">
      <c r="A2089" s="147"/>
      <c r="B2089" s="148"/>
      <c r="C2089" s="87"/>
      <c r="D2089" s="37"/>
      <c r="E2089" s="37"/>
      <c r="F2089" s="87"/>
    </row>
    <row r="2090">
      <c r="A2090" s="147"/>
      <c r="B2090" s="148"/>
      <c r="C2090" s="87"/>
      <c r="D2090" s="37"/>
      <c r="E2090" s="37"/>
      <c r="F2090" s="87"/>
    </row>
    <row r="2091">
      <c r="A2091" s="147"/>
      <c r="B2091" s="148"/>
      <c r="C2091" s="87"/>
      <c r="D2091" s="37"/>
      <c r="E2091" s="37"/>
      <c r="F2091" s="87"/>
    </row>
    <row r="2092">
      <c r="A2092" s="147"/>
      <c r="B2092" s="148"/>
      <c r="C2092" s="87"/>
      <c r="D2092" s="37"/>
      <c r="E2092" s="37"/>
      <c r="F2092" s="87"/>
    </row>
    <row r="2093">
      <c r="A2093" s="147"/>
      <c r="B2093" s="148"/>
      <c r="C2093" s="87"/>
      <c r="D2093" s="37"/>
      <c r="E2093" s="37"/>
      <c r="F2093" s="87"/>
    </row>
    <row r="2094">
      <c r="A2094" s="147"/>
      <c r="B2094" s="148"/>
      <c r="C2094" s="87"/>
      <c r="D2094" s="37"/>
      <c r="E2094" s="37"/>
      <c r="F2094" s="87"/>
    </row>
    <row r="2095">
      <c r="A2095" s="147"/>
      <c r="B2095" s="148"/>
      <c r="C2095" s="87"/>
      <c r="D2095" s="37"/>
      <c r="E2095" s="37"/>
      <c r="F2095" s="87"/>
    </row>
    <row r="2096">
      <c r="A2096" s="147"/>
      <c r="B2096" s="148"/>
      <c r="C2096" s="87"/>
      <c r="D2096" s="37"/>
      <c r="E2096" s="37"/>
      <c r="F2096" s="87"/>
    </row>
    <row r="2097">
      <c r="A2097" s="147"/>
      <c r="B2097" s="148"/>
      <c r="C2097" s="87"/>
      <c r="D2097" s="37"/>
      <c r="E2097" s="37"/>
      <c r="F2097" s="87"/>
    </row>
    <row r="2098">
      <c r="A2098" s="147"/>
      <c r="B2098" s="148"/>
      <c r="C2098" s="87"/>
      <c r="D2098" s="37"/>
      <c r="E2098" s="37"/>
      <c r="F2098" s="87"/>
    </row>
    <row r="2099">
      <c r="A2099" s="147"/>
      <c r="B2099" s="148"/>
      <c r="C2099" s="87"/>
      <c r="D2099" s="37"/>
      <c r="E2099" s="37"/>
      <c r="F2099" s="87"/>
    </row>
    <row r="2100">
      <c r="A2100" s="147"/>
      <c r="B2100" s="148"/>
      <c r="C2100" s="87"/>
      <c r="D2100" s="37"/>
      <c r="E2100" s="37"/>
      <c r="F2100" s="87"/>
    </row>
    <row r="2101">
      <c r="A2101" s="147"/>
      <c r="B2101" s="148"/>
      <c r="C2101" s="87"/>
      <c r="D2101" s="37"/>
      <c r="E2101" s="37"/>
      <c r="F2101" s="87"/>
    </row>
    <row r="2102">
      <c r="A2102" s="147"/>
      <c r="B2102" s="148"/>
      <c r="C2102" s="87"/>
      <c r="D2102" s="37"/>
      <c r="E2102" s="37"/>
      <c r="F2102" s="87"/>
    </row>
    <row r="2103">
      <c r="A2103" s="147"/>
      <c r="B2103" s="148"/>
      <c r="C2103" s="87"/>
      <c r="D2103" s="37"/>
      <c r="E2103" s="37"/>
      <c r="F2103" s="87"/>
    </row>
    <row r="2104">
      <c r="A2104" s="147"/>
      <c r="B2104" s="148"/>
      <c r="C2104" s="87"/>
      <c r="D2104" s="37"/>
      <c r="E2104" s="37"/>
      <c r="F2104" s="87"/>
    </row>
    <row r="2105">
      <c r="A2105" s="147"/>
      <c r="B2105" s="148"/>
      <c r="C2105" s="87"/>
      <c r="D2105" s="37"/>
      <c r="E2105" s="37"/>
      <c r="F2105" s="87"/>
    </row>
    <row r="2106">
      <c r="A2106" s="147"/>
      <c r="B2106" s="148"/>
      <c r="C2106" s="87"/>
      <c r="D2106" s="37"/>
      <c r="E2106" s="37"/>
      <c r="F2106" s="87"/>
    </row>
    <row r="2107">
      <c r="A2107" s="147"/>
      <c r="B2107" s="148"/>
      <c r="C2107" s="87"/>
      <c r="D2107" s="37"/>
      <c r="E2107" s="37"/>
      <c r="F2107" s="87"/>
    </row>
    <row r="2108">
      <c r="A2108" s="147"/>
      <c r="B2108" s="148"/>
      <c r="C2108" s="87"/>
      <c r="D2108" s="37"/>
      <c r="E2108" s="37"/>
      <c r="F2108" s="87"/>
    </row>
    <row r="2109">
      <c r="A2109" s="147"/>
      <c r="B2109" s="148"/>
      <c r="C2109" s="87"/>
      <c r="D2109" s="37"/>
      <c r="E2109" s="37"/>
      <c r="F2109" s="87"/>
    </row>
    <row r="2110">
      <c r="A2110" s="147"/>
      <c r="B2110" s="148"/>
      <c r="C2110" s="87"/>
      <c r="D2110" s="37"/>
      <c r="E2110" s="37"/>
      <c r="F2110" s="87"/>
    </row>
    <row r="2111">
      <c r="A2111" s="147"/>
      <c r="B2111" s="148"/>
      <c r="C2111" s="87"/>
      <c r="D2111" s="37"/>
      <c r="E2111" s="37"/>
      <c r="F2111" s="87"/>
    </row>
    <row r="2112">
      <c r="A2112" s="147"/>
      <c r="B2112" s="148"/>
      <c r="C2112" s="87"/>
      <c r="D2112" s="37"/>
      <c r="E2112" s="37"/>
      <c r="F2112" s="87"/>
    </row>
    <row r="2113">
      <c r="A2113" s="147"/>
      <c r="B2113" s="148"/>
      <c r="C2113" s="87"/>
      <c r="D2113" s="37"/>
      <c r="E2113" s="37"/>
      <c r="F2113" s="87"/>
    </row>
    <row r="2114">
      <c r="A2114" s="147"/>
      <c r="B2114" s="148"/>
      <c r="C2114" s="87"/>
      <c r="D2114" s="37"/>
      <c r="E2114" s="37"/>
      <c r="F2114" s="87"/>
    </row>
    <row r="2115">
      <c r="A2115" s="147"/>
      <c r="B2115" s="148"/>
      <c r="C2115" s="87"/>
      <c r="D2115" s="37"/>
      <c r="E2115" s="37"/>
      <c r="F2115" s="87"/>
    </row>
    <row r="2116">
      <c r="A2116" s="147"/>
      <c r="B2116" s="148"/>
      <c r="C2116" s="87"/>
      <c r="D2116" s="37"/>
      <c r="E2116" s="37"/>
      <c r="F2116" s="87"/>
    </row>
    <row r="2117">
      <c r="A2117" s="147"/>
      <c r="B2117" s="148"/>
      <c r="C2117" s="87"/>
      <c r="D2117" s="37"/>
      <c r="E2117" s="37"/>
      <c r="F2117" s="87"/>
    </row>
    <row r="2118">
      <c r="A2118" s="147"/>
      <c r="B2118" s="148"/>
      <c r="C2118" s="87"/>
      <c r="D2118" s="37"/>
      <c r="E2118" s="37"/>
      <c r="F2118" s="87"/>
    </row>
    <row r="2119">
      <c r="A2119" s="147"/>
      <c r="B2119" s="148"/>
      <c r="C2119" s="87"/>
      <c r="D2119" s="37"/>
      <c r="E2119" s="37"/>
      <c r="F2119" s="87"/>
    </row>
    <row r="2120">
      <c r="A2120" s="147"/>
      <c r="B2120" s="148"/>
      <c r="C2120" s="87"/>
      <c r="D2120" s="37"/>
      <c r="E2120" s="37"/>
      <c r="F2120" s="87"/>
    </row>
    <row r="2121">
      <c r="A2121" s="147"/>
      <c r="B2121" s="148"/>
      <c r="C2121" s="87"/>
      <c r="D2121" s="37"/>
      <c r="E2121" s="37"/>
      <c r="F2121" s="87"/>
    </row>
    <row r="2122">
      <c r="A2122" s="147"/>
      <c r="B2122" s="148"/>
      <c r="C2122" s="87"/>
      <c r="D2122" s="37"/>
      <c r="E2122" s="37"/>
      <c r="F2122" s="87"/>
    </row>
    <row r="2123">
      <c r="A2123" s="147"/>
      <c r="B2123" s="148"/>
      <c r="C2123" s="87"/>
      <c r="D2123" s="37"/>
      <c r="E2123" s="37"/>
      <c r="F2123" s="87"/>
    </row>
    <row r="2124">
      <c r="A2124" s="147"/>
      <c r="B2124" s="148"/>
      <c r="C2124" s="87"/>
      <c r="D2124" s="37"/>
      <c r="E2124" s="37"/>
      <c r="F2124" s="87"/>
    </row>
    <row r="2125">
      <c r="A2125" s="147"/>
      <c r="B2125" s="148"/>
      <c r="C2125" s="87"/>
      <c r="D2125" s="37"/>
      <c r="E2125" s="37"/>
      <c r="F2125" s="87"/>
    </row>
    <row r="2126">
      <c r="A2126" s="147"/>
      <c r="B2126" s="148"/>
      <c r="C2126" s="87"/>
      <c r="D2126" s="37"/>
      <c r="E2126" s="37"/>
      <c r="F2126" s="87"/>
    </row>
    <row r="2127">
      <c r="A2127" s="147"/>
      <c r="B2127" s="148"/>
      <c r="C2127" s="87"/>
      <c r="D2127" s="37"/>
      <c r="E2127" s="37"/>
      <c r="F2127" s="87"/>
    </row>
    <row r="2128">
      <c r="A2128" s="147"/>
      <c r="B2128" s="148"/>
      <c r="C2128" s="87"/>
      <c r="D2128" s="37"/>
      <c r="E2128" s="37"/>
      <c r="F2128" s="87"/>
    </row>
    <row r="2129">
      <c r="A2129" s="147"/>
      <c r="B2129" s="148"/>
      <c r="C2129" s="87"/>
      <c r="D2129" s="37"/>
      <c r="E2129" s="37"/>
      <c r="F2129" s="87"/>
    </row>
    <row r="2130">
      <c r="A2130" s="147"/>
      <c r="B2130" s="148"/>
      <c r="C2130" s="87"/>
      <c r="D2130" s="37"/>
      <c r="E2130" s="37"/>
      <c r="F2130" s="87"/>
    </row>
    <row r="2131">
      <c r="A2131" s="147"/>
      <c r="B2131" s="148"/>
      <c r="C2131" s="87"/>
      <c r="D2131" s="37"/>
      <c r="E2131" s="37"/>
      <c r="F2131" s="87"/>
    </row>
    <row r="2132">
      <c r="A2132" s="147"/>
      <c r="B2132" s="148"/>
      <c r="C2132" s="87"/>
      <c r="D2132" s="37"/>
      <c r="E2132" s="37"/>
      <c r="F2132" s="87"/>
    </row>
    <row r="2133">
      <c r="A2133" s="147"/>
      <c r="B2133" s="148"/>
      <c r="C2133" s="87"/>
      <c r="D2133" s="37"/>
      <c r="E2133" s="37"/>
      <c r="F2133" s="87"/>
    </row>
    <row r="2134">
      <c r="A2134" s="147"/>
      <c r="B2134" s="148"/>
      <c r="C2134" s="87"/>
      <c r="D2134" s="37"/>
      <c r="E2134" s="37"/>
      <c r="F2134" s="87"/>
    </row>
    <row r="2135">
      <c r="A2135" s="147"/>
      <c r="B2135" s="148"/>
      <c r="C2135" s="87"/>
      <c r="D2135" s="37"/>
      <c r="E2135" s="37"/>
      <c r="F2135" s="87"/>
    </row>
    <row r="2136">
      <c r="A2136" s="147"/>
      <c r="B2136" s="148"/>
      <c r="C2136" s="87"/>
      <c r="D2136" s="37"/>
      <c r="E2136" s="37"/>
      <c r="F2136" s="87"/>
    </row>
    <row r="2137">
      <c r="A2137" s="147"/>
      <c r="B2137" s="148"/>
      <c r="C2137" s="87"/>
      <c r="D2137" s="37"/>
      <c r="E2137" s="37"/>
      <c r="F2137" s="87"/>
    </row>
    <row r="2138">
      <c r="A2138" s="147"/>
      <c r="B2138" s="148"/>
      <c r="C2138" s="87"/>
      <c r="D2138" s="37"/>
      <c r="E2138" s="37"/>
      <c r="F2138" s="87"/>
    </row>
    <row r="2139">
      <c r="A2139" s="147"/>
      <c r="B2139" s="148"/>
      <c r="C2139" s="87"/>
      <c r="D2139" s="37"/>
      <c r="E2139" s="37"/>
      <c r="F2139" s="87"/>
    </row>
    <row r="2140">
      <c r="A2140" s="147"/>
      <c r="B2140" s="148"/>
      <c r="C2140" s="87"/>
      <c r="D2140" s="37"/>
      <c r="E2140" s="37"/>
      <c r="F2140" s="87"/>
    </row>
    <row r="2141">
      <c r="A2141" s="147"/>
      <c r="B2141" s="148"/>
      <c r="C2141" s="87"/>
      <c r="D2141" s="37"/>
      <c r="E2141" s="37"/>
      <c r="F2141" s="87"/>
    </row>
    <row r="2142">
      <c r="A2142" s="147"/>
      <c r="B2142" s="148"/>
      <c r="C2142" s="87"/>
      <c r="D2142" s="37"/>
      <c r="E2142" s="37"/>
      <c r="F2142" s="87"/>
    </row>
    <row r="2143">
      <c r="A2143" s="147"/>
      <c r="B2143" s="148"/>
      <c r="C2143" s="87"/>
      <c r="D2143" s="37"/>
      <c r="E2143" s="37"/>
      <c r="F2143" s="87"/>
    </row>
    <row r="2144">
      <c r="A2144" s="147"/>
      <c r="B2144" s="148"/>
      <c r="C2144" s="87"/>
      <c r="D2144" s="37"/>
      <c r="E2144" s="37"/>
      <c r="F2144" s="87"/>
    </row>
    <row r="2145">
      <c r="A2145" s="147"/>
      <c r="B2145" s="148"/>
      <c r="C2145" s="87"/>
      <c r="D2145" s="37"/>
      <c r="E2145" s="37"/>
      <c r="F2145" s="87"/>
    </row>
    <row r="2146">
      <c r="A2146" s="147"/>
      <c r="B2146" s="148"/>
      <c r="C2146" s="87"/>
      <c r="D2146" s="37"/>
      <c r="E2146" s="37"/>
      <c r="F2146" s="87"/>
    </row>
    <row r="2147">
      <c r="A2147" s="147"/>
      <c r="B2147" s="148"/>
      <c r="C2147" s="87"/>
      <c r="D2147" s="37"/>
      <c r="E2147" s="37"/>
      <c r="F2147" s="87"/>
    </row>
    <row r="2148">
      <c r="A2148" s="147"/>
      <c r="B2148" s="148"/>
      <c r="C2148" s="87"/>
      <c r="D2148" s="37"/>
      <c r="E2148" s="37"/>
      <c r="F2148" s="87"/>
    </row>
    <row r="2149">
      <c r="A2149" s="147"/>
      <c r="B2149" s="148"/>
      <c r="C2149" s="87"/>
      <c r="D2149" s="37"/>
      <c r="E2149" s="37"/>
      <c r="F2149" s="87"/>
    </row>
    <row r="2150">
      <c r="A2150" s="147"/>
      <c r="B2150" s="148"/>
      <c r="C2150" s="87"/>
      <c r="D2150" s="37"/>
      <c r="E2150" s="37"/>
      <c r="F2150" s="87"/>
    </row>
    <row r="2151">
      <c r="A2151" s="147"/>
      <c r="B2151" s="148"/>
      <c r="C2151" s="87"/>
      <c r="D2151" s="37"/>
      <c r="E2151" s="37"/>
      <c r="F2151" s="87"/>
    </row>
    <row r="2152">
      <c r="A2152" s="147"/>
      <c r="B2152" s="148"/>
      <c r="C2152" s="87"/>
      <c r="D2152" s="37"/>
      <c r="E2152" s="37"/>
      <c r="F2152" s="87"/>
    </row>
    <row r="2153">
      <c r="A2153" s="147"/>
      <c r="B2153" s="148"/>
      <c r="C2153" s="87"/>
      <c r="D2153" s="37"/>
      <c r="E2153" s="37"/>
      <c r="F2153" s="87"/>
    </row>
    <row r="2154">
      <c r="A2154" s="147"/>
      <c r="B2154" s="148"/>
      <c r="C2154" s="87"/>
      <c r="D2154" s="37"/>
      <c r="E2154" s="37"/>
      <c r="F2154" s="87"/>
    </row>
    <row r="2155">
      <c r="A2155" s="147"/>
      <c r="B2155" s="148"/>
      <c r="C2155" s="87"/>
      <c r="D2155" s="37"/>
      <c r="E2155" s="37"/>
      <c r="F2155" s="87"/>
    </row>
    <row r="2156">
      <c r="A2156" s="147"/>
      <c r="B2156" s="148"/>
      <c r="C2156" s="87"/>
      <c r="D2156" s="37"/>
      <c r="E2156" s="37"/>
      <c r="F2156" s="87"/>
    </row>
    <row r="2157">
      <c r="A2157" s="147"/>
      <c r="B2157" s="148"/>
      <c r="C2157" s="87"/>
      <c r="D2157" s="37"/>
      <c r="E2157" s="37"/>
      <c r="F2157" s="87"/>
    </row>
    <row r="2158">
      <c r="A2158" s="147"/>
      <c r="B2158" s="148"/>
      <c r="C2158" s="87"/>
      <c r="D2158" s="37"/>
      <c r="E2158" s="37"/>
      <c r="F2158" s="87"/>
    </row>
    <row r="2159">
      <c r="A2159" s="147"/>
      <c r="B2159" s="148"/>
      <c r="C2159" s="87"/>
      <c r="D2159" s="37"/>
      <c r="E2159" s="37"/>
      <c r="F2159" s="87"/>
    </row>
    <row r="2160">
      <c r="A2160" s="147"/>
      <c r="B2160" s="148"/>
      <c r="C2160" s="87"/>
      <c r="D2160" s="37"/>
      <c r="E2160" s="37"/>
      <c r="F2160" s="87"/>
    </row>
    <row r="2161">
      <c r="A2161" s="147"/>
      <c r="B2161" s="148"/>
      <c r="C2161" s="87"/>
      <c r="D2161" s="37"/>
      <c r="E2161" s="37"/>
      <c r="F2161" s="87"/>
    </row>
    <row r="2162">
      <c r="A2162" s="147"/>
      <c r="B2162" s="148"/>
      <c r="C2162" s="87"/>
      <c r="D2162" s="37"/>
      <c r="E2162" s="37"/>
      <c r="F2162" s="87"/>
    </row>
    <row r="2163">
      <c r="A2163" s="147"/>
      <c r="B2163" s="148"/>
      <c r="C2163" s="87"/>
      <c r="D2163" s="37"/>
      <c r="E2163" s="37"/>
      <c r="F2163" s="87"/>
    </row>
    <row r="2164">
      <c r="A2164" s="147"/>
      <c r="B2164" s="148"/>
      <c r="C2164" s="87"/>
      <c r="D2164" s="37"/>
      <c r="E2164" s="37"/>
      <c r="F2164" s="87"/>
    </row>
    <row r="2165">
      <c r="A2165" s="147"/>
      <c r="B2165" s="148"/>
      <c r="C2165" s="87"/>
      <c r="D2165" s="37"/>
      <c r="E2165" s="37"/>
      <c r="F2165" s="87"/>
    </row>
    <row r="2166">
      <c r="A2166" s="147"/>
      <c r="B2166" s="148"/>
      <c r="C2166" s="87"/>
      <c r="D2166" s="37"/>
      <c r="E2166" s="37"/>
      <c r="F2166" s="87"/>
    </row>
    <row r="2167">
      <c r="A2167" s="147"/>
      <c r="B2167" s="148"/>
      <c r="C2167" s="87"/>
      <c r="D2167" s="37"/>
      <c r="E2167" s="37"/>
      <c r="F2167" s="87"/>
    </row>
    <row r="2168">
      <c r="A2168" s="147"/>
      <c r="B2168" s="148"/>
      <c r="C2168" s="87"/>
      <c r="D2168" s="37"/>
      <c r="E2168" s="37"/>
      <c r="F2168" s="87"/>
    </row>
    <row r="2169">
      <c r="A2169" s="147"/>
      <c r="B2169" s="148"/>
      <c r="C2169" s="87"/>
      <c r="D2169" s="37"/>
      <c r="E2169" s="37"/>
      <c r="F2169" s="87"/>
    </row>
    <row r="2170">
      <c r="A2170" s="147"/>
      <c r="B2170" s="148"/>
      <c r="C2170" s="87"/>
      <c r="D2170" s="37"/>
      <c r="E2170" s="37"/>
      <c r="F2170" s="87"/>
    </row>
    <row r="2171">
      <c r="A2171" s="147"/>
      <c r="B2171" s="148"/>
      <c r="C2171" s="87"/>
      <c r="D2171" s="37"/>
      <c r="E2171" s="37"/>
      <c r="F2171" s="87"/>
    </row>
    <row r="2172">
      <c r="A2172" s="147"/>
      <c r="B2172" s="148"/>
      <c r="C2172" s="87"/>
      <c r="D2172" s="37"/>
      <c r="E2172" s="37"/>
      <c r="F2172" s="87"/>
    </row>
    <row r="2173">
      <c r="A2173" s="147"/>
      <c r="B2173" s="148"/>
      <c r="C2173" s="87"/>
      <c r="D2173" s="37"/>
      <c r="E2173" s="37"/>
      <c r="F2173" s="87"/>
    </row>
    <row r="2174">
      <c r="A2174" s="147"/>
      <c r="B2174" s="148"/>
      <c r="C2174" s="87"/>
      <c r="D2174" s="37"/>
      <c r="E2174" s="37"/>
      <c r="F2174" s="87"/>
    </row>
    <row r="2175">
      <c r="A2175" s="147"/>
      <c r="B2175" s="148"/>
      <c r="C2175" s="87"/>
      <c r="D2175" s="37"/>
      <c r="E2175" s="37"/>
      <c r="F2175" s="87"/>
    </row>
    <row r="2176">
      <c r="A2176" s="147"/>
      <c r="B2176" s="148"/>
      <c r="C2176" s="87"/>
      <c r="D2176" s="37"/>
      <c r="E2176" s="37"/>
      <c r="F2176" s="87"/>
    </row>
    <row r="2177">
      <c r="A2177" s="147"/>
      <c r="B2177" s="148"/>
      <c r="C2177" s="87"/>
      <c r="D2177" s="37"/>
      <c r="E2177" s="37"/>
      <c r="F2177" s="87"/>
    </row>
    <row r="2178">
      <c r="A2178" s="147"/>
      <c r="B2178" s="148"/>
      <c r="C2178" s="87"/>
      <c r="D2178" s="37"/>
      <c r="E2178" s="37"/>
      <c r="F2178" s="87"/>
    </row>
    <row r="2179">
      <c r="A2179" s="147"/>
      <c r="B2179" s="148"/>
      <c r="C2179" s="87"/>
      <c r="D2179" s="37"/>
      <c r="E2179" s="37"/>
      <c r="F2179" s="87"/>
    </row>
    <row r="2180">
      <c r="A2180" s="147"/>
      <c r="B2180" s="148"/>
      <c r="C2180" s="87"/>
      <c r="D2180" s="37"/>
      <c r="E2180" s="37"/>
      <c r="F2180" s="87"/>
    </row>
    <row r="2181">
      <c r="A2181" s="147"/>
      <c r="B2181" s="148"/>
      <c r="C2181" s="87"/>
      <c r="D2181" s="37"/>
      <c r="E2181" s="37"/>
      <c r="F2181" s="87"/>
    </row>
    <row r="2182">
      <c r="A2182" s="147"/>
      <c r="B2182" s="148"/>
      <c r="C2182" s="87"/>
      <c r="D2182" s="37"/>
      <c r="E2182" s="37"/>
      <c r="F2182" s="87"/>
    </row>
    <row r="2183">
      <c r="A2183" s="147"/>
      <c r="B2183" s="148"/>
      <c r="C2183" s="87"/>
      <c r="D2183" s="37"/>
      <c r="E2183" s="37"/>
      <c r="F2183" s="87"/>
    </row>
    <row r="2184">
      <c r="A2184" s="147"/>
      <c r="B2184" s="148"/>
      <c r="C2184" s="87"/>
      <c r="D2184" s="37"/>
      <c r="E2184" s="37"/>
      <c r="F2184" s="87"/>
    </row>
    <row r="2185">
      <c r="A2185" s="147"/>
      <c r="B2185" s="148"/>
      <c r="C2185" s="87"/>
      <c r="D2185" s="37"/>
      <c r="E2185" s="37"/>
      <c r="F2185" s="87"/>
    </row>
    <row r="2186">
      <c r="A2186" s="147"/>
      <c r="B2186" s="148"/>
      <c r="C2186" s="87"/>
      <c r="D2186" s="37"/>
      <c r="E2186" s="37"/>
      <c r="F2186" s="87"/>
    </row>
    <row r="2187">
      <c r="A2187" s="147"/>
      <c r="B2187" s="148"/>
      <c r="C2187" s="87"/>
      <c r="D2187" s="37"/>
      <c r="E2187" s="37"/>
      <c r="F2187" s="87"/>
    </row>
    <row r="2188">
      <c r="A2188" s="147"/>
      <c r="B2188" s="148"/>
      <c r="C2188" s="87"/>
      <c r="D2188" s="37"/>
      <c r="E2188" s="37"/>
      <c r="F2188" s="87"/>
    </row>
    <row r="2189">
      <c r="A2189" s="147"/>
      <c r="B2189" s="148"/>
      <c r="C2189" s="87"/>
      <c r="D2189" s="37"/>
      <c r="E2189" s="37"/>
      <c r="F2189" s="87"/>
    </row>
    <row r="2190">
      <c r="A2190" s="147"/>
      <c r="B2190" s="148"/>
      <c r="C2190" s="87"/>
      <c r="D2190" s="37"/>
      <c r="E2190" s="37"/>
      <c r="F2190" s="87"/>
    </row>
    <row r="2191">
      <c r="A2191" s="147"/>
      <c r="B2191" s="148"/>
      <c r="C2191" s="87"/>
      <c r="D2191" s="37"/>
      <c r="E2191" s="37"/>
      <c r="F2191" s="87"/>
    </row>
    <row r="2192">
      <c r="A2192" s="147"/>
      <c r="B2192" s="148"/>
      <c r="C2192" s="87"/>
      <c r="D2192" s="37"/>
      <c r="E2192" s="37"/>
      <c r="F2192" s="87"/>
    </row>
    <row r="2193">
      <c r="A2193" s="147"/>
      <c r="B2193" s="148"/>
      <c r="C2193" s="87"/>
      <c r="D2193" s="37"/>
      <c r="E2193" s="37"/>
      <c r="F2193" s="87"/>
    </row>
    <row r="2194">
      <c r="A2194" s="147"/>
      <c r="B2194" s="148"/>
      <c r="C2194" s="87"/>
      <c r="D2194" s="37"/>
      <c r="E2194" s="37"/>
      <c r="F2194" s="87"/>
    </row>
    <row r="2195">
      <c r="A2195" s="147"/>
      <c r="B2195" s="148"/>
      <c r="C2195" s="87"/>
      <c r="D2195" s="37"/>
      <c r="E2195" s="37"/>
      <c r="F2195" s="87"/>
    </row>
    <row r="2196">
      <c r="A2196" s="147"/>
      <c r="B2196" s="148"/>
      <c r="C2196" s="87"/>
      <c r="D2196" s="37"/>
      <c r="E2196" s="37"/>
      <c r="F2196" s="87"/>
    </row>
    <row r="2197">
      <c r="A2197" s="147"/>
      <c r="B2197" s="148"/>
      <c r="C2197" s="87"/>
      <c r="D2197" s="37"/>
      <c r="E2197" s="37"/>
      <c r="F2197" s="87"/>
    </row>
    <row r="2198">
      <c r="A2198" s="147"/>
      <c r="B2198" s="148"/>
      <c r="C2198" s="87"/>
      <c r="D2198" s="37"/>
      <c r="E2198" s="37"/>
      <c r="F2198" s="87"/>
    </row>
    <row r="2199">
      <c r="A2199" s="147"/>
      <c r="B2199" s="148"/>
      <c r="C2199" s="87"/>
      <c r="D2199" s="37"/>
      <c r="E2199" s="37"/>
      <c r="F2199" s="87"/>
    </row>
    <row r="2200">
      <c r="A2200" s="147"/>
      <c r="B2200" s="148"/>
      <c r="C2200" s="87"/>
      <c r="D2200" s="37"/>
      <c r="E2200" s="37"/>
      <c r="F2200" s="87"/>
    </row>
    <row r="2201">
      <c r="A2201" s="147"/>
      <c r="B2201" s="148"/>
      <c r="C2201" s="87"/>
      <c r="D2201" s="37"/>
      <c r="E2201" s="37"/>
      <c r="F2201" s="87"/>
    </row>
    <row r="2202">
      <c r="A2202" s="147"/>
      <c r="B2202" s="148"/>
      <c r="C2202" s="87"/>
      <c r="D2202" s="37"/>
      <c r="E2202" s="37"/>
      <c r="F2202" s="87"/>
    </row>
    <row r="2203">
      <c r="A2203" s="147"/>
      <c r="B2203" s="148"/>
      <c r="C2203" s="87"/>
      <c r="D2203" s="37"/>
      <c r="E2203" s="37"/>
      <c r="F2203" s="87"/>
    </row>
    <row r="2204">
      <c r="A2204" s="147"/>
      <c r="B2204" s="148"/>
      <c r="C2204" s="87"/>
      <c r="D2204" s="37"/>
      <c r="E2204" s="37"/>
      <c r="F2204" s="87"/>
    </row>
    <row r="2205">
      <c r="A2205" s="147"/>
      <c r="B2205" s="148"/>
      <c r="C2205" s="87"/>
      <c r="D2205" s="37"/>
      <c r="E2205" s="37"/>
      <c r="F2205" s="87"/>
    </row>
    <row r="2206">
      <c r="A2206" s="147"/>
      <c r="B2206" s="148"/>
      <c r="C2206" s="87"/>
      <c r="D2206" s="37"/>
      <c r="E2206" s="37"/>
      <c r="F2206" s="87"/>
    </row>
    <row r="2207">
      <c r="A2207" s="147"/>
      <c r="B2207" s="148"/>
      <c r="C2207" s="87"/>
      <c r="D2207" s="37"/>
      <c r="E2207" s="37"/>
      <c r="F2207" s="87"/>
    </row>
    <row r="2208">
      <c r="A2208" s="147"/>
      <c r="B2208" s="148"/>
      <c r="C2208" s="87"/>
      <c r="D2208" s="37"/>
      <c r="E2208" s="37"/>
      <c r="F2208" s="87"/>
    </row>
    <row r="2209">
      <c r="A2209" s="147"/>
      <c r="B2209" s="148"/>
      <c r="C2209" s="87"/>
      <c r="D2209" s="37"/>
      <c r="E2209" s="37"/>
      <c r="F2209" s="87"/>
    </row>
    <row r="2210">
      <c r="A2210" s="147"/>
      <c r="B2210" s="148"/>
      <c r="C2210" s="87"/>
      <c r="D2210" s="37"/>
      <c r="E2210" s="37"/>
      <c r="F2210" s="87"/>
    </row>
    <row r="2211">
      <c r="A2211" s="147"/>
      <c r="B2211" s="148"/>
      <c r="C2211" s="87"/>
      <c r="D2211" s="37"/>
      <c r="E2211" s="37"/>
      <c r="F2211" s="87"/>
    </row>
    <row r="2212">
      <c r="A2212" s="147"/>
      <c r="B2212" s="148"/>
      <c r="C2212" s="87"/>
      <c r="D2212" s="37"/>
      <c r="E2212" s="37"/>
      <c r="F2212" s="87"/>
    </row>
    <row r="2213">
      <c r="A2213" s="147"/>
      <c r="B2213" s="148"/>
      <c r="C2213" s="87"/>
      <c r="D2213" s="37"/>
      <c r="E2213" s="37"/>
      <c r="F2213" s="87"/>
    </row>
    <row r="2214">
      <c r="A2214" s="147"/>
      <c r="B2214" s="148"/>
      <c r="C2214" s="87"/>
      <c r="D2214" s="37"/>
      <c r="E2214" s="37"/>
      <c r="F2214" s="87"/>
    </row>
    <row r="2215">
      <c r="A2215" s="147"/>
      <c r="B2215" s="148"/>
      <c r="C2215" s="87"/>
      <c r="D2215" s="37"/>
      <c r="E2215" s="37"/>
      <c r="F2215" s="87"/>
    </row>
    <row r="2216">
      <c r="A2216" s="147"/>
      <c r="B2216" s="148"/>
      <c r="C2216" s="87"/>
      <c r="D2216" s="37"/>
      <c r="E2216" s="37"/>
      <c r="F2216" s="87"/>
    </row>
    <row r="2217">
      <c r="A2217" s="147"/>
      <c r="B2217" s="148"/>
      <c r="C2217" s="87"/>
      <c r="D2217" s="37"/>
      <c r="E2217" s="37"/>
      <c r="F2217" s="87"/>
    </row>
    <row r="2218">
      <c r="A2218" s="147"/>
      <c r="B2218" s="148"/>
      <c r="C2218" s="87"/>
      <c r="D2218" s="37"/>
      <c r="E2218" s="37"/>
      <c r="F2218" s="87"/>
    </row>
    <row r="2219">
      <c r="A2219" s="147"/>
      <c r="B2219" s="148"/>
      <c r="C2219" s="87"/>
      <c r="D2219" s="37"/>
      <c r="E2219" s="37"/>
      <c r="F2219" s="87"/>
    </row>
    <row r="2220">
      <c r="A2220" s="147"/>
      <c r="B2220" s="148"/>
      <c r="C2220" s="87"/>
      <c r="D2220" s="37"/>
      <c r="E2220" s="37"/>
      <c r="F2220" s="87"/>
    </row>
    <row r="2221">
      <c r="A2221" s="147"/>
      <c r="B2221" s="148"/>
      <c r="C2221" s="87"/>
      <c r="D2221" s="37"/>
      <c r="E2221" s="37"/>
      <c r="F2221" s="87"/>
    </row>
    <row r="2222">
      <c r="A2222" s="147"/>
      <c r="B2222" s="148"/>
      <c r="C2222" s="87"/>
      <c r="D2222" s="37"/>
      <c r="E2222" s="37"/>
      <c r="F2222" s="87"/>
    </row>
    <row r="2223">
      <c r="A2223" s="147"/>
      <c r="B2223" s="148"/>
      <c r="C2223" s="87"/>
      <c r="D2223" s="37"/>
      <c r="E2223" s="37"/>
      <c r="F2223" s="87"/>
    </row>
    <row r="2224">
      <c r="A2224" s="147"/>
      <c r="B2224" s="148"/>
      <c r="C2224" s="87"/>
      <c r="D2224" s="37"/>
      <c r="E2224" s="37"/>
      <c r="F2224" s="87"/>
    </row>
    <row r="2225">
      <c r="A2225" s="147"/>
      <c r="B2225" s="148"/>
      <c r="C2225" s="87"/>
      <c r="D2225" s="37"/>
      <c r="E2225" s="37"/>
      <c r="F2225" s="87"/>
    </row>
    <row r="2226">
      <c r="A2226" s="147"/>
      <c r="B2226" s="148"/>
      <c r="C2226" s="87"/>
      <c r="D2226" s="37"/>
      <c r="E2226" s="37"/>
      <c r="F2226" s="87"/>
    </row>
    <row r="2227">
      <c r="A2227" s="147"/>
      <c r="B2227" s="148"/>
      <c r="C2227" s="87"/>
      <c r="D2227" s="37"/>
      <c r="E2227" s="37"/>
      <c r="F2227" s="87"/>
    </row>
    <row r="2228">
      <c r="A2228" s="147"/>
      <c r="B2228" s="148"/>
      <c r="C2228" s="87"/>
      <c r="D2228" s="37"/>
      <c r="E2228" s="37"/>
      <c r="F2228" s="87"/>
    </row>
    <row r="2229">
      <c r="A2229" s="147"/>
      <c r="B2229" s="148"/>
      <c r="C2229" s="87"/>
      <c r="D2229" s="37"/>
      <c r="E2229" s="37"/>
      <c r="F2229" s="87"/>
    </row>
    <row r="2230">
      <c r="A2230" s="147"/>
      <c r="B2230" s="148"/>
      <c r="C2230" s="87"/>
      <c r="D2230" s="37"/>
      <c r="E2230" s="37"/>
      <c r="F2230" s="87"/>
    </row>
    <row r="2231">
      <c r="A2231" s="147"/>
      <c r="B2231" s="148"/>
      <c r="C2231" s="87"/>
      <c r="D2231" s="37"/>
      <c r="E2231" s="37"/>
      <c r="F2231" s="87"/>
    </row>
    <row r="2232">
      <c r="A2232" s="147"/>
      <c r="B2232" s="148"/>
      <c r="C2232" s="87"/>
      <c r="D2232" s="37"/>
      <c r="E2232" s="37"/>
      <c r="F2232" s="87"/>
    </row>
    <row r="2233">
      <c r="A2233" s="147"/>
      <c r="B2233" s="148"/>
      <c r="C2233" s="87"/>
      <c r="D2233" s="37"/>
      <c r="E2233" s="37"/>
      <c r="F2233" s="87"/>
    </row>
    <row r="2234">
      <c r="A2234" s="147"/>
      <c r="B2234" s="148"/>
      <c r="C2234" s="87"/>
      <c r="D2234" s="37"/>
      <c r="E2234" s="37"/>
      <c r="F2234" s="87"/>
    </row>
    <row r="2235">
      <c r="A2235" s="147"/>
      <c r="B2235" s="148"/>
      <c r="C2235" s="87"/>
      <c r="D2235" s="37"/>
      <c r="E2235" s="37"/>
      <c r="F2235" s="87"/>
    </row>
    <row r="2236">
      <c r="A2236" s="147"/>
      <c r="B2236" s="148"/>
      <c r="C2236" s="87"/>
      <c r="D2236" s="37"/>
      <c r="E2236" s="37"/>
      <c r="F2236" s="87"/>
    </row>
    <row r="2237">
      <c r="A2237" s="147"/>
      <c r="B2237" s="148"/>
      <c r="C2237" s="87"/>
      <c r="D2237" s="37"/>
      <c r="E2237" s="37"/>
      <c r="F2237" s="87"/>
    </row>
    <row r="2238">
      <c r="A2238" s="147"/>
      <c r="B2238" s="148"/>
      <c r="C2238" s="87"/>
      <c r="D2238" s="37"/>
      <c r="E2238" s="37"/>
      <c r="F2238" s="87"/>
    </row>
    <row r="2239">
      <c r="A2239" s="147"/>
      <c r="B2239" s="148"/>
      <c r="C2239" s="87"/>
      <c r="D2239" s="37"/>
      <c r="E2239" s="37"/>
      <c r="F2239" s="87"/>
    </row>
    <row r="2240">
      <c r="A2240" s="147"/>
      <c r="B2240" s="148"/>
      <c r="C2240" s="87"/>
      <c r="D2240" s="37"/>
      <c r="E2240" s="37"/>
      <c r="F2240" s="87"/>
    </row>
    <row r="2241">
      <c r="A2241" s="147"/>
      <c r="B2241" s="148"/>
      <c r="C2241" s="87"/>
      <c r="D2241" s="37"/>
      <c r="E2241" s="37"/>
      <c r="F2241" s="87"/>
    </row>
    <row r="2242">
      <c r="A2242" s="147"/>
      <c r="B2242" s="148"/>
      <c r="C2242" s="87"/>
      <c r="D2242" s="37"/>
      <c r="E2242" s="37"/>
      <c r="F2242" s="87"/>
    </row>
    <row r="2243">
      <c r="A2243" s="147"/>
      <c r="B2243" s="148"/>
      <c r="C2243" s="87"/>
      <c r="D2243" s="37"/>
      <c r="E2243" s="37"/>
      <c r="F2243" s="87"/>
    </row>
    <row r="2244">
      <c r="A2244" s="147"/>
      <c r="B2244" s="148"/>
      <c r="C2244" s="87"/>
      <c r="D2244" s="37"/>
      <c r="E2244" s="37"/>
      <c r="F2244" s="87"/>
    </row>
    <row r="2245">
      <c r="A2245" s="147"/>
      <c r="B2245" s="148"/>
      <c r="C2245" s="87"/>
      <c r="D2245" s="37"/>
      <c r="E2245" s="37"/>
      <c r="F2245" s="87"/>
    </row>
    <row r="2246">
      <c r="A2246" s="147"/>
      <c r="B2246" s="148"/>
      <c r="C2246" s="87"/>
      <c r="D2246" s="37"/>
      <c r="E2246" s="37"/>
      <c r="F2246" s="87"/>
    </row>
    <row r="2247">
      <c r="A2247" s="147"/>
      <c r="B2247" s="148"/>
      <c r="C2247" s="87"/>
      <c r="D2247" s="37"/>
      <c r="E2247" s="37"/>
      <c r="F2247" s="87"/>
    </row>
    <row r="2248">
      <c r="A2248" s="147"/>
      <c r="B2248" s="148"/>
      <c r="C2248" s="87"/>
      <c r="D2248" s="37"/>
      <c r="E2248" s="37"/>
      <c r="F2248" s="87"/>
    </row>
    <row r="2249">
      <c r="A2249" s="147"/>
      <c r="B2249" s="148"/>
      <c r="C2249" s="87"/>
      <c r="D2249" s="37"/>
      <c r="E2249" s="37"/>
      <c r="F2249" s="87"/>
    </row>
    <row r="2250">
      <c r="A2250" s="147"/>
      <c r="B2250" s="148"/>
      <c r="C2250" s="87"/>
      <c r="D2250" s="37"/>
      <c r="E2250" s="37"/>
      <c r="F2250" s="87"/>
    </row>
    <row r="2251">
      <c r="A2251" s="147"/>
      <c r="B2251" s="148"/>
      <c r="C2251" s="87"/>
      <c r="D2251" s="37"/>
      <c r="E2251" s="37"/>
      <c r="F2251" s="87"/>
    </row>
    <row r="2252">
      <c r="A2252" s="147"/>
      <c r="B2252" s="148"/>
      <c r="C2252" s="87"/>
      <c r="D2252" s="37"/>
      <c r="E2252" s="37"/>
      <c r="F2252" s="87"/>
    </row>
    <row r="2253">
      <c r="A2253" s="147"/>
      <c r="B2253" s="148"/>
      <c r="C2253" s="87"/>
      <c r="D2253" s="37"/>
      <c r="E2253" s="37"/>
      <c r="F2253" s="87"/>
    </row>
    <row r="2254">
      <c r="A2254" s="147"/>
      <c r="B2254" s="148"/>
      <c r="C2254" s="87"/>
      <c r="D2254" s="37"/>
      <c r="E2254" s="37"/>
      <c r="F2254" s="87"/>
    </row>
    <row r="2255">
      <c r="A2255" s="147"/>
      <c r="B2255" s="148"/>
      <c r="C2255" s="87"/>
      <c r="D2255" s="37"/>
      <c r="E2255" s="37"/>
      <c r="F2255" s="87"/>
    </row>
    <row r="2256">
      <c r="A2256" s="147"/>
      <c r="B2256" s="148"/>
      <c r="C2256" s="87"/>
      <c r="D2256" s="37"/>
      <c r="E2256" s="37"/>
      <c r="F2256" s="87"/>
    </row>
    <row r="2257">
      <c r="A2257" s="147"/>
      <c r="B2257" s="148"/>
      <c r="C2257" s="87"/>
      <c r="D2257" s="37"/>
      <c r="E2257" s="37"/>
      <c r="F2257" s="87"/>
    </row>
    <row r="2258">
      <c r="A2258" s="147"/>
      <c r="B2258" s="148"/>
      <c r="C2258" s="87"/>
      <c r="D2258" s="37"/>
      <c r="E2258" s="37"/>
      <c r="F2258" s="87"/>
    </row>
    <row r="2259">
      <c r="A2259" s="147"/>
      <c r="B2259" s="148"/>
      <c r="C2259" s="87"/>
      <c r="D2259" s="37"/>
      <c r="E2259" s="37"/>
      <c r="F2259" s="87"/>
    </row>
    <row r="2260">
      <c r="A2260" s="147"/>
      <c r="B2260" s="148"/>
      <c r="C2260" s="87"/>
      <c r="D2260" s="37"/>
      <c r="E2260" s="37"/>
      <c r="F2260" s="87"/>
    </row>
    <row r="2261">
      <c r="A2261" s="147"/>
      <c r="B2261" s="148"/>
      <c r="C2261" s="87"/>
      <c r="D2261" s="37"/>
      <c r="E2261" s="37"/>
      <c r="F2261" s="87"/>
    </row>
    <row r="2262">
      <c r="A2262" s="147"/>
      <c r="B2262" s="148"/>
      <c r="C2262" s="87"/>
      <c r="D2262" s="37"/>
      <c r="E2262" s="37"/>
      <c r="F2262" s="87"/>
    </row>
    <row r="2263">
      <c r="A2263" s="147"/>
      <c r="B2263" s="148"/>
      <c r="C2263" s="87"/>
      <c r="D2263" s="37"/>
      <c r="E2263" s="37"/>
      <c r="F2263" s="87"/>
    </row>
    <row r="2264">
      <c r="A2264" s="147"/>
      <c r="B2264" s="148"/>
      <c r="C2264" s="87"/>
      <c r="D2264" s="37"/>
      <c r="E2264" s="37"/>
      <c r="F2264" s="87"/>
    </row>
    <row r="2265">
      <c r="A2265" s="147"/>
      <c r="B2265" s="148"/>
      <c r="C2265" s="87"/>
      <c r="D2265" s="37"/>
      <c r="E2265" s="37"/>
      <c r="F2265" s="87"/>
    </row>
    <row r="2266">
      <c r="A2266" s="147"/>
      <c r="B2266" s="148"/>
      <c r="C2266" s="87"/>
      <c r="D2266" s="37"/>
      <c r="E2266" s="37"/>
      <c r="F2266" s="87"/>
    </row>
    <row r="2267">
      <c r="A2267" s="147"/>
      <c r="B2267" s="148"/>
      <c r="C2267" s="87"/>
      <c r="D2267" s="37"/>
      <c r="E2267" s="37"/>
      <c r="F2267" s="87"/>
    </row>
    <row r="2268">
      <c r="A2268" s="147"/>
      <c r="B2268" s="148"/>
      <c r="C2268" s="87"/>
      <c r="D2268" s="37"/>
      <c r="E2268" s="37"/>
      <c r="F2268" s="87"/>
    </row>
    <row r="2269">
      <c r="A2269" s="147"/>
      <c r="B2269" s="148"/>
      <c r="C2269" s="87"/>
      <c r="D2269" s="37"/>
      <c r="E2269" s="37"/>
      <c r="F2269" s="87"/>
    </row>
    <row r="2270">
      <c r="A2270" s="147"/>
      <c r="B2270" s="148"/>
      <c r="C2270" s="87"/>
      <c r="D2270" s="37"/>
      <c r="E2270" s="37"/>
      <c r="F2270" s="87"/>
    </row>
    <row r="2271">
      <c r="A2271" s="147"/>
      <c r="B2271" s="148"/>
      <c r="C2271" s="87"/>
      <c r="D2271" s="37"/>
      <c r="E2271" s="37"/>
      <c r="F2271" s="87"/>
    </row>
    <row r="2272">
      <c r="A2272" s="147"/>
      <c r="B2272" s="148"/>
      <c r="C2272" s="87"/>
      <c r="D2272" s="37"/>
      <c r="E2272" s="37"/>
      <c r="F2272" s="87"/>
    </row>
    <row r="2273">
      <c r="A2273" s="147"/>
      <c r="B2273" s="148"/>
      <c r="C2273" s="87"/>
      <c r="D2273" s="37"/>
      <c r="E2273" s="37"/>
      <c r="F2273" s="87"/>
    </row>
    <row r="2274">
      <c r="A2274" s="147"/>
      <c r="B2274" s="148"/>
      <c r="C2274" s="87"/>
      <c r="D2274" s="37"/>
      <c r="E2274" s="37"/>
      <c r="F2274" s="87"/>
    </row>
    <row r="2275">
      <c r="A2275" s="147"/>
      <c r="B2275" s="148"/>
      <c r="C2275" s="87"/>
      <c r="D2275" s="37"/>
      <c r="E2275" s="37"/>
      <c r="F2275" s="87"/>
    </row>
    <row r="2276">
      <c r="A2276" s="147"/>
      <c r="B2276" s="148"/>
      <c r="C2276" s="87"/>
      <c r="D2276" s="37"/>
      <c r="E2276" s="37"/>
      <c r="F2276" s="87"/>
    </row>
    <row r="2277">
      <c r="A2277" s="147"/>
      <c r="B2277" s="148"/>
      <c r="C2277" s="87"/>
      <c r="D2277" s="37"/>
      <c r="E2277" s="37"/>
      <c r="F2277" s="87"/>
    </row>
    <row r="2278">
      <c r="A2278" s="147"/>
      <c r="B2278" s="148"/>
      <c r="C2278" s="87"/>
      <c r="D2278" s="37"/>
      <c r="E2278" s="37"/>
      <c r="F2278" s="87"/>
    </row>
    <row r="2279">
      <c r="A2279" s="147"/>
      <c r="B2279" s="148"/>
      <c r="C2279" s="87"/>
      <c r="D2279" s="37"/>
      <c r="E2279" s="37"/>
      <c r="F2279" s="87"/>
    </row>
    <row r="2280">
      <c r="A2280" s="147"/>
      <c r="B2280" s="148"/>
      <c r="C2280" s="87"/>
      <c r="D2280" s="37"/>
      <c r="E2280" s="37"/>
      <c r="F2280" s="87"/>
    </row>
    <row r="2281">
      <c r="A2281" s="147"/>
      <c r="B2281" s="148"/>
      <c r="C2281" s="87"/>
      <c r="D2281" s="37"/>
      <c r="E2281" s="37"/>
      <c r="F2281" s="87"/>
    </row>
    <row r="2282">
      <c r="A2282" s="147"/>
      <c r="B2282" s="148"/>
      <c r="C2282" s="87"/>
      <c r="D2282" s="37"/>
      <c r="E2282" s="37"/>
      <c r="F2282" s="87"/>
    </row>
    <row r="2283">
      <c r="A2283" s="147"/>
      <c r="B2283" s="148"/>
      <c r="C2283" s="87"/>
      <c r="D2283" s="37"/>
      <c r="E2283" s="37"/>
      <c r="F2283" s="87"/>
    </row>
    <row r="2284">
      <c r="A2284" s="147"/>
      <c r="B2284" s="148"/>
      <c r="C2284" s="87"/>
      <c r="D2284" s="37"/>
      <c r="E2284" s="37"/>
      <c r="F2284" s="87"/>
    </row>
    <row r="2285">
      <c r="A2285" s="147"/>
      <c r="B2285" s="148"/>
      <c r="C2285" s="87"/>
      <c r="D2285" s="37"/>
      <c r="E2285" s="37"/>
      <c r="F2285" s="87"/>
    </row>
    <row r="2286">
      <c r="A2286" s="147"/>
      <c r="B2286" s="148"/>
      <c r="C2286" s="87"/>
      <c r="D2286" s="37"/>
      <c r="E2286" s="37"/>
      <c r="F2286" s="87"/>
    </row>
    <row r="2287">
      <c r="A2287" s="147"/>
      <c r="B2287" s="148"/>
      <c r="C2287" s="87"/>
      <c r="D2287" s="37"/>
      <c r="E2287" s="37"/>
      <c r="F2287" s="87"/>
    </row>
    <row r="2288">
      <c r="A2288" s="147"/>
      <c r="B2288" s="148"/>
      <c r="C2288" s="87"/>
      <c r="D2288" s="37"/>
      <c r="E2288" s="37"/>
      <c r="F2288" s="87"/>
    </row>
    <row r="2289">
      <c r="A2289" s="147"/>
      <c r="B2289" s="148"/>
      <c r="C2289" s="87"/>
      <c r="D2289" s="37"/>
      <c r="E2289" s="37"/>
      <c r="F2289" s="87"/>
    </row>
    <row r="2290">
      <c r="A2290" s="147"/>
      <c r="B2290" s="148"/>
      <c r="C2290" s="87"/>
      <c r="D2290" s="37"/>
      <c r="E2290" s="37"/>
      <c r="F2290" s="87"/>
    </row>
    <row r="2291">
      <c r="A2291" s="147"/>
      <c r="B2291" s="148"/>
      <c r="C2291" s="87"/>
      <c r="D2291" s="37"/>
      <c r="E2291" s="37"/>
      <c r="F2291" s="87"/>
    </row>
    <row r="2292">
      <c r="A2292" s="147"/>
      <c r="B2292" s="148"/>
      <c r="C2292" s="87"/>
      <c r="D2292" s="37"/>
      <c r="E2292" s="37"/>
      <c r="F2292" s="87"/>
    </row>
    <row r="2293">
      <c r="A2293" s="147"/>
      <c r="B2293" s="148"/>
      <c r="C2293" s="87"/>
      <c r="D2293" s="37"/>
      <c r="E2293" s="37"/>
      <c r="F2293" s="87"/>
    </row>
    <row r="2294">
      <c r="A2294" s="147"/>
      <c r="B2294" s="148"/>
      <c r="C2294" s="87"/>
      <c r="D2294" s="37"/>
      <c r="E2294" s="37"/>
      <c r="F2294" s="87"/>
    </row>
    <row r="2295">
      <c r="A2295" s="147"/>
      <c r="B2295" s="148"/>
      <c r="C2295" s="87"/>
      <c r="D2295" s="37"/>
      <c r="E2295" s="37"/>
      <c r="F2295" s="87"/>
    </row>
    <row r="2296">
      <c r="A2296" s="147"/>
      <c r="B2296" s="148"/>
      <c r="C2296" s="87"/>
      <c r="D2296" s="37"/>
      <c r="E2296" s="37"/>
      <c r="F2296" s="87"/>
    </row>
    <row r="2297">
      <c r="A2297" s="147"/>
      <c r="B2297" s="148"/>
      <c r="C2297" s="87"/>
      <c r="D2297" s="37"/>
      <c r="E2297" s="37"/>
      <c r="F2297" s="87"/>
    </row>
    <row r="2298">
      <c r="A2298" s="147"/>
      <c r="B2298" s="148"/>
      <c r="C2298" s="87"/>
      <c r="D2298" s="37"/>
      <c r="E2298" s="37"/>
      <c r="F2298" s="87"/>
    </row>
    <row r="2299">
      <c r="A2299" s="147"/>
      <c r="B2299" s="148"/>
      <c r="C2299" s="87"/>
      <c r="D2299" s="37"/>
      <c r="E2299" s="37"/>
      <c r="F2299" s="87"/>
    </row>
    <row r="2300">
      <c r="A2300" s="147"/>
      <c r="B2300" s="148"/>
      <c r="C2300" s="87"/>
      <c r="D2300" s="37"/>
      <c r="E2300" s="37"/>
      <c r="F2300" s="87"/>
    </row>
    <row r="2301">
      <c r="A2301" s="147"/>
      <c r="B2301" s="148"/>
      <c r="C2301" s="87"/>
      <c r="D2301" s="37"/>
      <c r="E2301" s="37"/>
      <c r="F2301" s="87"/>
    </row>
    <row r="2302">
      <c r="A2302" s="147"/>
      <c r="B2302" s="148"/>
      <c r="C2302" s="87"/>
      <c r="D2302" s="37"/>
      <c r="E2302" s="37"/>
      <c r="F2302" s="87"/>
    </row>
    <row r="2303">
      <c r="A2303" s="147"/>
      <c r="B2303" s="148"/>
      <c r="C2303" s="87"/>
      <c r="D2303" s="37"/>
      <c r="E2303" s="37"/>
      <c r="F2303" s="87"/>
    </row>
    <row r="2304">
      <c r="A2304" s="147"/>
      <c r="B2304" s="148"/>
      <c r="C2304" s="87"/>
      <c r="D2304" s="37"/>
      <c r="E2304" s="37"/>
      <c r="F2304" s="87"/>
    </row>
    <row r="2305">
      <c r="A2305" s="147"/>
      <c r="B2305" s="148"/>
      <c r="C2305" s="87"/>
      <c r="D2305" s="37"/>
      <c r="E2305" s="37"/>
      <c r="F2305" s="87"/>
    </row>
    <row r="2306">
      <c r="A2306" s="147"/>
      <c r="B2306" s="148"/>
      <c r="C2306" s="87"/>
      <c r="D2306" s="37"/>
      <c r="E2306" s="37"/>
      <c r="F2306" s="87"/>
    </row>
    <row r="2307">
      <c r="A2307" s="147"/>
      <c r="B2307" s="148"/>
      <c r="C2307" s="87"/>
      <c r="D2307" s="37"/>
      <c r="E2307" s="37"/>
      <c r="F2307" s="87"/>
    </row>
    <row r="2308">
      <c r="A2308" s="147"/>
      <c r="B2308" s="148"/>
      <c r="C2308" s="87"/>
      <c r="D2308" s="37"/>
      <c r="E2308" s="37"/>
      <c r="F2308" s="87"/>
    </row>
    <row r="2309">
      <c r="A2309" s="147"/>
      <c r="B2309" s="148"/>
      <c r="C2309" s="87"/>
      <c r="D2309" s="37"/>
      <c r="E2309" s="37"/>
      <c r="F2309" s="87"/>
    </row>
    <row r="2310">
      <c r="A2310" s="147"/>
      <c r="B2310" s="148"/>
      <c r="C2310" s="87"/>
      <c r="D2310" s="37"/>
      <c r="E2310" s="37"/>
      <c r="F2310" s="87"/>
    </row>
    <row r="2311">
      <c r="A2311" s="147"/>
      <c r="B2311" s="148"/>
      <c r="C2311" s="87"/>
      <c r="D2311" s="37"/>
      <c r="E2311" s="37"/>
      <c r="F2311" s="87"/>
    </row>
    <row r="2312">
      <c r="A2312" s="147"/>
      <c r="B2312" s="148"/>
      <c r="C2312" s="87"/>
      <c r="D2312" s="37"/>
      <c r="E2312" s="37"/>
      <c r="F2312" s="87"/>
    </row>
    <row r="2313">
      <c r="A2313" s="147"/>
      <c r="B2313" s="148"/>
      <c r="C2313" s="87"/>
      <c r="D2313" s="37"/>
      <c r="E2313" s="37"/>
      <c r="F2313" s="87"/>
    </row>
    <row r="2314">
      <c r="A2314" s="147"/>
      <c r="B2314" s="148"/>
      <c r="C2314" s="87"/>
      <c r="D2314" s="37"/>
      <c r="E2314" s="37"/>
      <c r="F2314" s="87"/>
    </row>
    <row r="2315">
      <c r="A2315" s="147"/>
      <c r="B2315" s="148"/>
      <c r="C2315" s="87"/>
      <c r="D2315" s="37"/>
      <c r="E2315" s="37"/>
      <c r="F2315" s="87"/>
    </row>
    <row r="2316">
      <c r="A2316" s="147"/>
      <c r="B2316" s="148"/>
      <c r="C2316" s="87"/>
      <c r="D2316" s="37"/>
      <c r="E2316" s="37"/>
      <c r="F2316" s="87"/>
    </row>
    <row r="2317">
      <c r="A2317" s="147"/>
      <c r="B2317" s="148"/>
      <c r="C2317" s="87"/>
      <c r="D2317" s="37"/>
      <c r="E2317" s="37"/>
      <c r="F2317" s="87"/>
    </row>
    <row r="2318">
      <c r="A2318" s="147"/>
      <c r="B2318" s="148"/>
      <c r="C2318" s="87"/>
      <c r="D2318" s="37"/>
      <c r="E2318" s="37"/>
      <c r="F2318" s="87"/>
    </row>
    <row r="2319">
      <c r="A2319" s="147"/>
      <c r="B2319" s="148"/>
      <c r="C2319" s="87"/>
      <c r="D2319" s="37"/>
      <c r="E2319" s="37"/>
      <c r="F2319" s="87"/>
    </row>
    <row r="2320">
      <c r="A2320" s="147"/>
      <c r="B2320" s="148"/>
      <c r="C2320" s="87"/>
      <c r="D2320" s="37"/>
      <c r="E2320" s="37"/>
      <c r="F2320" s="87"/>
    </row>
    <row r="2321">
      <c r="A2321" s="147"/>
      <c r="B2321" s="148"/>
      <c r="C2321" s="87"/>
      <c r="D2321" s="37"/>
      <c r="E2321" s="37"/>
      <c r="F2321" s="87"/>
    </row>
    <row r="2322">
      <c r="A2322" s="147"/>
      <c r="B2322" s="148"/>
      <c r="C2322" s="87"/>
      <c r="D2322" s="37"/>
      <c r="E2322" s="37"/>
      <c r="F2322" s="87"/>
    </row>
    <row r="2323">
      <c r="A2323" s="147"/>
      <c r="B2323" s="148"/>
      <c r="C2323" s="87"/>
      <c r="D2323" s="37"/>
      <c r="E2323" s="37"/>
      <c r="F2323" s="87"/>
    </row>
    <row r="2324">
      <c r="A2324" s="147"/>
      <c r="B2324" s="148"/>
      <c r="C2324" s="87"/>
      <c r="D2324" s="37"/>
      <c r="E2324" s="37"/>
      <c r="F2324" s="87"/>
    </row>
    <row r="2325">
      <c r="A2325" s="147"/>
      <c r="B2325" s="148"/>
      <c r="C2325" s="87"/>
      <c r="D2325" s="37"/>
      <c r="E2325" s="37"/>
      <c r="F2325" s="87"/>
    </row>
    <row r="2326">
      <c r="A2326" s="147"/>
      <c r="B2326" s="148"/>
      <c r="C2326" s="87"/>
      <c r="D2326" s="37"/>
      <c r="E2326" s="37"/>
      <c r="F2326" s="87"/>
    </row>
    <row r="2327">
      <c r="A2327" s="147"/>
      <c r="B2327" s="148"/>
      <c r="C2327" s="87"/>
      <c r="D2327" s="37"/>
      <c r="E2327" s="37"/>
      <c r="F2327" s="87"/>
    </row>
    <row r="2328">
      <c r="A2328" s="147"/>
      <c r="B2328" s="148"/>
      <c r="C2328" s="87"/>
      <c r="D2328" s="37"/>
      <c r="E2328" s="37"/>
      <c r="F2328" s="87"/>
    </row>
    <row r="2329">
      <c r="A2329" s="147"/>
      <c r="B2329" s="148"/>
      <c r="C2329" s="87"/>
      <c r="D2329" s="37"/>
      <c r="E2329" s="37"/>
      <c r="F2329" s="87"/>
    </row>
    <row r="2330">
      <c r="A2330" s="147"/>
      <c r="B2330" s="148"/>
      <c r="C2330" s="87"/>
      <c r="D2330" s="37"/>
      <c r="E2330" s="37"/>
      <c r="F2330" s="87"/>
    </row>
    <row r="2331">
      <c r="A2331" s="147"/>
      <c r="B2331" s="148"/>
      <c r="C2331" s="87"/>
      <c r="D2331" s="37"/>
      <c r="E2331" s="37"/>
      <c r="F2331" s="87"/>
    </row>
    <row r="2332">
      <c r="A2332" s="147"/>
      <c r="B2332" s="148"/>
      <c r="C2332" s="87"/>
      <c r="D2332" s="37"/>
      <c r="E2332" s="37"/>
      <c r="F2332" s="87"/>
    </row>
    <row r="2333">
      <c r="A2333" s="147"/>
      <c r="B2333" s="148"/>
      <c r="C2333" s="87"/>
      <c r="D2333" s="37"/>
      <c r="E2333" s="37"/>
      <c r="F2333" s="87"/>
    </row>
    <row r="2334">
      <c r="A2334" s="147"/>
      <c r="B2334" s="148"/>
      <c r="C2334" s="87"/>
      <c r="D2334" s="37"/>
      <c r="E2334" s="37"/>
      <c r="F2334" s="87"/>
    </row>
    <row r="2335">
      <c r="A2335" s="147"/>
      <c r="B2335" s="148"/>
      <c r="C2335" s="87"/>
      <c r="D2335" s="37"/>
      <c r="E2335" s="37"/>
      <c r="F2335" s="87"/>
    </row>
    <row r="2336">
      <c r="A2336" s="147"/>
      <c r="B2336" s="148"/>
      <c r="C2336" s="87"/>
      <c r="D2336" s="37"/>
      <c r="E2336" s="37"/>
      <c r="F2336" s="87"/>
    </row>
    <row r="2337">
      <c r="A2337" s="147"/>
      <c r="B2337" s="148"/>
      <c r="C2337" s="87"/>
      <c r="D2337" s="37"/>
      <c r="E2337" s="37"/>
      <c r="F2337" s="87"/>
    </row>
    <row r="2338">
      <c r="A2338" s="147"/>
      <c r="B2338" s="148"/>
      <c r="C2338" s="87"/>
      <c r="D2338" s="37"/>
      <c r="E2338" s="37"/>
      <c r="F2338" s="87"/>
    </row>
    <row r="2339">
      <c r="A2339" s="147"/>
      <c r="B2339" s="148"/>
      <c r="C2339" s="87"/>
      <c r="D2339" s="37"/>
      <c r="E2339" s="37"/>
      <c r="F2339" s="87"/>
    </row>
    <row r="2340">
      <c r="A2340" s="147"/>
      <c r="B2340" s="148"/>
      <c r="C2340" s="87"/>
      <c r="D2340" s="37"/>
      <c r="E2340" s="37"/>
      <c r="F2340" s="87"/>
    </row>
    <row r="2341">
      <c r="A2341" s="147"/>
      <c r="B2341" s="148"/>
      <c r="C2341" s="87"/>
      <c r="D2341" s="37"/>
      <c r="E2341" s="37"/>
      <c r="F2341" s="87"/>
    </row>
    <row r="2342">
      <c r="A2342" s="147"/>
      <c r="B2342" s="148"/>
      <c r="C2342" s="87"/>
      <c r="D2342" s="37"/>
      <c r="E2342" s="37"/>
      <c r="F2342" s="87"/>
    </row>
    <row r="2343">
      <c r="A2343" s="147"/>
      <c r="B2343" s="148"/>
      <c r="C2343" s="87"/>
      <c r="D2343" s="37"/>
      <c r="E2343" s="37"/>
      <c r="F2343" s="87"/>
    </row>
    <row r="2344">
      <c r="A2344" s="147"/>
      <c r="B2344" s="148"/>
      <c r="C2344" s="87"/>
      <c r="D2344" s="37"/>
      <c r="E2344" s="37"/>
      <c r="F2344" s="87"/>
    </row>
    <row r="2345">
      <c r="A2345" s="147"/>
      <c r="B2345" s="148"/>
      <c r="C2345" s="87"/>
      <c r="D2345" s="37"/>
      <c r="E2345" s="37"/>
      <c r="F2345" s="87"/>
    </row>
    <row r="2346">
      <c r="A2346" s="147"/>
      <c r="B2346" s="148"/>
      <c r="C2346" s="87"/>
      <c r="D2346" s="37"/>
      <c r="E2346" s="37"/>
      <c r="F2346" s="87"/>
    </row>
    <row r="2347">
      <c r="A2347" s="147"/>
      <c r="B2347" s="148"/>
      <c r="C2347" s="87"/>
      <c r="D2347" s="37"/>
      <c r="E2347" s="37"/>
      <c r="F2347" s="87"/>
    </row>
    <row r="2348">
      <c r="A2348" s="147"/>
      <c r="B2348" s="148"/>
      <c r="C2348" s="87"/>
      <c r="D2348" s="37"/>
      <c r="E2348" s="37"/>
      <c r="F2348" s="87"/>
    </row>
    <row r="2349">
      <c r="A2349" s="147"/>
      <c r="B2349" s="148"/>
      <c r="C2349" s="87"/>
      <c r="D2349" s="37"/>
      <c r="E2349" s="37"/>
      <c r="F2349" s="87"/>
    </row>
    <row r="2350">
      <c r="A2350" s="147"/>
      <c r="B2350" s="148"/>
      <c r="C2350" s="87"/>
      <c r="D2350" s="37"/>
      <c r="E2350" s="37"/>
      <c r="F2350" s="87"/>
    </row>
    <row r="2351">
      <c r="A2351" s="147"/>
      <c r="B2351" s="148"/>
      <c r="C2351" s="87"/>
      <c r="D2351" s="37"/>
      <c r="E2351" s="37"/>
      <c r="F2351" s="87"/>
    </row>
    <row r="2352">
      <c r="A2352" s="147"/>
      <c r="B2352" s="148"/>
      <c r="C2352" s="87"/>
      <c r="D2352" s="37"/>
      <c r="E2352" s="37"/>
      <c r="F2352" s="87"/>
    </row>
    <row r="2353">
      <c r="A2353" s="147"/>
      <c r="B2353" s="148"/>
      <c r="C2353" s="87"/>
      <c r="D2353" s="37"/>
      <c r="E2353" s="37"/>
      <c r="F2353" s="87"/>
    </row>
    <row r="2354">
      <c r="A2354" s="147"/>
      <c r="B2354" s="148"/>
      <c r="C2354" s="87"/>
      <c r="D2354" s="37"/>
      <c r="E2354" s="37"/>
      <c r="F2354" s="87"/>
    </row>
    <row r="2355">
      <c r="A2355" s="147"/>
      <c r="B2355" s="148"/>
      <c r="C2355" s="87"/>
      <c r="D2355" s="37"/>
      <c r="E2355" s="37"/>
      <c r="F2355" s="87"/>
    </row>
    <row r="2356">
      <c r="A2356" s="147"/>
      <c r="B2356" s="148"/>
      <c r="C2356" s="87"/>
      <c r="D2356" s="37"/>
      <c r="E2356" s="37"/>
      <c r="F2356" s="87"/>
    </row>
    <row r="2357">
      <c r="A2357" s="147"/>
      <c r="B2357" s="148"/>
      <c r="C2357" s="87"/>
      <c r="D2357" s="37"/>
      <c r="E2357" s="37"/>
      <c r="F2357" s="87"/>
    </row>
    <row r="2358">
      <c r="A2358" s="147"/>
      <c r="B2358" s="148"/>
      <c r="C2358" s="87"/>
      <c r="D2358" s="37"/>
      <c r="E2358" s="37"/>
      <c r="F2358" s="87"/>
    </row>
    <row r="2359">
      <c r="A2359" s="147"/>
      <c r="B2359" s="148"/>
      <c r="C2359" s="87"/>
      <c r="D2359" s="37"/>
      <c r="E2359" s="37"/>
      <c r="F2359" s="87"/>
    </row>
    <row r="2360">
      <c r="A2360" s="147"/>
      <c r="B2360" s="148"/>
      <c r="C2360" s="87"/>
      <c r="D2360" s="37"/>
      <c r="E2360" s="37"/>
      <c r="F2360" s="87"/>
    </row>
    <row r="2361">
      <c r="A2361" s="147"/>
      <c r="B2361" s="148"/>
      <c r="C2361" s="87"/>
      <c r="D2361" s="37"/>
      <c r="E2361" s="37"/>
      <c r="F2361" s="87"/>
    </row>
    <row r="2362">
      <c r="A2362" s="147"/>
      <c r="B2362" s="148"/>
      <c r="C2362" s="87"/>
      <c r="D2362" s="37"/>
      <c r="E2362" s="37"/>
      <c r="F2362" s="87"/>
    </row>
    <row r="2363">
      <c r="A2363" s="147"/>
      <c r="B2363" s="148"/>
      <c r="C2363" s="87"/>
      <c r="D2363" s="37"/>
      <c r="E2363" s="37"/>
      <c r="F2363" s="87"/>
    </row>
    <row r="2364">
      <c r="A2364" s="147"/>
      <c r="B2364" s="148"/>
      <c r="C2364" s="87"/>
      <c r="D2364" s="37"/>
      <c r="E2364" s="37"/>
      <c r="F2364" s="87"/>
    </row>
    <row r="2365">
      <c r="A2365" s="147"/>
      <c r="B2365" s="148"/>
      <c r="C2365" s="87"/>
      <c r="D2365" s="37"/>
      <c r="E2365" s="37"/>
      <c r="F2365" s="87"/>
    </row>
    <row r="2366">
      <c r="A2366" s="147"/>
      <c r="B2366" s="148"/>
      <c r="C2366" s="87"/>
      <c r="D2366" s="37"/>
      <c r="E2366" s="37"/>
      <c r="F2366" s="87"/>
    </row>
    <row r="2367">
      <c r="A2367" s="147"/>
      <c r="B2367" s="148"/>
      <c r="C2367" s="87"/>
      <c r="D2367" s="37"/>
      <c r="E2367" s="37"/>
      <c r="F2367" s="87"/>
    </row>
    <row r="2368">
      <c r="A2368" s="147"/>
      <c r="B2368" s="148"/>
      <c r="C2368" s="87"/>
      <c r="D2368" s="37"/>
      <c r="E2368" s="37"/>
      <c r="F2368" s="87"/>
    </row>
    <row r="2369">
      <c r="A2369" s="147"/>
      <c r="B2369" s="148"/>
      <c r="C2369" s="87"/>
      <c r="D2369" s="37"/>
      <c r="E2369" s="37"/>
      <c r="F2369" s="87"/>
    </row>
    <row r="2370">
      <c r="A2370" s="147"/>
      <c r="B2370" s="148"/>
      <c r="C2370" s="87"/>
      <c r="D2370" s="37"/>
      <c r="E2370" s="37"/>
      <c r="F2370" s="87"/>
    </row>
    <row r="2371">
      <c r="A2371" s="147"/>
      <c r="B2371" s="148"/>
      <c r="C2371" s="87"/>
      <c r="D2371" s="37"/>
      <c r="E2371" s="37"/>
      <c r="F2371" s="87"/>
    </row>
    <row r="2372">
      <c r="A2372" s="147"/>
      <c r="B2372" s="148"/>
      <c r="C2372" s="87"/>
      <c r="D2372" s="37"/>
      <c r="E2372" s="37"/>
      <c r="F2372" s="87"/>
    </row>
    <row r="2373">
      <c r="A2373" s="147"/>
      <c r="B2373" s="148"/>
      <c r="C2373" s="87"/>
      <c r="D2373" s="37"/>
      <c r="E2373" s="37"/>
      <c r="F2373" s="87"/>
    </row>
    <row r="2374">
      <c r="A2374" s="147"/>
      <c r="B2374" s="148"/>
      <c r="C2374" s="87"/>
      <c r="D2374" s="37"/>
      <c r="E2374" s="37"/>
      <c r="F2374" s="87"/>
    </row>
    <row r="2375">
      <c r="A2375" s="147"/>
      <c r="B2375" s="148"/>
      <c r="C2375" s="87"/>
      <c r="D2375" s="37"/>
      <c r="E2375" s="37"/>
      <c r="F2375" s="87"/>
    </row>
    <row r="2376">
      <c r="A2376" s="147"/>
      <c r="B2376" s="148"/>
      <c r="C2376" s="87"/>
      <c r="D2376" s="37"/>
      <c r="E2376" s="37"/>
      <c r="F2376" s="87"/>
    </row>
    <row r="2377">
      <c r="A2377" s="147"/>
      <c r="B2377" s="148"/>
      <c r="C2377" s="87"/>
      <c r="D2377" s="37"/>
      <c r="E2377" s="37"/>
      <c r="F2377" s="87"/>
    </row>
    <row r="2378">
      <c r="A2378" s="147"/>
      <c r="B2378" s="148"/>
      <c r="C2378" s="87"/>
      <c r="D2378" s="37"/>
      <c r="E2378" s="37"/>
      <c r="F2378" s="87"/>
    </row>
    <row r="2379">
      <c r="A2379" s="147"/>
      <c r="B2379" s="148"/>
      <c r="C2379" s="87"/>
      <c r="D2379" s="37"/>
      <c r="E2379" s="37"/>
      <c r="F2379" s="87"/>
    </row>
    <row r="2380">
      <c r="A2380" s="147"/>
      <c r="B2380" s="148"/>
      <c r="C2380" s="87"/>
      <c r="D2380" s="37"/>
      <c r="E2380" s="37"/>
      <c r="F2380" s="87"/>
    </row>
    <row r="2381">
      <c r="A2381" s="147"/>
      <c r="B2381" s="148"/>
      <c r="C2381" s="87"/>
      <c r="D2381" s="37"/>
      <c r="E2381" s="37"/>
      <c r="F2381" s="87"/>
    </row>
    <row r="2382">
      <c r="A2382" s="147"/>
      <c r="B2382" s="148"/>
      <c r="C2382" s="87"/>
      <c r="D2382" s="37"/>
      <c r="E2382" s="37"/>
      <c r="F2382" s="87"/>
    </row>
    <row r="2383">
      <c r="A2383" s="147"/>
      <c r="B2383" s="148"/>
      <c r="C2383" s="87"/>
      <c r="D2383" s="37"/>
      <c r="E2383" s="37"/>
      <c r="F2383" s="87"/>
    </row>
    <row r="2384">
      <c r="A2384" s="147"/>
      <c r="B2384" s="148"/>
      <c r="C2384" s="87"/>
      <c r="D2384" s="37"/>
      <c r="E2384" s="37"/>
      <c r="F2384" s="87"/>
    </row>
    <row r="2385">
      <c r="A2385" s="147"/>
      <c r="B2385" s="148"/>
      <c r="C2385" s="87"/>
      <c r="D2385" s="37"/>
      <c r="E2385" s="37"/>
      <c r="F2385" s="87"/>
    </row>
    <row r="2386">
      <c r="A2386" s="147"/>
      <c r="B2386" s="148"/>
      <c r="C2386" s="87"/>
      <c r="D2386" s="37"/>
      <c r="E2386" s="37"/>
      <c r="F2386" s="87"/>
    </row>
    <row r="2387">
      <c r="A2387" s="147"/>
      <c r="B2387" s="148"/>
      <c r="C2387" s="87"/>
      <c r="D2387" s="37"/>
      <c r="E2387" s="37"/>
      <c r="F2387" s="87"/>
    </row>
    <row r="2388">
      <c r="A2388" s="147"/>
      <c r="B2388" s="148"/>
      <c r="C2388" s="87"/>
      <c r="D2388" s="37"/>
      <c r="E2388" s="37"/>
      <c r="F2388" s="87"/>
    </row>
    <row r="2389">
      <c r="A2389" s="147"/>
      <c r="B2389" s="148"/>
      <c r="C2389" s="87"/>
      <c r="D2389" s="37"/>
      <c r="E2389" s="37"/>
      <c r="F2389" s="87"/>
    </row>
    <row r="2390">
      <c r="A2390" s="147"/>
      <c r="B2390" s="148"/>
      <c r="C2390" s="87"/>
      <c r="D2390" s="37"/>
      <c r="E2390" s="37"/>
      <c r="F2390" s="87"/>
    </row>
    <row r="2391">
      <c r="A2391" s="147"/>
      <c r="B2391" s="148"/>
      <c r="C2391" s="87"/>
      <c r="D2391" s="37"/>
      <c r="E2391" s="37"/>
      <c r="F2391" s="87"/>
    </row>
    <row r="2392">
      <c r="A2392" s="147"/>
      <c r="B2392" s="148"/>
      <c r="C2392" s="87"/>
      <c r="D2392" s="37"/>
      <c r="E2392" s="37"/>
      <c r="F2392" s="87"/>
    </row>
    <row r="2393">
      <c r="A2393" s="147"/>
      <c r="B2393" s="148"/>
      <c r="C2393" s="87"/>
      <c r="D2393" s="37"/>
      <c r="E2393" s="37"/>
      <c r="F2393" s="87"/>
    </row>
    <row r="2394">
      <c r="A2394" s="147"/>
      <c r="B2394" s="148"/>
      <c r="C2394" s="87"/>
      <c r="D2394" s="37"/>
      <c r="E2394" s="37"/>
      <c r="F2394" s="87"/>
    </row>
    <row r="2395">
      <c r="A2395" s="147"/>
      <c r="B2395" s="148"/>
      <c r="C2395" s="87"/>
      <c r="D2395" s="37"/>
      <c r="E2395" s="37"/>
      <c r="F2395" s="87"/>
    </row>
    <row r="2396">
      <c r="A2396" s="147"/>
      <c r="B2396" s="148"/>
      <c r="C2396" s="87"/>
      <c r="D2396" s="37"/>
      <c r="E2396" s="37"/>
      <c r="F2396" s="87"/>
    </row>
    <row r="2397">
      <c r="A2397" s="147"/>
      <c r="B2397" s="148"/>
      <c r="C2397" s="87"/>
      <c r="D2397" s="37"/>
      <c r="E2397" s="37"/>
      <c r="F2397" s="87"/>
    </row>
    <row r="2398">
      <c r="A2398" s="147"/>
      <c r="B2398" s="148"/>
      <c r="C2398" s="87"/>
      <c r="D2398" s="37"/>
      <c r="E2398" s="37"/>
      <c r="F2398" s="87"/>
    </row>
    <row r="2399">
      <c r="A2399" s="147"/>
      <c r="B2399" s="148"/>
      <c r="C2399" s="87"/>
      <c r="D2399" s="37"/>
      <c r="E2399" s="37"/>
      <c r="F2399" s="87"/>
    </row>
    <row r="2400">
      <c r="A2400" s="147"/>
      <c r="B2400" s="148"/>
      <c r="C2400" s="87"/>
      <c r="D2400" s="37"/>
      <c r="E2400" s="37"/>
      <c r="F2400" s="87"/>
    </row>
    <row r="2401">
      <c r="A2401" s="147"/>
      <c r="B2401" s="148"/>
      <c r="C2401" s="87"/>
      <c r="D2401" s="37"/>
      <c r="E2401" s="37"/>
      <c r="F2401" s="87"/>
    </row>
    <row r="2402">
      <c r="A2402" s="147"/>
      <c r="B2402" s="148"/>
      <c r="C2402" s="87"/>
      <c r="D2402" s="37"/>
      <c r="E2402" s="37"/>
      <c r="F2402" s="87"/>
    </row>
    <row r="2403">
      <c r="A2403" s="147"/>
      <c r="B2403" s="148"/>
      <c r="C2403" s="87"/>
      <c r="D2403" s="37"/>
      <c r="E2403" s="37"/>
      <c r="F2403" s="87"/>
    </row>
    <row r="2404">
      <c r="A2404" s="147"/>
      <c r="B2404" s="148"/>
      <c r="C2404" s="87"/>
      <c r="D2404" s="37"/>
      <c r="E2404" s="37"/>
      <c r="F2404" s="87"/>
    </row>
    <row r="2405">
      <c r="A2405" s="147"/>
      <c r="B2405" s="148"/>
      <c r="C2405" s="87"/>
      <c r="D2405" s="37"/>
      <c r="E2405" s="37"/>
      <c r="F2405" s="87"/>
    </row>
    <row r="2406">
      <c r="A2406" s="147"/>
      <c r="B2406" s="148"/>
      <c r="C2406" s="87"/>
      <c r="D2406" s="37"/>
      <c r="E2406" s="37"/>
      <c r="F2406" s="87"/>
    </row>
    <row r="2407">
      <c r="A2407" s="147"/>
      <c r="B2407" s="148"/>
      <c r="C2407" s="87"/>
      <c r="D2407" s="37"/>
      <c r="E2407" s="37"/>
      <c r="F2407" s="87"/>
    </row>
    <row r="2408">
      <c r="A2408" s="147"/>
      <c r="B2408" s="148"/>
      <c r="C2408" s="87"/>
      <c r="D2408" s="37"/>
      <c r="E2408" s="37"/>
      <c r="F2408" s="87"/>
    </row>
    <row r="2409">
      <c r="A2409" s="147"/>
      <c r="B2409" s="148"/>
      <c r="C2409" s="87"/>
      <c r="D2409" s="37"/>
      <c r="E2409" s="37"/>
      <c r="F2409" s="87"/>
    </row>
    <row r="2410">
      <c r="A2410" s="147"/>
      <c r="B2410" s="148"/>
      <c r="C2410" s="87"/>
      <c r="D2410" s="37"/>
      <c r="E2410" s="37"/>
      <c r="F2410" s="87"/>
    </row>
    <row r="2411">
      <c r="A2411" s="147"/>
      <c r="B2411" s="148"/>
      <c r="C2411" s="87"/>
      <c r="D2411" s="37"/>
      <c r="E2411" s="37"/>
      <c r="F2411" s="87"/>
    </row>
    <row r="2412">
      <c r="A2412" s="147"/>
      <c r="B2412" s="148"/>
      <c r="C2412" s="87"/>
      <c r="D2412" s="37"/>
      <c r="E2412" s="37"/>
      <c r="F2412" s="87"/>
    </row>
    <row r="2413">
      <c r="A2413" s="147"/>
      <c r="B2413" s="148"/>
      <c r="C2413" s="87"/>
      <c r="D2413" s="37"/>
      <c r="E2413" s="37"/>
      <c r="F2413" s="87"/>
    </row>
    <row r="2414">
      <c r="A2414" s="147"/>
      <c r="B2414" s="148"/>
      <c r="C2414" s="87"/>
      <c r="D2414" s="37"/>
      <c r="E2414" s="37"/>
      <c r="F2414" s="87"/>
    </row>
    <row r="2415">
      <c r="A2415" s="147"/>
      <c r="B2415" s="148"/>
      <c r="C2415" s="87"/>
      <c r="D2415" s="37"/>
      <c r="E2415" s="37"/>
      <c r="F2415" s="87"/>
    </row>
    <row r="2416">
      <c r="A2416" s="147"/>
      <c r="B2416" s="148"/>
      <c r="C2416" s="87"/>
      <c r="D2416" s="37"/>
      <c r="E2416" s="37"/>
      <c r="F2416" s="87"/>
    </row>
    <row r="2417">
      <c r="A2417" s="147"/>
      <c r="B2417" s="148"/>
      <c r="C2417" s="87"/>
      <c r="D2417" s="37"/>
      <c r="E2417" s="37"/>
      <c r="F2417" s="87"/>
    </row>
    <row r="2418">
      <c r="A2418" s="147"/>
      <c r="B2418" s="148"/>
      <c r="C2418" s="87"/>
      <c r="D2418" s="37"/>
      <c r="E2418" s="37"/>
      <c r="F2418" s="87"/>
    </row>
    <row r="2419">
      <c r="A2419" s="147"/>
      <c r="B2419" s="148"/>
      <c r="C2419" s="87"/>
      <c r="D2419" s="37"/>
      <c r="E2419" s="37"/>
      <c r="F2419" s="87"/>
    </row>
    <row r="2420">
      <c r="A2420" s="147"/>
      <c r="B2420" s="148"/>
      <c r="C2420" s="87"/>
      <c r="D2420" s="37"/>
      <c r="E2420" s="37"/>
      <c r="F2420" s="87"/>
    </row>
    <row r="2421">
      <c r="A2421" s="147"/>
      <c r="B2421" s="148"/>
      <c r="C2421" s="87"/>
      <c r="D2421" s="37"/>
      <c r="E2421" s="37"/>
      <c r="F2421" s="87"/>
    </row>
    <row r="2422">
      <c r="A2422" s="147"/>
      <c r="B2422" s="148"/>
      <c r="C2422" s="87"/>
      <c r="D2422" s="37"/>
      <c r="E2422" s="37"/>
      <c r="F2422" s="87"/>
    </row>
    <row r="2423">
      <c r="A2423" s="147"/>
      <c r="B2423" s="148"/>
      <c r="C2423" s="87"/>
      <c r="D2423" s="37"/>
      <c r="E2423" s="37"/>
      <c r="F2423" s="87"/>
    </row>
    <row r="2424">
      <c r="A2424" s="147"/>
      <c r="B2424" s="148"/>
      <c r="C2424" s="87"/>
      <c r="D2424" s="37"/>
      <c r="E2424" s="37"/>
      <c r="F2424" s="87"/>
    </row>
    <row r="2425">
      <c r="A2425" s="147"/>
      <c r="B2425" s="148"/>
      <c r="C2425" s="87"/>
      <c r="D2425" s="37"/>
      <c r="E2425" s="37"/>
      <c r="F2425" s="87"/>
    </row>
    <row r="2426">
      <c r="A2426" s="147"/>
      <c r="B2426" s="148"/>
      <c r="C2426" s="87"/>
      <c r="D2426" s="37"/>
      <c r="E2426" s="37"/>
      <c r="F2426" s="87"/>
    </row>
    <row r="2427">
      <c r="A2427" s="147"/>
      <c r="B2427" s="148"/>
      <c r="C2427" s="87"/>
      <c r="D2427" s="37"/>
      <c r="E2427" s="37"/>
      <c r="F2427" s="87"/>
    </row>
    <row r="2428">
      <c r="A2428" s="147"/>
      <c r="B2428" s="148"/>
      <c r="C2428" s="87"/>
      <c r="D2428" s="37"/>
      <c r="E2428" s="37"/>
      <c r="F2428" s="87"/>
    </row>
    <row r="2429">
      <c r="A2429" s="147"/>
      <c r="B2429" s="148"/>
      <c r="C2429" s="87"/>
      <c r="D2429" s="37"/>
      <c r="E2429" s="37"/>
      <c r="F2429" s="87"/>
    </row>
    <row r="2430">
      <c r="A2430" s="147"/>
      <c r="B2430" s="148"/>
      <c r="C2430" s="87"/>
      <c r="D2430" s="37"/>
      <c r="E2430" s="37"/>
      <c r="F2430" s="87"/>
    </row>
    <row r="2431">
      <c r="A2431" s="147"/>
      <c r="B2431" s="148"/>
      <c r="C2431" s="87"/>
      <c r="D2431" s="37"/>
      <c r="E2431" s="37"/>
      <c r="F2431" s="87"/>
    </row>
    <row r="2432">
      <c r="A2432" s="147"/>
      <c r="B2432" s="148"/>
      <c r="C2432" s="87"/>
      <c r="D2432" s="37"/>
      <c r="E2432" s="37"/>
      <c r="F2432" s="87"/>
    </row>
    <row r="2433">
      <c r="A2433" s="147"/>
      <c r="B2433" s="148"/>
      <c r="C2433" s="87"/>
      <c r="D2433" s="37"/>
      <c r="E2433" s="37"/>
      <c r="F2433" s="87"/>
    </row>
    <row r="2434">
      <c r="A2434" s="147"/>
      <c r="B2434" s="148"/>
      <c r="C2434" s="87"/>
      <c r="D2434" s="37"/>
      <c r="E2434" s="37"/>
      <c r="F2434" s="87"/>
    </row>
    <row r="2435">
      <c r="A2435" s="147"/>
      <c r="B2435" s="148"/>
      <c r="C2435" s="87"/>
      <c r="D2435" s="37"/>
      <c r="E2435" s="37"/>
      <c r="F2435" s="87"/>
    </row>
    <row r="2436">
      <c r="A2436" s="147"/>
      <c r="B2436" s="148"/>
      <c r="C2436" s="87"/>
      <c r="D2436" s="37"/>
      <c r="E2436" s="37"/>
      <c r="F2436" s="87"/>
    </row>
    <row r="2437">
      <c r="A2437" s="147"/>
      <c r="B2437" s="148"/>
      <c r="C2437" s="87"/>
      <c r="D2437" s="37"/>
      <c r="E2437" s="37"/>
      <c r="F2437" s="87"/>
    </row>
    <row r="2438">
      <c r="A2438" s="147"/>
      <c r="B2438" s="148"/>
      <c r="C2438" s="87"/>
      <c r="D2438" s="37"/>
      <c r="E2438" s="37"/>
      <c r="F2438" s="87"/>
    </row>
    <row r="2439">
      <c r="A2439" s="147"/>
      <c r="B2439" s="148"/>
      <c r="C2439" s="87"/>
      <c r="D2439" s="37"/>
      <c r="E2439" s="37"/>
      <c r="F2439" s="87"/>
    </row>
    <row r="2440">
      <c r="A2440" s="147"/>
      <c r="B2440" s="148"/>
      <c r="C2440" s="87"/>
      <c r="D2440" s="37"/>
      <c r="E2440" s="37"/>
      <c r="F2440" s="87"/>
    </row>
    <row r="2441">
      <c r="A2441" s="147"/>
      <c r="B2441" s="148"/>
      <c r="C2441" s="87"/>
      <c r="D2441" s="37"/>
      <c r="E2441" s="37"/>
      <c r="F2441" s="87"/>
    </row>
    <row r="2442">
      <c r="A2442" s="147"/>
      <c r="B2442" s="148"/>
      <c r="C2442" s="87"/>
      <c r="D2442" s="37"/>
      <c r="E2442" s="37"/>
      <c r="F2442" s="87"/>
    </row>
    <row r="2443">
      <c r="A2443" s="147"/>
      <c r="B2443" s="148"/>
      <c r="C2443" s="87"/>
      <c r="D2443" s="37"/>
      <c r="E2443" s="37"/>
      <c r="F2443" s="87"/>
    </row>
    <row r="2444">
      <c r="A2444" s="147"/>
      <c r="B2444" s="148"/>
      <c r="C2444" s="87"/>
      <c r="D2444" s="37"/>
      <c r="E2444" s="37"/>
      <c r="F2444" s="87"/>
    </row>
    <row r="2445">
      <c r="A2445" s="147"/>
      <c r="B2445" s="148"/>
      <c r="C2445" s="87"/>
      <c r="D2445" s="37"/>
      <c r="E2445" s="37"/>
      <c r="F2445" s="87"/>
    </row>
    <row r="2446">
      <c r="A2446" s="147"/>
      <c r="B2446" s="148"/>
      <c r="C2446" s="87"/>
      <c r="D2446" s="37"/>
      <c r="E2446" s="37"/>
      <c r="F2446" s="87"/>
    </row>
    <row r="2447">
      <c r="A2447" s="147"/>
      <c r="B2447" s="148"/>
      <c r="C2447" s="87"/>
      <c r="D2447" s="37"/>
      <c r="E2447" s="37"/>
      <c r="F2447" s="87"/>
    </row>
    <row r="2448">
      <c r="A2448" s="147"/>
      <c r="B2448" s="148"/>
      <c r="C2448" s="87"/>
      <c r="D2448" s="37"/>
      <c r="E2448" s="37"/>
      <c r="F2448" s="87"/>
    </row>
    <row r="2449">
      <c r="A2449" s="147"/>
      <c r="B2449" s="148"/>
      <c r="C2449" s="87"/>
      <c r="D2449" s="37"/>
      <c r="E2449" s="37"/>
      <c r="F2449" s="87"/>
    </row>
    <row r="2450">
      <c r="A2450" s="147"/>
      <c r="B2450" s="148"/>
      <c r="C2450" s="87"/>
      <c r="D2450" s="37"/>
      <c r="E2450" s="37"/>
      <c r="F2450" s="87"/>
    </row>
    <row r="2451">
      <c r="A2451" s="147"/>
      <c r="B2451" s="148"/>
      <c r="C2451" s="87"/>
      <c r="D2451" s="37"/>
      <c r="E2451" s="37"/>
      <c r="F2451" s="87"/>
    </row>
    <row r="2452">
      <c r="A2452" s="147"/>
      <c r="B2452" s="148"/>
      <c r="C2452" s="87"/>
      <c r="D2452" s="37"/>
      <c r="E2452" s="37"/>
      <c r="F2452" s="87"/>
    </row>
    <row r="2453">
      <c r="A2453" s="147"/>
      <c r="B2453" s="148"/>
      <c r="C2453" s="87"/>
      <c r="D2453" s="37"/>
      <c r="E2453" s="37"/>
      <c r="F2453" s="87"/>
    </row>
    <row r="2454">
      <c r="A2454" s="147"/>
      <c r="B2454" s="148"/>
      <c r="C2454" s="87"/>
      <c r="D2454" s="37"/>
      <c r="E2454" s="37"/>
      <c r="F2454" s="87"/>
    </row>
    <row r="2455">
      <c r="A2455" s="147"/>
      <c r="B2455" s="148"/>
      <c r="C2455" s="87"/>
      <c r="D2455" s="37"/>
      <c r="E2455" s="37"/>
      <c r="F2455" s="87"/>
    </row>
    <row r="2456">
      <c r="A2456" s="147"/>
      <c r="B2456" s="148"/>
      <c r="C2456" s="87"/>
      <c r="D2456" s="37"/>
      <c r="E2456" s="37"/>
      <c r="F2456" s="87"/>
    </row>
    <row r="2457">
      <c r="A2457" s="147"/>
      <c r="B2457" s="148"/>
      <c r="C2457" s="87"/>
      <c r="D2457" s="37"/>
      <c r="E2457" s="37"/>
      <c r="F2457" s="87"/>
    </row>
    <row r="2458">
      <c r="A2458" s="147"/>
      <c r="B2458" s="148"/>
      <c r="C2458" s="87"/>
      <c r="D2458" s="37"/>
      <c r="E2458" s="37"/>
      <c r="F2458" s="87"/>
    </row>
    <row r="2459">
      <c r="A2459" s="147"/>
      <c r="B2459" s="148"/>
      <c r="C2459" s="87"/>
      <c r="D2459" s="37"/>
      <c r="E2459" s="37"/>
      <c r="F2459" s="87"/>
    </row>
    <row r="2460">
      <c r="A2460" s="147"/>
      <c r="B2460" s="148"/>
      <c r="C2460" s="87"/>
      <c r="D2460" s="37"/>
      <c r="E2460" s="37"/>
      <c r="F2460" s="87"/>
    </row>
    <row r="2461">
      <c r="A2461" s="147"/>
      <c r="B2461" s="148"/>
      <c r="C2461" s="87"/>
      <c r="D2461" s="37"/>
      <c r="E2461" s="37"/>
      <c r="F2461" s="87"/>
    </row>
    <row r="2462">
      <c r="A2462" s="147"/>
      <c r="B2462" s="148"/>
      <c r="C2462" s="87"/>
      <c r="D2462" s="37"/>
      <c r="E2462" s="37"/>
      <c r="F2462" s="87"/>
    </row>
    <row r="2463">
      <c r="A2463" s="147"/>
      <c r="B2463" s="148"/>
      <c r="C2463" s="87"/>
      <c r="D2463" s="37"/>
      <c r="E2463" s="37"/>
      <c r="F2463" s="87"/>
    </row>
    <row r="2464">
      <c r="A2464" s="147"/>
      <c r="B2464" s="148"/>
      <c r="C2464" s="87"/>
      <c r="D2464" s="37"/>
      <c r="E2464" s="37"/>
      <c r="F2464" s="87"/>
    </row>
    <row r="2465">
      <c r="A2465" s="147"/>
      <c r="B2465" s="148"/>
      <c r="C2465" s="87"/>
      <c r="D2465" s="37"/>
      <c r="E2465" s="37"/>
      <c r="F2465" s="87"/>
    </row>
    <row r="2466">
      <c r="A2466" s="147"/>
      <c r="B2466" s="148"/>
      <c r="C2466" s="87"/>
      <c r="D2466" s="37"/>
      <c r="E2466" s="37"/>
      <c r="F2466" s="87"/>
    </row>
    <row r="2467">
      <c r="A2467" s="147"/>
      <c r="B2467" s="148"/>
      <c r="C2467" s="87"/>
      <c r="D2467" s="37"/>
      <c r="E2467" s="37"/>
      <c r="F2467" s="87"/>
    </row>
    <row r="2468">
      <c r="A2468" s="147"/>
      <c r="B2468" s="148"/>
      <c r="C2468" s="87"/>
      <c r="D2468" s="37"/>
      <c r="E2468" s="37"/>
      <c r="F2468" s="87"/>
    </row>
    <row r="2469">
      <c r="A2469" s="147"/>
      <c r="B2469" s="148"/>
      <c r="C2469" s="87"/>
      <c r="D2469" s="37"/>
      <c r="E2469" s="37"/>
      <c r="F2469" s="87"/>
    </row>
    <row r="2470">
      <c r="A2470" s="147"/>
      <c r="B2470" s="148"/>
      <c r="C2470" s="87"/>
      <c r="D2470" s="37"/>
      <c r="E2470" s="37"/>
      <c r="F2470" s="87"/>
    </row>
    <row r="2471">
      <c r="A2471" s="147"/>
      <c r="B2471" s="148"/>
      <c r="C2471" s="87"/>
      <c r="D2471" s="37"/>
      <c r="E2471" s="37"/>
      <c r="F2471" s="87"/>
    </row>
    <row r="2472">
      <c r="A2472" s="147"/>
      <c r="B2472" s="148"/>
      <c r="C2472" s="87"/>
      <c r="D2472" s="37"/>
      <c r="E2472" s="37"/>
      <c r="F2472" s="87"/>
    </row>
    <row r="2473">
      <c r="A2473" s="147"/>
      <c r="B2473" s="148"/>
      <c r="C2473" s="87"/>
      <c r="D2473" s="37"/>
      <c r="E2473" s="37"/>
      <c r="F2473" s="87"/>
    </row>
    <row r="2474">
      <c r="A2474" s="147"/>
      <c r="B2474" s="148"/>
      <c r="C2474" s="87"/>
      <c r="D2474" s="37"/>
      <c r="E2474" s="37"/>
      <c r="F2474" s="87"/>
    </row>
    <row r="2475">
      <c r="A2475" s="147"/>
      <c r="B2475" s="148"/>
      <c r="C2475" s="87"/>
      <c r="D2475" s="37"/>
      <c r="E2475" s="37"/>
      <c r="F2475" s="87"/>
    </row>
    <row r="2476">
      <c r="A2476" s="147"/>
      <c r="B2476" s="148"/>
      <c r="C2476" s="87"/>
      <c r="D2476" s="37"/>
      <c r="E2476" s="37"/>
      <c r="F2476" s="87"/>
    </row>
    <row r="2477">
      <c r="A2477" s="147"/>
      <c r="B2477" s="148"/>
      <c r="C2477" s="87"/>
      <c r="D2477" s="37"/>
      <c r="E2477" s="37"/>
      <c r="F2477" s="87"/>
    </row>
    <row r="2478">
      <c r="A2478" s="147"/>
      <c r="B2478" s="148"/>
      <c r="C2478" s="87"/>
      <c r="D2478" s="37"/>
      <c r="E2478" s="37"/>
      <c r="F2478" s="87"/>
    </row>
    <row r="2479">
      <c r="A2479" s="147"/>
      <c r="B2479" s="148"/>
      <c r="C2479" s="87"/>
      <c r="D2479" s="37"/>
      <c r="E2479" s="37"/>
      <c r="F2479" s="87"/>
    </row>
    <row r="2480">
      <c r="A2480" s="147"/>
      <c r="B2480" s="148"/>
      <c r="C2480" s="87"/>
      <c r="D2480" s="37"/>
      <c r="E2480" s="37"/>
      <c r="F2480" s="87"/>
    </row>
    <row r="2481">
      <c r="A2481" s="147"/>
      <c r="B2481" s="148"/>
      <c r="C2481" s="87"/>
      <c r="D2481" s="37"/>
      <c r="E2481" s="37"/>
      <c r="F2481" s="87"/>
    </row>
    <row r="2482">
      <c r="A2482" s="147"/>
      <c r="B2482" s="148"/>
      <c r="C2482" s="87"/>
      <c r="D2482" s="37"/>
      <c r="E2482" s="37"/>
      <c r="F2482" s="87"/>
    </row>
    <row r="2483">
      <c r="A2483" s="147"/>
      <c r="B2483" s="148"/>
      <c r="C2483" s="87"/>
      <c r="D2483" s="37"/>
      <c r="E2483" s="37"/>
      <c r="F2483" s="87"/>
    </row>
    <row r="2484">
      <c r="A2484" s="147"/>
      <c r="B2484" s="148"/>
      <c r="C2484" s="87"/>
      <c r="D2484" s="37"/>
      <c r="E2484" s="37"/>
      <c r="F2484" s="87"/>
    </row>
    <row r="2485">
      <c r="A2485" s="147"/>
      <c r="B2485" s="148"/>
      <c r="C2485" s="87"/>
      <c r="D2485" s="37"/>
      <c r="E2485" s="37"/>
      <c r="F2485" s="87"/>
    </row>
    <row r="2486">
      <c r="A2486" s="147"/>
      <c r="B2486" s="148"/>
      <c r="C2486" s="87"/>
      <c r="D2486" s="37"/>
      <c r="E2486" s="37"/>
      <c r="F2486" s="87"/>
    </row>
    <row r="2487">
      <c r="A2487" s="147"/>
      <c r="B2487" s="148"/>
      <c r="C2487" s="87"/>
      <c r="D2487" s="37"/>
      <c r="E2487" s="37"/>
      <c r="F2487" s="87"/>
    </row>
    <row r="2488">
      <c r="A2488" s="147"/>
      <c r="B2488" s="148"/>
      <c r="C2488" s="87"/>
      <c r="D2488" s="37"/>
      <c r="E2488" s="37"/>
      <c r="F2488" s="87"/>
    </row>
    <row r="2489">
      <c r="A2489" s="147"/>
      <c r="B2489" s="148"/>
      <c r="C2489" s="87"/>
      <c r="D2489" s="37"/>
      <c r="E2489" s="37"/>
      <c r="F2489" s="87"/>
    </row>
    <row r="2490">
      <c r="A2490" s="147"/>
      <c r="B2490" s="148"/>
      <c r="C2490" s="87"/>
      <c r="D2490" s="37"/>
      <c r="E2490" s="37"/>
      <c r="F2490" s="87"/>
    </row>
    <row r="2491">
      <c r="A2491" s="147"/>
      <c r="B2491" s="148"/>
      <c r="C2491" s="87"/>
      <c r="D2491" s="37"/>
      <c r="E2491" s="37"/>
      <c r="F2491" s="87"/>
    </row>
    <row r="2492">
      <c r="A2492" s="147"/>
      <c r="B2492" s="148"/>
      <c r="C2492" s="87"/>
      <c r="D2492" s="37"/>
      <c r="E2492" s="37"/>
      <c r="F2492" s="87"/>
    </row>
    <row r="2493">
      <c r="A2493" s="147"/>
      <c r="B2493" s="148"/>
      <c r="C2493" s="87"/>
      <c r="D2493" s="37"/>
      <c r="E2493" s="37"/>
      <c r="F2493" s="87"/>
    </row>
    <row r="2494">
      <c r="A2494" s="147"/>
      <c r="B2494" s="148"/>
      <c r="C2494" s="87"/>
      <c r="D2494" s="37"/>
      <c r="E2494" s="37"/>
      <c r="F2494" s="87"/>
    </row>
    <row r="2495">
      <c r="A2495" s="147"/>
      <c r="B2495" s="148"/>
      <c r="C2495" s="87"/>
      <c r="D2495" s="37"/>
      <c r="E2495" s="37"/>
      <c r="F2495" s="87"/>
    </row>
    <row r="2496">
      <c r="A2496" s="147"/>
      <c r="B2496" s="148"/>
      <c r="C2496" s="87"/>
      <c r="D2496" s="37"/>
      <c r="E2496" s="37"/>
      <c r="F2496" s="87"/>
    </row>
    <row r="2497">
      <c r="A2497" s="147"/>
      <c r="B2497" s="148"/>
      <c r="C2497" s="87"/>
      <c r="D2497" s="37"/>
      <c r="E2497" s="37"/>
      <c r="F2497" s="87"/>
    </row>
    <row r="2498">
      <c r="A2498" s="147"/>
      <c r="B2498" s="148"/>
      <c r="C2498" s="87"/>
      <c r="D2498" s="37"/>
      <c r="E2498" s="37"/>
      <c r="F2498" s="87"/>
    </row>
    <row r="2499">
      <c r="A2499" s="147"/>
      <c r="B2499" s="148"/>
      <c r="C2499" s="87"/>
      <c r="D2499" s="37"/>
      <c r="E2499" s="37"/>
      <c r="F2499" s="87"/>
    </row>
    <row r="2500">
      <c r="A2500" s="147"/>
      <c r="B2500" s="148"/>
      <c r="C2500" s="87"/>
      <c r="D2500" s="37"/>
      <c r="E2500" s="37"/>
      <c r="F2500" s="87"/>
    </row>
    <row r="2501">
      <c r="A2501" s="147"/>
      <c r="B2501" s="148"/>
      <c r="C2501" s="87"/>
      <c r="D2501" s="37"/>
      <c r="E2501" s="37"/>
      <c r="F2501" s="87"/>
    </row>
    <row r="2502">
      <c r="A2502" s="147"/>
      <c r="B2502" s="148"/>
      <c r="C2502" s="87"/>
      <c r="D2502" s="37"/>
      <c r="E2502" s="37"/>
      <c r="F2502" s="87"/>
    </row>
    <row r="2503">
      <c r="A2503" s="147"/>
      <c r="B2503" s="148"/>
      <c r="C2503" s="87"/>
      <c r="D2503" s="37"/>
      <c r="E2503" s="37"/>
      <c r="F2503" s="87"/>
    </row>
    <row r="2504">
      <c r="A2504" s="147"/>
      <c r="B2504" s="148"/>
      <c r="C2504" s="87"/>
      <c r="D2504" s="37"/>
      <c r="E2504" s="37"/>
      <c r="F2504" s="87"/>
    </row>
    <row r="2505">
      <c r="A2505" s="147"/>
      <c r="B2505" s="148"/>
      <c r="C2505" s="87"/>
      <c r="D2505" s="37"/>
      <c r="E2505" s="37"/>
      <c r="F2505" s="87"/>
    </row>
    <row r="2506">
      <c r="A2506" s="147"/>
      <c r="B2506" s="148"/>
      <c r="C2506" s="87"/>
      <c r="D2506" s="37"/>
      <c r="E2506" s="37"/>
      <c r="F2506" s="87"/>
    </row>
    <row r="2507">
      <c r="A2507" s="147"/>
      <c r="B2507" s="148"/>
      <c r="C2507" s="87"/>
      <c r="D2507" s="37"/>
      <c r="E2507" s="37"/>
      <c r="F2507" s="87"/>
    </row>
    <row r="2508">
      <c r="A2508" s="147"/>
      <c r="B2508" s="148"/>
      <c r="C2508" s="87"/>
      <c r="D2508" s="37"/>
      <c r="E2508" s="37"/>
      <c r="F2508" s="87"/>
    </row>
    <row r="2509">
      <c r="A2509" s="147"/>
      <c r="B2509" s="148"/>
      <c r="C2509" s="87"/>
      <c r="D2509" s="37"/>
      <c r="E2509" s="37"/>
      <c r="F2509" s="87"/>
    </row>
    <row r="2510">
      <c r="A2510" s="147"/>
      <c r="B2510" s="148"/>
      <c r="C2510" s="87"/>
      <c r="D2510" s="37"/>
      <c r="E2510" s="37"/>
      <c r="F2510" s="87"/>
    </row>
    <row r="2511">
      <c r="A2511" s="147"/>
      <c r="B2511" s="148"/>
      <c r="C2511" s="87"/>
      <c r="D2511" s="37"/>
      <c r="E2511" s="37"/>
      <c r="F2511" s="87"/>
    </row>
    <row r="2512">
      <c r="A2512" s="147"/>
      <c r="B2512" s="148"/>
      <c r="C2512" s="87"/>
      <c r="D2512" s="37"/>
      <c r="E2512" s="37"/>
      <c r="F2512" s="87"/>
    </row>
    <row r="2513">
      <c r="A2513" s="147"/>
      <c r="B2513" s="148"/>
      <c r="C2513" s="87"/>
      <c r="D2513" s="37"/>
      <c r="E2513" s="37"/>
      <c r="F2513" s="87"/>
    </row>
    <row r="2514">
      <c r="A2514" s="147"/>
      <c r="B2514" s="148"/>
      <c r="C2514" s="87"/>
      <c r="D2514" s="37"/>
      <c r="E2514" s="37"/>
      <c r="F2514" s="87"/>
    </row>
    <row r="2515">
      <c r="A2515" s="147"/>
      <c r="B2515" s="148"/>
      <c r="C2515" s="87"/>
      <c r="D2515" s="37"/>
      <c r="E2515" s="37"/>
      <c r="F2515" s="87"/>
    </row>
    <row r="2516">
      <c r="A2516" s="147"/>
      <c r="B2516" s="148"/>
      <c r="C2516" s="87"/>
      <c r="D2516" s="37"/>
      <c r="E2516" s="37"/>
      <c r="F2516" s="87"/>
    </row>
    <row r="2517">
      <c r="A2517" s="147"/>
      <c r="B2517" s="148"/>
      <c r="C2517" s="87"/>
      <c r="D2517" s="37"/>
      <c r="E2517" s="37"/>
      <c r="F2517" s="87"/>
    </row>
    <row r="2518">
      <c r="A2518" s="147"/>
      <c r="B2518" s="148"/>
      <c r="C2518" s="87"/>
      <c r="D2518" s="37"/>
      <c r="E2518" s="37"/>
      <c r="F2518" s="87"/>
    </row>
    <row r="2519">
      <c r="A2519" s="147"/>
      <c r="B2519" s="148"/>
      <c r="C2519" s="87"/>
      <c r="D2519" s="37"/>
      <c r="E2519" s="37"/>
      <c r="F2519" s="87"/>
    </row>
    <row r="2520">
      <c r="A2520" s="147"/>
      <c r="B2520" s="148"/>
      <c r="C2520" s="87"/>
      <c r="D2520" s="37"/>
      <c r="E2520" s="37"/>
      <c r="F2520" s="87"/>
    </row>
    <row r="2521">
      <c r="A2521" s="147"/>
      <c r="B2521" s="148"/>
      <c r="C2521" s="87"/>
      <c r="D2521" s="37"/>
      <c r="E2521" s="37"/>
      <c r="F2521" s="87"/>
    </row>
    <row r="2522">
      <c r="A2522" s="147"/>
      <c r="B2522" s="148"/>
      <c r="C2522" s="87"/>
      <c r="D2522" s="37"/>
      <c r="E2522" s="37"/>
      <c r="F2522" s="87"/>
    </row>
    <row r="2523">
      <c r="A2523" s="147"/>
      <c r="B2523" s="148"/>
      <c r="C2523" s="87"/>
      <c r="D2523" s="37"/>
      <c r="E2523" s="37"/>
      <c r="F2523" s="87"/>
    </row>
    <row r="2524">
      <c r="A2524" s="147"/>
      <c r="B2524" s="148"/>
      <c r="C2524" s="87"/>
      <c r="D2524" s="37"/>
      <c r="E2524" s="37"/>
      <c r="F2524" s="87"/>
    </row>
    <row r="2525">
      <c r="A2525" s="147"/>
      <c r="B2525" s="148"/>
      <c r="C2525" s="87"/>
      <c r="D2525" s="37"/>
      <c r="E2525" s="37"/>
      <c r="F2525" s="87"/>
    </row>
    <row r="2526">
      <c r="A2526" s="147"/>
      <c r="B2526" s="148"/>
      <c r="C2526" s="87"/>
      <c r="D2526" s="37"/>
      <c r="E2526" s="37"/>
      <c r="F2526" s="87"/>
    </row>
    <row r="2527">
      <c r="A2527" s="147"/>
      <c r="B2527" s="148"/>
      <c r="C2527" s="87"/>
      <c r="D2527" s="37"/>
      <c r="E2527" s="37"/>
      <c r="F2527" s="87"/>
    </row>
    <row r="2528">
      <c r="A2528" s="147"/>
      <c r="B2528" s="148"/>
      <c r="C2528" s="87"/>
      <c r="D2528" s="37"/>
      <c r="E2528" s="37"/>
      <c r="F2528" s="87"/>
    </row>
    <row r="2529">
      <c r="A2529" s="147"/>
      <c r="B2529" s="148"/>
      <c r="C2529" s="87"/>
      <c r="D2529" s="37"/>
      <c r="E2529" s="37"/>
      <c r="F2529" s="87"/>
    </row>
    <row r="2530">
      <c r="A2530" s="147"/>
      <c r="B2530" s="148"/>
      <c r="C2530" s="87"/>
      <c r="D2530" s="37"/>
      <c r="E2530" s="37"/>
      <c r="F2530" s="87"/>
    </row>
    <row r="2531">
      <c r="A2531" s="147"/>
      <c r="B2531" s="148"/>
      <c r="C2531" s="87"/>
      <c r="D2531" s="37"/>
      <c r="E2531" s="37"/>
      <c r="F2531" s="87"/>
    </row>
    <row r="2532">
      <c r="A2532" s="147"/>
      <c r="B2532" s="148"/>
      <c r="C2532" s="87"/>
      <c r="D2532" s="37"/>
      <c r="E2532" s="37"/>
      <c r="F2532" s="87"/>
    </row>
    <row r="2533">
      <c r="A2533" s="147"/>
      <c r="B2533" s="148"/>
      <c r="C2533" s="87"/>
      <c r="D2533" s="37"/>
      <c r="E2533" s="37"/>
      <c r="F2533" s="87"/>
    </row>
    <row r="2534">
      <c r="A2534" s="147"/>
      <c r="B2534" s="148"/>
      <c r="C2534" s="87"/>
      <c r="D2534" s="37"/>
      <c r="E2534" s="37"/>
      <c r="F2534" s="87"/>
    </row>
    <row r="2535">
      <c r="A2535" s="147"/>
      <c r="B2535" s="148"/>
      <c r="C2535" s="87"/>
      <c r="D2535" s="37"/>
      <c r="E2535" s="37"/>
      <c r="F2535" s="87"/>
    </row>
    <row r="2536">
      <c r="A2536" s="147"/>
      <c r="B2536" s="148"/>
      <c r="C2536" s="87"/>
      <c r="D2536" s="37"/>
      <c r="E2536" s="37"/>
      <c r="F2536" s="87"/>
    </row>
    <row r="2537">
      <c r="A2537" s="147"/>
      <c r="B2537" s="148"/>
      <c r="C2537" s="87"/>
      <c r="D2537" s="37"/>
      <c r="E2537" s="37"/>
      <c r="F2537" s="87"/>
    </row>
    <row r="2538">
      <c r="A2538" s="147"/>
      <c r="B2538" s="148"/>
      <c r="C2538" s="87"/>
      <c r="D2538" s="37"/>
      <c r="E2538" s="37"/>
      <c r="F2538" s="87"/>
    </row>
    <row r="2539">
      <c r="A2539" s="147"/>
      <c r="B2539" s="148"/>
      <c r="C2539" s="87"/>
      <c r="D2539" s="37"/>
      <c r="E2539" s="37"/>
      <c r="F2539" s="87"/>
    </row>
    <row r="2540">
      <c r="A2540" s="147"/>
      <c r="B2540" s="148"/>
      <c r="C2540" s="87"/>
      <c r="D2540" s="37"/>
      <c r="E2540" s="37"/>
      <c r="F2540" s="87"/>
    </row>
    <row r="2541">
      <c r="A2541" s="147"/>
      <c r="B2541" s="148"/>
      <c r="C2541" s="87"/>
      <c r="D2541" s="37"/>
      <c r="E2541" s="37"/>
      <c r="F2541" s="87"/>
    </row>
    <row r="2542">
      <c r="A2542" s="147"/>
      <c r="B2542" s="148"/>
      <c r="C2542" s="87"/>
      <c r="D2542" s="37"/>
      <c r="E2542" s="37"/>
      <c r="F2542" s="87"/>
    </row>
    <row r="2543">
      <c r="A2543" s="147"/>
      <c r="B2543" s="148"/>
      <c r="C2543" s="87"/>
      <c r="D2543" s="37"/>
      <c r="E2543" s="37"/>
      <c r="F2543" s="87"/>
    </row>
    <row r="2544">
      <c r="A2544" s="147"/>
      <c r="B2544" s="148"/>
      <c r="C2544" s="87"/>
      <c r="D2544" s="37"/>
      <c r="E2544" s="37"/>
      <c r="F2544" s="87"/>
    </row>
    <row r="2545">
      <c r="A2545" s="147"/>
      <c r="B2545" s="148"/>
      <c r="C2545" s="87"/>
      <c r="D2545" s="37"/>
      <c r="E2545" s="37"/>
      <c r="F2545" s="87"/>
    </row>
    <row r="2546">
      <c r="A2546" s="147"/>
      <c r="B2546" s="148"/>
      <c r="C2546" s="87"/>
      <c r="D2546" s="37"/>
      <c r="E2546" s="37"/>
      <c r="F2546" s="87"/>
    </row>
    <row r="2547">
      <c r="A2547" s="147"/>
      <c r="B2547" s="148"/>
      <c r="C2547" s="87"/>
      <c r="D2547" s="37"/>
      <c r="E2547" s="37"/>
      <c r="F2547" s="87"/>
    </row>
    <row r="2548">
      <c r="A2548" s="147"/>
      <c r="B2548" s="148"/>
      <c r="C2548" s="87"/>
      <c r="D2548" s="37"/>
      <c r="E2548" s="37"/>
      <c r="F2548" s="87"/>
    </row>
    <row r="2549">
      <c r="A2549" s="147"/>
      <c r="B2549" s="148"/>
      <c r="C2549" s="87"/>
      <c r="D2549" s="37"/>
      <c r="E2549" s="37"/>
      <c r="F2549" s="87"/>
    </row>
    <row r="2550">
      <c r="A2550" s="147"/>
      <c r="B2550" s="148"/>
      <c r="C2550" s="87"/>
      <c r="D2550" s="37"/>
      <c r="E2550" s="37"/>
      <c r="F2550" s="87"/>
    </row>
    <row r="2551">
      <c r="A2551" s="147"/>
      <c r="B2551" s="148"/>
      <c r="C2551" s="87"/>
      <c r="D2551" s="37"/>
      <c r="E2551" s="37"/>
      <c r="F2551" s="87"/>
    </row>
    <row r="2552">
      <c r="A2552" s="147"/>
      <c r="B2552" s="148"/>
      <c r="C2552" s="87"/>
      <c r="D2552" s="37"/>
      <c r="E2552" s="37"/>
      <c r="F2552" s="87"/>
    </row>
    <row r="2553">
      <c r="A2553" s="147"/>
      <c r="B2553" s="148"/>
      <c r="C2553" s="87"/>
      <c r="D2553" s="37"/>
      <c r="E2553" s="37"/>
      <c r="F2553" s="87"/>
    </row>
    <row r="2554">
      <c r="A2554" s="147"/>
      <c r="B2554" s="148"/>
      <c r="C2554" s="87"/>
      <c r="D2554" s="37"/>
      <c r="E2554" s="37"/>
      <c r="F2554" s="87"/>
    </row>
    <row r="2555">
      <c r="A2555" s="147"/>
      <c r="B2555" s="148"/>
      <c r="C2555" s="87"/>
      <c r="D2555" s="37"/>
      <c r="E2555" s="37"/>
      <c r="F2555" s="87"/>
    </row>
    <row r="2556">
      <c r="A2556" s="147"/>
      <c r="B2556" s="148"/>
      <c r="C2556" s="87"/>
      <c r="D2556" s="37"/>
      <c r="E2556" s="37"/>
      <c r="F2556" s="87"/>
    </row>
    <row r="2557">
      <c r="A2557" s="147"/>
      <c r="B2557" s="148"/>
      <c r="C2557" s="87"/>
      <c r="D2557" s="37"/>
      <c r="E2557" s="37"/>
      <c r="F2557" s="87"/>
    </row>
    <row r="2558">
      <c r="A2558" s="147"/>
      <c r="B2558" s="148"/>
      <c r="C2558" s="87"/>
      <c r="D2558" s="37"/>
      <c r="E2558" s="37"/>
      <c r="F2558" s="87"/>
    </row>
    <row r="2559">
      <c r="A2559" s="147"/>
      <c r="B2559" s="148"/>
      <c r="C2559" s="87"/>
      <c r="D2559" s="37"/>
      <c r="E2559" s="37"/>
      <c r="F2559" s="87"/>
    </row>
    <row r="2560">
      <c r="A2560" s="147"/>
      <c r="B2560" s="148"/>
      <c r="C2560" s="87"/>
      <c r="D2560" s="37"/>
      <c r="E2560" s="37"/>
      <c r="F2560" s="87"/>
    </row>
    <row r="2561">
      <c r="A2561" s="147"/>
      <c r="B2561" s="148"/>
      <c r="C2561" s="87"/>
      <c r="D2561" s="37"/>
      <c r="E2561" s="37"/>
      <c r="F2561" s="87"/>
    </row>
    <row r="2562">
      <c r="A2562" s="147"/>
      <c r="B2562" s="148"/>
      <c r="C2562" s="87"/>
      <c r="D2562" s="37"/>
      <c r="E2562" s="37"/>
      <c r="F2562" s="87"/>
    </row>
    <row r="2563">
      <c r="A2563" s="147"/>
      <c r="B2563" s="148"/>
      <c r="C2563" s="87"/>
      <c r="D2563" s="37"/>
      <c r="E2563" s="37"/>
      <c r="F2563" s="87"/>
    </row>
    <row r="2564">
      <c r="A2564" s="147"/>
      <c r="B2564" s="148"/>
      <c r="C2564" s="87"/>
      <c r="D2564" s="37"/>
      <c r="E2564" s="37"/>
      <c r="F2564" s="87"/>
    </row>
    <row r="2565">
      <c r="A2565" s="147"/>
      <c r="B2565" s="148"/>
      <c r="C2565" s="87"/>
      <c r="D2565" s="37"/>
      <c r="E2565" s="37"/>
      <c r="F2565" s="87"/>
    </row>
    <row r="2566">
      <c r="A2566" s="147"/>
      <c r="B2566" s="148"/>
      <c r="C2566" s="87"/>
      <c r="D2566" s="37"/>
      <c r="E2566" s="37"/>
      <c r="F2566" s="87"/>
    </row>
    <row r="2567">
      <c r="A2567" s="147"/>
      <c r="B2567" s="148"/>
      <c r="C2567" s="87"/>
      <c r="D2567" s="37"/>
      <c r="E2567" s="37"/>
      <c r="F2567" s="87"/>
    </row>
    <row r="2568">
      <c r="A2568" s="147"/>
      <c r="B2568" s="148"/>
      <c r="C2568" s="87"/>
      <c r="D2568" s="37"/>
      <c r="E2568" s="37"/>
      <c r="F2568" s="87"/>
    </row>
    <row r="2569">
      <c r="A2569" s="147"/>
      <c r="B2569" s="148"/>
      <c r="C2569" s="87"/>
      <c r="D2569" s="37"/>
      <c r="E2569" s="37"/>
      <c r="F2569" s="87"/>
    </row>
    <row r="2570">
      <c r="A2570" s="147"/>
      <c r="B2570" s="148"/>
      <c r="C2570" s="87"/>
      <c r="D2570" s="37"/>
      <c r="E2570" s="37"/>
      <c r="F2570" s="87"/>
    </row>
    <row r="2571">
      <c r="A2571" s="147"/>
      <c r="B2571" s="148"/>
      <c r="C2571" s="87"/>
      <c r="D2571" s="37"/>
      <c r="E2571" s="37"/>
      <c r="F2571" s="87"/>
    </row>
    <row r="2572">
      <c r="A2572" s="147"/>
      <c r="B2572" s="148"/>
      <c r="C2572" s="87"/>
      <c r="D2572" s="37"/>
      <c r="E2572" s="37"/>
      <c r="F2572" s="87"/>
    </row>
    <row r="2573">
      <c r="A2573" s="147"/>
      <c r="B2573" s="148"/>
      <c r="C2573" s="87"/>
      <c r="D2573" s="37"/>
      <c r="E2573" s="37"/>
      <c r="F2573" s="87"/>
    </row>
    <row r="2574">
      <c r="A2574" s="147"/>
      <c r="B2574" s="148"/>
      <c r="C2574" s="87"/>
      <c r="D2574" s="37"/>
      <c r="E2574" s="37"/>
      <c r="F2574" s="87"/>
    </row>
    <row r="2575">
      <c r="A2575" s="147"/>
      <c r="B2575" s="148"/>
      <c r="C2575" s="87"/>
      <c r="D2575" s="37"/>
      <c r="E2575" s="37"/>
      <c r="F2575" s="87"/>
    </row>
    <row r="2576">
      <c r="A2576" s="147"/>
      <c r="B2576" s="148"/>
      <c r="C2576" s="87"/>
      <c r="D2576" s="37"/>
      <c r="E2576" s="37"/>
      <c r="F2576" s="87"/>
    </row>
    <row r="2577">
      <c r="A2577" s="147"/>
      <c r="B2577" s="148"/>
      <c r="C2577" s="87"/>
      <c r="D2577" s="37"/>
      <c r="E2577" s="37"/>
      <c r="F2577" s="87"/>
    </row>
    <row r="2578">
      <c r="A2578" s="147"/>
      <c r="B2578" s="148"/>
      <c r="C2578" s="87"/>
      <c r="D2578" s="37"/>
      <c r="E2578" s="37"/>
      <c r="F2578" s="87"/>
    </row>
    <row r="2579">
      <c r="A2579" s="147"/>
      <c r="B2579" s="148"/>
      <c r="C2579" s="87"/>
      <c r="D2579" s="37"/>
      <c r="E2579" s="37"/>
      <c r="F2579" s="87"/>
    </row>
    <row r="2580">
      <c r="A2580" s="147"/>
      <c r="B2580" s="148"/>
      <c r="C2580" s="87"/>
      <c r="D2580" s="37"/>
      <c r="E2580" s="37"/>
      <c r="F2580" s="87"/>
    </row>
    <row r="2581">
      <c r="A2581" s="147"/>
      <c r="B2581" s="148"/>
      <c r="C2581" s="87"/>
      <c r="D2581" s="37"/>
      <c r="E2581" s="37"/>
      <c r="F2581" s="87"/>
    </row>
    <row r="2582">
      <c r="A2582" s="147"/>
      <c r="B2582" s="148"/>
      <c r="C2582" s="87"/>
      <c r="D2582" s="37"/>
      <c r="E2582" s="37"/>
      <c r="F2582" s="87"/>
    </row>
    <row r="2583">
      <c r="A2583" s="147"/>
      <c r="B2583" s="148"/>
      <c r="C2583" s="87"/>
      <c r="D2583" s="37"/>
      <c r="E2583" s="37"/>
      <c r="F2583" s="87"/>
    </row>
    <row r="2584">
      <c r="A2584" s="147"/>
      <c r="B2584" s="148"/>
      <c r="C2584" s="87"/>
      <c r="D2584" s="37"/>
      <c r="E2584" s="37"/>
      <c r="F2584" s="87"/>
    </row>
    <row r="2585">
      <c r="A2585" s="147"/>
      <c r="B2585" s="148"/>
      <c r="C2585" s="87"/>
      <c r="D2585" s="37"/>
      <c r="E2585" s="37"/>
      <c r="F2585" s="87"/>
    </row>
    <row r="2586">
      <c r="A2586" s="147"/>
      <c r="B2586" s="148"/>
      <c r="C2586" s="87"/>
      <c r="D2586" s="37"/>
      <c r="E2586" s="37"/>
      <c r="F2586" s="87"/>
    </row>
    <row r="2587">
      <c r="A2587" s="147"/>
      <c r="B2587" s="148"/>
      <c r="C2587" s="87"/>
      <c r="D2587" s="37"/>
      <c r="E2587" s="37"/>
      <c r="F2587" s="87"/>
    </row>
    <row r="2588">
      <c r="A2588" s="147"/>
      <c r="B2588" s="148"/>
      <c r="C2588" s="87"/>
      <c r="D2588" s="37"/>
      <c r="E2588" s="37"/>
      <c r="F2588" s="87"/>
    </row>
    <row r="2589">
      <c r="A2589" s="147"/>
      <c r="B2589" s="148"/>
      <c r="C2589" s="87"/>
      <c r="D2589" s="37"/>
      <c r="E2589" s="37"/>
      <c r="F2589" s="87"/>
    </row>
    <row r="2590">
      <c r="A2590" s="147"/>
      <c r="B2590" s="148"/>
      <c r="C2590" s="87"/>
      <c r="D2590" s="37"/>
      <c r="E2590" s="37"/>
      <c r="F2590" s="87"/>
    </row>
    <row r="2591">
      <c r="A2591" s="147"/>
      <c r="B2591" s="148"/>
      <c r="C2591" s="87"/>
      <c r="D2591" s="37"/>
      <c r="E2591" s="37"/>
      <c r="F2591" s="87"/>
    </row>
    <row r="2592">
      <c r="A2592" s="147"/>
      <c r="B2592" s="148"/>
      <c r="C2592" s="87"/>
      <c r="D2592" s="37"/>
      <c r="E2592" s="37"/>
      <c r="F2592" s="87"/>
    </row>
    <row r="2593">
      <c r="A2593" s="147"/>
      <c r="B2593" s="148"/>
      <c r="C2593" s="87"/>
      <c r="D2593" s="37"/>
      <c r="E2593" s="37"/>
      <c r="F2593" s="87"/>
    </row>
    <row r="2594">
      <c r="A2594" s="147"/>
      <c r="B2594" s="148"/>
      <c r="C2594" s="87"/>
      <c r="D2594" s="37"/>
      <c r="E2594" s="37"/>
      <c r="F2594" s="87"/>
    </row>
    <row r="2595">
      <c r="A2595" s="147"/>
      <c r="B2595" s="148"/>
      <c r="C2595" s="87"/>
      <c r="D2595" s="37"/>
      <c r="E2595" s="37"/>
      <c r="F2595" s="87"/>
    </row>
    <row r="2596">
      <c r="A2596" s="147"/>
      <c r="B2596" s="148"/>
      <c r="C2596" s="87"/>
      <c r="D2596" s="37"/>
      <c r="E2596" s="37"/>
      <c r="F2596" s="87"/>
    </row>
    <row r="2597">
      <c r="A2597" s="147"/>
      <c r="B2597" s="148"/>
      <c r="C2597" s="87"/>
      <c r="D2597" s="37"/>
      <c r="E2597" s="37"/>
      <c r="F2597" s="87"/>
    </row>
    <row r="2598">
      <c r="A2598" s="147"/>
      <c r="B2598" s="148"/>
      <c r="C2598" s="87"/>
      <c r="D2598" s="37"/>
      <c r="E2598" s="37"/>
      <c r="F2598" s="87"/>
    </row>
    <row r="2599">
      <c r="A2599" s="147"/>
      <c r="B2599" s="148"/>
      <c r="C2599" s="87"/>
      <c r="D2599" s="37"/>
      <c r="E2599" s="37"/>
      <c r="F2599" s="87"/>
    </row>
    <row r="2600">
      <c r="A2600" s="147"/>
      <c r="B2600" s="148"/>
      <c r="C2600" s="87"/>
      <c r="D2600" s="37"/>
      <c r="E2600" s="37"/>
      <c r="F2600" s="87"/>
    </row>
    <row r="2601">
      <c r="A2601" s="147"/>
      <c r="B2601" s="148"/>
      <c r="C2601" s="87"/>
      <c r="D2601" s="37"/>
      <c r="E2601" s="37"/>
      <c r="F2601" s="87"/>
    </row>
    <row r="2602">
      <c r="A2602" s="147"/>
      <c r="B2602" s="148"/>
      <c r="C2602" s="87"/>
      <c r="D2602" s="37"/>
      <c r="E2602" s="37"/>
      <c r="F2602" s="87"/>
    </row>
    <row r="2603">
      <c r="A2603" s="147"/>
      <c r="B2603" s="148"/>
      <c r="C2603" s="87"/>
      <c r="D2603" s="37"/>
      <c r="E2603" s="37"/>
      <c r="F2603" s="87"/>
    </row>
    <row r="2604">
      <c r="A2604" s="147"/>
      <c r="B2604" s="148"/>
      <c r="C2604" s="87"/>
      <c r="D2604" s="37"/>
      <c r="E2604" s="37"/>
      <c r="F2604" s="87"/>
    </row>
    <row r="2605">
      <c r="A2605" s="147"/>
      <c r="B2605" s="148"/>
      <c r="C2605" s="87"/>
      <c r="D2605" s="37"/>
      <c r="E2605" s="37"/>
      <c r="F2605" s="87"/>
    </row>
    <row r="2606">
      <c r="A2606" s="147"/>
      <c r="B2606" s="148"/>
      <c r="C2606" s="87"/>
      <c r="D2606" s="37"/>
      <c r="E2606" s="37"/>
      <c r="F2606" s="87"/>
    </row>
    <row r="2607">
      <c r="A2607" s="147"/>
      <c r="B2607" s="148"/>
      <c r="C2607" s="87"/>
      <c r="D2607" s="37"/>
      <c r="E2607" s="37"/>
      <c r="F2607" s="87"/>
    </row>
    <row r="2608">
      <c r="A2608" s="147"/>
      <c r="B2608" s="148"/>
      <c r="C2608" s="87"/>
      <c r="D2608" s="37"/>
      <c r="E2608" s="37"/>
      <c r="F2608" s="87"/>
    </row>
    <row r="2609">
      <c r="A2609" s="147"/>
      <c r="B2609" s="148"/>
      <c r="C2609" s="87"/>
      <c r="D2609" s="37"/>
      <c r="E2609" s="37"/>
      <c r="F2609" s="87"/>
    </row>
    <row r="2610">
      <c r="A2610" s="147"/>
      <c r="B2610" s="148"/>
      <c r="C2610" s="87"/>
      <c r="D2610" s="37"/>
      <c r="E2610" s="37"/>
      <c r="F2610" s="87"/>
    </row>
    <row r="2611">
      <c r="A2611" s="147"/>
      <c r="B2611" s="148"/>
      <c r="C2611" s="87"/>
      <c r="D2611" s="37"/>
      <c r="E2611" s="37"/>
      <c r="F2611" s="87"/>
    </row>
    <row r="2612">
      <c r="A2612" s="147"/>
      <c r="B2612" s="148"/>
      <c r="C2612" s="87"/>
      <c r="D2612" s="37"/>
      <c r="E2612" s="37"/>
      <c r="F2612" s="87"/>
    </row>
    <row r="2613">
      <c r="A2613" s="147"/>
      <c r="B2613" s="148"/>
      <c r="C2613" s="87"/>
      <c r="D2613" s="37"/>
      <c r="E2613" s="37"/>
      <c r="F2613" s="87"/>
    </row>
    <row r="2614">
      <c r="A2614" s="147"/>
      <c r="B2614" s="148"/>
      <c r="C2614" s="87"/>
      <c r="D2614" s="37"/>
      <c r="E2614" s="37"/>
      <c r="F2614" s="87"/>
    </row>
    <row r="2615">
      <c r="A2615" s="147"/>
      <c r="B2615" s="148"/>
      <c r="C2615" s="87"/>
      <c r="D2615" s="37"/>
      <c r="E2615" s="37"/>
      <c r="F2615" s="87"/>
    </row>
    <row r="2616">
      <c r="A2616" s="147"/>
      <c r="B2616" s="148"/>
      <c r="C2616" s="87"/>
      <c r="D2616" s="37"/>
      <c r="E2616" s="37"/>
      <c r="F2616" s="87"/>
    </row>
    <row r="2617">
      <c r="A2617" s="147"/>
      <c r="B2617" s="148"/>
      <c r="C2617" s="87"/>
      <c r="D2617" s="37"/>
      <c r="E2617" s="37"/>
      <c r="F2617" s="87"/>
    </row>
    <row r="2618">
      <c r="A2618" s="147"/>
      <c r="B2618" s="148"/>
      <c r="C2618" s="87"/>
      <c r="D2618" s="37"/>
      <c r="E2618" s="37"/>
      <c r="F2618" s="87"/>
    </row>
    <row r="2619">
      <c r="A2619" s="147"/>
      <c r="B2619" s="148"/>
      <c r="C2619" s="87"/>
      <c r="D2619" s="37"/>
      <c r="E2619" s="37"/>
      <c r="F2619" s="87"/>
    </row>
    <row r="2620">
      <c r="A2620" s="147"/>
      <c r="B2620" s="148"/>
      <c r="C2620" s="87"/>
      <c r="D2620" s="37"/>
      <c r="E2620" s="37"/>
      <c r="F2620" s="87"/>
    </row>
    <row r="2621">
      <c r="A2621" s="147"/>
      <c r="B2621" s="148"/>
      <c r="C2621" s="87"/>
      <c r="D2621" s="37"/>
      <c r="E2621" s="37"/>
      <c r="F2621" s="87"/>
    </row>
    <row r="2622">
      <c r="A2622" s="147"/>
      <c r="B2622" s="148"/>
      <c r="C2622" s="87"/>
      <c r="D2622" s="37"/>
      <c r="E2622" s="37"/>
      <c r="F2622" s="87"/>
    </row>
    <row r="2623">
      <c r="A2623" s="147"/>
      <c r="B2623" s="148"/>
      <c r="C2623" s="87"/>
      <c r="D2623" s="37"/>
      <c r="E2623" s="37"/>
      <c r="F2623" s="87"/>
    </row>
    <row r="2624">
      <c r="A2624" s="147"/>
      <c r="B2624" s="148"/>
      <c r="C2624" s="87"/>
      <c r="D2624" s="37"/>
      <c r="E2624" s="37"/>
      <c r="F2624" s="87"/>
    </row>
    <row r="2625">
      <c r="A2625" s="147"/>
      <c r="B2625" s="148"/>
      <c r="C2625" s="87"/>
      <c r="D2625" s="37"/>
      <c r="E2625" s="37"/>
      <c r="F2625" s="87"/>
    </row>
    <row r="2626">
      <c r="A2626" s="147"/>
      <c r="B2626" s="148"/>
      <c r="C2626" s="87"/>
      <c r="D2626" s="37"/>
      <c r="E2626" s="37"/>
      <c r="F2626" s="87"/>
    </row>
    <row r="2627">
      <c r="A2627" s="147"/>
      <c r="B2627" s="148"/>
      <c r="C2627" s="87"/>
      <c r="D2627" s="37"/>
      <c r="E2627" s="37"/>
      <c r="F2627" s="87"/>
    </row>
    <row r="2628">
      <c r="A2628" s="147"/>
      <c r="B2628" s="148"/>
      <c r="C2628" s="87"/>
      <c r="D2628" s="37"/>
      <c r="E2628" s="37"/>
      <c r="F2628" s="87"/>
    </row>
    <row r="2629">
      <c r="A2629" s="147"/>
      <c r="B2629" s="148"/>
      <c r="C2629" s="87"/>
      <c r="D2629" s="37"/>
      <c r="E2629" s="37"/>
      <c r="F2629" s="87"/>
    </row>
    <row r="2630">
      <c r="A2630" s="147"/>
      <c r="B2630" s="148"/>
      <c r="C2630" s="87"/>
      <c r="D2630" s="37"/>
      <c r="E2630" s="37"/>
      <c r="F2630" s="87"/>
    </row>
    <row r="2631">
      <c r="A2631" s="147"/>
      <c r="B2631" s="148"/>
      <c r="C2631" s="87"/>
      <c r="D2631" s="37"/>
      <c r="E2631" s="37"/>
      <c r="F2631" s="87"/>
    </row>
    <row r="2632">
      <c r="A2632" s="147"/>
      <c r="B2632" s="148"/>
      <c r="C2632" s="87"/>
      <c r="D2632" s="37"/>
      <c r="E2632" s="37"/>
      <c r="F2632" s="87"/>
    </row>
    <row r="2633">
      <c r="A2633" s="147"/>
      <c r="B2633" s="148"/>
      <c r="C2633" s="87"/>
      <c r="D2633" s="37"/>
      <c r="E2633" s="37"/>
      <c r="F2633" s="87"/>
    </row>
    <row r="2634">
      <c r="A2634" s="147"/>
      <c r="B2634" s="148"/>
      <c r="C2634" s="87"/>
      <c r="D2634" s="37"/>
      <c r="E2634" s="37"/>
      <c r="F2634" s="87"/>
    </row>
    <row r="2635">
      <c r="A2635" s="147"/>
      <c r="B2635" s="148"/>
      <c r="C2635" s="87"/>
      <c r="D2635" s="37"/>
      <c r="E2635" s="37"/>
      <c r="F2635" s="87"/>
    </row>
    <row r="2636">
      <c r="A2636" s="147"/>
      <c r="B2636" s="148"/>
      <c r="C2636" s="87"/>
      <c r="D2636" s="37"/>
      <c r="E2636" s="37"/>
      <c r="F2636" s="87"/>
    </row>
    <row r="2637">
      <c r="A2637" s="147"/>
      <c r="B2637" s="148"/>
      <c r="C2637" s="87"/>
      <c r="D2637" s="37"/>
      <c r="E2637" s="37"/>
      <c r="F2637" s="87"/>
    </row>
    <row r="2638">
      <c r="A2638" s="147"/>
      <c r="B2638" s="148"/>
      <c r="C2638" s="87"/>
      <c r="D2638" s="37"/>
      <c r="E2638" s="37"/>
      <c r="F2638" s="87"/>
    </row>
    <row r="2639">
      <c r="A2639" s="147"/>
      <c r="B2639" s="148"/>
      <c r="C2639" s="87"/>
      <c r="D2639" s="37"/>
      <c r="E2639" s="37"/>
      <c r="F2639" s="87"/>
    </row>
    <row r="2640">
      <c r="A2640" s="147"/>
      <c r="B2640" s="148"/>
      <c r="C2640" s="87"/>
      <c r="D2640" s="37"/>
      <c r="E2640" s="37"/>
      <c r="F2640" s="87"/>
    </row>
    <row r="2641">
      <c r="A2641" s="147"/>
      <c r="B2641" s="148"/>
      <c r="C2641" s="87"/>
      <c r="D2641" s="37"/>
      <c r="E2641" s="37"/>
      <c r="F2641" s="87"/>
    </row>
    <row r="2642">
      <c r="A2642" s="147"/>
      <c r="B2642" s="148"/>
      <c r="C2642" s="87"/>
      <c r="D2642" s="37"/>
      <c r="E2642" s="37"/>
      <c r="F2642" s="87"/>
    </row>
    <row r="2643">
      <c r="A2643" s="147"/>
      <c r="B2643" s="148"/>
      <c r="C2643" s="87"/>
      <c r="D2643" s="37"/>
      <c r="E2643" s="37"/>
      <c r="F2643" s="87"/>
    </row>
    <row r="2644">
      <c r="A2644" s="147"/>
      <c r="B2644" s="148"/>
      <c r="C2644" s="87"/>
      <c r="D2644" s="37"/>
      <c r="E2644" s="37"/>
      <c r="F2644" s="87"/>
    </row>
    <row r="2645">
      <c r="A2645" s="147"/>
      <c r="B2645" s="148"/>
      <c r="C2645" s="87"/>
      <c r="D2645" s="37"/>
      <c r="E2645" s="37"/>
      <c r="F2645" s="87"/>
    </row>
    <row r="2646">
      <c r="A2646" s="147"/>
      <c r="B2646" s="148"/>
      <c r="C2646" s="87"/>
      <c r="D2646" s="37"/>
      <c r="E2646" s="37"/>
      <c r="F2646" s="87"/>
    </row>
    <row r="2647">
      <c r="A2647" s="147"/>
      <c r="B2647" s="148"/>
      <c r="C2647" s="87"/>
      <c r="D2647" s="37"/>
      <c r="E2647" s="37"/>
      <c r="F2647" s="87"/>
    </row>
    <row r="2648">
      <c r="A2648" s="147"/>
      <c r="B2648" s="148"/>
      <c r="C2648" s="87"/>
      <c r="D2648" s="37"/>
      <c r="E2648" s="37"/>
      <c r="F2648" s="87"/>
    </row>
    <row r="2649">
      <c r="A2649" s="147"/>
      <c r="B2649" s="148"/>
      <c r="C2649" s="87"/>
      <c r="D2649" s="37"/>
      <c r="E2649" s="37"/>
      <c r="F2649" s="87"/>
    </row>
    <row r="2650">
      <c r="A2650" s="147"/>
      <c r="B2650" s="148"/>
      <c r="C2650" s="87"/>
      <c r="D2650" s="37"/>
      <c r="E2650" s="37"/>
      <c r="F2650" s="87"/>
    </row>
    <row r="2651">
      <c r="A2651" s="147"/>
      <c r="B2651" s="148"/>
      <c r="C2651" s="87"/>
      <c r="D2651" s="37"/>
      <c r="E2651" s="37"/>
      <c r="F2651" s="87"/>
    </row>
    <row r="2652">
      <c r="A2652" s="147"/>
      <c r="B2652" s="148"/>
      <c r="C2652" s="87"/>
      <c r="D2652" s="37"/>
      <c r="E2652" s="37"/>
      <c r="F2652" s="87"/>
    </row>
    <row r="2653">
      <c r="A2653" s="147"/>
      <c r="B2653" s="148"/>
      <c r="C2653" s="87"/>
      <c r="D2653" s="37"/>
      <c r="E2653" s="37"/>
      <c r="F2653" s="87"/>
    </row>
    <row r="2654">
      <c r="A2654" s="147"/>
      <c r="B2654" s="148"/>
      <c r="C2654" s="87"/>
      <c r="D2654" s="37"/>
      <c r="E2654" s="37"/>
      <c r="F2654" s="87"/>
    </row>
    <row r="2655">
      <c r="A2655" s="147"/>
      <c r="B2655" s="148"/>
      <c r="C2655" s="87"/>
      <c r="D2655" s="37"/>
      <c r="E2655" s="37"/>
      <c r="F2655" s="87"/>
    </row>
    <row r="2656">
      <c r="A2656" s="147"/>
      <c r="B2656" s="148"/>
      <c r="C2656" s="87"/>
      <c r="D2656" s="37"/>
      <c r="E2656" s="37"/>
      <c r="F2656" s="87"/>
    </row>
    <row r="2657">
      <c r="A2657" s="147"/>
      <c r="B2657" s="148"/>
      <c r="C2657" s="87"/>
      <c r="D2657" s="37"/>
      <c r="E2657" s="37"/>
      <c r="F2657" s="87"/>
    </row>
    <row r="2658">
      <c r="A2658" s="147"/>
      <c r="B2658" s="148"/>
      <c r="C2658" s="87"/>
      <c r="D2658" s="37"/>
      <c r="E2658" s="37"/>
      <c r="F2658" s="87"/>
    </row>
    <row r="2659">
      <c r="A2659" s="147"/>
      <c r="B2659" s="148"/>
      <c r="C2659" s="87"/>
      <c r="D2659" s="37"/>
      <c r="E2659" s="37"/>
      <c r="F2659" s="87"/>
    </row>
    <row r="2660">
      <c r="A2660" s="147"/>
      <c r="B2660" s="148"/>
      <c r="C2660" s="87"/>
      <c r="D2660" s="37"/>
      <c r="E2660" s="37"/>
      <c r="F2660" s="87"/>
    </row>
    <row r="2661">
      <c r="A2661" s="147"/>
      <c r="B2661" s="148"/>
      <c r="C2661" s="87"/>
      <c r="D2661" s="37"/>
      <c r="E2661" s="37"/>
      <c r="F2661" s="87"/>
    </row>
    <row r="2662">
      <c r="A2662" s="147"/>
      <c r="B2662" s="148"/>
      <c r="C2662" s="87"/>
      <c r="D2662" s="37"/>
      <c r="E2662" s="37"/>
      <c r="F2662" s="87"/>
    </row>
    <row r="2663">
      <c r="A2663" s="147"/>
      <c r="B2663" s="148"/>
      <c r="C2663" s="87"/>
      <c r="D2663" s="37"/>
      <c r="E2663" s="37"/>
      <c r="F2663" s="87"/>
    </row>
    <row r="2664">
      <c r="A2664" s="147"/>
      <c r="B2664" s="148"/>
      <c r="C2664" s="87"/>
      <c r="D2664" s="37"/>
      <c r="E2664" s="37"/>
      <c r="F2664" s="87"/>
    </row>
    <row r="2665">
      <c r="A2665" s="147"/>
      <c r="B2665" s="148"/>
      <c r="C2665" s="87"/>
      <c r="D2665" s="37"/>
      <c r="E2665" s="37"/>
      <c r="F2665" s="87"/>
    </row>
    <row r="2666">
      <c r="A2666" s="147"/>
      <c r="B2666" s="148"/>
      <c r="C2666" s="87"/>
      <c r="D2666" s="37"/>
      <c r="E2666" s="37"/>
      <c r="F2666" s="87"/>
    </row>
    <row r="2667">
      <c r="A2667" s="147"/>
      <c r="B2667" s="148"/>
      <c r="C2667" s="87"/>
      <c r="D2667" s="37"/>
      <c r="E2667" s="37"/>
      <c r="F2667" s="87"/>
    </row>
    <row r="2668">
      <c r="A2668" s="147"/>
      <c r="B2668" s="148"/>
      <c r="C2668" s="87"/>
      <c r="D2668" s="37"/>
      <c r="E2668" s="37"/>
      <c r="F2668" s="87"/>
    </row>
    <row r="2669">
      <c r="A2669" s="147"/>
      <c r="B2669" s="148"/>
      <c r="C2669" s="87"/>
      <c r="D2669" s="37"/>
      <c r="E2669" s="37"/>
      <c r="F2669" s="87"/>
    </row>
    <row r="2670">
      <c r="A2670" s="147"/>
      <c r="B2670" s="148"/>
      <c r="C2670" s="87"/>
      <c r="D2670" s="37"/>
      <c r="E2670" s="37"/>
      <c r="F2670" s="87"/>
    </row>
    <row r="2671">
      <c r="A2671" s="147"/>
      <c r="B2671" s="148"/>
      <c r="C2671" s="87"/>
      <c r="D2671" s="37"/>
      <c r="E2671" s="37"/>
      <c r="F2671" s="87"/>
    </row>
    <row r="2672">
      <c r="A2672" s="147"/>
      <c r="B2672" s="148"/>
      <c r="C2672" s="87"/>
      <c r="D2672" s="37"/>
      <c r="E2672" s="37"/>
      <c r="F2672" s="87"/>
    </row>
    <row r="2673">
      <c r="A2673" s="147"/>
      <c r="B2673" s="148"/>
      <c r="C2673" s="87"/>
      <c r="D2673" s="37"/>
      <c r="E2673" s="37"/>
      <c r="F2673" s="87"/>
    </row>
    <row r="2674">
      <c r="A2674" s="147"/>
      <c r="B2674" s="148"/>
      <c r="C2674" s="87"/>
      <c r="D2674" s="37"/>
      <c r="E2674" s="37"/>
      <c r="F2674" s="87"/>
    </row>
    <row r="2675">
      <c r="A2675" s="147"/>
      <c r="B2675" s="148"/>
      <c r="C2675" s="87"/>
      <c r="D2675" s="37"/>
      <c r="E2675" s="37"/>
      <c r="F2675" s="87"/>
    </row>
    <row r="2676">
      <c r="A2676" s="147"/>
      <c r="B2676" s="148"/>
      <c r="C2676" s="87"/>
      <c r="D2676" s="37"/>
      <c r="E2676" s="37"/>
      <c r="F2676" s="87"/>
    </row>
    <row r="2677">
      <c r="A2677" s="147"/>
      <c r="B2677" s="148"/>
      <c r="C2677" s="87"/>
      <c r="D2677" s="37"/>
      <c r="E2677" s="37"/>
      <c r="F2677" s="87"/>
    </row>
    <row r="2678">
      <c r="A2678" s="147"/>
      <c r="B2678" s="148"/>
      <c r="C2678" s="87"/>
      <c r="D2678" s="37"/>
      <c r="E2678" s="37"/>
      <c r="F2678" s="87"/>
    </row>
    <row r="2679">
      <c r="A2679" s="147"/>
      <c r="B2679" s="148"/>
      <c r="C2679" s="87"/>
      <c r="D2679" s="37"/>
      <c r="E2679" s="37"/>
      <c r="F2679" s="87"/>
    </row>
    <row r="2680">
      <c r="A2680" s="147"/>
      <c r="B2680" s="148"/>
      <c r="C2680" s="87"/>
      <c r="D2680" s="37"/>
      <c r="E2680" s="37"/>
      <c r="F2680" s="87"/>
    </row>
    <row r="2681">
      <c r="A2681" s="147"/>
      <c r="B2681" s="148"/>
      <c r="C2681" s="87"/>
      <c r="D2681" s="37"/>
      <c r="E2681" s="37"/>
      <c r="F2681" s="87"/>
    </row>
    <row r="2682">
      <c r="A2682" s="147"/>
      <c r="B2682" s="148"/>
      <c r="C2682" s="87"/>
      <c r="D2682" s="37"/>
      <c r="E2682" s="37"/>
      <c r="F2682" s="87"/>
    </row>
    <row r="2683">
      <c r="A2683" s="147"/>
      <c r="B2683" s="148"/>
      <c r="C2683" s="87"/>
      <c r="D2683" s="37"/>
      <c r="E2683" s="37"/>
      <c r="F2683" s="87"/>
    </row>
    <row r="2684">
      <c r="A2684" s="147"/>
      <c r="B2684" s="148"/>
      <c r="C2684" s="87"/>
      <c r="D2684" s="37"/>
      <c r="E2684" s="37"/>
      <c r="F2684" s="87"/>
    </row>
    <row r="2685">
      <c r="A2685" s="147"/>
      <c r="B2685" s="148"/>
      <c r="C2685" s="87"/>
      <c r="D2685" s="37"/>
      <c r="E2685" s="37"/>
      <c r="F2685" s="87"/>
    </row>
    <row r="2686">
      <c r="A2686" s="147"/>
      <c r="B2686" s="148"/>
      <c r="C2686" s="87"/>
      <c r="D2686" s="37"/>
      <c r="E2686" s="37"/>
      <c r="F2686" s="87"/>
    </row>
    <row r="2687">
      <c r="A2687" s="147"/>
      <c r="B2687" s="148"/>
      <c r="C2687" s="87"/>
      <c r="D2687" s="37"/>
      <c r="E2687" s="37"/>
      <c r="F2687" s="87"/>
    </row>
    <row r="2688">
      <c r="A2688" s="147"/>
      <c r="B2688" s="148"/>
      <c r="C2688" s="87"/>
      <c r="D2688" s="37"/>
      <c r="E2688" s="37"/>
      <c r="F2688" s="87"/>
    </row>
    <row r="2689">
      <c r="A2689" s="147"/>
      <c r="B2689" s="148"/>
      <c r="C2689" s="87"/>
      <c r="D2689" s="37"/>
      <c r="E2689" s="37"/>
      <c r="F2689" s="87"/>
    </row>
    <row r="2690">
      <c r="A2690" s="147"/>
      <c r="B2690" s="148"/>
      <c r="C2690" s="87"/>
      <c r="D2690" s="37"/>
      <c r="E2690" s="37"/>
      <c r="F2690" s="87"/>
    </row>
    <row r="2691">
      <c r="A2691" s="147"/>
      <c r="B2691" s="148"/>
      <c r="C2691" s="87"/>
      <c r="D2691" s="37"/>
      <c r="E2691" s="37"/>
      <c r="F2691" s="87"/>
    </row>
    <row r="2692">
      <c r="A2692" s="147"/>
      <c r="B2692" s="148"/>
      <c r="C2692" s="87"/>
      <c r="D2692" s="37"/>
      <c r="E2692" s="37"/>
      <c r="F2692" s="87"/>
    </row>
    <row r="2693">
      <c r="A2693" s="147"/>
      <c r="B2693" s="148"/>
      <c r="C2693" s="87"/>
      <c r="D2693" s="37"/>
      <c r="E2693" s="37"/>
      <c r="F2693" s="87"/>
    </row>
    <row r="2694">
      <c r="A2694" s="147"/>
      <c r="B2694" s="148"/>
      <c r="C2694" s="87"/>
      <c r="D2694" s="37"/>
      <c r="E2694" s="37"/>
      <c r="F2694" s="87"/>
    </row>
    <row r="2695">
      <c r="A2695" s="147"/>
      <c r="B2695" s="148"/>
      <c r="C2695" s="87"/>
      <c r="D2695" s="37"/>
      <c r="E2695" s="37"/>
      <c r="F2695" s="87"/>
    </row>
    <row r="2696">
      <c r="A2696" s="147"/>
      <c r="B2696" s="148"/>
      <c r="C2696" s="87"/>
      <c r="D2696" s="37"/>
      <c r="E2696" s="37"/>
      <c r="F2696" s="87"/>
    </row>
    <row r="2697">
      <c r="A2697" s="147"/>
      <c r="B2697" s="148"/>
      <c r="C2697" s="87"/>
      <c r="D2697" s="37"/>
      <c r="E2697" s="37"/>
      <c r="F2697" s="87"/>
    </row>
    <row r="2698">
      <c r="A2698" s="147"/>
      <c r="B2698" s="148"/>
      <c r="C2698" s="87"/>
      <c r="D2698" s="37"/>
      <c r="E2698" s="37"/>
      <c r="F2698" s="87"/>
    </row>
    <row r="2699">
      <c r="A2699" s="147"/>
      <c r="B2699" s="148"/>
      <c r="C2699" s="87"/>
      <c r="D2699" s="37"/>
      <c r="E2699" s="37"/>
      <c r="F2699" s="87"/>
    </row>
    <row r="2700">
      <c r="A2700" s="147"/>
      <c r="B2700" s="148"/>
      <c r="C2700" s="87"/>
      <c r="D2700" s="37"/>
      <c r="E2700" s="37"/>
      <c r="F2700" s="87"/>
    </row>
    <row r="2701">
      <c r="A2701" s="147"/>
      <c r="B2701" s="148"/>
      <c r="C2701" s="87"/>
      <c r="D2701" s="37"/>
      <c r="E2701" s="37"/>
      <c r="F2701" s="87"/>
    </row>
    <row r="2702">
      <c r="A2702" s="147"/>
      <c r="B2702" s="148"/>
      <c r="C2702" s="87"/>
      <c r="D2702" s="37"/>
      <c r="E2702" s="37"/>
      <c r="F2702" s="87"/>
    </row>
    <row r="2703">
      <c r="A2703" s="147"/>
      <c r="B2703" s="148"/>
      <c r="C2703" s="87"/>
      <c r="D2703" s="37"/>
      <c r="E2703" s="37"/>
      <c r="F2703" s="87"/>
    </row>
    <row r="2704">
      <c r="A2704" s="147"/>
      <c r="B2704" s="148"/>
      <c r="C2704" s="87"/>
      <c r="D2704" s="37"/>
      <c r="E2704" s="37"/>
      <c r="F2704" s="87"/>
    </row>
    <row r="2705">
      <c r="A2705" s="147"/>
      <c r="B2705" s="148"/>
      <c r="C2705" s="87"/>
      <c r="D2705" s="37"/>
      <c r="E2705" s="37"/>
      <c r="F2705" s="87"/>
    </row>
    <row r="2706">
      <c r="A2706" s="147"/>
      <c r="B2706" s="148"/>
      <c r="C2706" s="87"/>
      <c r="D2706" s="37"/>
      <c r="E2706" s="37"/>
      <c r="F2706" s="87"/>
    </row>
    <row r="2707">
      <c r="A2707" s="147"/>
      <c r="B2707" s="148"/>
      <c r="C2707" s="87"/>
      <c r="D2707" s="37"/>
      <c r="E2707" s="37"/>
      <c r="F2707" s="87"/>
    </row>
    <row r="2708">
      <c r="A2708" s="147"/>
      <c r="B2708" s="148"/>
      <c r="C2708" s="87"/>
      <c r="D2708" s="37"/>
      <c r="E2708" s="37"/>
      <c r="F2708" s="87"/>
    </row>
    <row r="2709">
      <c r="A2709" s="147"/>
      <c r="B2709" s="148"/>
      <c r="C2709" s="87"/>
      <c r="D2709" s="37"/>
      <c r="E2709" s="37"/>
      <c r="F2709" s="87"/>
    </row>
    <row r="2710">
      <c r="A2710" s="147"/>
      <c r="B2710" s="148"/>
      <c r="C2710" s="87"/>
      <c r="D2710" s="37"/>
      <c r="E2710" s="37"/>
      <c r="F2710" s="87"/>
    </row>
    <row r="2711">
      <c r="A2711" s="147"/>
      <c r="B2711" s="148"/>
      <c r="C2711" s="87"/>
      <c r="D2711" s="37"/>
      <c r="E2711" s="37"/>
      <c r="F2711" s="87"/>
    </row>
    <row r="2712">
      <c r="A2712" s="147"/>
      <c r="B2712" s="148"/>
      <c r="C2712" s="87"/>
      <c r="D2712" s="37"/>
      <c r="E2712" s="37"/>
      <c r="F2712" s="87"/>
    </row>
    <row r="2713">
      <c r="A2713" s="147"/>
      <c r="B2713" s="148"/>
      <c r="C2713" s="87"/>
      <c r="D2713" s="37"/>
      <c r="E2713" s="37"/>
      <c r="F2713" s="87"/>
    </row>
    <row r="2714">
      <c r="A2714" s="147"/>
      <c r="B2714" s="148"/>
      <c r="C2714" s="87"/>
      <c r="D2714" s="37"/>
      <c r="E2714" s="37"/>
      <c r="F2714" s="87"/>
    </row>
    <row r="2715">
      <c r="A2715" s="147"/>
      <c r="B2715" s="148"/>
      <c r="C2715" s="87"/>
      <c r="D2715" s="37"/>
      <c r="E2715" s="37"/>
      <c r="F2715" s="87"/>
    </row>
    <row r="2716">
      <c r="A2716" s="147"/>
      <c r="B2716" s="148"/>
      <c r="C2716" s="87"/>
      <c r="D2716" s="37"/>
      <c r="E2716" s="37"/>
      <c r="F2716" s="87"/>
    </row>
    <row r="2717">
      <c r="A2717" s="147"/>
      <c r="B2717" s="148"/>
      <c r="C2717" s="87"/>
      <c r="D2717" s="37"/>
      <c r="E2717" s="37"/>
      <c r="F2717" s="87"/>
    </row>
    <row r="2718">
      <c r="A2718" s="147"/>
      <c r="B2718" s="148"/>
      <c r="C2718" s="87"/>
      <c r="D2718" s="37"/>
      <c r="E2718" s="37"/>
      <c r="F2718" s="87"/>
    </row>
    <row r="2719">
      <c r="A2719" s="147"/>
      <c r="B2719" s="148"/>
      <c r="C2719" s="87"/>
      <c r="D2719" s="37"/>
      <c r="E2719" s="37"/>
      <c r="F2719" s="87"/>
    </row>
    <row r="2720">
      <c r="A2720" s="147"/>
      <c r="B2720" s="148"/>
      <c r="C2720" s="87"/>
      <c r="D2720" s="37"/>
      <c r="E2720" s="37"/>
      <c r="F2720" s="87"/>
    </row>
    <row r="2721">
      <c r="A2721" s="147"/>
      <c r="B2721" s="148"/>
      <c r="C2721" s="87"/>
      <c r="D2721" s="37"/>
      <c r="E2721" s="37"/>
      <c r="F2721" s="87"/>
    </row>
    <row r="2722">
      <c r="A2722" s="147"/>
      <c r="B2722" s="148"/>
      <c r="C2722" s="87"/>
      <c r="D2722" s="37"/>
      <c r="E2722" s="37"/>
      <c r="F2722" s="87"/>
    </row>
    <row r="2723">
      <c r="A2723" s="147"/>
      <c r="B2723" s="148"/>
      <c r="C2723" s="87"/>
      <c r="D2723" s="37"/>
      <c r="E2723" s="37"/>
      <c r="F2723" s="87"/>
    </row>
    <row r="2724">
      <c r="A2724" s="147"/>
      <c r="B2724" s="148"/>
      <c r="C2724" s="87"/>
      <c r="D2724" s="37"/>
      <c r="E2724" s="37"/>
      <c r="F2724" s="87"/>
    </row>
    <row r="2725">
      <c r="A2725" s="147"/>
      <c r="B2725" s="148"/>
      <c r="C2725" s="87"/>
      <c r="D2725" s="37"/>
      <c r="E2725" s="37"/>
      <c r="F2725" s="87"/>
    </row>
    <row r="2726">
      <c r="A2726" s="147"/>
      <c r="B2726" s="148"/>
      <c r="C2726" s="87"/>
      <c r="D2726" s="37"/>
      <c r="E2726" s="37"/>
      <c r="F2726" s="87"/>
    </row>
    <row r="2727">
      <c r="A2727" s="147"/>
      <c r="B2727" s="148"/>
      <c r="C2727" s="87"/>
      <c r="D2727" s="37"/>
      <c r="E2727" s="37"/>
      <c r="F2727" s="87"/>
    </row>
    <row r="2728">
      <c r="A2728" s="147"/>
      <c r="B2728" s="148"/>
      <c r="C2728" s="87"/>
      <c r="D2728" s="37"/>
      <c r="E2728" s="37"/>
      <c r="F2728" s="87"/>
    </row>
    <row r="2729">
      <c r="A2729" s="147"/>
      <c r="B2729" s="148"/>
      <c r="C2729" s="87"/>
      <c r="D2729" s="37"/>
      <c r="E2729" s="37"/>
      <c r="F2729" s="87"/>
    </row>
    <row r="2730">
      <c r="A2730" s="147"/>
      <c r="B2730" s="148"/>
      <c r="C2730" s="87"/>
      <c r="D2730" s="37"/>
      <c r="E2730" s="37"/>
      <c r="F2730" s="87"/>
    </row>
    <row r="2731">
      <c r="A2731" s="147"/>
      <c r="B2731" s="148"/>
      <c r="C2731" s="87"/>
      <c r="D2731" s="37"/>
      <c r="E2731" s="37"/>
      <c r="F2731" s="87"/>
    </row>
    <row r="2732">
      <c r="A2732" s="147"/>
      <c r="B2732" s="148"/>
      <c r="C2732" s="87"/>
      <c r="D2732" s="37"/>
      <c r="E2732" s="37"/>
      <c r="F2732" s="87"/>
    </row>
    <row r="2733">
      <c r="A2733" s="147"/>
      <c r="B2733" s="148"/>
      <c r="C2733" s="87"/>
      <c r="D2733" s="37"/>
      <c r="E2733" s="37"/>
      <c r="F2733" s="87"/>
    </row>
    <row r="2734">
      <c r="A2734" s="147"/>
      <c r="B2734" s="148"/>
      <c r="C2734" s="87"/>
      <c r="D2734" s="37"/>
      <c r="E2734" s="37"/>
      <c r="F2734" s="87"/>
    </row>
    <row r="2735">
      <c r="A2735" s="147"/>
      <c r="B2735" s="148"/>
      <c r="C2735" s="87"/>
      <c r="D2735" s="37"/>
      <c r="E2735" s="37"/>
      <c r="F2735" s="87"/>
    </row>
    <row r="2736">
      <c r="A2736" s="147"/>
      <c r="B2736" s="148"/>
      <c r="C2736" s="87"/>
      <c r="D2736" s="37"/>
      <c r="E2736" s="37"/>
      <c r="F2736" s="87"/>
    </row>
    <row r="2737">
      <c r="A2737" s="147"/>
      <c r="B2737" s="148"/>
      <c r="C2737" s="87"/>
      <c r="D2737" s="37"/>
      <c r="E2737" s="37"/>
      <c r="F2737" s="87"/>
    </row>
    <row r="2738">
      <c r="A2738" s="147"/>
      <c r="B2738" s="148"/>
      <c r="C2738" s="87"/>
      <c r="D2738" s="37"/>
      <c r="E2738" s="37"/>
      <c r="F2738" s="87"/>
    </row>
    <row r="2739">
      <c r="A2739" s="147"/>
      <c r="B2739" s="148"/>
      <c r="C2739" s="87"/>
      <c r="D2739" s="37"/>
      <c r="E2739" s="37"/>
      <c r="F2739" s="87"/>
    </row>
    <row r="2740">
      <c r="A2740" s="147"/>
      <c r="B2740" s="148"/>
      <c r="C2740" s="87"/>
      <c r="D2740" s="37"/>
      <c r="E2740" s="37"/>
      <c r="F2740" s="87"/>
    </row>
    <row r="2741">
      <c r="A2741" s="147"/>
      <c r="B2741" s="148"/>
      <c r="C2741" s="87"/>
      <c r="D2741" s="37"/>
      <c r="E2741" s="37"/>
      <c r="F2741" s="87"/>
    </row>
    <row r="2742">
      <c r="A2742" s="147"/>
      <c r="B2742" s="148"/>
      <c r="C2742" s="87"/>
      <c r="D2742" s="37"/>
      <c r="E2742" s="37"/>
      <c r="F2742" s="87"/>
    </row>
    <row r="2743">
      <c r="A2743" s="147"/>
      <c r="B2743" s="148"/>
      <c r="C2743" s="87"/>
      <c r="D2743" s="37"/>
      <c r="E2743" s="37"/>
      <c r="F2743" s="87"/>
    </row>
    <row r="2744">
      <c r="A2744" s="147"/>
      <c r="B2744" s="148"/>
      <c r="C2744" s="87"/>
      <c r="D2744" s="37"/>
      <c r="E2744" s="37"/>
      <c r="F2744" s="87"/>
    </row>
    <row r="2745">
      <c r="A2745" s="147"/>
      <c r="B2745" s="148"/>
      <c r="C2745" s="87"/>
      <c r="D2745" s="37"/>
      <c r="E2745" s="37"/>
      <c r="F2745" s="87"/>
    </row>
    <row r="2746">
      <c r="A2746" s="147"/>
      <c r="B2746" s="148"/>
      <c r="C2746" s="87"/>
      <c r="D2746" s="37"/>
      <c r="E2746" s="37"/>
      <c r="F2746" s="87"/>
    </row>
    <row r="2747">
      <c r="A2747" s="147"/>
      <c r="B2747" s="148"/>
      <c r="C2747" s="87"/>
      <c r="D2747" s="37"/>
      <c r="E2747" s="37"/>
      <c r="F2747" s="87"/>
    </row>
    <row r="2748">
      <c r="A2748" s="147"/>
      <c r="B2748" s="148"/>
      <c r="C2748" s="87"/>
      <c r="D2748" s="37"/>
      <c r="E2748" s="37"/>
      <c r="F2748" s="87"/>
    </row>
    <row r="2749">
      <c r="A2749" s="147"/>
      <c r="B2749" s="148"/>
      <c r="C2749" s="87"/>
      <c r="D2749" s="37"/>
      <c r="E2749" s="37"/>
      <c r="F2749" s="87"/>
    </row>
    <row r="2750">
      <c r="A2750" s="147"/>
      <c r="B2750" s="148"/>
      <c r="C2750" s="87"/>
      <c r="D2750" s="37"/>
      <c r="E2750" s="37"/>
      <c r="F2750" s="87"/>
    </row>
    <row r="2751">
      <c r="A2751" s="147"/>
      <c r="B2751" s="148"/>
      <c r="C2751" s="87"/>
      <c r="D2751" s="37"/>
      <c r="E2751" s="37"/>
      <c r="F2751" s="87"/>
    </row>
    <row r="2752">
      <c r="A2752" s="147"/>
      <c r="B2752" s="148"/>
      <c r="C2752" s="87"/>
      <c r="D2752" s="37"/>
      <c r="E2752" s="37"/>
      <c r="F2752" s="87"/>
    </row>
    <row r="2753">
      <c r="A2753" s="147"/>
      <c r="B2753" s="148"/>
      <c r="C2753" s="87"/>
      <c r="D2753" s="37"/>
      <c r="E2753" s="37"/>
      <c r="F2753" s="87"/>
    </row>
    <row r="2754">
      <c r="A2754" s="147"/>
      <c r="B2754" s="148"/>
      <c r="C2754" s="87"/>
      <c r="D2754" s="37"/>
      <c r="E2754" s="37"/>
      <c r="F2754" s="87"/>
    </row>
    <row r="2755">
      <c r="A2755" s="147"/>
      <c r="B2755" s="148"/>
      <c r="C2755" s="87"/>
      <c r="D2755" s="37"/>
      <c r="E2755" s="37"/>
      <c r="F2755" s="87"/>
    </row>
    <row r="2756">
      <c r="A2756" s="147"/>
      <c r="B2756" s="148"/>
      <c r="C2756" s="87"/>
      <c r="D2756" s="37"/>
      <c r="E2756" s="37"/>
      <c r="F2756" s="87"/>
    </row>
    <row r="2757">
      <c r="A2757" s="147"/>
      <c r="B2757" s="148"/>
      <c r="C2757" s="87"/>
      <c r="D2757" s="37"/>
      <c r="E2757" s="37"/>
      <c r="F2757" s="87"/>
    </row>
    <row r="2758">
      <c r="A2758" s="147"/>
      <c r="B2758" s="148"/>
      <c r="C2758" s="87"/>
      <c r="D2758" s="37"/>
      <c r="E2758" s="37"/>
      <c r="F2758" s="87"/>
    </row>
    <row r="2759">
      <c r="A2759" s="147"/>
      <c r="B2759" s="148"/>
      <c r="C2759" s="87"/>
      <c r="D2759" s="37"/>
      <c r="E2759" s="37"/>
      <c r="F2759" s="87"/>
    </row>
    <row r="2760">
      <c r="A2760" s="147"/>
      <c r="B2760" s="148"/>
      <c r="C2760" s="87"/>
      <c r="D2760" s="37"/>
      <c r="E2760" s="37"/>
      <c r="F2760" s="87"/>
    </row>
    <row r="2761">
      <c r="A2761" s="147"/>
      <c r="B2761" s="148"/>
      <c r="C2761" s="87"/>
      <c r="D2761" s="37"/>
      <c r="E2761" s="37"/>
      <c r="F2761" s="87"/>
    </row>
    <row r="2762">
      <c r="A2762" s="147"/>
      <c r="B2762" s="148"/>
      <c r="C2762" s="87"/>
      <c r="D2762" s="37"/>
      <c r="E2762" s="37"/>
      <c r="F2762" s="87"/>
    </row>
    <row r="2763">
      <c r="A2763" s="147"/>
      <c r="B2763" s="148"/>
      <c r="C2763" s="87"/>
      <c r="D2763" s="37"/>
      <c r="E2763" s="37"/>
      <c r="F2763" s="87"/>
    </row>
    <row r="2764">
      <c r="A2764" s="147"/>
      <c r="B2764" s="148"/>
      <c r="C2764" s="87"/>
      <c r="D2764" s="37"/>
      <c r="E2764" s="37"/>
      <c r="F2764" s="87"/>
    </row>
    <row r="2765">
      <c r="A2765" s="147"/>
      <c r="B2765" s="148"/>
      <c r="C2765" s="87"/>
      <c r="D2765" s="37"/>
      <c r="E2765" s="37"/>
      <c r="F2765" s="87"/>
    </row>
    <row r="2766">
      <c r="A2766" s="147"/>
      <c r="B2766" s="148"/>
      <c r="C2766" s="87"/>
      <c r="D2766" s="37"/>
      <c r="E2766" s="37"/>
      <c r="F2766" s="87"/>
    </row>
    <row r="2767">
      <c r="A2767" s="147"/>
      <c r="B2767" s="148"/>
      <c r="C2767" s="87"/>
      <c r="D2767" s="37"/>
      <c r="E2767" s="37"/>
      <c r="F2767" s="87"/>
    </row>
    <row r="2768">
      <c r="A2768" s="147"/>
      <c r="B2768" s="148"/>
      <c r="C2768" s="87"/>
      <c r="D2768" s="37"/>
      <c r="E2768" s="37"/>
      <c r="F2768" s="87"/>
    </row>
    <row r="2769">
      <c r="A2769" s="147"/>
      <c r="B2769" s="148"/>
      <c r="C2769" s="87"/>
      <c r="D2769" s="37"/>
      <c r="E2769" s="37"/>
      <c r="F2769" s="87"/>
    </row>
    <row r="2770">
      <c r="A2770" s="147"/>
      <c r="B2770" s="148"/>
      <c r="C2770" s="87"/>
      <c r="D2770" s="37"/>
      <c r="E2770" s="37"/>
      <c r="F2770" s="87"/>
    </row>
    <row r="2771">
      <c r="A2771" s="147"/>
      <c r="B2771" s="148"/>
      <c r="C2771" s="87"/>
      <c r="D2771" s="37"/>
      <c r="E2771" s="37"/>
      <c r="F2771" s="87"/>
    </row>
    <row r="2772">
      <c r="A2772" s="147"/>
      <c r="B2772" s="148"/>
      <c r="C2772" s="87"/>
      <c r="D2772" s="37"/>
      <c r="E2772" s="37"/>
      <c r="F2772" s="87"/>
    </row>
    <row r="2773">
      <c r="A2773" s="147"/>
      <c r="B2773" s="148"/>
      <c r="C2773" s="87"/>
      <c r="D2773" s="37"/>
      <c r="E2773" s="37"/>
      <c r="F2773" s="87"/>
    </row>
    <row r="2774">
      <c r="A2774" s="147"/>
      <c r="B2774" s="148"/>
      <c r="C2774" s="87"/>
      <c r="D2774" s="37"/>
      <c r="E2774" s="37"/>
      <c r="F2774" s="87"/>
    </row>
    <row r="2775">
      <c r="A2775" s="147"/>
      <c r="B2775" s="148"/>
      <c r="C2775" s="87"/>
      <c r="D2775" s="37"/>
      <c r="E2775" s="37"/>
      <c r="F2775" s="87"/>
    </row>
    <row r="2776">
      <c r="A2776" s="147"/>
      <c r="B2776" s="148"/>
      <c r="C2776" s="87"/>
      <c r="D2776" s="37"/>
      <c r="E2776" s="37"/>
      <c r="F2776" s="87"/>
    </row>
    <row r="2777">
      <c r="A2777" s="147"/>
      <c r="B2777" s="148"/>
      <c r="C2777" s="87"/>
      <c r="D2777" s="37"/>
      <c r="E2777" s="37"/>
      <c r="F2777" s="87"/>
    </row>
    <row r="2778">
      <c r="A2778" s="147"/>
      <c r="B2778" s="148"/>
      <c r="C2778" s="87"/>
      <c r="D2778" s="37"/>
      <c r="E2778" s="37"/>
      <c r="F2778" s="87"/>
    </row>
    <row r="2779">
      <c r="A2779" s="147"/>
      <c r="B2779" s="148"/>
      <c r="C2779" s="87"/>
      <c r="D2779" s="37"/>
      <c r="E2779" s="37"/>
      <c r="F2779" s="87"/>
    </row>
    <row r="2780">
      <c r="A2780" s="147"/>
      <c r="B2780" s="148"/>
      <c r="C2780" s="87"/>
      <c r="D2780" s="37"/>
      <c r="E2780" s="37"/>
      <c r="F2780" s="87"/>
    </row>
    <row r="2781">
      <c r="A2781" s="147"/>
      <c r="B2781" s="148"/>
      <c r="C2781" s="87"/>
      <c r="D2781" s="37"/>
      <c r="E2781" s="37"/>
      <c r="F2781" s="87"/>
    </row>
    <row r="2782">
      <c r="A2782" s="147"/>
      <c r="B2782" s="148"/>
      <c r="C2782" s="87"/>
      <c r="D2782" s="37"/>
      <c r="E2782" s="37"/>
      <c r="F2782" s="87"/>
    </row>
    <row r="2783">
      <c r="A2783" s="147"/>
      <c r="B2783" s="148"/>
      <c r="C2783" s="87"/>
      <c r="D2783" s="37"/>
      <c r="E2783" s="37"/>
      <c r="F2783" s="87"/>
    </row>
    <row r="2784">
      <c r="A2784" s="147"/>
      <c r="B2784" s="148"/>
      <c r="C2784" s="87"/>
      <c r="D2784" s="37"/>
      <c r="E2784" s="37"/>
      <c r="F2784" s="87"/>
    </row>
    <row r="2785">
      <c r="A2785" s="147"/>
      <c r="B2785" s="148"/>
      <c r="C2785" s="87"/>
      <c r="D2785" s="37"/>
      <c r="E2785" s="37"/>
      <c r="F2785" s="87"/>
    </row>
    <row r="2786">
      <c r="A2786" s="147"/>
      <c r="B2786" s="148"/>
      <c r="C2786" s="87"/>
      <c r="D2786" s="37"/>
      <c r="E2786" s="37"/>
      <c r="F2786" s="87"/>
    </row>
    <row r="2787">
      <c r="A2787" s="147"/>
      <c r="B2787" s="148"/>
      <c r="C2787" s="87"/>
      <c r="D2787" s="37"/>
      <c r="E2787" s="37"/>
      <c r="F2787" s="87"/>
    </row>
    <row r="2788">
      <c r="A2788" s="147"/>
      <c r="B2788" s="148"/>
      <c r="C2788" s="87"/>
      <c r="D2788" s="37"/>
      <c r="E2788" s="37"/>
      <c r="F2788" s="87"/>
    </row>
    <row r="2789">
      <c r="A2789" s="147"/>
      <c r="B2789" s="148"/>
      <c r="C2789" s="87"/>
      <c r="D2789" s="37"/>
      <c r="E2789" s="37"/>
      <c r="F2789" s="87"/>
    </row>
    <row r="2790">
      <c r="A2790" s="147"/>
      <c r="B2790" s="148"/>
      <c r="C2790" s="87"/>
      <c r="D2790" s="37"/>
      <c r="E2790" s="37"/>
      <c r="F2790" s="87"/>
    </row>
    <row r="2791">
      <c r="A2791" s="147"/>
      <c r="B2791" s="148"/>
      <c r="C2791" s="87"/>
      <c r="D2791" s="37"/>
      <c r="E2791" s="37"/>
      <c r="F2791" s="87"/>
    </row>
    <row r="2792">
      <c r="A2792" s="147"/>
      <c r="B2792" s="148"/>
      <c r="C2792" s="87"/>
      <c r="D2792" s="37"/>
      <c r="E2792" s="37"/>
      <c r="F2792" s="87"/>
    </row>
    <row r="2793">
      <c r="A2793" s="147"/>
      <c r="B2793" s="148"/>
      <c r="C2793" s="87"/>
      <c r="D2793" s="37"/>
      <c r="E2793" s="37"/>
      <c r="F2793" s="87"/>
    </row>
    <row r="2794">
      <c r="A2794" s="147"/>
      <c r="B2794" s="148"/>
      <c r="C2794" s="87"/>
      <c r="D2794" s="37"/>
      <c r="E2794" s="37"/>
      <c r="F2794" s="87"/>
    </row>
    <row r="2795">
      <c r="A2795" s="147"/>
      <c r="B2795" s="148"/>
      <c r="C2795" s="87"/>
      <c r="D2795" s="37"/>
      <c r="E2795" s="37"/>
      <c r="F2795" s="87"/>
    </row>
    <row r="2796">
      <c r="A2796" s="147"/>
      <c r="B2796" s="148"/>
      <c r="C2796" s="87"/>
      <c r="D2796" s="37"/>
      <c r="E2796" s="37"/>
      <c r="F2796" s="87"/>
    </row>
    <row r="2797">
      <c r="A2797" s="147"/>
      <c r="B2797" s="148"/>
      <c r="C2797" s="87"/>
      <c r="D2797" s="37"/>
      <c r="E2797" s="37"/>
      <c r="F2797" s="87"/>
    </row>
    <row r="2798">
      <c r="A2798" s="147"/>
      <c r="B2798" s="148"/>
      <c r="C2798" s="87"/>
      <c r="D2798" s="37"/>
      <c r="E2798" s="37"/>
      <c r="F2798" s="87"/>
    </row>
    <row r="2799">
      <c r="A2799" s="147"/>
      <c r="B2799" s="148"/>
      <c r="C2799" s="87"/>
      <c r="D2799" s="37"/>
      <c r="E2799" s="37"/>
      <c r="F2799" s="87"/>
    </row>
    <row r="2800">
      <c r="A2800" s="147"/>
      <c r="B2800" s="148"/>
      <c r="C2800" s="87"/>
      <c r="D2800" s="37"/>
      <c r="E2800" s="37"/>
      <c r="F2800" s="87"/>
    </row>
    <row r="2801">
      <c r="A2801" s="147"/>
      <c r="B2801" s="148"/>
      <c r="C2801" s="87"/>
      <c r="D2801" s="37"/>
      <c r="E2801" s="37"/>
      <c r="F2801" s="87"/>
    </row>
    <row r="2802">
      <c r="A2802" s="147"/>
      <c r="B2802" s="148"/>
      <c r="C2802" s="87"/>
      <c r="D2802" s="37"/>
      <c r="E2802" s="37"/>
      <c r="F2802" s="87"/>
    </row>
    <row r="2803">
      <c r="A2803" s="147"/>
      <c r="B2803" s="148"/>
      <c r="C2803" s="87"/>
      <c r="D2803" s="37"/>
      <c r="E2803" s="37"/>
      <c r="F2803" s="87"/>
    </row>
    <row r="2804">
      <c r="A2804" s="147"/>
      <c r="B2804" s="148"/>
      <c r="C2804" s="87"/>
      <c r="D2804" s="37"/>
      <c r="E2804" s="37"/>
      <c r="F2804" s="87"/>
    </row>
    <row r="2805">
      <c r="A2805" s="147"/>
      <c r="B2805" s="148"/>
      <c r="C2805" s="87"/>
      <c r="D2805" s="37"/>
      <c r="E2805" s="37"/>
      <c r="F2805" s="87"/>
    </row>
    <row r="2806">
      <c r="A2806" s="147"/>
      <c r="B2806" s="148"/>
      <c r="C2806" s="87"/>
      <c r="D2806" s="37"/>
      <c r="E2806" s="37"/>
      <c r="F2806" s="87"/>
    </row>
    <row r="2807">
      <c r="A2807" s="147"/>
      <c r="B2807" s="148"/>
      <c r="C2807" s="87"/>
      <c r="D2807" s="37"/>
      <c r="E2807" s="37"/>
      <c r="F2807" s="87"/>
    </row>
    <row r="2808">
      <c r="A2808" s="147"/>
      <c r="B2808" s="148"/>
      <c r="C2808" s="87"/>
      <c r="D2808" s="37"/>
      <c r="E2808" s="37"/>
      <c r="F2808" s="87"/>
    </row>
    <row r="2809">
      <c r="A2809" s="147"/>
      <c r="B2809" s="148"/>
      <c r="C2809" s="87"/>
      <c r="D2809" s="37"/>
      <c r="E2809" s="37"/>
      <c r="F2809" s="87"/>
    </row>
    <row r="2810">
      <c r="A2810" s="147"/>
      <c r="B2810" s="148"/>
      <c r="C2810" s="87"/>
      <c r="D2810" s="37"/>
      <c r="E2810" s="37"/>
      <c r="F2810" s="87"/>
    </row>
    <row r="2811">
      <c r="A2811" s="147"/>
      <c r="B2811" s="148"/>
      <c r="C2811" s="87"/>
      <c r="D2811" s="37"/>
      <c r="E2811" s="37"/>
      <c r="F2811" s="87"/>
    </row>
    <row r="2812">
      <c r="A2812" s="147"/>
      <c r="B2812" s="148"/>
      <c r="C2812" s="87"/>
      <c r="D2812" s="37"/>
      <c r="E2812" s="37"/>
      <c r="F2812" s="87"/>
    </row>
    <row r="2813">
      <c r="A2813" s="147"/>
      <c r="B2813" s="148"/>
      <c r="C2813" s="87"/>
      <c r="D2813" s="37"/>
      <c r="E2813" s="37"/>
      <c r="F2813" s="87"/>
    </row>
    <row r="2814">
      <c r="A2814" s="147"/>
      <c r="B2814" s="148"/>
      <c r="C2814" s="87"/>
      <c r="D2814" s="37"/>
      <c r="E2814" s="37"/>
      <c r="F2814" s="87"/>
    </row>
    <row r="2815">
      <c r="A2815" s="147"/>
      <c r="B2815" s="148"/>
      <c r="C2815" s="87"/>
      <c r="D2815" s="37"/>
      <c r="E2815" s="37"/>
      <c r="F2815" s="87"/>
    </row>
    <row r="2816">
      <c r="A2816" s="147"/>
      <c r="B2816" s="148"/>
      <c r="C2816" s="87"/>
      <c r="D2816" s="37"/>
      <c r="E2816" s="37"/>
      <c r="F2816" s="87"/>
    </row>
    <row r="2817">
      <c r="A2817" s="147"/>
      <c r="B2817" s="148"/>
      <c r="C2817" s="87"/>
      <c r="D2817" s="37"/>
      <c r="E2817" s="37"/>
      <c r="F2817" s="87"/>
    </row>
    <row r="2818">
      <c r="A2818" s="147"/>
      <c r="B2818" s="148"/>
      <c r="C2818" s="87"/>
      <c r="D2818" s="37"/>
      <c r="E2818" s="37"/>
      <c r="F2818" s="87"/>
    </row>
    <row r="2819">
      <c r="A2819" s="147"/>
      <c r="B2819" s="148"/>
      <c r="C2819" s="87"/>
      <c r="D2819" s="37"/>
      <c r="E2819" s="37"/>
      <c r="F2819" s="87"/>
    </row>
    <row r="2820">
      <c r="A2820" s="147"/>
      <c r="B2820" s="148"/>
      <c r="C2820" s="87"/>
      <c r="D2820" s="37"/>
      <c r="E2820" s="37"/>
      <c r="F2820" s="87"/>
    </row>
    <row r="2821">
      <c r="A2821" s="147"/>
      <c r="B2821" s="148"/>
      <c r="C2821" s="87"/>
      <c r="D2821" s="37"/>
      <c r="E2821" s="37"/>
      <c r="F2821" s="87"/>
    </row>
    <row r="2822">
      <c r="A2822" s="147"/>
      <c r="B2822" s="148"/>
      <c r="C2822" s="87"/>
      <c r="D2822" s="37"/>
      <c r="E2822" s="37"/>
      <c r="F2822" s="87"/>
    </row>
    <row r="2823">
      <c r="A2823" s="147"/>
      <c r="B2823" s="148"/>
      <c r="C2823" s="87"/>
      <c r="D2823" s="37"/>
      <c r="E2823" s="37"/>
      <c r="F2823" s="87"/>
    </row>
    <row r="2824">
      <c r="A2824" s="147"/>
      <c r="B2824" s="148"/>
      <c r="C2824" s="87"/>
      <c r="D2824" s="37"/>
      <c r="E2824" s="37"/>
      <c r="F2824" s="87"/>
    </row>
    <row r="2825">
      <c r="A2825" s="147"/>
      <c r="B2825" s="148"/>
      <c r="C2825" s="87"/>
      <c r="D2825" s="37"/>
      <c r="E2825" s="37"/>
      <c r="F2825" s="87"/>
    </row>
    <row r="2826">
      <c r="A2826" s="147"/>
      <c r="B2826" s="148"/>
      <c r="C2826" s="87"/>
      <c r="D2826" s="37"/>
      <c r="E2826" s="37"/>
      <c r="F2826" s="87"/>
    </row>
    <row r="2827">
      <c r="A2827" s="147"/>
      <c r="B2827" s="148"/>
      <c r="C2827" s="87"/>
      <c r="D2827" s="37"/>
      <c r="E2827" s="37"/>
      <c r="F2827" s="87"/>
    </row>
    <row r="2828">
      <c r="A2828" s="147"/>
      <c r="B2828" s="148"/>
      <c r="C2828" s="87"/>
      <c r="D2828" s="37"/>
      <c r="E2828" s="37"/>
      <c r="F2828" s="87"/>
    </row>
    <row r="2829">
      <c r="A2829" s="147"/>
      <c r="B2829" s="148"/>
      <c r="C2829" s="87"/>
      <c r="D2829" s="37"/>
      <c r="E2829" s="37"/>
      <c r="F2829" s="87"/>
    </row>
    <row r="2830">
      <c r="A2830" s="147"/>
      <c r="B2830" s="148"/>
      <c r="C2830" s="87"/>
      <c r="D2830" s="37"/>
      <c r="E2830" s="37"/>
      <c r="F2830" s="87"/>
    </row>
    <row r="2831">
      <c r="A2831" s="147"/>
      <c r="B2831" s="148"/>
      <c r="C2831" s="87"/>
      <c r="D2831" s="37"/>
      <c r="E2831" s="37"/>
      <c r="F2831" s="87"/>
    </row>
    <row r="2832">
      <c r="A2832" s="147"/>
      <c r="B2832" s="148"/>
      <c r="C2832" s="87"/>
      <c r="D2832" s="37"/>
      <c r="E2832" s="37"/>
      <c r="F2832" s="87"/>
    </row>
    <row r="2833">
      <c r="A2833" s="147"/>
      <c r="B2833" s="148"/>
      <c r="C2833" s="87"/>
      <c r="D2833" s="37"/>
      <c r="E2833" s="37"/>
      <c r="F2833" s="87"/>
    </row>
    <row r="2834">
      <c r="A2834" s="147"/>
      <c r="B2834" s="148"/>
      <c r="C2834" s="87"/>
      <c r="D2834" s="37"/>
      <c r="E2834" s="37"/>
      <c r="F2834" s="87"/>
    </row>
    <row r="2835">
      <c r="A2835" s="147"/>
      <c r="B2835" s="148"/>
      <c r="C2835" s="87"/>
      <c r="D2835" s="37"/>
      <c r="E2835" s="37"/>
      <c r="F2835" s="87"/>
    </row>
    <row r="2836">
      <c r="A2836" s="147"/>
      <c r="B2836" s="148"/>
      <c r="C2836" s="87"/>
      <c r="D2836" s="37"/>
      <c r="E2836" s="37"/>
      <c r="F2836" s="87"/>
    </row>
    <row r="2837">
      <c r="A2837" s="147"/>
      <c r="B2837" s="148"/>
      <c r="C2837" s="87"/>
      <c r="D2837" s="37"/>
      <c r="E2837" s="37"/>
      <c r="F2837" s="87"/>
    </row>
    <row r="2838">
      <c r="A2838" s="147"/>
      <c r="B2838" s="148"/>
      <c r="C2838" s="87"/>
      <c r="D2838" s="37"/>
      <c r="E2838" s="37"/>
      <c r="F2838" s="87"/>
    </row>
    <row r="2839">
      <c r="A2839" s="147"/>
      <c r="B2839" s="148"/>
      <c r="C2839" s="87"/>
      <c r="D2839" s="37"/>
      <c r="E2839" s="37"/>
      <c r="F2839" s="87"/>
    </row>
    <row r="2840">
      <c r="A2840" s="147"/>
      <c r="B2840" s="148"/>
      <c r="C2840" s="87"/>
      <c r="D2840" s="37"/>
      <c r="E2840" s="37"/>
      <c r="F2840" s="87"/>
    </row>
    <row r="2841">
      <c r="A2841" s="147"/>
      <c r="B2841" s="148"/>
      <c r="C2841" s="87"/>
      <c r="D2841" s="37"/>
      <c r="E2841" s="37"/>
      <c r="F2841" s="87"/>
    </row>
    <row r="2842">
      <c r="A2842" s="147"/>
      <c r="B2842" s="148"/>
      <c r="C2842" s="87"/>
      <c r="D2842" s="37"/>
      <c r="E2842" s="37"/>
      <c r="F2842" s="87"/>
    </row>
    <row r="2843">
      <c r="A2843" s="147"/>
      <c r="B2843" s="148"/>
      <c r="C2843" s="87"/>
      <c r="D2843" s="37"/>
      <c r="E2843" s="37"/>
      <c r="F2843" s="87"/>
    </row>
    <row r="2844">
      <c r="A2844" s="147"/>
      <c r="B2844" s="148"/>
      <c r="C2844" s="87"/>
      <c r="D2844" s="37"/>
      <c r="E2844" s="37"/>
      <c r="F2844" s="87"/>
    </row>
    <row r="2845">
      <c r="A2845" s="147"/>
      <c r="B2845" s="148"/>
      <c r="C2845" s="87"/>
      <c r="D2845" s="37"/>
      <c r="E2845" s="37"/>
      <c r="F2845" s="87"/>
    </row>
    <row r="2846">
      <c r="A2846" s="147"/>
      <c r="B2846" s="148"/>
      <c r="C2846" s="87"/>
      <c r="D2846" s="37"/>
      <c r="E2846" s="37"/>
      <c r="F2846" s="87"/>
    </row>
    <row r="2847">
      <c r="A2847" s="147"/>
      <c r="B2847" s="148"/>
      <c r="C2847" s="87"/>
      <c r="D2847" s="37"/>
      <c r="E2847" s="37"/>
      <c r="F2847" s="87"/>
    </row>
    <row r="2848">
      <c r="A2848" s="147"/>
      <c r="B2848" s="148"/>
      <c r="C2848" s="87"/>
      <c r="D2848" s="37"/>
      <c r="E2848" s="37"/>
      <c r="F2848" s="87"/>
    </row>
    <row r="2849">
      <c r="A2849" s="147"/>
      <c r="B2849" s="148"/>
      <c r="C2849" s="87"/>
      <c r="D2849" s="37"/>
      <c r="E2849" s="37"/>
      <c r="F2849" s="87"/>
    </row>
    <row r="2850">
      <c r="A2850" s="147"/>
      <c r="B2850" s="148"/>
      <c r="C2850" s="87"/>
      <c r="D2850" s="37"/>
      <c r="E2850" s="37"/>
      <c r="F2850" s="87"/>
    </row>
    <row r="2851">
      <c r="A2851" s="147"/>
      <c r="B2851" s="148"/>
      <c r="C2851" s="87"/>
      <c r="D2851" s="37"/>
      <c r="E2851" s="37"/>
      <c r="F2851" s="87"/>
    </row>
    <row r="2852">
      <c r="A2852" s="147"/>
      <c r="B2852" s="148"/>
      <c r="C2852" s="87"/>
      <c r="D2852" s="37"/>
      <c r="E2852" s="37"/>
      <c r="F2852" s="87"/>
    </row>
    <row r="2853">
      <c r="A2853" s="147"/>
      <c r="B2853" s="148"/>
      <c r="C2853" s="87"/>
      <c r="D2853" s="37"/>
      <c r="E2853" s="37"/>
      <c r="F2853" s="87"/>
    </row>
    <row r="2854">
      <c r="A2854" s="147"/>
      <c r="B2854" s="148"/>
      <c r="C2854" s="87"/>
      <c r="D2854" s="37"/>
      <c r="E2854" s="37"/>
      <c r="F2854" s="87"/>
    </row>
    <row r="2855">
      <c r="A2855" s="147"/>
      <c r="B2855" s="148"/>
      <c r="C2855" s="87"/>
      <c r="D2855" s="37"/>
      <c r="E2855" s="37"/>
      <c r="F2855" s="87"/>
    </row>
    <row r="2856">
      <c r="A2856" s="147"/>
      <c r="B2856" s="148"/>
      <c r="C2856" s="87"/>
      <c r="D2856" s="37"/>
      <c r="E2856" s="37"/>
      <c r="F2856" s="87"/>
    </row>
    <row r="2857">
      <c r="A2857" s="147"/>
      <c r="B2857" s="148"/>
      <c r="C2857" s="87"/>
      <c r="D2857" s="37"/>
      <c r="E2857" s="37"/>
      <c r="F2857" s="87"/>
    </row>
    <row r="2858">
      <c r="A2858" s="147"/>
      <c r="B2858" s="148"/>
      <c r="C2858" s="87"/>
      <c r="D2858" s="37"/>
      <c r="E2858" s="37"/>
      <c r="F2858" s="87"/>
    </row>
    <row r="2859">
      <c r="A2859" s="147"/>
      <c r="B2859" s="148"/>
      <c r="C2859" s="87"/>
      <c r="D2859" s="37"/>
      <c r="E2859" s="37"/>
      <c r="F2859" s="87"/>
    </row>
    <row r="2860">
      <c r="A2860" s="147"/>
      <c r="B2860" s="148"/>
      <c r="C2860" s="87"/>
      <c r="D2860" s="37"/>
      <c r="E2860" s="37"/>
      <c r="F2860" s="87"/>
    </row>
    <row r="2861">
      <c r="A2861" s="147"/>
      <c r="B2861" s="148"/>
      <c r="C2861" s="87"/>
      <c r="D2861" s="37"/>
      <c r="E2861" s="37"/>
      <c r="F2861" s="87"/>
    </row>
    <row r="2862">
      <c r="A2862" s="147"/>
      <c r="B2862" s="148"/>
      <c r="C2862" s="87"/>
      <c r="D2862" s="37"/>
      <c r="E2862" s="37"/>
      <c r="F2862" s="87"/>
    </row>
    <row r="2863">
      <c r="A2863" s="147"/>
      <c r="B2863" s="148"/>
      <c r="C2863" s="87"/>
      <c r="D2863" s="37"/>
      <c r="E2863" s="37"/>
      <c r="F2863" s="87"/>
    </row>
    <row r="2864">
      <c r="A2864" s="147"/>
      <c r="B2864" s="148"/>
      <c r="C2864" s="87"/>
      <c r="D2864" s="37"/>
      <c r="E2864" s="37"/>
      <c r="F2864" s="87"/>
    </row>
    <row r="2865">
      <c r="A2865" s="147"/>
      <c r="B2865" s="148"/>
      <c r="C2865" s="87"/>
      <c r="D2865" s="37"/>
      <c r="E2865" s="37"/>
      <c r="F2865" s="87"/>
    </row>
    <row r="2866">
      <c r="A2866" s="147"/>
      <c r="B2866" s="148"/>
      <c r="C2866" s="87"/>
      <c r="D2866" s="37"/>
      <c r="E2866" s="37"/>
      <c r="F2866" s="87"/>
    </row>
    <row r="2867">
      <c r="A2867" s="147"/>
      <c r="B2867" s="148"/>
      <c r="C2867" s="87"/>
      <c r="D2867" s="37"/>
      <c r="E2867" s="37"/>
      <c r="F2867" s="87"/>
    </row>
    <row r="2868">
      <c r="A2868" s="147"/>
      <c r="B2868" s="148"/>
      <c r="C2868" s="87"/>
      <c r="D2868" s="37"/>
      <c r="E2868" s="37"/>
      <c r="F2868" s="87"/>
    </row>
    <row r="2869">
      <c r="A2869" s="147"/>
      <c r="B2869" s="148"/>
      <c r="C2869" s="87"/>
      <c r="D2869" s="37"/>
      <c r="E2869" s="37"/>
      <c r="F2869" s="87"/>
    </row>
    <row r="2870">
      <c r="A2870" s="147"/>
      <c r="B2870" s="148"/>
      <c r="C2870" s="87"/>
      <c r="D2870" s="37"/>
      <c r="E2870" s="37"/>
      <c r="F2870" s="87"/>
    </row>
    <row r="2871">
      <c r="A2871" s="147"/>
      <c r="B2871" s="148"/>
      <c r="C2871" s="87"/>
      <c r="D2871" s="37"/>
      <c r="E2871" s="37"/>
      <c r="F2871" s="87"/>
    </row>
    <row r="2872">
      <c r="A2872" s="147"/>
      <c r="B2872" s="148"/>
      <c r="C2872" s="87"/>
      <c r="D2872" s="37"/>
      <c r="E2872" s="37"/>
      <c r="F2872" s="87"/>
    </row>
    <row r="2873">
      <c r="A2873" s="147"/>
      <c r="B2873" s="148"/>
      <c r="C2873" s="87"/>
      <c r="D2873" s="37"/>
      <c r="E2873" s="37"/>
      <c r="F2873" s="87"/>
    </row>
    <row r="2874">
      <c r="A2874" s="147"/>
      <c r="B2874" s="148"/>
      <c r="C2874" s="87"/>
      <c r="D2874" s="37"/>
      <c r="E2874" s="37"/>
      <c r="F2874" s="87"/>
    </row>
    <row r="2875">
      <c r="A2875" s="147"/>
      <c r="B2875" s="148"/>
      <c r="C2875" s="87"/>
      <c r="D2875" s="37"/>
      <c r="E2875" s="37"/>
      <c r="F2875" s="87"/>
    </row>
    <row r="2876">
      <c r="A2876" s="147"/>
      <c r="B2876" s="148"/>
      <c r="C2876" s="87"/>
      <c r="D2876" s="37"/>
      <c r="E2876" s="37"/>
      <c r="F2876" s="87"/>
    </row>
    <row r="2877">
      <c r="A2877" s="147"/>
      <c r="B2877" s="148"/>
      <c r="C2877" s="87"/>
      <c r="D2877" s="37"/>
      <c r="E2877" s="37"/>
      <c r="F2877" s="87"/>
    </row>
    <row r="2878">
      <c r="A2878" s="147"/>
      <c r="B2878" s="148"/>
      <c r="C2878" s="87"/>
      <c r="D2878" s="37"/>
      <c r="E2878" s="37"/>
      <c r="F2878" s="87"/>
    </row>
    <row r="2879">
      <c r="A2879" s="147"/>
      <c r="B2879" s="148"/>
      <c r="C2879" s="87"/>
      <c r="D2879" s="37"/>
      <c r="E2879" s="37"/>
      <c r="F2879" s="87"/>
    </row>
    <row r="2880">
      <c r="A2880" s="147"/>
      <c r="B2880" s="148"/>
      <c r="C2880" s="87"/>
      <c r="D2880" s="37"/>
      <c r="E2880" s="37"/>
      <c r="F2880" s="87"/>
    </row>
    <row r="2881">
      <c r="A2881" s="147"/>
      <c r="B2881" s="148"/>
      <c r="C2881" s="87"/>
      <c r="D2881" s="37"/>
      <c r="E2881" s="37"/>
      <c r="F2881" s="87"/>
    </row>
    <row r="2882">
      <c r="A2882" s="147"/>
      <c r="B2882" s="148"/>
      <c r="C2882" s="87"/>
      <c r="D2882" s="37"/>
      <c r="E2882" s="37"/>
      <c r="F2882" s="87"/>
    </row>
    <row r="2883">
      <c r="A2883" s="147"/>
      <c r="B2883" s="148"/>
      <c r="C2883" s="87"/>
      <c r="D2883" s="37"/>
      <c r="E2883" s="37"/>
      <c r="F2883" s="87"/>
    </row>
    <row r="2884">
      <c r="A2884" s="147"/>
      <c r="B2884" s="148"/>
      <c r="C2884" s="87"/>
      <c r="D2884" s="37"/>
      <c r="E2884" s="37"/>
      <c r="F2884" s="87"/>
    </row>
    <row r="2885">
      <c r="A2885" s="147"/>
      <c r="B2885" s="148"/>
      <c r="C2885" s="87"/>
      <c r="D2885" s="37"/>
      <c r="E2885" s="37"/>
      <c r="F2885" s="87"/>
    </row>
    <row r="2886">
      <c r="A2886" s="147"/>
      <c r="B2886" s="148"/>
      <c r="C2886" s="87"/>
      <c r="D2886" s="37"/>
      <c r="E2886" s="37"/>
      <c r="F2886" s="87"/>
    </row>
    <row r="2887">
      <c r="A2887" s="147"/>
      <c r="B2887" s="148"/>
      <c r="C2887" s="87"/>
      <c r="D2887" s="37"/>
      <c r="E2887" s="37"/>
      <c r="F2887" s="87"/>
    </row>
    <row r="2888">
      <c r="A2888" s="147"/>
      <c r="B2888" s="148"/>
      <c r="C2888" s="87"/>
      <c r="D2888" s="37"/>
      <c r="E2888" s="37"/>
      <c r="F2888" s="87"/>
    </row>
    <row r="2889">
      <c r="A2889" s="147"/>
      <c r="B2889" s="148"/>
      <c r="C2889" s="87"/>
      <c r="D2889" s="37"/>
      <c r="E2889" s="37"/>
      <c r="F2889" s="87"/>
    </row>
    <row r="2890">
      <c r="A2890" s="147"/>
      <c r="B2890" s="148"/>
      <c r="C2890" s="87"/>
      <c r="D2890" s="37"/>
      <c r="E2890" s="37"/>
      <c r="F2890" s="87"/>
    </row>
    <row r="2891">
      <c r="A2891" s="147"/>
      <c r="B2891" s="148"/>
      <c r="C2891" s="87"/>
      <c r="D2891" s="37"/>
      <c r="E2891" s="37"/>
      <c r="F2891" s="87"/>
    </row>
    <row r="2892">
      <c r="A2892" s="147"/>
      <c r="B2892" s="148"/>
      <c r="C2892" s="87"/>
      <c r="D2892" s="37"/>
      <c r="E2892" s="37"/>
      <c r="F2892" s="87"/>
    </row>
    <row r="2893">
      <c r="A2893" s="147"/>
      <c r="B2893" s="148"/>
      <c r="C2893" s="87"/>
      <c r="D2893" s="37"/>
      <c r="E2893" s="37"/>
      <c r="F2893" s="87"/>
    </row>
    <row r="2894">
      <c r="A2894" s="147"/>
      <c r="B2894" s="148"/>
      <c r="C2894" s="87"/>
      <c r="D2894" s="37"/>
      <c r="E2894" s="37"/>
      <c r="F2894" s="87"/>
    </row>
    <row r="2895">
      <c r="A2895" s="147"/>
      <c r="B2895" s="148"/>
      <c r="C2895" s="87"/>
      <c r="D2895" s="37"/>
      <c r="E2895" s="37"/>
      <c r="F2895" s="87"/>
    </row>
    <row r="2896">
      <c r="A2896" s="147"/>
      <c r="B2896" s="148"/>
      <c r="C2896" s="87"/>
      <c r="D2896" s="37"/>
      <c r="E2896" s="37"/>
      <c r="F2896" s="87"/>
    </row>
    <row r="2897">
      <c r="A2897" s="147"/>
      <c r="B2897" s="148"/>
      <c r="C2897" s="87"/>
      <c r="D2897" s="37"/>
      <c r="E2897" s="37"/>
      <c r="F2897" s="87"/>
    </row>
    <row r="2898">
      <c r="A2898" s="147"/>
      <c r="B2898" s="148"/>
      <c r="C2898" s="87"/>
      <c r="D2898" s="37"/>
      <c r="E2898" s="37"/>
      <c r="F2898" s="87"/>
    </row>
    <row r="2899">
      <c r="A2899" s="147"/>
      <c r="B2899" s="148"/>
      <c r="C2899" s="87"/>
      <c r="D2899" s="37"/>
      <c r="E2899" s="37"/>
      <c r="F2899" s="87"/>
    </row>
    <row r="2900">
      <c r="A2900" s="147"/>
      <c r="B2900" s="148"/>
      <c r="C2900" s="87"/>
      <c r="D2900" s="37"/>
      <c r="E2900" s="37"/>
      <c r="F2900" s="87"/>
    </row>
    <row r="2901">
      <c r="A2901" s="147"/>
      <c r="B2901" s="148"/>
      <c r="C2901" s="87"/>
      <c r="D2901" s="37"/>
      <c r="E2901" s="37"/>
      <c r="F2901" s="87"/>
    </row>
    <row r="2902">
      <c r="A2902" s="147"/>
      <c r="B2902" s="148"/>
      <c r="C2902" s="87"/>
      <c r="D2902" s="37"/>
      <c r="E2902" s="37"/>
      <c r="F2902" s="87"/>
    </row>
    <row r="2903">
      <c r="A2903" s="147"/>
      <c r="B2903" s="148"/>
      <c r="C2903" s="87"/>
      <c r="D2903" s="37"/>
      <c r="E2903" s="37"/>
      <c r="F2903" s="87"/>
    </row>
    <row r="2904">
      <c r="A2904" s="147"/>
      <c r="B2904" s="148"/>
      <c r="C2904" s="87"/>
      <c r="D2904" s="37"/>
      <c r="E2904" s="37"/>
      <c r="F2904" s="87"/>
    </row>
    <row r="2905">
      <c r="A2905" s="147"/>
      <c r="B2905" s="148"/>
      <c r="C2905" s="87"/>
      <c r="D2905" s="37"/>
      <c r="E2905" s="37"/>
      <c r="F2905" s="87"/>
    </row>
    <row r="2906">
      <c r="A2906" s="147"/>
      <c r="B2906" s="148"/>
      <c r="C2906" s="87"/>
      <c r="D2906" s="37"/>
      <c r="E2906" s="37"/>
      <c r="F2906" s="87"/>
    </row>
    <row r="2907">
      <c r="A2907" s="147"/>
      <c r="B2907" s="148"/>
      <c r="C2907" s="87"/>
      <c r="D2907" s="37"/>
      <c r="E2907" s="37"/>
      <c r="F2907" s="87"/>
    </row>
    <row r="2908">
      <c r="A2908" s="147"/>
      <c r="B2908" s="148"/>
      <c r="C2908" s="87"/>
      <c r="D2908" s="37"/>
      <c r="E2908" s="37"/>
      <c r="F2908" s="87"/>
    </row>
    <row r="2909">
      <c r="A2909" s="147"/>
      <c r="B2909" s="148"/>
      <c r="C2909" s="87"/>
      <c r="D2909" s="37"/>
      <c r="E2909" s="37"/>
      <c r="F2909" s="87"/>
    </row>
    <row r="2910">
      <c r="A2910" s="147"/>
      <c r="B2910" s="148"/>
      <c r="C2910" s="87"/>
      <c r="D2910" s="37"/>
      <c r="E2910" s="37"/>
      <c r="F2910" s="87"/>
    </row>
    <row r="2911">
      <c r="A2911" s="147"/>
      <c r="B2911" s="148"/>
      <c r="C2911" s="87"/>
      <c r="D2911" s="37"/>
      <c r="E2911" s="37"/>
      <c r="F2911" s="87"/>
    </row>
    <row r="2912">
      <c r="A2912" s="147"/>
      <c r="B2912" s="148"/>
      <c r="C2912" s="87"/>
      <c r="D2912" s="37"/>
      <c r="E2912" s="37"/>
      <c r="F2912" s="87"/>
    </row>
    <row r="2913">
      <c r="A2913" s="147"/>
      <c r="B2913" s="148"/>
      <c r="C2913" s="87"/>
      <c r="D2913" s="37"/>
      <c r="E2913" s="37"/>
      <c r="F2913" s="87"/>
    </row>
    <row r="2914">
      <c r="A2914" s="147"/>
      <c r="B2914" s="148"/>
      <c r="C2914" s="87"/>
      <c r="D2914" s="37"/>
      <c r="E2914" s="37"/>
      <c r="F2914" s="87"/>
    </row>
    <row r="2915">
      <c r="A2915" s="147"/>
      <c r="B2915" s="148"/>
      <c r="C2915" s="87"/>
      <c r="D2915" s="37"/>
      <c r="E2915" s="37"/>
      <c r="F2915" s="87"/>
    </row>
    <row r="2916">
      <c r="A2916" s="147"/>
      <c r="B2916" s="148"/>
      <c r="C2916" s="87"/>
      <c r="D2916" s="37"/>
      <c r="E2916" s="37"/>
      <c r="F2916" s="87"/>
    </row>
    <row r="2917">
      <c r="A2917" s="147"/>
      <c r="B2917" s="148"/>
      <c r="C2917" s="87"/>
      <c r="D2917" s="37"/>
      <c r="E2917" s="37"/>
      <c r="F2917" s="87"/>
    </row>
    <row r="2918">
      <c r="A2918" s="147"/>
      <c r="B2918" s="148"/>
      <c r="C2918" s="87"/>
      <c r="D2918" s="37"/>
      <c r="E2918" s="37"/>
      <c r="F2918" s="87"/>
    </row>
    <row r="2919">
      <c r="A2919" s="147"/>
      <c r="B2919" s="148"/>
      <c r="C2919" s="87"/>
      <c r="D2919" s="37"/>
      <c r="E2919" s="37"/>
      <c r="F2919" s="87"/>
    </row>
    <row r="2920">
      <c r="A2920" s="147"/>
      <c r="B2920" s="148"/>
      <c r="C2920" s="87"/>
      <c r="D2920" s="37"/>
      <c r="E2920" s="37"/>
      <c r="F2920" s="87"/>
    </row>
    <row r="2921">
      <c r="A2921" s="147"/>
      <c r="B2921" s="148"/>
      <c r="C2921" s="87"/>
      <c r="D2921" s="37"/>
      <c r="E2921" s="37"/>
      <c r="F2921" s="87"/>
    </row>
    <row r="2922">
      <c r="A2922" s="147"/>
      <c r="B2922" s="148"/>
      <c r="C2922" s="87"/>
      <c r="D2922" s="37"/>
      <c r="E2922" s="37"/>
      <c r="F2922" s="87"/>
    </row>
    <row r="2923">
      <c r="A2923" s="147"/>
      <c r="B2923" s="148"/>
      <c r="C2923" s="87"/>
      <c r="D2923" s="37"/>
      <c r="E2923" s="37"/>
      <c r="F2923" s="87"/>
    </row>
    <row r="2924">
      <c r="A2924" s="147"/>
      <c r="B2924" s="148"/>
      <c r="C2924" s="87"/>
      <c r="D2924" s="37"/>
      <c r="E2924" s="37"/>
      <c r="F2924" s="87"/>
    </row>
    <row r="2925">
      <c r="A2925" s="147"/>
      <c r="B2925" s="148"/>
      <c r="C2925" s="87"/>
      <c r="D2925" s="37"/>
      <c r="E2925" s="37"/>
      <c r="F2925" s="87"/>
    </row>
    <row r="2926">
      <c r="A2926" s="147"/>
      <c r="B2926" s="148"/>
      <c r="C2926" s="87"/>
      <c r="D2926" s="37"/>
      <c r="E2926" s="37"/>
      <c r="F2926" s="87"/>
    </row>
    <row r="2927">
      <c r="A2927" s="147"/>
      <c r="B2927" s="148"/>
      <c r="C2927" s="87"/>
      <c r="D2927" s="37"/>
      <c r="E2927" s="37"/>
      <c r="F2927" s="87"/>
    </row>
    <row r="2928">
      <c r="A2928" s="147"/>
      <c r="B2928" s="148"/>
      <c r="C2928" s="87"/>
      <c r="D2928" s="37"/>
      <c r="E2928" s="37"/>
      <c r="F2928" s="87"/>
    </row>
    <row r="2929">
      <c r="A2929" s="147"/>
      <c r="B2929" s="148"/>
      <c r="C2929" s="87"/>
      <c r="D2929" s="37"/>
      <c r="E2929" s="37"/>
      <c r="F2929" s="87"/>
    </row>
    <row r="2930">
      <c r="A2930" s="147"/>
      <c r="B2930" s="148"/>
      <c r="C2930" s="87"/>
      <c r="D2930" s="37"/>
      <c r="E2930" s="37"/>
      <c r="F2930" s="87"/>
    </row>
    <row r="2931">
      <c r="A2931" s="147"/>
      <c r="B2931" s="148"/>
      <c r="C2931" s="87"/>
      <c r="D2931" s="37"/>
      <c r="E2931" s="37"/>
      <c r="F2931" s="87"/>
    </row>
    <row r="2932">
      <c r="A2932" s="147"/>
      <c r="B2932" s="148"/>
      <c r="C2932" s="87"/>
      <c r="D2932" s="37"/>
      <c r="E2932" s="37"/>
      <c r="F2932" s="87"/>
    </row>
    <row r="2933">
      <c r="A2933" s="147"/>
      <c r="B2933" s="148"/>
      <c r="C2933" s="87"/>
      <c r="D2933" s="37"/>
      <c r="E2933" s="37"/>
      <c r="F2933" s="87"/>
    </row>
    <row r="2934">
      <c r="A2934" s="147"/>
      <c r="B2934" s="148"/>
      <c r="C2934" s="87"/>
      <c r="D2934" s="37"/>
      <c r="E2934" s="37"/>
      <c r="F2934" s="87"/>
    </row>
    <row r="2935">
      <c r="A2935" s="147"/>
      <c r="B2935" s="148"/>
      <c r="C2935" s="87"/>
      <c r="D2935" s="37"/>
      <c r="E2935" s="37"/>
      <c r="F2935" s="87"/>
    </row>
    <row r="2936">
      <c r="A2936" s="147"/>
      <c r="B2936" s="148"/>
      <c r="C2936" s="87"/>
      <c r="D2936" s="37"/>
      <c r="E2936" s="37"/>
      <c r="F2936" s="87"/>
    </row>
    <row r="2937">
      <c r="A2937" s="147"/>
      <c r="B2937" s="148"/>
      <c r="C2937" s="87"/>
      <c r="D2937" s="37"/>
      <c r="E2937" s="37"/>
      <c r="F2937" s="87"/>
    </row>
    <row r="2938">
      <c r="A2938" s="147"/>
      <c r="B2938" s="148"/>
      <c r="C2938" s="87"/>
      <c r="D2938" s="37"/>
      <c r="E2938" s="37"/>
      <c r="F2938" s="87"/>
    </row>
    <row r="2939">
      <c r="A2939" s="147"/>
      <c r="B2939" s="148"/>
      <c r="C2939" s="87"/>
      <c r="D2939" s="37"/>
      <c r="E2939" s="37"/>
      <c r="F2939" s="87"/>
    </row>
    <row r="2940">
      <c r="A2940" s="147"/>
      <c r="B2940" s="148"/>
      <c r="C2940" s="87"/>
      <c r="D2940" s="37"/>
      <c r="E2940" s="37"/>
      <c r="F2940" s="87"/>
    </row>
    <row r="2941">
      <c r="A2941" s="147"/>
      <c r="B2941" s="148"/>
      <c r="C2941" s="87"/>
      <c r="D2941" s="37"/>
      <c r="E2941" s="37"/>
      <c r="F2941" s="87"/>
    </row>
    <row r="2942">
      <c r="A2942" s="147"/>
      <c r="B2942" s="148"/>
      <c r="C2942" s="87"/>
      <c r="D2942" s="37"/>
      <c r="E2942" s="37"/>
      <c r="F2942" s="87"/>
    </row>
    <row r="2943">
      <c r="A2943" s="147"/>
      <c r="B2943" s="148"/>
      <c r="C2943" s="87"/>
      <c r="D2943" s="37"/>
      <c r="E2943" s="37"/>
      <c r="F2943" s="87"/>
    </row>
    <row r="2944">
      <c r="A2944" s="147"/>
      <c r="B2944" s="148"/>
      <c r="C2944" s="87"/>
      <c r="D2944" s="37"/>
      <c r="E2944" s="37"/>
      <c r="F2944" s="87"/>
    </row>
    <row r="2945">
      <c r="A2945" s="147"/>
      <c r="B2945" s="148"/>
      <c r="C2945" s="87"/>
      <c r="D2945" s="37"/>
      <c r="E2945" s="37"/>
      <c r="F2945" s="87"/>
    </row>
    <row r="2946">
      <c r="A2946" s="147"/>
      <c r="B2946" s="148"/>
      <c r="C2946" s="87"/>
      <c r="D2946" s="37"/>
      <c r="E2946" s="37"/>
      <c r="F2946" s="87"/>
    </row>
    <row r="2947">
      <c r="A2947" s="147"/>
      <c r="B2947" s="148"/>
      <c r="C2947" s="87"/>
      <c r="D2947" s="37"/>
      <c r="E2947" s="37"/>
      <c r="F2947" s="87"/>
    </row>
    <row r="2948">
      <c r="A2948" s="147"/>
      <c r="B2948" s="148"/>
      <c r="C2948" s="87"/>
      <c r="D2948" s="37"/>
      <c r="E2948" s="37"/>
      <c r="F2948" s="87"/>
    </row>
    <row r="2949">
      <c r="A2949" s="147"/>
      <c r="B2949" s="148"/>
      <c r="C2949" s="87"/>
      <c r="D2949" s="37"/>
      <c r="E2949" s="37"/>
      <c r="F2949" s="87"/>
    </row>
    <row r="2950">
      <c r="A2950" s="147"/>
      <c r="B2950" s="148"/>
      <c r="C2950" s="87"/>
      <c r="D2950" s="37"/>
      <c r="E2950" s="37"/>
      <c r="F2950" s="87"/>
    </row>
    <row r="2951">
      <c r="A2951" s="147"/>
      <c r="B2951" s="148"/>
      <c r="C2951" s="87"/>
      <c r="D2951" s="37"/>
      <c r="E2951" s="37"/>
      <c r="F2951" s="87"/>
    </row>
    <row r="2952">
      <c r="A2952" s="147"/>
      <c r="B2952" s="148"/>
      <c r="C2952" s="87"/>
      <c r="D2952" s="37"/>
      <c r="E2952" s="37"/>
      <c r="F2952" s="87"/>
    </row>
    <row r="2953">
      <c r="A2953" s="147"/>
      <c r="B2953" s="148"/>
      <c r="C2953" s="87"/>
      <c r="D2953" s="37"/>
      <c r="E2953" s="37"/>
      <c r="F2953" s="87"/>
    </row>
    <row r="2954">
      <c r="A2954" s="147"/>
      <c r="B2954" s="148"/>
      <c r="C2954" s="87"/>
      <c r="D2954" s="37"/>
      <c r="E2954" s="37"/>
      <c r="F2954" s="87"/>
    </row>
    <row r="2955">
      <c r="A2955" s="147"/>
      <c r="B2955" s="148"/>
      <c r="C2955" s="87"/>
      <c r="D2955" s="37"/>
      <c r="E2955" s="37"/>
      <c r="F2955" s="87"/>
    </row>
    <row r="2956">
      <c r="A2956" s="147"/>
      <c r="B2956" s="148"/>
      <c r="C2956" s="87"/>
      <c r="D2956" s="37"/>
      <c r="E2956" s="37"/>
      <c r="F2956" s="87"/>
    </row>
    <row r="2957">
      <c r="A2957" s="147"/>
      <c r="B2957" s="148"/>
      <c r="C2957" s="87"/>
      <c r="D2957" s="37"/>
      <c r="E2957" s="37"/>
      <c r="F2957" s="87"/>
    </row>
    <row r="2958">
      <c r="A2958" s="147"/>
      <c r="B2958" s="148"/>
      <c r="C2958" s="87"/>
      <c r="D2958" s="37"/>
      <c r="E2958" s="37"/>
      <c r="F2958" s="87"/>
    </row>
    <row r="2959">
      <c r="A2959" s="147"/>
      <c r="B2959" s="148"/>
      <c r="C2959" s="87"/>
      <c r="D2959" s="37"/>
      <c r="E2959" s="37"/>
      <c r="F2959" s="87"/>
    </row>
    <row r="2960">
      <c r="A2960" s="147"/>
      <c r="B2960" s="148"/>
      <c r="C2960" s="87"/>
      <c r="D2960" s="37"/>
      <c r="E2960" s="37"/>
      <c r="F2960" s="87"/>
    </row>
    <row r="2961">
      <c r="A2961" s="147"/>
      <c r="B2961" s="148"/>
      <c r="C2961" s="87"/>
      <c r="D2961" s="37"/>
      <c r="E2961" s="37"/>
      <c r="F2961" s="87"/>
    </row>
    <row r="2962">
      <c r="A2962" s="147"/>
      <c r="B2962" s="148"/>
      <c r="C2962" s="87"/>
      <c r="D2962" s="37"/>
      <c r="E2962" s="37"/>
      <c r="F2962" s="87"/>
    </row>
    <row r="2963">
      <c r="A2963" s="147"/>
      <c r="B2963" s="148"/>
      <c r="C2963" s="87"/>
      <c r="D2963" s="37"/>
      <c r="E2963" s="37"/>
      <c r="F2963" s="87"/>
    </row>
    <row r="2964">
      <c r="A2964" s="147"/>
      <c r="B2964" s="148"/>
      <c r="C2964" s="87"/>
      <c r="D2964" s="37"/>
      <c r="E2964" s="37"/>
      <c r="F2964" s="87"/>
    </row>
    <row r="2965">
      <c r="A2965" s="147"/>
      <c r="B2965" s="148"/>
      <c r="C2965" s="87"/>
      <c r="D2965" s="37"/>
      <c r="E2965" s="37"/>
      <c r="F2965" s="87"/>
    </row>
    <row r="2966">
      <c r="A2966" s="147"/>
      <c r="B2966" s="148"/>
      <c r="C2966" s="87"/>
      <c r="D2966" s="37"/>
      <c r="E2966" s="37"/>
      <c r="F2966" s="87"/>
    </row>
    <row r="2967">
      <c r="A2967" s="147"/>
      <c r="B2967" s="148"/>
      <c r="C2967" s="87"/>
      <c r="D2967" s="37"/>
      <c r="E2967" s="37"/>
      <c r="F2967" s="87"/>
    </row>
    <row r="2968">
      <c r="A2968" s="147"/>
      <c r="B2968" s="148"/>
      <c r="C2968" s="87"/>
      <c r="D2968" s="37"/>
      <c r="E2968" s="37"/>
      <c r="F2968" s="87"/>
    </row>
    <row r="2969">
      <c r="A2969" s="147"/>
      <c r="B2969" s="148"/>
      <c r="C2969" s="87"/>
      <c r="D2969" s="37"/>
      <c r="E2969" s="37"/>
      <c r="F2969" s="87"/>
    </row>
    <row r="2970">
      <c r="A2970" s="147"/>
      <c r="B2970" s="148"/>
      <c r="C2970" s="87"/>
      <c r="D2970" s="37"/>
      <c r="E2970" s="37"/>
      <c r="F2970" s="87"/>
    </row>
    <row r="2971">
      <c r="A2971" s="147"/>
      <c r="B2971" s="148"/>
      <c r="C2971" s="87"/>
      <c r="D2971" s="37"/>
      <c r="E2971" s="37"/>
      <c r="F2971" s="87"/>
    </row>
    <row r="2972">
      <c r="A2972" s="147"/>
      <c r="B2972" s="148"/>
      <c r="C2972" s="87"/>
      <c r="D2972" s="37"/>
      <c r="E2972" s="37"/>
      <c r="F2972" s="87"/>
    </row>
    <row r="2973">
      <c r="A2973" s="147"/>
      <c r="B2973" s="148"/>
      <c r="C2973" s="87"/>
      <c r="D2973" s="37"/>
      <c r="E2973" s="37"/>
      <c r="F2973" s="87"/>
    </row>
    <row r="2974">
      <c r="A2974" s="147"/>
      <c r="B2974" s="148"/>
      <c r="C2974" s="87"/>
      <c r="D2974" s="37"/>
      <c r="E2974" s="37"/>
      <c r="F2974" s="87"/>
    </row>
    <row r="2975">
      <c r="A2975" s="147"/>
      <c r="B2975" s="148"/>
      <c r="C2975" s="87"/>
      <c r="D2975" s="37"/>
      <c r="E2975" s="37"/>
      <c r="F2975" s="87"/>
    </row>
    <row r="2976">
      <c r="A2976" s="147"/>
      <c r="B2976" s="148"/>
      <c r="C2976" s="87"/>
      <c r="D2976" s="37"/>
      <c r="E2976" s="37"/>
      <c r="F2976" s="87"/>
    </row>
    <row r="2977">
      <c r="A2977" s="147"/>
      <c r="B2977" s="148"/>
      <c r="C2977" s="87"/>
      <c r="D2977" s="37"/>
      <c r="E2977" s="37"/>
      <c r="F2977" s="87"/>
    </row>
    <row r="2978">
      <c r="A2978" s="147"/>
      <c r="B2978" s="148"/>
      <c r="C2978" s="87"/>
      <c r="D2978" s="37"/>
      <c r="E2978" s="37"/>
      <c r="F2978" s="87"/>
    </row>
    <row r="2979">
      <c r="A2979" s="147"/>
      <c r="B2979" s="148"/>
      <c r="C2979" s="87"/>
      <c r="D2979" s="37"/>
      <c r="E2979" s="37"/>
      <c r="F2979" s="87"/>
    </row>
    <row r="2980">
      <c r="A2980" s="147"/>
      <c r="B2980" s="148"/>
      <c r="C2980" s="87"/>
      <c r="D2980" s="37"/>
      <c r="E2980" s="37"/>
      <c r="F2980" s="87"/>
    </row>
    <row r="2981">
      <c r="A2981" s="147"/>
      <c r="B2981" s="148"/>
      <c r="C2981" s="87"/>
      <c r="D2981" s="37"/>
      <c r="E2981" s="37"/>
      <c r="F2981" s="87"/>
    </row>
    <row r="2982">
      <c r="A2982" s="147"/>
      <c r="B2982" s="148"/>
      <c r="C2982" s="87"/>
      <c r="D2982" s="37"/>
      <c r="E2982" s="37"/>
      <c r="F2982" s="87"/>
    </row>
    <row r="2983">
      <c r="A2983" s="147"/>
      <c r="B2983" s="148"/>
      <c r="C2983" s="87"/>
      <c r="D2983" s="37"/>
      <c r="E2983" s="37"/>
      <c r="F2983" s="87"/>
    </row>
    <row r="2984">
      <c r="A2984" s="147"/>
      <c r="B2984" s="148"/>
      <c r="C2984" s="87"/>
      <c r="D2984" s="37"/>
      <c r="E2984" s="37"/>
      <c r="F2984" s="87"/>
    </row>
    <row r="2985">
      <c r="A2985" s="147"/>
      <c r="B2985" s="148"/>
      <c r="C2985" s="87"/>
      <c r="D2985" s="37"/>
      <c r="E2985" s="37"/>
      <c r="F2985" s="87"/>
    </row>
    <row r="2986">
      <c r="A2986" s="147"/>
      <c r="B2986" s="148"/>
      <c r="C2986" s="87"/>
      <c r="D2986" s="37"/>
      <c r="E2986" s="37"/>
      <c r="F2986" s="87"/>
    </row>
    <row r="2987">
      <c r="A2987" s="147"/>
      <c r="B2987" s="148"/>
      <c r="C2987" s="87"/>
      <c r="D2987" s="37"/>
      <c r="E2987" s="37"/>
      <c r="F2987" s="87"/>
    </row>
    <row r="2988">
      <c r="A2988" s="147"/>
      <c r="B2988" s="148"/>
      <c r="C2988" s="87"/>
      <c r="D2988" s="37"/>
      <c r="E2988" s="37"/>
      <c r="F2988" s="87"/>
    </row>
    <row r="2989">
      <c r="A2989" s="147"/>
      <c r="B2989" s="148"/>
      <c r="C2989" s="87"/>
      <c r="D2989" s="37"/>
      <c r="E2989" s="37"/>
      <c r="F2989" s="87"/>
    </row>
    <row r="2990">
      <c r="A2990" s="147"/>
      <c r="B2990" s="148"/>
      <c r="C2990" s="87"/>
      <c r="D2990" s="37"/>
      <c r="E2990" s="37"/>
      <c r="F2990" s="87"/>
    </row>
    <row r="2991">
      <c r="A2991" s="147"/>
      <c r="B2991" s="148"/>
      <c r="C2991" s="87"/>
      <c r="D2991" s="37"/>
      <c r="E2991" s="37"/>
      <c r="F2991" s="87"/>
    </row>
    <row r="2992">
      <c r="A2992" s="147"/>
      <c r="B2992" s="148"/>
      <c r="C2992" s="87"/>
      <c r="D2992" s="37"/>
      <c r="E2992" s="37"/>
      <c r="F2992" s="87"/>
    </row>
    <row r="2993">
      <c r="A2993" s="147"/>
      <c r="B2993" s="148"/>
      <c r="C2993" s="87"/>
      <c r="D2993" s="37"/>
      <c r="E2993" s="37"/>
      <c r="F2993" s="87"/>
    </row>
    <row r="2994">
      <c r="A2994" s="147"/>
      <c r="B2994" s="148"/>
      <c r="C2994" s="87"/>
      <c r="D2994" s="37"/>
      <c r="E2994" s="37"/>
      <c r="F2994" s="87"/>
    </row>
    <row r="2995">
      <c r="A2995" s="147"/>
      <c r="B2995" s="148"/>
      <c r="C2995" s="87"/>
      <c r="D2995" s="37"/>
      <c r="E2995" s="37"/>
      <c r="F2995" s="87"/>
    </row>
    <row r="2996">
      <c r="A2996" s="147"/>
      <c r="B2996" s="148"/>
      <c r="C2996" s="87"/>
      <c r="D2996" s="37"/>
      <c r="E2996" s="37"/>
      <c r="F2996" s="87"/>
    </row>
    <row r="2997">
      <c r="A2997" s="147"/>
      <c r="B2997" s="148"/>
      <c r="C2997" s="87"/>
      <c r="D2997" s="37"/>
      <c r="E2997" s="37"/>
      <c r="F2997" s="87"/>
    </row>
    <row r="2998">
      <c r="A2998" s="147"/>
      <c r="B2998" s="148"/>
      <c r="C2998" s="87"/>
      <c r="D2998" s="37"/>
      <c r="E2998" s="37"/>
      <c r="F2998" s="87"/>
    </row>
    <row r="2999">
      <c r="A2999" s="147"/>
      <c r="B2999" s="148"/>
      <c r="C2999" s="87"/>
      <c r="D2999" s="37"/>
      <c r="E2999" s="37"/>
      <c r="F2999" s="87"/>
    </row>
    <row r="3000">
      <c r="A3000" s="147"/>
      <c r="B3000" s="148"/>
      <c r="C3000" s="87"/>
      <c r="D3000" s="37"/>
      <c r="E3000" s="37"/>
      <c r="F3000" s="87"/>
    </row>
    <row r="3001">
      <c r="A3001" s="147"/>
      <c r="B3001" s="148"/>
      <c r="C3001" s="87"/>
      <c r="D3001" s="37"/>
      <c r="E3001" s="37"/>
      <c r="F3001" s="87"/>
    </row>
    <row r="3002">
      <c r="A3002" s="147"/>
      <c r="B3002" s="148"/>
      <c r="C3002" s="87"/>
      <c r="D3002" s="37"/>
      <c r="E3002" s="37"/>
      <c r="F3002" s="87"/>
    </row>
    <row r="3003">
      <c r="A3003" s="147"/>
      <c r="B3003" s="148"/>
      <c r="C3003" s="87"/>
      <c r="D3003" s="37"/>
      <c r="E3003" s="37"/>
      <c r="F3003" s="87"/>
    </row>
    <row r="3004">
      <c r="A3004" s="147"/>
      <c r="B3004" s="148"/>
      <c r="C3004" s="87"/>
      <c r="D3004" s="37"/>
      <c r="E3004" s="37"/>
      <c r="F3004" s="87"/>
    </row>
    <row r="3005">
      <c r="A3005" s="147"/>
      <c r="B3005" s="148"/>
      <c r="C3005" s="87"/>
      <c r="D3005" s="37"/>
      <c r="E3005" s="37"/>
      <c r="F3005" s="87"/>
    </row>
    <row r="3006">
      <c r="A3006" s="147"/>
      <c r="B3006" s="148"/>
      <c r="C3006" s="87"/>
      <c r="D3006" s="37"/>
      <c r="E3006" s="37"/>
      <c r="F3006" s="87"/>
    </row>
    <row r="3007">
      <c r="A3007" s="147"/>
      <c r="B3007" s="148"/>
      <c r="C3007" s="87"/>
      <c r="D3007" s="37"/>
      <c r="E3007" s="37"/>
      <c r="F3007" s="87"/>
    </row>
    <row r="3008">
      <c r="A3008" s="147"/>
      <c r="B3008" s="148"/>
      <c r="C3008" s="87"/>
      <c r="D3008" s="37"/>
      <c r="E3008" s="37"/>
      <c r="F3008" s="87"/>
    </row>
    <row r="3009">
      <c r="A3009" s="147"/>
      <c r="B3009" s="148"/>
      <c r="C3009" s="87"/>
      <c r="D3009" s="37"/>
      <c r="E3009" s="37"/>
      <c r="F3009" s="87"/>
    </row>
    <row r="3010">
      <c r="A3010" s="147"/>
      <c r="B3010" s="148"/>
      <c r="C3010" s="87"/>
      <c r="D3010" s="37"/>
      <c r="E3010" s="37"/>
      <c r="F3010" s="87"/>
    </row>
    <row r="3011">
      <c r="A3011" s="147"/>
      <c r="B3011" s="148"/>
      <c r="C3011" s="87"/>
      <c r="D3011" s="37"/>
      <c r="E3011" s="37"/>
      <c r="F3011" s="87"/>
    </row>
    <row r="3012">
      <c r="A3012" s="147"/>
      <c r="B3012" s="148"/>
      <c r="C3012" s="87"/>
      <c r="D3012" s="37"/>
      <c r="E3012" s="37"/>
      <c r="F3012" s="87"/>
    </row>
    <row r="3013">
      <c r="A3013" s="147"/>
      <c r="B3013" s="148"/>
      <c r="C3013" s="87"/>
      <c r="D3013" s="37"/>
      <c r="E3013" s="37"/>
      <c r="F3013" s="87"/>
    </row>
    <row r="3014">
      <c r="A3014" s="147"/>
      <c r="B3014" s="148"/>
      <c r="C3014" s="87"/>
      <c r="D3014" s="37"/>
      <c r="E3014" s="37"/>
      <c r="F3014" s="87"/>
    </row>
    <row r="3015">
      <c r="A3015" s="147"/>
      <c r="B3015" s="148"/>
      <c r="C3015" s="87"/>
      <c r="D3015" s="37"/>
      <c r="E3015" s="37"/>
      <c r="F3015" s="87"/>
    </row>
    <row r="3016">
      <c r="A3016" s="147"/>
      <c r="B3016" s="148"/>
      <c r="C3016" s="87"/>
      <c r="D3016" s="37"/>
      <c r="E3016" s="37"/>
      <c r="F3016" s="87"/>
    </row>
    <row r="3017">
      <c r="A3017" s="147"/>
      <c r="B3017" s="148"/>
      <c r="C3017" s="87"/>
      <c r="D3017" s="37"/>
      <c r="E3017" s="37"/>
      <c r="F3017" s="87"/>
    </row>
    <row r="3018">
      <c r="A3018" s="147"/>
      <c r="B3018" s="148"/>
      <c r="C3018" s="87"/>
      <c r="D3018" s="37"/>
      <c r="E3018" s="37"/>
      <c r="F3018" s="87"/>
    </row>
    <row r="3019">
      <c r="A3019" s="147"/>
      <c r="B3019" s="148"/>
      <c r="C3019" s="87"/>
      <c r="D3019" s="37"/>
      <c r="E3019" s="37"/>
      <c r="F3019" s="87"/>
    </row>
    <row r="3020">
      <c r="A3020" s="147"/>
      <c r="B3020" s="148"/>
      <c r="C3020" s="87"/>
      <c r="D3020" s="37"/>
      <c r="E3020" s="37"/>
      <c r="F3020" s="87"/>
    </row>
    <row r="3021">
      <c r="A3021" s="147"/>
      <c r="B3021" s="148"/>
      <c r="C3021" s="87"/>
      <c r="D3021" s="37"/>
      <c r="E3021" s="37"/>
      <c r="F3021" s="87"/>
    </row>
    <row r="3022">
      <c r="A3022" s="147"/>
      <c r="B3022" s="148"/>
      <c r="C3022" s="87"/>
      <c r="D3022" s="37"/>
      <c r="E3022" s="37"/>
      <c r="F3022" s="87"/>
    </row>
    <row r="3023">
      <c r="A3023" s="147"/>
      <c r="B3023" s="148"/>
      <c r="C3023" s="87"/>
      <c r="D3023" s="37"/>
      <c r="E3023" s="37"/>
      <c r="F3023" s="87"/>
    </row>
    <row r="3024">
      <c r="A3024" s="147"/>
      <c r="B3024" s="148"/>
      <c r="C3024" s="87"/>
      <c r="D3024" s="37"/>
      <c r="E3024" s="37"/>
      <c r="F3024" s="87"/>
    </row>
    <row r="3025">
      <c r="A3025" s="147"/>
      <c r="B3025" s="148"/>
      <c r="C3025" s="87"/>
      <c r="D3025" s="37"/>
      <c r="E3025" s="37"/>
      <c r="F3025" s="87"/>
    </row>
    <row r="3026">
      <c r="A3026" s="147"/>
      <c r="B3026" s="148"/>
      <c r="C3026" s="87"/>
      <c r="D3026" s="37"/>
      <c r="E3026" s="37"/>
      <c r="F3026" s="87"/>
    </row>
    <row r="3027">
      <c r="A3027" s="147"/>
      <c r="B3027" s="148"/>
      <c r="C3027" s="87"/>
      <c r="D3027" s="37"/>
      <c r="E3027" s="37"/>
      <c r="F3027" s="87"/>
    </row>
    <row r="3028">
      <c r="A3028" s="147"/>
      <c r="B3028" s="148"/>
      <c r="C3028" s="87"/>
      <c r="D3028" s="37"/>
      <c r="E3028" s="37"/>
      <c r="F3028" s="87"/>
    </row>
    <row r="3029">
      <c r="A3029" s="147"/>
      <c r="B3029" s="148"/>
      <c r="C3029" s="87"/>
      <c r="D3029" s="37"/>
      <c r="E3029" s="37"/>
      <c r="F3029" s="87"/>
    </row>
    <row r="3030">
      <c r="A3030" s="147"/>
      <c r="B3030" s="148"/>
      <c r="C3030" s="87"/>
      <c r="D3030" s="37"/>
      <c r="E3030" s="37"/>
      <c r="F3030" s="87"/>
    </row>
    <row r="3031">
      <c r="A3031" s="147"/>
      <c r="B3031" s="148"/>
      <c r="C3031" s="87"/>
      <c r="D3031" s="37"/>
      <c r="E3031" s="37"/>
      <c r="F3031" s="87"/>
    </row>
    <row r="3032">
      <c r="A3032" s="147"/>
      <c r="B3032" s="148"/>
      <c r="C3032" s="87"/>
      <c r="D3032" s="37"/>
      <c r="E3032" s="37"/>
      <c r="F3032" s="87"/>
    </row>
    <row r="3033">
      <c r="A3033" s="147"/>
      <c r="B3033" s="148"/>
      <c r="C3033" s="87"/>
      <c r="D3033" s="37"/>
      <c r="E3033" s="37"/>
      <c r="F3033" s="87"/>
    </row>
    <row r="3034">
      <c r="A3034" s="147"/>
      <c r="B3034" s="148"/>
      <c r="C3034" s="87"/>
      <c r="D3034" s="37"/>
      <c r="E3034" s="37"/>
      <c r="F3034" s="87"/>
    </row>
    <row r="3035">
      <c r="A3035" s="147"/>
      <c r="B3035" s="148"/>
      <c r="C3035" s="87"/>
      <c r="D3035" s="37"/>
      <c r="E3035" s="37"/>
      <c r="F3035" s="87"/>
    </row>
    <row r="3036">
      <c r="A3036" s="147"/>
      <c r="B3036" s="148"/>
      <c r="C3036" s="87"/>
      <c r="D3036" s="37"/>
      <c r="E3036" s="37"/>
      <c r="F3036" s="87"/>
    </row>
    <row r="3037">
      <c r="A3037" s="147"/>
      <c r="B3037" s="148"/>
      <c r="C3037" s="87"/>
      <c r="D3037" s="37"/>
      <c r="E3037" s="37"/>
      <c r="F3037" s="87"/>
    </row>
    <row r="3038">
      <c r="A3038" s="147"/>
      <c r="B3038" s="148"/>
      <c r="C3038" s="87"/>
      <c r="D3038" s="37"/>
      <c r="E3038" s="37"/>
      <c r="F3038" s="87"/>
    </row>
    <row r="3039">
      <c r="A3039" s="147"/>
      <c r="B3039" s="148"/>
      <c r="C3039" s="87"/>
      <c r="D3039" s="37"/>
      <c r="E3039" s="37"/>
      <c r="F3039" s="87"/>
    </row>
    <row r="3040">
      <c r="A3040" s="147"/>
      <c r="B3040" s="148"/>
      <c r="C3040" s="87"/>
      <c r="D3040" s="37"/>
      <c r="E3040" s="37"/>
      <c r="F3040" s="87"/>
    </row>
    <row r="3041">
      <c r="A3041" s="147"/>
      <c r="B3041" s="148"/>
      <c r="C3041" s="87"/>
      <c r="D3041" s="37"/>
      <c r="E3041" s="37"/>
      <c r="F3041" s="87"/>
    </row>
    <row r="3042">
      <c r="A3042" s="147"/>
      <c r="B3042" s="148"/>
      <c r="C3042" s="87"/>
      <c r="D3042" s="37"/>
      <c r="E3042" s="37"/>
      <c r="F3042" s="87"/>
    </row>
    <row r="3043">
      <c r="A3043" s="147"/>
      <c r="B3043" s="148"/>
      <c r="C3043" s="87"/>
      <c r="D3043" s="37"/>
      <c r="E3043" s="37"/>
      <c r="F3043" s="87"/>
    </row>
    <row r="3044">
      <c r="A3044" s="147"/>
      <c r="B3044" s="148"/>
      <c r="C3044" s="87"/>
      <c r="D3044" s="37"/>
      <c r="E3044" s="37"/>
      <c r="F3044" s="87"/>
    </row>
    <row r="3045">
      <c r="A3045" s="147"/>
      <c r="B3045" s="148"/>
      <c r="C3045" s="87"/>
      <c r="D3045" s="37"/>
      <c r="E3045" s="37"/>
      <c r="F3045" s="87"/>
    </row>
    <row r="3046">
      <c r="A3046" s="147"/>
      <c r="B3046" s="148"/>
      <c r="C3046" s="87"/>
      <c r="D3046" s="37"/>
      <c r="E3046" s="37"/>
      <c r="F3046" s="87"/>
    </row>
    <row r="3047">
      <c r="A3047" s="147"/>
      <c r="B3047" s="148"/>
      <c r="C3047" s="87"/>
      <c r="D3047" s="37"/>
      <c r="E3047" s="37"/>
      <c r="F3047" s="87"/>
    </row>
    <row r="3048">
      <c r="A3048" s="147"/>
      <c r="B3048" s="148"/>
      <c r="C3048" s="87"/>
      <c r="D3048" s="37"/>
      <c r="E3048" s="37"/>
      <c r="F3048" s="87"/>
    </row>
    <row r="3049">
      <c r="A3049" s="147"/>
      <c r="B3049" s="148"/>
      <c r="C3049" s="87"/>
      <c r="D3049" s="37"/>
      <c r="E3049" s="37"/>
      <c r="F3049" s="87"/>
    </row>
    <row r="3050">
      <c r="A3050" s="147"/>
      <c r="B3050" s="148"/>
      <c r="C3050" s="87"/>
      <c r="D3050" s="37"/>
      <c r="E3050" s="37"/>
      <c r="F3050" s="87"/>
    </row>
    <row r="3051">
      <c r="A3051" s="147"/>
      <c r="B3051" s="148"/>
      <c r="C3051" s="87"/>
      <c r="D3051" s="37"/>
      <c r="E3051" s="37"/>
      <c r="F3051" s="87"/>
    </row>
    <row r="3052">
      <c r="A3052" s="147"/>
      <c r="B3052" s="148"/>
      <c r="C3052" s="87"/>
      <c r="D3052" s="37"/>
      <c r="E3052" s="37"/>
      <c r="F3052" s="87"/>
    </row>
    <row r="3053">
      <c r="A3053" s="147"/>
      <c r="B3053" s="148"/>
      <c r="C3053" s="87"/>
      <c r="D3053" s="37"/>
      <c r="E3053" s="37"/>
      <c r="F3053" s="87"/>
    </row>
    <row r="3054">
      <c r="A3054" s="147"/>
      <c r="B3054" s="148"/>
      <c r="C3054" s="87"/>
      <c r="D3054" s="37"/>
      <c r="E3054" s="37"/>
      <c r="F3054" s="87"/>
    </row>
    <row r="3055">
      <c r="A3055" s="147"/>
      <c r="B3055" s="148"/>
      <c r="C3055" s="87"/>
      <c r="D3055" s="37"/>
      <c r="E3055" s="37"/>
      <c r="F3055" s="87"/>
    </row>
    <row r="3056">
      <c r="A3056" s="147"/>
      <c r="B3056" s="148"/>
      <c r="C3056" s="87"/>
      <c r="D3056" s="37"/>
      <c r="E3056" s="37"/>
      <c r="F3056" s="87"/>
    </row>
    <row r="3057">
      <c r="A3057" s="147"/>
      <c r="B3057" s="148"/>
      <c r="C3057" s="87"/>
      <c r="D3057" s="37"/>
      <c r="E3057" s="37"/>
      <c r="F3057" s="87"/>
    </row>
    <row r="3058">
      <c r="A3058" s="147"/>
      <c r="B3058" s="148"/>
      <c r="C3058" s="87"/>
      <c r="D3058" s="37"/>
      <c r="E3058" s="37"/>
      <c r="F3058" s="87"/>
    </row>
    <row r="3059">
      <c r="A3059" s="147"/>
      <c r="B3059" s="148"/>
      <c r="C3059" s="87"/>
      <c r="D3059" s="37"/>
      <c r="E3059" s="37"/>
      <c r="F3059" s="87"/>
    </row>
    <row r="3060">
      <c r="A3060" s="147"/>
      <c r="B3060" s="148"/>
      <c r="C3060" s="87"/>
      <c r="D3060" s="37"/>
      <c r="E3060" s="37"/>
      <c r="F3060" s="87"/>
    </row>
    <row r="3061">
      <c r="A3061" s="147"/>
      <c r="B3061" s="148"/>
      <c r="C3061" s="87"/>
      <c r="D3061" s="37"/>
      <c r="E3061" s="37"/>
      <c r="F3061" s="87"/>
    </row>
    <row r="3062">
      <c r="A3062" s="147"/>
      <c r="B3062" s="148"/>
      <c r="C3062" s="87"/>
      <c r="D3062" s="37"/>
      <c r="E3062" s="37"/>
      <c r="F3062" s="87"/>
    </row>
    <row r="3063">
      <c r="A3063" s="147"/>
      <c r="B3063" s="148"/>
      <c r="C3063" s="87"/>
      <c r="D3063" s="37"/>
      <c r="E3063" s="37"/>
      <c r="F3063" s="87"/>
    </row>
    <row r="3064">
      <c r="A3064" s="147"/>
      <c r="B3064" s="148"/>
      <c r="C3064" s="87"/>
      <c r="D3064" s="37"/>
      <c r="E3064" s="37"/>
      <c r="F3064" s="87"/>
    </row>
    <row r="3065">
      <c r="A3065" s="147"/>
      <c r="B3065" s="148"/>
      <c r="C3065" s="87"/>
      <c r="D3065" s="37"/>
      <c r="E3065" s="37"/>
      <c r="F3065" s="87"/>
    </row>
    <row r="3066">
      <c r="A3066" s="147"/>
      <c r="B3066" s="148"/>
      <c r="C3066" s="87"/>
      <c r="D3066" s="37"/>
      <c r="E3066" s="37"/>
      <c r="F3066" s="87"/>
    </row>
    <row r="3067">
      <c r="A3067" s="147"/>
      <c r="B3067" s="148"/>
      <c r="C3067" s="87"/>
      <c r="D3067" s="37"/>
      <c r="E3067" s="37"/>
      <c r="F3067" s="87"/>
    </row>
    <row r="3068">
      <c r="A3068" s="147"/>
      <c r="B3068" s="148"/>
      <c r="C3068" s="87"/>
      <c r="D3068" s="37"/>
      <c r="E3068" s="37"/>
      <c r="F3068" s="87"/>
    </row>
    <row r="3069">
      <c r="A3069" s="147"/>
      <c r="B3069" s="148"/>
      <c r="C3069" s="87"/>
      <c r="D3069" s="37"/>
      <c r="E3069" s="37"/>
      <c r="F3069" s="87"/>
    </row>
    <row r="3070">
      <c r="A3070" s="147"/>
      <c r="B3070" s="148"/>
      <c r="C3070" s="87"/>
      <c r="D3070" s="37"/>
      <c r="E3070" s="37"/>
      <c r="F3070" s="87"/>
    </row>
    <row r="3071">
      <c r="A3071" s="147"/>
      <c r="B3071" s="148"/>
      <c r="C3071" s="87"/>
      <c r="D3071" s="37"/>
      <c r="E3071" s="37"/>
      <c r="F3071" s="87"/>
    </row>
    <row r="3072">
      <c r="A3072" s="147"/>
      <c r="B3072" s="148"/>
      <c r="C3072" s="87"/>
      <c r="D3072" s="37"/>
      <c r="E3072" s="37"/>
      <c r="F3072" s="87"/>
    </row>
    <row r="3073">
      <c r="A3073" s="147"/>
      <c r="B3073" s="148"/>
      <c r="C3073" s="87"/>
      <c r="D3073" s="37"/>
      <c r="E3073" s="37"/>
      <c r="F3073" s="87"/>
    </row>
    <row r="3074">
      <c r="A3074" s="147"/>
      <c r="B3074" s="148"/>
      <c r="C3074" s="87"/>
      <c r="D3074" s="37"/>
      <c r="E3074" s="37"/>
      <c r="F3074" s="87"/>
    </row>
    <row r="3075">
      <c r="A3075" s="147"/>
      <c r="B3075" s="148"/>
      <c r="C3075" s="87"/>
      <c r="D3075" s="37"/>
      <c r="E3075" s="37"/>
      <c r="F3075" s="87"/>
    </row>
    <row r="3076">
      <c r="A3076" s="147"/>
      <c r="B3076" s="148"/>
      <c r="C3076" s="87"/>
      <c r="D3076" s="37"/>
      <c r="E3076" s="37"/>
      <c r="F3076" s="87"/>
    </row>
    <row r="3077">
      <c r="A3077" s="147"/>
      <c r="B3077" s="148"/>
      <c r="C3077" s="87"/>
      <c r="D3077" s="37"/>
      <c r="E3077" s="37"/>
      <c r="F3077" s="87"/>
    </row>
    <row r="3078">
      <c r="A3078" s="147"/>
      <c r="B3078" s="148"/>
      <c r="C3078" s="87"/>
      <c r="D3078" s="37"/>
      <c r="E3078" s="37"/>
      <c r="F3078" s="87"/>
    </row>
    <row r="3079">
      <c r="A3079" s="147"/>
      <c r="B3079" s="148"/>
      <c r="C3079" s="87"/>
      <c r="D3079" s="37"/>
      <c r="E3079" s="37"/>
      <c r="F3079" s="87"/>
    </row>
    <row r="3080">
      <c r="A3080" s="147"/>
      <c r="B3080" s="148"/>
      <c r="C3080" s="87"/>
      <c r="D3080" s="37"/>
      <c r="E3080" s="37"/>
      <c r="F3080" s="87"/>
    </row>
    <row r="3081">
      <c r="A3081" s="147"/>
      <c r="B3081" s="148"/>
      <c r="C3081" s="87"/>
      <c r="D3081" s="37"/>
      <c r="E3081" s="37"/>
      <c r="F3081" s="87"/>
    </row>
    <row r="3082">
      <c r="A3082" s="147"/>
      <c r="B3082" s="148"/>
      <c r="C3082" s="87"/>
      <c r="D3082" s="37"/>
      <c r="E3082" s="37"/>
      <c r="F3082" s="87"/>
    </row>
    <row r="3083">
      <c r="A3083" s="147"/>
      <c r="B3083" s="148"/>
      <c r="C3083" s="87"/>
      <c r="D3083" s="37"/>
      <c r="E3083" s="37"/>
      <c r="F3083" s="87"/>
    </row>
    <row r="3084">
      <c r="A3084" s="147"/>
      <c r="B3084" s="148"/>
      <c r="C3084" s="87"/>
      <c r="D3084" s="37"/>
      <c r="E3084" s="37"/>
      <c r="F3084" s="87"/>
    </row>
    <row r="3085">
      <c r="A3085" s="147"/>
      <c r="B3085" s="148"/>
      <c r="C3085" s="87"/>
      <c r="D3085" s="37"/>
      <c r="E3085" s="37"/>
      <c r="F3085" s="87"/>
    </row>
    <row r="3086">
      <c r="A3086" s="147"/>
      <c r="B3086" s="148"/>
      <c r="C3086" s="87"/>
      <c r="D3086" s="37"/>
      <c r="E3086" s="37"/>
      <c r="F3086" s="87"/>
    </row>
    <row r="3087">
      <c r="A3087" s="147"/>
      <c r="B3087" s="148"/>
      <c r="C3087" s="87"/>
      <c r="D3087" s="37"/>
      <c r="E3087" s="37"/>
      <c r="F3087" s="87"/>
    </row>
    <row r="3088">
      <c r="A3088" s="147"/>
      <c r="B3088" s="148"/>
      <c r="C3088" s="87"/>
      <c r="D3088" s="37"/>
      <c r="E3088" s="37"/>
      <c r="F3088" s="87"/>
    </row>
    <row r="3089">
      <c r="A3089" s="147"/>
      <c r="B3089" s="148"/>
      <c r="C3089" s="87"/>
      <c r="D3089" s="37"/>
      <c r="E3089" s="37"/>
      <c r="F3089" s="87"/>
    </row>
    <row r="3090">
      <c r="A3090" s="147"/>
      <c r="B3090" s="148"/>
      <c r="C3090" s="87"/>
      <c r="D3090" s="37"/>
      <c r="E3090" s="37"/>
      <c r="F3090" s="87"/>
    </row>
    <row r="3091">
      <c r="A3091" s="147"/>
      <c r="B3091" s="148"/>
      <c r="C3091" s="87"/>
      <c r="D3091" s="37"/>
      <c r="E3091" s="37"/>
      <c r="F3091" s="87"/>
    </row>
    <row r="3092">
      <c r="A3092" s="147"/>
      <c r="B3092" s="148"/>
      <c r="C3092" s="87"/>
      <c r="D3092" s="37"/>
      <c r="E3092" s="37"/>
      <c r="F3092" s="87"/>
    </row>
    <row r="3093">
      <c r="A3093" s="147"/>
      <c r="B3093" s="148"/>
      <c r="C3093" s="87"/>
      <c r="D3093" s="37"/>
      <c r="E3093" s="37"/>
      <c r="F3093" s="87"/>
    </row>
    <row r="3094">
      <c r="A3094" s="147"/>
      <c r="B3094" s="148"/>
      <c r="C3094" s="87"/>
      <c r="D3094" s="37"/>
      <c r="E3094" s="37"/>
      <c r="F3094" s="87"/>
    </row>
    <row r="3095">
      <c r="A3095" s="147"/>
      <c r="B3095" s="148"/>
      <c r="C3095" s="87"/>
      <c r="D3095" s="37"/>
      <c r="E3095" s="37"/>
      <c r="F3095" s="87"/>
    </row>
    <row r="3096">
      <c r="A3096" s="147"/>
      <c r="B3096" s="148"/>
      <c r="C3096" s="87"/>
      <c r="D3096" s="37"/>
      <c r="E3096" s="37"/>
      <c r="F3096" s="87"/>
    </row>
    <row r="3097">
      <c r="A3097" s="147"/>
      <c r="B3097" s="148"/>
      <c r="C3097" s="87"/>
      <c r="D3097" s="37"/>
      <c r="E3097" s="37"/>
      <c r="F3097" s="87"/>
    </row>
    <row r="3098">
      <c r="A3098" s="147"/>
      <c r="B3098" s="148"/>
      <c r="C3098" s="87"/>
      <c r="D3098" s="37"/>
      <c r="E3098" s="37"/>
      <c r="F3098" s="87"/>
    </row>
    <row r="3099">
      <c r="A3099" s="147"/>
      <c r="B3099" s="148"/>
      <c r="C3099" s="87"/>
      <c r="D3099" s="37"/>
      <c r="E3099" s="37"/>
      <c r="F3099" s="87"/>
    </row>
    <row r="3100">
      <c r="A3100" s="147"/>
      <c r="B3100" s="148"/>
      <c r="C3100" s="87"/>
      <c r="D3100" s="37"/>
      <c r="E3100" s="37"/>
      <c r="F3100" s="87"/>
    </row>
    <row r="3101">
      <c r="A3101" s="147"/>
      <c r="B3101" s="148"/>
      <c r="C3101" s="87"/>
      <c r="D3101" s="37"/>
      <c r="E3101" s="37"/>
      <c r="F3101" s="87"/>
    </row>
    <row r="3102">
      <c r="A3102" s="147"/>
      <c r="B3102" s="148"/>
      <c r="C3102" s="87"/>
      <c r="D3102" s="37"/>
      <c r="E3102" s="37"/>
      <c r="F3102" s="87"/>
    </row>
    <row r="3103">
      <c r="A3103" s="147"/>
      <c r="B3103" s="148"/>
      <c r="C3103" s="87"/>
      <c r="D3103" s="37"/>
      <c r="E3103" s="37"/>
      <c r="F3103" s="87"/>
    </row>
    <row r="3104">
      <c r="A3104" s="147"/>
      <c r="B3104" s="148"/>
      <c r="C3104" s="87"/>
      <c r="D3104" s="37"/>
      <c r="E3104" s="37"/>
      <c r="F3104" s="87"/>
    </row>
    <row r="3105">
      <c r="A3105" s="147"/>
      <c r="B3105" s="148"/>
      <c r="C3105" s="87"/>
      <c r="D3105" s="37"/>
      <c r="E3105" s="37"/>
      <c r="F3105" s="87"/>
    </row>
    <row r="3106">
      <c r="A3106" s="147"/>
      <c r="B3106" s="148"/>
      <c r="C3106" s="87"/>
      <c r="D3106" s="37"/>
      <c r="E3106" s="37"/>
      <c r="F3106" s="87"/>
    </row>
    <row r="3107">
      <c r="A3107" s="147"/>
      <c r="B3107" s="148"/>
      <c r="C3107" s="87"/>
      <c r="D3107" s="37"/>
      <c r="E3107" s="37"/>
      <c r="F3107" s="87"/>
    </row>
    <row r="3108">
      <c r="A3108" s="147"/>
      <c r="B3108" s="148"/>
      <c r="C3108" s="87"/>
      <c r="D3108" s="37"/>
      <c r="E3108" s="37"/>
      <c r="F3108" s="87"/>
    </row>
    <row r="3109">
      <c r="A3109" s="147"/>
      <c r="B3109" s="148"/>
      <c r="C3109" s="87"/>
      <c r="D3109" s="37"/>
      <c r="E3109" s="37"/>
      <c r="F3109" s="87"/>
    </row>
    <row r="3110">
      <c r="A3110" s="147"/>
      <c r="B3110" s="148"/>
      <c r="C3110" s="87"/>
      <c r="D3110" s="37"/>
      <c r="E3110" s="37"/>
      <c r="F3110" s="87"/>
    </row>
    <row r="3111">
      <c r="A3111" s="147"/>
      <c r="B3111" s="148"/>
      <c r="C3111" s="87"/>
      <c r="D3111" s="37"/>
      <c r="E3111" s="37"/>
      <c r="F3111" s="87"/>
    </row>
    <row r="3112">
      <c r="A3112" s="147"/>
      <c r="B3112" s="148"/>
      <c r="C3112" s="87"/>
      <c r="D3112" s="37"/>
      <c r="E3112" s="37"/>
      <c r="F3112" s="87"/>
    </row>
    <row r="3113">
      <c r="A3113" s="147"/>
      <c r="B3113" s="148"/>
      <c r="C3113" s="87"/>
      <c r="D3113" s="37"/>
      <c r="E3113" s="37"/>
      <c r="F3113" s="87"/>
    </row>
    <row r="3114">
      <c r="A3114" s="147"/>
      <c r="B3114" s="148"/>
      <c r="C3114" s="87"/>
      <c r="D3114" s="37"/>
      <c r="E3114" s="37"/>
      <c r="F3114" s="87"/>
    </row>
    <row r="3115">
      <c r="A3115" s="147"/>
      <c r="B3115" s="148"/>
      <c r="C3115" s="87"/>
      <c r="D3115" s="37"/>
      <c r="E3115" s="37"/>
      <c r="F3115" s="87"/>
    </row>
    <row r="3116">
      <c r="A3116" s="147"/>
      <c r="B3116" s="148"/>
      <c r="C3116" s="87"/>
      <c r="D3116" s="37"/>
      <c r="E3116" s="37"/>
      <c r="F3116" s="87"/>
    </row>
    <row r="3117">
      <c r="A3117" s="147"/>
      <c r="B3117" s="148"/>
      <c r="C3117" s="87"/>
      <c r="D3117" s="37"/>
      <c r="E3117" s="37"/>
      <c r="F3117" s="87"/>
    </row>
    <row r="3118">
      <c r="A3118" s="147"/>
      <c r="B3118" s="148"/>
      <c r="C3118" s="87"/>
      <c r="D3118" s="37"/>
      <c r="E3118" s="37"/>
      <c r="F3118" s="87"/>
    </row>
    <row r="3119">
      <c r="A3119" s="147"/>
      <c r="B3119" s="148"/>
      <c r="C3119" s="87"/>
      <c r="D3119" s="37"/>
      <c r="E3119" s="37"/>
      <c r="F3119" s="87"/>
    </row>
    <row r="3120">
      <c r="A3120" s="147"/>
      <c r="B3120" s="148"/>
      <c r="C3120" s="87"/>
      <c r="D3120" s="37"/>
      <c r="E3120" s="37"/>
      <c r="F3120" s="87"/>
    </row>
    <row r="3121">
      <c r="A3121" s="147"/>
      <c r="B3121" s="148"/>
      <c r="C3121" s="87"/>
      <c r="D3121" s="37"/>
      <c r="E3121" s="37"/>
      <c r="F3121" s="87"/>
    </row>
    <row r="3122">
      <c r="A3122" s="147"/>
      <c r="B3122" s="148"/>
      <c r="C3122" s="87"/>
      <c r="D3122" s="37"/>
      <c r="E3122" s="37"/>
      <c r="F3122" s="87"/>
    </row>
    <row r="3123">
      <c r="A3123" s="147"/>
      <c r="B3123" s="148"/>
      <c r="C3123" s="87"/>
      <c r="D3123" s="37"/>
      <c r="E3123" s="37"/>
      <c r="F3123" s="87"/>
    </row>
    <row r="3124">
      <c r="A3124" s="147"/>
      <c r="B3124" s="148"/>
      <c r="C3124" s="87"/>
      <c r="D3124" s="37"/>
      <c r="E3124" s="37"/>
      <c r="F3124" s="87"/>
    </row>
    <row r="3125">
      <c r="A3125" s="147"/>
      <c r="B3125" s="148"/>
      <c r="C3125" s="87"/>
      <c r="D3125" s="37"/>
      <c r="E3125" s="37"/>
      <c r="F3125" s="87"/>
    </row>
    <row r="3126">
      <c r="A3126" s="147"/>
      <c r="B3126" s="148"/>
      <c r="C3126" s="87"/>
      <c r="D3126" s="37"/>
      <c r="E3126" s="37"/>
      <c r="F3126" s="87"/>
    </row>
    <row r="3127">
      <c r="A3127" s="147"/>
      <c r="B3127" s="148"/>
      <c r="C3127" s="87"/>
      <c r="D3127" s="37"/>
      <c r="E3127" s="37"/>
      <c r="F3127" s="87"/>
    </row>
    <row r="3128">
      <c r="A3128" s="147"/>
      <c r="B3128" s="148"/>
      <c r="C3128" s="87"/>
      <c r="D3128" s="37"/>
      <c r="E3128" s="37"/>
      <c r="F3128" s="87"/>
    </row>
    <row r="3129">
      <c r="A3129" s="147"/>
      <c r="B3129" s="148"/>
      <c r="C3129" s="87"/>
      <c r="D3129" s="37"/>
      <c r="E3129" s="37"/>
      <c r="F3129" s="87"/>
    </row>
    <row r="3130">
      <c r="A3130" s="147"/>
      <c r="B3130" s="148"/>
      <c r="C3130" s="87"/>
      <c r="D3130" s="37"/>
      <c r="E3130" s="37"/>
      <c r="F3130" s="87"/>
    </row>
    <row r="3131">
      <c r="A3131" s="147"/>
      <c r="B3131" s="148"/>
      <c r="C3131" s="87"/>
      <c r="D3131" s="37"/>
      <c r="E3131" s="37"/>
      <c r="F3131" s="87"/>
    </row>
    <row r="3132">
      <c r="A3132" s="147"/>
      <c r="B3132" s="148"/>
      <c r="C3132" s="87"/>
      <c r="D3132" s="37"/>
      <c r="E3132" s="37"/>
      <c r="F3132" s="87"/>
    </row>
    <row r="3133">
      <c r="A3133" s="147"/>
      <c r="B3133" s="148"/>
      <c r="C3133" s="87"/>
      <c r="D3133" s="37"/>
      <c r="E3133" s="37"/>
      <c r="F3133" s="87"/>
    </row>
    <row r="3134">
      <c r="A3134" s="147"/>
      <c r="B3134" s="148"/>
      <c r="C3134" s="87"/>
      <c r="D3134" s="37"/>
      <c r="E3134" s="37"/>
      <c r="F3134" s="87"/>
    </row>
    <row r="3135">
      <c r="A3135" s="147"/>
      <c r="B3135" s="148"/>
      <c r="C3135" s="87"/>
      <c r="D3135" s="37"/>
      <c r="E3135" s="37"/>
      <c r="F3135" s="87"/>
    </row>
    <row r="3136">
      <c r="A3136" s="147"/>
      <c r="B3136" s="148"/>
      <c r="C3136" s="87"/>
      <c r="D3136" s="37"/>
      <c r="E3136" s="37"/>
      <c r="F3136" s="87"/>
    </row>
    <row r="3137">
      <c r="A3137" s="147"/>
      <c r="B3137" s="148"/>
      <c r="C3137" s="87"/>
      <c r="D3137" s="37"/>
      <c r="E3137" s="37"/>
      <c r="F3137" s="87"/>
    </row>
    <row r="3138">
      <c r="A3138" s="147"/>
      <c r="B3138" s="148"/>
      <c r="C3138" s="87"/>
      <c r="D3138" s="37"/>
      <c r="E3138" s="37"/>
      <c r="F3138" s="87"/>
    </row>
    <row r="3139">
      <c r="A3139" s="147"/>
      <c r="B3139" s="148"/>
      <c r="C3139" s="87"/>
      <c r="D3139" s="37"/>
      <c r="E3139" s="37"/>
      <c r="F3139" s="87"/>
    </row>
    <row r="3140">
      <c r="A3140" s="147"/>
      <c r="B3140" s="148"/>
      <c r="C3140" s="87"/>
      <c r="D3140" s="37"/>
      <c r="E3140" s="37"/>
      <c r="F3140" s="87"/>
    </row>
    <row r="3141">
      <c r="A3141" s="147"/>
      <c r="B3141" s="148"/>
      <c r="C3141" s="87"/>
      <c r="D3141" s="37"/>
      <c r="E3141" s="37"/>
      <c r="F3141" s="87"/>
    </row>
    <row r="3142">
      <c r="A3142" s="147"/>
      <c r="B3142" s="148"/>
      <c r="C3142" s="87"/>
      <c r="D3142" s="37"/>
      <c r="E3142" s="37"/>
      <c r="F3142" s="87"/>
    </row>
    <row r="3143">
      <c r="A3143" s="147"/>
      <c r="B3143" s="148"/>
      <c r="C3143" s="87"/>
      <c r="D3143" s="37"/>
      <c r="E3143" s="37"/>
      <c r="F3143" s="87"/>
    </row>
    <row r="3144">
      <c r="A3144" s="147"/>
      <c r="B3144" s="148"/>
      <c r="C3144" s="87"/>
      <c r="D3144" s="37"/>
      <c r="E3144" s="37"/>
      <c r="F3144" s="87"/>
    </row>
    <row r="3145">
      <c r="A3145" s="147"/>
      <c r="B3145" s="148"/>
      <c r="C3145" s="87"/>
      <c r="D3145" s="37"/>
      <c r="E3145" s="37"/>
      <c r="F3145" s="87"/>
    </row>
    <row r="3146">
      <c r="A3146" s="147"/>
      <c r="B3146" s="148"/>
      <c r="C3146" s="87"/>
      <c r="D3146" s="37"/>
      <c r="E3146" s="37"/>
      <c r="F3146" s="87"/>
    </row>
    <row r="3147">
      <c r="A3147" s="147"/>
      <c r="B3147" s="148"/>
      <c r="C3147" s="87"/>
      <c r="D3147" s="37"/>
      <c r="E3147" s="37"/>
      <c r="F3147" s="87"/>
    </row>
    <row r="3148">
      <c r="A3148" s="147"/>
      <c r="B3148" s="148"/>
      <c r="C3148" s="87"/>
      <c r="D3148" s="37"/>
      <c r="E3148" s="37"/>
      <c r="F3148" s="87"/>
    </row>
    <row r="3149">
      <c r="A3149" s="147"/>
      <c r="B3149" s="148"/>
      <c r="C3149" s="87"/>
      <c r="D3149" s="37"/>
      <c r="E3149" s="37"/>
      <c r="F3149" s="87"/>
    </row>
    <row r="3150">
      <c r="A3150" s="147"/>
      <c r="B3150" s="148"/>
      <c r="C3150" s="87"/>
      <c r="D3150" s="37"/>
      <c r="E3150" s="37"/>
      <c r="F3150" s="87"/>
    </row>
    <row r="3151">
      <c r="A3151" s="147"/>
      <c r="B3151" s="148"/>
      <c r="C3151" s="87"/>
      <c r="D3151" s="37"/>
      <c r="E3151" s="37"/>
      <c r="F3151" s="87"/>
    </row>
    <row r="3152">
      <c r="A3152" s="147"/>
      <c r="B3152" s="148"/>
      <c r="C3152" s="87"/>
      <c r="D3152" s="37"/>
      <c r="E3152" s="37"/>
      <c r="F3152" s="87"/>
    </row>
    <row r="3153">
      <c r="A3153" s="147"/>
      <c r="B3153" s="148"/>
      <c r="C3153" s="87"/>
      <c r="D3153" s="37"/>
      <c r="E3153" s="37"/>
      <c r="F3153" s="87"/>
    </row>
    <row r="3154">
      <c r="A3154" s="147"/>
      <c r="B3154" s="148"/>
      <c r="C3154" s="87"/>
      <c r="D3154" s="37"/>
      <c r="E3154" s="37"/>
      <c r="F3154" s="87"/>
    </row>
    <row r="3155">
      <c r="A3155" s="147"/>
      <c r="B3155" s="148"/>
      <c r="C3155" s="87"/>
      <c r="D3155" s="37"/>
      <c r="E3155" s="37"/>
      <c r="F3155" s="87"/>
    </row>
    <row r="3156">
      <c r="A3156" s="147"/>
      <c r="B3156" s="148"/>
      <c r="C3156" s="87"/>
      <c r="D3156" s="37"/>
      <c r="E3156" s="37"/>
      <c r="F3156" s="87"/>
    </row>
    <row r="3157">
      <c r="A3157" s="147"/>
      <c r="B3157" s="148"/>
      <c r="C3157" s="87"/>
      <c r="D3157" s="37"/>
      <c r="E3157" s="37"/>
      <c r="F3157" s="87"/>
    </row>
    <row r="3158">
      <c r="A3158" s="147"/>
      <c r="B3158" s="148"/>
      <c r="C3158" s="87"/>
      <c r="D3158" s="37"/>
      <c r="E3158" s="37"/>
      <c r="F3158" s="87"/>
    </row>
    <row r="3159">
      <c r="A3159" s="147"/>
      <c r="B3159" s="148"/>
      <c r="C3159" s="87"/>
      <c r="D3159" s="37"/>
      <c r="E3159" s="37"/>
      <c r="F3159" s="87"/>
    </row>
    <row r="3160">
      <c r="A3160" s="147"/>
      <c r="B3160" s="148"/>
      <c r="C3160" s="87"/>
      <c r="D3160" s="37"/>
      <c r="E3160" s="37"/>
      <c r="F3160" s="87"/>
    </row>
    <row r="3161">
      <c r="A3161" s="147"/>
      <c r="B3161" s="148"/>
      <c r="C3161" s="87"/>
      <c r="D3161" s="37"/>
      <c r="E3161" s="37"/>
      <c r="F3161" s="87"/>
    </row>
    <row r="3162">
      <c r="A3162" s="147"/>
      <c r="B3162" s="148"/>
      <c r="C3162" s="87"/>
      <c r="D3162" s="37"/>
      <c r="E3162" s="37"/>
      <c r="F3162" s="87"/>
    </row>
    <row r="3163">
      <c r="A3163" s="147"/>
      <c r="B3163" s="148"/>
      <c r="C3163" s="87"/>
      <c r="D3163" s="37"/>
      <c r="E3163" s="37"/>
      <c r="F3163" s="87"/>
    </row>
    <row r="3164">
      <c r="A3164" s="147"/>
      <c r="B3164" s="148"/>
      <c r="C3164" s="87"/>
      <c r="D3164" s="37"/>
      <c r="E3164" s="37"/>
      <c r="F3164" s="87"/>
    </row>
    <row r="3165">
      <c r="A3165" s="147"/>
      <c r="B3165" s="148"/>
      <c r="C3165" s="87"/>
      <c r="D3165" s="37"/>
      <c r="E3165" s="37"/>
      <c r="F3165" s="87"/>
    </row>
    <row r="3166">
      <c r="A3166" s="147"/>
      <c r="B3166" s="148"/>
      <c r="C3166" s="87"/>
      <c r="D3166" s="37"/>
      <c r="E3166" s="37"/>
      <c r="F3166" s="87"/>
    </row>
    <row r="3167">
      <c r="A3167" s="147"/>
      <c r="B3167" s="148"/>
      <c r="C3167" s="87"/>
      <c r="D3167" s="37"/>
      <c r="E3167" s="37"/>
      <c r="F3167" s="87"/>
    </row>
    <row r="3168">
      <c r="A3168" s="147"/>
      <c r="B3168" s="148"/>
      <c r="C3168" s="87"/>
      <c r="D3168" s="37"/>
      <c r="E3168" s="37"/>
      <c r="F3168" s="87"/>
    </row>
    <row r="3169">
      <c r="A3169" s="147"/>
      <c r="B3169" s="148"/>
      <c r="C3169" s="87"/>
      <c r="D3169" s="37"/>
      <c r="E3169" s="37"/>
      <c r="F3169" s="87"/>
    </row>
    <row r="3170">
      <c r="A3170" s="147"/>
      <c r="B3170" s="148"/>
      <c r="C3170" s="87"/>
      <c r="D3170" s="37"/>
      <c r="E3170" s="37"/>
      <c r="F3170" s="87"/>
    </row>
    <row r="3171">
      <c r="A3171" s="147"/>
      <c r="B3171" s="148"/>
      <c r="C3171" s="87"/>
      <c r="D3171" s="37"/>
      <c r="E3171" s="37"/>
      <c r="F3171" s="87"/>
    </row>
    <row r="3172">
      <c r="A3172" s="147"/>
      <c r="B3172" s="148"/>
      <c r="C3172" s="87"/>
      <c r="D3172" s="37"/>
      <c r="E3172" s="37"/>
      <c r="F3172" s="87"/>
    </row>
    <row r="3173">
      <c r="A3173" s="147"/>
      <c r="B3173" s="148"/>
      <c r="C3173" s="87"/>
      <c r="D3173" s="37"/>
      <c r="E3173" s="37"/>
      <c r="F3173" s="87"/>
    </row>
    <row r="3174">
      <c r="A3174" s="147"/>
      <c r="B3174" s="148"/>
      <c r="C3174" s="87"/>
      <c r="D3174" s="37"/>
      <c r="E3174" s="37"/>
      <c r="F3174" s="87"/>
    </row>
    <row r="3175">
      <c r="A3175" s="147"/>
      <c r="B3175" s="148"/>
      <c r="C3175" s="87"/>
      <c r="D3175" s="37"/>
      <c r="E3175" s="37"/>
      <c r="F3175" s="87"/>
    </row>
    <row r="3176">
      <c r="A3176" s="147"/>
      <c r="B3176" s="148"/>
      <c r="C3176" s="87"/>
      <c r="D3176" s="37"/>
      <c r="E3176" s="37"/>
      <c r="F3176" s="87"/>
    </row>
    <row r="3177">
      <c r="A3177" s="147"/>
      <c r="B3177" s="148"/>
      <c r="C3177" s="87"/>
      <c r="D3177" s="37"/>
      <c r="E3177" s="37"/>
      <c r="F3177" s="87"/>
    </row>
    <row r="3178">
      <c r="A3178" s="147"/>
      <c r="B3178" s="148"/>
      <c r="C3178" s="87"/>
      <c r="D3178" s="37"/>
      <c r="E3178" s="37"/>
      <c r="F3178" s="87"/>
    </row>
    <row r="3179">
      <c r="A3179" s="147"/>
      <c r="B3179" s="148"/>
      <c r="C3179" s="87"/>
      <c r="D3179" s="37"/>
      <c r="E3179" s="37"/>
      <c r="F3179" s="87"/>
    </row>
    <row r="3180">
      <c r="A3180" s="147"/>
      <c r="B3180" s="148"/>
      <c r="C3180" s="87"/>
      <c r="D3180" s="37"/>
      <c r="E3180" s="37"/>
      <c r="F3180" s="87"/>
    </row>
    <row r="3181">
      <c r="A3181" s="147"/>
      <c r="B3181" s="148"/>
      <c r="C3181" s="87"/>
      <c r="D3181" s="37"/>
      <c r="E3181" s="37"/>
      <c r="F3181" s="87"/>
    </row>
    <row r="3182">
      <c r="A3182" s="147"/>
      <c r="B3182" s="148"/>
      <c r="C3182" s="87"/>
      <c r="D3182" s="37"/>
      <c r="E3182" s="37"/>
      <c r="F3182" s="87"/>
    </row>
    <row r="3183">
      <c r="A3183" s="147"/>
      <c r="B3183" s="148"/>
      <c r="C3183" s="87"/>
      <c r="D3183" s="37"/>
      <c r="E3183" s="37"/>
      <c r="F3183" s="87"/>
    </row>
    <row r="3184">
      <c r="A3184" s="147"/>
      <c r="B3184" s="148"/>
      <c r="C3184" s="87"/>
      <c r="D3184" s="37"/>
      <c r="E3184" s="37"/>
      <c r="F3184" s="87"/>
    </row>
    <row r="3185">
      <c r="A3185" s="147"/>
      <c r="B3185" s="148"/>
      <c r="C3185" s="87"/>
      <c r="D3185" s="37"/>
      <c r="E3185" s="37"/>
      <c r="F3185" s="87"/>
    </row>
    <row r="3186">
      <c r="A3186" s="147"/>
      <c r="B3186" s="148"/>
      <c r="C3186" s="87"/>
      <c r="D3186" s="37"/>
      <c r="E3186" s="37"/>
      <c r="F3186" s="87"/>
    </row>
    <row r="3187">
      <c r="A3187" s="147"/>
      <c r="B3187" s="148"/>
      <c r="C3187" s="87"/>
      <c r="D3187" s="37"/>
      <c r="E3187" s="37"/>
      <c r="F3187" s="87"/>
    </row>
    <row r="3188">
      <c r="A3188" s="147"/>
      <c r="B3188" s="148"/>
      <c r="C3188" s="87"/>
      <c r="D3188" s="37"/>
      <c r="E3188" s="37"/>
      <c r="F3188" s="87"/>
    </row>
    <row r="3189">
      <c r="A3189" s="147"/>
      <c r="B3189" s="148"/>
      <c r="C3189" s="87"/>
      <c r="D3189" s="37"/>
      <c r="E3189" s="37"/>
      <c r="F3189" s="87"/>
    </row>
    <row r="3190">
      <c r="A3190" s="147"/>
      <c r="B3190" s="148"/>
      <c r="C3190" s="87"/>
      <c r="D3190" s="37"/>
      <c r="E3190" s="37"/>
      <c r="F3190" s="87"/>
    </row>
    <row r="3191">
      <c r="A3191" s="147"/>
      <c r="B3191" s="148"/>
      <c r="C3191" s="87"/>
      <c r="D3191" s="37"/>
      <c r="E3191" s="37"/>
      <c r="F3191" s="87"/>
    </row>
    <row r="3192">
      <c r="A3192" s="147"/>
      <c r="B3192" s="148"/>
      <c r="C3192" s="87"/>
      <c r="D3192" s="37"/>
      <c r="E3192" s="37"/>
      <c r="F3192" s="87"/>
    </row>
    <row r="3193">
      <c r="A3193" s="147"/>
      <c r="B3193" s="148"/>
      <c r="C3193" s="87"/>
      <c r="D3193" s="37"/>
      <c r="E3193" s="37"/>
      <c r="F3193" s="87"/>
    </row>
    <row r="3194">
      <c r="A3194" s="147"/>
      <c r="B3194" s="148"/>
      <c r="C3194" s="87"/>
      <c r="D3194" s="37"/>
      <c r="E3194" s="37"/>
      <c r="F3194" s="87"/>
    </row>
    <row r="3195">
      <c r="A3195" s="147"/>
      <c r="B3195" s="148"/>
      <c r="C3195" s="87"/>
      <c r="D3195" s="37"/>
      <c r="E3195" s="37"/>
      <c r="F3195" s="87"/>
    </row>
    <row r="3196">
      <c r="A3196" s="147"/>
      <c r="B3196" s="148"/>
      <c r="C3196" s="87"/>
      <c r="D3196" s="37"/>
      <c r="E3196" s="37"/>
      <c r="F3196" s="87"/>
    </row>
    <row r="3197">
      <c r="A3197" s="147"/>
      <c r="B3197" s="148"/>
      <c r="C3197" s="87"/>
      <c r="D3197" s="37"/>
      <c r="E3197" s="37"/>
      <c r="F3197" s="87"/>
    </row>
    <row r="3198">
      <c r="A3198" s="147"/>
      <c r="B3198" s="148"/>
      <c r="C3198" s="87"/>
      <c r="D3198" s="37"/>
      <c r="E3198" s="37"/>
      <c r="F3198" s="87"/>
    </row>
    <row r="3199">
      <c r="A3199" s="147"/>
      <c r="B3199" s="148"/>
      <c r="C3199" s="87"/>
      <c r="D3199" s="37"/>
      <c r="E3199" s="37"/>
      <c r="F3199" s="87"/>
    </row>
    <row r="3200">
      <c r="A3200" s="147"/>
      <c r="B3200" s="148"/>
      <c r="C3200" s="87"/>
      <c r="D3200" s="37"/>
      <c r="E3200" s="37"/>
      <c r="F3200" s="87"/>
    </row>
    <row r="3201">
      <c r="A3201" s="147"/>
      <c r="B3201" s="148"/>
      <c r="C3201" s="87"/>
      <c r="D3201" s="37"/>
      <c r="E3201" s="37"/>
      <c r="F3201" s="87"/>
    </row>
    <row r="3202">
      <c r="A3202" s="147"/>
      <c r="B3202" s="148"/>
      <c r="C3202" s="87"/>
      <c r="D3202" s="37"/>
      <c r="E3202" s="37"/>
      <c r="F3202" s="87"/>
    </row>
    <row r="3203">
      <c r="A3203" s="147"/>
      <c r="B3203" s="148"/>
      <c r="C3203" s="87"/>
      <c r="D3203" s="37"/>
      <c r="E3203" s="37"/>
      <c r="F3203" s="87"/>
    </row>
    <row r="3204">
      <c r="A3204" s="147"/>
      <c r="B3204" s="148"/>
      <c r="C3204" s="87"/>
      <c r="D3204" s="37"/>
      <c r="E3204" s="37"/>
      <c r="F3204" s="87"/>
    </row>
    <row r="3205">
      <c r="A3205" s="147"/>
      <c r="B3205" s="148"/>
      <c r="C3205" s="87"/>
      <c r="D3205" s="37"/>
      <c r="E3205" s="37"/>
      <c r="F3205" s="87"/>
    </row>
    <row r="3206">
      <c r="A3206" s="147"/>
      <c r="B3206" s="148"/>
      <c r="C3206" s="87"/>
      <c r="D3206" s="37"/>
      <c r="E3206" s="37"/>
      <c r="F3206" s="87"/>
    </row>
    <row r="3207">
      <c r="A3207" s="147"/>
      <c r="B3207" s="148"/>
      <c r="C3207" s="87"/>
      <c r="D3207" s="37"/>
      <c r="E3207" s="37"/>
      <c r="F3207" s="87"/>
    </row>
    <row r="3208">
      <c r="A3208" s="147"/>
      <c r="B3208" s="148"/>
      <c r="C3208" s="87"/>
      <c r="D3208" s="37"/>
      <c r="E3208" s="37"/>
      <c r="F3208" s="87"/>
    </row>
    <row r="3209">
      <c r="A3209" s="147"/>
      <c r="B3209" s="148"/>
      <c r="C3209" s="87"/>
      <c r="D3209" s="37"/>
      <c r="E3209" s="37"/>
      <c r="F3209" s="87"/>
    </row>
    <row r="3210">
      <c r="A3210" s="147"/>
      <c r="B3210" s="148"/>
      <c r="C3210" s="87"/>
      <c r="D3210" s="37"/>
      <c r="E3210" s="37"/>
      <c r="F3210" s="87"/>
    </row>
    <row r="3211">
      <c r="A3211" s="147"/>
      <c r="B3211" s="148"/>
      <c r="C3211" s="87"/>
      <c r="D3211" s="37"/>
      <c r="E3211" s="37"/>
      <c r="F3211" s="87"/>
    </row>
    <row r="3212">
      <c r="A3212" s="147"/>
      <c r="B3212" s="148"/>
      <c r="C3212" s="87"/>
      <c r="D3212" s="37"/>
      <c r="E3212" s="37"/>
      <c r="F3212" s="87"/>
    </row>
    <row r="3213">
      <c r="A3213" s="147"/>
      <c r="B3213" s="148"/>
      <c r="C3213" s="87"/>
      <c r="D3213" s="37"/>
      <c r="E3213" s="37"/>
      <c r="F3213" s="87"/>
    </row>
    <row r="3214">
      <c r="A3214" s="147"/>
      <c r="B3214" s="148"/>
      <c r="C3214" s="87"/>
      <c r="D3214" s="37"/>
      <c r="E3214" s="37"/>
      <c r="F3214" s="87"/>
    </row>
    <row r="3215">
      <c r="A3215" s="147"/>
      <c r="B3215" s="148"/>
      <c r="C3215" s="87"/>
      <c r="D3215" s="37"/>
      <c r="E3215" s="37"/>
      <c r="F3215" s="87"/>
    </row>
    <row r="3216">
      <c r="A3216" s="147"/>
      <c r="B3216" s="148"/>
      <c r="C3216" s="87"/>
      <c r="D3216" s="37"/>
      <c r="E3216" s="37"/>
      <c r="F3216" s="87"/>
    </row>
    <row r="3217">
      <c r="A3217" s="147"/>
      <c r="B3217" s="148"/>
      <c r="C3217" s="87"/>
      <c r="D3217" s="37"/>
      <c r="E3217" s="37"/>
      <c r="F3217" s="87"/>
    </row>
    <row r="3218">
      <c r="A3218" s="147"/>
      <c r="B3218" s="148"/>
      <c r="C3218" s="87"/>
      <c r="D3218" s="37"/>
      <c r="E3218" s="37"/>
      <c r="F3218" s="87"/>
    </row>
    <row r="3219">
      <c r="A3219" s="147"/>
      <c r="B3219" s="148"/>
      <c r="C3219" s="87"/>
      <c r="D3219" s="37"/>
      <c r="E3219" s="37"/>
      <c r="F3219" s="87"/>
    </row>
    <row r="3220">
      <c r="A3220" s="147"/>
      <c r="B3220" s="148"/>
      <c r="C3220" s="87"/>
      <c r="D3220" s="37"/>
      <c r="E3220" s="37"/>
      <c r="F3220" s="87"/>
    </row>
    <row r="3221">
      <c r="A3221" s="147"/>
      <c r="B3221" s="148"/>
      <c r="C3221" s="87"/>
      <c r="D3221" s="37"/>
      <c r="E3221" s="37"/>
      <c r="F3221" s="87"/>
    </row>
    <row r="3222">
      <c r="A3222" s="147"/>
      <c r="B3222" s="148"/>
      <c r="C3222" s="87"/>
      <c r="D3222" s="37"/>
      <c r="E3222" s="37"/>
      <c r="F3222" s="87"/>
    </row>
    <row r="3223">
      <c r="A3223" s="147"/>
      <c r="B3223" s="148"/>
      <c r="C3223" s="87"/>
      <c r="D3223" s="37"/>
      <c r="E3223" s="37"/>
      <c r="F3223" s="87"/>
    </row>
    <row r="3224">
      <c r="A3224" s="147"/>
      <c r="B3224" s="148"/>
      <c r="C3224" s="87"/>
      <c r="D3224" s="37"/>
      <c r="E3224" s="37"/>
      <c r="F3224" s="87"/>
    </row>
    <row r="3225">
      <c r="A3225" s="147"/>
      <c r="B3225" s="148"/>
      <c r="C3225" s="87"/>
      <c r="D3225" s="37"/>
      <c r="E3225" s="37"/>
      <c r="F3225" s="87"/>
    </row>
    <row r="3226">
      <c r="A3226" s="147"/>
      <c r="B3226" s="148"/>
      <c r="C3226" s="87"/>
      <c r="D3226" s="37"/>
      <c r="E3226" s="37"/>
      <c r="F3226" s="87"/>
    </row>
    <row r="3227">
      <c r="A3227" s="147"/>
      <c r="B3227" s="148"/>
      <c r="C3227" s="87"/>
      <c r="D3227" s="37"/>
      <c r="E3227" s="37"/>
      <c r="F3227" s="87"/>
    </row>
    <row r="3228">
      <c r="A3228" s="147"/>
      <c r="B3228" s="148"/>
      <c r="C3228" s="87"/>
      <c r="D3228" s="37"/>
      <c r="E3228" s="37"/>
      <c r="F3228" s="87"/>
    </row>
    <row r="3229">
      <c r="A3229" s="147"/>
      <c r="B3229" s="148"/>
      <c r="C3229" s="87"/>
      <c r="D3229" s="37"/>
      <c r="E3229" s="37"/>
      <c r="F3229" s="87"/>
    </row>
    <row r="3230">
      <c r="A3230" s="147"/>
      <c r="B3230" s="148"/>
      <c r="C3230" s="87"/>
      <c r="D3230" s="37"/>
      <c r="E3230" s="37"/>
      <c r="F3230" s="87"/>
    </row>
    <row r="3231">
      <c r="A3231" s="147"/>
      <c r="B3231" s="148"/>
      <c r="C3231" s="87"/>
      <c r="D3231" s="37"/>
      <c r="E3231" s="37"/>
      <c r="F3231" s="87"/>
    </row>
    <row r="3232">
      <c r="A3232" s="147"/>
      <c r="B3232" s="148"/>
      <c r="C3232" s="87"/>
      <c r="D3232" s="37"/>
      <c r="E3232" s="37"/>
      <c r="F3232" s="87"/>
    </row>
    <row r="3233">
      <c r="A3233" s="147"/>
      <c r="B3233" s="148"/>
      <c r="C3233" s="87"/>
      <c r="D3233" s="37"/>
      <c r="E3233" s="37"/>
      <c r="F3233" s="87"/>
    </row>
    <row r="3234">
      <c r="A3234" s="147"/>
      <c r="B3234" s="148"/>
      <c r="C3234" s="87"/>
      <c r="D3234" s="37"/>
      <c r="E3234" s="37"/>
      <c r="F3234" s="87"/>
    </row>
    <row r="3235">
      <c r="A3235" s="147"/>
      <c r="B3235" s="148"/>
      <c r="C3235" s="87"/>
      <c r="D3235" s="37"/>
      <c r="E3235" s="37"/>
      <c r="F3235" s="87"/>
    </row>
    <row r="3236">
      <c r="A3236" s="147"/>
      <c r="B3236" s="148"/>
      <c r="C3236" s="87"/>
      <c r="D3236" s="37"/>
      <c r="E3236" s="37"/>
      <c r="F3236" s="87"/>
    </row>
    <row r="3237">
      <c r="A3237" s="147"/>
      <c r="B3237" s="148"/>
      <c r="C3237" s="87"/>
      <c r="D3237" s="37"/>
      <c r="E3237" s="37"/>
      <c r="F3237" s="87"/>
    </row>
    <row r="3238">
      <c r="A3238" s="147"/>
      <c r="B3238" s="148"/>
      <c r="C3238" s="87"/>
      <c r="D3238" s="37"/>
      <c r="E3238" s="37"/>
      <c r="F3238" s="87"/>
    </row>
    <row r="3239">
      <c r="A3239" s="147"/>
      <c r="B3239" s="148"/>
      <c r="C3239" s="87"/>
      <c r="D3239" s="37"/>
      <c r="E3239" s="37"/>
      <c r="F3239" s="87"/>
    </row>
    <row r="3240">
      <c r="A3240" s="147"/>
      <c r="B3240" s="148"/>
      <c r="C3240" s="87"/>
      <c r="D3240" s="37"/>
      <c r="E3240" s="37"/>
      <c r="F3240" s="87"/>
    </row>
    <row r="3241">
      <c r="A3241" s="147"/>
      <c r="B3241" s="148"/>
      <c r="C3241" s="87"/>
      <c r="D3241" s="37"/>
      <c r="E3241" s="37"/>
      <c r="F3241" s="87"/>
    </row>
    <row r="3242">
      <c r="A3242" s="147"/>
      <c r="B3242" s="148"/>
      <c r="C3242" s="87"/>
      <c r="D3242" s="37"/>
      <c r="E3242" s="37"/>
      <c r="F3242" s="87"/>
    </row>
    <row r="3243">
      <c r="A3243" s="147"/>
      <c r="B3243" s="148"/>
      <c r="C3243" s="87"/>
      <c r="D3243" s="37"/>
      <c r="E3243" s="37"/>
      <c r="F3243" s="87"/>
    </row>
    <row r="3244">
      <c r="A3244" s="147"/>
      <c r="B3244" s="148"/>
      <c r="C3244" s="87"/>
      <c r="D3244" s="37"/>
      <c r="E3244" s="37"/>
      <c r="F3244" s="87"/>
    </row>
    <row r="3245">
      <c r="A3245" s="147"/>
      <c r="B3245" s="148"/>
      <c r="C3245" s="87"/>
      <c r="D3245" s="37"/>
      <c r="E3245" s="37"/>
      <c r="F3245" s="87"/>
    </row>
    <row r="3246">
      <c r="A3246" s="147"/>
      <c r="B3246" s="148"/>
      <c r="C3246" s="87"/>
      <c r="D3246" s="37"/>
      <c r="E3246" s="37"/>
      <c r="F3246" s="87"/>
    </row>
    <row r="3247">
      <c r="A3247" s="147"/>
      <c r="B3247" s="148"/>
      <c r="C3247" s="87"/>
      <c r="D3247" s="37"/>
      <c r="E3247" s="37"/>
      <c r="F3247" s="87"/>
    </row>
    <row r="3248">
      <c r="A3248" s="147"/>
      <c r="B3248" s="148"/>
      <c r="C3248" s="87"/>
      <c r="D3248" s="37"/>
      <c r="E3248" s="37"/>
      <c r="F3248" s="87"/>
    </row>
    <row r="3249">
      <c r="A3249" s="147"/>
      <c r="B3249" s="148"/>
      <c r="C3249" s="87"/>
      <c r="D3249" s="37"/>
      <c r="E3249" s="37"/>
      <c r="F3249" s="87"/>
    </row>
    <row r="3250">
      <c r="A3250" s="147"/>
      <c r="B3250" s="148"/>
      <c r="C3250" s="87"/>
      <c r="D3250" s="37"/>
      <c r="E3250" s="37"/>
      <c r="F3250" s="87"/>
    </row>
    <row r="3251">
      <c r="A3251" s="147"/>
      <c r="B3251" s="148"/>
      <c r="C3251" s="87"/>
      <c r="D3251" s="37"/>
      <c r="E3251" s="37"/>
      <c r="F3251" s="87"/>
    </row>
    <row r="3252">
      <c r="A3252" s="147"/>
      <c r="B3252" s="148"/>
      <c r="C3252" s="87"/>
      <c r="D3252" s="37"/>
      <c r="E3252" s="37"/>
      <c r="F3252" s="87"/>
    </row>
    <row r="3253">
      <c r="A3253" s="147"/>
      <c r="B3253" s="148"/>
      <c r="C3253" s="87"/>
      <c r="D3253" s="37"/>
      <c r="E3253" s="37"/>
      <c r="F3253" s="87"/>
    </row>
    <row r="3254">
      <c r="A3254" s="147"/>
      <c r="B3254" s="148"/>
      <c r="C3254" s="87"/>
      <c r="D3254" s="37"/>
      <c r="E3254" s="37"/>
      <c r="F3254" s="87"/>
    </row>
    <row r="3255">
      <c r="A3255" s="147"/>
      <c r="B3255" s="148"/>
      <c r="C3255" s="87"/>
      <c r="D3255" s="37"/>
      <c r="E3255" s="37"/>
      <c r="F3255" s="87"/>
    </row>
    <row r="3256">
      <c r="A3256" s="147"/>
      <c r="B3256" s="148"/>
      <c r="C3256" s="87"/>
      <c r="D3256" s="37"/>
      <c r="E3256" s="37"/>
      <c r="F3256" s="87"/>
    </row>
    <row r="3257">
      <c r="A3257" s="147"/>
      <c r="B3257" s="148"/>
      <c r="C3257" s="87"/>
      <c r="D3257" s="37"/>
      <c r="E3257" s="37"/>
      <c r="F3257" s="87"/>
    </row>
    <row r="3258">
      <c r="A3258" s="147"/>
      <c r="B3258" s="148"/>
      <c r="C3258" s="87"/>
      <c r="D3258" s="37"/>
      <c r="E3258" s="37"/>
      <c r="F3258" s="87"/>
    </row>
    <row r="3259">
      <c r="A3259" s="147"/>
      <c r="B3259" s="148"/>
      <c r="C3259" s="87"/>
      <c r="D3259" s="37"/>
      <c r="E3259" s="37"/>
      <c r="F3259" s="87"/>
    </row>
    <row r="3260">
      <c r="A3260" s="147"/>
      <c r="B3260" s="148"/>
      <c r="C3260" s="87"/>
      <c r="D3260" s="37"/>
      <c r="E3260" s="37"/>
      <c r="F3260" s="87"/>
    </row>
    <row r="3261">
      <c r="A3261" s="147"/>
      <c r="B3261" s="148"/>
      <c r="C3261" s="87"/>
      <c r="D3261" s="37"/>
      <c r="E3261" s="37"/>
      <c r="F3261" s="87"/>
    </row>
    <row r="3262">
      <c r="A3262" s="147"/>
      <c r="B3262" s="148"/>
      <c r="C3262" s="87"/>
      <c r="D3262" s="37"/>
      <c r="E3262" s="37"/>
      <c r="F3262" s="87"/>
    </row>
    <row r="3263">
      <c r="A3263" s="147"/>
      <c r="B3263" s="148"/>
      <c r="C3263" s="87"/>
      <c r="D3263" s="37"/>
      <c r="E3263" s="37"/>
      <c r="F3263" s="87"/>
    </row>
    <row r="3264">
      <c r="A3264" s="147"/>
      <c r="B3264" s="148"/>
      <c r="C3264" s="87"/>
      <c r="D3264" s="37"/>
      <c r="E3264" s="37"/>
      <c r="F3264" s="87"/>
    </row>
    <row r="3265">
      <c r="A3265" s="147"/>
      <c r="B3265" s="148"/>
      <c r="C3265" s="87"/>
      <c r="D3265" s="37"/>
      <c r="E3265" s="37"/>
      <c r="F3265" s="87"/>
    </row>
    <row r="3266">
      <c r="A3266" s="147"/>
      <c r="B3266" s="148"/>
      <c r="C3266" s="87"/>
      <c r="D3266" s="37"/>
      <c r="E3266" s="37"/>
      <c r="F3266" s="87"/>
    </row>
    <row r="3267">
      <c r="A3267" s="147"/>
      <c r="B3267" s="148"/>
      <c r="C3267" s="87"/>
      <c r="D3267" s="37"/>
      <c r="E3267" s="37"/>
      <c r="F3267" s="87"/>
    </row>
    <row r="3268">
      <c r="A3268" s="147"/>
      <c r="B3268" s="148"/>
      <c r="C3268" s="87"/>
      <c r="D3268" s="37"/>
      <c r="E3268" s="37"/>
      <c r="F3268" s="87"/>
    </row>
    <row r="3269">
      <c r="A3269" s="147"/>
      <c r="B3269" s="148"/>
      <c r="C3269" s="87"/>
      <c r="D3269" s="37"/>
      <c r="E3269" s="37"/>
      <c r="F3269" s="87"/>
    </row>
    <row r="3270">
      <c r="A3270" s="147"/>
      <c r="B3270" s="148"/>
      <c r="C3270" s="87"/>
      <c r="D3270" s="37"/>
      <c r="E3270" s="37"/>
      <c r="F3270" s="87"/>
    </row>
    <row r="3271">
      <c r="A3271" s="147"/>
      <c r="B3271" s="148"/>
      <c r="C3271" s="87"/>
      <c r="D3271" s="37"/>
      <c r="E3271" s="37"/>
      <c r="F3271" s="87"/>
    </row>
    <row r="3272">
      <c r="A3272" s="147"/>
      <c r="B3272" s="148"/>
      <c r="C3272" s="87"/>
      <c r="D3272" s="37"/>
      <c r="E3272" s="37"/>
      <c r="F3272" s="87"/>
    </row>
    <row r="3273">
      <c r="A3273" s="147"/>
      <c r="B3273" s="148"/>
      <c r="C3273" s="87"/>
      <c r="D3273" s="37"/>
      <c r="E3273" s="37"/>
      <c r="F3273" s="87"/>
    </row>
    <row r="3274">
      <c r="A3274" s="147"/>
      <c r="B3274" s="148"/>
      <c r="C3274" s="87"/>
      <c r="D3274" s="37"/>
      <c r="E3274" s="37"/>
      <c r="F3274" s="87"/>
    </row>
    <row r="3275">
      <c r="A3275" s="147"/>
      <c r="B3275" s="148"/>
      <c r="C3275" s="87"/>
      <c r="D3275" s="37"/>
      <c r="E3275" s="37"/>
      <c r="F3275" s="87"/>
    </row>
    <row r="3276">
      <c r="A3276" s="147"/>
      <c r="B3276" s="148"/>
      <c r="C3276" s="87"/>
      <c r="D3276" s="37"/>
      <c r="E3276" s="37"/>
      <c r="F3276" s="87"/>
    </row>
    <row r="3277">
      <c r="A3277" s="147"/>
      <c r="B3277" s="148"/>
      <c r="C3277" s="87"/>
      <c r="D3277" s="37"/>
      <c r="E3277" s="37"/>
      <c r="F3277" s="87"/>
    </row>
    <row r="3278">
      <c r="A3278" s="147"/>
      <c r="B3278" s="148"/>
      <c r="C3278" s="87"/>
      <c r="D3278" s="37"/>
      <c r="E3278" s="37"/>
      <c r="F3278" s="87"/>
    </row>
    <row r="3279">
      <c r="A3279" s="147"/>
      <c r="B3279" s="148"/>
      <c r="C3279" s="87"/>
      <c r="D3279" s="37"/>
      <c r="E3279" s="37"/>
      <c r="F3279" s="87"/>
    </row>
    <row r="3280">
      <c r="A3280" s="147"/>
      <c r="B3280" s="148"/>
      <c r="C3280" s="87"/>
      <c r="D3280" s="37"/>
      <c r="E3280" s="37"/>
      <c r="F3280" s="87"/>
    </row>
    <row r="3281">
      <c r="A3281" s="147"/>
      <c r="B3281" s="148"/>
      <c r="C3281" s="87"/>
      <c r="D3281" s="37"/>
      <c r="E3281" s="37"/>
      <c r="F3281" s="87"/>
    </row>
    <row r="3282">
      <c r="A3282" s="147"/>
      <c r="B3282" s="148"/>
      <c r="C3282" s="87"/>
      <c r="D3282" s="37"/>
      <c r="E3282" s="37"/>
      <c r="F3282" s="87"/>
    </row>
    <row r="3283">
      <c r="A3283" s="147"/>
      <c r="B3283" s="148"/>
      <c r="C3283" s="87"/>
      <c r="D3283" s="37"/>
      <c r="E3283" s="37"/>
      <c r="F3283" s="87"/>
    </row>
    <row r="3284">
      <c r="A3284" s="147"/>
      <c r="B3284" s="148"/>
      <c r="C3284" s="87"/>
      <c r="D3284" s="37"/>
      <c r="E3284" s="37"/>
      <c r="F3284" s="87"/>
    </row>
    <row r="3285">
      <c r="A3285" s="147"/>
      <c r="B3285" s="148"/>
      <c r="C3285" s="87"/>
      <c r="D3285" s="37"/>
      <c r="E3285" s="37"/>
      <c r="F3285" s="87"/>
    </row>
    <row r="3286">
      <c r="A3286" s="147"/>
      <c r="B3286" s="148"/>
      <c r="C3286" s="87"/>
      <c r="D3286" s="37"/>
      <c r="E3286" s="37"/>
      <c r="F3286" s="87"/>
    </row>
    <row r="3287">
      <c r="A3287" s="147"/>
      <c r="B3287" s="148"/>
      <c r="C3287" s="87"/>
      <c r="D3287" s="37"/>
      <c r="E3287" s="37"/>
      <c r="F3287" s="87"/>
    </row>
    <row r="3288">
      <c r="A3288" s="147"/>
      <c r="B3288" s="148"/>
      <c r="C3288" s="87"/>
      <c r="D3288" s="37"/>
      <c r="E3288" s="37"/>
      <c r="F3288" s="87"/>
    </row>
    <row r="3289">
      <c r="A3289" s="147"/>
      <c r="B3289" s="148"/>
      <c r="C3289" s="87"/>
      <c r="D3289" s="37"/>
      <c r="E3289" s="37"/>
      <c r="F3289" s="87"/>
    </row>
    <row r="3290">
      <c r="A3290" s="147"/>
      <c r="B3290" s="148"/>
      <c r="C3290" s="87"/>
      <c r="D3290" s="37"/>
      <c r="E3290" s="37"/>
      <c r="F3290" s="87"/>
    </row>
    <row r="3291">
      <c r="A3291" s="147"/>
      <c r="B3291" s="148"/>
      <c r="C3291" s="87"/>
      <c r="D3291" s="37"/>
      <c r="E3291" s="37"/>
      <c r="F3291" s="87"/>
    </row>
    <row r="3292">
      <c r="A3292" s="147"/>
      <c r="B3292" s="148"/>
      <c r="C3292" s="87"/>
      <c r="D3292" s="37"/>
      <c r="E3292" s="37"/>
      <c r="F3292" s="87"/>
    </row>
    <row r="3293">
      <c r="A3293" s="147"/>
      <c r="B3293" s="148"/>
      <c r="C3293" s="87"/>
      <c r="D3293" s="37"/>
      <c r="E3293" s="37"/>
      <c r="F3293" s="87"/>
    </row>
    <row r="3294">
      <c r="A3294" s="147"/>
      <c r="B3294" s="148"/>
      <c r="C3294" s="87"/>
      <c r="D3294" s="37"/>
      <c r="E3294" s="37"/>
      <c r="F3294" s="87"/>
    </row>
    <row r="3295">
      <c r="A3295" s="147"/>
      <c r="B3295" s="148"/>
      <c r="C3295" s="87"/>
      <c r="D3295" s="37"/>
      <c r="E3295" s="37"/>
      <c r="F3295" s="87"/>
    </row>
    <row r="3296">
      <c r="A3296" s="147"/>
      <c r="B3296" s="148"/>
      <c r="C3296" s="87"/>
      <c r="D3296" s="37"/>
      <c r="E3296" s="37"/>
      <c r="F3296" s="87"/>
    </row>
    <row r="3297">
      <c r="A3297" s="147"/>
      <c r="B3297" s="148"/>
      <c r="C3297" s="87"/>
      <c r="D3297" s="37"/>
      <c r="E3297" s="37"/>
      <c r="F3297" s="87"/>
    </row>
    <row r="3298">
      <c r="A3298" s="147"/>
      <c r="B3298" s="148"/>
      <c r="C3298" s="87"/>
      <c r="D3298" s="37"/>
      <c r="E3298" s="37"/>
      <c r="F3298" s="87"/>
    </row>
    <row r="3299">
      <c r="A3299" s="147"/>
      <c r="B3299" s="148"/>
      <c r="C3299" s="87"/>
      <c r="D3299" s="37"/>
      <c r="E3299" s="37"/>
      <c r="F3299" s="87"/>
    </row>
    <row r="3300">
      <c r="A3300" s="147"/>
      <c r="B3300" s="148"/>
      <c r="C3300" s="87"/>
      <c r="D3300" s="37"/>
      <c r="E3300" s="37"/>
      <c r="F3300" s="87"/>
    </row>
    <row r="3301">
      <c r="A3301" s="147"/>
      <c r="B3301" s="148"/>
      <c r="C3301" s="87"/>
      <c r="D3301" s="37"/>
      <c r="E3301" s="37"/>
      <c r="F3301" s="87"/>
    </row>
    <row r="3302">
      <c r="A3302" s="147"/>
      <c r="B3302" s="148"/>
      <c r="C3302" s="87"/>
      <c r="D3302" s="37"/>
      <c r="E3302" s="37"/>
      <c r="F3302" s="87"/>
    </row>
    <row r="3303">
      <c r="A3303" s="147"/>
      <c r="B3303" s="148"/>
      <c r="C3303" s="87"/>
      <c r="D3303" s="37"/>
      <c r="E3303" s="37"/>
      <c r="F3303" s="87"/>
    </row>
    <row r="3304">
      <c r="A3304" s="147"/>
      <c r="B3304" s="148"/>
      <c r="C3304" s="87"/>
      <c r="D3304" s="37"/>
      <c r="E3304" s="37"/>
      <c r="F3304" s="87"/>
    </row>
    <row r="3305">
      <c r="A3305" s="147"/>
      <c r="B3305" s="148"/>
      <c r="C3305" s="87"/>
      <c r="D3305" s="37"/>
      <c r="E3305" s="37"/>
      <c r="F3305" s="87"/>
    </row>
    <row r="3306">
      <c r="A3306" s="147"/>
      <c r="B3306" s="148"/>
      <c r="C3306" s="87"/>
      <c r="D3306" s="37"/>
      <c r="E3306" s="37"/>
      <c r="F3306" s="87"/>
    </row>
    <row r="3307">
      <c r="A3307" s="147"/>
      <c r="B3307" s="148"/>
      <c r="C3307" s="87"/>
      <c r="D3307" s="37"/>
      <c r="E3307" s="37"/>
      <c r="F3307" s="87"/>
    </row>
    <row r="3308">
      <c r="A3308" s="147"/>
      <c r="B3308" s="148"/>
      <c r="C3308" s="87"/>
      <c r="D3308" s="37"/>
      <c r="E3308" s="37"/>
      <c r="F3308" s="87"/>
    </row>
    <row r="3309">
      <c r="A3309" s="147"/>
      <c r="B3309" s="148"/>
      <c r="C3309" s="87"/>
      <c r="D3309" s="37"/>
      <c r="E3309" s="37"/>
      <c r="F3309" s="87"/>
    </row>
    <row r="3310">
      <c r="A3310" s="147"/>
      <c r="B3310" s="148"/>
      <c r="C3310" s="87"/>
      <c r="D3310" s="37"/>
      <c r="E3310" s="37"/>
      <c r="F3310" s="87"/>
    </row>
    <row r="3311">
      <c r="A3311" s="147"/>
      <c r="B3311" s="148"/>
      <c r="C3311" s="87"/>
      <c r="D3311" s="37"/>
      <c r="E3311" s="37"/>
      <c r="F3311" s="87"/>
    </row>
    <row r="3312">
      <c r="A3312" s="147"/>
      <c r="B3312" s="148"/>
      <c r="C3312" s="87"/>
      <c r="D3312" s="37"/>
      <c r="E3312" s="37"/>
      <c r="F3312" s="87"/>
    </row>
    <row r="3313">
      <c r="A3313" s="147"/>
      <c r="B3313" s="148"/>
      <c r="C3313" s="87"/>
      <c r="D3313" s="37"/>
      <c r="E3313" s="37"/>
      <c r="F3313" s="87"/>
    </row>
    <row r="3314">
      <c r="A3314" s="147"/>
      <c r="B3314" s="148"/>
      <c r="C3314" s="87"/>
      <c r="D3314" s="37"/>
      <c r="E3314" s="37"/>
      <c r="F3314" s="87"/>
    </row>
    <row r="3315">
      <c r="A3315" s="147"/>
      <c r="B3315" s="148"/>
      <c r="C3315" s="87"/>
      <c r="D3315" s="37"/>
      <c r="E3315" s="37"/>
      <c r="F3315" s="87"/>
    </row>
    <row r="3316">
      <c r="A3316" s="147"/>
      <c r="B3316" s="148"/>
      <c r="C3316" s="87"/>
      <c r="D3316" s="37"/>
      <c r="E3316" s="37"/>
      <c r="F3316" s="87"/>
    </row>
    <row r="3317">
      <c r="A3317" s="147"/>
      <c r="B3317" s="148"/>
      <c r="C3317" s="87"/>
      <c r="D3317" s="37"/>
      <c r="E3317" s="37"/>
      <c r="F3317" s="87"/>
    </row>
    <row r="3318">
      <c r="A3318" s="147"/>
      <c r="B3318" s="148"/>
      <c r="C3318" s="87"/>
      <c r="D3318" s="37"/>
      <c r="E3318" s="37"/>
      <c r="F3318" s="87"/>
    </row>
    <row r="3319">
      <c r="A3319" s="147"/>
      <c r="B3319" s="148"/>
      <c r="C3319" s="87"/>
      <c r="D3319" s="37"/>
      <c r="E3319" s="37"/>
      <c r="F3319" s="87"/>
    </row>
    <row r="3320">
      <c r="A3320" s="147"/>
      <c r="B3320" s="148"/>
      <c r="C3320" s="87"/>
      <c r="D3320" s="37"/>
      <c r="E3320" s="37"/>
      <c r="F3320" s="87"/>
    </row>
    <row r="3321">
      <c r="A3321" s="147"/>
      <c r="B3321" s="148"/>
      <c r="C3321" s="87"/>
      <c r="D3321" s="37"/>
      <c r="E3321" s="37"/>
      <c r="F3321" s="87"/>
    </row>
    <row r="3322">
      <c r="A3322" s="147"/>
      <c r="B3322" s="148"/>
      <c r="C3322" s="87"/>
      <c r="D3322" s="37"/>
      <c r="E3322" s="37"/>
      <c r="F3322" s="87"/>
    </row>
    <row r="3323">
      <c r="A3323" s="147"/>
      <c r="B3323" s="148"/>
      <c r="C3323" s="87"/>
      <c r="D3323" s="37"/>
      <c r="E3323" s="37"/>
      <c r="F3323" s="87"/>
    </row>
    <row r="3324">
      <c r="A3324" s="147"/>
      <c r="B3324" s="148"/>
      <c r="C3324" s="87"/>
      <c r="D3324" s="37"/>
      <c r="E3324" s="37"/>
      <c r="F3324" s="87"/>
    </row>
    <row r="3325">
      <c r="A3325" s="147"/>
      <c r="B3325" s="148"/>
      <c r="C3325" s="87"/>
      <c r="D3325" s="37"/>
      <c r="E3325" s="37"/>
      <c r="F3325" s="87"/>
    </row>
    <row r="3326">
      <c r="A3326" s="147"/>
      <c r="B3326" s="148"/>
      <c r="C3326" s="87"/>
      <c r="D3326" s="37"/>
      <c r="E3326" s="37"/>
      <c r="F3326" s="87"/>
    </row>
    <row r="3327">
      <c r="A3327" s="147"/>
      <c r="B3327" s="148"/>
      <c r="C3327" s="87"/>
      <c r="D3327" s="37"/>
      <c r="E3327" s="37"/>
      <c r="F3327" s="87"/>
    </row>
    <row r="3328">
      <c r="A3328" s="147"/>
      <c r="B3328" s="148"/>
      <c r="C3328" s="87"/>
      <c r="D3328" s="37"/>
      <c r="E3328" s="37"/>
      <c r="F3328" s="87"/>
    </row>
    <row r="3329">
      <c r="A3329" s="147"/>
      <c r="B3329" s="148"/>
      <c r="C3329" s="87"/>
      <c r="D3329" s="37"/>
      <c r="E3329" s="37"/>
      <c r="F3329" s="87"/>
    </row>
    <row r="3330">
      <c r="A3330" s="147"/>
      <c r="B3330" s="148"/>
      <c r="C3330" s="87"/>
      <c r="D3330" s="37"/>
      <c r="E3330" s="37"/>
      <c r="F3330" s="87"/>
    </row>
    <row r="3331">
      <c r="A3331" s="147"/>
      <c r="B3331" s="148"/>
      <c r="C3331" s="87"/>
      <c r="D3331" s="37"/>
      <c r="E3331" s="37"/>
      <c r="F3331" s="87"/>
    </row>
    <row r="3332">
      <c r="A3332" s="147"/>
      <c r="B3332" s="148"/>
      <c r="C3332" s="87"/>
      <c r="D3332" s="37"/>
      <c r="E3332" s="37"/>
      <c r="F3332" s="87"/>
    </row>
    <row r="3333">
      <c r="A3333" s="147"/>
      <c r="B3333" s="148"/>
      <c r="C3333" s="87"/>
      <c r="D3333" s="37"/>
      <c r="E3333" s="37"/>
      <c r="F3333" s="87"/>
    </row>
    <row r="3334">
      <c r="A3334" s="147"/>
      <c r="B3334" s="148"/>
      <c r="C3334" s="87"/>
      <c r="D3334" s="37"/>
      <c r="E3334" s="37"/>
      <c r="F3334" s="87"/>
    </row>
    <row r="3335">
      <c r="A3335" s="147"/>
      <c r="B3335" s="148"/>
      <c r="C3335" s="87"/>
      <c r="D3335" s="37"/>
      <c r="E3335" s="37"/>
      <c r="F3335" s="87"/>
    </row>
    <row r="3336">
      <c r="A3336" s="147"/>
      <c r="B3336" s="148"/>
      <c r="C3336" s="87"/>
      <c r="D3336" s="37"/>
      <c r="E3336" s="37"/>
      <c r="F3336" s="87"/>
    </row>
    <row r="3337">
      <c r="A3337" s="147"/>
      <c r="B3337" s="148"/>
      <c r="C3337" s="87"/>
      <c r="D3337" s="37"/>
      <c r="E3337" s="37"/>
      <c r="F3337" s="87"/>
    </row>
    <row r="3338">
      <c r="A3338" s="147"/>
      <c r="B3338" s="148"/>
      <c r="C3338" s="87"/>
      <c r="D3338" s="37"/>
      <c r="E3338" s="37"/>
      <c r="F3338" s="87"/>
    </row>
    <row r="3339">
      <c r="A3339" s="147"/>
      <c r="B3339" s="148"/>
      <c r="C3339" s="87"/>
      <c r="D3339" s="37"/>
      <c r="E3339" s="37"/>
      <c r="F3339" s="87"/>
    </row>
    <row r="3340">
      <c r="A3340" s="147"/>
      <c r="B3340" s="148"/>
      <c r="C3340" s="87"/>
      <c r="D3340" s="37"/>
      <c r="E3340" s="37"/>
      <c r="F3340" s="87"/>
    </row>
    <row r="3341">
      <c r="A3341" s="147"/>
      <c r="B3341" s="148"/>
      <c r="C3341" s="87"/>
      <c r="D3341" s="37"/>
      <c r="E3341" s="37"/>
      <c r="F3341" s="87"/>
    </row>
    <row r="3342">
      <c r="A3342" s="147"/>
      <c r="B3342" s="148"/>
      <c r="C3342" s="87"/>
      <c r="D3342" s="37"/>
      <c r="E3342" s="37"/>
      <c r="F3342" s="87"/>
    </row>
    <row r="3343">
      <c r="A3343" s="147"/>
      <c r="B3343" s="148"/>
      <c r="C3343" s="87"/>
      <c r="D3343" s="37"/>
      <c r="E3343" s="37"/>
      <c r="F3343" s="87"/>
    </row>
    <row r="3344">
      <c r="A3344" s="147"/>
      <c r="B3344" s="148"/>
      <c r="C3344" s="87"/>
      <c r="D3344" s="37"/>
      <c r="E3344" s="37"/>
      <c r="F3344" s="87"/>
    </row>
    <row r="3345">
      <c r="A3345" s="147"/>
      <c r="B3345" s="148"/>
      <c r="C3345" s="87"/>
      <c r="D3345" s="37"/>
      <c r="E3345" s="37"/>
      <c r="F3345" s="87"/>
    </row>
    <row r="3346">
      <c r="A3346" s="147"/>
      <c r="B3346" s="148"/>
      <c r="C3346" s="87"/>
      <c r="D3346" s="37"/>
      <c r="E3346" s="37"/>
      <c r="F3346" s="87"/>
    </row>
    <row r="3347">
      <c r="A3347" s="147"/>
      <c r="B3347" s="148"/>
      <c r="C3347" s="87"/>
      <c r="D3347" s="37"/>
      <c r="E3347" s="37"/>
      <c r="F3347" s="87"/>
    </row>
    <row r="3348">
      <c r="A3348" s="147"/>
      <c r="B3348" s="148"/>
      <c r="C3348" s="87"/>
      <c r="D3348" s="37"/>
      <c r="E3348" s="37"/>
      <c r="F3348" s="87"/>
    </row>
    <row r="3349">
      <c r="A3349" s="147"/>
      <c r="B3349" s="148"/>
      <c r="C3349" s="87"/>
      <c r="D3349" s="37"/>
      <c r="E3349" s="37"/>
      <c r="F3349" s="87"/>
    </row>
    <row r="3350">
      <c r="A3350" s="147"/>
      <c r="B3350" s="148"/>
      <c r="C3350" s="87"/>
      <c r="D3350" s="37"/>
      <c r="E3350" s="37"/>
      <c r="F3350" s="87"/>
    </row>
    <row r="3351">
      <c r="A3351" s="147"/>
      <c r="B3351" s="148"/>
      <c r="C3351" s="87"/>
      <c r="D3351" s="37"/>
      <c r="E3351" s="37"/>
      <c r="F3351" s="87"/>
    </row>
    <row r="3352">
      <c r="A3352" s="147"/>
      <c r="B3352" s="148"/>
      <c r="C3352" s="87"/>
      <c r="D3352" s="37"/>
      <c r="E3352" s="37"/>
      <c r="F3352" s="87"/>
    </row>
    <row r="3353">
      <c r="A3353" s="147"/>
      <c r="B3353" s="148"/>
      <c r="C3353" s="87"/>
      <c r="D3353" s="37"/>
      <c r="E3353" s="37"/>
      <c r="F3353" s="87"/>
    </row>
    <row r="3354">
      <c r="A3354" s="147"/>
      <c r="B3354" s="148"/>
      <c r="C3354" s="87"/>
      <c r="D3354" s="37"/>
      <c r="E3354" s="37"/>
      <c r="F3354" s="87"/>
    </row>
    <row r="3355">
      <c r="A3355" s="147"/>
      <c r="B3355" s="148"/>
      <c r="C3355" s="87"/>
      <c r="D3355" s="37"/>
      <c r="E3355" s="37"/>
      <c r="F3355" s="87"/>
    </row>
    <row r="3356">
      <c r="A3356" s="147"/>
      <c r="B3356" s="148"/>
      <c r="C3356" s="87"/>
      <c r="D3356" s="37"/>
      <c r="E3356" s="37"/>
      <c r="F3356" s="87"/>
    </row>
    <row r="3357">
      <c r="A3357" s="147"/>
      <c r="B3357" s="148"/>
      <c r="C3357" s="87"/>
      <c r="D3357" s="37"/>
      <c r="E3357" s="37"/>
      <c r="F3357" s="87"/>
    </row>
    <row r="3358">
      <c r="A3358" s="147"/>
      <c r="B3358" s="148"/>
      <c r="C3358" s="87"/>
      <c r="D3358" s="37"/>
      <c r="E3358" s="37"/>
      <c r="F3358" s="87"/>
    </row>
    <row r="3359">
      <c r="A3359" s="147"/>
      <c r="B3359" s="148"/>
      <c r="C3359" s="87"/>
      <c r="D3359" s="37"/>
      <c r="E3359" s="37"/>
      <c r="F3359" s="87"/>
    </row>
    <row r="3360">
      <c r="A3360" s="147"/>
      <c r="B3360" s="148"/>
      <c r="C3360" s="87"/>
      <c r="D3360" s="37"/>
      <c r="E3360" s="37"/>
      <c r="F3360" s="87"/>
    </row>
    <row r="3361">
      <c r="A3361" s="147"/>
      <c r="B3361" s="148"/>
      <c r="C3361" s="87"/>
      <c r="D3361" s="37"/>
      <c r="E3361" s="37"/>
      <c r="F3361" s="87"/>
    </row>
    <row r="3362">
      <c r="A3362" s="147"/>
      <c r="B3362" s="148"/>
      <c r="C3362" s="87"/>
      <c r="D3362" s="37"/>
      <c r="E3362" s="37"/>
      <c r="F3362" s="87"/>
    </row>
    <row r="3363">
      <c r="A3363" s="147"/>
      <c r="B3363" s="148"/>
      <c r="C3363" s="87"/>
      <c r="D3363" s="37"/>
      <c r="E3363" s="37"/>
      <c r="F3363" s="87"/>
    </row>
    <row r="3364">
      <c r="A3364" s="147"/>
      <c r="B3364" s="148"/>
      <c r="C3364" s="87"/>
      <c r="D3364" s="37"/>
      <c r="E3364" s="37"/>
      <c r="F3364" s="87"/>
    </row>
    <row r="3365">
      <c r="A3365" s="147"/>
      <c r="B3365" s="148"/>
      <c r="C3365" s="87"/>
      <c r="D3365" s="37"/>
      <c r="E3365" s="37"/>
      <c r="F3365" s="87"/>
    </row>
    <row r="3366">
      <c r="A3366" s="147"/>
      <c r="B3366" s="148"/>
      <c r="C3366" s="87"/>
      <c r="D3366" s="37"/>
      <c r="E3366" s="37"/>
      <c r="F3366" s="87"/>
    </row>
    <row r="3367">
      <c r="A3367" s="147"/>
      <c r="B3367" s="148"/>
      <c r="C3367" s="87"/>
      <c r="D3367" s="37"/>
      <c r="E3367" s="37"/>
      <c r="F3367" s="87"/>
    </row>
    <row r="3368">
      <c r="A3368" s="147"/>
      <c r="B3368" s="148"/>
      <c r="C3368" s="87"/>
      <c r="D3368" s="37"/>
      <c r="E3368" s="37"/>
      <c r="F3368" s="87"/>
    </row>
    <row r="3369">
      <c r="A3369" s="147"/>
      <c r="B3369" s="148"/>
      <c r="C3369" s="87"/>
      <c r="D3369" s="37"/>
      <c r="E3369" s="37"/>
      <c r="F3369" s="87"/>
    </row>
    <row r="3370">
      <c r="A3370" s="147"/>
      <c r="B3370" s="148"/>
      <c r="C3370" s="87"/>
      <c r="D3370" s="37"/>
      <c r="E3370" s="37"/>
      <c r="F3370" s="87"/>
    </row>
    <row r="3371">
      <c r="A3371" s="147"/>
      <c r="B3371" s="148"/>
      <c r="C3371" s="87"/>
      <c r="D3371" s="37"/>
      <c r="E3371" s="37"/>
      <c r="F3371" s="87"/>
    </row>
    <row r="3372">
      <c r="A3372" s="147"/>
      <c r="B3372" s="148"/>
      <c r="C3372" s="87"/>
      <c r="D3372" s="37"/>
      <c r="E3372" s="37"/>
      <c r="F3372" s="87"/>
    </row>
    <row r="3373">
      <c r="A3373" s="147"/>
      <c r="B3373" s="148"/>
      <c r="C3373" s="87"/>
      <c r="D3373" s="37"/>
      <c r="E3373" s="37"/>
      <c r="F3373" s="87"/>
    </row>
    <row r="3374">
      <c r="A3374" s="147"/>
      <c r="B3374" s="148"/>
      <c r="C3374" s="87"/>
      <c r="D3374" s="37"/>
      <c r="E3374" s="37"/>
      <c r="F3374" s="87"/>
    </row>
    <row r="3375">
      <c r="A3375" s="147"/>
      <c r="B3375" s="148"/>
      <c r="C3375" s="87"/>
      <c r="D3375" s="37"/>
      <c r="E3375" s="37"/>
      <c r="F3375" s="87"/>
    </row>
    <row r="3376">
      <c r="A3376" s="147"/>
      <c r="B3376" s="148"/>
      <c r="C3376" s="87"/>
      <c r="D3376" s="37"/>
      <c r="E3376" s="37"/>
      <c r="F3376" s="87"/>
    </row>
    <row r="3377">
      <c r="A3377" s="147"/>
      <c r="B3377" s="148"/>
      <c r="C3377" s="87"/>
      <c r="D3377" s="37"/>
      <c r="E3377" s="37"/>
      <c r="F3377" s="87"/>
    </row>
    <row r="3378">
      <c r="A3378" s="147"/>
      <c r="B3378" s="148"/>
      <c r="C3378" s="87"/>
      <c r="D3378" s="37"/>
      <c r="E3378" s="37"/>
      <c r="F3378" s="87"/>
    </row>
    <row r="3379">
      <c r="A3379" s="147"/>
      <c r="B3379" s="148"/>
      <c r="C3379" s="87"/>
      <c r="D3379" s="37"/>
      <c r="E3379" s="37"/>
      <c r="F3379" s="87"/>
    </row>
    <row r="3380">
      <c r="A3380" s="147"/>
      <c r="B3380" s="148"/>
      <c r="C3380" s="87"/>
      <c r="D3380" s="37"/>
      <c r="E3380" s="37"/>
      <c r="F3380" s="87"/>
    </row>
    <row r="3381">
      <c r="A3381" s="147"/>
      <c r="B3381" s="148"/>
      <c r="C3381" s="87"/>
      <c r="D3381" s="37"/>
      <c r="E3381" s="37"/>
      <c r="F3381" s="87"/>
    </row>
    <row r="3382">
      <c r="A3382" s="147"/>
      <c r="B3382" s="148"/>
      <c r="C3382" s="87"/>
      <c r="D3382" s="37"/>
      <c r="E3382" s="37"/>
      <c r="F3382" s="87"/>
    </row>
    <row r="3383">
      <c r="A3383" s="147"/>
      <c r="B3383" s="148"/>
      <c r="C3383" s="87"/>
      <c r="D3383" s="37"/>
      <c r="E3383" s="37"/>
      <c r="F3383" s="87"/>
    </row>
    <row r="3384">
      <c r="A3384" s="147"/>
      <c r="B3384" s="148"/>
      <c r="C3384" s="87"/>
      <c r="D3384" s="37"/>
      <c r="E3384" s="37"/>
      <c r="F3384" s="87"/>
    </row>
    <row r="3385">
      <c r="A3385" s="147"/>
      <c r="B3385" s="148"/>
      <c r="C3385" s="87"/>
      <c r="D3385" s="37"/>
      <c r="E3385" s="37"/>
      <c r="F3385" s="87"/>
    </row>
    <row r="3386">
      <c r="A3386" s="147"/>
      <c r="B3386" s="148"/>
      <c r="C3386" s="87"/>
      <c r="D3386" s="37"/>
      <c r="E3386" s="37"/>
      <c r="F3386" s="87"/>
    </row>
    <row r="3387">
      <c r="A3387" s="147"/>
      <c r="B3387" s="148"/>
      <c r="C3387" s="87"/>
      <c r="D3387" s="37"/>
      <c r="E3387" s="37"/>
      <c r="F3387" s="87"/>
    </row>
    <row r="3388">
      <c r="A3388" s="147"/>
      <c r="B3388" s="148"/>
      <c r="C3388" s="87"/>
      <c r="D3388" s="37"/>
      <c r="E3388" s="37"/>
      <c r="F3388" s="87"/>
    </row>
    <row r="3389">
      <c r="A3389" s="147"/>
      <c r="B3389" s="148"/>
      <c r="C3389" s="87"/>
      <c r="D3389" s="37"/>
      <c r="E3389" s="37"/>
      <c r="F3389" s="87"/>
    </row>
    <row r="3390">
      <c r="A3390" s="147"/>
      <c r="B3390" s="148"/>
      <c r="C3390" s="87"/>
      <c r="D3390" s="37"/>
      <c r="E3390" s="37"/>
      <c r="F3390" s="87"/>
    </row>
    <row r="3391">
      <c r="A3391" s="147"/>
      <c r="B3391" s="148"/>
      <c r="C3391" s="87"/>
      <c r="D3391" s="37"/>
      <c r="E3391" s="37"/>
      <c r="F3391" s="87"/>
    </row>
    <row r="3392">
      <c r="A3392" s="147"/>
      <c r="B3392" s="148"/>
      <c r="C3392" s="87"/>
      <c r="D3392" s="37"/>
      <c r="E3392" s="37"/>
      <c r="F3392" s="87"/>
    </row>
    <row r="3393">
      <c r="A3393" s="147"/>
      <c r="B3393" s="148"/>
      <c r="C3393" s="87"/>
      <c r="D3393" s="37"/>
      <c r="E3393" s="37"/>
      <c r="F3393" s="87"/>
    </row>
    <row r="3394">
      <c r="A3394" s="147"/>
      <c r="B3394" s="148"/>
      <c r="C3394" s="87"/>
      <c r="D3394" s="37"/>
      <c r="E3394" s="37"/>
      <c r="F3394" s="87"/>
    </row>
    <row r="3395">
      <c r="A3395" s="147"/>
      <c r="B3395" s="148"/>
      <c r="C3395" s="87"/>
      <c r="D3395" s="37"/>
      <c r="E3395" s="37"/>
      <c r="F3395" s="87"/>
    </row>
    <row r="3396">
      <c r="A3396" s="147"/>
      <c r="B3396" s="148"/>
      <c r="C3396" s="87"/>
      <c r="D3396" s="37"/>
      <c r="E3396" s="37"/>
      <c r="F3396" s="87"/>
    </row>
    <row r="3397">
      <c r="A3397" s="147"/>
      <c r="B3397" s="148"/>
      <c r="C3397" s="87"/>
      <c r="D3397" s="37"/>
      <c r="E3397" s="37"/>
      <c r="F3397" s="87"/>
    </row>
    <row r="3398">
      <c r="A3398" s="147"/>
      <c r="B3398" s="148"/>
      <c r="C3398" s="87"/>
      <c r="D3398" s="37"/>
      <c r="E3398" s="37"/>
      <c r="F3398" s="87"/>
    </row>
    <row r="3399">
      <c r="A3399" s="147"/>
      <c r="B3399" s="148"/>
      <c r="C3399" s="87"/>
      <c r="D3399" s="37"/>
      <c r="E3399" s="37"/>
      <c r="F3399" s="87"/>
    </row>
    <row r="3400">
      <c r="A3400" s="147"/>
      <c r="B3400" s="148"/>
      <c r="C3400" s="87"/>
      <c r="D3400" s="37"/>
      <c r="E3400" s="37"/>
      <c r="F3400" s="87"/>
    </row>
    <row r="3401">
      <c r="A3401" s="147"/>
      <c r="B3401" s="148"/>
      <c r="C3401" s="87"/>
      <c r="D3401" s="37"/>
      <c r="E3401" s="37"/>
      <c r="F3401" s="87"/>
    </row>
    <row r="3402">
      <c r="A3402" s="147"/>
      <c r="B3402" s="148"/>
      <c r="C3402" s="87"/>
      <c r="D3402" s="37"/>
      <c r="E3402" s="37"/>
      <c r="F3402" s="87"/>
    </row>
    <row r="3403">
      <c r="A3403" s="147"/>
      <c r="B3403" s="148"/>
      <c r="C3403" s="87"/>
      <c r="D3403" s="37"/>
      <c r="E3403" s="37"/>
      <c r="F3403" s="87"/>
    </row>
    <row r="3404">
      <c r="A3404" s="147"/>
      <c r="B3404" s="148"/>
      <c r="C3404" s="87"/>
      <c r="D3404" s="37"/>
      <c r="E3404" s="37"/>
      <c r="F3404" s="87"/>
    </row>
    <row r="3405">
      <c r="A3405" s="147"/>
      <c r="B3405" s="148"/>
      <c r="C3405" s="87"/>
      <c r="D3405" s="37"/>
      <c r="E3405" s="37"/>
      <c r="F3405" s="87"/>
    </row>
    <row r="3406">
      <c r="A3406" s="147"/>
      <c r="B3406" s="148"/>
      <c r="C3406" s="87"/>
      <c r="D3406" s="37"/>
      <c r="E3406" s="37"/>
      <c r="F3406" s="87"/>
    </row>
    <row r="3407">
      <c r="A3407" s="147"/>
      <c r="B3407" s="148"/>
      <c r="C3407" s="87"/>
      <c r="D3407" s="37"/>
      <c r="E3407" s="37"/>
      <c r="F3407" s="87"/>
    </row>
    <row r="3408">
      <c r="A3408" s="147"/>
      <c r="B3408" s="148"/>
      <c r="C3408" s="87"/>
      <c r="D3408" s="37"/>
      <c r="E3408" s="37"/>
      <c r="F3408" s="87"/>
    </row>
    <row r="3409">
      <c r="A3409" s="147"/>
      <c r="B3409" s="148"/>
      <c r="C3409" s="87"/>
      <c r="D3409" s="37"/>
      <c r="E3409" s="37"/>
      <c r="F3409" s="87"/>
    </row>
    <row r="3410">
      <c r="A3410" s="147"/>
      <c r="B3410" s="148"/>
      <c r="C3410" s="87"/>
      <c r="D3410" s="37"/>
      <c r="E3410" s="37"/>
      <c r="F3410" s="87"/>
    </row>
    <row r="3411">
      <c r="A3411" s="147"/>
      <c r="B3411" s="148"/>
      <c r="C3411" s="87"/>
      <c r="D3411" s="37"/>
      <c r="E3411" s="37"/>
      <c r="F3411" s="87"/>
    </row>
    <row r="3412">
      <c r="A3412" s="147"/>
      <c r="B3412" s="148"/>
      <c r="C3412" s="87"/>
      <c r="D3412" s="37"/>
      <c r="E3412" s="37"/>
      <c r="F3412" s="87"/>
    </row>
    <row r="3413">
      <c r="A3413" s="147"/>
      <c r="B3413" s="148"/>
      <c r="C3413" s="87"/>
      <c r="D3413" s="37"/>
      <c r="E3413" s="37"/>
      <c r="F3413" s="87"/>
    </row>
    <row r="3414">
      <c r="A3414" s="147"/>
      <c r="B3414" s="148"/>
      <c r="C3414" s="87"/>
      <c r="D3414" s="37"/>
      <c r="E3414" s="37"/>
      <c r="F3414" s="87"/>
    </row>
    <row r="3415">
      <c r="A3415" s="147"/>
      <c r="B3415" s="148"/>
      <c r="C3415" s="87"/>
      <c r="D3415" s="37"/>
      <c r="E3415" s="37"/>
      <c r="F3415" s="87"/>
    </row>
    <row r="3416">
      <c r="A3416" s="147"/>
      <c r="B3416" s="148"/>
      <c r="C3416" s="87"/>
      <c r="D3416" s="37"/>
      <c r="E3416" s="37"/>
      <c r="F3416" s="87"/>
    </row>
    <row r="3417">
      <c r="A3417" s="147"/>
      <c r="B3417" s="148"/>
      <c r="C3417" s="87"/>
      <c r="D3417" s="37"/>
      <c r="E3417" s="37"/>
      <c r="F3417" s="87"/>
    </row>
    <row r="3418">
      <c r="A3418" s="147"/>
      <c r="B3418" s="148"/>
      <c r="C3418" s="87"/>
      <c r="D3418" s="37"/>
      <c r="E3418" s="37"/>
      <c r="F3418" s="87"/>
    </row>
    <row r="3419">
      <c r="A3419" s="147"/>
      <c r="B3419" s="148"/>
      <c r="C3419" s="87"/>
      <c r="D3419" s="37"/>
      <c r="E3419" s="37"/>
      <c r="F3419" s="87"/>
    </row>
    <row r="3420">
      <c r="A3420" s="147"/>
      <c r="B3420" s="148"/>
      <c r="C3420" s="87"/>
      <c r="D3420" s="37"/>
      <c r="E3420" s="37"/>
      <c r="F3420" s="87"/>
    </row>
    <row r="3421">
      <c r="A3421" s="147"/>
      <c r="B3421" s="148"/>
      <c r="C3421" s="87"/>
      <c r="D3421" s="37"/>
      <c r="E3421" s="37"/>
      <c r="F3421" s="87"/>
    </row>
    <row r="3422">
      <c r="A3422" s="147"/>
      <c r="B3422" s="148"/>
      <c r="C3422" s="87"/>
      <c r="D3422" s="37"/>
      <c r="E3422" s="37"/>
      <c r="F3422" s="87"/>
    </row>
    <row r="3423">
      <c r="A3423" s="147"/>
      <c r="B3423" s="148"/>
      <c r="C3423" s="87"/>
      <c r="D3423" s="37"/>
      <c r="E3423" s="37"/>
      <c r="F3423" s="87"/>
    </row>
    <row r="3424">
      <c r="A3424" s="147"/>
      <c r="B3424" s="148"/>
      <c r="C3424" s="87"/>
      <c r="D3424" s="37"/>
      <c r="E3424" s="37"/>
      <c r="F3424" s="87"/>
    </row>
    <row r="3425">
      <c r="A3425" s="147"/>
      <c r="B3425" s="148"/>
      <c r="C3425" s="87"/>
      <c r="D3425" s="37"/>
      <c r="E3425" s="37"/>
      <c r="F3425" s="87"/>
    </row>
    <row r="3426">
      <c r="A3426" s="147"/>
      <c r="B3426" s="148"/>
      <c r="C3426" s="87"/>
      <c r="D3426" s="37"/>
      <c r="E3426" s="37"/>
      <c r="F3426" s="87"/>
    </row>
    <row r="3427">
      <c r="A3427" s="147"/>
      <c r="B3427" s="148"/>
      <c r="C3427" s="87"/>
      <c r="D3427" s="37"/>
      <c r="E3427" s="37"/>
      <c r="F3427" s="87"/>
    </row>
    <row r="3428">
      <c r="A3428" s="147"/>
      <c r="B3428" s="148"/>
      <c r="C3428" s="87"/>
      <c r="D3428" s="37"/>
      <c r="E3428" s="37"/>
      <c r="F3428" s="87"/>
    </row>
    <row r="3429">
      <c r="A3429" s="147"/>
      <c r="B3429" s="148"/>
      <c r="C3429" s="87"/>
      <c r="D3429" s="37"/>
      <c r="E3429" s="37"/>
      <c r="F3429" s="87"/>
    </row>
    <row r="3430">
      <c r="A3430" s="147"/>
      <c r="B3430" s="148"/>
      <c r="C3430" s="87"/>
      <c r="D3430" s="37"/>
      <c r="E3430" s="37"/>
      <c r="F3430" s="87"/>
    </row>
    <row r="3431">
      <c r="A3431" s="147"/>
      <c r="B3431" s="148"/>
      <c r="C3431" s="87"/>
      <c r="D3431" s="37"/>
      <c r="E3431" s="37"/>
      <c r="F3431" s="87"/>
    </row>
    <row r="3432">
      <c r="A3432" s="147"/>
      <c r="B3432" s="148"/>
      <c r="C3432" s="87"/>
      <c r="D3432" s="37"/>
      <c r="E3432" s="37"/>
      <c r="F3432" s="87"/>
    </row>
    <row r="3433">
      <c r="A3433" s="147"/>
      <c r="B3433" s="148"/>
      <c r="C3433" s="87"/>
      <c r="D3433" s="37"/>
      <c r="E3433" s="37"/>
      <c r="F3433" s="87"/>
    </row>
    <row r="3434">
      <c r="A3434" s="147"/>
      <c r="B3434" s="148"/>
      <c r="C3434" s="87"/>
      <c r="D3434" s="37"/>
      <c r="E3434" s="37"/>
      <c r="F3434" s="87"/>
    </row>
    <row r="3435">
      <c r="A3435" s="147"/>
      <c r="B3435" s="148"/>
      <c r="C3435" s="87"/>
      <c r="D3435" s="37"/>
      <c r="E3435" s="37"/>
      <c r="F3435" s="87"/>
    </row>
    <row r="3436">
      <c r="A3436" s="147"/>
      <c r="B3436" s="148"/>
      <c r="C3436" s="87"/>
      <c r="D3436" s="37"/>
      <c r="E3436" s="37"/>
      <c r="F3436" s="87"/>
    </row>
    <row r="3437">
      <c r="A3437" s="147"/>
      <c r="B3437" s="148"/>
      <c r="C3437" s="87"/>
      <c r="D3437" s="37"/>
      <c r="E3437" s="37"/>
      <c r="F3437" s="87"/>
    </row>
    <row r="3438">
      <c r="A3438" s="147"/>
      <c r="B3438" s="148"/>
      <c r="C3438" s="87"/>
      <c r="D3438" s="37"/>
      <c r="E3438" s="37"/>
      <c r="F3438" s="87"/>
    </row>
    <row r="3439">
      <c r="A3439" s="147"/>
      <c r="B3439" s="148"/>
      <c r="C3439" s="87"/>
      <c r="D3439" s="37"/>
      <c r="E3439" s="37"/>
      <c r="F3439" s="87"/>
    </row>
    <row r="3440">
      <c r="A3440" s="147"/>
      <c r="B3440" s="148"/>
      <c r="C3440" s="87"/>
      <c r="D3440" s="37"/>
      <c r="E3440" s="37"/>
      <c r="F3440" s="87"/>
    </row>
    <row r="3441">
      <c r="A3441" s="147"/>
      <c r="B3441" s="148"/>
      <c r="C3441" s="87"/>
      <c r="D3441" s="37"/>
      <c r="E3441" s="37"/>
      <c r="F3441" s="87"/>
    </row>
    <row r="3442">
      <c r="A3442" s="147"/>
      <c r="B3442" s="148"/>
      <c r="C3442" s="87"/>
      <c r="D3442" s="37"/>
      <c r="E3442" s="37"/>
      <c r="F3442" s="87"/>
    </row>
    <row r="3443">
      <c r="A3443" s="147"/>
      <c r="B3443" s="148"/>
      <c r="C3443" s="87"/>
      <c r="D3443" s="37"/>
      <c r="E3443" s="37"/>
      <c r="F3443" s="87"/>
    </row>
    <row r="3444">
      <c r="A3444" s="147"/>
      <c r="B3444" s="148"/>
      <c r="C3444" s="87"/>
      <c r="D3444" s="37"/>
      <c r="E3444" s="37"/>
      <c r="F3444" s="87"/>
    </row>
    <row r="3445">
      <c r="A3445" s="147"/>
      <c r="B3445" s="148"/>
      <c r="C3445" s="87"/>
      <c r="D3445" s="37"/>
      <c r="E3445" s="37"/>
      <c r="F3445" s="87"/>
    </row>
    <row r="3446">
      <c r="A3446" s="147"/>
      <c r="B3446" s="148"/>
      <c r="C3446" s="87"/>
      <c r="D3446" s="37"/>
      <c r="E3446" s="37"/>
      <c r="F3446" s="87"/>
    </row>
    <row r="3447">
      <c r="A3447" s="147"/>
      <c r="B3447" s="148"/>
      <c r="C3447" s="87"/>
      <c r="D3447" s="37"/>
      <c r="E3447" s="37"/>
      <c r="F3447" s="87"/>
    </row>
    <row r="3448">
      <c r="A3448" s="147"/>
      <c r="B3448" s="148"/>
      <c r="C3448" s="87"/>
      <c r="D3448" s="37"/>
      <c r="E3448" s="37"/>
      <c r="F3448" s="87"/>
    </row>
    <row r="3449">
      <c r="A3449" s="147"/>
      <c r="B3449" s="148"/>
      <c r="C3449" s="87"/>
      <c r="D3449" s="37"/>
      <c r="E3449" s="37"/>
      <c r="F3449" s="87"/>
    </row>
    <row r="3450">
      <c r="A3450" s="147"/>
      <c r="B3450" s="148"/>
      <c r="C3450" s="87"/>
      <c r="D3450" s="37"/>
      <c r="E3450" s="37"/>
      <c r="F3450" s="87"/>
    </row>
    <row r="3451">
      <c r="A3451" s="147"/>
      <c r="B3451" s="148"/>
      <c r="C3451" s="87"/>
      <c r="D3451" s="37"/>
      <c r="E3451" s="37"/>
      <c r="F3451" s="87"/>
    </row>
    <row r="3452">
      <c r="A3452" s="147"/>
      <c r="B3452" s="148"/>
      <c r="C3452" s="87"/>
      <c r="D3452" s="37"/>
      <c r="E3452" s="37"/>
      <c r="F3452" s="87"/>
    </row>
    <row r="3453">
      <c r="A3453" s="147"/>
      <c r="B3453" s="148"/>
      <c r="C3453" s="87"/>
      <c r="D3453" s="37"/>
      <c r="E3453" s="37"/>
      <c r="F3453" s="87"/>
    </row>
    <row r="3454">
      <c r="A3454" s="147"/>
      <c r="B3454" s="148"/>
      <c r="C3454" s="87"/>
      <c r="D3454" s="37"/>
      <c r="E3454" s="37"/>
      <c r="F3454" s="87"/>
    </row>
    <row r="3455">
      <c r="A3455" s="147"/>
      <c r="B3455" s="148"/>
      <c r="C3455" s="87"/>
      <c r="D3455" s="37"/>
      <c r="E3455" s="37"/>
      <c r="F3455" s="87"/>
    </row>
    <row r="3456">
      <c r="A3456" s="147"/>
      <c r="B3456" s="148"/>
      <c r="C3456" s="87"/>
      <c r="D3456" s="37"/>
      <c r="E3456" s="37"/>
      <c r="F3456" s="87"/>
    </row>
    <row r="3457">
      <c r="A3457" s="147"/>
      <c r="B3457" s="148"/>
      <c r="C3457" s="87"/>
      <c r="D3457" s="37"/>
      <c r="E3457" s="37"/>
      <c r="F3457" s="87"/>
    </row>
    <row r="3458">
      <c r="A3458" s="147"/>
      <c r="B3458" s="148"/>
      <c r="C3458" s="87"/>
      <c r="D3458" s="37"/>
      <c r="E3458" s="37"/>
      <c r="F3458" s="87"/>
    </row>
    <row r="3459">
      <c r="A3459" s="147"/>
      <c r="B3459" s="148"/>
      <c r="C3459" s="87"/>
      <c r="D3459" s="37"/>
      <c r="E3459" s="37"/>
      <c r="F3459" s="87"/>
    </row>
    <row r="3460">
      <c r="A3460" s="147"/>
      <c r="B3460" s="148"/>
      <c r="C3460" s="87"/>
      <c r="D3460" s="37"/>
      <c r="E3460" s="37"/>
      <c r="F3460" s="87"/>
    </row>
    <row r="3461">
      <c r="A3461" s="147"/>
      <c r="B3461" s="148"/>
      <c r="C3461" s="87"/>
      <c r="D3461" s="37"/>
      <c r="E3461" s="37"/>
      <c r="F3461" s="87"/>
    </row>
    <row r="3462">
      <c r="A3462" s="147"/>
      <c r="B3462" s="148"/>
      <c r="C3462" s="87"/>
      <c r="D3462" s="37"/>
      <c r="E3462" s="37"/>
      <c r="F3462" s="87"/>
    </row>
    <row r="3463">
      <c r="A3463" s="147"/>
      <c r="B3463" s="148"/>
      <c r="C3463" s="87"/>
      <c r="D3463" s="37"/>
      <c r="E3463" s="37"/>
      <c r="F3463" s="87"/>
    </row>
    <row r="3464">
      <c r="A3464" s="147"/>
      <c r="B3464" s="148"/>
      <c r="C3464" s="87"/>
      <c r="D3464" s="37"/>
      <c r="E3464" s="37"/>
      <c r="F3464" s="87"/>
    </row>
    <row r="3465">
      <c r="A3465" s="147"/>
      <c r="B3465" s="148"/>
      <c r="C3465" s="87"/>
      <c r="D3465" s="37"/>
      <c r="E3465" s="37"/>
      <c r="F3465" s="87"/>
    </row>
    <row r="3466">
      <c r="A3466" s="147"/>
      <c r="B3466" s="148"/>
      <c r="C3466" s="87"/>
      <c r="D3466" s="37"/>
      <c r="E3466" s="37"/>
      <c r="F3466" s="87"/>
    </row>
    <row r="3467">
      <c r="A3467" s="147"/>
      <c r="B3467" s="148"/>
      <c r="C3467" s="87"/>
      <c r="D3467" s="37"/>
      <c r="E3467" s="37"/>
      <c r="F3467" s="87"/>
    </row>
    <row r="3468">
      <c r="A3468" s="147"/>
      <c r="B3468" s="148"/>
      <c r="C3468" s="87"/>
      <c r="D3468" s="37"/>
      <c r="E3468" s="37"/>
      <c r="F3468" s="87"/>
    </row>
    <row r="3469">
      <c r="A3469" s="147"/>
      <c r="B3469" s="148"/>
      <c r="C3469" s="87"/>
      <c r="D3469" s="37"/>
      <c r="E3469" s="37"/>
      <c r="F3469" s="87"/>
    </row>
    <row r="3470">
      <c r="A3470" s="147"/>
      <c r="B3470" s="148"/>
      <c r="C3470" s="87"/>
      <c r="D3470" s="37"/>
      <c r="E3470" s="37"/>
      <c r="F3470" s="87"/>
    </row>
    <row r="3471">
      <c r="A3471" s="147"/>
      <c r="B3471" s="148"/>
      <c r="C3471" s="87"/>
      <c r="D3471" s="37"/>
      <c r="E3471" s="37"/>
      <c r="F3471" s="87"/>
    </row>
    <row r="3472">
      <c r="A3472" s="147"/>
      <c r="B3472" s="148"/>
      <c r="C3472" s="87"/>
      <c r="D3472" s="37"/>
      <c r="E3472" s="37"/>
      <c r="F3472" s="87"/>
    </row>
    <row r="3473">
      <c r="A3473" s="147"/>
      <c r="B3473" s="148"/>
      <c r="C3473" s="87"/>
      <c r="D3473" s="37"/>
      <c r="E3473" s="37"/>
      <c r="F3473" s="87"/>
    </row>
    <row r="3474">
      <c r="A3474" s="147"/>
      <c r="B3474" s="148"/>
      <c r="C3474" s="87"/>
      <c r="D3474" s="37"/>
      <c r="E3474" s="37"/>
      <c r="F3474" s="87"/>
    </row>
    <row r="3475">
      <c r="A3475" s="147"/>
      <c r="B3475" s="148"/>
      <c r="C3475" s="87"/>
      <c r="D3475" s="37"/>
      <c r="E3475" s="37"/>
      <c r="F3475" s="87"/>
    </row>
    <row r="3476">
      <c r="A3476" s="147"/>
      <c r="B3476" s="148"/>
      <c r="C3476" s="87"/>
      <c r="D3476" s="37"/>
      <c r="E3476" s="37"/>
      <c r="F3476" s="87"/>
    </row>
    <row r="3477">
      <c r="A3477" s="147"/>
      <c r="B3477" s="148"/>
      <c r="C3477" s="87"/>
      <c r="D3477" s="37"/>
      <c r="E3477" s="37"/>
      <c r="F3477" s="87"/>
    </row>
    <row r="3478">
      <c r="A3478" s="147"/>
      <c r="B3478" s="148"/>
      <c r="C3478" s="87"/>
      <c r="D3478" s="37"/>
      <c r="E3478" s="37"/>
      <c r="F3478" s="87"/>
    </row>
    <row r="3479">
      <c r="A3479" s="147"/>
      <c r="B3479" s="148"/>
      <c r="C3479" s="87"/>
      <c r="D3479" s="37"/>
      <c r="E3479" s="37"/>
      <c r="F3479" s="87"/>
    </row>
    <row r="3480">
      <c r="A3480" s="147"/>
      <c r="B3480" s="148"/>
      <c r="C3480" s="87"/>
      <c r="D3480" s="37"/>
      <c r="E3480" s="37"/>
      <c r="F3480" s="87"/>
    </row>
    <row r="3481">
      <c r="A3481" s="147"/>
      <c r="B3481" s="148"/>
      <c r="C3481" s="87"/>
      <c r="D3481" s="37"/>
      <c r="E3481" s="37"/>
      <c r="F3481" s="87"/>
    </row>
    <row r="3482">
      <c r="A3482" s="147"/>
      <c r="B3482" s="148"/>
      <c r="C3482" s="87"/>
      <c r="D3482" s="37"/>
      <c r="E3482" s="37"/>
      <c r="F3482" s="87"/>
    </row>
    <row r="3483">
      <c r="A3483" s="147"/>
      <c r="B3483" s="148"/>
      <c r="C3483" s="87"/>
      <c r="D3483" s="37"/>
      <c r="E3483" s="37"/>
      <c r="F3483" s="87"/>
    </row>
    <row r="3484">
      <c r="A3484" s="147"/>
      <c r="B3484" s="148"/>
      <c r="C3484" s="87"/>
      <c r="D3484" s="37"/>
      <c r="E3484" s="37"/>
      <c r="F3484" s="87"/>
    </row>
    <row r="3485">
      <c r="A3485" s="147"/>
      <c r="B3485" s="148"/>
      <c r="C3485" s="87"/>
      <c r="D3485" s="37"/>
      <c r="E3485" s="37"/>
      <c r="F3485" s="87"/>
    </row>
    <row r="3486">
      <c r="A3486" s="147"/>
      <c r="B3486" s="148"/>
      <c r="C3486" s="87"/>
      <c r="D3486" s="37"/>
      <c r="E3486" s="37"/>
      <c r="F3486" s="87"/>
    </row>
    <row r="3487">
      <c r="A3487" s="147"/>
      <c r="B3487" s="148"/>
      <c r="C3487" s="87"/>
      <c r="D3487" s="37"/>
      <c r="E3487" s="37"/>
      <c r="F3487" s="87"/>
    </row>
    <row r="3488">
      <c r="A3488" s="147"/>
      <c r="B3488" s="148"/>
      <c r="C3488" s="87"/>
      <c r="D3488" s="37"/>
      <c r="E3488" s="37"/>
      <c r="F3488" s="87"/>
    </row>
    <row r="3489">
      <c r="A3489" s="147"/>
      <c r="B3489" s="148"/>
      <c r="C3489" s="87"/>
      <c r="D3489" s="37"/>
      <c r="E3489" s="37"/>
      <c r="F3489" s="87"/>
    </row>
    <row r="3490">
      <c r="A3490" s="147"/>
      <c r="B3490" s="148"/>
      <c r="C3490" s="87"/>
      <c r="D3490" s="37"/>
      <c r="E3490" s="37"/>
      <c r="F3490" s="87"/>
    </row>
    <row r="3491">
      <c r="A3491" s="147"/>
      <c r="B3491" s="148"/>
      <c r="C3491" s="87"/>
      <c r="D3491" s="37"/>
      <c r="E3491" s="37"/>
      <c r="F3491" s="87"/>
    </row>
    <row r="3492">
      <c r="A3492" s="147"/>
      <c r="B3492" s="148"/>
      <c r="C3492" s="87"/>
      <c r="D3492" s="37"/>
      <c r="E3492" s="37"/>
      <c r="F3492" s="87"/>
    </row>
    <row r="3493">
      <c r="A3493" s="147"/>
      <c r="B3493" s="148"/>
      <c r="C3493" s="87"/>
      <c r="D3493" s="37"/>
      <c r="E3493" s="37"/>
      <c r="F3493" s="87"/>
    </row>
    <row r="3494">
      <c r="A3494" s="147"/>
      <c r="B3494" s="148"/>
      <c r="C3494" s="87"/>
      <c r="D3494" s="37"/>
      <c r="E3494" s="37"/>
      <c r="F3494" s="87"/>
    </row>
    <row r="3495">
      <c r="A3495" s="147"/>
      <c r="B3495" s="148"/>
      <c r="C3495" s="87"/>
      <c r="D3495" s="37"/>
      <c r="E3495" s="37"/>
      <c r="F3495" s="87"/>
    </row>
    <row r="3496">
      <c r="A3496" s="147"/>
      <c r="B3496" s="148"/>
      <c r="C3496" s="87"/>
      <c r="D3496" s="37"/>
      <c r="E3496" s="37"/>
      <c r="F3496" s="87"/>
    </row>
    <row r="3497">
      <c r="A3497" s="147"/>
      <c r="B3497" s="148"/>
      <c r="C3497" s="87"/>
      <c r="D3497" s="37"/>
      <c r="E3497" s="37"/>
      <c r="F3497" s="87"/>
    </row>
    <row r="3498">
      <c r="A3498" s="147"/>
      <c r="B3498" s="148"/>
      <c r="C3498" s="87"/>
      <c r="D3498" s="37"/>
      <c r="E3498" s="37"/>
      <c r="F3498" s="87"/>
    </row>
    <row r="3499">
      <c r="A3499" s="147"/>
      <c r="B3499" s="148"/>
      <c r="C3499" s="87"/>
      <c r="D3499" s="37"/>
      <c r="E3499" s="37"/>
      <c r="F3499" s="87"/>
    </row>
    <row r="3500">
      <c r="A3500" s="147"/>
      <c r="B3500" s="148"/>
      <c r="C3500" s="87"/>
      <c r="D3500" s="37"/>
      <c r="E3500" s="37"/>
      <c r="F3500" s="87"/>
    </row>
    <row r="3501">
      <c r="A3501" s="147"/>
      <c r="B3501" s="148"/>
      <c r="C3501" s="87"/>
      <c r="D3501" s="37"/>
      <c r="E3501" s="37"/>
      <c r="F3501" s="87"/>
    </row>
    <row r="3502">
      <c r="A3502" s="147"/>
      <c r="B3502" s="148"/>
      <c r="C3502" s="87"/>
      <c r="D3502" s="37"/>
      <c r="E3502" s="37"/>
      <c r="F3502" s="87"/>
    </row>
    <row r="3503">
      <c r="A3503" s="147"/>
      <c r="B3503" s="148"/>
      <c r="C3503" s="87"/>
      <c r="D3503" s="37"/>
      <c r="E3503" s="37"/>
      <c r="F3503" s="87"/>
    </row>
    <row r="3504">
      <c r="A3504" s="147"/>
      <c r="B3504" s="148"/>
      <c r="C3504" s="87"/>
      <c r="D3504" s="37"/>
      <c r="E3504" s="37"/>
      <c r="F3504" s="87"/>
    </row>
    <row r="3505">
      <c r="A3505" s="147"/>
      <c r="B3505" s="148"/>
      <c r="C3505" s="87"/>
      <c r="D3505" s="37"/>
      <c r="E3505" s="37"/>
      <c r="F3505" s="87"/>
    </row>
    <row r="3506">
      <c r="A3506" s="147"/>
      <c r="B3506" s="148"/>
      <c r="C3506" s="87"/>
      <c r="D3506" s="37"/>
      <c r="E3506" s="37"/>
      <c r="F3506" s="87"/>
    </row>
    <row r="3507">
      <c r="A3507" s="147"/>
      <c r="B3507" s="148"/>
      <c r="C3507" s="87"/>
      <c r="D3507" s="37"/>
      <c r="E3507" s="37"/>
      <c r="F3507" s="87"/>
    </row>
    <row r="3508">
      <c r="A3508" s="147"/>
      <c r="B3508" s="148"/>
      <c r="C3508" s="87"/>
      <c r="D3508" s="37"/>
      <c r="E3508" s="37"/>
      <c r="F3508" s="87"/>
    </row>
    <row r="3509">
      <c r="A3509" s="147"/>
      <c r="B3509" s="148"/>
      <c r="C3509" s="87"/>
      <c r="D3509" s="37"/>
      <c r="E3509" s="37"/>
      <c r="F3509" s="87"/>
    </row>
    <row r="3510">
      <c r="A3510" s="147"/>
      <c r="B3510" s="148"/>
      <c r="C3510" s="87"/>
      <c r="D3510" s="37"/>
      <c r="E3510" s="37"/>
      <c r="F3510" s="87"/>
    </row>
    <row r="3511">
      <c r="A3511" s="147"/>
      <c r="B3511" s="148"/>
      <c r="C3511" s="87"/>
      <c r="D3511" s="37"/>
      <c r="E3511" s="37"/>
      <c r="F3511" s="87"/>
    </row>
    <row r="3512">
      <c r="A3512" s="147"/>
      <c r="B3512" s="148"/>
      <c r="C3512" s="87"/>
      <c r="D3512" s="37"/>
      <c r="E3512" s="37"/>
      <c r="F3512" s="87"/>
    </row>
    <row r="3513">
      <c r="A3513" s="147"/>
      <c r="B3513" s="148"/>
      <c r="C3513" s="87"/>
      <c r="D3513" s="37"/>
      <c r="E3513" s="37"/>
      <c r="F3513" s="87"/>
    </row>
    <row r="3514">
      <c r="A3514" s="147"/>
      <c r="B3514" s="148"/>
      <c r="C3514" s="87"/>
      <c r="D3514" s="37"/>
      <c r="E3514" s="37"/>
      <c r="F3514" s="87"/>
    </row>
    <row r="3515">
      <c r="A3515" s="147"/>
      <c r="B3515" s="148"/>
      <c r="C3515" s="87"/>
      <c r="D3515" s="37"/>
      <c r="E3515" s="37"/>
      <c r="F3515" s="87"/>
    </row>
    <row r="3516">
      <c r="A3516" s="147"/>
      <c r="B3516" s="148"/>
      <c r="C3516" s="87"/>
      <c r="D3516" s="37"/>
      <c r="E3516" s="37"/>
      <c r="F3516" s="87"/>
    </row>
    <row r="3517">
      <c r="A3517" s="147"/>
      <c r="B3517" s="148"/>
      <c r="C3517" s="87"/>
      <c r="D3517" s="37"/>
      <c r="E3517" s="37"/>
      <c r="F3517" s="87"/>
    </row>
    <row r="3518">
      <c r="A3518" s="147"/>
      <c r="B3518" s="148"/>
      <c r="C3518" s="87"/>
      <c r="D3518" s="37"/>
      <c r="E3518" s="37"/>
      <c r="F3518" s="87"/>
    </row>
    <row r="3519">
      <c r="A3519" s="147"/>
      <c r="B3519" s="148"/>
      <c r="C3519" s="87"/>
      <c r="D3519" s="37"/>
      <c r="E3519" s="37"/>
      <c r="F3519" s="87"/>
    </row>
    <row r="3520">
      <c r="A3520" s="147"/>
      <c r="B3520" s="148"/>
      <c r="C3520" s="87"/>
      <c r="D3520" s="37"/>
      <c r="E3520" s="37"/>
      <c r="F3520" s="87"/>
    </row>
    <row r="3521">
      <c r="A3521" s="147"/>
      <c r="B3521" s="148"/>
      <c r="C3521" s="87"/>
      <c r="D3521" s="37"/>
      <c r="E3521" s="37"/>
      <c r="F3521" s="87"/>
    </row>
    <row r="3522">
      <c r="A3522" s="147"/>
      <c r="B3522" s="148"/>
      <c r="C3522" s="87"/>
      <c r="D3522" s="37"/>
      <c r="E3522" s="37"/>
      <c r="F3522" s="87"/>
    </row>
    <row r="3523">
      <c r="A3523" s="147"/>
      <c r="B3523" s="148"/>
      <c r="C3523" s="87"/>
      <c r="D3523" s="37"/>
      <c r="E3523" s="37"/>
      <c r="F3523" s="87"/>
    </row>
    <row r="3524">
      <c r="A3524" s="147"/>
      <c r="B3524" s="148"/>
      <c r="C3524" s="87"/>
      <c r="D3524" s="37"/>
      <c r="E3524" s="37"/>
      <c r="F3524" s="87"/>
    </row>
    <row r="3525">
      <c r="A3525" s="147"/>
      <c r="B3525" s="148"/>
      <c r="C3525" s="87"/>
      <c r="D3525" s="37"/>
      <c r="E3525" s="37"/>
      <c r="F3525" s="87"/>
    </row>
    <row r="3526">
      <c r="A3526" s="147"/>
      <c r="B3526" s="148"/>
      <c r="C3526" s="87"/>
      <c r="D3526" s="37"/>
      <c r="E3526" s="37"/>
      <c r="F3526" s="87"/>
    </row>
    <row r="3527">
      <c r="A3527" s="147"/>
      <c r="B3527" s="148"/>
      <c r="C3527" s="87"/>
      <c r="D3527" s="37"/>
      <c r="E3527" s="37"/>
      <c r="F3527" s="87"/>
    </row>
    <row r="3528">
      <c r="A3528" s="147"/>
      <c r="B3528" s="148"/>
      <c r="C3528" s="87"/>
      <c r="D3528" s="37"/>
      <c r="E3528" s="37"/>
      <c r="F3528" s="87"/>
    </row>
    <row r="3529">
      <c r="A3529" s="147"/>
      <c r="B3529" s="148"/>
      <c r="C3529" s="87"/>
      <c r="D3529" s="37"/>
      <c r="E3529" s="37"/>
      <c r="F3529" s="87"/>
    </row>
    <row r="3530">
      <c r="A3530" s="147"/>
      <c r="B3530" s="148"/>
      <c r="C3530" s="87"/>
      <c r="D3530" s="37"/>
      <c r="E3530" s="37"/>
      <c r="F3530" s="87"/>
    </row>
    <row r="3531">
      <c r="A3531" s="147"/>
      <c r="B3531" s="148"/>
      <c r="C3531" s="87"/>
      <c r="D3531" s="37"/>
      <c r="E3531" s="37"/>
      <c r="F3531" s="87"/>
    </row>
    <row r="3532">
      <c r="A3532" s="147"/>
      <c r="B3532" s="148"/>
      <c r="C3532" s="87"/>
      <c r="D3532" s="37"/>
      <c r="E3532" s="37"/>
      <c r="F3532" s="87"/>
    </row>
    <row r="3533">
      <c r="A3533" s="147"/>
      <c r="B3533" s="148"/>
      <c r="C3533" s="87"/>
      <c r="D3533" s="37"/>
      <c r="E3533" s="37"/>
      <c r="F3533" s="87"/>
    </row>
    <row r="3534">
      <c r="A3534" s="147"/>
      <c r="B3534" s="148"/>
      <c r="C3534" s="87"/>
      <c r="D3534" s="37"/>
      <c r="E3534" s="37"/>
      <c r="F3534" s="87"/>
    </row>
    <row r="3535">
      <c r="A3535" s="147"/>
      <c r="B3535" s="148"/>
      <c r="C3535" s="87"/>
      <c r="D3535" s="37"/>
      <c r="E3535" s="37"/>
      <c r="F3535" s="87"/>
    </row>
    <row r="3536">
      <c r="A3536" s="147"/>
      <c r="B3536" s="148"/>
      <c r="C3536" s="87"/>
      <c r="D3536" s="37"/>
      <c r="E3536" s="37"/>
      <c r="F3536" s="87"/>
    </row>
    <row r="3537">
      <c r="A3537" s="147"/>
      <c r="B3537" s="148"/>
      <c r="C3537" s="87"/>
      <c r="D3537" s="37"/>
      <c r="E3537" s="37"/>
      <c r="F3537" s="87"/>
    </row>
    <row r="3538">
      <c r="A3538" s="147"/>
      <c r="B3538" s="148"/>
      <c r="C3538" s="87"/>
      <c r="D3538" s="37"/>
      <c r="E3538" s="37"/>
      <c r="F3538" s="87"/>
    </row>
    <row r="3539">
      <c r="A3539" s="147"/>
      <c r="B3539" s="148"/>
      <c r="C3539" s="87"/>
      <c r="D3539" s="37"/>
      <c r="E3539" s="37"/>
      <c r="F3539" s="87"/>
    </row>
    <row r="3540">
      <c r="A3540" s="147"/>
      <c r="B3540" s="148"/>
      <c r="C3540" s="87"/>
      <c r="D3540" s="37"/>
      <c r="E3540" s="37"/>
      <c r="F3540" s="87"/>
    </row>
    <row r="3541">
      <c r="A3541" s="147"/>
      <c r="B3541" s="148"/>
      <c r="C3541" s="87"/>
      <c r="D3541" s="37"/>
      <c r="E3541" s="37"/>
      <c r="F3541" s="87"/>
    </row>
    <row r="3542">
      <c r="A3542" s="147"/>
      <c r="B3542" s="148"/>
      <c r="C3542" s="87"/>
      <c r="D3542" s="37"/>
      <c r="E3542" s="37"/>
      <c r="F3542" s="87"/>
    </row>
    <row r="3543">
      <c r="A3543" s="147"/>
      <c r="B3543" s="148"/>
      <c r="C3543" s="87"/>
      <c r="D3543" s="37"/>
      <c r="E3543" s="37"/>
      <c r="F3543" s="87"/>
    </row>
    <row r="3544">
      <c r="A3544" s="147"/>
      <c r="B3544" s="148"/>
      <c r="C3544" s="87"/>
      <c r="D3544" s="37"/>
      <c r="E3544" s="37"/>
      <c r="F3544" s="87"/>
    </row>
    <row r="3545">
      <c r="A3545" s="147"/>
      <c r="B3545" s="148"/>
      <c r="C3545" s="87"/>
      <c r="D3545" s="37"/>
      <c r="E3545" s="37"/>
      <c r="F3545" s="87"/>
    </row>
    <row r="3546">
      <c r="A3546" s="147"/>
      <c r="B3546" s="148"/>
      <c r="C3546" s="87"/>
      <c r="D3546" s="37"/>
      <c r="E3546" s="37"/>
      <c r="F3546" s="87"/>
    </row>
    <row r="3547">
      <c r="A3547" s="147"/>
      <c r="B3547" s="148"/>
      <c r="C3547" s="87"/>
      <c r="D3547" s="37"/>
      <c r="E3547" s="37"/>
      <c r="F3547" s="87"/>
    </row>
    <row r="3548">
      <c r="A3548" s="147"/>
      <c r="B3548" s="148"/>
      <c r="C3548" s="87"/>
      <c r="D3548" s="37"/>
      <c r="E3548" s="37"/>
      <c r="F3548" s="87"/>
    </row>
    <row r="3549">
      <c r="A3549" s="147"/>
      <c r="B3549" s="148"/>
      <c r="C3549" s="87"/>
      <c r="D3549" s="37"/>
      <c r="E3549" s="37"/>
      <c r="F3549" s="87"/>
    </row>
    <row r="3550">
      <c r="A3550" s="147"/>
      <c r="B3550" s="148"/>
      <c r="C3550" s="87"/>
      <c r="D3550" s="37"/>
      <c r="E3550" s="37"/>
      <c r="F3550" s="87"/>
    </row>
    <row r="3551">
      <c r="A3551" s="147"/>
      <c r="B3551" s="148"/>
      <c r="C3551" s="87"/>
      <c r="D3551" s="37"/>
      <c r="E3551" s="37"/>
      <c r="F3551" s="87"/>
    </row>
    <row r="3552">
      <c r="A3552" s="147"/>
      <c r="B3552" s="148"/>
      <c r="C3552" s="87"/>
      <c r="D3552" s="37"/>
      <c r="E3552" s="37"/>
      <c r="F3552" s="87"/>
    </row>
    <row r="3553">
      <c r="A3553" s="147"/>
      <c r="B3553" s="148"/>
      <c r="C3553" s="87"/>
      <c r="D3553" s="37"/>
      <c r="E3553" s="37"/>
      <c r="F3553" s="87"/>
    </row>
    <row r="3554">
      <c r="A3554" s="147"/>
      <c r="B3554" s="148"/>
      <c r="C3554" s="87"/>
      <c r="D3554" s="37"/>
      <c r="E3554" s="37"/>
      <c r="F3554" s="87"/>
    </row>
    <row r="3555">
      <c r="A3555" s="147"/>
      <c r="B3555" s="148"/>
      <c r="C3555" s="87"/>
      <c r="D3555" s="37"/>
      <c r="E3555" s="37"/>
      <c r="F3555" s="87"/>
    </row>
    <row r="3556">
      <c r="A3556" s="147"/>
      <c r="B3556" s="148"/>
      <c r="C3556" s="87"/>
      <c r="D3556" s="37"/>
      <c r="E3556" s="37"/>
      <c r="F3556" s="87"/>
    </row>
    <row r="3557">
      <c r="A3557" s="147"/>
      <c r="B3557" s="148"/>
      <c r="C3557" s="87"/>
      <c r="D3557" s="37"/>
      <c r="E3557" s="37"/>
      <c r="F3557" s="87"/>
    </row>
    <row r="3558">
      <c r="A3558" s="147"/>
      <c r="B3558" s="148"/>
      <c r="C3558" s="87"/>
      <c r="D3558" s="37"/>
      <c r="E3558" s="37"/>
      <c r="F3558" s="87"/>
    </row>
    <row r="3559">
      <c r="A3559" s="147"/>
      <c r="B3559" s="148"/>
      <c r="C3559" s="87"/>
      <c r="D3559" s="37"/>
      <c r="E3559" s="37"/>
      <c r="F3559" s="87"/>
    </row>
    <row r="3560">
      <c r="A3560" s="147"/>
      <c r="B3560" s="148"/>
      <c r="C3560" s="87"/>
      <c r="D3560" s="37"/>
      <c r="E3560" s="37"/>
      <c r="F3560" s="87"/>
    </row>
    <row r="3561">
      <c r="A3561" s="147"/>
      <c r="B3561" s="148"/>
      <c r="C3561" s="87"/>
      <c r="D3561" s="37"/>
      <c r="E3561" s="37"/>
      <c r="F3561" s="87"/>
    </row>
    <row r="3562">
      <c r="A3562" s="147"/>
      <c r="B3562" s="148"/>
      <c r="C3562" s="87"/>
      <c r="D3562" s="37"/>
      <c r="E3562" s="37"/>
      <c r="F3562" s="87"/>
    </row>
    <row r="3563">
      <c r="A3563" s="147"/>
      <c r="B3563" s="148"/>
      <c r="C3563" s="87"/>
      <c r="D3563" s="37"/>
      <c r="E3563" s="37"/>
      <c r="F3563" s="87"/>
    </row>
    <row r="3564">
      <c r="A3564" s="147"/>
      <c r="B3564" s="148"/>
      <c r="C3564" s="87"/>
      <c r="D3564" s="37"/>
      <c r="E3564" s="37"/>
      <c r="F3564" s="87"/>
    </row>
    <row r="3565">
      <c r="A3565" s="147"/>
      <c r="B3565" s="148"/>
      <c r="C3565" s="87"/>
      <c r="D3565" s="37"/>
      <c r="E3565" s="37"/>
      <c r="F3565" s="87"/>
    </row>
    <row r="3566">
      <c r="A3566" s="147"/>
      <c r="B3566" s="148"/>
      <c r="C3566" s="87"/>
      <c r="D3566" s="37"/>
      <c r="E3566" s="37"/>
      <c r="F3566" s="87"/>
    </row>
    <row r="3567">
      <c r="A3567" s="147"/>
      <c r="B3567" s="148"/>
      <c r="C3567" s="87"/>
      <c r="D3567" s="37"/>
      <c r="E3567" s="37"/>
      <c r="F3567" s="87"/>
    </row>
    <row r="3568">
      <c r="A3568" s="147"/>
      <c r="B3568" s="148"/>
      <c r="C3568" s="87"/>
      <c r="D3568" s="37"/>
      <c r="E3568" s="37"/>
      <c r="F3568" s="87"/>
    </row>
    <row r="3569">
      <c r="A3569" s="147"/>
      <c r="B3569" s="148"/>
      <c r="C3569" s="87"/>
      <c r="D3569" s="37"/>
      <c r="E3569" s="37"/>
      <c r="F3569" s="87"/>
    </row>
    <row r="3570">
      <c r="A3570" s="147"/>
      <c r="B3570" s="148"/>
      <c r="C3570" s="87"/>
      <c r="D3570" s="37"/>
      <c r="E3570" s="37"/>
      <c r="F3570" s="87"/>
    </row>
    <row r="3571">
      <c r="A3571" s="147"/>
      <c r="B3571" s="148"/>
      <c r="C3571" s="87"/>
      <c r="D3571" s="37"/>
      <c r="E3571" s="37"/>
      <c r="F3571" s="87"/>
    </row>
    <row r="3572">
      <c r="A3572" s="147"/>
      <c r="B3572" s="148"/>
      <c r="C3572" s="87"/>
      <c r="D3572" s="37"/>
      <c r="E3572" s="37"/>
      <c r="F3572" s="87"/>
    </row>
    <row r="3573">
      <c r="A3573" s="147"/>
      <c r="B3573" s="148"/>
      <c r="C3573" s="87"/>
      <c r="D3573" s="37"/>
      <c r="E3573" s="37"/>
      <c r="F3573" s="87"/>
    </row>
    <row r="3574">
      <c r="A3574" s="147"/>
      <c r="B3574" s="148"/>
      <c r="C3574" s="87"/>
      <c r="D3574" s="37"/>
      <c r="E3574" s="37"/>
      <c r="F3574" s="87"/>
    </row>
    <row r="3575">
      <c r="A3575" s="147"/>
      <c r="B3575" s="148"/>
      <c r="C3575" s="87"/>
      <c r="D3575" s="37"/>
      <c r="E3575" s="37"/>
      <c r="F3575" s="87"/>
    </row>
    <row r="3576">
      <c r="A3576" s="147"/>
      <c r="B3576" s="148"/>
      <c r="C3576" s="87"/>
      <c r="D3576" s="37"/>
      <c r="E3576" s="37"/>
      <c r="F3576" s="87"/>
    </row>
    <row r="3577">
      <c r="A3577" s="147"/>
      <c r="B3577" s="148"/>
      <c r="C3577" s="87"/>
      <c r="D3577" s="37"/>
      <c r="E3577" s="37"/>
      <c r="F3577" s="87"/>
    </row>
    <row r="3578">
      <c r="A3578" s="147"/>
      <c r="B3578" s="148"/>
      <c r="C3578" s="87"/>
      <c r="D3578" s="37"/>
      <c r="E3578" s="37"/>
      <c r="F3578" s="87"/>
    </row>
    <row r="3579">
      <c r="A3579" s="147"/>
      <c r="B3579" s="148"/>
      <c r="C3579" s="87"/>
      <c r="D3579" s="37"/>
      <c r="E3579" s="37"/>
      <c r="F3579" s="87"/>
    </row>
    <row r="3580">
      <c r="A3580" s="147"/>
      <c r="B3580" s="148"/>
      <c r="C3580" s="87"/>
      <c r="D3580" s="37"/>
      <c r="E3580" s="37"/>
      <c r="F3580" s="87"/>
    </row>
    <row r="3581">
      <c r="A3581" s="147"/>
      <c r="B3581" s="148"/>
      <c r="C3581" s="87"/>
      <c r="D3581" s="37"/>
      <c r="E3581" s="37"/>
      <c r="F3581" s="87"/>
    </row>
    <row r="3582">
      <c r="A3582" s="147"/>
      <c r="B3582" s="148"/>
      <c r="C3582" s="87"/>
      <c r="D3582" s="37"/>
      <c r="E3582" s="37"/>
      <c r="F3582" s="87"/>
    </row>
    <row r="3583">
      <c r="A3583" s="147"/>
      <c r="B3583" s="148"/>
      <c r="C3583" s="87"/>
      <c r="D3583" s="37"/>
      <c r="E3583" s="37"/>
      <c r="F3583" s="87"/>
    </row>
    <row r="3584">
      <c r="A3584" s="147"/>
      <c r="B3584" s="148"/>
      <c r="C3584" s="87"/>
      <c r="D3584" s="37"/>
      <c r="E3584" s="37"/>
      <c r="F3584" s="87"/>
    </row>
    <row r="3585">
      <c r="A3585" s="147"/>
      <c r="B3585" s="148"/>
      <c r="C3585" s="87"/>
      <c r="D3585" s="37"/>
      <c r="E3585" s="37"/>
      <c r="F3585" s="87"/>
    </row>
    <row r="3586">
      <c r="A3586" s="147"/>
      <c r="B3586" s="148"/>
      <c r="C3586" s="87"/>
      <c r="D3586" s="37"/>
      <c r="E3586" s="37"/>
      <c r="F3586" s="87"/>
    </row>
    <row r="3587">
      <c r="A3587" s="147"/>
      <c r="B3587" s="148"/>
      <c r="C3587" s="87"/>
      <c r="D3587" s="37"/>
      <c r="E3587" s="37"/>
      <c r="F3587" s="87"/>
    </row>
    <row r="3588">
      <c r="A3588" s="147"/>
      <c r="B3588" s="148"/>
      <c r="C3588" s="87"/>
      <c r="D3588" s="37"/>
      <c r="E3588" s="37"/>
      <c r="F3588" s="87"/>
    </row>
    <row r="3589">
      <c r="A3589" s="147"/>
      <c r="B3589" s="148"/>
      <c r="C3589" s="87"/>
      <c r="D3589" s="37"/>
      <c r="E3589" s="37"/>
      <c r="F3589" s="87"/>
    </row>
    <row r="3590">
      <c r="A3590" s="147"/>
      <c r="B3590" s="148"/>
      <c r="C3590" s="87"/>
      <c r="D3590" s="37"/>
      <c r="E3590" s="37"/>
      <c r="F3590" s="87"/>
    </row>
    <row r="3591">
      <c r="A3591" s="147"/>
      <c r="B3591" s="148"/>
      <c r="C3591" s="87"/>
      <c r="D3591" s="37"/>
      <c r="E3591" s="37"/>
      <c r="F3591" s="87"/>
    </row>
    <row r="3592">
      <c r="A3592" s="147"/>
      <c r="B3592" s="148"/>
      <c r="C3592" s="87"/>
      <c r="D3592" s="37"/>
      <c r="E3592" s="37"/>
      <c r="F3592" s="87"/>
    </row>
    <row r="3593">
      <c r="A3593" s="147"/>
      <c r="B3593" s="148"/>
      <c r="C3593" s="87"/>
      <c r="D3593" s="37"/>
      <c r="E3593" s="37"/>
      <c r="F3593" s="87"/>
    </row>
    <row r="3594">
      <c r="A3594" s="147"/>
      <c r="B3594" s="148"/>
      <c r="C3594" s="87"/>
      <c r="D3594" s="37"/>
      <c r="E3594" s="37"/>
      <c r="F3594" s="87"/>
    </row>
    <row r="3595">
      <c r="A3595" s="147"/>
      <c r="B3595" s="148"/>
      <c r="C3595" s="87"/>
      <c r="D3595" s="37"/>
      <c r="E3595" s="37"/>
      <c r="F3595" s="87"/>
    </row>
    <row r="3596">
      <c r="A3596" s="147"/>
      <c r="B3596" s="148"/>
      <c r="C3596" s="87"/>
      <c r="D3596" s="37"/>
      <c r="E3596" s="37"/>
      <c r="F3596" s="87"/>
    </row>
    <row r="3597">
      <c r="A3597" s="147"/>
      <c r="B3597" s="148"/>
      <c r="C3597" s="87"/>
      <c r="D3597" s="37"/>
      <c r="E3597" s="37"/>
      <c r="F3597" s="87"/>
    </row>
    <row r="3598">
      <c r="A3598" s="147"/>
      <c r="B3598" s="148"/>
      <c r="C3598" s="87"/>
      <c r="D3598" s="37"/>
      <c r="E3598" s="37"/>
      <c r="F3598" s="87"/>
    </row>
    <row r="3599">
      <c r="A3599" s="147"/>
      <c r="B3599" s="148"/>
      <c r="C3599" s="87"/>
      <c r="D3599" s="37"/>
      <c r="E3599" s="37"/>
      <c r="F3599" s="87"/>
    </row>
    <row r="3600">
      <c r="A3600" s="147"/>
      <c r="B3600" s="148"/>
      <c r="C3600" s="87"/>
      <c r="D3600" s="37"/>
      <c r="E3600" s="37"/>
      <c r="F3600" s="87"/>
    </row>
    <row r="3601">
      <c r="A3601" s="147"/>
      <c r="B3601" s="148"/>
      <c r="C3601" s="87"/>
      <c r="D3601" s="37"/>
      <c r="E3601" s="37"/>
      <c r="F3601" s="87"/>
    </row>
    <row r="3602">
      <c r="A3602" s="147"/>
      <c r="B3602" s="148"/>
      <c r="C3602" s="87"/>
      <c r="D3602" s="37"/>
      <c r="E3602" s="37"/>
      <c r="F3602" s="87"/>
    </row>
    <row r="3603">
      <c r="A3603" s="147"/>
      <c r="B3603" s="148"/>
      <c r="C3603" s="87"/>
      <c r="D3603" s="37"/>
      <c r="E3603" s="37"/>
      <c r="F3603" s="87"/>
    </row>
    <row r="3604">
      <c r="A3604" s="147"/>
      <c r="B3604" s="148"/>
      <c r="C3604" s="87"/>
      <c r="D3604" s="37"/>
      <c r="E3604" s="37"/>
      <c r="F3604" s="87"/>
    </row>
    <row r="3605">
      <c r="A3605" s="147"/>
      <c r="B3605" s="148"/>
      <c r="C3605" s="87"/>
      <c r="D3605" s="37"/>
      <c r="E3605" s="37"/>
      <c r="F3605" s="87"/>
    </row>
    <row r="3606">
      <c r="A3606" s="147"/>
      <c r="B3606" s="148"/>
      <c r="C3606" s="87"/>
      <c r="D3606" s="37"/>
      <c r="E3606" s="37"/>
      <c r="F3606" s="87"/>
    </row>
    <row r="3607">
      <c r="A3607" s="147"/>
      <c r="B3607" s="148"/>
      <c r="C3607" s="87"/>
      <c r="D3607" s="37"/>
      <c r="E3607" s="37"/>
      <c r="F3607" s="87"/>
    </row>
    <row r="3608">
      <c r="A3608" s="147"/>
      <c r="B3608" s="148"/>
      <c r="C3608" s="87"/>
      <c r="D3608" s="37"/>
      <c r="E3608" s="37"/>
      <c r="F3608" s="87"/>
    </row>
    <row r="3609">
      <c r="A3609" s="147"/>
      <c r="B3609" s="148"/>
      <c r="C3609" s="87"/>
      <c r="D3609" s="37"/>
      <c r="E3609" s="37"/>
      <c r="F3609" s="87"/>
    </row>
    <row r="3610">
      <c r="A3610" s="147"/>
      <c r="B3610" s="148"/>
      <c r="C3610" s="87"/>
      <c r="D3610" s="37"/>
      <c r="E3610" s="37"/>
      <c r="F3610" s="87"/>
    </row>
    <row r="3611">
      <c r="A3611" s="147"/>
      <c r="B3611" s="148"/>
      <c r="C3611" s="87"/>
      <c r="D3611" s="37"/>
      <c r="E3611" s="37"/>
      <c r="F3611" s="87"/>
    </row>
    <row r="3612">
      <c r="A3612" s="147"/>
      <c r="B3612" s="148"/>
      <c r="C3612" s="87"/>
      <c r="D3612" s="37"/>
      <c r="E3612" s="37"/>
      <c r="F3612" s="87"/>
    </row>
    <row r="3613">
      <c r="A3613" s="147"/>
      <c r="B3613" s="148"/>
      <c r="C3613" s="87"/>
      <c r="D3613" s="37"/>
      <c r="E3613" s="37"/>
      <c r="F3613" s="87"/>
    </row>
    <row r="3614">
      <c r="A3614" s="147"/>
      <c r="B3614" s="148"/>
      <c r="C3614" s="87"/>
      <c r="D3614" s="37"/>
      <c r="E3614" s="37"/>
      <c r="F3614" s="87"/>
    </row>
    <row r="3615">
      <c r="A3615" s="147"/>
      <c r="B3615" s="148"/>
      <c r="C3615" s="87"/>
      <c r="D3615" s="37"/>
      <c r="E3615" s="37"/>
      <c r="F3615" s="87"/>
    </row>
    <row r="3616">
      <c r="A3616" s="147"/>
      <c r="B3616" s="148"/>
      <c r="C3616" s="87"/>
      <c r="D3616" s="37"/>
      <c r="E3616" s="37"/>
      <c r="F3616" s="87"/>
    </row>
    <row r="3617">
      <c r="A3617" s="147"/>
      <c r="B3617" s="148"/>
      <c r="C3617" s="87"/>
      <c r="D3617" s="37"/>
      <c r="E3617" s="37"/>
      <c r="F3617" s="87"/>
    </row>
    <row r="3618">
      <c r="A3618" s="147"/>
      <c r="B3618" s="148"/>
      <c r="C3618" s="87"/>
      <c r="D3618" s="37"/>
      <c r="E3618" s="37"/>
      <c r="F3618" s="87"/>
    </row>
    <row r="3619">
      <c r="A3619" s="147"/>
      <c r="B3619" s="148"/>
      <c r="C3619" s="87"/>
      <c r="D3619" s="37"/>
      <c r="E3619" s="37"/>
      <c r="F3619" s="87"/>
    </row>
    <row r="3620">
      <c r="A3620" s="147"/>
      <c r="B3620" s="148"/>
      <c r="C3620" s="87"/>
      <c r="D3620" s="37"/>
      <c r="E3620" s="37"/>
      <c r="F3620" s="87"/>
    </row>
    <row r="3621">
      <c r="A3621" s="147"/>
      <c r="B3621" s="148"/>
      <c r="C3621" s="87"/>
      <c r="D3621" s="37"/>
      <c r="E3621" s="37"/>
      <c r="F3621" s="87"/>
    </row>
    <row r="3622">
      <c r="A3622" s="147"/>
      <c r="B3622" s="148"/>
      <c r="C3622" s="87"/>
      <c r="D3622" s="37"/>
      <c r="E3622" s="37"/>
      <c r="F3622" s="87"/>
    </row>
    <row r="3623">
      <c r="A3623" s="147"/>
      <c r="B3623" s="148"/>
      <c r="C3623" s="87"/>
      <c r="D3623" s="37"/>
      <c r="E3623" s="37"/>
      <c r="F3623" s="87"/>
    </row>
    <row r="3624">
      <c r="A3624" s="147"/>
      <c r="B3624" s="148"/>
      <c r="C3624" s="87"/>
      <c r="D3624" s="37"/>
      <c r="E3624" s="37"/>
      <c r="F3624" s="87"/>
    </row>
    <row r="3625">
      <c r="A3625" s="147"/>
      <c r="B3625" s="148"/>
      <c r="C3625" s="87"/>
      <c r="D3625" s="37"/>
      <c r="E3625" s="37"/>
      <c r="F3625" s="87"/>
    </row>
    <row r="3626">
      <c r="A3626" s="147"/>
      <c r="B3626" s="148"/>
      <c r="C3626" s="87"/>
      <c r="D3626" s="37"/>
      <c r="E3626" s="37"/>
      <c r="F3626" s="87"/>
    </row>
    <row r="3627">
      <c r="A3627" s="147"/>
      <c r="B3627" s="148"/>
      <c r="C3627" s="87"/>
      <c r="D3627" s="37"/>
      <c r="E3627" s="37"/>
      <c r="F3627" s="87"/>
    </row>
    <row r="3628">
      <c r="A3628" s="147"/>
      <c r="B3628" s="148"/>
      <c r="C3628" s="87"/>
      <c r="D3628" s="37"/>
      <c r="E3628" s="37"/>
      <c r="F3628" s="87"/>
    </row>
    <row r="3629">
      <c r="A3629" s="147"/>
      <c r="B3629" s="148"/>
      <c r="C3629" s="87"/>
      <c r="D3629" s="37"/>
      <c r="E3629" s="37"/>
      <c r="F3629" s="87"/>
    </row>
    <row r="3630">
      <c r="A3630" s="147"/>
      <c r="B3630" s="148"/>
      <c r="C3630" s="87"/>
      <c r="D3630" s="37"/>
      <c r="E3630" s="37"/>
      <c r="F3630" s="87"/>
    </row>
    <row r="3631">
      <c r="A3631" s="147"/>
      <c r="B3631" s="148"/>
      <c r="C3631" s="87"/>
      <c r="D3631" s="37"/>
      <c r="E3631" s="37"/>
      <c r="F3631" s="87"/>
    </row>
    <row r="3632">
      <c r="A3632" s="147"/>
      <c r="B3632" s="148"/>
      <c r="C3632" s="87"/>
      <c r="D3632" s="37"/>
      <c r="E3632" s="37"/>
      <c r="F3632" s="87"/>
    </row>
    <row r="3633">
      <c r="A3633" s="147"/>
      <c r="B3633" s="148"/>
      <c r="C3633" s="87"/>
      <c r="D3633" s="37"/>
      <c r="E3633" s="37"/>
      <c r="F3633" s="87"/>
    </row>
    <row r="3634">
      <c r="A3634" s="147"/>
      <c r="B3634" s="148"/>
      <c r="C3634" s="87"/>
      <c r="D3634" s="37"/>
      <c r="E3634" s="37"/>
      <c r="F3634" s="87"/>
    </row>
    <row r="3635">
      <c r="A3635" s="147"/>
      <c r="B3635" s="148"/>
      <c r="C3635" s="87"/>
      <c r="D3635" s="37"/>
      <c r="E3635" s="37"/>
      <c r="F3635" s="87"/>
    </row>
    <row r="3636">
      <c r="A3636" s="147"/>
      <c r="B3636" s="148"/>
      <c r="C3636" s="87"/>
      <c r="D3636" s="37"/>
      <c r="E3636" s="37"/>
      <c r="F3636" s="87"/>
    </row>
    <row r="3637">
      <c r="A3637" s="147"/>
      <c r="B3637" s="148"/>
      <c r="C3637" s="87"/>
      <c r="D3637" s="37"/>
      <c r="E3637" s="37"/>
      <c r="F3637" s="87"/>
    </row>
    <row r="3638">
      <c r="A3638" s="147"/>
      <c r="B3638" s="148"/>
      <c r="C3638" s="87"/>
      <c r="D3638" s="37"/>
      <c r="E3638" s="37"/>
      <c r="F3638" s="87"/>
    </row>
    <row r="3639">
      <c r="A3639" s="147"/>
      <c r="B3639" s="148"/>
      <c r="C3639" s="87"/>
      <c r="D3639" s="37"/>
      <c r="E3639" s="37"/>
      <c r="F3639" s="87"/>
    </row>
    <row r="3640">
      <c r="A3640" s="147"/>
      <c r="B3640" s="148"/>
      <c r="C3640" s="87"/>
      <c r="D3640" s="37"/>
      <c r="E3640" s="37"/>
      <c r="F3640" s="87"/>
    </row>
    <row r="3641">
      <c r="A3641" s="147"/>
      <c r="B3641" s="148"/>
      <c r="C3641" s="87"/>
      <c r="D3641" s="37"/>
      <c r="E3641" s="37"/>
      <c r="F3641" s="87"/>
    </row>
    <row r="3642">
      <c r="A3642" s="147"/>
      <c r="B3642" s="148"/>
      <c r="C3642" s="87"/>
      <c r="D3642" s="37"/>
      <c r="E3642" s="37"/>
      <c r="F3642" s="87"/>
    </row>
    <row r="3643">
      <c r="A3643" s="147"/>
      <c r="B3643" s="148"/>
      <c r="C3643" s="87"/>
      <c r="D3643" s="37"/>
      <c r="E3643" s="37"/>
      <c r="F3643" s="87"/>
    </row>
    <row r="3644">
      <c r="A3644" s="147"/>
      <c r="B3644" s="148"/>
      <c r="C3644" s="87"/>
      <c r="D3644" s="37"/>
      <c r="E3644" s="37"/>
      <c r="F3644" s="87"/>
    </row>
    <row r="3645">
      <c r="A3645" s="147"/>
      <c r="B3645" s="148"/>
      <c r="C3645" s="87"/>
      <c r="D3645" s="37"/>
      <c r="E3645" s="37"/>
      <c r="F3645" s="87"/>
    </row>
    <row r="3646">
      <c r="A3646" s="147"/>
      <c r="B3646" s="148"/>
      <c r="C3646" s="87"/>
      <c r="D3646" s="37"/>
      <c r="E3646" s="37"/>
      <c r="F3646" s="87"/>
    </row>
    <row r="3647">
      <c r="A3647" s="147"/>
      <c r="B3647" s="148"/>
      <c r="C3647" s="87"/>
      <c r="D3647" s="37"/>
      <c r="E3647" s="37"/>
      <c r="F3647" s="87"/>
    </row>
    <row r="3648">
      <c r="A3648" s="147"/>
      <c r="B3648" s="148"/>
      <c r="C3648" s="87"/>
      <c r="D3648" s="37"/>
      <c r="E3648" s="37"/>
      <c r="F3648" s="87"/>
    </row>
    <row r="3649">
      <c r="A3649" s="147"/>
      <c r="B3649" s="148"/>
      <c r="C3649" s="87"/>
      <c r="D3649" s="37"/>
      <c r="E3649" s="37"/>
      <c r="F3649" s="87"/>
    </row>
    <row r="3650">
      <c r="A3650" s="147"/>
      <c r="B3650" s="148"/>
      <c r="C3650" s="87"/>
      <c r="D3650" s="37"/>
      <c r="E3650" s="37"/>
      <c r="F3650" s="87"/>
    </row>
    <row r="3651">
      <c r="A3651" s="147"/>
      <c r="B3651" s="148"/>
      <c r="C3651" s="87"/>
      <c r="D3651" s="37"/>
      <c r="E3651" s="37"/>
      <c r="F3651" s="87"/>
    </row>
    <row r="3652">
      <c r="A3652" s="147"/>
      <c r="B3652" s="148"/>
      <c r="C3652" s="87"/>
      <c r="D3652" s="37"/>
      <c r="E3652" s="37"/>
      <c r="F3652" s="87"/>
    </row>
    <row r="3653">
      <c r="A3653" s="147"/>
      <c r="B3653" s="148"/>
      <c r="C3653" s="87"/>
      <c r="D3653" s="37"/>
      <c r="E3653" s="37"/>
      <c r="F3653" s="87"/>
    </row>
    <row r="3654">
      <c r="A3654" s="147"/>
      <c r="B3654" s="148"/>
      <c r="C3654" s="87"/>
      <c r="D3654" s="37"/>
      <c r="E3654" s="37"/>
      <c r="F3654" s="87"/>
    </row>
    <row r="3655">
      <c r="A3655" s="147"/>
      <c r="B3655" s="148"/>
      <c r="C3655" s="87"/>
      <c r="D3655" s="37"/>
      <c r="E3655" s="37"/>
      <c r="F3655" s="87"/>
    </row>
    <row r="3656">
      <c r="A3656" s="147"/>
      <c r="B3656" s="148"/>
      <c r="C3656" s="87"/>
      <c r="D3656" s="37"/>
      <c r="E3656" s="37"/>
      <c r="F3656" s="87"/>
    </row>
    <row r="3657">
      <c r="A3657" s="147"/>
      <c r="B3657" s="148"/>
      <c r="C3657" s="87"/>
      <c r="D3657" s="37"/>
      <c r="E3657" s="37"/>
      <c r="F3657" s="87"/>
    </row>
    <row r="3658">
      <c r="A3658" s="147"/>
      <c r="B3658" s="148"/>
      <c r="C3658" s="87"/>
      <c r="D3658" s="37"/>
      <c r="E3658" s="37"/>
      <c r="F3658" s="87"/>
    </row>
    <row r="3659">
      <c r="A3659" s="147"/>
      <c r="B3659" s="148"/>
      <c r="C3659" s="87"/>
      <c r="D3659" s="37"/>
      <c r="E3659" s="37"/>
      <c r="F3659" s="87"/>
    </row>
    <row r="3660">
      <c r="A3660" s="147"/>
      <c r="B3660" s="148"/>
      <c r="C3660" s="87"/>
      <c r="D3660" s="37"/>
      <c r="E3660" s="37"/>
      <c r="F3660" s="87"/>
    </row>
    <row r="3661">
      <c r="A3661" s="147"/>
      <c r="B3661" s="148"/>
      <c r="C3661" s="87"/>
      <c r="D3661" s="37"/>
      <c r="E3661" s="37"/>
      <c r="F3661" s="87"/>
    </row>
    <row r="3662">
      <c r="A3662" s="147"/>
      <c r="B3662" s="148"/>
      <c r="C3662" s="87"/>
      <c r="D3662" s="37"/>
      <c r="E3662" s="37"/>
      <c r="F3662" s="87"/>
    </row>
    <row r="3663">
      <c r="A3663" s="147"/>
      <c r="B3663" s="148"/>
      <c r="C3663" s="87"/>
      <c r="D3663" s="37"/>
      <c r="E3663" s="37"/>
      <c r="F3663" s="87"/>
    </row>
    <row r="3664">
      <c r="A3664" s="147"/>
      <c r="B3664" s="148"/>
      <c r="C3664" s="87"/>
      <c r="D3664" s="37"/>
      <c r="E3664" s="37"/>
      <c r="F3664" s="87"/>
    </row>
    <row r="3665">
      <c r="A3665" s="147"/>
      <c r="B3665" s="148"/>
      <c r="C3665" s="87"/>
      <c r="D3665" s="37"/>
      <c r="E3665" s="37"/>
      <c r="F3665" s="87"/>
    </row>
    <row r="3666">
      <c r="A3666" s="147"/>
      <c r="B3666" s="148"/>
      <c r="C3666" s="87"/>
      <c r="D3666" s="37"/>
      <c r="E3666" s="37"/>
      <c r="F3666" s="87"/>
    </row>
    <row r="3667">
      <c r="A3667" s="147"/>
      <c r="B3667" s="148"/>
      <c r="C3667" s="87"/>
      <c r="D3667" s="37"/>
      <c r="E3667" s="37"/>
      <c r="F3667" s="87"/>
    </row>
    <row r="3668">
      <c r="A3668" s="147"/>
      <c r="B3668" s="148"/>
      <c r="C3668" s="87"/>
      <c r="D3668" s="37"/>
      <c r="E3668" s="37"/>
      <c r="F3668" s="87"/>
    </row>
    <row r="3669">
      <c r="A3669" s="147"/>
      <c r="B3669" s="148"/>
      <c r="C3669" s="87"/>
      <c r="D3669" s="37"/>
      <c r="E3669" s="37"/>
      <c r="F3669" s="87"/>
    </row>
    <row r="3670">
      <c r="A3670" s="147"/>
      <c r="B3670" s="148"/>
      <c r="C3670" s="87"/>
      <c r="D3670" s="37"/>
      <c r="E3670" s="37"/>
      <c r="F3670" s="87"/>
    </row>
    <row r="3671">
      <c r="A3671" s="147"/>
      <c r="B3671" s="148"/>
      <c r="C3671" s="87"/>
      <c r="D3671" s="37"/>
      <c r="E3671" s="37"/>
      <c r="F3671" s="87"/>
    </row>
    <row r="3672">
      <c r="A3672" s="147"/>
      <c r="B3672" s="148"/>
      <c r="C3672" s="87"/>
      <c r="D3672" s="37"/>
      <c r="E3672" s="37"/>
      <c r="F3672" s="87"/>
    </row>
    <row r="3673">
      <c r="A3673" s="147"/>
      <c r="B3673" s="148"/>
      <c r="C3673" s="87"/>
      <c r="D3673" s="37"/>
      <c r="E3673" s="37"/>
      <c r="F3673" s="87"/>
    </row>
    <row r="3674">
      <c r="A3674" s="147"/>
      <c r="B3674" s="148"/>
      <c r="C3674" s="87"/>
      <c r="D3674" s="37"/>
      <c r="E3674" s="37"/>
      <c r="F3674" s="87"/>
    </row>
    <row r="3675">
      <c r="A3675" s="147"/>
      <c r="B3675" s="148"/>
      <c r="C3675" s="87"/>
      <c r="D3675" s="37"/>
      <c r="E3675" s="37"/>
      <c r="F3675" s="87"/>
    </row>
    <row r="3676">
      <c r="A3676" s="147"/>
      <c r="B3676" s="148"/>
      <c r="C3676" s="87"/>
      <c r="D3676" s="37"/>
      <c r="E3676" s="37"/>
      <c r="F3676" s="87"/>
    </row>
    <row r="3677">
      <c r="A3677" s="147"/>
      <c r="B3677" s="148"/>
      <c r="C3677" s="87"/>
      <c r="D3677" s="37"/>
      <c r="E3677" s="37"/>
      <c r="F3677" s="87"/>
    </row>
    <row r="3678">
      <c r="A3678" s="147"/>
      <c r="B3678" s="148"/>
      <c r="C3678" s="87"/>
      <c r="D3678" s="37"/>
      <c r="E3678" s="37"/>
      <c r="F3678" s="87"/>
    </row>
    <row r="3679">
      <c r="A3679" s="147"/>
      <c r="B3679" s="148"/>
      <c r="C3679" s="87"/>
      <c r="D3679" s="37"/>
      <c r="E3679" s="37"/>
      <c r="F3679" s="87"/>
    </row>
    <row r="3680">
      <c r="A3680" s="147"/>
      <c r="B3680" s="148"/>
      <c r="C3680" s="87"/>
      <c r="D3680" s="37"/>
      <c r="E3680" s="37"/>
      <c r="F3680" s="87"/>
    </row>
    <row r="3681">
      <c r="A3681" s="147"/>
      <c r="B3681" s="148"/>
      <c r="C3681" s="87"/>
      <c r="D3681" s="37"/>
      <c r="E3681" s="37"/>
      <c r="F3681" s="87"/>
    </row>
    <row r="3682">
      <c r="A3682" s="147"/>
      <c r="B3682" s="148"/>
      <c r="C3682" s="87"/>
      <c r="D3682" s="37"/>
      <c r="E3682" s="37"/>
      <c r="F3682" s="87"/>
    </row>
    <row r="3683">
      <c r="A3683" s="147"/>
      <c r="B3683" s="148"/>
      <c r="C3683" s="87"/>
      <c r="D3683" s="37"/>
      <c r="E3683" s="37"/>
      <c r="F3683" s="87"/>
    </row>
    <row r="3684">
      <c r="A3684" s="147"/>
      <c r="B3684" s="148"/>
      <c r="C3684" s="87"/>
      <c r="D3684" s="37"/>
      <c r="E3684" s="37"/>
      <c r="F3684" s="87"/>
    </row>
    <row r="3685">
      <c r="A3685" s="147"/>
      <c r="B3685" s="148"/>
      <c r="C3685" s="87"/>
      <c r="D3685" s="37"/>
      <c r="E3685" s="37"/>
      <c r="F3685" s="87"/>
    </row>
    <row r="3686">
      <c r="A3686" s="147"/>
      <c r="B3686" s="148"/>
      <c r="C3686" s="87"/>
      <c r="D3686" s="37"/>
      <c r="E3686" s="37"/>
      <c r="F3686" s="87"/>
    </row>
    <row r="3687">
      <c r="A3687" s="147"/>
      <c r="B3687" s="148"/>
      <c r="C3687" s="87"/>
      <c r="D3687" s="37"/>
      <c r="E3687" s="37"/>
      <c r="F3687" s="87"/>
    </row>
    <row r="3688">
      <c r="A3688" s="147"/>
      <c r="B3688" s="148"/>
      <c r="C3688" s="87"/>
      <c r="D3688" s="37"/>
      <c r="E3688" s="37"/>
      <c r="F3688" s="87"/>
    </row>
    <row r="3689">
      <c r="A3689" s="147"/>
      <c r="B3689" s="148"/>
      <c r="C3689" s="87"/>
      <c r="D3689" s="37"/>
      <c r="E3689" s="37"/>
      <c r="F3689" s="87"/>
    </row>
    <row r="3690">
      <c r="A3690" s="147"/>
      <c r="B3690" s="148"/>
      <c r="C3690" s="87"/>
      <c r="D3690" s="37"/>
      <c r="E3690" s="37"/>
      <c r="F3690" s="87"/>
    </row>
    <row r="3691">
      <c r="A3691" s="147"/>
      <c r="B3691" s="148"/>
      <c r="C3691" s="87"/>
      <c r="D3691" s="37"/>
      <c r="E3691" s="37"/>
      <c r="F3691" s="87"/>
    </row>
    <row r="3692">
      <c r="A3692" s="147"/>
      <c r="B3692" s="148"/>
      <c r="C3692" s="87"/>
      <c r="D3692" s="37"/>
      <c r="E3692" s="37"/>
      <c r="F3692" s="87"/>
    </row>
    <row r="3693">
      <c r="A3693" s="147"/>
      <c r="B3693" s="148"/>
      <c r="C3693" s="87"/>
      <c r="D3693" s="37"/>
      <c r="E3693" s="37"/>
      <c r="F3693" s="87"/>
    </row>
    <row r="3694">
      <c r="A3694" s="147"/>
      <c r="B3694" s="148"/>
      <c r="C3694" s="87"/>
      <c r="D3694" s="37"/>
      <c r="E3694" s="37"/>
      <c r="F3694" s="87"/>
    </row>
    <row r="3695">
      <c r="A3695" s="147"/>
      <c r="B3695" s="148"/>
      <c r="C3695" s="87"/>
      <c r="D3695" s="37"/>
      <c r="E3695" s="37"/>
      <c r="F3695" s="87"/>
    </row>
    <row r="3696">
      <c r="A3696" s="147"/>
      <c r="B3696" s="148"/>
      <c r="C3696" s="87"/>
      <c r="D3696" s="37"/>
      <c r="E3696" s="37"/>
      <c r="F3696" s="87"/>
    </row>
    <row r="3697">
      <c r="A3697" s="147"/>
      <c r="B3697" s="148"/>
      <c r="C3697" s="87"/>
      <c r="D3697" s="37"/>
      <c r="E3697" s="37"/>
      <c r="F3697" s="87"/>
    </row>
    <row r="3698">
      <c r="A3698" s="147"/>
      <c r="B3698" s="148"/>
      <c r="C3698" s="87"/>
      <c r="D3698" s="37"/>
      <c r="E3698" s="37"/>
      <c r="F3698" s="87"/>
    </row>
    <row r="3699">
      <c r="A3699" s="147"/>
      <c r="B3699" s="148"/>
      <c r="C3699" s="87"/>
      <c r="D3699" s="37"/>
      <c r="E3699" s="37"/>
      <c r="F3699" s="87"/>
    </row>
    <row r="3700">
      <c r="A3700" s="147"/>
      <c r="B3700" s="148"/>
      <c r="C3700" s="87"/>
      <c r="D3700" s="37"/>
      <c r="E3700" s="37"/>
      <c r="F3700" s="87"/>
    </row>
    <row r="3701">
      <c r="A3701" s="147"/>
      <c r="B3701" s="148"/>
      <c r="C3701" s="87"/>
      <c r="D3701" s="37"/>
      <c r="E3701" s="37"/>
      <c r="F3701" s="87"/>
    </row>
    <row r="3702">
      <c r="A3702" s="147"/>
      <c r="B3702" s="148"/>
      <c r="C3702" s="87"/>
      <c r="D3702" s="37"/>
      <c r="E3702" s="37"/>
      <c r="F3702" s="87"/>
    </row>
    <row r="3703">
      <c r="A3703" s="147"/>
      <c r="B3703" s="148"/>
      <c r="C3703" s="87"/>
      <c r="D3703" s="37"/>
      <c r="E3703" s="37"/>
      <c r="F3703" s="87"/>
    </row>
    <row r="3704">
      <c r="A3704" s="147"/>
      <c r="B3704" s="148"/>
      <c r="C3704" s="87"/>
      <c r="D3704" s="37"/>
      <c r="E3704" s="37"/>
      <c r="F3704" s="87"/>
    </row>
    <row r="3705">
      <c r="A3705" s="147"/>
      <c r="B3705" s="148"/>
      <c r="C3705" s="87"/>
      <c r="D3705" s="37"/>
      <c r="E3705" s="37"/>
      <c r="F3705" s="87"/>
    </row>
    <row r="3706">
      <c r="A3706" s="147"/>
      <c r="B3706" s="148"/>
      <c r="C3706" s="87"/>
      <c r="D3706" s="37"/>
      <c r="E3706" s="37"/>
      <c r="F3706" s="87"/>
    </row>
    <row r="3707">
      <c r="A3707" s="147"/>
      <c r="B3707" s="148"/>
      <c r="C3707" s="87"/>
      <c r="D3707" s="37"/>
      <c r="E3707" s="37"/>
      <c r="F3707" s="87"/>
    </row>
    <row r="3708">
      <c r="A3708" s="147"/>
      <c r="B3708" s="148"/>
      <c r="C3708" s="87"/>
      <c r="D3708" s="37"/>
      <c r="E3708" s="37"/>
      <c r="F3708" s="87"/>
    </row>
    <row r="3709">
      <c r="A3709" s="147"/>
      <c r="B3709" s="148"/>
      <c r="C3709" s="87"/>
      <c r="D3709" s="37"/>
      <c r="E3709" s="37"/>
      <c r="F3709" s="87"/>
    </row>
    <row r="3710">
      <c r="A3710" s="147"/>
      <c r="B3710" s="148"/>
      <c r="C3710" s="87"/>
      <c r="D3710" s="37"/>
      <c r="E3710" s="37"/>
      <c r="F3710" s="87"/>
    </row>
    <row r="3711">
      <c r="A3711" s="147"/>
      <c r="B3711" s="148"/>
      <c r="C3711" s="87"/>
      <c r="D3711" s="37"/>
      <c r="E3711" s="37"/>
      <c r="F3711" s="87"/>
    </row>
    <row r="3712">
      <c r="A3712" s="147"/>
      <c r="B3712" s="148"/>
      <c r="C3712" s="87"/>
      <c r="D3712" s="37"/>
      <c r="E3712" s="37"/>
      <c r="F3712" s="87"/>
    </row>
    <row r="3713">
      <c r="A3713" s="147"/>
      <c r="B3713" s="148"/>
      <c r="C3713" s="87"/>
      <c r="D3713" s="37"/>
      <c r="E3713" s="37"/>
      <c r="F3713" s="87"/>
    </row>
    <row r="3714">
      <c r="A3714" s="147"/>
      <c r="B3714" s="148"/>
      <c r="C3714" s="87"/>
      <c r="D3714" s="37"/>
      <c r="E3714" s="37"/>
      <c r="F3714" s="87"/>
    </row>
    <row r="3715">
      <c r="A3715" s="147"/>
      <c r="B3715" s="148"/>
      <c r="C3715" s="87"/>
      <c r="D3715" s="37"/>
      <c r="E3715" s="37"/>
      <c r="F3715" s="87"/>
    </row>
    <row r="3716">
      <c r="A3716" s="147"/>
      <c r="B3716" s="148"/>
      <c r="C3716" s="87"/>
      <c r="D3716" s="37"/>
      <c r="E3716" s="37"/>
      <c r="F3716" s="87"/>
    </row>
    <row r="3717">
      <c r="A3717" s="147"/>
      <c r="B3717" s="148"/>
      <c r="C3717" s="87"/>
      <c r="D3717" s="37"/>
      <c r="E3717" s="37"/>
      <c r="F3717" s="87"/>
    </row>
    <row r="3718">
      <c r="A3718" s="147"/>
      <c r="B3718" s="148"/>
      <c r="C3718" s="87"/>
      <c r="D3718" s="37"/>
      <c r="E3718" s="37"/>
      <c r="F3718" s="87"/>
    </row>
    <row r="3719">
      <c r="A3719" s="147"/>
      <c r="B3719" s="148"/>
      <c r="C3719" s="87"/>
      <c r="D3719" s="37"/>
      <c r="E3719" s="37"/>
      <c r="F3719" s="87"/>
    </row>
    <row r="3720">
      <c r="A3720" s="147"/>
      <c r="B3720" s="148"/>
      <c r="C3720" s="87"/>
      <c r="D3720" s="37"/>
      <c r="E3720" s="37"/>
      <c r="F3720" s="87"/>
    </row>
    <row r="3721">
      <c r="A3721" s="147"/>
      <c r="B3721" s="148"/>
      <c r="C3721" s="87"/>
      <c r="D3721" s="37"/>
      <c r="E3721" s="37"/>
      <c r="F3721" s="87"/>
    </row>
    <row r="3722">
      <c r="A3722" s="147"/>
      <c r="B3722" s="148"/>
      <c r="C3722" s="87"/>
      <c r="D3722" s="37"/>
      <c r="E3722" s="37"/>
      <c r="F3722" s="87"/>
    </row>
    <row r="3723">
      <c r="A3723" s="147"/>
      <c r="B3723" s="148"/>
      <c r="C3723" s="87"/>
      <c r="D3723" s="37"/>
      <c r="E3723" s="37"/>
      <c r="F3723" s="87"/>
    </row>
    <row r="3724">
      <c r="A3724" s="147"/>
      <c r="B3724" s="148"/>
      <c r="C3724" s="87"/>
      <c r="D3724" s="37"/>
      <c r="E3724" s="37"/>
      <c r="F3724" s="87"/>
    </row>
    <row r="3725">
      <c r="A3725" s="147"/>
      <c r="B3725" s="148"/>
      <c r="C3725" s="87"/>
      <c r="D3725" s="37"/>
      <c r="E3725" s="37"/>
      <c r="F3725" s="87"/>
    </row>
    <row r="3726">
      <c r="A3726" s="147"/>
      <c r="B3726" s="148"/>
      <c r="C3726" s="87"/>
      <c r="D3726" s="37"/>
      <c r="E3726" s="37"/>
      <c r="F3726" s="87"/>
    </row>
    <row r="3727">
      <c r="A3727" s="147"/>
      <c r="B3727" s="148"/>
      <c r="C3727" s="87"/>
      <c r="D3727" s="37"/>
      <c r="E3727" s="37"/>
      <c r="F3727" s="87"/>
    </row>
    <row r="3728">
      <c r="A3728" s="147"/>
      <c r="B3728" s="148"/>
      <c r="C3728" s="87"/>
      <c r="D3728" s="37"/>
      <c r="E3728" s="37"/>
      <c r="F3728" s="87"/>
    </row>
    <row r="3729">
      <c r="A3729" s="147"/>
      <c r="B3729" s="148"/>
      <c r="C3729" s="87"/>
      <c r="D3729" s="37"/>
      <c r="E3729" s="37"/>
      <c r="F3729" s="87"/>
    </row>
    <row r="3730">
      <c r="A3730" s="147"/>
      <c r="B3730" s="148"/>
      <c r="C3730" s="87"/>
      <c r="D3730" s="37"/>
      <c r="E3730" s="37"/>
      <c r="F3730" s="87"/>
    </row>
    <row r="3731">
      <c r="A3731" s="147"/>
      <c r="B3731" s="148"/>
      <c r="C3731" s="87"/>
      <c r="D3731" s="37"/>
      <c r="E3731" s="37"/>
      <c r="F3731" s="87"/>
    </row>
    <row r="3732">
      <c r="A3732" s="147"/>
      <c r="B3732" s="148"/>
      <c r="C3732" s="87"/>
      <c r="D3732" s="37"/>
      <c r="E3732" s="37"/>
      <c r="F3732" s="87"/>
    </row>
    <row r="3733">
      <c r="A3733" s="147"/>
      <c r="B3733" s="148"/>
      <c r="C3733" s="87"/>
      <c r="D3733" s="37"/>
      <c r="E3733" s="37"/>
      <c r="F3733" s="87"/>
    </row>
    <row r="3734">
      <c r="A3734" s="147"/>
      <c r="B3734" s="148"/>
      <c r="C3734" s="87"/>
      <c r="D3734" s="37"/>
      <c r="E3734" s="37"/>
      <c r="F3734" s="87"/>
    </row>
    <row r="3735">
      <c r="A3735" s="147"/>
      <c r="B3735" s="148"/>
      <c r="C3735" s="87"/>
      <c r="D3735" s="37"/>
      <c r="E3735" s="37"/>
      <c r="F3735" s="87"/>
    </row>
    <row r="3736">
      <c r="A3736" s="147"/>
      <c r="B3736" s="148"/>
      <c r="C3736" s="87"/>
      <c r="D3736" s="37"/>
      <c r="E3736" s="37"/>
      <c r="F3736" s="87"/>
    </row>
    <row r="3737">
      <c r="A3737" s="147"/>
      <c r="B3737" s="148"/>
      <c r="C3737" s="87"/>
      <c r="D3737" s="37"/>
      <c r="E3737" s="37"/>
      <c r="F3737" s="87"/>
    </row>
    <row r="3738">
      <c r="A3738" s="147"/>
      <c r="B3738" s="148"/>
      <c r="C3738" s="87"/>
      <c r="D3738" s="37"/>
      <c r="E3738" s="37"/>
      <c r="F3738" s="87"/>
    </row>
    <row r="3739">
      <c r="A3739" s="147"/>
      <c r="B3739" s="148"/>
      <c r="C3739" s="87"/>
      <c r="D3739" s="37"/>
      <c r="E3739" s="37"/>
      <c r="F3739" s="87"/>
    </row>
    <row r="3740">
      <c r="A3740" s="147"/>
      <c r="B3740" s="148"/>
      <c r="C3740" s="87"/>
      <c r="D3740" s="37"/>
      <c r="E3740" s="37"/>
      <c r="F3740" s="87"/>
    </row>
    <row r="3741">
      <c r="A3741" s="147"/>
      <c r="B3741" s="148"/>
      <c r="C3741" s="87"/>
      <c r="D3741" s="37"/>
      <c r="E3741" s="37"/>
      <c r="F3741" s="87"/>
    </row>
    <row r="3742">
      <c r="A3742" s="147"/>
      <c r="B3742" s="148"/>
      <c r="C3742" s="87"/>
      <c r="D3742" s="37"/>
      <c r="E3742" s="37"/>
      <c r="F3742" s="87"/>
    </row>
    <row r="3743">
      <c r="A3743" s="147"/>
      <c r="B3743" s="148"/>
      <c r="C3743" s="87"/>
      <c r="D3743" s="37"/>
      <c r="E3743" s="37"/>
      <c r="F3743" s="87"/>
    </row>
    <row r="3744">
      <c r="A3744" s="147"/>
      <c r="B3744" s="148"/>
      <c r="C3744" s="87"/>
      <c r="D3744" s="37"/>
      <c r="E3744" s="37"/>
      <c r="F3744" s="87"/>
    </row>
    <row r="3745">
      <c r="A3745" s="147"/>
      <c r="B3745" s="148"/>
      <c r="C3745" s="87"/>
      <c r="D3745" s="37"/>
      <c r="E3745" s="37"/>
      <c r="F3745" s="87"/>
    </row>
    <row r="3746">
      <c r="A3746" s="147"/>
      <c r="B3746" s="148"/>
      <c r="C3746" s="87"/>
      <c r="D3746" s="37"/>
      <c r="E3746" s="37"/>
      <c r="F3746" s="87"/>
    </row>
    <row r="3747">
      <c r="A3747" s="147"/>
      <c r="B3747" s="148"/>
      <c r="C3747" s="87"/>
      <c r="D3747" s="37"/>
      <c r="E3747" s="37"/>
      <c r="F3747" s="87"/>
    </row>
    <row r="3748">
      <c r="A3748" s="147"/>
      <c r="B3748" s="148"/>
      <c r="C3748" s="87"/>
      <c r="D3748" s="37"/>
      <c r="E3748" s="37"/>
      <c r="F3748" s="87"/>
    </row>
    <row r="3749">
      <c r="A3749" s="147"/>
      <c r="B3749" s="148"/>
      <c r="C3749" s="87"/>
      <c r="D3749" s="37"/>
      <c r="E3749" s="37"/>
      <c r="F3749" s="87"/>
    </row>
    <row r="3750">
      <c r="A3750" s="147"/>
      <c r="B3750" s="148"/>
      <c r="C3750" s="87"/>
      <c r="D3750" s="37"/>
      <c r="E3750" s="37"/>
      <c r="F3750" s="87"/>
    </row>
    <row r="3751">
      <c r="A3751" s="147"/>
      <c r="B3751" s="148"/>
      <c r="C3751" s="87"/>
      <c r="D3751" s="37"/>
      <c r="E3751" s="37"/>
      <c r="F3751" s="87"/>
    </row>
    <row r="3752">
      <c r="A3752" s="147"/>
      <c r="B3752" s="148"/>
      <c r="C3752" s="87"/>
      <c r="D3752" s="37"/>
      <c r="E3752" s="37"/>
      <c r="F3752" s="87"/>
    </row>
    <row r="3753">
      <c r="A3753" s="147"/>
      <c r="B3753" s="148"/>
      <c r="C3753" s="87"/>
      <c r="D3753" s="37"/>
      <c r="E3753" s="37"/>
      <c r="F3753" s="87"/>
    </row>
    <row r="3754">
      <c r="A3754" s="147"/>
      <c r="B3754" s="148"/>
      <c r="C3754" s="87"/>
      <c r="D3754" s="37"/>
      <c r="E3754" s="37"/>
      <c r="F3754" s="87"/>
    </row>
    <row r="3755">
      <c r="A3755" s="147"/>
      <c r="B3755" s="148"/>
      <c r="C3755" s="87"/>
      <c r="D3755" s="37"/>
      <c r="E3755" s="37"/>
      <c r="F3755" s="87"/>
    </row>
    <row r="3756">
      <c r="A3756" s="147"/>
      <c r="B3756" s="148"/>
      <c r="C3756" s="87"/>
      <c r="D3756" s="37"/>
      <c r="E3756" s="37"/>
      <c r="F3756" s="87"/>
    </row>
    <row r="3757">
      <c r="A3757" s="147"/>
      <c r="B3757" s="148"/>
      <c r="C3757" s="87"/>
      <c r="D3757" s="37"/>
      <c r="E3757" s="37"/>
      <c r="F3757" s="87"/>
    </row>
    <row r="3758">
      <c r="A3758" s="147"/>
      <c r="B3758" s="148"/>
      <c r="C3758" s="87"/>
      <c r="D3758" s="37"/>
      <c r="E3758" s="37"/>
      <c r="F3758" s="87"/>
    </row>
    <row r="3759">
      <c r="A3759" s="147"/>
      <c r="B3759" s="148"/>
      <c r="C3759" s="87"/>
      <c r="D3759" s="37"/>
      <c r="E3759" s="37"/>
      <c r="F3759" s="87"/>
    </row>
    <row r="3760">
      <c r="A3760" s="147"/>
      <c r="B3760" s="148"/>
      <c r="C3760" s="87"/>
      <c r="D3760" s="37"/>
      <c r="E3760" s="37"/>
      <c r="F3760" s="87"/>
    </row>
    <row r="3761">
      <c r="A3761" s="147"/>
      <c r="B3761" s="148"/>
      <c r="C3761" s="87"/>
      <c r="D3761" s="37"/>
      <c r="E3761" s="37"/>
      <c r="F3761" s="87"/>
    </row>
    <row r="3762">
      <c r="A3762" s="147"/>
      <c r="B3762" s="148"/>
      <c r="C3762" s="87"/>
      <c r="D3762" s="37"/>
      <c r="E3762" s="37"/>
      <c r="F3762" s="87"/>
    </row>
    <row r="3763">
      <c r="A3763" s="147"/>
      <c r="B3763" s="148"/>
      <c r="C3763" s="87"/>
      <c r="D3763" s="37"/>
      <c r="E3763" s="37"/>
      <c r="F3763" s="87"/>
    </row>
    <row r="3764">
      <c r="A3764" s="147"/>
      <c r="B3764" s="148"/>
      <c r="C3764" s="87"/>
      <c r="D3764" s="37"/>
      <c r="E3764" s="37"/>
      <c r="F3764" s="87"/>
    </row>
    <row r="3765">
      <c r="A3765" s="147"/>
      <c r="B3765" s="148"/>
      <c r="C3765" s="87"/>
      <c r="D3765" s="37"/>
      <c r="E3765" s="37"/>
      <c r="F3765" s="87"/>
    </row>
    <row r="3766">
      <c r="A3766" s="147"/>
      <c r="B3766" s="148"/>
      <c r="C3766" s="87"/>
      <c r="D3766" s="37"/>
      <c r="E3766" s="37"/>
      <c r="F3766" s="87"/>
    </row>
    <row r="3767">
      <c r="A3767" s="147"/>
      <c r="B3767" s="148"/>
      <c r="C3767" s="87"/>
      <c r="D3767" s="37"/>
      <c r="E3767" s="37"/>
      <c r="F3767" s="87"/>
    </row>
    <row r="3768">
      <c r="A3768" s="147"/>
      <c r="B3768" s="148"/>
      <c r="C3768" s="87"/>
      <c r="D3768" s="37"/>
      <c r="E3768" s="37"/>
      <c r="F3768" s="87"/>
    </row>
    <row r="3769">
      <c r="A3769" s="147"/>
      <c r="B3769" s="148"/>
      <c r="C3769" s="87"/>
      <c r="D3769" s="37"/>
      <c r="E3769" s="37"/>
      <c r="F3769" s="87"/>
    </row>
    <row r="3770">
      <c r="A3770" s="147"/>
      <c r="B3770" s="148"/>
      <c r="C3770" s="87"/>
      <c r="D3770" s="37"/>
      <c r="E3770" s="37"/>
      <c r="F3770" s="87"/>
    </row>
    <row r="3771">
      <c r="A3771" s="147"/>
      <c r="B3771" s="148"/>
      <c r="C3771" s="87"/>
      <c r="D3771" s="37"/>
      <c r="E3771" s="37"/>
      <c r="F3771" s="87"/>
    </row>
    <row r="3772">
      <c r="A3772" s="147"/>
      <c r="B3772" s="148"/>
      <c r="C3772" s="87"/>
      <c r="D3772" s="37"/>
      <c r="E3772" s="37"/>
      <c r="F3772" s="87"/>
    </row>
    <row r="3773">
      <c r="A3773" s="147"/>
      <c r="B3773" s="148"/>
      <c r="C3773" s="87"/>
      <c r="D3773" s="37"/>
      <c r="E3773" s="37"/>
      <c r="F3773" s="87"/>
    </row>
    <row r="3774">
      <c r="A3774" s="147"/>
      <c r="B3774" s="148"/>
      <c r="C3774" s="87"/>
      <c r="D3774" s="37"/>
      <c r="E3774" s="37"/>
      <c r="F3774" s="87"/>
    </row>
    <row r="3775">
      <c r="A3775" s="147"/>
      <c r="B3775" s="148"/>
      <c r="C3775" s="87"/>
      <c r="D3775" s="37"/>
      <c r="E3775" s="37"/>
      <c r="F3775" s="87"/>
    </row>
    <row r="3776">
      <c r="A3776" s="147"/>
      <c r="B3776" s="148"/>
      <c r="C3776" s="87"/>
      <c r="D3776" s="37"/>
      <c r="E3776" s="37"/>
      <c r="F3776" s="87"/>
    </row>
    <row r="3777">
      <c r="A3777" s="147"/>
      <c r="B3777" s="148"/>
      <c r="C3777" s="87"/>
      <c r="D3777" s="37"/>
      <c r="E3777" s="37"/>
      <c r="F3777" s="87"/>
    </row>
    <row r="3778">
      <c r="A3778" s="147"/>
      <c r="B3778" s="148"/>
      <c r="C3778" s="87"/>
      <c r="D3778" s="37"/>
      <c r="E3778" s="37"/>
      <c r="F3778" s="87"/>
    </row>
    <row r="3779">
      <c r="A3779" s="147"/>
      <c r="B3779" s="148"/>
      <c r="C3779" s="87"/>
      <c r="D3779" s="37"/>
      <c r="E3779" s="37"/>
      <c r="F3779" s="87"/>
    </row>
    <row r="3780">
      <c r="A3780" s="147"/>
      <c r="B3780" s="148"/>
      <c r="C3780" s="87"/>
      <c r="D3780" s="37"/>
      <c r="E3780" s="37"/>
      <c r="F3780" s="87"/>
    </row>
    <row r="3781">
      <c r="A3781" s="147"/>
      <c r="B3781" s="148"/>
      <c r="C3781" s="87"/>
      <c r="D3781" s="37"/>
      <c r="E3781" s="37"/>
      <c r="F3781" s="87"/>
    </row>
    <row r="3782">
      <c r="A3782" s="147"/>
      <c r="B3782" s="148"/>
      <c r="C3782" s="87"/>
      <c r="D3782" s="37"/>
      <c r="E3782" s="37"/>
      <c r="F3782" s="87"/>
    </row>
    <row r="3783">
      <c r="A3783" s="147"/>
      <c r="B3783" s="148"/>
      <c r="C3783" s="87"/>
      <c r="D3783" s="37"/>
      <c r="E3783" s="37"/>
      <c r="F3783" s="87"/>
    </row>
    <row r="3784">
      <c r="A3784" s="147"/>
      <c r="B3784" s="148"/>
      <c r="C3784" s="87"/>
      <c r="D3784" s="37"/>
      <c r="E3784" s="37"/>
      <c r="F3784" s="87"/>
    </row>
    <row r="3785">
      <c r="A3785" s="147"/>
      <c r="B3785" s="148"/>
      <c r="C3785" s="87"/>
      <c r="D3785" s="37"/>
      <c r="E3785" s="37"/>
      <c r="F3785" s="87"/>
    </row>
    <row r="3786">
      <c r="A3786" s="147"/>
      <c r="B3786" s="148"/>
      <c r="C3786" s="87"/>
      <c r="D3786" s="37"/>
      <c r="E3786" s="37"/>
      <c r="F3786" s="87"/>
    </row>
    <row r="3787">
      <c r="A3787" s="147"/>
      <c r="B3787" s="148"/>
      <c r="C3787" s="87"/>
      <c r="D3787" s="37"/>
      <c r="E3787" s="37"/>
      <c r="F3787" s="87"/>
    </row>
    <row r="3788">
      <c r="A3788" s="147"/>
      <c r="B3788" s="148"/>
      <c r="C3788" s="87"/>
      <c r="D3788" s="37"/>
      <c r="E3788" s="37"/>
      <c r="F3788" s="87"/>
    </row>
    <row r="3789">
      <c r="A3789" s="147"/>
      <c r="B3789" s="148"/>
      <c r="C3789" s="87"/>
      <c r="D3789" s="37"/>
      <c r="E3789" s="37"/>
      <c r="F3789" s="87"/>
    </row>
    <row r="3790">
      <c r="A3790" s="147"/>
      <c r="B3790" s="148"/>
      <c r="C3790" s="87"/>
      <c r="D3790" s="37"/>
      <c r="E3790" s="37"/>
      <c r="F3790" s="87"/>
    </row>
    <row r="3791">
      <c r="A3791" s="147"/>
      <c r="B3791" s="148"/>
      <c r="C3791" s="87"/>
      <c r="D3791" s="37"/>
      <c r="E3791" s="37"/>
      <c r="F3791" s="87"/>
    </row>
    <row r="3792">
      <c r="A3792" s="147"/>
      <c r="B3792" s="148"/>
      <c r="C3792" s="87"/>
      <c r="D3792" s="37"/>
      <c r="E3792" s="37"/>
      <c r="F3792" s="87"/>
    </row>
    <row r="3793">
      <c r="A3793" s="147"/>
      <c r="B3793" s="148"/>
      <c r="C3793" s="87"/>
      <c r="D3793" s="37"/>
      <c r="E3793" s="37"/>
      <c r="F3793" s="87"/>
    </row>
    <row r="3794">
      <c r="A3794" s="147"/>
      <c r="B3794" s="148"/>
      <c r="C3794" s="87"/>
      <c r="D3794" s="37"/>
      <c r="E3794" s="37"/>
      <c r="F3794" s="87"/>
    </row>
    <row r="3795">
      <c r="A3795" s="147"/>
      <c r="B3795" s="148"/>
      <c r="C3795" s="87"/>
      <c r="D3795" s="37"/>
      <c r="E3795" s="37"/>
      <c r="F3795" s="87"/>
    </row>
    <row r="3796">
      <c r="A3796" s="147"/>
      <c r="B3796" s="148"/>
      <c r="C3796" s="87"/>
      <c r="D3796" s="37"/>
      <c r="E3796" s="37"/>
      <c r="F3796" s="87"/>
    </row>
    <row r="3797">
      <c r="A3797" s="147"/>
      <c r="B3797" s="148"/>
      <c r="C3797" s="87"/>
      <c r="D3797" s="37"/>
      <c r="E3797" s="37"/>
      <c r="F3797" s="87"/>
    </row>
    <row r="3798">
      <c r="A3798" s="147"/>
      <c r="B3798" s="148"/>
      <c r="C3798" s="87"/>
      <c r="D3798" s="37"/>
      <c r="E3798" s="37"/>
      <c r="F3798" s="87"/>
    </row>
    <row r="3799">
      <c r="A3799" s="147"/>
      <c r="B3799" s="148"/>
      <c r="C3799" s="87"/>
      <c r="D3799" s="37"/>
      <c r="E3799" s="37"/>
      <c r="F3799" s="87"/>
    </row>
    <row r="3800">
      <c r="A3800" s="147"/>
      <c r="B3800" s="148"/>
      <c r="C3800" s="87"/>
      <c r="D3800" s="37"/>
      <c r="E3800" s="37"/>
      <c r="F3800" s="87"/>
    </row>
    <row r="3801">
      <c r="A3801" s="147"/>
      <c r="B3801" s="148"/>
      <c r="C3801" s="87"/>
      <c r="D3801" s="37"/>
      <c r="E3801" s="37"/>
      <c r="F3801" s="87"/>
    </row>
    <row r="3802">
      <c r="A3802" s="147"/>
      <c r="B3802" s="148"/>
      <c r="C3802" s="87"/>
      <c r="D3802" s="37"/>
      <c r="E3802" s="37"/>
      <c r="F3802" s="87"/>
    </row>
    <row r="3803">
      <c r="A3803" s="147"/>
      <c r="B3803" s="148"/>
      <c r="C3803" s="87"/>
      <c r="D3803" s="37"/>
      <c r="E3803" s="37"/>
      <c r="F3803" s="87"/>
    </row>
    <row r="3804">
      <c r="A3804" s="147"/>
      <c r="B3804" s="148"/>
      <c r="C3804" s="87"/>
      <c r="D3804" s="37"/>
      <c r="E3804" s="37"/>
      <c r="F3804" s="87"/>
    </row>
    <row r="3805">
      <c r="A3805" s="147"/>
      <c r="B3805" s="148"/>
      <c r="C3805" s="87"/>
      <c r="D3805" s="37"/>
      <c r="E3805" s="37"/>
      <c r="F3805" s="87"/>
    </row>
    <row r="3806">
      <c r="A3806" s="147"/>
      <c r="B3806" s="148"/>
      <c r="C3806" s="87"/>
      <c r="D3806" s="37"/>
      <c r="E3806" s="37"/>
      <c r="F3806" s="87"/>
    </row>
    <row r="3807">
      <c r="A3807" s="147"/>
      <c r="B3807" s="148"/>
      <c r="C3807" s="87"/>
      <c r="D3807" s="37"/>
      <c r="E3807" s="37"/>
      <c r="F3807" s="87"/>
    </row>
    <row r="3808">
      <c r="A3808" s="147"/>
      <c r="B3808" s="148"/>
      <c r="C3808" s="87"/>
      <c r="D3808" s="37"/>
      <c r="E3808" s="37"/>
      <c r="F3808" s="87"/>
    </row>
    <row r="3809">
      <c r="A3809" s="147"/>
      <c r="B3809" s="148"/>
      <c r="C3809" s="87"/>
      <c r="D3809" s="37"/>
      <c r="E3809" s="37"/>
      <c r="F3809" s="87"/>
    </row>
    <row r="3810">
      <c r="A3810" s="147"/>
      <c r="B3810" s="148"/>
      <c r="C3810" s="87"/>
      <c r="D3810" s="37"/>
      <c r="E3810" s="37"/>
      <c r="F3810" s="87"/>
    </row>
    <row r="3811">
      <c r="A3811" s="147"/>
      <c r="B3811" s="148"/>
      <c r="C3811" s="87"/>
      <c r="D3811" s="37"/>
      <c r="E3811" s="37"/>
      <c r="F3811" s="87"/>
    </row>
    <row r="3812">
      <c r="A3812" s="147"/>
      <c r="B3812" s="148"/>
      <c r="C3812" s="87"/>
      <c r="D3812" s="37"/>
      <c r="E3812" s="37"/>
      <c r="F3812" s="87"/>
    </row>
    <row r="3813">
      <c r="A3813" s="147"/>
      <c r="B3813" s="148"/>
      <c r="C3813" s="87"/>
      <c r="D3813" s="37"/>
      <c r="E3813" s="37"/>
      <c r="F3813" s="87"/>
    </row>
    <row r="3814">
      <c r="A3814" s="147"/>
      <c r="B3814" s="148"/>
      <c r="C3814" s="87"/>
      <c r="D3814" s="37"/>
      <c r="E3814" s="37"/>
      <c r="F3814" s="87"/>
    </row>
    <row r="3815">
      <c r="A3815" s="147"/>
      <c r="B3815" s="148"/>
      <c r="C3815" s="87"/>
      <c r="D3815" s="37"/>
      <c r="E3815" s="37"/>
      <c r="F3815" s="87"/>
    </row>
    <row r="3816">
      <c r="A3816" s="147"/>
      <c r="B3816" s="148"/>
      <c r="C3816" s="87"/>
      <c r="D3816" s="37"/>
      <c r="E3816" s="37"/>
      <c r="F3816" s="87"/>
    </row>
    <row r="3817">
      <c r="A3817" s="147"/>
      <c r="B3817" s="148"/>
      <c r="C3817" s="87"/>
      <c r="D3817" s="37"/>
      <c r="E3817" s="37"/>
      <c r="F3817" s="87"/>
    </row>
    <row r="3818">
      <c r="A3818" s="147"/>
      <c r="B3818" s="148"/>
      <c r="C3818" s="87"/>
      <c r="D3818" s="37"/>
      <c r="E3818" s="37"/>
      <c r="F3818" s="87"/>
    </row>
    <row r="3819">
      <c r="A3819" s="147"/>
      <c r="B3819" s="148"/>
      <c r="C3819" s="87"/>
      <c r="D3819" s="37"/>
      <c r="E3819" s="37"/>
      <c r="F3819" s="87"/>
    </row>
    <row r="3820">
      <c r="A3820" s="147"/>
      <c r="B3820" s="148"/>
      <c r="C3820" s="87"/>
      <c r="D3820" s="37"/>
      <c r="E3820" s="37"/>
      <c r="F3820" s="87"/>
    </row>
    <row r="3821">
      <c r="A3821" s="147"/>
      <c r="B3821" s="148"/>
      <c r="C3821" s="87"/>
      <c r="D3821" s="37"/>
      <c r="E3821" s="37"/>
      <c r="F3821" s="87"/>
    </row>
    <row r="3822">
      <c r="A3822" s="147"/>
      <c r="B3822" s="148"/>
      <c r="C3822" s="87"/>
      <c r="D3822" s="37"/>
      <c r="E3822" s="37"/>
      <c r="F3822" s="87"/>
    </row>
    <row r="3823">
      <c r="A3823" s="147"/>
      <c r="B3823" s="148"/>
      <c r="C3823" s="87"/>
      <c r="D3823" s="37"/>
      <c r="E3823" s="37"/>
      <c r="F3823" s="87"/>
    </row>
    <row r="3824">
      <c r="A3824" s="147"/>
      <c r="B3824" s="148"/>
      <c r="C3824" s="87"/>
      <c r="D3824" s="37"/>
      <c r="E3824" s="37"/>
      <c r="F3824" s="87"/>
    </row>
    <row r="3825">
      <c r="A3825" s="147"/>
      <c r="B3825" s="148"/>
      <c r="C3825" s="87"/>
      <c r="D3825" s="37"/>
      <c r="E3825" s="37"/>
      <c r="F3825" s="87"/>
    </row>
    <row r="3826">
      <c r="A3826" s="147"/>
      <c r="B3826" s="148"/>
      <c r="C3826" s="87"/>
      <c r="D3826" s="37"/>
      <c r="E3826" s="37"/>
      <c r="F3826" s="87"/>
    </row>
    <row r="3827">
      <c r="A3827" s="147"/>
      <c r="B3827" s="148"/>
      <c r="C3827" s="87"/>
      <c r="D3827" s="37"/>
      <c r="E3827" s="37"/>
      <c r="F3827" s="87"/>
    </row>
    <row r="3828">
      <c r="A3828" s="147"/>
      <c r="B3828" s="148"/>
      <c r="C3828" s="87"/>
      <c r="D3828" s="37"/>
      <c r="E3828" s="37"/>
      <c r="F3828" s="87"/>
    </row>
    <row r="3829">
      <c r="A3829" s="147"/>
      <c r="B3829" s="148"/>
      <c r="C3829" s="87"/>
      <c r="D3829" s="37"/>
      <c r="E3829" s="37"/>
      <c r="F3829" s="87"/>
    </row>
    <row r="3830">
      <c r="A3830" s="147"/>
      <c r="B3830" s="148"/>
      <c r="C3830" s="87"/>
      <c r="D3830" s="37"/>
      <c r="E3830" s="37"/>
      <c r="F3830" s="87"/>
    </row>
    <row r="3831">
      <c r="A3831" s="147"/>
      <c r="B3831" s="148"/>
      <c r="C3831" s="87"/>
      <c r="D3831" s="37"/>
      <c r="E3831" s="37"/>
      <c r="F3831" s="87"/>
    </row>
    <row r="3832">
      <c r="A3832" s="147"/>
      <c r="B3832" s="148"/>
      <c r="C3832" s="87"/>
      <c r="D3832" s="37"/>
      <c r="E3832" s="37"/>
      <c r="F3832" s="87"/>
    </row>
    <row r="3833">
      <c r="A3833" s="147"/>
      <c r="B3833" s="148"/>
      <c r="C3833" s="87"/>
      <c r="D3833" s="37"/>
      <c r="E3833" s="37"/>
      <c r="F3833" s="87"/>
    </row>
    <row r="3834">
      <c r="A3834" s="147"/>
      <c r="B3834" s="148"/>
      <c r="C3834" s="87"/>
      <c r="D3834" s="37"/>
      <c r="E3834" s="37"/>
      <c r="F3834" s="87"/>
    </row>
    <row r="3835">
      <c r="A3835" s="147"/>
      <c r="B3835" s="148"/>
      <c r="C3835" s="87"/>
      <c r="D3835" s="37"/>
      <c r="E3835" s="37"/>
      <c r="F3835" s="87"/>
    </row>
    <row r="3836">
      <c r="A3836" s="147"/>
      <c r="B3836" s="148"/>
      <c r="C3836" s="87"/>
      <c r="D3836" s="37"/>
      <c r="E3836" s="37"/>
      <c r="F3836" s="87"/>
    </row>
    <row r="3837">
      <c r="A3837" s="147"/>
      <c r="B3837" s="148"/>
      <c r="C3837" s="87"/>
      <c r="D3837" s="37"/>
      <c r="E3837" s="37"/>
      <c r="F3837" s="87"/>
    </row>
    <row r="3838">
      <c r="A3838" s="147"/>
      <c r="B3838" s="148"/>
      <c r="C3838" s="87"/>
      <c r="D3838" s="37"/>
      <c r="E3838" s="37"/>
      <c r="F3838" s="87"/>
    </row>
    <row r="3839">
      <c r="A3839" s="147"/>
      <c r="B3839" s="148"/>
      <c r="C3839" s="87"/>
      <c r="D3839" s="37"/>
      <c r="E3839" s="37"/>
      <c r="F3839" s="87"/>
    </row>
    <row r="3840">
      <c r="A3840" s="147"/>
      <c r="B3840" s="148"/>
      <c r="C3840" s="87"/>
      <c r="D3840" s="37"/>
      <c r="E3840" s="37"/>
      <c r="F3840" s="87"/>
    </row>
    <row r="3841">
      <c r="A3841" s="147"/>
      <c r="B3841" s="148"/>
      <c r="C3841" s="87"/>
      <c r="D3841" s="37"/>
      <c r="E3841" s="37"/>
      <c r="F3841" s="87"/>
    </row>
    <row r="3842">
      <c r="A3842" s="147"/>
      <c r="B3842" s="148"/>
      <c r="C3842" s="87"/>
      <c r="D3842" s="37"/>
      <c r="E3842" s="37"/>
      <c r="F3842" s="87"/>
    </row>
    <row r="3843">
      <c r="A3843" s="147"/>
      <c r="B3843" s="148"/>
      <c r="C3843" s="87"/>
      <c r="D3843" s="37"/>
      <c r="E3843" s="37"/>
      <c r="F3843" s="87"/>
    </row>
    <row r="3844">
      <c r="A3844" s="147"/>
      <c r="B3844" s="148"/>
      <c r="C3844" s="87"/>
      <c r="D3844" s="37"/>
      <c r="E3844" s="37"/>
      <c r="F3844" s="87"/>
    </row>
    <row r="3845">
      <c r="A3845" s="147"/>
      <c r="B3845" s="148"/>
      <c r="C3845" s="87"/>
      <c r="D3845" s="37"/>
      <c r="E3845" s="37"/>
      <c r="F3845" s="87"/>
    </row>
    <row r="3846">
      <c r="A3846" s="147"/>
      <c r="B3846" s="148"/>
      <c r="C3846" s="87"/>
      <c r="D3846" s="37"/>
      <c r="E3846" s="37"/>
      <c r="F3846" s="87"/>
    </row>
    <row r="3847">
      <c r="A3847" s="147"/>
      <c r="B3847" s="148"/>
      <c r="C3847" s="87"/>
      <c r="D3847" s="37"/>
      <c r="E3847" s="37"/>
      <c r="F3847" s="87"/>
    </row>
    <row r="3848">
      <c r="A3848" s="147"/>
      <c r="B3848" s="148"/>
      <c r="C3848" s="87"/>
      <c r="D3848" s="37"/>
      <c r="E3848" s="37"/>
      <c r="F3848" s="87"/>
    </row>
    <row r="3849">
      <c r="A3849" s="147"/>
      <c r="B3849" s="148"/>
      <c r="C3849" s="87"/>
      <c r="D3849" s="37"/>
      <c r="E3849" s="37"/>
      <c r="F3849" s="87"/>
    </row>
    <row r="3850">
      <c r="A3850" s="147"/>
      <c r="B3850" s="148"/>
      <c r="C3850" s="87"/>
      <c r="D3850" s="37"/>
      <c r="E3850" s="37"/>
      <c r="F3850" s="87"/>
    </row>
    <row r="3851">
      <c r="A3851" s="147"/>
      <c r="B3851" s="148"/>
      <c r="C3851" s="87"/>
      <c r="D3851" s="37"/>
      <c r="E3851" s="37"/>
      <c r="F3851" s="87"/>
    </row>
    <row r="3852">
      <c r="A3852" s="147"/>
      <c r="B3852" s="148"/>
      <c r="C3852" s="87"/>
      <c r="D3852" s="37"/>
      <c r="E3852" s="37"/>
      <c r="F3852" s="87"/>
    </row>
    <row r="3853">
      <c r="A3853" s="147"/>
      <c r="B3853" s="148"/>
      <c r="C3853" s="87"/>
      <c r="D3853" s="37"/>
      <c r="E3853" s="37"/>
      <c r="F3853" s="87"/>
    </row>
    <row r="3854">
      <c r="A3854" s="147"/>
      <c r="B3854" s="148"/>
      <c r="C3854" s="87"/>
      <c r="D3854" s="37"/>
      <c r="E3854" s="37"/>
      <c r="F3854" s="87"/>
    </row>
    <row r="3855">
      <c r="A3855" s="147"/>
      <c r="B3855" s="148"/>
      <c r="C3855" s="87"/>
      <c r="D3855" s="37"/>
      <c r="E3855" s="37"/>
      <c r="F3855" s="87"/>
    </row>
    <row r="3856">
      <c r="A3856" s="147"/>
      <c r="B3856" s="148"/>
      <c r="C3856" s="87"/>
      <c r="D3856" s="37"/>
      <c r="E3856" s="37"/>
      <c r="F3856" s="87"/>
    </row>
    <row r="3857">
      <c r="A3857" s="147"/>
      <c r="B3857" s="148"/>
      <c r="C3857" s="87"/>
      <c r="D3857" s="37"/>
      <c r="E3857" s="37"/>
      <c r="F3857" s="87"/>
    </row>
    <row r="3858">
      <c r="A3858" s="147"/>
      <c r="B3858" s="148"/>
      <c r="C3858" s="87"/>
      <c r="D3858" s="37"/>
      <c r="E3858" s="37"/>
      <c r="F3858" s="87"/>
    </row>
    <row r="3859">
      <c r="A3859" s="147"/>
      <c r="B3859" s="148"/>
      <c r="C3859" s="87"/>
      <c r="D3859" s="37"/>
      <c r="E3859" s="37"/>
      <c r="F3859" s="87"/>
    </row>
    <row r="3860">
      <c r="A3860" s="147"/>
      <c r="B3860" s="148"/>
      <c r="C3860" s="87"/>
      <c r="D3860" s="37"/>
      <c r="E3860" s="37"/>
      <c r="F3860" s="87"/>
    </row>
    <row r="3861">
      <c r="A3861" s="147"/>
      <c r="B3861" s="148"/>
      <c r="C3861" s="87"/>
      <c r="D3861" s="37"/>
      <c r="E3861" s="37"/>
      <c r="F3861" s="87"/>
    </row>
    <row r="3862">
      <c r="A3862" s="147"/>
      <c r="B3862" s="148"/>
      <c r="C3862" s="87"/>
      <c r="D3862" s="37"/>
      <c r="E3862" s="37"/>
      <c r="F3862" s="87"/>
    </row>
    <row r="3863">
      <c r="A3863" s="147"/>
      <c r="B3863" s="148"/>
      <c r="C3863" s="87"/>
      <c r="D3863" s="37"/>
      <c r="E3863" s="37"/>
      <c r="F3863" s="87"/>
    </row>
    <row r="3864">
      <c r="A3864" s="147"/>
      <c r="B3864" s="148"/>
      <c r="C3864" s="87"/>
      <c r="D3864" s="37"/>
      <c r="E3864" s="37"/>
      <c r="F3864" s="87"/>
    </row>
    <row r="3865">
      <c r="A3865" s="147"/>
      <c r="B3865" s="148"/>
      <c r="C3865" s="87"/>
      <c r="D3865" s="37"/>
      <c r="E3865" s="37"/>
      <c r="F3865" s="87"/>
    </row>
    <row r="3866">
      <c r="A3866" s="147"/>
      <c r="B3866" s="148"/>
      <c r="C3866" s="87"/>
      <c r="D3866" s="37"/>
      <c r="E3866" s="37"/>
      <c r="F3866" s="87"/>
    </row>
    <row r="3867">
      <c r="A3867" s="147"/>
      <c r="B3867" s="148"/>
      <c r="C3867" s="87"/>
      <c r="D3867" s="37"/>
      <c r="E3867" s="37"/>
      <c r="F3867" s="87"/>
    </row>
    <row r="3868">
      <c r="A3868" s="147"/>
      <c r="B3868" s="148"/>
      <c r="C3868" s="87"/>
      <c r="D3868" s="37"/>
      <c r="E3868" s="37"/>
      <c r="F3868" s="87"/>
    </row>
    <row r="3869">
      <c r="A3869" s="147"/>
      <c r="B3869" s="148"/>
      <c r="C3869" s="87"/>
      <c r="D3869" s="37"/>
      <c r="E3869" s="37"/>
      <c r="F3869" s="87"/>
    </row>
    <row r="3870">
      <c r="A3870" s="147"/>
      <c r="B3870" s="148"/>
      <c r="C3870" s="87"/>
      <c r="D3870" s="37"/>
      <c r="E3870" s="37"/>
      <c r="F3870" s="87"/>
    </row>
    <row r="3871">
      <c r="A3871" s="147"/>
      <c r="B3871" s="148"/>
      <c r="C3871" s="87"/>
      <c r="D3871" s="37"/>
      <c r="E3871" s="37"/>
      <c r="F3871" s="87"/>
    </row>
    <row r="3872">
      <c r="A3872" s="147"/>
      <c r="B3872" s="148"/>
      <c r="C3872" s="87"/>
      <c r="D3872" s="37"/>
      <c r="E3872" s="37"/>
      <c r="F3872" s="87"/>
    </row>
    <row r="3873">
      <c r="A3873" s="147"/>
      <c r="B3873" s="148"/>
      <c r="C3873" s="87"/>
      <c r="D3873" s="37"/>
      <c r="E3873" s="37"/>
      <c r="F3873" s="87"/>
    </row>
    <row r="3874">
      <c r="A3874" s="147"/>
      <c r="B3874" s="148"/>
      <c r="C3874" s="87"/>
      <c r="D3874" s="37"/>
      <c r="E3874" s="37"/>
      <c r="F3874" s="87"/>
    </row>
    <row r="3875">
      <c r="A3875" s="147"/>
      <c r="B3875" s="148"/>
      <c r="C3875" s="87"/>
      <c r="D3875" s="37"/>
      <c r="E3875" s="37"/>
      <c r="F3875" s="87"/>
    </row>
    <row r="3876">
      <c r="A3876" s="147"/>
      <c r="B3876" s="148"/>
      <c r="C3876" s="87"/>
      <c r="D3876" s="37"/>
      <c r="E3876" s="37"/>
      <c r="F3876" s="87"/>
    </row>
    <row r="3877">
      <c r="A3877" s="147"/>
      <c r="B3877" s="148"/>
      <c r="C3877" s="87"/>
      <c r="D3877" s="37"/>
      <c r="E3877" s="37"/>
      <c r="F3877" s="87"/>
    </row>
    <row r="3878">
      <c r="A3878" s="147"/>
      <c r="B3878" s="148"/>
      <c r="C3878" s="87"/>
      <c r="D3878" s="37"/>
      <c r="E3878" s="37"/>
      <c r="F3878" s="87"/>
    </row>
    <row r="3879">
      <c r="A3879" s="147"/>
      <c r="B3879" s="148"/>
      <c r="C3879" s="87"/>
      <c r="D3879" s="37"/>
      <c r="E3879" s="37"/>
      <c r="F3879" s="87"/>
    </row>
    <row r="3880">
      <c r="A3880" s="147"/>
      <c r="B3880" s="148"/>
      <c r="C3880" s="87"/>
      <c r="D3880" s="37"/>
      <c r="E3880" s="37"/>
      <c r="F3880" s="87"/>
    </row>
    <row r="3881">
      <c r="A3881" s="147"/>
      <c r="B3881" s="148"/>
      <c r="C3881" s="87"/>
      <c r="D3881" s="37"/>
      <c r="E3881" s="37"/>
      <c r="F3881" s="87"/>
    </row>
    <row r="3882">
      <c r="A3882" s="147"/>
      <c r="B3882" s="148"/>
      <c r="C3882" s="87"/>
      <c r="D3882" s="37"/>
      <c r="E3882" s="37"/>
      <c r="F3882" s="87"/>
    </row>
    <row r="3883">
      <c r="A3883" s="147"/>
      <c r="B3883" s="148"/>
      <c r="C3883" s="87"/>
      <c r="D3883" s="37"/>
      <c r="E3883" s="37"/>
      <c r="F3883" s="87"/>
    </row>
    <row r="3884">
      <c r="A3884" s="147"/>
      <c r="B3884" s="148"/>
      <c r="C3884" s="87"/>
      <c r="D3884" s="37"/>
      <c r="E3884" s="37"/>
      <c r="F3884" s="87"/>
    </row>
    <row r="3885">
      <c r="A3885" s="147"/>
      <c r="B3885" s="148"/>
      <c r="C3885" s="87"/>
      <c r="D3885" s="37"/>
      <c r="E3885" s="37"/>
      <c r="F3885" s="87"/>
    </row>
    <row r="3886">
      <c r="A3886" s="147"/>
      <c r="B3886" s="148"/>
      <c r="C3886" s="87"/>
      <c r="D3886" s="37"/>
      <c r="E3886" s="37"/>
      <c r="F3886" s="87"/>
    </row>
    <row r="3887">
      <c r="A3887" s="147"/>
      <c r="B3887" s="148"/>
      <c r="C3887" s="87"/>
      <c r="D3887" s="37"/>
      <c r="E3887" s="37"/>
      <c r="F3887" s="87"/>
    </row>
    <row r="3888">
      <c r="A3888" s="147"/>
      <c r="B3888" s="148"/>
      <c r="C3888" s="87"/>
      <c r="D3888" s="37"/>
      <c r="E3888" s="37"/>
      <c r="F3888" s="87"/>
    </row>
    <row r="3889">
      <c r="A3889" s="147"/>
      <c r="B3889" s="148"/>
      <c r="C3889" s="87"/>
      <c r="D3889" s="37"/>
      <c r="E3889" s="37"/>
      <c r="F3889" s="87"/>
    </row>
    <row r="3890">
      <c r="A3890" s="147"/>
      <c r="B3890" s="148"/>
      <c r="C3890" s="87"/>
      <c r="D3890" s="37"/>
      <c r="E3890" s="37"/>
      <c r="F3890" s="87"/>
    </row>
    <row r="3891">
      <c r="A3891" s="147"/>
      <c r="B3891" s="148"/>
      <c r="C3891" s="87"/>
      <c r="D3891" s="37"/>
      <c r="E3891" s="37"/>
      <c r="F3891" s="87"/>
    </row>
    <row r="3892">
      <c r="A3892" s="147"/>
      <c r="B3892" s="148"/>
      <c r="C3892" s="87"/>
      <c r="D3892" s="37"/>
      <c r="E3892" s="37"/>
      <c r="F3892" s="87"/>
    </row>
    <row r="3893">
      <c r="A3893" s="147"/>
      <c r="B3893" s="148"/>
      <c r="C3893" s="87"/>
      <c r="D3893" s="37"/>
      <c r="E3893" s="37"/>
      <c r="F3893" s="87"/>
    </row>
    <row r="3894">
      <c r="A3894" s="147"/>
      <c r="B3894" s="148"/>
      <c r="C3894" s="87"/>
      <c r="D3894" s="37"/>
      <c r="E3894" s="37"/>
      <c r="F3894" s="87"/>
    </row>
    <row r="3895">
      <c r="A3895" s="147"/>
      <c r="B3895" s="148"/>
      <c r="C3895" s="87"/>
      <c r="D3895" s="37"/>
      <c r="E3895" s="37"/>
      <c r="F3895" s="87"/>
    </row>
    <row r="3896">
      <c r="A3896" s="147"/>
      <c r="B3896" s="148"/>
      <c r="C3896" s="87"/>
      <c r="D3896" s="37"/>
      <c r="E3896" s="37"/>
      <c r="F3896" s="87"/>
    </row>
    <row r="3897">
      <c r="A3897" s="147"/>
      <c r="B3897" s="148"/>
      <c r="C3897" s="87"/>
      <c r="D3897" s="37"/>
      <c r="E3897" s="37"/>
      <c r="F3897" s="87"/>
    </row>
    <row r="3898">
      <c r="A3898" s="147"/>
      <c r="B3898" s="148"/>
      <c r="C3898" s="87"/>
      <c r="D3898" s="37"/>
      <c r="E3898" s="37"/>
      <c r="F3898" s="87"/>
    </row>
    <row r="3899">
      <c r="A3899" s="147"/>
      <c r="B3899" s="148"/>
      <c r="C3899" s="87"/>
      <c r="D3899" s="37"/>
      <c r="E3899" s="37"/>
      <c r="F3899" s="87"/>
    </row>
    <row r="3900">
      <c r="A3900" s="147"/>
      <c r="B3900" s="148"/>
      <c r="C3900" s="87"/>
      <c r="D3900" s="37"/>
      <c r="E3900" s="37"/>
      <c r="F3900" s="87"/>
    </row>
    <row r="3901">
      <c r="A3901" s="147"/>
      <c r="B3901" s="148"/>
      <c r="C3901" s="87"/>
      <c r="D3901" s="37"/>
      <c r="E3901" s="37"/>
      <c r="F3901" s="87"/>
    </row>
    <row r="3902">
      <c r="A3902" s="147"/>
      <c r="B3902" s="148"/>
      <c r="C3902" s="87"/>
      <c r="D3902" s="37"/>
      <c r="E3902" s="37"/>
      <c r="F3902" s="87"/>
    </row>
    <row r="3903">
      <c r="A3903" s="147"/>
      <c r="B3903" s="148"/>
      <c r="C3903" s="87"/>
      <c r="D3903" s="37"/>
      <c r="E3903" s="37"/>
      <c r="F3903" s="87"/>
    </row>
    <row r="3904">
      <c r="A3904" s="147"/>
      <c r="B3904" s="148"/>
      <c r="C3904" s="87"/>
      <c r="D3904" s="37"/>
      <c r="E3904" s="37"/>
      <c r="F3904" s="87"/>
    </row>
    <row r="3905">
      <c r="A3905" s="147"/>
      <c r="B3905" s="148"/>
      <c r="C3905" s="87"/>
      <c r="D3905" s="37"/>
      <c r="E3905" s="37"/>
      <c r="F3905" s="87"/>
    </row>
    <row r="3906">
      <c r="A3906" s="147"/>
      <c r="B3906" s="148"/>
      <c r="C3906" s="87"/>
      <c r="D3906" s="37"/>
      <c r="E3906" s="37"/>
      <c r="F3906" s="87"/>
    </row>
    <row r="3907">
      <c r="A3907" s="147"/>
      <c r="B3907" s="148"/>
      <c r="C3907" s="87"/>
      <c r="D3907" s="37"/>
      <c r="E3907" s="37"/>
      <c r="F3907" s="87"/>
    </row>
    <row r="3908">
      <c r="A3908" s="147"/>
      <c r="B3908" s="148"/>
      <c r="C3908" s="87"/>
      <c r="D3908" s="37"/>
      <c r="E3908" s="37"/>
      <c r="F3908" s="87"/>
    </row>
    <row r="3909">
      <c r="A3909" s="147"/>
      <c r="B3909" s="148"/>
      <c r="C3909" s="87"/>
      <c r="D3909" s="37"/>
      <c r="E3909" s="37"/>
      <c r="F3909" s="87"/>
    </row>
    <row r="3910">
      <c r="A3910" s="147"/>
      <c r="B3910" s="148"/>
      <c r="C3910" s="87"/>
      <c r="D3910" s="37"/>
      <c r="E3910" s="37"/>
      <c r="F3910" s="87"/>
    </row>
    <row r="3911">
      <c r="A3911" s="147"/>
      <c r="B3911" s="148"/>
      <c r="C3911" s="87"/>
      <c r="D3911" s="37"/>
      <c r="E3911" s="37"/>
      <c r="F3911" s="87"/>
    </row>
    <row r="3912">
      <c r="A3912" s="147"/>
      <c r="B3912" s="148"/>
      <c r="C3912" s="87"/>
      <c r="D3912" s="37"/>
      <c r="E3912" s="37"/>
      <c r="F3912" s="87"/>
    </row>
    <row r="3913">
      <c r="A3913" s="147"/>
      <c r="B3913" s="148"/>
      <c r="C3913" s="87"/>
      <c r="D3913" s="37"/>
      <c r="E3913" s="37"/>
      <c r="F3913" s="87"/>
    </row>
    <row r="3914">
      <c r="A3914" s="147"/>
      <c r="B3914" s="148"/>
      <c r="C3914" s="87"/>
      <c r="D3914" s="37"/>
      <c r="E3914" s="37"/>
      <c r="F3914" s="87"/>
    </row>
    <row r="3915">
      <c r="A3915" s="147"/>
      <c r="B3915" s="148"/>
      <c r="C3915" s="87"/>
      <c r="D3915" s="37"/>
      <c r="E3915" s="37"/>
      <c r="F3915" s="87"/>
    </row>
    <row r="3916">
      <c r="A3916" s="147"/>
      <c r="B3916" s="148"/>
      <c r="C3916" s="87"/>
      <c r="D3916" s="37"/>
      <c r="E3916" s="37"/>
      <c r="F3916" s="87"/>
    </row>
    <row r="3917">
      <c r="A3917" s="147"/>
      <c r="B3917" s="148"/>
      <c r="C3917" s="87"/>
      <c r="D3917" s="37"/>
      <c r="E3917" s="37"/>
      <c r="F3917" s="87"/>
    </row>
    <row r="3918">
      <c r="A3918" s="147"/>
      <c r="B3918" s="148"/>
      <c r="C3918" s="87"/>
      <c r="D3918" s="37"/>
      <c r="E3918" s="37"/>
      <c r="F3918" s="87"/>
    </row>
    <row r="3919">
      <c r="A3919" s="147"/>
      <c r="B3919" s="148"/>
      <c r="C3919" s="87"/>
      <c r="D3919" s="37"/>
      <c r="E3919" s="37"/>
      <c r="F3919" s="87"/>
    </row>
    <row r="3920">
      <c r="A3920" s="147"/>
      <c r="B3920" s="148"/>
      <c r="C3920" s="87"/>
      <c r="D3920" s="37"/>
      <c r="E3920" s="37"/>
      <c r="F3920" s="87"/>
    </row>
    <row r="3921">
      <c r="A3921" s="147"/>
      <c r="B3921" s="148"/>
      <c r="C3921" s="87"/>
      <c r="D3921" s="37"/>
      <c r="E3921" s="37"/>
      <c r="F3921" s="87"/>
    </row>
    <row r="3922">
      <c r="A3922" s="147"/>
      <c r="B3922" s="148"/>
      <c r="C3922" s="87"/>
      <c r="D3922" s="37"/>
      <c r="E3922" s="37"/>
      <c r="F3922" s="87"/>
    </row>
    <row r="3923">
      <c r="A3923" s="147"/>
      <c r="B3923" s="148"/>
      <c r="C3923" s="87"/>
      <c r="D3923" s="37"/>
      <c r="E3923" s="37"/>
      <c r="F3923" s="87"/>
    </row>
    <row r="3924">
      <c r="A3924" s="147"/>
      <c r="B3924" s="148"/>
      <c r="C3924" s="87"/>
      <c r="D3924" s="37"/>
      <c r="E3924" s="37"/>
      <c r="F3924" s="87"/>
    </row>
    <row r="3925">
      <c r="A3925" s="147"/>
      <c r="B3925" s="148"/>
      <c r="C3925" s="87"/>
      <c r="D3925" s="37"/>
      <c r="E3925" s="37"/>
      <c r="F3925" s="87"/>
    </row>
    <row r="3926">
      <c r="A3926" s="147"/>
      <c r="B3926" s="148"/>
      <c r="C3926" s="87"/>
      <c r="D3926" s="37"/>
      <c r="E3926" s="37"/>
      <c r="F3926" s="87"/>
    </row>
    <row r="3927">
      <c r="A3927" s="147"/>
      <c r="B3927" s="148"/>
      <c r="C3927" s="87"/>
      <c r="D3927" s="37"/>
      <c r="E3927" s="37"/>
      <c r="F3927" s="87"/>
    </row>
    <row r="3928">
      <c r="A3928" s="147"/>
      <c r="B3928" s="148"/>
      <c r="C3928" s="87"/>
      <c r="D3928" s="37"/>
      <c r="E3928" s="37"/>
      <c r="F3928" s="87"/>
    </row>
    <row r="3929">
      <c r="A3929" s="147"/>
      <c r="B3929" s="148"/>
      <c r="C3929" s="87"/>
      <c r="D3929" s="37"/>
      <c r="E3929" s="37"/>
      <c r="F3929" s="87"/>
    </row>
    <row r="3930">
      <c r="A3930" s="147"/>
      <c r="B3930" s="148"/>
      <c r="C3930" s="87"/>
      <c r="D3930" s="37"/>
      <c r="E3930" s="37"/>
      <c r="F3930" s="87"/>
    </row>
    <row r="3931">
      <c r="A3931" s="147"/>
      <c r="B3931" s="148"/>
      <c r="C3931" s="87"/>
      <c r="D3931" s="37"/>
      <c r="E3931" s="37"/>
      <c r="F3931" s="87"/>
    </row>
    <row r="3932">
      <c r="A3932" s="147"/>
      <c r="B3932" s="148"/>
      <c r="C3932" s="87"/>
      <c r="D3932" s="37"/>
      <c r="E3932" s="37"/>
      <c r="F3932" s="87"/>
    </row>
    <row r="3933">
      <c r="A3933" s="147"/>
      <c r="B3933" s="148"/>
      <c r="C3933" s="87"/>
      <c r="D3933" s="37"/>
      <c r="E3933" s="37"/>
      <c r="F3933" s="87"/>
    </row>
    <row r="3934">
      <c r="A3934" s="147"/>
      <c r="B3934" s="148"/>
      <c r="C3934" s="87"/>
      <c r="D3934" s="37"/>
      <c r="E3934" s="37"/>
      <c r="F3934" s="87"/>
    </row>
    <row r="3935">
      <c r="A3935" s="147"/>
      <c r="B3935" s="148"/>
      <c r="C3935" s="87"/>
      <c r="D3935" s="37"/>
      <c r="E3935" s="37"/>
      <c r="F3935" s="87"/>
    </row>
    <row r="3936">
      <c r="A3936" s="147"/>
      <c r="B3936" s="148"/>
      <c r="C3936" s="87"/>
      <c r="D3936" s="37"/>
      <c r="E3936" s="37"/>
      <c r="F3936" s="87"/>
    </row>
    <row r="3937">
      <c r="A3937" s="147"/>
      <c r="B3937" s="148"/>
      <c r="C3937" s="87"/>
      <c r="D3937" s="37"/>
      <c r="E3937" s="37"/>
      <c r="F3937" s="87"/>
    </row>
    <row r="3938">
      <c r="A3938" s="147"/>
      <c r="B3938" s="148"/>
      <c r="C3938" s="87"/>
      <c r="D3938" s="37"/>
      <c r="E3938" s="37"/>
      <c r="F3938" s="87"/>
    </row>
    <row r="3939">
      <c r="A3939" s="147"/>
      <c r="B3939" s="148"/>
      <c r="C3939" s="87"/>
      <c r="D3939" s="37"/>
      <c r="E3939" s="37"/>
      <c r="F3939" s="87"/>
    </row>
    <row r="3940">
      <c r="A3940" s="147"/>
      <c r="B3940" s="148"/>
      <c r="C3940" s="87"/>
      <c r="D3940" s="37"/>
      <c r="E3940" s="37"/>
      <c r="F3940" s="87"/>
    </row>
    <row r="3941">
      <c r="A3941" s="147"/>
      <c r="B3941" s="148"/>
      <c r="C3941" s="87"/>
      <c r="D3941" s="37"/>
      <c r="E3941" s="37"/>
      <c r="F3941" s="87"/>
    </row>
    <row r="3942">
      <c r="A3942" s="147"/>
      <c r="B3942" s="148"/>
      <c r="C3942" s="87"/>
      <c r="D3942" s="37"/>
      <c r="E3942" s="37"/>
      <c r="F3942" s="87"/>
    </row>
    <row r="3943">
      <c r="A3943" s="147"/>
      <c r="B3943" s="148"/>
      <c r="C3943" s="87"/>
      <c r="D3943" s="37"/>
      <c r="E3943" s="37"/>
      <c r="F3943" s="87"/>
    </row>
    <row r="3944">
      <c r="A3944" s="147"/>
      <c r="B3944" s="148"/>
      <c r="C3944" s="87"/>
      <c r="D3944" s="37"/>
      <c r="E3944" s="37"/>
      <c r="F3944" s="87"/>
    </row>
    <row r="3945">
      <c r="A3945" s="147"/>
      <c r="B3945" s="148"/>
      <c r="C3945" s="87"/>
      <c r="D3945" s="37"/>
      <c r="E3945" s="37"/>
      <c r="F3945" s="87"/>
    </row>
    <row r="3946">
      <c r="A3946" s="147"/>
      <c r="B3946" s="148"/>
      <c r="C3946" s="87"/>
      <c r="D3946" s="37"/>
      <c r="E3946" s="37"/>
      <c r="F3946" s="87"/>
    </row>
    <row r="3947">
      <c r="A3947" s="147"/>
      <c r="B3947" s="148"/>
      <c r="C3947" s="87"/>
      <c r="D3947" s="37"/>
      <c r="E3947" s="37"/>
      <c r="F3947" s="87"/>
    </row>
    <row r="3948">
      <c r="A3948" s="147"/>
      <c r="B3948" s="148"/>
      <c r="C3948" s="87"/>
      <c r="D3948" s="37"/>
      <c r="E3948" s="37"/>
      <c r="F3948" s="87"/>
    </row>
    <row r="3949">
      <c r="A3949" s="147"/>
      <c r="B3949" s="148"/>
      <c r="C3949" s="87"/>
      <c r="D3949" s="37"/>
      <c r="E3949" s="37"/>
      <c r="F3949" s="87"/>
    </row>
    <row r="3950">
      <c r="A3950" s="147"/>
      <c r="B3950" s="148"/>
      <c r="C3950" s="87"/>
      <c r="D3950" s="37"/>
      <c r="E3950" s="37"/>
      <c r="F3950" s="87"/>
    </row>
    <row r="3951">
      <c r="A3951" s="147"/>
      <c r="B3951" s="148"/>
      <c r="C3951" s="87"/>
      <c r="D3951" s="37"/>
      <c r="E3951" s="37"/>
      <c r="F3951" s="87"/>
    </row>
    <row r="3952">
      <c r="A3952" s="147"/>
      <c r="B3952" s="148"/>
      <c r="C3952" s="87"/>
      <c r="D3952" s="37"/>
      <c r="E3952" s="37"/>
      <c r="F3952" s="87"/>
    </row>
    <row r="3953">
      <c r="A3953" s="147"/>
      <c r="B3953" s="148"/>
      <c r="C3953" s="87"/>
      <c r="D3953" s="37"/>
      <c r="E3953" s="37"/>
      <c r="F3953" s="87"/>
    </row>
    <row r="3954">
      <c r="A3954" s="147"/>
      <c r="B3954" s="148"/>
      <c r="C3954" s="87"/>
      <c r="D3954" s="37"/>
      <c r="E3954" s="37"/>
      <c r="F3954" s="87"/>
    </row>
    <row r="3955">
      <c r="A3955" s="147"/>
      <c r="B3955" s="148"/>
      <c r="C3955" s="87"/>
      <c r="D3955" s="37"/>
      <c r="E3955" s="37"/>
      <c r="F3955" s="87"/>
    </row>
    <row r="3956">
      <c r="A3956" s="147"/>
      <c r="B3956" s="148"/>
      <c r="C3956" s="87"/>
      <c r="D3956" s="37"/>
      <c r="E3956" s="37"/>
      <c r="F3956" s="87"/>
    </row>
    <row r="3957">
      <c r="A3957" s="147"/>
      <c r="B3957" s="148"/>
      <c r="C3957" s="87"/>
      <c r="D3957" s="37"/>
      <c r="E3957" s="37"/>
      <c r="F3957" s="87"/>
    </row>
    <row r="3958">
      <c r="A3958" s="147"/>
      <c r="B3958" s="148"/>
      <c r="C3958" s="87"/>
      <c r="D3958" s="37"/>
      <c r="E3958" s="37"/>
      <c r="F3958" s="87"/>
    </row>
    <row r="3959">
      <c r="A3959" s="147"/>
      <c r="B3959" s="148"/>
      <c r="C3959" s="87"/>
      <c r="D3959" s="37"/>
      <c r="E3959" s="37"/>
      <c r="F3959" s="87"/>
    </row>
    <row r="3960">
      <c r="A3960" s="147"/>
      <c r="B3960" s="148"/>
      <c r="C3960" s="87"/>
      <c r="D3960" s="37"/>
      <c r="E3960" s="37"/>
      <c r="F3960" s="87"/>
    </row>
    <row r="3961">
      <c r="A3961" s="147"/>
      <c r="B3961" s="148"/>
      <c r="C3961" s="87"/>
      <c r="D3961" s="37"/>
      <c r="E3961" s="37"/>
      <c r="F3961" s="87"/>
    </row>
    <row r="3962">
      <c r="A3962" s="147"/>
      <c r="B3962" s="148"/>
      <c r="C3962" s="87"/>
      <c r="D3962" s="37"/>
      <c r="E3962" s="37"/>
      <c r="F3962" s="87"/>
    </row>
    <row r="3963">
      <c r="A3963" s="147"/>
      <c r="B3963" s="148"/>
      <c r="C3963" s="87"/>
      <c r="D3963" s="37"/>
      <c r="E3963" s="37"/>
      <c r="F3963" s="87"/>
    </row>
    <row r="3964">
      <c r="A3964" s="147"/>
      <c r="B3964" s="148"/>
      <c r="C3964" s="87"/>
      <c r="D3964" s="37"/>
      <c r="E3964" s="37"/>
      <c r="F3964" s="87"/>
    </row>
    <row r="3965">
      <c r="A3965" s="147"/>
      <c r="B3965" s="148"/>
      <c r="C3965" s="87"/>
      <c r="D3965" s="37"/>
      <c r="E3965" s="37"/>
      <c r="F3965" s="87"/>
    </row>
    <row r="3966">
      <c r="A3966" s="147"/>
      <c r="B3966" s="148"/>
      <c r="C3966" s="87"/>
      <c r="D3966" s="37"/>
      <c r="E3966" s="37"/>
      <c r="F3966" s="87"/>
    </row>
    <row r="3967">
      <c r="A3967" s="147"/>
      <c r="B3967" s="148"/>
      <c r="C3967" s="87"/>
      <c r="D3967" s="37"/>
      <c r="E3967" s="37"/>
      <c r="F3967" s="87"/>
    </row>
    <row r="3968">
      <c r="A3968" s="147"/>
      <c r="B3968" s="148"/>
      <c r="C3968" s="87"/>
      <c r="D3968" s="37"/>
      <c r="E3968" s="37"/>
      <c r="F3968" s="87"/>
    </row>
    <row r="3969">
      <c r="A3969" s="147"/>
      <c r="B3969" s="148"/>
      <c r="C3969" s="87"/>
      <c r="D3969" s="37"/>
      <c r="E3969" s="37"/>
      <c r="F3969" s="87"/>
    </row>
    <row r="3970">
      <c r="A3970" s="147"/>
      <c r="B3970" s="148"/>
      <c r="C3970" s="87"/>
      <c r="D3970" s="37"/>
      <c r="E3970" s="37"/>
      <c r="F3970" s="87"/>
    </row>
    <row r="3971">
      <c r="A3971" s="147"/>
      <c r="B3971" s="148"/>
      <c r="C3971" s="87"/>
      <c r="D3971" s="37"/>
      <c r="E3971" s="37"/>
      <c r="F3971" s="87"/>
    </row>
    <row r="3972">
      <c r="A3972" s="147"/>
      <c r="B3972" s="148"/>
      <c r="C3972" s="87"/>
      <c r="D3972" s="37"/>
      <c r="E3972" s="37"/>
      <c r="F3972" s="87"/>
    </row>
    <row r="3973">
      <c r="A3973" s="147"/>
      <c r="B3973" s="148"/>
      <c r="C3973" s="87"/>
      <c r="D3973" s="37"/>
      <c r="E3973" s="37"/>
      <c r="F3973" s="87"/>
    </row>
    <row r="3974">
      <c r="A3974" s="147"/>
      <c r="B3974" s="148"/>
      <c r="C3974" s="87"/>
      <c r="D3974" s="37"/>
      <c r="E3974" s="37"/>
      <c r="F3974" s="87"/>
    </row>
    <row r="3975">
      <c r="A3975" s="147"/>
      <c r="B3975" s="148"/>
      <c r="C3975" s="87"/>
      <c r="D3975" s="37"/>
      <c r="E3975" s="37"/>
      <c r="F3975" s="87"/>
    </row>
    <row r="3976">
      <c r="A3976" s="147"/>
      <c r="B3976" s="148"/>
      <c r="C3976" s="87"/>
      <c r="D3976" s="37"/>
      <c r="E3976" s="37"/>
      <c r="F3976" s="87"/>
    </row>
    <row r="3977">
      <c r="A3977" s="147"/>
      <c r="B3977" s="148"/>
      <c r="C3977" s="87"/>
      <c r="D3977" s="37"/>
      <c r="E3977" s="37"/>
      <c r="F3977" s="87"/>
    </row>
    <row r="3978">
      <c r="A3978" s="147"/>
      <c r="B3978" s="148"/>
      <c r="C3978" s="87"/>
      <c r="D3978" s="37"/>
      <c r="E3978" s="37"/>
      <c r="F3978" s="87"/>
    </row>
    <row r="3979">
      <c r="A3979" s="147"/>
      <c r="B3979" s="148"/>
      <c r="C3979" s="87"/>
      <c r="D3979" s="37"/>
      <c r="E3979" s="37"/>
      <c r="F3979" s="87"/>
    </row>
    <row r="3980">
      <c r="A3980" s="147"/>
      <c r="B3980" s="148"/>
      <c r="C3980" s="87"/>
      <c r="D3980" s="37"/>
      <c r="E3980" s="37"/>
      <c r="F3980" s="87"/>
    </row>
    <row r="3981">
      <c r="A3981" s="147"/>
      <c r="B3981" s="148"/>
      <c r="C3981" s="87"/>
      <c r="D3981" s="37"/>
      <c r="E3981" s="37"/>
      <c r="F3981" s="87"/>
    </row>
    <row r="3982">
      <c r="A3982" s="147"/>
      <c r="B3982" s="148"/>
      <c r="C3982" s="87"/>
      <c r="D3982" s="37"/>
      <c r="E3982" s="37"/>
      <c r="F3982" s="87"/>
    </row>
    <row r="3983">
      <c r="A3983" s="147"/>
      <c r="B3983" s="148"/>
      <c r="C3983" s="87"/>
      <c r="D3983" s="37"/>
      <c r="E3983" s="37"/>
      <c r="F3983" s="87"/>
    </row>
    <row r="3984">
      <c r="A3984" s="147"/>
      <c r="B3984" s="148"/>
      <c r="C3984" s="87"/>
      <c r="D3984" s="37"/>
      <c r="E3984" s="37"/>
      <c r="F3984" s="87"/>
    </row>
    <row r="3985">
      <c r="A3985" s="147"/>
      <c r="B3985" s="148"/>
      <c r="C3985" s="87"/>
      <c r="D3985" s="37"/>
      <c r="E3985" s="37"/>
      <c r="F3985" s="87"/>
    </row>
    <row r="3986">
      <c r="A3986" s="147"/>
      <c r="B3986" s="148"/>
      <c r="C3986" s="87"/>
      <c r="D3986" s="37"/>
      <c r="E3986" s="37"/>
      <c r="F3986" s="87"/>
    </row>
    <row r="3987">
      <c r="A3987" s="147"/>
      <c r="B3987" s="148"/>
      <c r="C3987" s="87"/>
      <c r="D3987" s="37"/>
      <c r="E3987" s="37"/>
      <c r="F3987" s="87"/>
    </row>
    <row r="3988">
      <c r="A3988" s="147"/>
      <c r="B3988" s="148"/>
      <c r="C3988" s="87"/>
      <c r="D3988" s="37"/>
      <c r="E3988" s="37"/>
      <c r="F3988" s="87"/>
    </row>
    <row r="3989">
      <c r="A3989" s="147"/>
      <c r="B3989" s="148"/>
      <c r="C3989" s="87"/>
      <c r="D3989" s="37"/>
      <c r="E3989" s="37"/>
      <c r="F3989" s="87"/>
    </row>
    <row r="3990">
      <c r="A3990" s="147"/>
      <c r="B3990" s="148"/>
      <c r="C3990" s="87"/>
      <c r="D3990" s="37"/>
      <c r="E3990" s="37"/>
      <c r="F3990" s="87"/>
    </row>
    <row r="3991">
      <c r="A3991" s="147"/>
      <c r="B3991" s="148"/>
      <c r="C3991" s="87"/>
      <c r="D3991" s="37"/>
      <c r="E3991" s="37"/>
      <c r="F3991" s="87"/>
    </row>
    <row r="3992">
      <c r="A3992" s="147"/>
      <c r="B3992" s="148"/>
      <c r="C3992" s="87"/>
      <c r="D3992" s="37"/>
      <c r="E3992" s="37"/>
      <c r="F3992" s="87"/>
    </row>
    <row r="3993">
      <c r="A3993" s="147"/>
      <c r="B3993" s="148"/>
      <c r="C3993" s="87"/>
      <c r="D3993" s="37"/>
      <c r="E3993" s="37"/>
      <c r="F3993" s="87"/>
    </row>
    <row r="3994">
      <c r="A3994" s="147"/>
      <c r="B3994" s="148"/>
      <c r="C3994" s="87"/>
      <c r="D3994" s="37"/>
      <c r="E3994" s="37"/>
      <c r="F3994" s="87"/>
    </row>
    <row r="3995">
      <c r="A3995" s="147"/>
      <c r="B3995" s="148"/>
      <c r="C3995" s="87"/>
      <c r="D3995" s="37"/>
      <c r="E3995" s="37"/>
      <c r="F3995" s="87"/>
    </row>
    <row r="3996">
      <c r="A3996" s="147"/>
      <c r="B3996" s="148"/>
      <c r="C3996" s="87"/>
      <c r="D3996" s="37"/>
      <c r="E3996" s="37"/>
      <c r="F3996" s="87"/>
    </row>
    <row r="3997">
      <c r="A3997" s="147"/>
      <c r="B3997" s="148"/>
      <c r="C3997" s="87"/>
      <c r="D3997" s="37"/>
      <c r="E3997" s="37"/>
      <c r="F3997" s="87"/>
    </row>
    <row r="3998">
      <c r="A3998" s="147"/>
      <c r="B3998" s="148"/>
      <c r="C3998" s="87"/>
      <c r="D3998" s="37"/>
      <c r="E3998" s="37"/>
      <c r="F3998" s="87"/>
    </row>
    <row r="3999">
      <c r="A3999" s="147"/>
      <c r="B3999" s="148"/>
      <c r="C3999" s="87"/>
      <c r="D3999" s="37"/>
      <c r="E3999" s="37"/>
      <c r="F3999" s="87"/>
    </row>
    <row r="4000">
      <c r="A4000" s="147"/>
      <c r="B4000" s="148"/>
      <c r="C4000" s="87"/>
      <c r="D4000" s="37"/>
      <c r="E4000" s="37"/>
      <c r="F4000" s="87"/>
    </row>
    <row r="4001">
      <c r="A4001" s="147"/>
      <c r="B4001" s="148"/>
      <c r="C4001" s="87"/>
      <c r="D4001" s="37"/>
      <c r="E4001" s="37"/>
      <c r="F4001" s="87"/>
    </row>
    <row r="4002">
      <c r="A4002" s="147"/>
      <c r="B4002" s="148"/>
      <c r="C4002" s="87"/>
      <c r="D4002" s="37"/>
      <c r="E4002" s="37"/>
      <c r="F4002" s="87"/>
    </row>
    <row r="4003">
      <c r="A4003" s="147"/>
      <c r="B4003" s="148"/>
      <c r="C4003" s="87"/>
      <c r="D4003" s="37"/>
      <c r="E4003" s="37"/>
      <c r="F4003" s="87"/>
    </row>
    <row r="4004">
      <c r="A4004" s="147"/>
      <c r="B4004" s="148"/>
      <c r="C4004" s="87"/>
      <c r="D4004" s="37"/>
      <c r="E4004" s="37"/>
      <c r="F4004" s="87"/>
    </row>
    <row r="4005">
      <c r="A4005" s="147"/>
      <c r="B4005" s="148"/>
      <c r="C4005" s="87"/>
      <c r="D4005" s="37"/>
      <c r="E4005" s="37"/>
      <c r="F4005" s="87"/>
    </row>
    <row r="4006">
      <c r="A4006" s="147"/>
      <c r="B4006" s="148"/>
      <c r="C4006" s="87"/>
      <c r="D4006" s="37"/>
      <c r="E4006" s="37"/>
      <c r="F4006" s="87"/>
    </row>
    <row r="4007">
      <c r="A4007" s="147"/>
      <c r="B4007" s="148"/>
      <c r="C4007" s="87"/>
      <c r="D4007" s="37"/>
      <c r="E4007" s="37"/>
      <c r="F4007" s="87"/>
    </row>
    <row r="4008">
      <c r="A4008" s="147"/>
      <c r="B4008" s="148"/>
      <c r="C4008" s="87"/>
      <c r="D4008" s="37"/>
      <c r="E4008" s="37"/>
      <c r="F4008" s="87"/>
    </row>
    <row r="4009">
      <c r="A4009" s="147"/>
      <c r="B4009" s="148"/>
      <c r="C4009" s="87"/>
      <c r="D4009" s="37"/>
      <c r="E4009" s="37"/>
      <c r="F4009" s="87"/>
    </row>
    <row r="4010">
      <c r="A4010" s="147"/>
      <c r="B4010" s="148"/>
      <c r="C4010" s="87"/>
      <c r="D4010" s="37"/>
      <c r="E4010" s="37"/>
      <c r="F4010" s="87"/>
    </row>
    <row r="4011">
      <c r="A4011" s="147"/>
      <c r="B4011" s="148"/>
      <c r="C4011" s="87"/>
      <c r="D4011" s="37"/>
      <c r="E4011" s="37"/>
      <c r="F4011" s="87"/>
    </row>
    <row r="4012">
      <c r="A4012" s="147"/>
      <c r="B4012" s="148"/>
      <c r="C4012" s="87"/>
      <c r="D4012" s="37"/>
      <c r="E4012" s="37"/>
      <c r="F4012" s="87"/>
    </row>
    <row r="4013">
      <c r="A4013" s="147"/>
      <c r="B4013" s="148"/>
      <c r="C4013" s="87"/>
      <c r="D4013" s="37"/>
      <c r="E4013" s="37"/>
      <c r="F4013" s="87"/>
    </row>
    <row r="4014">
      <c r="A4014" s="147"/>
      <c r="B4014" s="148"/>
      <c r="C4014" s="87"/>
      <c r="D4014" s="37"/>
      <c r="E4014" s="37"/>
      <c r="F4014" s="87"/>
    </row>
    <row r="4015">
      <c r="A4015" s="147"/>
      <c r="B4015" s="148"/>
      <c r="C4015" s="87"/>
      <c r="D4015" s="37"/>
      <c r="E4015" s="37"/>
      <c r="F4015" s="87"/>
    </row>
    <row r="4016">
      <c r="A4016" s="147"/>
      <c r="B4016" s="148"/>
      <c r="C4016" s="87"/>
      <c r="D4016" s="37"/>
      <c r="E4016" s="37"/>
      <c r="F4016" s="87"/>
    </row>
    <row r="4017">
      <c r="A4017" s="147"/>
      <c r="B4017" s="148"/>
      <c r="C4017" s="87"/>
      <c r="D4017" s="37"/>
      <c r="E4017" s="37"/>
      <c r="F4017" s="87"/>
    </row>
    <row r="4018">
      <c r="A4018" s="147"/>
      <c r="B4018" s="148"/>
      <c r="C4018" s="87"/>
      <c r="D4018" s="37"/>
      <c r="E4018" s="37"/>
      <c r="F4018" s="87"/>
    </row>
    <row r="4019">
      <c r="A4019" s="147"/>
      <c r="B4019" s="148"/>
      <c r="C4019" s="87"/>
      <c r="D4019" s="37"/>
      <c r="E4019" s="37"/>
      <c r="F4019" s="87"/>
    </row>
    <row r="4020">
      <c r="A4020" s="147"/>
      <c r="B4020" s="148"/>
      <c r="C4020" s="87"/>
      <c r="D4020" s="37"/>
      <c r="E4020" s="37"/>
      <c r="F4020" s="87"/>
    </row>
    <row r="4021">
      <c r="A4021" s="147"/>
      <c r="B4021" s="148"/>
      <c r="C4021" s="87"/>
      <c r="D4021" s="37"/>
      <c r="E4021" s="37"/>
      <c r="F4021" s="87"/>
    </row>
    <row r="4022">
      <c r="A4022" s="147"/>
      <c r="B4022" s="148"/>
      <c r="C4022" s="87"/>
      <c r="D4022" s="37"/>
      <c r="E4022" s="37"/>
      <c r="F4022" s="87"/>
    </row>
    <row r="4023">
      <c r="A4023" s="147"/>
      <c r="B4023" s="148"/>
      <c r="C4023" s="87"/>
      <c r="D4023" s="37"/>
      <c r="E4023" s="37"/>
      <c r="F4023" s="87"/>
    </row>
    <row r="4024">
      <c r="A4024" s="147"/>
      <c r="B4024" s="148"/>
      <c r="C4024" s="87"/>
      <c r="D4024" s="37"/>
      <c r="E4024" s="37"/>
      <c r="F4024" s="87"/>
    </row>
    <row r="4025">
      <c r="A4025" s="147"/>
      <c r="B4025" s="148"/>
      <c r="C4025" s="87"/>
      <c r="D4025" s="37"/>
      <c r="E4025" s="37"/>
      <c r="F4025" s="87"/>
    </row>
    <row r="4026">
      <c r="A4026" s="147"/>
      <c r="B4026" s="148"/>
      <c r="C4026" s="87"/>
      <c r="D4026" s="37"/>
      <c r="E4026" s="37"/>
      <c r="F4026" s="87"/>
    </row>
    <row r="4027">
      <c r="A4027" s="147"/>
      <c r="B4027" s="148"/>
      <c r="C4027" s="87"/>
      <c r="D4027" s="37"/>
      <c r="E4027" s="37"/>
      <c r="F4027" s="87"/>
    </row>
    <row r="4028">
      <c r="A4028" s="147"/>
      <c r="B4028" s="148"/>
      <c r="C4028" s="87"/>
      <c r="D4028" s="37"/>
      <c r="E4028" s="37"/>
      <c r="F4028" s="87"/>
    </row>
    <row r="4029">
      <c r="A4029" s="147"/>
      <c r="B4029" s="148"/>
      <c r="C4029" s="87"/>
      <c r="D4029" s="37"/>
      <c r="E4029" s="37"/>
      <c r="F4029" s="87"/>
    </row>
    <row r="4030">
      <c r="A4030" s="147"/>
      <c r="B4030" s="148"/>
      <c r="C4030" s="87"/>
      <c r="D4030" s="37"/>
      <c r="E4030" s="37"/>
      <c r="F4030" s="87"/>
    </row>
    <row r="4031">
      <c r="A4031" s="147"/>
      <c r="B4031" s="148"/>
      <c r="C4031" s="87"/>
      <c r="D4031" s="37"/>
      <c r="E4031" s="37"/>
      <c r="F4031" s="87"/>
    </row>
    <row r="4032">
      <c r="A4032" s="147"/>
      <c r="B4032" s="148"/>
      <c r="C4032" s="87"/>
      <c r="D4032" s="37"/>
      <c r="E4032" s="37"/>
      <c r="F4032" s="87"/>
    </row>
    <row r="4033">
      <c r="A4033" s="147"/>
      <c r="B4033" s="148"/>
      <c r="C4033" s="87"/>
      <c r="D4033" s="37"/>
      <c r="E4033" s="37"/>
      <c r="F4033" s="87"/>
    </row>
    <row r="4034">
      <c r="A4034" s="147"/>
      <c r="B4034" s="148"/>
      <c r="C4034" s="87"/>
      <c r="D4034" s="37"/>
      <c r="E4034" s="37"/>
      <c r="F4034" s="87"/>
    </row>
    <row r="4035">
      <c r="A4035" s="147"/>
      <c r="B4035" s="148"/>
      <c r="C4035" s="87"/>
      <c r="D4035" s="37"/>
      <c r="E4035" s="37"/>
      <c r="F4035" s="87"/>
    </row>
    <row r="4036">
      <c r="A4036" s="147"/>
      <c r="B4036" s="148"/>
      <c r="C4036" s="87"/>
      <c r="D4036" s="37"/>
      <c r="E4036" s="37"/>
      <c r="F4036" s="87"/>
    </row>
    <row r="4037">
      <c r="A4037" s="147"/>
      <c r="B4037" s="148"/>
      <c r="C4037" s="87"/>
      <c r="D4037" s="37"/>
      <c r="E4037" s="37"/>
      <c r="F4037" s="87"/>
    </row>
    <row r="4038">
      <c r="A4038" s="147"/>
      <c r="B4038" s="148"/>
      <c r="C4038" s="87"/>
      <c r="D4038" s="37"/>
      <c r="E4038" s="37"/>
      <c r="F4038" s="87"/>
    </row>
    <row r="4039">
      <c r="A4039" s="147"/>
      <c r="B4039" s="148"/>
      <c r="C4039" s="87"/>
      <c r="D4039" s="37"/>
      <c r="E4039" s="37"/>
      <c r="F4039" s="87"/>
    </row>
    <row r="4040">
      <c r="A4040" s="147"/>
      <c r="B4040" s="148"/>
      <c r="C4040" s="87"/>
      <c r="D4040" s="37"/>
      <c r="E4040" s="37"/>
      <c r="F4040" s="87"/>
    </row>
    <row r="4041">
      <c r="A4041" s="147"/>
      <c r="B4041" s="148"/>
      <c r="C4041" s="87"/>
      <c r="D4041" s="37"/>
      <c r="E4041" s="37"/>
      <c r="F4041" s="87"/>
    </row>
    <row r="4042">
      <c r="A4042" s="147"/>
      <c r="B4042" s="148"/>
      <c r="C4042" s="87"/>
      <c r="D4042" s="37"/>
      <c r="E4042" s="37"/>
      <c r="F4042" s="87"/>
    </row>
    <row r="4043">
      <c r="A4043" s="147"/>
      <c r="B4043" s="148"/>
      <c r="C4043" s="87"/>
      <c r="D4043" s="37"/>
      <c r="E4043" s="37"/>
      <c r="F4043" s="87"/>
    </row>
    <row r="4044">
      <c r="A4044" s="147"/>
      <c r="B4044" s="148"/>
      <c r="C4044" s="87"/>
      <c r="D4044" s="37"/>
      <c r="E4044" s="37"/>
      <c r="F4044" s="87"/>
    </row>
    <row r="4045">
      <c r="A4045" s="147"/>
      <c r="B4045" s="148"/>
      <c r="C4045" s="87"/>
      <c r="D4045" s="37"/>
      <c r="E4045" s="37"/>
      <c r="F4045" s="87"/>
    </row>
    <row r="4046">
      <c r="A4046" s="147"/>
      <c r="B4046" s="148"/>
      <c r="C4046" s="87"/>
      <c r="D4046" s="37"/>
      <c r="E4046" s="37"/>
      <c r="F4046" s="87"/>
    </row>
    <row r="4047">
      <c r="A4047" s="147"/>
      <c r="B4047" s="148"/>
      <c r="C4047" s="87"/>
      <c r="D4047" s="37"/>
      <c r="E4047" s="37"/>
      <c r="F4047" s="87"/>
    </row>
    <row r="4048">
      <c r="A4048" s="147"/>
      <c r="B4048" s="148"/>
      <c r="C4048" s="87"/>
      <c r="D4048" s="37"/>
      <c r="E4048" s="37"/>
      <c r="F4048" s="87"/>
    </row>
    <row r="4049">
      <c r="A4049" s="147"/>
      <c r="B4049" s="148"/>
      <c r="C4049" s="87"/>
      <c r="D4049" s="37"/>
      <c r="E4049" s="37"/>
      <c r="F4049" s="87"/>
    </row>
    <row r="4050">
      <c r="A4050" s="147"/>
      <c r="B4050" s="148"/>
      <c r="C4050" s="87"/>
      <c r="D4050" s="37"/>
      <c r="E4050" s="37"/>
      <c r="F4050" s="87"/>
    </row>
    <row r="4051">
      <c r="A4051" s="147"/>
      <c r="B4051" s="148"/>
      <c r="C4051" s="87"/>
      <c r="D4051" s="37"/>
      <c r="E4051" s="37"/>
      <c r="F4051" s="87"/>
    </row>
    <row r="4052">
      <c r="A4052" s="147"/>
      <c r="B4052" s="148"/>
      <c r="C4052" s="87"/>
      <c r="D4052" s="37"/>
      <c r="E4052" s="37"/>
      <c r="F4052" s="87"/>
    </row>
    <row r="4053">
      <c r="A4053" s="147"/>
      <c r="B4053" s="148"/>
      <c r="C4053" s="87"/>
      <c r="D4053" s="37"/>
      <c r="E4053" s="37"/>
      <c r="F4053" s="87"/>
    </row>
    <row r="4054">
      <c r="A4054" s="147"/>
      <c r="B4054" s="148"/>
      <c r="C4054" s="87"/>
      <c r="D4054" s="37"/>
      <c r="E4054" s="37"/>
      <c r="F4054" s="87"/>
    </row>
    <row r="4055">
      <c r="A4055" s="147"/>
      <c r="B4055" s="148"/>
      <c r="C4055" s="87"/>
      <c r="D4055" s="37"/>
      <c r="E4055" s="37"/>
      <c r="F4055" s="87"/>
    </row>
    <row r="4056">
      <c r="A4056" s="147"/>
      <c r="B4056" s="148"/>
      <c r="C4056" s="87"/>
      <c r="D4056" s="37"/>
      <c r="E4056" s="37"/>
      <c r="F4056" s="87"/>
    </row>
    <row r="4057">
      <c r="A4057" s="147"/>
      <c r="B4057" s="148"/>
      <c r="C4057" s="87"/>
      <c r="D4057" s="37"/>
      <c r="E4057" s="37"/>
      <c r="F4057" s="87"/>
    </row>
    <row r="4058">
      <c r="A4058" s="147"/>
      <c r="B4058" s="148"/>
      <c r="C4058" s="87"/>
      <c r="D4058" s="37"/>
      <c r="E4058" s="37"/>
      <c r="F4058" s="87"/>
    </row>
    <row r="4059">
      <c r="A4059" s="147"/>
      <c r="B4059" s="148"/>
      <c r="C4059" s="87"/>
      <c r="D4059" s="37"/>
      <c r="E4059" s="37"/>
      <c r="F4059" s="87"/>
    </row>
    <row r="4060">
      <c r="A4060" s="147"/>
      <c r="B4060" s="148"/>
      <c r="C4060" s="87"/>
      <c r="D4060" s="37"/>
      <c r="E4060" s="37"/>
      <c r="F4060" s="87"/>
    </row>
    <row r="4061">
      <c r="A4061" s="147"/>
      <c r="B4061" s="148"/>
      <c r="C4061" s="87"/>
      <c r="D4061" s="37"/>
      <c r="E4061" s="37"/>
      <c r="F4061" s="87"/>
    </row>
    <row r="4062">
      <c r="A4062" s="147"/>
      <c r="B4062" s="148"/>
      <c r="C4062" s="87"/>
      <c r="D4062" s="37"/>
      <c r="E4062" s="37"/>
      <c r="F4062" s="87"/>
    </row>
    <row r="4063">
      <c r="A4063" s="147"/>
      <c r="B4063" s="148"/>
      <c r="C4063" s="87"/>
      <c r="D4063" s="37"/>
      <c r="E4063" s="37"/>
      <c r="F4063" s="87"/>
    </row>
    <row r="4064">
      <c r="A4064" s="147"/>
      <c r="B4064" s="148"/>
      <c r="C4064" s="87"/>
      <c r="D4064" s="37"/>
      <c r="E4064" s="37"/>
      <c r="F4064" s="87"/>
    </row>
    <row r="4065">
      <c r="A4065" s="147"/>
      <c r="B4065" s="148"/>
      <c r="C4065" s="87"/>
      <c r="D4065" s="37"/>
      <c r="E4065" s="37"/>
      <c r="F4065" s="87"/>
    </row>
    <row r="4066">
      <c r="A4066" s="147"/>
      <c r="B4066" s="148"/>
      <c r="C4066" s="87"/>
      <c r="D4066" s="37"/>
      <c r="E4066" s="37"/>
      <c r="F4066" s="87"/>
    </row>
    <row r="4067">
      <c r="A4067" s="147"/>
      <c r="B4067" s="148"/>
      <c r="C4067" s="87"/>
      <c r="D4067" s="37"/>
      <c r="E4067" s="37"/>
      <c r="F4067" s="87"/>
    </row>
    <row r="4068">
      <c r="A4068" s="147"/>
      <c r="B4068" s="148"/>
      <c r="C4068" s="87"/>
      <c r="D4068" s="37"/>
      <c r="E4068" s="37"/>
      <c r="F4068" s="87"/>
    </row>
    <row r="4069">
      <c r="A4069" s="147"/>
      <c r="B4069" s="148"/>
      <c r="C4069" s="87"/>
      <c r="D4069" s="37"/>
      <c r="E4069" s="37"/>
      <c r="F4069" s="87"/>
    </row>
    <row r="4070">
      <c r="A4070" s="147"/>
      <c r="B4070" s="148"/>
      <c r="C4070" s="87"/>
      <c r="D4070" s="37"/>
      <c r="E4070" s="37"/>
      <c r="F4070" s="87"/>
    </row>
    <row r="4071">
      <c r="A4071" s="147"/>
      <c r="B4071" s="148"/>
      <c r="C4071" s="87"/>
      <c r="D4071" s="37"/>
      <c r="E4071" s="37"/>
      <c r="F4071" s="87"/>
    </row>
    <row r="4072">
      <c r="A4072" s="147"/>
      <c r="B4072" s="148"/>
      <c r="C4072" s="87"/>
      <c r="D4072" s="37"/>
      <c r="E4072" s="37"/>
      <c r="F4072" s="87"/>
    </row>
    <row r="4073">
      <c r="A4073" s="147"/>
      <c r="B4073" s="148"/>
      <c r="C4073" s="87"/>
      <c r="D4073" s="37"/>
      <c r="E4073" s="37"/>
      <c r="F4073" s="87"/>
    </row>
    <row r="4074">
      <c r="A4074" s="147"/>
      <c r="B4074" s="148"/>
      <c r="C4074" s="87"/>
      <c r="D4074" s="37"/>
      <c r="E4074" s="37"/>
      <c r="F4074" s="87"/>
    </row>
    <row r="4075">
      <c r="A4075" s="147"/>
      <c r="B4075" s="148"/>
      <c r="C4075" s="87"/>
      <c r="D4075" s="37"/>
      <c r="E4075" s="37"/>
      <c r="F4075" s="87"/>
    </row>
    <row r="4076">
      <c r="A4076" s="147"/>
      <c r="B4076" s="148"/>
      <c r="C4076" s="87"/>
      <c r="D4076" s="37"/>
      <c r="E4076" s="37"/>
      <c r="F4076" s="87"/>
    </row>
    <row r="4077">
      <c r="A4077" s="147"/>
      <c r="B4077" s="148"/>
      <c r="C4077" s="87"/>
      <c r="D4077" s="37"/>
      <c r="E4077" s="37"/>
      <c r="F4077" s="87"/>
    </row>
    <row r="4078">
      <c r="A4078" s="147"/>
      <c r="B4078" s="148"/>
      <c r="C4078" s="87"/>
      <c r="D4078" s="37"/>
      <c r="E4078" s="37"/>
      <c r="F4078" s="87"/>
    </row>
    <row r="4079">
      <c r="A4079" s="147"/>
      <c r="B4079" s="148"/>
      <c r="C4079" s="87"/>
      <c r="D4079" s="37"/>
      <c r="E4079" s="37"/>
      <c r="F4079" s="87"/>
    </row>
    <row r="4080">
      <c r="A4080" s="147"/>
      <c r="B4080" s="148"/>
      <c r="C4080" s="87"/>
      <c r="D4080" s="37"/>
      <c r="E4080" s="37"/>
      <c r="F4080" s="87"/>
    </row>
    <row r="4081">
      <c r="A4081" s="147"/>
      <c r="B4081" s="148"/>
      <c r="C4081" s="87"/>
      <c r="D4081" s="37"/>
      <c r="E4081" s="37"/>
      <c r="F4081" s="87"/>
    </row>
    <row r="4082">
      <c r="A4082" s="147"/>
      <c r="B4082" s="148"/>
      <c r="C4082" s="87"/>
      <c r="D4082" s="37"/>
      <c r="E4082" s="37"/>
      <c r="F4082" s="87"/>
    </row>
    <row r="4083">
      <c r="A4083" s="147"/>
      <c r="B4083" s="148"/>
      <c r="C4083" s="87"/>
      <c r="D4083" s="37"/>
      <c r="E4083" s="37"/>
      <c r="F4083" s="87"/>
    </row>
    <row r="4084">
      <c r="A4084" s="147"/>
      <c r="B4084" s="148"/>
      <c r="C4084" s="87"/>
      <c r="D4084" s="37"/>
      <c r="E4084" s="37"/>
      <c r="F4084" s="87"/>
    </row>
    <row r="4085">
      <c r="A4085" s="147"/>
      <c r="B4085" s="148"/>
      <c r="C4085" s="87"/>
      <c r="D4085" s="37"/>
      <c r="E4085" s="37"/>
      <c r="F4085" s="87"/>
    </row>
    <row r="4086">
      <c r="A4086" s="147"/>
      <c r="B4086" s="148"/>
      <c r="C4086" s="87"/>
      <c r="D4086" s="37"/>
      <c r="E4086" s="37"/>
      <c r="F4086" s="87"/>
    </row>
    <row r="4087">
      <c r="A4087" s="147"/>
      <c r="B4087" s="148"/>
      <c r="C4087" s="87"/>
      <c r="D4087" s="37"/>
      <c r="E4087" s="37"/>
      <c r="F4087" s="87"/>
    </row>
    <row r="4088">
      <c r="A4088" s="147"/>
      <c r="B4088" s="148"/>
      <c r="C4088" s="87"/>
      <c r="D4088" s="37"/>
      <c r="E4088" s="37"/>
      <c r="F4088" s="87"/>
    </row>
    <row r="4089">
      <c r="A4089" s="147"/>
      <c r="B4089" s="148"/>
      <c r="C4089" s="87"/>
      <c r="D4089" s="37"/>
      <c r="E4089" s="37"/>
      <c r="F4089" s="87"/>
    </row>
    <row r="4090">
      <c r="A4090" s="147"/>
      <c r="B4090" s="148"/>
      <c r="C4090" s="87"/>
      <c r="D4090" s="37"/>
      <c r="E4090" s="37"/>
      <c r="F4090" s="87"/>
    </row>
    <row r="4091">
      <c r="A4091" s="147"/>
      <c r="B4091" s="148"/>
      <c r="C4091" s="87"/>
      <c r="D4091" s="37"/>
      <c r="E4091" s="37"/>
      <c r="F4091" s="87"/>
    </row>
    <row r="4092">
      <c r="A4092" s="147"/>
      <c r="B4092" s="148"/>
      <c r="C4092" s="87"/>
      <c r="D4092" s="37"/>
      <c r="E4092" s="37"/>
      <c r="F4092" s="87"/>
    </row>
    <row r="4093">
      <c r="A4093" s="147"/>
      <c r="B4093" s="148"/>
      <c r="C4093" s="87"/>
      <c r="D4093" s="37"/>
      <c r="E4093" s="37"/>
      <c r="F4093" s="87"/>
    </row>
    <row r="4094">
      <c r="A4094" s="147"/>
      <c r="B4094" s="148"/>
      <c r="C4094" s="87"/>
      <c r="D4094" s="37"/>
      <c r="E4094" s="37"/>
      <c r="F4094" s="87"/>
    </row>
    <row r="4095">
      <c r="A4095" s="147"/>
      <c r="B4095" s="148"/>
      <c r="C4095" s="87"/>
      <c r="D4095" s="37"/>
      <c r="E4095" s="37"/>
      <c r="F4095" s="87"/>
    </row>
    <row r="4096">
      <c r="A4096" s="147"/>
      <c r="B4096" s="148"/>
      <c r="C4096" s="87"/>
      <c r="D4096" s="37"/>
      <c r="E4096" s="37"/>
      <c r="F4096" s="87"/>
    </row>
    <row r="4097">
      <c r="A4097" s="147"/>
      <c r="B4097" s="148"/>
      <c r="C4097" s="87"/>
      <c r="D4097" s="37"/>
      <c r="E4097" s="37"/>
      <c r="F4097" s="87"/>
    </row>
    <row r="4098">
      <c r="A4098" s="147"/>
      <c r="B4098" s="148"/>
      <c r="C4098" s="87"/>
      <c r="D4098" s="37"/>
      <c r="E4098" s="37"/>
      <c r="F4098" s="87"/>
    </row>
    <row r="4099">
      <c r="A4099" s="147"/>
      <c r="B4099" s="148"/>
      <c r="C4099" s="87"/>
      <c r="D4099" s="37"/>
      <c r="E4099" s="37"/>
      <c r="F4099" s="87"/>
    </row>
    <row r="4100">
      <c r="A4100" s="147"/>
      <c r="B4100" s="148"/>
      <c r="C4100" s="87"/>
      <c r="D4100" s="37"/>
      <c r="E4100" s="37"/>
      <c r="F4100" s="87"/>
    </row>
    <row r="4101">
      <c r="A4101" s="147"/>
      <c r="B4101" s="148"/>
      <c r="C4101" s="87"/>
      <c r="D4101" s="37"/>
      <c r="E4101" s="37"/>
      <c r="F4101" s="87"/>
    </row>
    <row r="4102">
      <c r="A4102" s="147"/>
      <c r="B4102" s="148"/>
      <c r="C4102" s="87"/>
      <c r="D4102" s="37"/>
      <c r="E4102" s="37"/>
      <c r="F4102" s="87"/>
    </row>
    <row r="4103">
      <c r="A4103" s="147"/>
      <c r="B4103" s="148"/>
      <c r="C4103" s="87"/>
      <c r="D4103" s="37"/>
      <c r="E4103" s="37"/>
      <c r="F4103" s="87"/>
    </row>
    <row r="4104">
      <c r="A4104" s="147"/>
      <c r="B4104" s="148"/>
      <c r="C4104" s="87"/>
      <c r="D4104" s="37"/>
      <c r="E4104" s="37"/>
      <c r="F4104" s="87"/>
    </row>
    <row r="4105">
      <c r="A4105" s="147"/>
      <c r="B4105" s="148"/>
      <c r="C4105" s="87"/>
      <c r="D4105" s="37"/>
      <c r="E4105" s="37"/>
      <c r="F4105" s="87"/>
    </row>
    <row r="4106">
      <c r="A4106" s="147"/>
      <c r="B4106" s="148"/>
      <c r="C4106" s="87"/>
      <c r="D4106" s="37"/>
      <c r="E4106" s="37"/>
      <c r="F4106" s="87"/>
    </row>
    <row r="4107">
      <c r="A4107" s="147"/>
      <c r="B4107" s="148"/>
      <c r="C4107" s="87"/>
      <c r="D4107" s="37"/>
      <c r="E4107" s="37"/>
      <c r="F4107" s="87"/>
    </row>
    <row r="4108">
      <c r="A4108" s="147"/>
      <c r="B4108" s="148"/>
      <c r="C4108" s="87"/>
      <c r="D4108" s="37"/>
      <c r="E4108" s="37"/>
      <c r="F4108" s="87"/>
    </row>
    <row r="4109">
      <c r="A4109" s="147"/>
      <c r="B4109" s="148"/>
      <c r="C4109" s="87"/>
      <c r="D4109" s="37"/>
      <c r="E4109" s="37"/>
      <c r="F4109" s="87"/>
    </row>
    <row r="4110">
      <c r="A4110" s="147"/>
      <c r="B4110" s="148"/>
      <c r="C4110" s="87"/>
      <c r="D4110" s="37"/>
      <c r="E4110" s="37"/>
      <c r="F4110" s="87"/>
    </row>
    <row r="4111">
      <c r="A4111" s="147"/>
      <c r="B4111" s="148"/>
      <c r="C4111" s="87"/>
      <c r="D4111" s="37"/>
      <c r="E4111" s="37"/>
      <c r="F4111" s="87"/>
    </row>
    <row r="4112">
      <c r="A4112" s="147"/>
      <c r="B4112" s="148"/>
      <c r="C4112" s="87"/>
      <c r="D4112" s="37"/>
      <c r="E4112" s="37"/>
      <c r="F4112" s="87"/>
    </row>
    <row r="4113">
      <c r="A4113" s="147"/>
      <c r="B4113" s="148"/>
      <c r="C4113" s="87"/>
      <c r="D4113" s="37"/>
      <c r="E4113" s="37"/>
      <c r="F4113" s="87"/>
    </row>
    <row r="4114">
      <c r="A4114" s="147"/>
      <c r="B4114" s="148"/>
      <c r="C4114" s="87"/>
      <c r="D4114" s="37"/>
      <c r="E4114" s="37"/>
      <c r="F4114" s="87"/>
    </row>
    <row r="4115">
      <c r="A4115" s="147"/>
      <c r="B4115" s="148"/>
      <c r="C4115" s="87"/>
      <c r="D4115" s="37"/>
      <c r="E4115" s="37"/>
      <c r="F4115" s="87"/>
    </row>
    <row r="4116">
      <c r="A4116" s="147"/>
      <c r="B4116" s="148"/>
      <c r="C4116" s="87"/>
      <c r="D4116" s="37"/>
      <c r="E4116" s="37"/>
      <c r="F4116" s="87"/>
    </row>
    <row r="4117">
      <c r="A4117" s="147"/>
      <c r="B4117" s="148"/>
      <c r="C4117" s="87"/>
      <c r="D4117" s="37"/>
      <c r="E4117" s="37"/>
      <c r="F4117" s="87"/>
    </row>
    <row r="4118">
      <c r="A4118" s="147"/>
      <c r="B4118" s="148"/>
      <c r="C4118" s="87"/>
      <c r="D4118" s="37"/>
      <c r="E4118" s="37"/>
      <c r="F4118" s="87"/>
    </row>
    <row r="4119">
      <c r="A4119" s="147"/>
      <c r="B4119" s="148"/>
      <c r="C4119" s="87"/>
      <c r="D4119" s="37"/>
      <c r="E4119" s="37"/>
      <c r="F4119" s="87"/>
    </row>
    <row r="4120">
      <c r="A4120" s="147"/>
      <c r="B4120" s="148"/>
      <c r="C4120" s="87"/>
      <c r="D4120" s="37"/>
      <c r="E4120" s="37"/>
      <c r="F4120" s="87"/>
    </row>
    <row r="4121">
      <c r="A4121" s="147"/>
      <c r="B4121" s="148"/>
      <c r="C4121" s="87"/>
      <c r="D4121" s="37"/>
      <c r="E4121" s="37"/>
      <c r="F4121" s="87"/>
    </row>
    <row r="4122">
      <c r="A4122" s="147"/>
      <c r="B4122" s="148"/>
      <c r="C4122" s="87"/>
      <c r="D4122" s="37"/>
      <c r="E4122" s="37"/>
      <c r="F4122" s="87"/>
    </row>
    <row r="4123">
      <c r="A4123" s="147"/>
      <c r="B4123" s="148"/>
      <c r="C4123" s="87"/>
      <c r="D4123" s="37"/>
      <c r="E4123" s="37"/>
      <c r="F4123" s="87"/>
    </row>
    <row r="4124">
      <c r="A4124" s="147"/>
      <c r="B4124" s="148"/>
      <c r="C4124" s="87"/>
      <c r="D4124" s="37"/>
      <c r="E4124" s="37"/>
      <c r="F4124" s="87"/>
    </row>
    <row r="4125">
      <c r="A4125" s="147"/>
      <c r="B4125" s="148"/>
      <c r="C4125" s="87"/>
      <c r="D4125" s="37"/>
      <c r="E4125" s="37"/>
      <c r="F4125" s="87"/>
    </row>
    <row r="4126">
      <c r="A4126" s="147"/>
      <c r="B4126" s="148"/>
      <c r="C4126" s="87"/>
      <c r="D4126" s="37"/>
      <c r="E4126" s="37"/>
      <c r="F4126" s="87"/>
    </row>
    <row r="4127">
      <c r="A4127" s="147"/>
      <c r="B4127" s="148"/>
      <c r="C4127" s="87"/>
      <c r="D4127" s="37"/>
      <c r="E4127" s="37"/>
      <c r="F4127" s="87"/>
    </row>
    <row r="4128">
      <c r="A4128" s="147"/>
      <c r="B4128" s="148"/>
      <c r="C4128" s="87"/>
      <c r="D4128" s="37"/>
      <c r="E4128" s="37"/>
      <c r="F4128" s="87"/>
    </row>
    <row r="4129">
      <c r="A4129" s="147"/>
      <c r="B4129" s="148"/>
      <c r="C4129" s="87"/>
      <c r="D4129" s="37"/>
      <c r="E4129" s="37"/>
      <c r="F4129" s="87"/>
    </row>
    <row r="4130">
      <c r="A4130" s="147"/>
      <c r="B4130" s="148"/>
      <c r="C4130" s="87"/>
      <c r="D4130" s="37"/>
      <c r="E4130" s="37"/>
      <c r="F4130" s="87"/>
    </row>
    <row r="4131">
      <c r="A4131" s="147"/>
      <c r="B4131" s="148"/>
      <c r="C4131" s="87"/>
      <c r="D4131" s="37"/>
      <c r="E4131" s="37"/>
      <c r="F4131" s="87"/>
    </row>
    <row r="4132">
      <c r="A4132" s="147"/>
      <c r="B4132" s="148"/>
      <c r="C4132" s="87"/>
      <c r="D4132" s="37"/>
      <c r="E4132" s="37"/>
      <c r="F4132" s="87"/>
    </row>
    <row r="4133">
      <c r="A4133" s="147"/>
      <c r="B4133" s="148"/>
      <c r="C4133" s="87"/>
      <c r="D4133" s="37"/>
      <c r="E4133" s="37"/>
      <c r="F4133" s="87"/>
    </row>
    <row r="4134">
      <c r="A4134" s="147"/>
      <c r="B4134" s="148"/>
      <c r="C4134" s="87"/>
      <c r="D4134" s="37"/>
      <c r="E4134" s="37"/>
      <c r="F4134" s="87"/>
    </row>
    <row r="4135">
      <c r="A4135" s="147"/>
      <c r="B4135" s="148"/>
      <c r="C4135" s="87"/>
      <c r="D4135" s="37"/>
      <c r="E4135" s="37"/>
      <c r="F4135" s="87"/>
    </row>
    <row r="4136">
      <c r="A4136" s="147"/>
      <c r="B4136" s="148"/>
      <c r="C4136" s="87"/>
      <c r="D4136" s="37"/>
      <c r="E4136" s="37"/>
      <c r="F4136" s="87"/>
    </row>
    <row r="4137">
      <c r="A4137" s="147"/>
      <c r="B4137" s="148"/>
      <c r="C4137" s="87"/>
      <c r="D4137" s="37"/>
      <c r="E4137" s="37"/>
      <c r="F4137" s="87"/>
    </row>
    <row r="4138">
      <c r="A4138" s="147"/>
      <c r="B4138" s="148"/>
      <c r="C4138" s="87"/>
      <c r="D4138" s="37"/>
      <c r="E4138" s="37"/>
      <c r="F4138" s="87"/>
    </row>
    <row r="4139">
      <c r="A4139" s="147"/>
      <c r="B4139" s="148"/>
      <c r="C4139" s="87"/>
      <c r="D4139" s="37"/>
      <c r="E4139" s="37"/>
      <c r="F4139" s="87"/>
    </row>
    <row r="4140">
      <c r="A4140" s="147"/>
      <c r="B4140" s="148"/>
      <c r="C4140" s="87"/>
      <c r="D4140" s="37"/>
      <c r="E4140" s="37"/>
      <c r="F4140" s="87"/>
    </row>
    <row r="4141">
      <c r="A4141" s="147"/>
      <c r="B4141" s="148"/>
      <c r="C4141" s="87"/>
      <c r="D4141" s="37"/>
      <c r="E4141" s="37"/>
      <c r="F4141" s="87"/>
    </row>
    <row r="4142">
      <c r="A4142" s="147"/>
      <c r="B4142" s="148"/>
      <c r="C4142" s="87"/>
      <c r="D4142" s="37"/>
      <c r="E4142" s="37"/>
      <c r="F4142" s="87"/>
    </row>
    <row r="4143">
      <c r="A4143" s="147"/>
      <c r="B4143" s="148"/>
      <c r="C4143" s="87"/>
      <c r="D4143" s="37"/>
      <c r="E4143" s="37"/>
      <c r="F4143" s="87"/>
    </row>
    <row r="4144">
      <c r="A4144" s="147"/>
      <c r="B4144" s="148"/>
      <c r="C4144" s="87"/>
      <c r="D4144" s="37"/>
      <c r="E4144" s="37"/>
      <c r="F4144" s="87"/>
    </row>
    <row r="4145">
      <c r="A4145" s="147"/>
      <c r="B4145" s="148"/>
      <c r="C4145" s="87"/>
      <c r="D4145" s="37"/>
      <c r="E4145" s="37"/>
      <c r="F4145" s="87"/>
    </row>
    <row r="4146">
      <c r="A4146" s="147"/>
      <c r="B4146" s="148"/>
      <c r="C4146" s="87"/>
      <c r="D4146" s="37"/>
      <c r="E4146" s="37"/>
      <c r="F4146" s="87"/>
    </row>
    <row r="4147">
      <c r="A4147" s="147"/>
      <c r="B4147" s="148"/>
      <c r="C4147" s="87"/>
      <c r="D4147" s="37"/>
      <c r="E4147" s="37"/>
      <c r="F4147" s="87"/>
    </row>
    <row r="4148">
      <c r="A4148" s="147"/>
      <c r="B4148" s="148"/>
      <c r="C4148" s="87"/>
      <c r="D4148" s="37"/>
      <c r="E4148" s="37"/>
      <c r="F4148" s="87"/>
    </row>
    <row r="4149">
      <c r="A4149" s="147"/>
      <c r="B4149" s="148"/>
      <c r="C4149" s="87"/>
      <c r="D4149" s="37"/>
      <c r="E4149" s="37"/>
      <c r="F4149" s="87"/>
    </row>
    <row r="4150">
      <c r="A4150" s="147"/>
      <c r="B4150" s="148"/>
      <c r="C4150" s="87"/>
      <c r="D4150" s="37"/>
      <c r="E4150" s="37"/>
      <c r="F4150" s="87"/>
    </row>
    <row r="4151">
      <c r="A4151" s="147"/>
      <c r="B4151" s="148"/>
      <c r="C4151" s="87"/>
      <c r="D4151" s="37"/>
      <c r="E4151" s="37"/>
      <c r="F4151" s="87"/>
    </row>
    <row r="4152">
      <c r="A4152" s="147"/>
      <c r="B4152" s="148"/>
      <c r="C4152" s="87"/>
      <c r="D4152" s="37"/>
      <c r="E4152" s="37"/>
      <c r="F4152" s="87"/>
    </row>
    <row r="4153">
      <c r="A4153" s="147"/>
      <c r="B4153" s="148"/>
      <c r="C4153" s="87"/>
      <c r="D4153" s="37"/>
      <c r="E4153" s="37"/>
      <c r="F4153" s="87"/>
    </row>
    <row r="4154">
      <c r="A4154" s="147"/>
      <c r="B4154" s="148"/>
      <c r="C4154" s="87"/>
      <c r="D4154" s="37"/>
      <c r="E4154" s="37"/>
      <c r="F4154" s="87"/>
    </row>
    <row r="4155">
      <c r="A4155" s="147"/>
      <c r="B4155" s="148"/>
      <c r="C4155" s="87"/>
      <c r="D4155" s="37"/>
      <c r="E4155" s="37"/>
      <c r="F4155" s="87"/>
    </row>
    <row r="4156">
      <c r="A4156" s="147"/>
      <c r="B4156" s="148"/>
      <c r="C4156" s="87"/>
      <c r="D4156" s="37"/>
      <c r="E4156" s="37"/>
      <c r="F4156" s="87"/>
    </row>
    <row r="4157">
      <c r="A4157" s="147"/>
      <c r="B4157" s="148"/>
      <c r="C4157" s="87"/>
      <c r="D4157" s="37"/>
      <c r="E4157" s="37"/>
      <c r="F4157" s="87"/>
    </row>
    <row r="4158">
      <c r="A4158" s="147"/>
      <c r="B4158" s="148"/>
      <c r="C4158" s="87"/>
      <c r="D4158" s="37"/>
      <c r="E4158" s="37"/>
      <c r="F4158" s="87"/>
    </row>
    <row r="4159">
      <c r="A4159" s="147"/>
      <c r="B4159" s="148"/>
      <c r="C4159" s="87"/>
      <c r="D4159" s="37"/>
      <c r="E4159" s="37"/>
      <c r="F4159" s="87"/>
    </row>
    <row r="4160">
      <c r="A4160" s="147"/>
      <c r="B4160" s="148"/>
      <c r="C4160" s="87"/>
      <c r="D4160" s="37"/>
      <c r="E4160" s="37"/>
      <c r="F4160" s="87"/>
    </row>
    <row r="4161">
      <c r="A4161" s="147"/>
      <c r="B4161" s="148"/>
      <c r="C4161" s="87"/>
      <c r="D4161" s="37"/>
      <c r="E4161" s="37"/>
      <c r="F4161" s="87"/>
    </row>
    <row r="4162">
      <c r="A4162" s="147"/>
      <c r="B4162" s="148"/>
      <c r="C4162" s="87"/>
      <c r="D4162" s="37"/>
      <c r="E4162" s="37"/>
      <c r="F4162" s="87"/>
    </row>
    <row r="4163">
      <c r="A4163" s="147"/>
      <c r="B4163" s="148"/>
      <c r="C4163" s="87"/>
      <c r="D4163" s="37"/>
      <c r="E4163" s="37"/>
      <c r="F4163" s="87"/>
    </row>
    <row r="4164">
      <c r="A4164" s="147"/>
      <c r="B4164" s="148"/>
      <c r="C4164" s="87"/>
      <c r="D4164" s="37"/>
      <c r="E4164" s="37"/>
      <c r="F4164" s="87"/>
    </row>
    <row r="4165">
      <c r="A4165" s="147"/>
      <c r="B4165" s="148"/>
      <c r="C4165" s="87"/>
      <c r="D4165" s="37"/>
      <c r="E4165" s="37"/>
      <c r="F4165" s="87"/>
    </row>
    <row r="4166">
      <c r="A4166" s="147"/>
      <c r="B4166" s="148"/>
      <c r="C4166" s="87"/>
      <c r="D4166" s="37"/>
      <c r="E4166" s="37"/>
      <c r="F4166" s="87"/>
    </row>
    <row r="4167">
      <c r="A4167" s="147"/>
      <c r="B4167" s="148"/>
      <c r="C4167" s="87"/>
      <c r="D4167" s="37"/>
      <c r="E4167" s="37"/>
      <c r="F4167" s="87"/>
    </row>
    <row r="4168">
      <c r="A4168" s="147"/>
      <c r="B4168" s="148"/>
      <c r="C4168" s="87"/>
      <c r="D4168" s="37"/>
      <c r="E4168" s="37"/>
      <c r="F4168" s="87"/>
    </row>
    <row r="4169">
      <c r="A4169" s="147"/>
      <c r="B4169" s="148"/>
      <c r="C4169" s="87"/>
      <c r="D4169" s="37"/>
      <c r="E4169" s="37"/>
      <c r="F4169" s="87"/>
    </row>
    <row r="4170">
      <c r="A4170" s="147"/>
      <c r="B4170" s="148"/>
      <c r="C4170" s="87"/>
      <c r="D4170" s="37"/>
      <c r="E4170" s="37"/>
      <c r="F4170" s="87"/>
    </row>
    <row r="4171">
      <c r="A4171" s="147"/>
      <c r="B4171" s="148"/>
      <c r="C4171" s="87"/>
      <c r="D4171" s="37"/>
      <c r="E4171" s="37"/>
      <c r="F4171" s="87"/>
    </row>
    <row r="4172">
      <c r="A4172" s="147"/>
      <c r="B4172" s="148"/>
      <c r="C4172" s="87"/>
      <c r="D4172" s="37"/>
      <c r="E4172" s="37"/>
      <c r="F4172" s="87"/>
    </row>
    <row r="4173">
      <c r="A4173" s="147"/>
      <c r="B4173" s="148"/>
      <c r="C4173" s="87"/>
      <c r="D4173" s="37"/>
      <c r="E4173" s="37"/>
      <c r="F4173" s="87"/>
    </row>
    <row r="4174">
      <c r="A4174" s="147"/>
      <c r="B4174" s="148"/>
      <c r="C4174" s="87"/>
      <c r="D4174" s="37"/>
      <c r="E4174" s="37"/>
      <c r="F4174" s="87"/>
    </row>
    <row r="4175">
      <c r="A4175" s="147"/>
      <c r="B4175" s="148"/>
      <c r="C4175" s="87"/>
      <c r="D4175" s="37"/>
      <c r="E4175" s="37"/>
      <c r="F4175" s="87"/>
    </row>
    <row r="4176">
      <c r="A4176" s="147"/>
      <c r="B4176" s="148"/>
      <c r="C4176" s="87"/>
      <c r="D4176" s="37"/>
      <c r="E4176" s="37"/>
      <c r="F4176" s="87"/>
    </row>
    <row r="4177">
      <c r="A4177" s="147"/>
      <c r="B4177" s="148"/>
      <c r="C4177" s="87"/>
      <c r="D4177" s="37"/>
      <c r="E4177" s="37"/>
      <c r="F4177" s="87"/>
    </row>
    <row r="4178">
      <c r="A4178" s="147"/>
      <c r="B4178" s="148"/>
      <c r="C4178" s="87"/>
      <c r="D4178" s="37"/>
      <c r="E4178" s="37"/>
      <c r="F4178" s="87"/>
    </row>
    <row r="4179">
      <c r="A4179" s="147"/>
      <c r="B4179" s="148"/>
      <c r="C4179" s="87"/>
      <c r="D4179" s="37"/>
      <c r="E4179" s="37"/>
      <c r="F4179" s="87"/>
    </row>
    <row r="4180">
      <c r="A4180" s="147"/>
      <c r="B4180" s="148"/>
      <c r="C4180" s="87"/>
      <c r="D4180" s="37"/>
      <c r="E4180" s="37"/>
      <c r="F4180" s="87"/>
    </row>
    <row r="4181">
      <c r="A4181" s="147"/>
      <c r="B4181" s="148"/>
      <c r="C4181" s="87"/>
      <c r="D4181" s="37"/>
      <c r="E4181" s="37"/>
      <c r="F4181" s="87"/>
    </row>
    <row r="4182">
      <c r="A4182" s="147"/>
      <c r="B4182" s="148"/>
      <c r="C4182" s="87"/>
      <c r="D4182" s="37"/>
      <c r="E4182" s="37"/>
      <c r="F4182" s="87"/>
    </row>
    <row r="4183">
      <c r="A4183" s="147"/>
      <c r="B4183" s="148"/>
      <c r="C4183" s="87"/>
      <c r="D4183" s="37"/>
      <c r="E4183" s="37"/>
      <c r="F4183" s="87"/>
    </row>
    <row r="4184">
      <c r="A4184" s="147"/>
      <c r="B4184" s="148"/>
      <c r="C4184" s="87"/>
      <c r="D4184" s="37"/>
      <c r="E4184" s="37"/>
      <c r="F4184" s="87"/>
    </row>
    <row r="4185">
      <c r="A4185" s="147"/>
      <c r="B4185" s="148"/>
      <c r="C4185" s="87"/>
      <c r="D4185" s="37"/>
      <c r="E4185" s="37"/>
      <c r="F4185" s="87"/>
    </row>
    <row r="4186">
      <c r="A4186" s="147"/>
      <c r="B4186" s="148"/>
      <c r="C4186" s="87"/>
      <c r="D4186" s="37"/>
      <c r="E4186" s="37"/>
      <c r="F4186" s="87"/>
    </row>
    <row r="4187">
      <c r="A4187" s="147"/>
      <c r="B4187" s="148"/>
      <c r="C4187" s="87"/>
      <c r="D4187" s="37"/>
      <c r="E4187" s="37"/>
      <c r="F4187" s="87"/>
    </row>
    <row r="4188">
      <c r="A4188" s="147"/>
      <c r="B4188" s="148"/>
      <c r="C4188" s="87"/>
      <c r="D4188" s="37"/>
      <c r="E4188" s="37"/>
      <c r="F4188" s="87"/>
    </row>
    <row r="4189">
      <c r="A4189" s="147"/>
      <c r="B4189" s="148"/>
      <c r="C4189" s="87"/>
      <c r="D4189" s="37"/>
      <c r="E4189" s="37"/>
      <c r="F4189" s="87"/>
    </row>
    <row r="4190">
      <c r="A4190" s="147"/>
      <c r="B4190" s="148"/>
      <c r="C4190" s="87"/>
      <c r="D4190" s="37"/>
      <c r="E4190" s="37"/>
      <c r="F4190" s="87"/>
    </row>
    <row r="4191">
      <c r="A4191" s="147"/>
      <c r="B4191" s="148"/>
      <c r="C4191" s="87"/>
      <c r="D4191" s="37"/>
      <c r="E4191" s="37"/>
      <c r="F4191" s="87"/>
    </row>
    <row r="4192">
      <c r="A4192" s="147"/>
      <c r="B4192" s="148"/>
      <c r="C4192" s="87"/>
      <c r="D4192" s="37"/>
      <c r="E4192" s="37"/>
      <c r="F4192" s="87"/>
    </row>
    <row r="4193">
      <c r="A4193" s="147"/>
      <c r="B4193" s="148"/>
      <c r="C4193" s="87"/>
      <c r="D4193" s="37"/>
      <c r="E4193" s="37"/>
      <c r="F4193" s="87"/>
    </row>
    <row r="4194">
      <c r="A4194" s="147"/>
      <c r="B4194" s="148"/>
      <c r="C4194" s="87"/>
      <c r="D4194" s="37"/>
      <c r="E4194" s="37"/>
      <c r="F4194" s="87"/>
    </row>
    <row r="4195">
      <c r="A4195" s="147"/>
      <c r="B4195" s="148"/>
      <c r="C4195" s="87"/>
      <c r="D4195" s="37"/>
      <c r="E4195" s="37"/>
      <c r="F4195" s="87"/>
    </row>
    <row r="4196">
      <c r="A4196" s="147"/>
      <c r="B4196" s="148"/>
      <c r="C4196" s="87"/>
      <c r="D4196" s="37"/>
      <c r="E4196" s="37"/>
      <c r="F4196" s="87"/>
    </row>
    <row r="4197">
      <c r="A4197" s="147"/>
      <c r="B4197" s="148"/>
      <c r="C4197" s="87"/>
      <c r="D4197" s="37"/>
      <c r="E4197" s="37"/>
      <c r="F4197" s="87"/>
    </row>
    <row r="4198">
      <c r="A4198" s="147"/>
      <c r="B4198" s="148"/>
      <c r="C4198" s="87"/>
      <c r="D4198" s="37"/>
      <c r="E4198" s="37"/>
      <c r="F4198" s="87"/>
    </row>
    <row r="4199">
      <c r="A4199" s="147"/>
      <c r="B4199" s="148"/>
      <c r="C4199" s="87"/>
      <c r="D4199" s="37"/>
      <c r="E4199" s="37"/>
      <c r="F4199" s="87"/>
    </row>
    <row r="4200">
      <c r="A4200" s="147"/>
      <c r="B4200" s="148"/>
      <c r="C4200" s="87"/>
      <c r="D4200" s="37"/>
      <c r="E4200" s="37"/>
      <c r="F4200" s="87"/>
    </row>
    <row r="4201">
      <c r="A4201" s="147"/>
      <c r="B4201" s="148"/>
      <c r="C4201" s="87"/>
      <c r="D4201" s="37"/>
      <c r="E4201" s="37"/>
      <c r="F4201" s="87"/>
    </row>
    <row r="4202">
      <c r="A4202" s="147"/>
      <c r="B4202" s="148"/>
      <c r="C4202" s="87"/>
      <c r="D4202" s="37"/>
      <c r="E4202" s="37"/>
      <c r="F4202" s="87"/>
    </row>
    <row r="4203">
      <c r="A4203" s="147"/>
      <c r="B4203" s="148"/>
      <c r="C4203" s="87"/>
      <c r="D4203" s="37"/>
      <c r="E4203" s="37"/>
      <c r="F4203" s="87"/>
    </row>
    <row r="4204">
      <c r="A4204" s="147"/>
      <c r="B4204" s="148"/>
      <c r="C4204" s="87"/>
      <c r="D4204" s="37"/>
      <c r="E4204" s="37"/>
      <c r="F4204" s="87"/>
    </row>
    <row r="4205">
      <c r="A4205" s="147"/>
      <c r="B4205" s="148"/>
      <c r="C4205" s="87"/>
      <c r="D4205" s="37"/>
      <c r="E4205" s="37"/>
      <c r="F4205" s="87"/>
    </row>
    <row r="4206">
      <c r="A4206" s="147"/>
      <c r="B4206" s="148"/>
      <c r="C4206" s="87"/>
      <c r="D4206" s="37"/>
      <c r="E4206" s="37"/>
      <c r="F4206" s="87"/>
    </row>
    <row r="4207">
      <c r="A4207" s="147"/>
      <c r="B4207" s="148"/>
      <c r="C4207" s="87"/>
      <c r="D4207" s="37"/>
      <c r="E4207" s="37"/>
      <c r="F4207" s="87"/>
    </row>
    <row r="4208">
      <c r="A4208" s="147"/>
      <c r="B4208" s="148"/>
      <c r="C4208" s="87"/>
      <c r="D4208" s="37"/>
      <c r="E4208" s="37"/>
      <c r="F4208" s="87"/>
    </row>
    <row r="4209">
      <c r="A4209" s="147"/>
      <c r="B4209" s="148"/>
      <c r="C4209" s="87"/>
      <c r="D4209" s="37"/>
      <c r="E4209" s="37"/>
      <c r="F4209" s="87"/>
    </row>
    <row r="4210">
      <c r="A4210" s="147"/>
      <c r="B4210" s="148"/>
      <c r="C4210" s="87"/>
      <c r="D4210" s="37"/>
      <c r="E4210" s="37"/>
      <c r="F4210" s="87"/>
    </row>
    <row r="4211">
      <c r="A4211" s="147"/>
      <c r="B4211" s="148"/>
      <c r="C4211" s="87"/>
      <c r="D4211" s="37"/>
      <c r="E4211" s="37"/>
      <c r="F4211" s="87"/>
    </row>
    <row r="4212">
      <c r="A4212" s="147"/>
      <c r="B4212" s="148"/>
      <c r="C4212" s="87"/>
      <c r="D4212" s="37"/>
      <c r="E4212" s="37"/>
      <c r="F4212" s="87"/>
    </row>
    <row r="4213">
      <c r="A4213" s="147"/>
      <c r="B4213" s="148"/>
      <c r="C4213" s="87"/>
      <c r="D4213" s="37"/>
      <c r="E4213" s="37"/>
      <c r="F4213" s="87"/>
    </row>
    <row r="4214">
      <c r="A4214" s="147"/>
      <c r="B4214" s="148"/>
      <c r="C4214" s="87"/>
      <c r="D4214" s="37"/>
      <c r="E4214" s="37"/>
      <c r="F4214" s="87"/>
    </row>
    <row r="4215">
      <c r="A4215" s="147"/>
      <c r="B4215" s="148"/>
      <c r="C4215" s="87"/>
      <c r="D4215" s="37"/>
      <c r="E4215" s="37"/>
      <c r="F4215" s="87"/>
    </row>
    <row r="4216">
      <c r="A4216" s="147"/>
      <c r="B4216" s="148"/>
      <c r="C4216" s="87"/>
      <c r="D4216" s="37"/>
      <c r="E4216" s="37"/>
      <c r="F4216" s="87"/>
    </row>
    <row r="4217">
      <c r="A4217" s="147"/>
      <c r="B4217" s="148"/>
      <c r="C4217" s="87"/>
      <c r="D4217" s="37"/>
      <c r="E4217" s="37"/>
      <c r="F4217" s="87"/>
    </row>
    <row r="4218">
      <c r="A4218" s="147"/>
      <c r="B4218" s="148"/>
      <c r="C4218" s="87"/>
      <c r="D4218" s="37"/>
      <c r="E4218" s="37"/>
      <c r="F4218" s="87"/>
    </row>
    <row r="4219">
      <c r="A4219" s="147"/>
      <c r="B4219" s="148"/>
      <c r="C4219" s="87"/>
      <c r="D4219" s="37"/>
      <c r="E4219" s="37"/>
      <c r="F4219" s="87"/>
    </row>
    <row r="4220">
      <c r="A4220" s="147"/>
      <c r="B4220" s="148"/>
      <c r="C4220" s="87"/>
      <c r="D4220" s="37"/>
      <c r="E4220" s="37"/>
      <c r="F4220" s="87"/>
    </row>
    <row r="4221">
      <c r="A4221" s="147"/>
      <c r="B4221" s="148"/>
      <c r="C4221" s="87"/>
      <c r="D4221" s="37"/>
      <c r="E4221" s="37"/>
      <c r="F4221" s="87"/>
    </row>
    <row r="4222">
      <c r="A4222" s="147"/>
      <c r="B4222" s="148"/>
      <c r="C4222" s="87"/>
      <c r="D4222" s="37"/>
      <c r="E4222" s="37"/>
      <c r="F4222" s="87"/>
    </row>
    <row r="4223">
      <c r="A4223" s="147"/>
      <c r="B4223" s="148"/>
      <c r="C4223" s="87"/>
      <c r="D4223" s="37"/>
      <c r="E4223" s="37"/>
      <c r="F4223" s="87"/>
    </row>
    <row r="4224">
      <c r="A4224" s="147"/>
      <c r="B4224" s="148"/>
      <c r="C4224" s="87"/>
      <c r="D4224" s="37"/>
      <c r="E4224" s="37"/>
      <c r="F4224" s="87"/>
    </row>
    <row r="4225">
      <c r="A4225" s="147"/>
      <c r="B4225" s="148"/>
      <c r="C4225" s="87"/>
      <c r="D4225" s="37"/>
      <c r="E4225" s="37"/>
      <c r="F4225" s="87"/>
    </row>
    <row r="4226">
      <c r="A4226" s="147"/>
      <c r="B4226" s="148"/>
      <c r="C4226" s="87"/>
      <c r="D4226" s="37"/>
      <c r="E4226" s="37"/>
      <c r="F4226" s="87"/>
    </row>
    <row r="4227">
      <c r="A4227" s="147"/>
      <c r="B4227" s="148"/>
      <c r="C4227" s="87"/>
      <c r="D4227" s="37"/>
      <c r="E4227" s="37"/>
      <c r="F4227" s="87"/>
    </row>
    <row r="4228">
      <c r="A4228" s="147"/>
      <c r="B4228" s="148"/>
      <c r="C4228" s="87"/>
      <c r="D4228" s="37"/>
      <c r="E4228" s="37"/>
      <c r="F4228" s="87"/>
    </row>
    <row r="4229">
      <c r="A4229" s="147"/>
      <c r="B4229" s="148"/>
      <c r="C4229" s="87"/>
      <c r="D4229" s="37"/>
      <c r="E4229" s="37"/>
      <c r="F4229" s="87"/>
    </row>
    <row r="4230">
      <c r="A4230" s="147"/>
      <c r="B4230" s="148"/>
      <c r="C4230" s="87"/>
      <c r="D4230" s="37"/>
      <c r="E4230" s="37"/>
      <c r="F4230" s="87"/>
    </row>
    <row r="4231">
      <c r="A4231" s="147"/>
      <c r="B4231" s="148"/>
      <c r="C4231" s="87"/>
      <c r="D4231" s="37"/>
      <c r="E4231" s="37"/>
      <c r="F4231" s="87"/>
    </row>
    <row r="4232">
      <c r="A4232" s="147"/>
      <c r="B4232" s="148"/>
      <c r="C4232" s="87"/>
      <c r="D4232" s="37"/>
      <c r="E4232" s="37"/>
      <c r="F4232" s="87"/>
    </row>
    <row r="4233">
      <c r="A4233" s="147"/>
      <c r="B4233" s="148"/>
      <c r="C4233" s="87"/>
      <c r="D4233" s="37"/>
      <c r="E4233" s="37"/>
      <c r="F4233" s="87"/>
    </row>
    <row r="4234">
      <c r="A4234" s="147"/>
      <c r="B4234" s="148"/>
      <c r="C4234" s="87"/>
      <c r="D4234" s="37"/>
      <c r="E4234" s="37"/>
      <c r="F4234" s="87"/>
    </row>
    <row r="4235">
      <c r="A4235" s="147"/>
      <c r="B4235" s="148"/>
      <c r="C4235" s="87"/>
      <c r="D4235" s="37"/>
      <c r="E4235" s="37"/>
      <c r="F4235" s="87"/>
    </row>
    <row r="4236">
      <c r="A4236" s="147"/>
      <c r="B4236" s="148"/>
      <c r="C4236" s="87"/>
      <c r="D4236" s="37"/>
      <c r="E4236" s="37"/>
      <c r="F4236" s="87"/>
    </row>
    <row r="4237">
      <c r="A4237" s="147"/>
      <c r="B4237" s="148"/>
      <c r="C4237" s="87"/>
      <c r="D4237" s="37"/>
      <c r="E4237" s="37"/>
      <c r="F4237" s="87"/>
    </row>
    <row r="4238">
      <c r="A4238" s="147"/>
      <c r="B4238" s="148"/>
      <c r="C4238" s="87"/>
      <c r="D4238" s="37"/>
      <c r="E4238" s="37"/>
      <c r="F4238" s="87"/>
    </row>
    <row r="4239">
      <c r="A4239" s="147"/>
      <c r="B4239" s="148"/>
      <c r="C4239" s="87"/>
      <c r="D4239" s="37"/>
      <c r="E4239" s="37"/>
      <c r="F4239" s="87"/>
    </row>
    <row r="4240">
      <c r="A4240" s="147"/>
      <c r="B4240" s="148"/>
      <c r="C4240" s="87"/>
      <c r="D4240" s="37"/>
      <c r="E4240" s="37"/>
      <c r="F4240" s="87"/>
    </row>
    <row r="4241">
      <c r="A4241" s="147"/>
      <c r="B4241" s="148"/>
      <c r="C4241" s="87"/>
      <c r="D4241" s="37"/>
      <c r="E4241" s="37"/>
      <c r="F4241" s="87"/>
    </row>
    <row r="4242">
      <c r="A4242" s="147"/>
      <c r="B4242" s="148"/>
      <c r="C4242" s="87"/>
      <c r="D4242" s="37"/>
      <c r="E4242" s="37"/>
      <c r="F4242" s="87"/>
    </row>
    <row r="4243">
      <c r="A4243" s="147"/>
      <c r="B4243" s="148"/>
      <c r="C4243" s="87"/>
      <c r="D4243" s="37"/>
      <c r="E4243" s="37"/>
      <c r="F4243" s="87"/>
    </row>
    <row r="4244">
      <c r="A4244" s="147"/>
      <c r="B4244" s="148"/>
      <c r="C4244" s="87"/>
      <c r="D4244" s="37"/>
      <c r="E4244" s="37"/>
      <c r="F4244" s="87"/>
    </row>
    <row r="4245">
      <c r="A4245" s="147"/>
      <c r="B4245" s="148"/>
      <c r="C4245" s="87"/>
      <c r="D4245" s="37"/>
      <c r="E4245" s="37"/>
      <c r="F4245" s="87"/>
    </row>
    <row r="4246">
      <c r="A4246" s="147"/>
      <c r="B4246" s="148"/>
      <c r="C4246" s="87"/>
      <c r="D4246" s="37"/>
      <c r="E4246" s="37"/>
      <c r="F4246" s="87"/>
    </row>
    <row r="4247">
      <c r="A4247" s="147"/>
      <c r="B4247" s="148"/>
      <c r="C4247" s="87"/>
      <c r="D4247" s="37"/>
      <c r="E4247" s="37"/>
      <c r="F4247" s="87"/>
    </row>
    <row r="4248">
      <c r="A4248" s="147"/>
      <c r="B4248" s="148"/>
      <c r="C4248" s="87"/>
      <c r="D4248" s="37"/>
      <c r="E4248" s="37"/>
      <c r="F4248" s="87"/>
    </row>
    <row r="4249">
      <c r="A4249" s="147"/>
      <c r="B4249" s="148"/>
      <c r="C4249" s="87"/>
      <c r="D4249" s="37"/>
      <c r="E4249" s="37"/>
      <c r="F4249" s="87"/>
    </row>
    <row r="4250">
      <c r="A4250" s="147"/>
      <c r="B4250" s="148"/>
      <c r="C4250" s="87"/>
      <c r="D4250" s="37"/>
      <c r="E4250" s="37"/>
      <c r="F4250" s="87"/>
    </row>
    <row r="4251">
      <c r="A4251" s="147"/>
      <c r="B4251" s="148"/>
      <c r="C4251" s="87"/>
      <c r="D4251" s="37"/>
      <c r="E4251" s="37"/>
      <c r="F4251" s="87"/>
    </row>
    <row r="4252">
      <c r="A4252" s="147"/>
      <c r="B4252" s="148"/>
      <c r="C4252" s="87"/>
      <c r="D4252" s="37"/>
      <c r="E4252" s="37"/>
      <c r="F4252" s="87"/>
    </row>
    <row r="4253">
      <c r="A4253" s="147"/>
      <c r="B4253" s="148"/>
      <c r="C4253" s="87"/>
      <c r="D4253" s="37"/>
      <c r="E4253" s="37"/>
      <c r="F4253" s="87"/>
    </row>
    <row r="4254">
      <c r="A4254" s="147"/>
      <c r="B4254" s="148"/>
      <c r="C4254" s="87"/>
      <c r="D4254" s="37"/>
      <c r="E4254" s="37"/>
      <c r="F4254" s="87"/>
    </row>
    <row r="4255">
      <c r="A4255" s="147"/>
      <c r="B4255" s="148"/>
      <c r="C4255" s="87"/>
      <c r="D4255" s="37"/>
      <c r="E4255" s="37"/>
      <c r="F4255" s="87"/>
    </row>
    <row r="4256">
      <c r="A4256" s="147"/>
      <c r="B4256" s="148"/>
      <c r="C4256" s="87"/>
      <c r="D4256" s="37"/>
      <c r="E4256" s="37"/>
      <c r="F4256" s="87"/>
    </row>
    <row r="4257">
      <c r="A4257" s="147"/>
      <c r="B4257" s="148"/>
      <c r="C4257" s="87"/>
      <c r="D4257" s="37"/>
      <c r="E4257" s="37"/>
      <c r="F4257" s="87"/>
    </row>
    <row r="4258">
      <c r="A4258" s="147"/>
      <c r="B4258" s="148"/>
      <c r="C4258" s="87"/>
      <c r="D4258" s="37"/>
      <c r="E4258" s="37"/>
      <c r="F4258" s="87"/>
    </row>
    <row r="4259">
      <c r="A4259" s="147"/>
      <c r="B4259" s="148"/>
      <c r="C4259" s="87"/>
      <c r="D4259" s="37"/>
      <c r="E4259" s="37"/>
      <c r="F4259" s="87"/>
    </row>
    <row r="4260">
      <c r="A4260" s="147"/>
      <c r="B4260" s="148"/>
      <c r="C4260" s="87"/>
      <c r="D4260" s="37"/>
      <c r="E4260" s="37"/>
      <c r="F4260" s="87"/>
    </row>
    <row r="4261">
      <c r="A4261" s="147"/>
      <c r="B4261" s="148"/>
      <c r="C4261" s="87"/>
      <c r="D4261" s="37"/>
      <c r="E4261" s="37"/>
      <c r="F4261" s="87"/>
    </row>
    <row r="4262">
      <c r="A4262" s="147"/>
      <c r="B4262" s="148"/>
      <c r="C4262" s="87"/>
      <c r="D4262" s="37"/>
      <c r="E4262" s="37"/>
      <c r="F4262" s="87"/>
    </row>
    <row r="4263">
      <c r="A4263" s="147"/>
      <c r="B4263" s="148"/>
      <c r="C4263" s="87"/>
      <c r="D4263" s="37"/>
      <c r="E4263" s="37"/>
      <c r="F4263" s="87"/>
    </row>
    <row r="4264">
      <c r="A4264" s="147"/>
      <c r="B4264" s="148"/>
      <c r="C4264" s="87"/>
      <c r="D4264" s="37"/>
      <c r="E4264" s="37"/>
      <c r="F4264" s="87"/>
    </row>
    <row r="4265">
      <c r="A4265" s="147"/>
      <c r="B4265" s="148"/>
      <c r="C4265" s="87"/>
      <c r="D4265" s="37"/>
      <c r="E4265" s="37"/>
      <c r="F4265" s="87"/>
    </row>
    <row r="4266">
      <c r="A4266" s="147"/>
      <c r="B4266" s="148"/>
      <c r="C4266" s="87"/>
      <c r="D4266" s="37"/>
      <c r="E4266" s="37"/>
      <c r="F4266" s="87"/>
    </row>
    <row r="4267">
      <c r="A4267" s="147"/>
      <c r="B4267" s="148"/>
      <c r="C4267" s="87"/>
      <c r="D4267" s="37"/>
      <c r="E4267" s="37"/>
      <c r="F4267" s="87"/>
    </row>
    <row r="4268">
      <c r="A4268" s="147"/>
      <c r="B4268" s="148"/>
      <c r="C4268" s="87"/>
      <c r="D4268" s="37"/>
      <c r="E4268" s="37"/>
      <c r="F4268" s="87"/>
    </row>
    <row r="4269">
      <c r="A4269" s="147"/>
      <c r="B4269" s="148"/>
      <c r="C4269" s="87"/>
      <c r="D4269" s="37"/>
      <c r="E4269" s="37"/>
      <c r="F4269" s="87"/>
    </row>
    <row r="4270">
      <c r="A4270" s="147"/>
      <c r="B4270" s="148"/>
      <c r="C4270" s="87"/>
      <c r="D4270" s="37"/>
      <c r="E4270" s="37"/>
      <c r="F4270" s="87"/>
    </row>
    <row r="4271">
      <c r="A4271" s="147"/>
      <c r="B4271" s="148"/>
      <c r="C4271" s="87"/>
      <c r="D4271" s="37"/>
      <c r="E4271" s="37"/>
      <c r="F4271" s="87"/>
    </row>
    <row r="4272">
      <c r="A4272" s="147"/>
      <c r="B4272" s="148"/>
      <c r="C4272" s="87"/>
      <c r="D4272" s="37"/>
      <c r="E4272" s="37"/>
      <c r="F4272" s="87"/>
    </row>
    <row r="4273">
      <c r="A4273" s="147"/>
      <c r="B4273" s="148"/>
      <c r="C4273" s="87"/>
      <c r="D4273" s="37"/>
      <c r="E4273" s="37"/>
      <c r="F4273" s="87"/>
    </row>
    <row r="4274">
      <c r="A4274" s="147"/>
      <c r="B4274" s="148"/>
      <c r="C4274" s="87"/>
      <c r="D4274" s="37"/>
      <c r="E4274" s="37"/>
      <c r="F4274" s="87"/>
    </row>
    <row r="4275">
      <c r="A4275" s="147"/>
      <c r="B4275" s="148"/>
      <c r="C4275" s="87"/>
      <c r="D4275" s="37"/>
      <c r="E4275" s="37"/>
      <c r="F4275" s="87"/>
    </row>
    <row r="4276">
      <c r="A4276" s="147"/>
      <c r="B4276" s="148"/>
      <c r="C4276" s="87"/>
      <c r="D4276" s="37"/>
      <c r="E4276" s="37"/>
      <c r="F4276" s="87"/>
    </row>
    <row r="4277">
      <c r="A4277" s="147"/>
      <c r="B4277" s="148"/>
      <c r="C4277" s="87"/>
      <c r="D4277" s="37"/>
      <c r="E4277" s="37"/>
      <c r="F4277" s="87"/>
    </row>
    <row r="4278">
      <c r="A4278" s="147"/>
      <c r="B4278" s="148"/>
      <c r="C4278" s="87"/>
      <c r="D4278" s="37"/>
      <c r="E4278" s="37"/>
      <c r="F4278" s="87"/>
    </row>
    <row r="4279">
      <c r="A4279" s="147"/>
      <c r="B4279" s="148"/>
      <c r="C4279" s="87"/>
      <c r="D4279" s="37"/>
      <c r="E4279" s="37"/>
      <c r="F4279" s="87"/>
    </row>
    <row r="4280">
      <c r="A4280" s="147"/>
      <c r="B4280" s="148"/>
      <c r="C4280" s="87"/>
      <c r="D4280" s="37"/>
      <c r="E4280" s="37"/>
      <c r="F4280" s="87"/>
    </row>
    <row r="4281">
      <c r="A4281" s="147"/>
      <c r="B4281" s="148"/>
      <c r="C4281" s="87"/>
      <c r="D4281" s="37"/>
      <c r="E4281" s="37"/>
      <c r="F4281" s="87"/>
    </row>
    <row r="4282">
      <c r="A4282" s="147"/>
      <c r="B4282" s="148"/>
      <c r="C4282" s="87"/>
      <c r="D4282" s="37"/>
      <c r="E4282" s="37"/>
      <c r="F4282" s="87"/>
    </row>
    <row r="4283">
      <c r="A4283" s="147"/>
      <c r="B4283" s="148"/>
      <c r="C4283" s="87"/>
      <c r="D4283" s="37"/>
      <c r="E4283" s="37"/>
      <c r="F4283" s="87"/>
    </row>
    <row r="4284">
      <c r="A4284" s="147"/>
      <c r="B4284" s="148"/>
      <c r="C4284" s="87"/>
      <c r="D4284" s="37"/>
      <c r="E4284" s="37"/>
      <c r="F4284" s="87"/>
    </row>
    <row r="4285">
      <c r="A4285" s="147"/>
      <c r="B4285" s="148"/>
      <c r="C4285" s="87"/>
      <c r="D4285" s="37"/>
      <c r="E4285" s="37"/>
      <c r="F4285" s="87"/>
    </row>
    <row r="4286">
      <c r="A4286" s="147"/>
      <c r="B4286" s="148"/>
      <c r="C4286" s="87"/>
      <c r="D4286" s="37"/>
      <c r="E4286" s="37"/>
      <c r="F4286" s="87"/>
    </row>
    <row r="4287">
      <c r="A4287" s="147"/>
      <c r="B4287" s="148"/>
      <c r="C4287" s="87"/>
      <c r="D4287" s="37"/>
      <c r="E4287" s="37"/>
      <c r="F4287" s="87"/>
    </row>
    <row r="4288">
      <c r="A4288" s="147"/>
      <c r="B4288" s="148"/>
      <c r="C4288" s="87"/>
      <c r="D4288" s="37"/>
      <c r="E4288" s="37"/>
      <c r="F4288" s="87"/>
    </row>
    <row r="4289">
      <c r="A4289" s="147"/>
      <c r="B4289" s="148"/>
      <c r="C4289" s="87"/>
      <c r="D4289" s="37"/>
      <c r="E4289" s="37"/>
      <c r="F4289" s="87"/>
    </row>
    <row r="4290">
      <c r="A4290" s="147"/>
      <c r="B4290" s="148"/>
      <c r="C4290" s="87"/>
      <c r="D4290" s="37"/>
      <c r="E4290" s="37"/>
      <c r="F4290" s="87"/>
    </row>
    <row r="4291">
      <c r="A4291" s="147"/>
      <c r="B4291" s="148"/>
      <c r="C4291" s="87"/>
      <c r="D4291" s="37"/>
      <c r="E4291" s="37"/>
      <c r="F4291" s="87"/>
    </row>
    <row r="4292">
      <c r="A4292" s="147"/>
      <c r="B4292" s="148"/>
      <c r="C4292" s="87"/>
      <c r="D4292" s="37"/>
      <c r="E4292" s="37"/>
      <c r="F4292" s="87"/>
    </row>
    <row r="4293">
      <c r="A4293" s="147"/>
      <c r="B4293" s="148"/>
      <c r="C4293" s="87"/>
      <c r="D4293" s="37"/>
      <c r="E4293" s="37"/>
      <c r="F4293" s="87"/>
    </row>
    <row r="4294">
      <c r="A4294" s="147"/>
      <c r="B4294" s="148"/>
      <c r="C4294" s="87"/>
      <c r="D4294" s="37"/>
      <c r="E4294" s="37"/>
      <c r="F4294" s="87"/>
    </row>
    <row r="4295">
      <c r="A4295" s="147"/>
      <c r="B4295" s="148"/>
      <c r="C4295" s="87"/>
      <c r="D4295" s="37"/>
      <c r="E4295" s="37"/>
      <c r="F4295" s="87"/>
    </row>
    <row r="4296">
      <c r="A4296" s="147"/>
      <c r="B4296" s="148"/>
      <c r="C4296" s="87"/>
      <c r="D4296" s="37"/>
      <c r="E4296" s="37"/>
      <c r="F4296" s="87"/>
    </row>
    <row r="4297">
      <c r="A4297" s="147"/>
      <c r="B4297" s="148"/>
      <c r="C4297" s="87"/>
      <c r="D4297" s="37"/>
      <c r="E4297" s="37"/>
      <c r="F4297" s="87"/>
    </row>
    <row r="4298">
      <c r="A4298" s="147"/>
      <c r="B4298" s="148"/>
      <c r="C4298" s="87"/>
      <c r="D4298" s="37"/>
      <c r="E4298" s="37"/>
      <c r="F4298" s="87"/>
    </row>
    <row r="4299">
      <c r="A4299" s="147"/>
      <c r="B4299" s="148"/>
      <c r="C4299" s="87"/>
      <c r="D4299" s="37"/>
      <c r="E4299" s="37"/>
      <c r="F4299" s="87"/>
    </row>
    <row r="4300">
      <c r="A4300" s="147"/>
      <c r="B4300" s="148"/>
      <c r="C4300" s="87"/>
      <c r="D4300" s="37"/>
      <c r="E4300" s="37"/>
      <c r="F4300" s="87"/>
    </row>
    <row r="4301">
      <c r="A4301" s="147"/>
      <c r="B4301" s="148"/>
      <c r="C4301" s="87"/>
      <c r="D4301" s="37"/>
      <c r="E4301" s="37"/>
      <c r="F4301" s="87"/>
    </row>
    <row r="4302">
      <c r="A4302" s="147"/>
      <c r="B4302" s="148"/>
      <c r="C4302" s="87"/>
      <c r="D4302" s="37"/>
      <c r="E4302" s="37"/>
      <c r="F4302" s="87"/>
    </row>
    <row r="4303">
      <c r="A4303" s="147"/>
      <c r="B4303" s="148"/>
      <c r="C4303" s="87"/>
      <c r="D4303" s="37"/>
      <c r="E4303" s="37"/>
      <c r="F4303" s="87"/>
    </row>
    <row r="4304">
      <c r="A4304" s="147"/>
      <c r="B4304" s="148"/>
      <c r="C4304" s="87"/>
      <c r="D4304" s="37"/>
      <c r="E4304" s="37"/>
      <c r="F4304" s="87"/>
    </row>
    <row r="4305">
      <c r="A4305" s="147"/>
      <c r="B4305" s="148"/>
      <c r="C4305" s="87"/>
      <c r="D4305" s="37"/>
      <c r="E4305" s="37"/>
      <c r="F4305" s="87"/>
    </row>
    <row r="4306">
      <c r="A4306" s="147"/>
      <c r="B4306" s="148"/>
      <c r="C4306" s="87"/>
      <c r="D4306" s="37"/>
      <c r="E4306" s="37"/>
      <c r="F4306" s="87"/>
    </row>
    <row r="4307">
      <c r="A4307" s="147"/>
      <c r="B4307" s="148"/>
      <c r="C4307" s="87"/>
      <c r="D4307" s="37"/>
      <c r="E4307" s="37"/>
      <c r="F4307" s="87"/>
    </row>
    <row r="4308">
      <c r="A4308" s="147"/>
      <c r="B4308" s="148"/>
      <c r="C4308" s="87"/>
      <c r="D4308" s="37"/>
      <c r="E4308" s="37"/>
      <c r="F4308" s="87"/>
    </row>
    <row r="4309">
      <c r="A4309" s="147"/>
      <c r="B4309" s="148"/>
      <c r="C4309" s="87"/>
      <c r="D4309" s="37"/>
      <c r="E4309" s="37"/>
      <c r="F4309" s="87"/>
    </row>
    <row r="4310">
      <c r="A4310" s="147"/>
      <c r="B4310" s="148"/>
      <c r="C4310" s="87"/>
      <c r="D4310" s="37"/>
      <c r="E4310" s="37"/>
      <c r="F4310" s="87"/>
    </row>
    <row r="4311">
      <c r="A4311" s="147"/>
      <c r="B4311" s="148"/>
      <c r="C4311" s="87"/>
      <c r="D4311" s="37"/>
      <c r="E4311" s="37"/>
      <c r="F4311" s="87"/>
    </row>
    <row r="4312">
      <c r="A4312" s="147"/>
      <c r="B4312" s="148"/>
      <c r="C4312" s="87"/>
      <c r="D4312" s="37"/>
      <c r="E4312" s="37"/>
      <c r="F4312" s="87"/>
    </row>
    <row r="4313">
      <c r="A4313" s="147"/>
      <c r="B4313" s="148"/>
      <c r="C4313" s="87"/>
      <c r="D4313" s="37"/>
      <c r="E4313" s="37"/>
      <c r="F4313" s="87"/>
    </row>
    <row r="4314">
      <c r="A4314" s="147"/>
      <c r="B4314" s="148"/>
      <c r="C4314" s="87"/>
      <c r="D4314" s="37"/>
      <c r="E4314" s="37"/>
      <c r="F4314" s="87"/>
    </row>
    <row r="4315">
      <c r="A4315" s="147"/>
      <c r="B4315" s="148"/>
      <c r="C4315" s="87"/>
      <c r="D4315" s="37"/>
      <c r="E4315" s="37"/>
      <c r="F4315" s="87"/>
    </row>
    <row r="4316">
      <c r="A4316" s="147"/>
      <c r="B4316" s="148"/>
      <c r="C4316" s="87"/>
      <c r="D4316" s="37"/>
      <c r="E4316" s="37"/>
      <c r="F4316" s="87"/>
    </row>
    <row r="4317">
      <c r="A4317" s="147"/>
      <c r="B4317" s="148"/>
      <c r="C4317" s="87"/>
      <c r="D4317" s="37"/>
      <c r="E4317" s="37"/>
      <c r="F4317" s="87"/>
    </row>
    <row r="4318">
      <c r="A4318" s="147"/>
      <c r="B4318" s="148"/>
      <c r="C4318" s="87"/>
      <c r="D4318" s="37"/>
      <c r="E4318" s="37"/>
      <c r="F4318" s="87"/>
    </row>
    <row r="4319">
      <c r="A4319" s="147"/>
      <c r="B4319" s="148"/>
      <c r="C4319" s="87"/>
      <c r="D4319" s="37"/>
      <c r="E4319" s="37"/>
      <c r="F4319" s="87"/>
    </row>
    <row r="4320">
      <c r="A4320" s="147"/>
      <c r="B4320" s="148"/>
      <c r="C4320" s="87"/>
      <c r="D4320" s="37"/>
      <c r="E4320" s="37"/>
      <c r="F4320" s="87"/>
    </row>
    <row r="4321">
      <c r="A4321" s="147"/>
      <c r="B4321" s="148"/>
      <c r="C4321" s="87"/>
      <c r="D4321" s="37"/>
      <c r="E4321" s="37"/>
      <c r="F4321" s="87"/>
    </row>
    <row r="4322">
      <c r="A4322" s="147"/>
      <c r="B4322" s="148"/>
      <c r="C4322" s="87"/>
      <c r="D4322" s="37"/>
      <c r="E4322" s="37"/>
      <c r="F4322" s="87"/>
    </row>
    <row r="4323">
      <c r="A4323" s="147"/>
      <c r="B4323" s="148"/>
      <c r="C4323" s="87"/>
      <c r="D4323" s="37"/>
      <c r="E4323" s="37"/>
      <c r="F4323" s="87"/>
    </row>
    <row r="4324">
      <c r="A4324" s="147"/>
      <c r="B4324" s="148"/>
      <c r="C4324" s="87"/>
      <c r="D4324" s="37"/>
      <c r="E4324" s="37"/>
      <c r="F4324" s="87"/>
    </row>
    <row r="4325">
      <c r="A4325" s="147"/>
      <c r="B4325" s="148"/>
      <c r="C4325" s="87"/>
      <c r="D4325" s="37"/>
      <c r="E4325" s="37"/>
      <c r="F4325" s="87"/>
    </row>
    <row r="4326">
      <c r="A4326" s="147"/>
      <c r="B4326" s="148"/>
      <c r="C4326" s="87"/>
      <c r="D4326" s="37"/>
      <c r="E4326" s="37"/>
      <c r="F4326" s="87"/>
    </row>
    <row r="4327">
      <c r="A4327" s="147"/>
      <c r="B4327" s="148"/>
      <c r="C4327" s="87"/>
      <c r="D4327" s="37"/>
      <c r="E4327" s="37"/>
      <c r="F4327" s="87"/>
    </row>
    <row r="4328">
      <c r="A4328" s="147"/>
      <c r="B4328" s="148"/>
      <c r="C4328" s="87"/>
      <c r="D4328" s="37"/>
      <c r="E4328" s="37"/>
      <c r="F4328" s="87"/>
    </row>
    <row r="4329">
      <c r="A4329" s="147"/>
      <c r="B4329" s="148"/>
      <c r="C4329" s="87"/>
      <c r="D4329" s="37"/>
      <c r="E4329" s="37"/>
      <c r="F4329" s="87"/>
    </row>
    <row r="4330">
      <c r="A4330" s="147"/>
      <c r="B4330" s="148"/>
      <c r="C4330" s="87"/>
      <c r="D4330" s="37"/>
      <c r="E4330" s="37"/>
      <c r="F4330" s="87"/>
    </row>
    <row r="4331">
      <c r="A4331" s="147"/>
      <c r="B4331" s="148"/>
      <c r="C4331" s="87"/>
      <c r="D4331" s="37"/>
      <c r="E4331" s="37"/>
      <c r="F4331" s="87"/>
    </row>
    <row r="4332">
      <c r="A4332" s="147"/>
      <c r="B4332" s="148"/>
      <c r="C4332" s="87"/>
      <c r="D4332" s="37"/>
      <c r="E4332" s="37"/>
      <c r="F4332" s="87"/>
    </row>
    <row r="4333">
      <c r="A4333" s="147"/>
      <c r="B4333" s="148"/>
      <c r="C4333" s="87"/>
      <c r="D4333" s="37"/>
      <c r="E4333" s="37"/>
      <c r="F4333" s="87"/>
    </row>
    <row r="4334">
      <c r="A4334" s="147"/>
      <c r="B4334" s="148"/>
      <c r="C4334" s="87"/>
      <c r="D4334" s="37"/>
      <c r="E4334" s="37"/>
      <c r="F4334" s="87"/>
    </row>
    <row r="4335">
      <c r="A4335" s="147"/>
      <c r="B4335" s="148"/>
      <c r="C4335" s="87"/>
      <c r="D4335" s="37"/>
      <c r="E4335" s="37"/>
      <c r="F4335" s="87"/>
    </row>
    <row r="4336">
      <c r="A4336" s="147"/>
      <c r="B4336" s="148"/>
      <c r="C4336" s="87"/>
      <c r="D4336" s="37"/>
      <c r="E4336" s="37"/>
      <c r="F4336" s="87"/>
    </row>
    <row r="4337">
      <c r="A4337" s="147"/>
      <c r="B4337" s="148"/>
      <c r="C4337" s="87"/>
      <c r="D4337" s="37"/>
      <c r="E4337" s="37"/>
      <c r="F4337" s="87"/>
    </row>
    <row r="4338">
      <c r="A4338" s="147"/>
      <c r="B4338" s="148"/>
      <c r="C4338" s="87"/>
      <c r="D4338" s="37"/>
      <c r="E4338" s="37"/>
      <c r="F4338" s="87"/>
    </row>
    <row r="4339">
      <c r="A4339" s="147"/>
      <c r="B4339" s="148"/>
      <c r="C4339" s="87"/>
      <c r="D4339" s="37"/>
      <c r="E4339" s="37"/>
      <c r="F4339" s="87"/>
    </row>
    <row r="4340">
      <c r="A4340" s="147"/>
      <c r="B4340" s="148"/>
      <c r="C4340" s="87"/>
      <c r="D4340" s="37"/>
      <c r="E4340" s="37"/>
      <c r="F4340" s="87"/>
    </row>
    <row r="4341">
      <c r="A4341" s="147"/>
      <c r="B4341" s="148"/>
      <c r="C4341" s="87"/>
      <c r="D4341" s="37"/>
      <c r="E4341" s="37"/>
      <c r="F4341" s="87"/>
    </row>
    <row r="4342">
      <c r="A4342" s="147"/>
      <c r="B4342" s="148"/>
      <c r="C4342" s="87"/>
      <c r="D4342" s="37"/>
      <c r="E4342" s="37"/>
      <c r="F4342" s="87"/>
    </row>
    <row r="4343">
      <c r="A4343" s="147"/>
      <c r="B4343" s="148"/>
      <c r="C4343" s="87"/>
      <c r="D4343" s="37"/>
      <c r="E4343" s="37"/>
      <c r="F4343" s="87"/>
    </row>
    <row r="4344">
      <c r="A4344" s="147"/>
      <c r="B4344" s="148"/>
      <c r="C4344" s="87"/>
      <c r="D4344" s="37"/>
      <c r="E4344" s="37"/>
      <c r="F4344" s="87"/>
    </row>
    <row r="4345">
      <c r="A4345" s="147"/>
      <c r="B4345" s="148"/>
      <c r="C4345" s="87"/>
      <c r="D4345" s="37"/>
      <c r="E4345" s="37"/>
      <c r="F4345" s="87"/>
    </row>
    <row r="4346">
      <c r="A4346" s="147"/>
      <c r="B4346" s="148"/>
      <c r="C4346" s="87"/>
      <c r="D4346" s="37"/>
      <c r="E4346" s="37"/>
      <c r="F4346" s="87"/>
    </row>
    <row r="4347">
      <c r="A4347" s="147"/>
      <c r="B4347" s="148"/>
      <c r="C4347" s="87"/>
      <c r="D4347" s="37"/>
      <c r="E4347" s="37"/>
      <c r="F4347" s="87"/>
    </row>
    <row r="4348">
      <c r="A4348" s="147"/>
      <c r="B4348" s="148"/>
      <c r="C4348" s="87"/>
      <c r="D4348" s="37"/>
      <c r="E4348" s="37"/>
      <c r="F4348" s="87"/>
    </row>
    <row r="4349">
      <c r="A4349" s="147"/>
      <c r="B4349" s="148"/>
      <c r="C4349" s="87"/>
      <c r="D4349" s="37"/>
      <c r="E4349" s="37"/>
      <c r="F4349" s="87"/>
    </row>
    <row r="4350">
      <c r="A4350" s="147"/>
      <c r="B4350" s="148"/>
      <c r="C4350" s="87"/>
      <c r="D4350" s="37"/>
      <c r="E4350" s="37"/>
      <c r="F4350" s="87"/>
    </row>
    <row r="4351">
      <c r="A4351" s="147"/>
      <c r="B4351" s="148"/>
      <c r="C4351" s="87"/>
      <c r="D4351" s="37"/>
      <c r="E4351" s="37"/>
      <c r="F4351" s="87"/>
    </row>
    <row r="4352">
      <c r="A4352" s="147"/>
      <c r="B4352" s="148"/>
      <c r="C4352" s="87"/>
      <c r="D4352" s="37"/>
      <c r="E4352" s="37"/>
      <c r="F4352" s="87"/>
    </row>
    <row r="4353">
      <c r="A4353" s="147"/>
      <c r="B4353" s="148"/>
      <c r="C4353" s="87"/>
      <c r="D4353" s="37"/>
      <c r="E4353" s="37"/>
      <c r="F4353" s="87"/>
    </row>
    <row r="4354">
      <c r="A4354" s="147"/>
      <c r="B4354" s="148"/>
      <c r="C4354" s="87"/>
      <c r="D4354" s="37"/>
      <c r="E4354" s="37"/>
      <c r="F4354" s="87"/>
    </row>
    <row r="4355">
      <c r="A4355" s="147"/>
      <c r="B4355" s="148"/>
      <c r="C4355" s="87"/>
      <c r="D4355" s="37"/>
      <c r="E4355" s="37"/>
      <c r="F4355" s="87"/>
    </row>
    <row r="4356">
      <c r="A4356" s="147"/>
      <c r="B4356" s="148"/>
      <c r="C4356" s="87"/>
      <c r="D4356" s="37"/>
      <c r="E4356" s="37"/>
      <c r="F4356" s="87"/>
    </row>
    <row r="4357">
      <c r="A4357" s="147"/>
      <c r="B4357" s="148"/>
      <c r="C4357" s="87"/>
      <c r="D4357" s="37"/>
      <c r="E4357" s="37"/>
      <c r="F4357" s="87"/>
    </row>
    <row r="4358">
      <c r="A4358" s="147"/>
      <c r="B4358" s="148"/>
      <c r="C4358" s="87"/>
      <c r="D4358" s="37"/>
      <c r="E4358" s="37"/>
      <c r="F4358" s="87"/>
    </row>
    <row r="4359">
      <c r="A4359" s="147"/>
      <c r="B4359" s="148"/>
      <c r="C4359" s="87"/>
      <c r="D4359" s="37"/>
      <c r="E4359" s="37"/>
      <c r="F4359" s="87"/>
    </row>
    <row r="4360">
      <c r="A4360" s="147"/>
      <c r="B4360" s="148"/>
      <c r="C4360" s="87"/>
      <c r="D4360" s="37"/>
      <c r="E4360" s="37"/>
      <c r="F4360" s="87"/>
    </row>
    <row r="4361">
      <c r="A4361" s="147"/>
      <c r="B4361" s="148"/>
      <c r="C4361" s="87"/>
      <c r="D4361" s="37"/>
      <c r="E4361" s="37"/>
      <c r="F4361" s="87"/>
    </row>
    <row r="4362">
      <c r="A4362" s="147"/>
      <c r="B4362" s="148"/>
      <c r="C4362" s="87"/>
      <c r="D4362" s="37"/>
      <c r="E4362" s="37"/>
      <c r="F4362" s="87"/>
    </row>
    <row r="4363">
      <c r="A4363" s="147"/>
      <c r="B4363" s="148"/>
      <c r="C4363" s="87"/>
      <c r="D4363" s="37"/>
      <c r="E4363" s="37"/>
      <c r="F4363" s="87"/>
    </row>
    <row r="4364">
      <c r="A4364" s="147"/>
      <c r="B4364" s="148"/>
      <c r="C4364" s="87"/>
      <c r="D4364" s="37"/>
      <c r="E4364" s="37"/>
      <c r="F4364" s="87"/>
    </row>
    <row r="4365">
      <c r="A4365" s="147"/>
      <c r="B4365" s="148"/>
      <c r="C4365" s="87"/>
      <c r="D4365" s="37"/>
      <c r="E4365" s="37"/>
      <c r="F4365" s="87"/>
    </row>
    <row r="4366">
      <c r="A4366" s="147"/>
      <c r="B4366" s="148"/>
      <c r="C4366" s="87"/>
      <c r="D4366" s="37"/>
      <c r="E4366" s="37"/>
      <c r="F4366" s="87"/>
    </row>
    <row r="4367">
      <c r="A4367" s="147"/>
      <c r="B4367" s="148"/>
      <c r="C4367" s="87"/>
      <c r="D4367" s="37"/>
      <c r="E4367" s="37"/>
      <c r="F4367" s="87"/>
    </row>
    <row r="4368">
      <c r="A4368" s="147"/>
      <c r="B4368" s="148"/>
      <c r="C4368" s="87"/>
      <c r="D4368" s="37"/>
      <c r="E4368" s="37"/>
      <c r="F4368" s="87"/>
    </row>
    <row r="4369">
      <c r="A4369" s="147"/>
      <c r="B4369" s="148"/>
      <c r="C4369" s="87"/>
      <c r="D4369" s="37"/>
      <c r="E4369" s="37"/>
      <c r="F4369" s="87"/>
    </row>
    <row r="4370">
      <c r="A4370" s="147"/>
      <c r="B4370" s="148"/>
      <c r="C4370" s="87"/>
      <c r="D4370" s="37"/>
      <c r="E4370" s="37"/>
      <c r="F4370" s="87"/>
    </row>
    <row r="4371">
      <c r="A4371" s="147"/>
      <c r="B4371" s="148"/>
      <c r="C4371" s="87"/>
      <c r="D4371" s="37"/>
      <c r="E4371" s="37"/>
      <c r="F4371" s="87"/>
    </row>
    <row r="4372">
      <c r="A4372" s="147"/>
      <c r="B4372" s="148"/>
      <c r="C4372" s="87"/>
      <c r="D4372" s="37"/>
      <c r="E4372" s="37"/>
      <c r="F4372" s="87"/>
    </row>
    <row r="4373">
      <c r="A4373" s="147"/>
      <c r="B4373" s="148"/>
      <c r="C4373" s="87"/>
      <c r="D4373" s="37"/>
      <c r="E4373" s="37"/>
      <c r="F4373" s="87"/>
    </row>
    <row r="4374">
      <c r="A4374" s="147"/>
      <c r="B4374" s="148"/>
      <c r="C4374" s="87"/>
      <c r="D4374" s="37"/>
      <c r="E4374" s="37"/>
      <c r="F4374" s="87"/>
    </row>
    <row r="4375">
      <c r="A4375" s="147"/>
      <c r="B4375" s="148"/>
      <c r="C4375" s="87"/>
      <c r="D4375" s="37"/>
      <c r="E4375" s="37"/>
      <c r="F4375" s="87"/>
    </row>
    <row r="4376">
      <c r="A4376" s="147"/>
      <c r="B4376" s="148"/>
      <c r="C4376" s="87"/>
      <c r="D4376" s="37"/>
      <c r="E4376" s="37"/>
      <c r="F4376" s="87"/>
    </row>
    <row r="4377">
      <c r="A4377" s="147"/>
      <c r="B4377" s="148"/>
      <c r="C4377" s="87"/>
      <c r="D4377" s="37"/>
      <c r="E4377" s="37"/>
      <c r="F4377" s="87"/>
    </row>
    <row r="4378">
      <c r="A4378" s="147"/>
      <c r="B4378" s="148"/>
      <c r="C4378" s="87"/>
      <c r="D4378" s="37"/>
      <c r="E4378" s="37"/>
      <c r="F4378" s="87"/>
    </row>
    <row r="4379">
      <c r="A4379" s="147"/>
      <c r="B4379" s="148"/>
      <c r="C4379" s="87"/>
      <c r="D4379" s="37"/>
      <c r="E4379" s="37"/>
      <c r="F4379" s="87"/>
    </row>
    <row r="4380">
      <c r="A4380" s="147"/>
      <c r="B4380" s="148"/>
      <c r="C4380" s="87"/>
      <c r="D4380" s="37"/>
      <c r="E4380" s="37"/>
      <c r="F4380" s="87"/>
    </row>
    <row r="4381">
      <c r="A4381" s="147"/>
      <c r="B4381" s="148"/>
      <c r="C4381" s="87"/>
      <c r="D4381" s="37"/>
      <c r="E4381" s="37"/>
      <c r="F4381" s="87"/>
    </row>
    <row r="4382">
      <c r="A4382" s="147"/>
      <c r="B4382" s="148"/>
      <c r="C4382" s="87"/>
      <c r="D4382" s="37"/>
      <c r="E4382" s="37"/>
      <c r="F4382" s="87"/>
    </row>
    <row r="4383">
      <c r="A4383" s="147"/>
      <c r="B4383" s="148"/>
      <c r="C4383" s="87"/>
      <c r="D4383" s="37"/>
      <c r="E4383" s="37"/>
      <c r="F4383" s="87"/>
    </row>
    <row r="4384">
      <c r="A4384" s="147"/>
      <c r="B4384" s="148"/>
      <c r="C4384" s="87"/>
      <c r="D4384" s="37"/>
      <c r="E4384" s="37"/>
      <c r="F4384" s="87"/>
    </row>
    <row r="4385">
      <c r="A4385" s="147"/>
      <c r="B4385" s="148"/>
      <c r="C4385" s="87"/>
      <c r="D4385" s="37"/>
      <c r="E4385" s="37"/>
      <c r="F4385" s="87"/>
    </row>
    <row r="4386">
      <c r="A4386" s="147"/>
      <c r="B4386" s="148"/>
      <c r="C4386" s="87"/>
      <c r="D4386" s="37"/>
      <c r="E4386" s="37"/>
      <c r="F4386" s="87"/>
    </row>
    <row r="4387">
      <c r="A4387" s="147"/>
      <c r="B4387" s="148"/>
      <c r="C4387" s="87"/>
      <c r="D4387" s="37"/>
      <c r="E4387" s="37"/>
      <c r="F4387" s="87"/>
    </row>
    <row r="4388">
      <c r="A4388" s="147"/>
      <c r="B4388" s="148"/>
      <c r="C4388" s="87"/>
      <c r="D4388" s="37"/>
      <c r="E4388" s="37"/>
      <c r="F4388" s="87"/>
    </row>
    <row r="4389">
      <c r="A4389" s="147"/>
      <c r="B4389" s="148"/>
      <c r="C4389" s="87"/>
      <c r="D4389" s="37"/>
      <c r="E4389" s="37"/>
      <c r="F4389" s="87"/>
    </row>
    <row r="4390">
      <c r="A4390" s="147"/>
      <c r="B4390" s="148"/>
      <c r="C4390" s="87"/>
      <c r="D4390" s="37"/>
      <c r="E4390" s="37"/>
      <c r="F4390" s="87"/>
    </row>
    <row r="4391">
      <c r="A4391" s="147"/>
      <c r="B4391" s="148"/>
      <c r="C4391" s="87"/>
      <c r="D4391" s="37"/>
      <c r="E4391" s="37"/>
      <c r="F4391" s="87"/>
    </row>
    <row r="4392">
      <c r="A4392" s="147"/>
      <c r="B4392" s="148"/>
      <c r="C4392" s="87"/>
      <c r="D4392" s="37"/>
      <c r="E4392" s="37"/>
      <c r="F4392" s="87"/>
    </row>
    <row r="4393">
      <c r="A4393" s="147"/>
      <c r="B4393" s="148"/>
      <c r="C4393" s="87"/>
      <c r="D4393" s="37"/>
      <c r="E4393" s="37"/>
      <c r="F4393" s="87"/>
    </row>
    <row r="4394">
      <c r="A4394" s="147"/>
      <c r="B4394" s="148"/>
      <c r="C4394" s="87"/>
      <c r="D4394" s="37"/>
      <c r="E4394" s="37"/>
      <c r="F4394" s="87"/>
    </row>
    <row r="4395">
      <c r="A4395" s="147"/>
      <c r="B4395" s="148"/>
      <c r="C4395" s="87"/>
      <c r="D4395" s="37"/>
      <c r="E4395" s="37"/>
      <c r="F4395" s="87"/>
    </row>
    <row r="4396">
      <c r="A4396" s="147"/>
      <c r="B4396" s="148"/>
      <c r="C4396" s="87"/>
      <c r="D4396" s="37"/>
      <c r="E4396" s="37"/>
      <c r="F4396" s="87"/>
    </row>
    <row r="4397">
      <c r="A4397" s="147"/>
      <c r="B4397" s="148"/>
      <c r="C4397" s="87"/>
      <c r="D4397" s="37"/>
      <c r="E4397" s="37"/>
      <c r="F4397" s="87"/>
    </row>
    <row r="4398">
      <c r="A4398" s="147"/>
      <c r="B4398" s="148"/>
      <c r="C4398" s="87"/>
      <c r="D4398" s="37"/>
      <c r="E4398" s="37"/>
      <c r="F4398" s="87"/>
    </row>
    <row r="4399">
      <c r="A4399" s="147"/>
      <c r="B4399" s="148"/>
      <c r="C4399" s="87"/>
      <c r="D4399" s="37"/>
      <c r="E4399" s="37"/>
      <c r="F4399" s="87"/>
    </row>
    <row r="4400">
      <c r="A4400" s="147"/>
      <c r="B4400" s="148"/>
      <c r="C4400" s="87"/>
      <c r="D4400" s="37"/>
      <c r="E4400" s="37"/>
      <c r="F4400" s="87"/>
    </row>
    <row r="4401">
      <c r="A4401" s="147"/>
      <c r="B4401" s="148"/>
      <c r="C4401" s="87"/>
      <c r="D4401" s="37"/>
      <c r="E4401" s="37"/>
      <c r="F4401" s="87"/>
    </row>
    <row r="4402">
      <c r="A4402" s="147"/>
      <c r="B4402" s="148"/>
      <c r="C4402" s="87"/>
      <c r="D4402" s="37"/>
      <c r="E4402" s="37"/>
      <c r="F4402" s="87"/>
    </row>
    <row r="4403">
      <c r="A4403" s="147"/>
      <c r="B4403" s="148"/>
      <c r="C4403" s="87"/>
      <c r="D4403" s="37"/>
      <c r="E4403" s="37"/>
      <c r="F4403" s="87"/>
    </row>
    <row r="4404">
      <c r="A4404" s="147"/>
      <c r="B4404" s="148"/>
      <c r="C4404" s="87"/>
      <c r="D4404" s="37"/>
      <c r="E4404" s="37"/>
      <c r="F4404" s="87"/>
    </row>
    <row r="4405">
      <c r="A4405" s="147"/>
      <c r="B4405" s="148"/>
      <c r="C4405" s="87"/>
      <c r="D4405" s="37"/>
      <c r="E4405" s="37"/>
      <c r="F4405" s="87"/>
    </row>
    <row r="4406">
      <c r="A4406" s="147"/>
      <c r="B4406" s="148"/>
      <c r="C4406" s="87"/>
      <c r="D4406" s="37"/>
      <c r="E4406" s="37"/>
      <c r="F4406" s="87"/>
    </row>
    <row r="4407">
      <c r="A4407" s="147"/>
      <c r="B4407" s="148"/>
      <c r="C4407" s="87"/>
      <c r="D4407" s="37"/>
      <c r="E4407" s="37"/>
      <c r="F4407" s="87"/>
    </row>
    <row r="4408">
      <c r="A4408" s="147"/>
      <c r="B4408" s="148"/>
      <c r="C4408" s="87"/>
      <c r="D4408" s="37"/>
      <c r="E4408" s="37"/>
      <c r="F4408" s="87"/>
    </row>
    <row r="4409">
      <c r="A4409" s="147"/>
      <c r="B4409" s="148"/>
      <c r="C4409" s="87"/>
      <c r="D4409" s="37"/>
      <c r="E4409" s="37"/>
      <c r="F4409" s="87"/>
    </row>
    <row r="4410">
      <c r="A4410" s="147"/>
      <c r="B4410" s="148"/>
      <c r="C4410" s="87"/>
      <c r="D4410" s="37"/>
      <c r="E4410" s="37"/>
      <c r="F4410" s="87"/>
    </row>
    <row r="4411">
      <c r="A4411" s="147"/>
      <c r="B4411" s="148"/>
      <c r="C4411" s="87"/>
      <c r="D4411" s="37"/>
      <c r="E4411" s="37"/>
      <c r="F4411" s="87"/>
    </row>
    <row r="4412">
      <c r="A4412" s="147"/>
      <c r="B4412" s="148"/>
      <c r="C4412" s="87"/>
      <c r="D4412" s="37"/>
      <c r="E4412" s="37"/>
      <c r="F4412" s="87"/>
    </row>
    <row r="4413">
      <c r="A4413" s="147"/>
      <c r="B4413" s="148"/>
      <c r="C4413" s="87"/>
      <c r="D4413" s="37"/>
      <c r="E4413" s="37"/>
      <c r="F4413" s="87"/>
    </row>
    <row r="4414">
      <c r="A4414" s="147"/>
      <c r="B4414" s="148"/>
      <c r="C4414" s="87"/>
      <c r="D4414" s="37"/>
      <c r="E4414" s="37"/>
      <c r="F4414" s="87"/>
    </row>
    <row r="4415">
      <c r="A4415" s="147"/>
      <c r="B4415" s="148"/>
      <c r="C4415" s="87"/>
      <c r="D4415" s="37"/>
      <c r="E4415" s="37"/>
      <c r="F4415" s="87"/>
    </row>
    <row r="4416">
      <c r="A4416" s="147"/>
      <c r="B4416" s="148"/>
      <c r="C4416" s="87"/>
      <c r="D4416" s="37"/>
      <c r="E4416" s="37"/>
      <c r="F4416" s="87"/>
    </row>
    <row r="4417">
      <c r="A4417" s="147"/>
      <c r="B4417" s="148"/>
      <c r="C4417" s="87"/>
      <c r="D4417" s="37"/>
      <c r="E4417" s="37"/>
      <c r="F4417" s="87"/>
    </row>
    <row r="4418">
      <c r="A4418" s="147"/>
      <c r="B4418" s="148"/>
      <c r="C4418" s="87"/>
      <c r="D4418" s="37"/>
      <c r="E4418" s="37"/>
      <c r="F4418" s="87"/>
    </row>
    <row r="4419">
      <c r="A4419" s="147"/>
      <c r="B4419" s="148"/>
      <c r="C4419" s="87"/>
      <c r="D4419" s="37"/>
      <c r="E4419" s="37"/>
      <c r="F4419" s="87"/>
    </row>
    <row r="4420">
      <c r="A4420" s="147"/>
      <c r="B4420" s="148"/>
      <c r="C4420" s="87"/>
      <c r="D4420" s="37"/>
      <c r="E4420" s="37"/>
      <c r="F4420" s="87"/>
    </row>
    <row r="4421">
      <c r="A4421" s="147"/>
      <c r="B4421" s="148"/>
      <c r="C4421" s="87"/>
      <c r="D4421" s="37"/>
      <c r="E4421" s="37"/>
      <c r="F4421" s="87"/>
    </row>
    <row r="4422">
      <c r="A4422" s="147"/>
      <c r="B4422" s="148"/>
      <c r="C4422" s="87"/>
      <c r="D4422" s="37"/>
      <c r="E4422" s="37"/>
      <c r="F4422" s="87"/>
    </row>
    <row r="4423">
      <c r="A4423" s="147"/>
      <c r="B4423" s="148"/>
      <c r="C4423" s="87"/>
      <c r="D4423" s="37"/>
      <c r="E4423" s="37"/>
      <c r="F4423" s="87"/>
    </row>
    <row r="4424">
      <c r="A4424" s="147"/>
      <c r="B4424" s="148"/>
      <c r="C4424" s="87"/>
      <c r="D4424" s="37"/>
      <c r="E4424" s="37"/>
      <c r="F4424" s="87"/>
    </row>
    <row r="4425">
      <c r="A4425" s="147"/>
      <c r="B4425" s="148"/>
      <c r="C4425" s="87"/>
      <c r="D4425" s="37"/>
      <c r="E4425" s="37"/>
      <c r="F4425" s="87"/>
    </row>
    <row r="4426">
      <c r="A4426" s="147"/>
      <c r="B4426" s="148"/>
      <c r="C4426" s="87"/>
      <c r="D4426" s="37"/>
      <c r="E4426" s="37"/>
      <c r="F4426" s="87"/>
    </row>
    <row r="4427">
      <c r="A4427" s="147"/>
      <c r="B4427" s="148"/>
      <c r="C4427" s="87"/>
      <c r="D4427" s="37"/>
      <c r="E4427" s="37"/>
      <c r="F4427" s="87"/>
    </row>
    <row r="4428">
      <c r="A4428" s="147"/>
      <c r="B4428" s="148"/>
      <c r="C4428" s="87"/>
      <c r="D4428" s="37"/>
      <c r="E4428" s="37"/>
      <c r="F4428" s="87"/>
    </row>
    <row r="4429">
      <c r="A4429" s="147"/>
      <c r="B4429" s="148"/>
      <c r="C4429" s="87"/>
      <c r="D4429" s="37"/>
      <c r="E4429" s="37"/>
      <c r="F4429" s="87"/>
    </row>
    <row r="4430">
      <c r="A4430" s="147"/>
      <c r="B4430" s="148"/>
      <c r="C4430" s="87"/>
      <c r="D4430" s="37"/>
      <c r="E4430" s="37"/>
      <c r="F4430" s="87"/>
    </row>
    <row r="4431">
      <c r="A4431" s="147"/>
      <c r="B4431" s="148"/>
      <c r="C4431" s="87"/>
      <c r="D4431" s="37"/>
      <c r="E4431" s="37"/>
      <c r="F4431" s="87"/>
    </row>
    <row r="4432">
      <c r="A4432" s="147"/>
      <c r="B4432" s="148"/>
      <c r="C4432" s="87"/>
      <c r="D4432" s="37"/>
      <c r="E4432" s="37"/>
      <c r="F4432" s="87"/>
    </row>
    <row r="4433">
      <c r="A4433" s="147"/>
      <c r="B4433" s="148"/>
      <c r="C4433" s="87"/>
      <c r="D4433" s="37"/>
      <c r="E4433" s="37"/>
      <c r="F4433" s="87"/>
    </row>
    <row r="4434">
      <c r="A4434" s="147"/>
      <c r="B4434" s="148"/>
      <c r="C4434" s="87"/>
      <c r="D4434" s="37"/>
      <c r="E4434" s="37"/>
      <c r="F4434" s="87"/>
    </row>
    <row r="4435">
      <c r="A4435" s="147"/>
      <c r="B4435" s="148"/>
      <c r="C4435" s="87"/>
      <c r="D4435" s="37"/>
      <c r="E4435" s="37"/>
      <c r="F4435" s="87"/>
    </row>
    <row r="4436">
      <c r="A4436" s="147"/>
      <c r="B4436" s="148"/>
      <c r="C4436" s="87"/>
      <c r="D4436" s="37"/>
      <c r="E4436" s="37"/>
      <c r="F4436" s="87"/>
    </row>
    <row r="4437">
      <c r="A4437" s="147"/>
      <c r="B4437" s="148"/>
      <c r="C4437" s="87"/>
      <c r="D4437" s="37"/>
      <c r="E4437" s="37"/>
      <c r="F4437" s="87"/>
    </row>
    <row r="4438">
      <c r="A4438" s="147"/>
      <c r="B4438" s="148"/>
      <c r="C4438" s="87"/>
      <c r="D4438" s="37"/>
      <c r="E4438" s="37"/>
      <c r="F4438" s="87"/>
    </row>
    <row r="4439">
      <c r="A4439" s="147"/>
      <c r="B4439" s="148"/>
      <c r="C4439" s="87"/>
      <c r="D4439" s="37"/>
      <c r="E4439" s="37"/>
      <c r="F4439" s="87"/>
    </row>
    <row r="4440">
      <c r="A4440" s="147"/>
      <c r="B4440" s="148"/>
      <c r="C4440" s="87"/>
      <c r="D4440" s="37"/>
      <c r="E4440" s="37"/>
      <c r="F4440" s="87"/>
    </row>
    <row r="4441">
      <c r="A4441" s="147"/>
      <c r="B4441" s="148"/>
      <c r="C4441" s="87"/>
      <c r="D4441" s="37"/>
      <c r="E4441" s="37"/>
      <c r="F4441" s="87"/>
    </row>
    <row r="4442">
      <c r="A4442" s="147"/>
      <c r="B4442" s="148"/>
      <c r="C4442" s="87"/>
      <c r="D4442" s="37"/>
      <c r="E4442" s="37"/>
      <c r="F4442" s="87"/>
    </row>
    <row r="4443">
      <c r="A4443" s="147"/>
      <c r="B4443" s="148"/>
      <c r="C4443" s="87"/>
      <c r="D4443" s="37"/>
      <c r="E4443" s="37"/>
      <c r="F4443" s="87"/>
    </row>
    <row r="4444">
      <c r="A4444" s="147"/>
      <c r="B4444" s="148"/>
      <c r="C4444" s="87"/>
      <c r="D4444" s="37"/>
      <c r="E4444" s="37"/>
      <c r="F4444" s="87"/>
    </row>
    <row r="4445">
      <c r="A4445" s="147"/>
      <c r="B4445" s="148"/>
      <c r="C4445" s="87"/>
      <c r="D4445" s="37"/>
      <c r="E4445" s="37"/>
      <c r="F4445" s="87"/>
    </row>
    <row r="4446">
      <c r="A4446" s="147"/>
      <c r="B4446" s="148"/>
      <c r="C4446" s="87"/>
      <c r="D4446" s="37"/>
      <c r="E4446" s="37"/>
      <c r="F4446" s="87"/>
    </row>
    <row r="4447">
      <c r="A4447" s="147"/>
      <c r="B4447" s="148"/>
      <c r="C4447" s="87"/>
      <c r="D4447" s="37"/>
      <c r="E4447" s="37"/>
      <c r="F4447" s="87"/>
    </row>
    <row r="4448">
      <c r="A4448" s="147"/>
      <c r="B4448" s="148"/>
      <c r="C4448" s="87"/>
      <c r="D4448" s="37"/>
      <c r="E4448" s="37"/>
      <c r="F4448" s="87"/>
    </row>
    <row r="4449">
      <c r="A4449" s="147"/>
      <c r="B4449" s="148"/>
      <c r="C4449" s="87"/>
      <c r="D4449" s="37"/>
      <c r="E4449" s="37"/>
      <c r="F4449" s="87"/>
    </row>
    <row r="4450">
      <c r="A4450" s="147"/>
      <c r="B4450" s="148"/>
      <c r="C4450" s="87"/>
      <c r="D4450" s="37"/>
      <c r="E4450" s="37"/>
      <c r="F4450" s="87"/>
    </row>
    <row r="4451">
      <c r="A4451" s="147"/>
      <c r="B4451" s="148"/>
      <c r="C4451" s="87"/>
      <c r="D4451" s="37"/>
      <c r="E4451" s="37"/>
      <c r="F4451" s="87"/>
    </row>
    <row r="4452">
      <c r="A4452" s="147"/>
      <c r="B4452" s="148"/>
      <c r="C4452" s="87"/>
      <c r="D4452" s="37"/>
      <c r="E4452" s="37"/>
      <c r="F4452" s="87"/>
    </row>
    <row r="4453">
      <c r="A4453" s="147"/>
      <c r="B4453" s="148"/>
      <c r="C4453" s="87"/>
      <c r="D4453" s="37"/>
      <c r="E4453" s="37"/>
      <c r="F4453" s="87"/>
    </row>
    <row r="4454">
      <c r="A4454" s="147"/>
      <c r="B4454" s="148"/>
      <c r="C4454" s="87"/>
      <c r="D4454" s="37"/>
      <c r="E4454" s="37"/>
      <c r="F4454" s="87"/>
    </row>
    <row r="4455">
      <c r="A4455" s="147"/>
      <c r="B4455" s="148"/>
      <c r="C4455" s="87"/>
      <c r="D4455" s="37"/>
      <c r="E4455" s="37"/>
      <c r="F4455" s="87"/>
    </row>
    <row r="4456">
      <c r="A4456" s="147"/>
      <c r="B4456" s="148"/>
      <c r="C4456" s="87"/>
      <c r="D4456" s="37"/>
      <c r="E4456" s="37"/>
      <c r="F4456" s="87"/>
    </row>
    <row r="4457">
      <c r="A4457" s="147"/>
      <c r="B4457" s="148"/>
      <c r="C4457" s="87"/>
      <c r="D4457" s="37"/>
      <c r="E4457" s="37"/>
      <c r="F4457" s="87"/>
    </row>
    <row r="4458">
      <c r="A4458" s="147"/>
      <c r="B4458" s="148"/>
      <c r="C4458" s="87"/>
      <c r="D4458" s="37"/>
      <c r="E4458" s="37"/>
      <c r="F4458" s="87"/>
    </row>
    <row r="4459">
      <c r="A4459" s="147"/>
      <c r="B4459" s="148"/>
      <c r="C4459" s="87"/>
      <c r="D4459" s="37"/>
      <c r="E4459" s="37"/>
      <c r="F4459" s="87"/>
    </row>
    <row r="4460">
      <c r="A4460" s="147"/>
      <c r="B4460" s="148"/>
      <c r="C4460" s="87"/>
      <c r="D4460" s="37"/>
      <c r="E4460" s="37"/>
      <c r="F4460" s="87"/>
    </row>
    <row r="4461">
      <c r="A4461" s="147"/>
      <c r="B4461" s="148"/>
      <c r="C4461" s="87"/>
      <c r="D4461" s="37"/>
      <c r="E4461" s="37"/>
      <c r="F4461" s="87"/>
    </row>
    <row r="4462">
      <c r="A4462" s="147"/>
      <c r="B4462" s="148"/>
      <c r="C4462" s="87"/>
      <c r="D4462" s="37"/>
      <c r="E4462" s="37"/>
      <c r="F4462" s="87"/>
    </row>
    <row r="4463">
      <c r="A4463" s="147"/>
      <c r="B4463" s="148"/>
      <c r="C4463" s="87"/>
      <c r="D4463" s="37"/>
      <c r="E4463" s="37"/>
      <c r="F4463" s="87"/>
    </row>
    <row r="4464">
      <c r="A4464" s="147"/>
      <c r="B4464" s="148"/>
      <c r="C4464" s="87"/>
      <c r="D4464" s="37"/>
      <c r="E4464" s="37"/>
      <c r="F4464" s="87"/>
    </row>
    <row r="4465">
      <c r="A4465" s="147"/>
      <c r="B4465" s="148"/>
      <c r="C4465" s="87"/>
      <c r="D4465" s="37"/>
      <c r="E4465" s="37"/>
      <c r="F4465" s="87"/>
    </row>
    <row r="4466">
      <c r="A4466" s="147"/>
      <c r="B4466" s="148"/>
      <c r="C4466" s="87"/>
      <c r="D4466" s="37"/>
      <c r="E4466" s="37"/>
      <c r="F4466" s="87"/>
    </row>
    <row r="4467">
      <c r="A4467" s="147"/>
      <c r="B4467" s="148"/>
      <c r="C4467" s="87"/>
      <c r="D4467" s="37"/>
      <c r="E4467" s="37"/>
      <c r="F4467" s="87"/>
    </row>
    <row r="4468">
      <c r="A4468" s="147"/>
      <c r="B4468" s="148"/>
      <c r="C4468" s="87"/>
      <c r="D4468" s="37"/>
      <c r="E4468" s="37"/>
      <c r="F4468" s="87"/>
    </row>
    <row r="4469">
      <c r="A4469" s="147"/>
      <c r="B4469" s="148"/>
      <c r="C4469" s="87"/>
      <c r="D4469" s="37"/>
      <c r="E4469" s="37"/>
      <c r="F4469" s="87"/>
    </row>
    <row r="4470">
      <c r="A4470" s="147"/>
      <c r="B4470" s="148"/>
      <c r="C4470" s="87"/>
      <c r="D4470" s="37"/>
      <c r="E4470" s="37"/>
      <c r="F4470" s="87"/>
    </row>
    <row r="4471">
      <c r="A4471" s="147"/>
      <c r="B4471" s="148"/>
      <c r="C4471" s="87"/>
      <c r="D4471" s="37"/>
      <c r="E4471" s="37"/>
      <c r="F4471" s="87"/>
    </row>
    <row r="4472">
      <c r="A4472" s="147"/>
      <c r="B4472" s="148"/>
      <c r="C4472" s="87"/>
      <c r="D4472" s="37"/>
      <c r="E4472" s="37"/>
      <c r="F4472" s="87"/>
    </row>
    <row r="4473">
      <c r="A4473" s="147"/>
      <c r="B4473" s="148"/>
      <c r="C4473" s="87"/>
      <c r="D4473" s="37"/>
      <c r="E4473" s="37"/>
      <c r="F4473" s="87"/>
    </row>
    <row r="4474">
      <c r="A4474" s="147"/>
      <c r="B4474" s="148"/>
      <c r="C4474" s="87"/>
      <c r="D4474" s="37"/>
      <c r="E4474" s="37"/>
      <c r="F4474" s="87"/>
    </row>
    <row r="4475">
      <c r="A4475" s="147"/>
      <c r="B4475" s="148"/>
      <c r="C4475" s="87"/>
      <c r="D4475" s="37"/>
      <c r="E4475" s="37"/>
      <c r="F4475" s="87"/>
    </row>
    <row r="4476">
      <c r="A4476" s="147"/>
      <c r="B4476" s="148"/>
      <c r="C4476" s="87"/>
      <c r="D4476" s="37"/>
      <c r="E4476" s="37"/>
      <c r="F4476" s="87"/>
    </row>
    <row r="4477">
      <c r="A4477" s="147"/>
      <c r="B4477" s="148"/>
      <c r="C4477" s="87"/>
      <c r="D4477" s="37"/>
      <c r="E4477" s="37"/>
      <c r="F4477" s="87"/>
    </row>
    <row r="4478">
      <c r="A4478" s="147"/>
      <c r="B4478" s="148"/>
      <c r="C4478" s="87"/>
      <c r="D4478" s="37"/>
      <c r="E4478" s="37"/>
      <c r="F4478" s="87"/>
    </row>
    <row r="4479">
      <c r="A4479" s="147"/>
      <c r="B4479" s="148"/>
      <c r="C4479" s="87"/>
      <c r="D4479" s="37"/>
      <c r="E4479" s="37"/>
      <c r="F4479" s="87"/>
    </row>
    <row r="4480">
      <c r="A4480" s="147"/>
      <c r="B4480" s="148"/>
      <c r="C4480" s="87"/>
      <c r="D4480" s="37"/>
      <c r="E4480" s="37"/>
      <c r="F4480" s="87"/>
    </row>
    <row r="4481">
      <c r="A4481" s="147"/>
      <c r="B4481" s="148"/>
      <c r="C4481" s="87"/>
      <c r="D4481" s="37"/>
      <c r="E4481" s="37"/>
      <c r="F4481" s="87"/>
    </row>
    <row r="4482">
      <c r="A4482" s="147"/>
      <c r="B4482" s="148"/>
      <c r="C4482" s="87"/>
      <c r="D4482" s="37"/>
      <c r="E4482" s="37"/>
      <c r="F4482" s="87"/>
    </row>
    <row r="4483">
      <c r="A4483" s="147"/>
      <c r="B4483" s="148"/>
      <c r="C4483" s="87"/>
      <c r="D4483" s="37"/>
      <c r="E4483" s="37"/>
      <c r="F4483" s="87"/>
    </row>
    <row r="4484">
      <c r="A4484" s="147"/>
      <c r="B4484" s="148"/>
      <c r="C4484" s="87"/>
      <c r="D4484" s="37"/>
      <c r="E4484" s="37"/>
      <c r="F4484" s="87"/>
    </row>
    <row r="4485">
      <c r="A4485" s="147"/>
      <c r="B4485" s="148"/>
      <c r="C4485" s="87"/>
      <c r="D4485" s="37"/>
      <c r="E4485" s="37"/>
      <c r="F4485" s="87"/>
    </row>
    <row r="4486">
      <c r="A4486" s="147"/>
      <c r="B4486" s="148"/>
      <c r="C4486" s="87"/>
      <c r="D4486" s="37"/>
      <c r="E4486" s="37"/>
      <c r="F4486" s="87"/>
    </row>
    <row r="4487">
      <c r="A4487" s="147"/>
      <c r="B4487" s="148"/>
      <c r="C4487" s="87"/>
      <c r="D4487" s="37"/>
      <c r="E4487" s="37"/>
      <c r="F4487" s="87"/>
    </row>
    <row r="4488">
      <c r="A4488" s="147"/>
      <c r="B4488" s="148"/>
      <c r="C4488" s="87"/>
      <c r="D4488" s="37"/>
      <c r="E4488" s="37"/>
      <c r="F4488" s="87"/>
    </row>
    <row r="4489">
      <c r="A4489" s="147"/>
      <c r="B4489" s="148"/>
      <c r="C4489" s="87"/>
      <c r="D4489" s="37"/>
      <c r="E4489" s="37"/>
      <c r="F4489" s="87"/>
    </row>
    <row r="4490">
      <c r="A4490" s="147"/>
      <c r="B4490" s="148"/>
      <c r="C4490" s="87"/>
      <c r="D4490" s="37"/>
      <c r="E4490" s="37"/>
      <c r="F4490" s="87"/>
    </row>
    <row r="4491">
      <c r="A4491" s="147"/>
      <c r="B4491" s="148"/>
      <c r="C4491" s="87"/>
      <c r="D4491" s="37"/>
      <c r="E4491" s="37"/>
      <c r="F4491" s="87"/>
    </row>
    <row r="4492">
      <c r="A4492" s="147"/>
      <c r="B4492" s="148"/>
      <c r="C4492" s="87"/>
      <c r="D4492" s="37"/>
      <c r="E4492" s="37"/>
      <c r="F4492" s="87"/>
    </row>
    <row r="4493">
      <c r="A4493" s="147"/>
      <c r="B4493" s="148"/>
      <c r="C4493" s="87"/>
      <c r="D4493" s="37"/>
      <c r="E4493" s="37"/>
      <c r="F4493" s="87"/>
    </row>
    <row r="4494">
      <c r="A4494" s="147"/>
      <c r="B4494" s="148"/>
      <c r="C4494" s="87"/>
      <c r="D4494" s="37"/>
      <c r="E4494" s="37"/>
      <c r="F4494" s="87"/>
    </row>
    <row r="4495">
      <c r="A4495" s="147"/>
      <c r="B4495" s="148"/>
      <c r="C4495" s="87"/>
      <c r="D4495" s="37"/>
      <c r="E4495" s="37"/>
      <c r="F4495" s="87"/>
    </row>
    <row r="4496">
      <c r="A4496" s="147"/>
      <c r="B4496" s="148"/>
      <c r="C4496" s="87"/>
      <c r="D4496" s="37"/>
      <c r="E4496" s="37"/>
      <c r="F4496" s="87"/>
    </row>
    <row r="4497">
      <c r="A4497" s="147"/>
      <c r="B4497" s="148"/>
      <c r="C4497" s="87"/>
      <c r="D4497" s="37"/>
      <c r="E4497" s="37"/>
      <c r="F4497" s="87"/>
    </row>
    <row r="4498">
      <c r="A4498" s="147"/>
      <c r="B4498" s="148"/>
      <c r="C4498" s="87"/>
      <c r="D4498" s="37"/>
      <c r="E4498" s="37"/>
      <c r="F4498" s="87"/>
    </row>
    <row r="4499">
      <c r="A4499" s="147"/>
      <c r="B4499" s="148"/>
      <c r="C4499" s="87"/>
      <c r="D4499" s="37"/>
      <c r="E4499" s="37"/>
      <c r="F4499" s="87"/>
    </row>
    <row r="4500">
      <c r="A4500" s="147"/>
      <c r="B4500" s="148"/>
      <c r="C4500" s="87"/>
      <c r="D4500" s="37"/>
      <c r="E4500" s="37"/>
      <c r="F4500" s="87"/>
    </row>
    <row r="4501">
      <c r="A4501" s="147"/>
      <c r="B4501" s="148"/>
      <c r="C4501" s="87"/>
      <c r="D4501" s="37"/>
      <c r="E4501" s="37"/>
      <c r="F4501" s="87"/>
    </row>
    <row r="4502">
      <c r="A4502" s="147"/>
      <c r="B4502" s="148"/>
      <c r="C4502" s="87"/>
      <c r="D4502" s="37"/>
      <c r="E4502" s="37"/>
      <c r="F4502" s="87"/>
    </row>
    <row r="4503">
      <c r="A4503" s="147"/>
      <c r="B4503" s="148"/>
      <c r="C4503" s="87"/>
      <c r="D4503" s="37"/>
      <c r="E4503" s="37"/>
      <c r="F4503" s="87"/>
    </row>
    <row r="4504">
      <c r="A4504" s="147"/>
      <c r="B4504" s="148"/>
      <c r="C4504" s="87"/>
      <c r="D4504" s="37"/>
      <c r="E4504" s="37"/>
      <c r="F4504" s="87"/>
    </row>
    <row r="4505">
      <c r="A4505" s="147"/>
      <c r="B4505" s="148"/>
      <c r="C4505" s="87"/>
      <c r="D4505" s="37"/>
      <c r="E4505" s="37"/>
      <c r="F4505" s="87"/>
    </row>
    <row r="4506">
      <c r="A4506" s="147"/>
      <c r="B4506" s="148"/>
      <c r="C4506" s="87"/>
      <c r="D4506" s="37"/>
      <c r="E4506" s="37"/>
      <c r="F4506" s="87"/>
    </row>
    <row r="4507">
      <c r="A4507" s="147"/>
      <c r="B4507" s="148"/>
      <c r="C4507" s="87"/>
      <c r="D4507" s="37"/>
      <c r="E4507" s="37"/>
      <c r="F4507" s="87"/>
    </row>
    <row r="4508">
      <c r="A4508" s="147"/>
      <c r="B4508" s="148"/>
      <c r="C4508" s="87"/>
      <c r="D4508" s="37"/>
      <c r="E4508" s="37"/>
      <c r="F4508" s="87"/>
    </row>
    <row r="4509">
      <c r="A4509" s="147"/>
      <c r="B4509" s="148"/>
      <c r="C4509" s="87"/>
      <c r="D4509" s="37"/>
      <c r="E4509" s="37"/>
      <c r="F4509" s="87"/>
    </row>
    <row r="4510">
      <c r="A4510" s="147"/>
      <c r="B4510" s="148"/>
      <c r="C4510" s="87"/>
      <c r="D4510" s="37"/>
      <c r="E4510" s="37"/>
      <c r="F4510" s="87"/>
    </row>
    <row r="4511">
      <c r="A4511" s="147"/>
      <c r="B4511" s="148"/>
      <c r="C4511" s="87"/>
      <c r="D4511" s="37"/>
      <c r="E4511" s="37"/>
      <c r="F4511" s="87"/>
    </row>
    <row r="4512">
      <c r="A4512" s="147"/>
      <c r="B4512" s="148"/>
      <c r="C4512" s="87"/>
      <c r="D4512" s="37"/>
      <c r="E4512" s="37"/>
      <c r="F4512" s="87"/>
    </row>
    <row r="4513">
      <c r="A4513" s="147"/>
      <c r="B4513" s="148"/>
      <c r="C4513" s="87"/>
      <c r="D4513" s="37"/>
      <c r="E4513" s="37"/>
      <c r="F4513" s="87"/>
    </row>
    <row r="4514">
      <c r="A4514" s="147"/>
      <c r="B4514" s="148"/>
      <c r="C4514" s="87"/>
      <c r="D4514" s="37"/>
      <c r="E4514" s="37"/>
      <c r="F4514" s="87"/>
    </row>
    <row r="4515">
      <c r="A4515" s="147"/>
      <c r="B4515" s="148"/>
      <c r="C4515" s="87"/>
      <c r="D4515" s="37"/>
      <c r="E4515" s="37"/>
      <c r="F4515" s="87"/>
    </row>
    <row r="4516">
      <c r="A4516" s="147"/>
      <c r="B4516" s="148"/>
      <c r="C4516" s="87"/>
      <c r="D4516" s="37"/>
      <c r="E4516" s="37"/>
      <c r="F4516" s="87"/>
    </row>
    <row r="4517">
      <c r="A4517" s="147"/>
      <c r="B4517" s="148"/>
      <c r="C4517" s="87"/>
      <c r="D4517" s="37"/>
      <c r="E4517" s="37"/>
      <c r="F4517" s="87"/>
    </row>
    <row r="4518">
      <c r="A4518" s="147"/>
      <c r="B4518" s="148"/>
      <c r="C4518" s="87"/>
      <c r="D4518" s="37"/>
      <c r="E4518" s="37"/>
      <c r="F4518" s="87"/>
    </row>
    <row r="4519">
      <c r="A4519" s="147"/>
      <c r="B4519" s="148"/>
      <c r="C4519" s="87"/>
      <c r="D4519" s="37"/>
      <c r="E4519" s="37"/>
      <c r="F4519" s="87"/>
    </row>
    <row r="4520">
      <c r="A4520" s="147"/>
      <c r="B4520" s="148"/>
      <c r="C4520" s="87"/>
      <c r="D4520" s="37"/>
      <c r="E4520" s="37"/>
      <c r="F4520" s="87"/>
    </row>
    <row r="4521">
      <c r="A4521" s="147"/>
      <c r="B4521" s="148"/>
      <c r="C4521" s="87"/>
      <c r="D4521" s="37"/>
      <c r="E4521" s="37"/>
      <c r="F4521" s="87"/>
    </row>
    <row r="4522">
      <c r="A4522" s="147"/>
      <c r="B4522" s="148"/>
      <c r="C4522" s="87"/>
      <c r="D4522" s="37"/>
      <c r="E4522" s="37"/>
      <c r="F4522" s="87"/>
    </row>
    <row r="4523">
      <c r="A4523" s="147"/>
      <c r="B4523" s="148"/>
      <c r="C4523" s="87"/>
      <c r="D4523" s="37"/>
      <c r="E4523" s="37"/>
      <c r="F4523" s="87"/>
    </row>
    <row r="4524">
      <c r="A4524" s="147"/>
      <c r="B4524" s="148"/>
      <c r="C4524" s="87"/>
      <c r="D4524" s="37"/>
      <c r="E4524" s="37"/>
      <c r="F4524" s="87"/>
    </row>
    <row r="4525">
      <c r="A4525" s="147"/>
      <c r="B4525" s="148"/>
      <c r="C4525" s="87"/>
      <c r="D4525" s="37"/>
      <c r="E4525" s="37"/>
      <c r="F4525" s="87"/>
    </row>
    <row r="4526">
      <c r="A4526" s="147"/>
      <c r="B4526" s="148"/>
      <c r="C4526" s="87"/>
      <c r="D4526" s="37"/>
      <c r="E4526" s="37"/>
      <c r="F4526" s="87"/>
    </row>
    <row r="4527">
      <c r="A4527" s="147"/>
      <c r="B4527" s="148"/>
      <c r="C4527" s="87"/>
      <c r="D4527" s="37"/>
      <c r="E4527" s="37"/>
      <c r="F4527" s="87"/>
    </row>
    <row r="4528">
      <c r="A4528" s="147"/>
      <c r="B4528" s="148"/>
      <c r="C4528" s="87"/>
      <c r="D4528" s="37"/>
      <c r="E4528" s="37"/>
      <c r="F4528" s="87"/>
    </row>
    <row r="4529">
      <c r="A4529" s="147"/>
      <c r="B4529" s="148"/>
      <c r="C4529" s="87"/>
      <c r="D4529" s="37"/>
      <c r="E4529" s="37"/>
      <c r="F4529" s="87"/>
    </row>
    <row r="4530">
      <c r="A4530" s="147"/>
      <c r="B4530" s="148"/>
      <c r="C4530" s="87"/>
      <c r="D4530" s="37"/>
      <c r="E4530" s="37"/>
      <c r="F4530" s="87"/>
    </row>
    <row r="4531">
      <c r="A4531" s="147"/>
      <c r="B4531" s="148"/>
      <c r="C4531" s="87"/>
      <c r="D4531" s="37"/>
      <c r="E4531" s="37"/>
      <c r="F4531" s="87"/>
    </row>
    <row r="4532">
      <c r="A4532" s="147"/>
      <c r="B4532" s="148"/>
      <c r="C4532" s="87"/>
      <c r="D4532" s="37"/>
      <c r="E4532" s="37"/>
      <c r="F4532" s="87"/>
    </row>
    <row r="4533">
      <c r="A4533" s="147"/>
      <c r="B4533" s="148"/>
      <c r="C4533" s="87"/>
      <c r="D4533" s="37"/>
      <c r="E4533" s="37"/>
      <c r="F4533" s="87"/>
    </row>
    <row r="4534">
      <c r="A4534" s="147"/>
      <c r="B4534" s="148"/>
      <c r="C4534" s="87"/>
      <c r="D4534" s="37"/>
      <c r="E4534" s="37"/>
      <c r="F4534" s="87"/>
    </row>
    <row r="4535">
      <c r="A4535" s="147"/>
      <c r="B4535" s="148"/>
      <c r="C4535" s="87"/>
      <c r="D4535" s="37"/>
      <c r="E4535" s="37"/>
      <c r="F4535" s="87"/>
    </row>
    <row r="4536">
      <c r="A4536" s="147"/>
      <c r="B4536" s="148"/>
      <c r="C4536" s="87"/>
      <c r="D4536" s="37"/>
      <c r="E4536" s="37"/>
      <c r="F4536" s="87"/>
    </row>
    <row r="4537">
      <c r="A4537" s="147"/>
      <c r="B4537" s="148"/>
      <c r="C4537" s="87"/>
      <c r="D4537" s="37"/>
      <c r="E4537" s="37"/>
      <c r="F4537" s="87"/>
    </row>
    <row r="4538">
      <c r="A4538" s="147"/>
      <c r="B4538" s="148"/>
      <c r="C4538" s="87"/>
      <c r="D4538" s="37"/>
      <c r="E4538" s="37"/>
      <c r="F4538" s="87"/>
    </row>
    <row r="4539">
      <c r="A4539" s="147"/>
      <c r="B4539" s="148"/>
      <c r="C4539" s="87"/>
      <c r="D4539" s="37"/>
      <c r="E4539" s="37"/>
      <c r="F4539" s="87"/>
    </row>
    <row r="4540">
      <c r="A4540" s="147"/>
      <c r="B4540" s="148"/>
      <c r="C4540" s="87"/>
      <c r="D4540" s="37"/>
      <c r="E4540" s="37"/>
      <c r="F4540" s="87"/>
    </row>
    <row r="4541">
      <c r="A4541" s="147"/>
      <c r="B4541" s="148"/>
      <c r="C4541" s="87"/>
      <c r="D4541" s="37"/>
      <c r="E4541" s="37"/>
      <c r="F4541" s="87"/>
    </row>
    <row r="4542">
      <c r="A4542" s="147"/>
      <c r="B4542" s="148"/>
      <c r="C4542" s="87"/>
      <c r="D4542" s="37"/>
      <c r="E4542" s="37"/>
      <c r="F4542" s="87"/>
    </row>
    <row r="4543">
      <c r="A4543" s="147"/>
      <c r="B4543" s="148"/>
      <c r="C4543" s="87"/>
      <c r="D4543" s="37"/>
      <c r="E4543" s="37"/>
      <c r="F4543" s="87"/>
    </row>
    <row r="4544">
      <c r="A4544" s="147"/>
      <c r="B4544" s="148"/>
      <c r="C4544" s="87"/>
      <c r="D4544" s="37"/>
      <c r="E4544" s="37"/>
      <c r="F4544" s="87"/>
    </row>
    <row r="4545">
      <c r="A4545" s="147"/>
      <c r="B4545" s="148"/>
      <c r="C4545" s="87"/>
      <c r="D4545" s="37"/>
      <c r="E4545" s="37"/>
      <c r="F4545" s="87"/>
    </row>
    <row r="4546">
      <c r="A4546" s="147"/>
      <c r="B4546" s="148"/>
      <c r="C4546" s="87"/>
      <c r="D4546" s="37"/>
      <c r="E4546" s="37"/>
      <c r="F4546" s="87"/>
    </row>
    <row r="4547">
      <c r="A4547" s="147"/>
      <c r="B4547" s="148"/>
      <c r="C4547" s="87"/>
      <c r="D4547" s="37"/>
      <c r="E4547" s="37"/>
      <c r="F4547" s="87"/>
    </row>
    <row r="4548">
      <c r="A4548" s="147"/>
      <c r="B4548" s="148"/>
      <c r="C4548" s="87"/>
      <c r="D4548" s="37"/>
      <c r="E4548" s="37"/>
      <c r="F4548" s="87"/>
    </row>
    <row r="4549">
      <c r="A4549" s="147"/>
      <c r="B4549" s="148"/>
      <c r="C4549" s="87"/>
      <c r="D4549" s="37"/>
      <c r="E4549" s="37"/>
      <c r="F4549" s="87"/>
    </row>
    <row r="4550">
      <c r="A4550" s="147"/>
      <c r="B4550" s="148"/>
      <c r="C4550" s="87"/>
      <c r="D4550" s="37"/>
      <c r="E4550" s="37"/>
      <c r="F4550" s="87"/>
    </row>
    <row r="4551">
      <c r="A4551" s="147"/>
      <c r="B4551" s="148"/>
      <c r="C4551" s="87"/>
      <c r="D4551" s="37"/>
      <c r="E4551" s="37"/>
      <c r="F4551" s="87"/>
    </row>
    <row r="4552">
      <c r="A4552" s="147"/>
      <c r="B4552" s="148"/>
      <c r="C4552" s="87"/>
      <c r="D4552" s="37"/>
      <c r="E4552" s="37"/>
      <c r="F4552" s="87"/>
    </row>
    <row r="4553">
      <c r="A4553" s="147"/>
      <c r="B4553" s="148"/>
      <c r="C4553" s="87"/>
      <c r="D4553" s="37"/>
      <c r="E4553" s="37"/>
      <c r="F4553" s="87"/>
    </row>
    <row r="4554">
      <c r="A4554" s="147"/>
      <c r="B4554" s="148"/>
      <c r="C4554" s="87"/>
      <c r="D4554" s="37"/>
      <c r="E4554" s="37"/>
      <c r="F4554" s="87"/>
    </row>
    <row r="4555">
      <c r="A4555" s="147"/>
      <c r="B4555" s="148"/>
      <c r="C4555" s="87"/>
      <c r="D4555" s="37"/>
      <c r="E4555" s="37"/>
      <c r="F4555" s="87"/>
    </row>
    <row r="4556">
      <c r="A4556" s="147"/>
      <c r="B4556" s="148"/>
      <c r="C4556" s="87"/>
      <c r="D4556" s="37"/>
      <c r="E4556" s="37"/>
      <c r="F4556" s="87"/>
    </row>
    <row r="4557">
      <c r="A4557" s="147"/>
      <c r="B4557" s="148"/>
      <c r="C4557" s="87"/>
      <c r="D4557" s="37"/>
      <c r="E4557" s="37"/>
      <c r="F4557" s="87"/>
    </row>
    <row r="4558">
      <c r="A4558" s="147"/>
      <c r="B4558" s="148"/>
      <c r="C4558" s="87"/>
      <c r="D4558" s="37"/>
      <c r="E4558" s="37"/>
      <c r="F4558" s="87"/>
    </row>
    <row r="4559">
      <c r="A4559" s="147"/>
      <c r="B4559" s="148"/>
      <c r="C4559" s="87"/>
      <c r="D4559" s="37"/>
      <c r="E4559" s="37"/>
      <c r="F4559" s="87"/>
    </row>
    <row r="4560">
      <c r="A4560" s="147"/>
      <c r="B4560" s="148"/>
      <c r="C4560" s="87"/>
      <c r="D4560" s="37"/>
      <c r="E4560" s="37"/>
      <c r="F4560" s="87"/>
    </row>
    <row r="4561">
      <c r="A4561" s="147"/>
      <c r="B4561" s="148"/>
      <c r="C4561" s="87"/>
      <c r="D4561" s="37"/>
      <c r="E4561" s="37"/>
      <c r="F4561" s="87"/>
    </row>
    <row r="4562">
      <c r="A4562" s="147"/>
      <c r="B4562" s="148"/>
      <c r="C4562" s="87"/>
      <c r="D4562" s="37"/>
      <c r="E4562" s="37"/>
      <c r="F4562" s="87"/>
    </row>
    <row r="4563">
      <c r="A4563" s="147"/>
      <c r="B4563" s="148"/>
      <c r="C4563" s="87"/>
      <c r="D4563" s="37"/>
      <c r="E4563" s="37"/>
      <c r="F4563" s="87"/>
    </row>
    <row r="4564">
      <c r="A4564" s="147"/>
      <c r="B4564" s="148"/>
      <c r="C4564" s="87"/>
      <c r="D4564" s="37"/>
      <c r="E4564" s="37"/>
      <c r="F4564" s="87"/>
    </row>
    <row r="4565">
      <c r="A4565" s="147"/>
      <c r="B4565" s="148"/>
      <c r="C4565" s="87"/>
      <c r="D4565" s="37"/>
      <c r="E4565" s="37"/>
      <c r="F4565" s="87"/>
    </row>
    <row r="4566">
      <c r="A4566" s="147"/>
      <c r="B4566" s="148"/>
      <c r="C4566" s="87"/>
      <c r="D4566" s="37"/>
      <c r="E4566" s="37"/>
      <c r="F4566" s="87"/>
    </row>
    <row r="4567">
      <c r="A4567" s="147"/>
      <c r="B4567" s="148"/>
      <c r="C4567" s="87"/>
      <c r="D4567" s="37"/>
      <c r="E4567" s="37"/>
      <c r="F4567" s="87"/>
    </row>
    <row r="4568">
      <c r="A4568" s="147"/>
      <c r="B4568" s="148"/>
      <c r="C4568" s="87"/>
      <c r="D4568" s="37"/>
      <c r="E4568" s="37"/>
      <c r="F4568" s="87"/>
    </row>
    <row r="4569">
      <c r="A4569" s="147"/>
      <c r="B4569" s="148"/>
      <c r="C4569" s="87"/>
      <c r="D4569" s="37"/>
      <c r="E4569" s="37"/>
      <c r="F4569" s="87"/>
    </row>
    <row r="4570">
      <c r="A4570" s="147"/>
      <c r="B4570" s="148"/>
      <c r="C4570" s="87"/>
      <c r="D4570" s="37"/>
      <c r="E4570" s="37"/>
      <c r="F4570" s="87"/>
    </row>
    <row r="4571">
      <c r="A4571" s="147"/>
      <c r="B4571" s="148"/>
      <c r="C4571" s="87"/>
      <c r="D4571" s="37"/>
      <c r="E4571" s="37"/>
      <c r="F4571" s="87"/>
    </row>
    <row r="4572">
      <c r="A4572" s="147"/>
      <c r="B4572" s="148"/>
      <c r="C4572" s="87"/>
      <c r="D4572" s="37"/>
      <c r="E4572" s="37"/>
      <c r="F4572" s="87"/>
    </row>
    <row r="4573">
      <c r="A4573" s="147"/>
      <c r="B4573" s="148"/>
      <c r="C4573" s="87"/>
      <c r="D4573" s="37"/>
      <c r="E4573" s="37"/>
      <c r="F4573" s="87"/>
    </row>
    <row r="4574">
      <c r="A4574" s="147"/>
      <c r="B4574" s="148"/>
      <c r="C4574" s="87"/>
      <c r="D4574" s="37"/>
      <c r="E4574" s="37"/>
      <c r="F4574" s="87"/>
    </row>
    <row r="4575">
      <c r="A4575" s="147"/>
      <c r="B4575" s="148"/>
      <c r="C4575" s="87"/>
      <c r="D4575" s="37"/>
      <c r="E4575" s="37"/>
      <c r="F4575" s="87"/>
    </row>
    <row r="4576">
      <c r="A4576" s="147"/>
      <c r="B4576" s="148"/>
      <c r="C4576" s="87"/>
      <c r="D4576" s="37"/>
      <c r="E4576" s="37"/>
      <c r="F4576" s="87"/>
    </row>
    <row r="4577">
      <c r="A4577" s="147"/>
      <c r="B4577" s="148"/>
      <c r="C4577" s="87"/>
      <c r="D4577" s="37"/>
      <c r="E4577" s="37"/>
      <c r="F4577" s="87"/>
    </row>
    <row r="4578">
      <c r="A4578" s="147"/>
      <c r="B4578" s="148"/>
      <c r="C4578" s="87"/>
      <c r="D4578" s="37"/>
      <c r="E4578" s="37"/>
      <c r="F4578" s="87"/>
    </row>
    <row r="4579">
      <c r="A4579" s="147"/>
      <c r="B4579" s="148"/>
      <c r="C4579" s="87"/>
      <c r="D4579" s="37"/>
      <c r="E4579" s="37"/>
      <c r="F4579" s="87"/>
    </row>
    <row r="4580">
      <c r="A4580" s="147"/>
      <c r="B4580" s="148"/>
      <c r="C4580" s="87"/>
      <c r="D4580" s="37"/>
      <c r="E4580" s="37"/>
      <c r="F4580" s="87"/>
    </row>
    <row r="4581">
      <c r="A4581" s="147"/>
      <c r="B4581" s="148"/>
      <c r="C4581" s="87"/>
      <c r="D4581" s="37"/>
      <c r="E4581" s="37"/>
      <c r="F4581" s="87"/>
    </row>
    <row r="4582">
      <c r="A4582" s="147"/>
      <c r="B4582" s="148"/>
      <c r="C4582" s="87"/>
      <c r="D4582" s="37"/>
      <c r="E4582" s="37"/>
      <c r="F4582" s="87"/>
    </row>
    <row r="4583">
      <c r="A4583" s="147"/>
      <c r="B4583" s="148"/>
      <c r="C4583" s="87"/>
      <c r="D4583" s="37"/>
      <c r="E4583" s="37"/>
      <c r="F4583" s="87"/>
    </row>
    <row r="4584">
      <c r="A4584" s="147"/>
      <c r="B4584" s="148"/>
      <c r="C4584" s="87"/>
      <c r="D4584" s="37"/>
      <c r="E4584" s="37"/>
      <c r="F4584" s="87"/>
    </row>
    <row r="4585">
      <c r="A4585" s="147"/>
      <c r="B4585" s="148"/>
      <c r="C4585" s="87"/>
      <c r="D4585" s="37"/>
      <c r="E4585" s="37"/>
      <c r="F4585" s="87"/>
    </row>
    <row r="4586">
      <c r="A4586" s="147"/>
      <c r="B4586" s="148"/>
      <c r="C4586" s="87"/>
      <c r="D4586" s="37"/>
      <c r="E4586" s="37"/>
      <c r="F4586" s="87"/>
    </row>
    <row r="4587">
      <c r="A4587" s="147"/>
      <c r="B4587" s="148"/>
      <c r="C4587" s="87"/>
      <c r="D4587" s="37"/>
      <c r="E4587" s="37"/>
      <c r="F4587" s="87"/>
    </row>
    <row r="4588">
      <c r="A4588" s="147"/>
      <c r="B4588" s="148"/>
      <c r="C4588" s="87"/>
      <c r="D4588" s="37"/>
      <c r="E4588" s="37"/>
      <c r="F4588" s="87"/>
    </row>
    <row r="4589">
      <c r="A4589" s="147"/>
      <c r="B4589" s="148"/>
      <c r="C4589" s="87"/>
      <c r="D4589" s="37"/>
      <c r="E4589" s="37"/>
      <c r="F4589" s="87"/>
    </row>
    <row r="4590">
      <c r="A4590" s="147"/>
      <c r="B4590" s="148"/>
      <c r="C4590" s="87"/>
      <c r="D4590" s="37"/>
      <c r="E4590" s="37"/>
      <c r="F4590" s="87"/>
    </row>
    <row r="4591">
      <c r="A4591" s="147"/>
      <c r="B4591" s="148"/>
      <c r="C4591" s="87"/>
      <c r="D4591" s="37"/>
      <c r="E4591" s="37"/>
      <c r="F4591" s="87"/>
    </row>
    <row r="4592">
      <c r="A4592" s="147"/>
      <c r="B4592" s="148"/>
      <c r="C4592" s="87"/>
      <c r="D4592" s="37"/>
      <c r="E4592" s="37"/>
      <c r="F4592" s="87"/>
    </row>
    <row r="4593">
      <c r="A4593" s="147"/>
      <c r="B4593" s="148"/>
      <c r="C4593" s="87"/>
      <c r="D4593" s="37"/>
      <c r="E4593" s="37"/>
      <c r="F4593" s="87"/>
    </row>
    <row r="4594">
      <c r="A4594" s="147"/>
      <c r="B4594" s="148"/>
      <c r="C4594" s="87"/>
      <c r="D4594" s="37"/>
      <c r="E4594" s="37"/>
      <c r="F4594" s="87"/>
    </row>
    <row r="4595">
      <c r="A4595" s="147"/>
      <c r="B4595" s="148"/>
      <c r="C4595" s="87"/>
      <c r="D4595" s="37"/>
      <c r="E4595" s="37"/>
      <c r="F4595" s="87"/>
    </row>
    <row r="4596">
      <c r="A4596" s="147"/>
      <c r="B4596" s="148"/>
      <c r="C4596" s="87"/>
      <c r="D4596" s="37"/>
      <c r="E4596" s="37"/>
      <c r="F4596" s="87"/>
    </row>
    <row r="4597">
      <c r="A4597" s="147"/>
      <c r="B4597" s="148"/>
      <c r="C4597" s="87"/>
      <c r="D4597" s="37"/>
      <c r="E4597" s="37"/>
      <c r="F4597" s="87"/>
    </row>
    <row r="4598">
      <c r="A4598" s="147"/>
      <c r="B4598" s="148"/>
      <c r="C4598" s="87"/>
      <c r="D4598" s="37"/>
      <c r="E4598" s="37"/>
      <c r="F4598" s="87"/>
    </row>
    <row r="4599">
      <c r="A4599" s="147"/>
      <c r="B4599" s="148"/>
      <c r="C4599" s="87"/>
      <c r="D4599" s="37"/>
      <c r="E4599" s="37"/>
      <c r="F4599" s="87"/>
    </row>
    <row r="4600">
      <c r="A4600" s="147"/>
      <c r="B4600" s="148"/>
      <c r="C4600" s="87"/>
      <c r="D4600" s="37"/>
      <c r="E4600" s="37"/>
      <c r="F4600" s="87"/>
    </row>
    <row r="4601">
      <c r="A4601" s="147"/>
      <c r="B4601" s="148"/>
      <c r="C4601" s="87"/>
      <c r="D4601" s="37"/>
      <c r="E4601" s="37"/>
      <c r="F4601" s="87"/>
    </row>
    <row r="4602">
      <c r="A4602" s="147"/>
      <c r="B4602" s="148"/>
      <c r="C4602" s="87"/>
      <c r="D4602" s="37"/>
      <c r="E4602" s="37"/>
      <c r="F4602" s="87"/>
    </row>
    <row r="4603">
      <c r="A4603" s="147"/>
      <c r="B4603" s="148"/>
      <c r="C4603" s="87"/>
      <c r="D4603" s="37"/>
      <c r="E4603" s="37"/>
      <c r="F4603" s="87"/>
    </row>
    <row r="4604">
      <c r="A4604" s="147"/>
      <c r="B4604" s="148"/>
      <c r="C4604" s="87"/>
      <c r="D4604" s="37"/>
      <c r="E4604" s="37"/>
      <c r="F4604" s="87"/>
    </row>
    <row r="4605">
      <c r="A4605" s="147"/>
      <c r="B4605" s="148"/>
      <c r="C4605" s="87"/>
      <c r="D4605" s="37"/>
      <c r="E4605" s="37"/>
      <c r="F4605" s="87"/>
    </row>
    <row r="4606">
      <c r="A4606" s="147"/>
      <c r="B4606" s="148"/>
      <c r="C4606" s="87"/>
      <c r="D4606" s="37"/>
      <c r="E4606" s="37"/>
      <c r="F4606" s="87"/>
    </row>
    <row r="4607">
      <c r="A4607" s="147"/>
      <c r="B4607" s="148"/>
      <c r="C4607" s="87"/>
      <c r="D4607" s="37"/>
      <c r="E4607" s="37"/>
      <c r="F4607" s="87"/>
    </row>
    <row r="4608">
      <c r="A4608" s="147"/>
      <c r="B4608" s="148"/>
      <c r="C4608" s="87"/>
      <c r="D4608" s="37"/>
      <c r="E4608" s="37"/>
      <c r="F4608" s="87"/>
    </row>
    <row r="4609">
      <c r="A4609" s="147"/>
      <c r="B4609" s="148"/>
      <c r="C4609" s="87"/>
      <c r="D4609" s="37"/>
      <c r="E4609" s="37"/>
      <c r="F4609" s="87"/>
    </row>
    <row r="4610">
      <c r="A4610" s="147"/>
      <c r="B4610" s="148"/>
      <c r="C4610" s="87"/>
      <c r="D4610" s="37"/>
      <c r="E4610" s="37"/>
      <c r="F4610" s="87"/>
    </row>
    <row r="4611">
      <c r="A4611" s="147"/>
      <c r="B4611" s="148"/>
      <c r="C4611" s="87"/>
      <c r="D4611" s="37"/>
      <c r="E4611" s="37"/>
      <c r="F4611" s="87"/>
    </row>
    <row r="4612">
      <c r="A4612" s="147"/>
      <c r="B4612" s="148"/>
      <c r="C4612" s="87"/>
      <c r="D4612" s="37"/>
      <c r="E4612" s="37"/>
      <c r="F4612" s="87"/>
    </row>
    <row r="4613">
      <c r="A4613" s="147"/>
      <c r="B4613" s="148"/>
      <c r="C4613" s="87"/>
      <c r="D4613" s="37"/>
      <c r="E4613" s="37"/>
      <c r="F4613" s="87"/>
    </row>
    <row r="4614">
      <c r="A4614" s="147"/>
      <c r="B4614" s="148"/>
      <c r="C4614" s="87"/>
      <c r="D4614" s="37"/>
      <c r="E4614" s="37"/>
      <c r="F4614" s="87"/>
    </row>
    <row r="4615">
      <c r="A4615" s="147"/>
      <c r="B4615" s="148"/>
      <c r="C4615" s="87"/>
      <c r="D4615" s="37"/>
      <c r="E4615" s="37"/>
      <c r="F4615" s="87"/>
    </row>
    <row r="4616">
      <c r="A4616" s="147"/>
      <c r="B4616" s="148"/>
      <c r="C4616" s="87"/>
      <c r="D4616" s="37"/>
      <c r="E4616" s="37"/>
      <c r="F4616" s="87"/>
    </row>
    <row r="4617">
      <c r="A4617" s="147"/>
      <c r="B4617" s="148"/>
      <c r="C4617" s="87"/>
      <c r="D4617" s="37"/>
      <c r="E4617" s="37"/>
      <c r="F4617" s="87"/>
    </row>
    <row r="4618">
      <c r="A4618" s="147"/>
      <c r="B4618" s="148"/>
      <c r="C4618" s="87"/>
      <c r="D4618" s="37"/>
      <c r="E4618" s="37"/>
      <c r="F4618" s="87"/>
    </row>
    <row r="4619">
      <c r="A4619" s="147"/>
      <c r="B4619" s="148"/>
      <c r="C4619" s="87"/>
      <c r="D4619" s="37"/>
      <c r="E4619" s="37"/>
      <c r="F4619" s="87"/>
    </row>
    <row r="4620">
      <c r="A4620" s="147"/>
      <c r="B4620" s="148"/>
      <c r="C4620" s="87"/>
      <c r="D4620" s="37"/>
      <c r="E4620" s="37"/>
      <c r="F4620" s="87"/>
    </row>
    <row r="4621">
      <c r="A4621" s="147"/>
      <c r="B4621" s="148"/>
      <c r="C4621" s="87"/>
      <c r="D4621" s="37"/>
      <c r="E4621" s="37"/>
      <c r="F4621" s="87"/>
    </row>
    <row r="4622">
      <c r="A4622" s="147"/>
      <c r="B4622" s="148"/>
      <c r="C4622" s="87"/>
      <c r="D4622" s="37"/>
      <c r="E4622" s="37"/>
      <c r="F4622" s="87"/>
    </row>
    <row r="4623">
      <c r="A4623" s="147"/>
      <c r="B4623" s="148"/>
      <c r="C4623" s="87"/>
      <c r="D4623" s="37"/>
      <c r="E4623" s="37"/>
      <c r="F4623" s="87"/>
    </row>
    <row r="4624">
      <c r="A4624" s="147"/>
      <c r="B4624" s="148"/>
      <c r="C4624" s="87"/>
      <c r="D4624" s="37"/>
      <c r="E4624" s="37"/>
      <c r="F4624" s="87"/>
    </row>
    <row r="4625">
      <c r="A4625" s="147"/>
      <c r="B4625" s="148"/>
      <c r="C4625" s="87"/>
      <c r="D4625" s="37"/>
      <c r="E4625" s="37"/>
      <c r="F4625" s="87"/>
    </row>
    <row r="4626">
      <c r="A4626" s="147"/>
      <c r="B4626" s="148"/>
      <c r="C4626" s="87"/>
      <c r="D4626" s="37"/>
      <c r="E4626" s="37"/>
      <c r="F4626" s="87"/>
    </row>
    <row r="4627">
      <c r="A4627" s="147"/>
      <c r="B4627" s="148"/>
      <c r="C4627" s="87"/>
      <c r="D4627" s="37"/>
      <c r="E4627" s="37"/>
      <c r="F4627" s="87"/>
    </row>
    <row r="4628">
      <c r="A4628" s="147"/>
      <c r="B4628" s="148"/>
      <c r="C4628" s="87"/>
      <c r="D4628" s="37"/>
      <c r="E4628" s="37"/>
      <c r="F4628" s="87"/>
    </row>
    <row r="4629">
      <c r="A4629" s="147"/>
      <c r="B4629" s="148"/>
      <c r="C4629" s="87"/>
      <c r="D4629" s="37"/>
      <c r="E4629" s="37"/>
      <c r="F4629" s="87"/>
    </row>
    <row r="4630">
      <c r="A4630" s="147"/>
      <c r="B4630" s="148"/>
      <c r="C4630" s="87"/>
      <c r="D4630" s="37"/>
      <c r="E4630" s="37"/>
      <c r="F4630" s="87"/>
    </row>
    <row r="4631">
      <c r="A4631" s="147"/>
      <c r="B4631" s="148"/>
      <c r="C4631" s="87"/>
      <c r="D4631" s="37"/>
      <c r="E4631" s="37"/>
      <c r="F4631" s="87"/>
    </row>
    <row r="4632">
      <c r="A4632" s="147"/>
      <c r="B4632" s="148"/>
      <c r="C4632" s="87"/>
      <c r="D4632" s="37"/>
      <c r="E4632" s="37"/>
      <c r="F4632" s="87"/>
    </row>
    <row r="4633">
      <c r="A4633" s="147"/>
      <c r="B4633" s="148"/>
      <c r="C4633" s="87"/>
      <c r="D4633" s="37"/>
      <c r="E4633" s="37"/>
      <c r="F4633" s="87"/>
    </row>
    <row r="4634">
      <c r="A4634" s="147"/>
      <c r="B4634" s="148"/>
      <c r="C4634" s="87"/>
      <c r="D4634" s="37"/>
      <c r="E4634" s="37"/>
      <c r="F4634" s="87"/>
    </row>
    <row r="4635">
      <c r="A4635" s="147"/>
      <c r="B4635" s="148"/>
      <c r="C4635" s="87"/>
      <c r="D4635" s="37"/>
      <c r="E4635" s="37"/>
      <c r="F4635" s="87"/>
    </row>
    <row r="4636">
      <c r="A4636" s="147"/>
      <c r="B4636" s="148"/>
      <c r="C4636" s="87"/>
      <c r="D4636" s="37"/>
      <c r="E4636" s="37"/>
      <c r="F4636" s="87"/>
    </row>
    <row r="4637">
      <c r="A4637" s="147"/>
      <c r="B4637" s="148"/>
      <c r="C4637" s="87"/>
      <c r="D4637" s="37"/>
      <c r="E4637" s="37"/>
      <c r="F4637" s="87"/>
    </row>
    <row r="4638">
      <c r="A4638" s="147"/>
      <c r="B4638" s="148"/>
      <c r="C4638" s="87"/>
      <c r="D4638" s="37"/>
      <c r="E4638" s="37"/>
      <c r="F4638" s="87"/>
    </row>
    <row r="4639">
      <c r="A4639" s="147"/>
      <c r="B4639" s="148"/>
      <c r="C4639" s="87"/>
      <c r="D4639" s="37"/>
      <c r="E4639" s="37"/>
      <c r="F4639" s="87"/>
    </row>
    <row r="4640">
      <c r="A4640" s="147"/>
      <c r="B4640" s="148"/>
      <c r="C4640" s="87"/>
      <c r="D4640" s="37"/>
      <c r="E4640" s="37"/>
      <c r="F4640" s="87"/>
    </row>
    <row r="4641">
      <c r="A4641" s="147"/>
      <c r="B4641" s="148"/>
      <c r="C4641" s="87"/>
      <c r="D4641" s="37"/>
      <c r="E4641" s="37"/>
      <c r="F4641" s="87"/>
    </row>
    <row r="4642">
      <c r="A4642" s="147"/>
      <c r="B4642" s="148"/>
      <c r="C4642" s="87"/>
      <c r="D4642" s="37"/>
      <c r="E4642" s="37"/>
      <c r="F4642" s="87"/>
    </row>
    <row r="4643">
      <c r="A4643" s="147"/>
      <c r="B4643" s="148"/>
      <c r="C4643" s="87"/>
      <c r="D4643" s="37"/>
      <c r="E4643" s="37"/>
      <c r="F4643" s="87"/>
    </row>
    <row r="4644">
      <c r="A4644" s="147"/>
      <c r="B4644" s="148"/>
      <c r="C4644" s="87"/>
      <c r="D4644" s="37"/>
      <c r="E4644" s="37"/>
      <c r="F4644" s="87"/>
    </row>
    <row r="4645">
      <c r="A4645" s="147"/>
      <c r="B4645" s="148"/>
      <c r="C4645" s="87"/>
      <c r="D4645" s="37"/>
      <c r="E4645" s="37"/>
      <c r="F4645" s="87"/>
    </row>
    <row r="4646">
      <c r="A4646" s="147"/>
      <c r="B4646" s="148"/>
      <c r="C4646" s="87"/>
      <c r="D4646" s="37"/>
      <c r="E4646" s="37"/>
      <c r="F4646" s="87"/>
    </row>
    <row r="4647">
      <c r="A4647" s="147"/>
      <c r="B4647" s="148"/>
      <c r="C4647" s="87"/>
      <c r="D4647" s="37"/>
      <c r="E4647" s="37"/>
      <c r="F4647" s="87"/>
    </row>
    <row r="4648">
      <c r="A4648" s="147"/>
      <c r="B4648" s="148"/>
      <c r="C4648" s="87"/>
      <c r="D4648" s="37"/>
      <c r="E4648" s="37"/>
      <c r="F4648" s="87"/>
    </row>
    <row r="4649">
      <c r="A4649" s="147"/>
      <c r="B4649" s="148"/>
      <c r="C4649" s="87"/>
      <c r="D4649" s="37"/>
      <c r="E4649" s="37"/>
      <c r="F4649" s="87"/>
    </row>
    <row r="4650">
      <c r="A4650" s="147"/>
      <c r="B4650" s="148"/>
      <c r="C4650" s="87"/>
      <c r="D4650" s="37"/>
      <c r="E4650" s="37"/>
      <c r="F4650" s="87"/>
    </row>
    <row r="4651">
      <c r="A4651" s="147"/>
      <c r="B4651" s="148"/>
      <c r="C4651" s="87"/>
      <c r="D4651" s="37"/>
      <c r="E4651" s="37"/>
      <c r="F4651" s="87"/>
    </row>
    <row r="4652">
      <c r="A4652" s="147"/>
      <c r="B4652" s="148"/>
      <c r="C4652" s="87"/>
      <c r="D4652" s="37"/>
      <c r="E4652" s="37"/>
      <c r="F4652" s="87"/>
    </row>
    <row r="4653">
      <c r="A4653" s="147"/>
      <c r="B4653" s="148"/>
      <c r="C4653" s="87"/>
      <c r="D4653" s="37"/>
      <c r="E4653" s="37"/>
      <c r="F4653" s="87"/>
    </row>
    <row r="4654">
      <c r="A4654" s="147"/>
      <c r="B4654" s="148"/>
      <c r="C4654" s="87"/>
      <c r="D4654" s="37"/>
      <c r="E4654" s="37"/>
      <c r="F4654" s="87"/>
    </row>
    <row r="4655">
      <c r="A4655" s="147"/>
      <c r="B4655" s="148"/>
      <c r="C4655" s="87"/>
      <c r="D4655" s="37"/>
      <c r="E4655" s="37"/>
      <c r="F4655" s="87"/>
    </row>
    <row r="4656">
      <c r="A4656" s="147"/>
      <c r="B4656" s="148"/>
      <c r="C4656" s="87"/>
      <c r="D4656" s="37"/>
      <c r="E4656" s="37"/>
      <c r="F4656" s="87"/>
    </row>
    <row r="4657">
      <c r="A4657" s="147"/>
      <c r="B4657" s="148"/>
      <c r="C4657" s="87"/>
      <c r="D4657" s="37"/>
      <c r="E4657" s="37"/>
      <c r="F4657" s="87"/>
    </row>
    <row r="4658">
      <c r="A4658" s="147"/>
      <c r="B4658" s="148"/>
      <c r="C4658" s="87"/>
      <c r="D4658" s="37"/>
      <c r="E4658" s="37"/>
      <c r="F4658" s="87"/>
    </row>
    <row r="4659">
      <c r="A4659" s="147"/>
      <c r="B4659" s="148"/>
      <c r="C4659" s="87"/>
      <c r="D4659" s="37"/>
      <c r="E4659" s="37"/>
      <c r="F4659" s="87"/>
    </row>
    <row r="4660">
      <c r="A4660" s="147"/>
      <c r="B4660" s="148"/>
      <c r="C4660" s="87"/>
      <c r="D4660" s="37"/>
      <c r="E4660" s="37"/>
      <c r="F4660" s="87"/>
    </row>
    <row r="4661">
      <c r="A4661" s="147"/>
      <c r="B4661" s="148"/>
      <c r="C4661" s="87"/>
      <c r="D4661" s="37"/>
      <c r="E4661" s="37"/>
      <c r="F4661" s="87"/>
    </row>
    <row r="4662">
      <c r="A4662" s="147"/>
      <c r="B4662" s="148"/>
      <c r="C4662" s="87"/>
      <c r="D4662" s="37"/>
      <c r="E4662" s="37"/>
      <c r="F4662" s="87"/>
    </row>
    <row r="4663">
      <c r="A4663" s="147"/>
      <c r="B4663" s="148"/>
      <c r="C4663" s="87"/>
      <c r="D4663" s="37"/>
      <c r="E4663" s="37"/>
      <c r="F4663" s="87"/>
    </row>
    <row r="4664">
      <c r="A4664" s="147"/>
      <c r="B4664" s="148"/>
      <c r="C4664" s="87"/>
      <c r="D4664" s="37"/>
      <c r="E4664" s="37"/>
      <c r="F4664" s="87"/>
    </row>
    <row r="4665">
      <c r="A4665" s="147"/>
      <c r="B4665" s="148"/>
      <c r="C4665" s="87"/>
      <c r="D4665" s="37"/>
      <c r="E4665" s="37"/>
      <c r="F4665" s="87"/>
    </row>
    <row r="4666">
      <c r="A4666" s="147"/>
      <c r="B4666" s="148"/>
      <c r="C4666" s="87"/>
      <c r="D4666" s="37"/>
      <c r="E4666" s="37"/>
      <c r="F4666" s="87"/>
    </row>
    <row r="4667">
      <c r="A4667" s="147"/>
      <c r="B4667" s="148"/>
      <c r="C4667" s="87"/>
      <c r="D4667" s="37"/>
      <c r="E4667" s="37"/>
      <c r="F4667" s="87"/>
    </row>
    <row r="4668">
      <c r="A4668" s="147"/>
      <c r="B4668" s="148"/>
      <c r="C4668" s="87"/>
      <c r="D4668" s="37"/>
      <c r="E4668" s="37"/>
      <c r="F4668" s="87"/>
    </row>
    <row r="4669">
      <c r="A4669" s="147"/>
      <c r="B4669" s="148"/>
      <c r="C4669" s="87"/>
      <c r="D4669" s="37"/>
      <c r="E4669" s="37"/>
      <c r="F4669" s="87"/>
    </row>
    <row r="4670">
      <c r="A4670" s="147"/>
      <c r="B4670" s="148"/>
      <c r="C4670" s="87"/>
      <c r="D4670" s="37"/>
      <c r="E4670" s="37"/>
      <c r="F4670" s="87"/>
    </row>
    <row r="4671">
      <c r="A4671" s="147"/>
      <c r="B4671" s="148"/>
      <c r="C4671" s="87"/>
      <c r="D4671" s="37"/>
      <c r="E4671" s="37"/>
      <c r="F4671" s="87"/>
    </row>
    <row r="4672">
      <c r="A4672" s="147"/>
      <c r="B4672" s="148"/>
      <c r="C4672" s="87"/>
      <c r="D4672" s="37"/>
      <c r="E4672" s="37"/>
      <c r="F4672" s="87"/>
    </row>
    <row r="4673">
      <c r="A4673" s="147"/>
      <c r="B4673" s="148"/>
      <c r="C4673" s="87"/>
      <c r="D4673" s="37"/>
      <c r="E4673" s="37"/>
      <c r="F4673" s="87"/>
    </row>
    <row r="4674">
      <c r="A4674" s="147"/>
      <c r="B4674" s="148"/>
      <c r="C4674" s="87"/>
      <c r="D4674" s="37"/>
      <c r="E4674" s="37"/>
      <c r="F4674" s="87"/>
    </row>
    <row r="4675">
      <c r="A4675" s="147"/>
      <c r="B4675" s="148"/>
      <c r="C4675" s="87"/>
      <c r="D4675" s="37"/>
      <c r="E4675" s="37"/>
      <c r="F4675" s="87"/>
    </row>
    <row r="4676">
      <c r="A4676" s="147"/>
      <c r="B4676" s="148"/>
      <c r="C4676" s="87"/>
      <c r="D4676" s="37"/>
      <c r="E4676" s="37"/>
      <c r="F4676" s="87"/>
    </row>
    <row r="4677">
      <c r="A4677" s="147"/>
      <c r="B4677" s="148"/>
      <c r="C4677" s="87"/>
      <c r="D4677" s="37"/>
      <c r="E4677" s="37"/>
      <c r="F4677" s="87"/>
    </row>
    <row r="4678">
      <c r="A4678" s="147"/>
      <c r="B4678" s="148"/>
      <c r="C4678" s="87"/>
      <c r="D4678" s="37"/>
      <c r="E4678" s="37"/>
      <c r="F4678" s="87"/>
    </row>
    <row r="4679">
      <c r="A4679" s="147"/>
      <c r="B4679" s="148"/>
      <c r="C4679" s="87"/>
      <c r="D4679" s="37"/>
      <c r="E4679" s="37"/>
      <c r="F4679" s="87"/>
    </row>
    <row r="4680">
      <c r="A4680" s="147"/>
      <c r="B4680" s="148"/>
      <c r="C4680" s="87"/>
      <c r="D4680" s="37"/>
      <c r="E4680" s="37"/>
      <c r="F4680" s="87"/>
    </row>
    <row r="4681">
      <c r="A4681" s="147"/>
      <c r="B4681" s="148"/>
      <c r="C4681" s="87"/>
      <c r="D4681" s="37"/>
      <c r="E4681" s="37"/>
      <c r="F4681" s="87"/>
    </row>
    <row r="4682">
      <c r="A4682" s="147"/>
      <c r="B4682" s="148"/>
      <c r="C4682" s="87"/>
      <c r="D4682" s="37"/>
      <c r="E4682" s="37"/>
      <c r="F4682" s="87"/>
    </row>
    <row r="4683">
      <c r="A4683" s="147"/>
      <c r="B4683" s="148"/>
      <c r="C4683" s="87"/>
      <c r="D4683" s="37"/>
      <c r="E4683" s="37"/>
      <c r="F4683" s="87"/>
    </row>
    <row r="4684">
      <c r="A4684" s="147"/>
      <c r="B4684" s="148"/>
      <c r="C4684" s="87"/>
      <c r="D4684" s="37"/>
      <c r="E4684" s="37"/>
      <c r="F4684" s="87"/>
    </row>
    <row r="4685">
      <c r="A4685" s="147"/>
      <c r="B4685" s="148"/>
      <c r="C4685" s="87"/>
      <c r="D4685" s="37"/>
      <c r="E4685" s="37"/>
      <c r="F4685" s="87"/>
    </row>
    <row r="4686">
      <c r="A4686" s="147"/>
      <c r="B4686" s="148"/>
      <c r="C4686" s="87"/>
      <c r="D4686" s="37"/>
      <c r="E4686" s="37"/>
      <c r="F4686" s="87"/>
    </row>
    <row r="4687">
      <c r="A4687" s="147"/>
      <c r="B4687" s="148"/>
      <c r="C4687" s="87"/>
      <c r="D4687" s="37"/>
      <c r="E4687" s="37"/>
      <c r="F4687" s="87"/>
    </row>
    <row r="4688">
      <c r="A4688" s="147"/>
      <c r="B4688" s="148"/>
      <c r="C4688" s="87"/>
      <c r="D4688" s="37"/>
      <c r="E4688" s="37"/>
      <c r="F4688" s="87"/>
    </row>
    <row r="4689">
      <c r="A4689" s="147"/>
      <c r="B4689" s="148"/>
      <c r="C4689" s="87"/>
      <c r="D4689" s="37"/>
      <c r="E4689" s="37"/>
      <c r="F4689" s="87"/>
    </row>
    <row r="4690">
      <c r="A4690" s="147"/>
      <c r="B4690" s="148"/>
      <c r="C4690" s="87"/>
      <c r="D4690" s="37"/>
      <c r="E4690" s="37"/>
      <c r="F4690" s="87"/>
    </row>
    <row r="4691">
      <c r="A4691" s="147"/>
      <c r="B4691" s="148"/>
      <c r="C4691" s="87"/>
      <c r="D4691" s="37"/>
      <c r="E4691" s="37"/>
      <c r="F4691" s="87"/>
    </row>
    <row r="4692">
      <c r="A4692" s="147"/>
      <c r="B4692" s="148"/>
      <c r="C4692" s="87"/>
      <c r="D4692" s="37"/>
      <c r="E4692" s="37"/>
      <c r="F4692" s="87"/>
    </row>
    <row r="4693">
      <c r="A4693" s="147"/>
      <c r="B4693" s="148"/>
      <c r="C4693" s="87"/>
      <c r="D4693" s="37"/>
      <c r="E4693" s="37"/>
      <c r="F4693" s="87"/>
    </row>
    <row r="4694">
      <c r="A4694" s="147"/>
      <c r="B4694" s="148"/>
      <c r="C4694" s="87"/>
      <c r="D4694" s="37"/>
      <c r="E4694" s="37"/>
      <c r="F4694" s="87"/>
    </row>
    <row r="4695">
      <c r="A4695" s="147"/>
      <c r="B4695" s="148"/>
      <c r="C4695" s="87"/>
      <c r="D4695" s="37"/>
      <c r="E4695" s="37"/>
      <c r="F4695" s="87"/>
    </row>
    <row r="4696">
      <c r="A4696" s="147"/>
      <c r="B4696" s="148"/>
      <c r="C4696" s="87"/>
      <c r="D4696" s="37"/>
      <c r="E4696" s="37"/>
      <c r="F4696" s="87"/>
    </row>
    <row r="4697">
      <c r="A4697" s="147"/>
      <c r="B4697" s="148"/>
      <c r="C4697" s="87"/>
      <c r="D4697" s="37"/>
      <c r="E4697" s="37"/>
      <c r="F4697" s="87"/>
    </row>
    <row r="4698">
      <c r="A4698" s="147"/>
      <c r="B4698" s="148"/>
      <c r="C4698" s="87"/>
      <c r="D4698" s="37"/>
      <c r="E4698" s="37"/>
      <c r="F4698" s="87"/>
    </row>
    <row r="4699">
      <c r="A4699" s="147"/>
      <c r="B4699" s="148"/>
      <c r="C4699" s="87"/>
      <c r="D4699" s="37"/>
      <c r="E4699" s="37"/>
      <c r="F4699" s="87"/>
    </row>
    <row r="4700">
      <c r="A4700" s="147"/>
      <c r="B4700" s="148"/>
      <c r="C4700" s="87"/>
      <c r="D4700" s="37"/>
      <c r="E4700" s="37"/>
      <c r="F4700" s="87"/>
    </row>
    <row r="4701">
      <c r="A4701" s="147"/>
      <c r="B4701" s="148"/>
      <c r="C4701" s="87"/>
      <c r="D4701" s="37"/>
      <c r="E4701" s="37"/>
      <c r="F4701" s="87"/>
    </row>
    <row r="4702">
      <c r="A4702" s="147"/>
      <c r="B4702" s="148"/>
      <c r="C4702" s="87"/>
      <c r="D4702" s="37"/>
      <c r="E4702" s="37"/>
      <c r="F4702" s="87"/>
    </row>
    <row r="4703">
      <c r="A4703" s="147"/>
      <c r="B4703" s="148"/>
      <c r="C4703" s="87"/>
      <c r="D4703" s="37"/>
      <c r="E4703" s="37"/>
      <c r="F4703" s="87"/>
    </row>
    <row r="4704">
      <c r="A4704" s="147"/>
      <c r="B4704" s="148"/>
      <c r="C4704" s="87"/>
      <c r="D4704" s="37"/>
      <c r="E4704" s="37"/>
      <c r="F4704" s="87"/>
    </row>
    <row r="4705">
      <c r="A4705" s="147"/>
      <c r="B4705" s="148"/>
      <c r="C4705" s="87"/>
      <c r="D4705" s="37"/>
      <c r="E4705" s="37"/>
      <c r="F4705" s="87"/>
    </row>
    <row r="4706">
      <c r="A4706" s="147"/>
      <c r="B4706" s="148"/>
      <c r="C4706" s="87"/>
      <c r="D4706" s="37"/>
      <c r="E4706" s="37"/>
      <c r="F4706" s="87"/>
    </row>
    <row r="4707">
      <c r="A4707" s="147"/>
      <c r="B4707" s="148"/>
      <c r="C4707" s="87"/>
      <c r="D4707" s="37"/>
      <c r="E4707" s="37"/>
      <c r="F4707" s="87"/>
    </row>
    <row r="4708">
      <c r="A4708" s="147"/>
      <c r="B4708" s="148"/>
      <c r="C4708" s="87"/>
      <c r="D4708" s="37"/>
      <c r="E4708" s="37"/>
      <c r="F4708" s="87"/>
    </row>
    <row r="4709">
      <c r="A4709" s="147"/>
      <c r="B4709" s="148"/>
      <c r="C4709" s="87"/>
      <c r="D4709" s="37"/>
      <c r="E4709" s="37"/>
      <c r="F4709" s="87"/>
    </row>
    <row r="4710">
      <c r="A4710" s="147"/>
      <c r="B4710" s="148"/>
      <c r="C4710" s="87"/>
      <c r="D4710" s="37"/>
      <c r="E4710" s="37"/>
      <c r="F4710" s="87"/>
    </row>
    <row r="4711">
      <c r="A4711" s="147"/>
      <c r="B4711" s="148"/>
      <c r="C4711" s="87"/>
      <c r="D4711" s="37"/>
      <c r="E4711" s="37"/>
      <c r="F4711" s="87"/>
    </row>
    <row r="4712">
      <c r="A4712" s="147"/>
      <c r="B4712" s="148"/>
      <c r="C4712" s="87"/>
      <c r="D4712" s="37"/>
      <c r="E4712" s="37"/>
      <c r="F4712" s="87"/>
    </row>
    <row r="4713">
      <c r="A4713" s="147"/>
      <c r="B4713" s="148"/>
      <c r="C4713" s="87"/>
      <c r="D4713" s="37"/>
      <c r="E4713" s="37"/>
      <c r="F4713" s="87"/>
    </row>
    <row r="4714">
      <c r="A4714" s="147"/>
      <c r="B4714" s="148"/>
      <c r="C4714" s="87"/>
      <c r="D4714" s="37"/>
      <c r="E4714" s="37"/>
      <c r="F4714" s="87"/>
    </row>
    <row r="4715">
      <c r="A4715" s="147"/>
      <c r="B4715" s="148"/>
      <c r="C4715" s="87"/>
      <c r="D4715" s="37"/>
      <c r="E4715" s="37"/>
      <c r="F4715" s="87"/>
    </row>
    <row r="4716">
      <c r="A4716" s="147"/>
      <c r="B4716" s="148"/>
      <c r="C4716" s="87"/>
      <c r="D4716" s="37"/>
      <c r="E4716" s="37"/>
      <c r="F4716" s="87"/>
    </row>
    <row r="4717">
      <c r="A4717" s="147"/>
      <c r="B4717" s="148"/>
      <c r="C4717" s="87"/>
      <c r="D4717" s="37"/>
      <c r="E4717" s="37"/>
      <c r="F4717" s="87"/>
    </row>
    <row r="4718">
      <c r="A4718" s="147"/>
      <c r="B4718" s="148"/>
      <c r="C4718" s="87"/>
      <c r="D4718" s="37"/>
      <c r="E4718" s="37"/>
      <c r="F4718" s="87"/>
    </row>
    <row r="4719">
      <c r="A4719" s="147"/>
      <c r="B4719" s="148"/>
      <c r="C4719" s="87"/>
      <c r="D4719" s="37"/>
      <c r="E4719" s="37"/>
      <c r="F4719" s="87"/>
    </row>
    <row r="4720">
      <c r="A4720" s="147"/>
      <c r="B4720" s="148"/>
      <c r="C4720" s="87"/>
      <c r="D4720" s="37"/>
      <c r="E4720" s="37"/>
      <c r="F4720" s="87"/>
    </row>
    <row r="4721">
      <c r="A4721" s="147"/>
      <c r="B4721" s="148"/>
      <c r="C4721" s="87"/>
      <c r="D4721" s="37"/>
      <c r="E4721" s="37"/>
      <c r="F4721" s="87"/>
    </row>
    <row r="4722">
      <c r="A4722" s="147"/>
      <c r="B4722" s="148"/>
      <c r="C4722" s="87"/>
      <c r="D4722" s="37"/>
      <c r="E4722" s="37"/>
      <c r="F4722" s="87"/>
    </row>
    <row r="4723">
      <c r="A4723" s="147"/>
      <c r="B4723" s="148"/>
      <c r="C4723" s="87"/>
      <c r="D4723" s="37"/>
      <c r="E4723" s="37"/>
      <c r="F4723" s="87"/>
    </row>
    <row r="4724">
      <c r="A4724" s="147"/>
      <c r="B4724" s="148"/>
      <c r="C4724" s="87"/>
      <c r="D4724" s="37"/>
      <c r="E4724" s="37"/>
      <c r="F4724" s="87"/>
    </row>
    <row r="4725">
      <c r="A4725" s="147"/>
      <c r="B4725" s="148"/>
      <c r="C4725" s="87"/>
      <c r="D4725" s="37"/>
      <c r="E4725" s="37"/>
      <c r="F4725" s="87"/>
    </row>
    <row r="4726">
      <c r="A4726" s="147"/>
      <c r="B4726" s="148"/>
      <c r="C4726" s="87"/>
      <c r="D4726" s="37"/>
      <c r="E4726" s="37"/>
      <c r="F4726" s="87"/>
    </row>
    <row r="4727">
      <c r="A4727" s="147"/>
      <c r="B4727" s="148"/>
      <c r="C4727" s="87"/>
      <c r="D4727" s="37"/>
      <c r="E4727" s="37"/>
      <c r="F4727" s="87"/>
    </row>
    <row r="4728">
      <c r="A4728" s="147"/>
      <c r="B4728" s="148"/>
      <c r="C4728" s="87"/>
      <c r="D4728" s="37"/>
      <c r="E4728" s="37"/>
      <c r="F4728" s="87"/>
    </row>
    <row r="4729">
      <c r="A4729" s="147"/>
      <c r="B4729" s="148"/>
      <c r="C4729" s="87"/>
      <c r="D4729" s="37"/>
      <c r="E4729" s="37"/>
      <c r="F4729" s="87"/>
    </row>
    <row r="4730">
      <c r="A4730" s="147"/>
      <c r="B4730" s="148"/>
      <c r="C4730" s="87"/>
      <c r="D4730" s="37"/>
      <c r="E4730" s="37"/>
      <c r="F4730" s="87"/>
    </row>
    <row r="4731">
      <c r="A4731" s="147"/>
      <c r="B4731" s="148"/>
      <c r="C4731" s="87"/>
      <c r="D4731" s="37"/>
      <c r="E4731" s="37"/>
      <c r="F4731" s="87"/>
    </row>
    <row r="4732">
      <c r="A4732" s="147"/>
      <c r="B4732" s="148"/>
      <c r="C4732" s="87"/>
      <c r="D4732" s="37"/>
      <c r="E4732" s="37"/>
      <c r="F4732" s="87"/>
    </row>
    <row r="4733">
      <c r="A4733" s="147"/>
      <c r="B4733" s="148"/>
      <c r="C4733" s="87"/>
      <c r="D4733" s="37"/>
      <c r="E4733" s="37"/>
      <c r="F4733" s="87"/>
    </row>
    <row r="4734">
      <c r="A4734" s="147"/>
      <c r="B4734" s="148"/>
      <c r="C4734" s="87"/>
      <c r="D4734" s="37"/>
      <c r="E4734" s="37"/>
      <c r="F4734" s="87"/>
    </row>
    <row r="4735">
      <c r="A4735" s="147"/>
      <c r="B4735" s="148"/>
      <c r="C4735" s="87"/>
      <c r="D4735" s="37"/>
      <c r="E4735" s="37"/>
      <c r="F4735" s="87"/>
    </row>
    <row r="4736">
      <c r="A4736" s="147"/>
      <c r="B4736" s="148"/>
      <c r="C4736" s="87"/>
      <c r="D4736" s="37"/>
      <c r="E4736" s="37"/>
      <c r="F4736" s="87"/>
    </row>
    <row r="4737">
      <c r="A4737" s="147"/>
      <c r="B4737" s="148"/>
      <c r="C4737" s="87"/>
      <c r="D4737" s="37"/>
      <c r="E4737" s="37"/>
      <c r="F4737" s="87"/>
    </row>
    <row r="4738">
      <c r="A4738" s="147"/>
      <c r="B4738" s="148"/>
      <c r="C4738" s="87"/>
      <c r="D4738" s="37"/>
      <c r="E4738" s="37"/>
      <c r="F4738" s="87"/>
    </row>
    <row r="4739">
      <c r="A4739" s="147"/>
      <c r="B4739" s="148"/>
      <c r="C4739" s="87"/>
      <c r="D4739" s="37"/>
      <c r="E4739" s="37"/>
      <c r="F4739" s="87"/>
    </row>
    <row r="4740">
      <c r="A4740" s="147"/>
      <c r="B4740" s="148"/>
      <c r="C4740" s="87"/>
      <c r="D4740" s="37"/>
      <c r="E4740" s="37"/>
      <c r="F4740" s="87"/>
    </row>
    <row r="4741">
      <c r="A4741" s="147"/>
      <c r="B4741" s="148"/>
      <c r="C4741" s="87"/>
      <c r="D4741" s="37"/>
      <c r="E4741" s="37"/>
      <c r="F4741" s="87"/>
    </row>
    <row r="4742">
      <c r="A4742" s="147"/>
      <c r="B4742" s="148"/>
      <c r="C4742" s="87"/>
      <c r="D4742" s="37"/>
      <c r="E4742" s="37"/>
      <c r="F4742" s="87"/>
    </row>
    <row r="4743">
      <c r="A4743" s="147"/>
      <c r="B4743" s="148"/>
      <c r="C4743" s="87"/>
      <c r="D4743" s="37"/>
      <c r="E4743" s="37"/>
      <c r="F4743" s="87"/>
    </row>
    <row r="4744">
      <c r="A4744" s="147"/>
      <c r="B4744" s="148"/>
      <c r="C4744" s="87"/>
      <c r="D4744" s="37"/>
      <c r="E4744" s="37"/>
      <c r="F4744" s="87"/>
    </row>
    <row r="4745">
      <c r="A4745" s="147"/>
      <c r="B4745" s="148"/>
      <c r="C4745" s="87"/>
      <c r="D4745" s="37"/>
      <c r="E4745" s="37"/>
      <c r="F4745" s="87"/>
    </row>
    <row r="4746">
      <c r="A4746" s="147"/>
      <c r="B4746" s="148"/>
      <c r="C4746" s="87"/>
      <c r="D4746" s="37"/>
      <c r="E4746" s="37"/>
      <c r="F4746" s="87"/>
    </row>
    <row r="4747">
      <c r="A4747" s="147"/>
      <c r="B4747" s="148"/>
      <c r="C4747" s="87"/>
      <c r="D4747" s="37"/>
      <c r="E4747" s="37"/>
      <c r="F4747" s="87"/>
    </row>
    <row r="4748">
      <c r="A4748" s="147"/>
      <c r="B4748" s="148"/>
      <c r="C4748" s="87"/>
      <c r="D4748" s="37"/>
      <c r="E4748" s="37"/>
      <c r="F4748" s="87"/>
    </row>
    <row r="4749">
      <c r="A4749" s="147"/>
      <c r="B4749" s="148"/>
      <c r="C4749" s="87"/>
      <c r="D4749" s="37"/>
      <c r="E4749" s="37"/>
      <c r="F4749" s="87"/>
    </row>
    <row r="4750">
      <c r="A4750" s="147"/>
      <c r="B4750" s="148"/>
      <c r="C4750" s="87"/>
      <c r="D4750" s="37"/>
      <c r="E4750" s="37"/>
      <c r="F4750" s="87"/>
    </row>
    <row r="4751">
      <c r="A4751" s="147"/>
      <c r="B4751" s="148"/>
      <c r="C4751" s="87"/>
      <c r="D4751" s="37"/>
      <c r="E4751" s="37"/>
      <c r="F4751" s="87"/>
    </row>
    <row r="4752">
      <c r="A4752" s="147"/>
      <c r="B4752" s="148"/>
      <c r="C4752" s="87"/>
      <c r="D4752" s="37"/>
      <c r="E4752" s="37"/>
      <c r="F4752" s="87"/>
    </row>
    <row r="4753">
      <c r="A4753" s="147"/>
      <c r="B4753" s="148"/>
      <c r="C4753" s="87"/>
      <c r="D4753" s="37"/>
      <c r="E4753" s="37"/>
      <c r="F4753" s="87"/>
    </row>
    <row r="4754">
      <c r="A4754" s="147"/>
      <c r="B4754" s="148"/>
      <c r="C4754" s="87"/>
      <c r="D4754" s="37"/>
      <c r="E4754" s="37"/>
      <c r="F4754" s="87"/>
    </row>
    <row r="4755">
      <c r="A4755" s="147"/>
      <c r="B4755" s="148"/>
      <c r="C4755" s="87"/>
      <c r="D4755" s="37"/>
      <c r="E4755" s="37"/>
      <c r="F4755" s="87"/>
    </row>
    <row r="4756">
      <c r="A4756" s="147"/>
      <c r="B4756" s="148"/>
      <c r="C4756" s="87"/>
      <c r="D4756" s="37"/>
      <c r="E4756" s="37"/>
      <c r="F4756" s="87"/>
    </row>
    <row r="4757">
      <c r="A4757" s="147"/>
      <c r="B4757" s="148"/>
      <c r="C4757" s="87"/>
      <c r="D4757" s="37"/>
      <c r="E4757" s="37"/>
      <c r="F4757" s="87"/>
    </row>
    <row r="4758">
      <c r="A4758" s="147"/>
      <c r="B4758" s="148"/>
      <c r="C4758" s="87"/>
      <c r="D4758" s="37"/>
      <c r="E4758" s="37"/>
      <c r="F4758" s="87"/>
    </row>
    <row r="4759">
      <c r="A4759" s="147"/>
      <c r="B4759" s="148"/>
      <c r="C4759" s="87"/>
      <c r="D4759" s="37"/>
      <c r="E4759" s="37"/>
      <c r="F4759" s="87"/>
    </row>
    <row r="4760">
      <c r="A4760" s="147"/>
      <c r="B4760" s="148"/>
      <c r="C4760" s="87"/>
      <c r="D4760" s="37"/>
      <c r="E4760" s="37"/>
      <c r="F4760" s="87"/>
    </row>
    <row r="4761">
      <c r="A4761" s="147"/>
      <c r="B4761" s="148"/>
      <c r="C4761" s="87"/>
      <c r="D4761" s="37"/>
      <c r="E4761" s="37"/>
      <c r="F4761" s="87"/>
    </row>
    <row r="4762">
      <c r="A4762" s="147"/>
      <c r="B4762" s="148"/>
      <c r="C4762" s="87"/>
      <c r="D4762" s="37"/>
      <c r="E4762" s="37"/>
      <c r="F4762" s="87"/>
    </row>
    <row r="4763">
      <c r="A4763" s="147"/>
      <c r="B4763" s="148"/>
      <c r="C4763" s="87"/>
      <c r="D4763" s="37"/>
      <c r="E4763" s="37"/>
      <c r="F4763" s="87"/>
    </row>
    <row r="4764">
      <c r="A4764" s="147"/>
      <c r="B4764" s="148"/>
      <c r="C4764" s="87"/>
      <c r="D4764" s="37"/>
      <c r="E4764" s="37"/>
      <c r="F4764" s="87"/>
    </row>
    <row r="4765">
      <c r="A4765" s="147"/>
      <c r="B4765" s="148"/>
      <c r="C4765" s="87"/>
      <c r="D4765" s="37"/>
      <c r="E4765" s="37"/>
      <c r="F4765" s="87"/>
    </row>
    <row r="4766">
      <c r="A4766" s="147"/>
      <c r="B4766" s="148"/>
      <c r="C4766" s="87"/>
      <c r="D4766" s="37"/>
      <c r="E4766" s="37"/>
      <c r="F4766" s="87"/>
    </row>
    <row r="4767">
      <c r="A4767" s="147"/>
      <c r="B4767" s="148"/>
      <c r="C4767" s="87"/>
      <c r="D4767" s="37"/>
      <c r="E4767" s="37"/>
      <c r="F4767" s="87"/>
    </row>
    <row r="4768">
      <c r="A4768" s="147"/>
      <c r="B4768" s="148"/>
      <c r="C4768" s="87"/>
      <c r="D4768" s="37"/>
      <c r="E4768" s="37"/>
      <c r="F4768" s="87"/>
    </row>
    <row r="4769">
      <c r="A4769" s="147"/>
      <c r="B4769" s="148"/>
      <c r="C4769" s="87"/>
      <c r="D4769" s="37"/>
      <c r="E4769" s="37"/>
      <c r="F4769" s="87"/>
    </row>
    <row r="4770">
      <c r="A4770" s="147"/>
      <c r="B4770" s="148"/>
      <c r="C4770" s="87"/>
      <c r="D4770" s="37"/>
      <c r="E4770" s="37"/>
      <c r="F4770" s="87"/>
    </row>
    <row r="4771">
      <c r="A4771" s="147"/>
      <c r="B4771" s="148"/>
      <c r="C4771" s="87"/>
      <c r="D4771" s="37"/>
      <c r="E4771" s="37"/>
      <c r="F4771" s="87"/>
    </row>
    <row r="4772">
      <c r="A4772" s="147"/>
      <c r="B4772" s="148"/>
      <c r="C4772" s="87"/>
      <c r="D4772" s="37"/>
      <c r="E4772" s="37"/>
      <c r="F4772" s="87"/>
    </row>
    <row r="4773">
      <c r="A4773" s="147"/>
      <c r="B4773" s="148"/>
      <c r="C4773" s="87"/>
      <c r="D4773" s="37"/>
      <c r="E4773" s="37"/>
      <c r="F4773" s="87"/>
    </row>
    <row r="4774">
      <c r="A4774" s="147"/>
      <c r="B4774" s="148"/>
      <c r="C4774" s="87"/>
      <c r="D4774" s="37"/>
      <c r="E4774" s="37"/>
      <c r="F4774" s="87"/>
    </row>
    <row r="4775">
      <c r="A4775" s="147"/>
      <c r="B4775" s="148"/>
      <c r="C4775" s="87"/>
      <c r="D4775" s="37"/>
      <c r="E4775" s="37"/>
      <c r="F4775" s="87"/>
    </row>
    <row r="4776">
      <c r="A4776" s="147"/>
      <c r="B4776" s="148"/>
      <c r="C4776" s="87"/>
      <c r="D4776" s="37"/>
      <c r="E4776" s="37"/>
      <c r="F4776" s="87"/>
    </row>
    <row r="4777">
      <c r="A4777" s="147"/>
      <c r="B4777" s="148"/>
      <c r="C4777" s="87"/>
      <c r="D4777" s="37"/>
      <c r="E4777" s="37"/>
      <c r="F4777" s="87"/>
    </row>
    <row r="4778">
      <c r="A4778" s="147"/>
      <c r="B4778" s="148"/>
      <c r="C4778" s="87"/>
      <c r="D4778" s="37"/>
      <c r="E4778" s="37"/>
      <c r="F4778" s="87"/>
    </row>
    <row r="4779">
      <c r="A4779" s="147"/>
      <c r="B4779" s="148"/>
      <c r="C4779" s="87"/>
      <c r="D4779" s="37"/>
      <c r="E4779" s="37"/>
      <c r="F4779" s="87"/>
    </row>
    <row r="4780">
      <c r="A4780" s="147"/>
      <c r="B4780" s="148"/>
      <c r="C4780" s="87"/>
      <c r="D4780" s="37"/>
      <c r="E4780" s="37"/>
      <c r="F4780" s="87"/>
    </row>
    <row r="4781">
      <c r="A4781" s="147"/>
      <c r="B4781" s="148"/>
      <c r="C4781" s="87"/>
      <c r="D4781" s="37"/>
      <c r="E4781" s="37"/>
      <c r="F4781" s="87"/>
    </row>
    <row r="4782">
      <c r="A4782" s="147"/>
      <c r="B4782" s="148"/>
      <c r="C4782" s="87"/>
      <c r="D4782" s="37"/>
      <c r="E4782" s="37"/>
      <c r="F4782" s="87"/>
    </row>
    <row r="4783">
      <c r="A4783" s="147"/>
      <c r="B4783" s="148"/>
      <c r="C4783" s="87"/>
      <c r="D4783" s="37"/>
      <c r="E4783" s="37"/>
      <c r="F4783" s="87"/>
    </row>
    <row r="4784">
      <c r="A4784" s="147"/>
      <c r="B4784" s="148"/>
      <c r="C4784" s="87"/>
      <c r="D4784" s="37"/>
      <c r="E4784" s="37"/>
      <c r="F4784" s="87"/>
    </row>
    <row r="4785">
      <c r="A4785" s="147"/>
      <c r="B4785" s="148"/>
      <c r="C4785" s="87"/>
      <c r="D4785" s="37"/>
      <c r="E4785" s="37"/>
      <c r="F4785" s="87"/>
    </row>
    <row r="4786">
      <c r="A4786" s="147"/>
      <c r="B4786" s="148"/>
      <c r="C4786" s="87"/>
      <c r="D4786" s="37"/>
      <c r="E4786" s="37"/>
      <c r="F4786" s="87"/>
    </row>
    <row r="4787">
      <c r="A4787" s="147"/>
      <c r="B4787" s="148"/>
      <c r="C4787" s="87"/>
      <c r="D4787" s="37"/>
      <c r="E4787" s="37"/>
      <c r="F4787" s="87"/>
    </row>
    <row r="4788">
      <c r="A4788" s="147"/>
      <c r="B4788" s="148"/>
      <c r="C4788" s="87"/>
      <c r="D4788" s="37"/>
      <c r="E4788" s="37"/>
      <c r="F4788" s="87"/>
    </row>
    <row r="4789">
      <c r="A4789" s="147"/>
      <c r="B4789" s="148"/>
      <c r="C4789" s="87"/>
      <c r="D4789" s="37"/>
      <c r="E4789" s="37"/>
      <c r="F4789" s="87"/>
    </row>
    <row r="4790">
      <c r="A4790" s="147"/>
      <c r="B4790" s="148"/>
      <c r="C4790" s="87"/>
      <c r="D4790" s="37"/>
      <c r="E4790" s="37"/>
      <c r="F4790" s="87"/>
    </row>
    <row r="4791">
      <c r="A4791" s="147"/>
      <c r="B4791" s="148"/>
      <c r="C4791" s="87"/>
      <c r="D4791" s="37"/>
      <c r="E4791" s="37"/>
      <c r="F4791" s="87"/>
    </row>
    <row r="4792">
      <c r="A4792" s="147"/>
      <c r="B4792" s="148"/>
      <c r="C4792" s="87"/>
      <c r="D4792" s="37"/>
      <c r="E4792" s="37"/>
      <c r="F4792" s="87"/>
    </row>
    <row r="4793">
      <c r="A4793" s="147"/>
      <c r="B4793" s="148"/>
      <c r="C4793" s="87"/>
      <c r="D4793" s="37"/>
      <c r="E4793" s="37"/>
      <c r="F4793" s="87"/>
    </row>
    <row r="4794">
      <c r="A4794" s="147"/>
      <c r="B4794" s="148"/>
      <c r="C4794" s="87"/>
      <c r="D4794" s="37"/>
      <c r="E4794" s="37"/>
      <c r="F4794" s="87"/>
    </row>
    <row r="4795">
      <c r="A4795" s="147"/>
      <c r="B4795" s="148"/>
      <c r="C4795" s="87"/>
      <c r="D4795" s="37"/>
      <c r="E4795" s="37"/>
      <c r="F4795" s="87"/>
    </row>
    <row r="4796">
      <c r="A4796" s="147"/>
      <c r="B4796" s="148"/>
      <c r="C4796" s="87"/>
      <c r="D4796" s="37"/>
      <c r="E4796" s="37"/>
      <c r="F4796" s="87"/>
    </row>
    <row r="4797">
      <c r="A4797" s="147"/>
      <c r="B4797" s="148"/>
      <c r="C4797" s="87"/>
      <c r="D4797" s="37"/>
      <c r="E4797" s="37"/>
      <c r="F4797" s="87"/>
    </row>
    <row r="4798">
      <c r="A4798" s="147"/>
      <c r="B4798" s="148"/>
      <c r="C4798" s="87"/>
      <c r="D4798" s="37"/>
      <c r="E4798" s="37"/>
      <c r="F4798" s="87"/>
    </row>
    <row r="4799">
      <c r="A4799" s="147"/>
      <c r="B4799" s="148"/>
      <c r="C4799" s="87"/>
      <c r="D4799" s="37"/>
      <c r="E4799" s="37"/>
      <c r="F4799" s="87"/>
    </row>
    <row r="4800">
      <c r="A4800" s="147"/>
      <c r="B4800" s="148"/>
      <c r="C4800" s="87"/>
      <c r="D4800" s="37"/>
      <c r="E4800" s="37"/>
      <c r="F4800" s="87"/>
    </row>
    <row r="4801">
      <c r="A4801" s="147"/>
      <c r="B4801" s="148"/>
      <c r="C4801" s="87"/>
      <c r="D4801" s="37"/>
      <c r="E4801" s="37"/>
      <c r="F4801" s="87"/>
    </row>
    <row r="4802">
      <c r="A4802" s="147"/>
      <c r="B4802" s="148"/>
      <c r="C4802" s="87"/>
      <c r="D4802" s="37"/>
      <c r="E4802" s="37"/>
      <c r="F4802" s="87"/>
    </row>
    <row r="4803">
      <c r="A4803" s="147"/>
      <c r="B4803" s="148"/>
      <c r="C4803" s="87"/>
      <c r="D4803" s="37"/>
      <c r="E4803" s="37"/>
      <c r="F4803" s="87"/>
    </row>
    <row r="4804">
      <c r="A4804" s="147"/>
      <c r="B4804" s="148"/>
      <c r="C4804" s="87"/>
      <c r="D4804" s="37"/>
      <c r="E4804" s="37"/>
      <c r="F4804" s="87"/>
    </row>
    <row r="4805">
      <c r="A4805" s="147"/>
      <c r="B4805" s="148"/>
      <c r="C4805" s="87"/>
      <c r="D4805" s="37"/>
      <c r="E4805" s="37"/>
      <c r="F4805" s="87"/>
    </row>
    <row r="4806">
      <c r="A4806" s="147"/>
      <c r="B4806" s="148"/>
      <c r="C4806" s="87"/>
      <c r="D4806" s="37"/>
      <c r="E4806" s="37"/>
      <c r="F4806" s="87"/>
    </row>
    <row r="4807">
      <c r="A4807" s="147"/>
      <c r="B4807" s="148"/>
      <c r="C4807" s="87"/>
      <c r="D4807" s="37"/>
      <c r="E4807" s="37"/>
      <c r="F4807" s="87"/>
    </row>
    <row r="4808">
      <c r="A4808" s="147"/>
      <c r="B4808" s="148"/>
      <c r="C4808" s="87"/>
      <c r="D4808" s="37"/>
      <c r="E4808" s="37"/>
      <c r="F4808" s="87"/>
    </row>
    <row r="4809">
      <c r="A4809" s="147"/>
      <c r="B4809" s="148"/>
      <c r="C4809" s="87"/>
      <c r="D4809" s="37"/>
      <c r="E4809" s="37"/>
      <c r="F4809" s="87"/>
    </row>
    <row r="4810">
      <c r="A4810" s="147"/>
      <c r="B4810" s="148"/>
      <c r="C4810" s="87"/>
      <c r="D4810" s="37"/>
      <c r="E4810" s="37"/>
      <c r="F4810" s="87"/>
    </row>
    <row r="4811">
      <c r="A4811" s="147"/>
      <c r="B4811" s="148"/>
      <c r="C4811" s="87"/>
      <c r="D4811" s="37"/>
      <c r="E4811" s="37"/>
      <c r="F4811" s="87"/>
    </row>
    <row r="4812">
      <c r="A4812" s="147"/>
      <c r="B4812" s="148"/>
      <c r="C4812" s="87"/>
      <c r="D4812" s="37"/>
      <c r="E4812" s="37"/>
      <c r="F4812" s="87"/>
    </row>
    <row r="4813">
      <c r="A4813" s="147"/>
      <c r="B4813" s="148"/>
      <c r="C4813" s="87"/>
      <c r="D4813" s="37"/>
      <c r="E4813" s="37"/>
      <c r="F4813" s="87"/>
    </row>
    <row r="4814">
      <c r="A4814" s="147"/>
      <c r="B4814" s="148"/>
      <c r="C4814" s="87"/>
      <c r="D4814" s="37"/>
      <c r="E4814" s="37"/>
      <c r="F4814" s="87"/>
    </row>
    <row r="4815">
      <c r="A4815" s="147"/>
      <c r="B4815" s="148"/>
      <c r="C4815" s="87"/>
      <c r="D4815" s="37"/>
      <c r="E4815" s="37"/>
      <c r="F4815" s="87"/>
    </row>
    <row r="4816">
      <c r="A4816" s="147"/>
      <c r="B4816" s="148"/>
      <c r="C4816" s="87"/>
      <c r="D4816" s="37"/>
      <c r="E4816" s="37"/>
      <c r="F4816" s="87"/>
    </row>
    <row r="4817">
      <c r="A4817" s="147"/>
      <c r="B4817" s="148"/>
      <c r="C4817" s="87"/>
      <c r="D4817" s="37"/>
      <c r="E4817" s="37"/>
      <c r="F4817" s="87"/>
    </row>
    <row r="4818">
      <c r="A4818" s="147"/>
      <c r="B4818" s="148"/>
      <c r="C4818" s="87"/>
      <c r="D4818" s="37"/>
      <c r="E4818" s="37"/>
      <c r="F4818" s="87"/>
    </row>
    <row r="4819">
      <c r="A4819" s="147"/>
      <c r="B4819" s="148"/>
      <c r="C4819" s="87"/>
      <c r="D4819" s="37"/>
      <c r="E4819" s="37"/>
      <c r="F4819" s="87"/>
    </row>
    <row r="4820">
      <c r="A4820" s="147"/>
      <c r="B4820" s="148"/>
      <c r="C4820" s="87"/>
      <c r="D4820" s="37"/>
      <c r="E4820" s="37"/>
      <c r="F4820" s="87"/>
    </row>
    <row r="4821">
      <c r="A4821" s="147"/>
      <c r="B4821" s="148"/>
      <c r="C4821" s="87"/>
      <c r="D4821" s="37"/>
      <c r="E4821" s="37"/>
      <c r="F4821" s="87"/>
    </row>
    <row r="4822">
      <c r="A4822" s="147"/>
      <c r="B4822" s="148"/>
      <c r="C4822" s="87"/>
      <c r="D4822" s="37"/>
      <c r="E4822" s="37"/>
      <c r="F4822" s="87"/>
    </row>
    <row r="4823">
      <c r="A4823" s="147"/>
      <c r="B4823" s="148"/>
      <c r="C4823" s="87"/>
      <c r="D4823" s="37"/>
      <c r="E4823" s="37"/>
      <c r="F4823" s="87"/>
    </row>
    <row r="4824">
      <c r="A4824" s="147"/>
      <c r="B4824" s="148"/>
      <c r="C4824" s="87"/>
      <c r="D4824" s="37"/>
      <c r="E4824" s="37"/>
      <c r="F4824" s="87"/>
    </row>
    <row r="4825">
      <c r="A4825" s="147"/>
      <c r="B4825" s="148"/>
      <c r="C4825" s="87"/>
      <c r="D4825" s="37"/>
      <c r="E4825" s="37"/>
      <c r="F4825" s="87"/>
    </row>
    <row r="4826">
      <c r="A4826" s="147"/>
      <c r="B4826" s="148"/>
      <c r="C4826" s="87"/>
      <c r="D4826" s="37"/>
      <c r="E4826" s="37"/>
      <c r="F4826" s="87"/>
    </row>
    <row r="4827">
      <c r="A4827" s="147"/>
      <c r="B4827" s="148"/>
      <c r="C4827" s="87"/>
      <c r="D4827" s="37"/>
      <c r="E4827" s="37"/>
      <c r="F4827" s="87"/>
    </row>
    <row r="4828">
      <c r="A4828" s="147"/>
      <c r="B4828" s="148"/>
      <c r="C4828" s="87"/>
      <c r="D4828" s="37"/>
      <c r="E4828" s="37"/>
      <c r="F4828" s="87"/>
    </row>
    <row r="4829">
      <c r="A4829" s="147"/>
      <c r="B4829" s="148"/>
      <c r="C4829" s="87"/>
      <c r="D4829" s="37"/>
      <c r="E4829" s="37"/>
      <c r="F4829" s="87"/>
    </row>
    <row r="4830">
      <c r="A4830" s="147"/>
      <c r="B4830" s="148"/>
      <c r="C4830" s="87"/>
      <c r="D4830" s="37"/>
      <c r="E4830" s="37"/>
      <c r="F4830" s="87"/>
    </row>
    <row r="4831">
      <c r="A4831" s="147"/>
      <c r="B4831" s="148"/>
      <c r="C4831" s="87"/>
      <c r="D4831" s="37"/>
      <c r="E4831" s="37"/>
      <c r="F4831" s="87"/>
    </row>
    <row r="4832">
      <c r="A4832" s="147"/>
      <c r="B4832" s="148"/>
      <c r="C4832" s="87"/>
      <c r="D4832" s="37"/>
      <c r="E4832" s="37"/>
      <c r="F4832" s="87"/>
    </row>
    <row r="4833">
      <c r="A4833" s="147"/>
      <c r="B4833" s="148"/>
      <c r="C4833" s="87"/>
      <c r="D4833" s="37"/>
      <c r="E4833" s="37"/>
      <c r="F4833" s="87"/>
    </row>
    <row r="4834">
      <c r="A4834" s="147"/>
      <c r="B4834" s="148"/>
      <c r="C4834" s="87"/>
      <c r="D4834" s="37"/>
      <c r="E4834" s="37"/>
      <c r="F4834" s="87"/>
    </row>
    <row r="4835">
      <c r="A4835" s="147"/>
      <c r="B4835" s="148"/>
      <c r="C4835" s="87"/>
      <c r="D4835" s="37"/>
      <c r="E4835" s="37"/>
      <c r="F4835" s="87"/>
    </row>
    <row r="4836">
      <c r="A4836" s="147"/>
      <c r="B4836" s="148"/>
      <c r="C4836" s="87"/>
      <c r="D4836" s="37"/>
      <c r="E4836" s="37"/>
      <c r="F4836" s="87"/>
    </row>
    <row r="4837">
      <c r="A4837" s="147"/>
      <c r="B4837" s="148"/>
      <c r="C4837" s="87"/>
      <c r="D4837" s="37"/>
      <c r="E4837" s="37"/>
      <c r="F4837" s="87"/>
    </row>
    <row r="4838">
      <c r="A4838" s="147"/>
      <c r="B4838" s="148"/>
      <c r="C4838" s="87"/>
      <c r="D4838" s="37"/>
      <c r="E4838" s="37"/>
      <c r="F4838" s="87"/>
    </row>
    <row r="4839">
      <c r="A4839" s="147"/>
      <c r="B4839" s="148"/>
      <c r="C4839" s="87"/>
      <c r="D4839" s="37"/>
      <c r="E4839" s="37"/>
      <c r="F4839" s="87"/>
    </row>
    <row r="4840">
      <c r="A4840" s="147"/>
      <c r="B4840" s="148"/>
      <c r="C4840" s="87"/>
      <c r="D4840" s="37"/>
      <c r="E4840" s="37"/>
      <c r="F4840" s="87"/>
    </row>
    <row r="4841">
      <c r="A4841" s="147"/>
      <c r="B4841" s="148"/>
      <c r="C4841" s="87"/>
      <c r="D4841" s="37"/>
      <c r="E4841" s="37"/>
      <c r="F4841" s="87"/>
    </row>
    <row r="4842">
      <c r="A4842" s="147"/>
      <c r="B4842" s="148"/>
      <c r="C4842" s="87"/>
      <c r="D4842" s="37"/>
      <c r="E4842" s="37"/>
      <c r="F4842" s="87"/>
    </row>
    <row r="4843">
      <c r="A4843" s="147"/>
      <c r="B4843" s="148"/>
      <c r="C4843" s="87"/>
      <c r="D4843" s="37"/>
      <c r="E4843" s="37"/>
      <c r="F4843" s="87"/>
    </row>
    <row r="4844">
      <c r="A4844" s="147"/>
      <c r="B4844" s="148"/>
      <c r="C4844" s="87"/>
      <c r="D4844" s="37"/>
      <c r="E4844" s="37"/>
      <c r="F4844" s="87"/>
    </row>
    <row r="4845">
      <c r="A4845" s="147"/>
      <c r="B4845" s="148"/>
      <c r="C4845" s="87"/>
      <c r="D4845" s="37"/>
      <c r="E4845" s="37"/>
      <c r="F4845" s="87"/>
    </row>
    <row r="4846">
      <c r="A4846" s="147"/>
      <c r="B4846" s="148"/>
      <c r="C4846" s="87"/>
      <c r="D4846" s="37"/>
      <c r="E4846" s="37"/>
      <c r="F4846" s="87"/>
    </row>
    <row r="4847">
      <c r="A4847" s="147"/>
      <c r="B4847" s="148"/>
      <c r="C4847" s="87"/>
      <c r="D4847" s="37"/>
      <c r="E4847" s="37"/>
      <c r="F4847" s="87"/>
    </row>
    <row r="4848">
      <c r="A4848" s="147"/>
      <c r="B4848" s="148"/>
      <c r="C4848" s="87"/>
      <c r="D4848" s="37"/>
      <c r="E4848" s="37"/>
      <c r="F4848" s="87"/>
    </row>
    <row r="4849">
      <c r="A4849" s="147"/>
      <c r="B4849" s="148"/>
      <c r="C4849" s="87"/>
      <c r="D4849" s="37"/>
      <c r="E4849" s="37"/>
      <c r="F4849" s="87"/>
    </row>
    <row r="4850">
      <c r="A4850" s="147"/>
      <c r="B4850" s="148"/>
      <c r="C4850" s="87"/>
      <c r="D4850" s="37"/>
      <c r="E4850" s="37"/>
      <c r="F4850" s="87"/>
    </row>
    <row r="4851">
      <c r="A4851" s="147"/>
      <c r="B4851" s="148"/>
      <c r="C4851" s="87"/>
      <c r="D4851" s="37"/>
      <c r="E4851" s="37"/>
      <c r="F4851" s="87"/>
    </row>
    <row r="4852">
      <c r="A4852" s="147"/>
      <c r="B4852" s="148"/>
      <c r="C4852" s="87"/>
      <c r="D4852" s="37"/>
      <c r="E4852" s="37"/>
      <c r="F4852" s="87"/>
    </row>
    <row r="4853">
      <c r="A4853" s="147"/>
      <c r="B4853" s="148"/>
      <c r="C4853" s="87"/>
      <c r="D4853" s="37"/>
      <c r="E4853" s="37"/>
      <c r="F4853" s="87"/>
    </row>
    <row r="4854">
      <c r="A4854" s="147"/>
      <c r="B4854" s="148"/>
      <c r="C4854" s="87"/>
      <c r="D4854" s="37"/>
      <c r="E4854" s="37"/>
      <c r="F4854" s="87"/>
    </row>
    <row r="4855">
      <c r="A4855" s="147"/>
      <c r="B4855" s="148"/>
      <c r="C4855" s="87"/>
      <c r="D4855" s="37"/>
      <c r="E4855" s="37"/>
      <c r="F4855" s="87"/>
    </row>
    <row r="4856">
      <c r="A4856" s="147"/>
      <c r="B4856" s="148"/>
      <c r="C4856" s="87"/>
      <c r="D4856" s="37"/>
      <c r="E4856" s="37"/>
      <c r="F4856" s="87"/>
    </row>
    <row r="4857">
      <c r="A4857" s="147"/>
      <c r="B4857" s="148"/>
      <c r="C4857" s="87"/>
      <c r="D4857" s="37"/>
      <c r="E4857" s="37"/>
      <c r="F4857" s="87"/>
    </row>
    <row r="4858">
      <c r="A4858" s="147"/>
      <c r="B4858" s="148"/>
      <c r="C4858" s="87"/>
      <c r="D4858" s="37"/>
      <c r="E4858" s="37"/>
      <c r="F4858" s="87"/>
    </row>
    <row r="4859">
      <c r="A4859" s="147"/>
      <c r="B4859" s="148"/>
      <c r="C4859" s="87"/>
      <c r="D4859" s="37"/>
      <c r="E4859" s="37"/>
      <c r="F4859" s="87"/>
    </row>
    <row r="4860">
      <c r="A4860" s="147"/>
      <c r="B4860" s="148"/>
      <c r="C4860" s="87"/>
      <c r="D4860" s="37"/>
      <c r="E4860" s="37"/>
      <c r="F4860" s="87"/>
    </row>
    <row r="4861">
      <c r="A4861" s="147"/>
      <c r="B4861" s="148"/>
      <c r="C4861" s="87"/>
      <c r="D4861" s="37"/>
      <c r="E4861" s="37"/>
      <c r="F4861" s="87"/>
    </row>
    <row r="4862">
      <c r="A4862" s="147"/>
      <c r="B4862" s="148"/>
      <c r="C4862" s="87"/>
      <c r="D4862" s="37"/>
      <c r="E4862" s="37"/>
      <c r="F4862" s="87"/>
    </row>
    <row r="4863">
      <c r="A4863" s="147"/>
      <c r="B4863" s="148"/>
      <c r="C4863" s="87"/>
      <c r="D4863" s="37"/>
      <c r="E4863" s="37"/>
      <c r="F4863" s="87"/>
    </row>
    <row r="4864">
      <c r="A4864" s="147"/>
      <c r="B4864" s="148"/>
      <c r="C4864" s="87"/>
      <c r="D4864" s="37"/>
      <c r="E4864" s="37"/>
      <c r="F4864" s="87"/>
    </row>
    <row r="4865">
      <c r="A4865" s="147"/>
      <c r="B4865" s="148"/>
      <c r="C4865" s="87"/>
      <c r="D4865" s="37"/>
      <c r="E4865" s="37"/>
      <c r="F4865" s="87"/>
    </row>
    <row r="4866">
      <c r="A4866" s="147"/>
      <c r="B4866" s="148"/>
      <c r="C4866" s="87"/>
      <c r="D4866" s="37"/>
      <c r="E4866" s="37"/>
      <c r="F4866" s="87"/>
    </row>
    <row r="4867">
      <c r="A4867" s="147"/>
      <c r="B4867" s="148"/>
      <c r="C4867" s="87"/>
      <c r="D4867" s="37"/>
      <c r="E4867" s="37"/>
      <c r="F4867" s="87"/>
    </row>
    <row r="4868">
      <c r="A4868" s="147"/>
      <c r="B4868" s="148"/>
      <c r="C4868" s="87"/>
      <c r="D4868" s="37"/>
      <c r="E4868" s="37"/>
      <c r="F4868" s="87"/>
    </row>
    <row r="4869">
      <c r="A4869" s="147"/>
      <c r="B4869" s="148"/>
      <c r="C4869" s="87"/>
      <c r="D4869" s="37"/>
      <c r="E4869" s="37"/>
      <c r="F4869" s="87"/>
    </row>
    <row r="4870">
      <c r="A4870" s="147"/>
      <c r="B4870" s="148"/>
      <c r="C4870" s="87"/>
      <c r="D4870" s="37"/>
      <c r="E4870" s="37"/>
      <c r="F4870" s="87"/>
    </row>
    <row r="4871">
      <c r="A4871" s="147"/>
      <c r="B4871" s="148"/>
      <c r="C4871" s="87"/>
      <c r="D4871" s="37"/>
      <c r="E4871" s="37"/>
      <c r="F4871" s="87"/>
    </row>
    <row r="4872">
      <c r="A4872" s="147"/>
      <c r="B4872" s="148"/>
      <c r="C4872" s="87"/>
      <c r="D4872" s="37"/>
      <c r="E4872" s="37"/>
      <c r="F4872" s="87"/>
    </row>
    <row r="4873">
      <c r="A4873" s="147"/>
      <c r="B4873" s="148"/>
      <c r="C4873" s="87"/>
      <c r="D4873" s="37"/>
      <c r="E4873" s="37"/>
      <c r="F4873" s="87"/>
    </row>
    <row r="4874">
      <c r="A4874" s="147"/>
      <c r="B4874" s="148"/>
      <c r="C4874" s="87"/>
      <c r="D4874" s="37"/>
      <c r="E4874" s="37"/>
      <c r="F4874" s="87"/>
    </row>
    <row r="4875">
      <c r="A4875" s="147"/>
      <c r="B4875" s="148"/>
      <c r="C4875" s="87"/>
      <c r="D4875" s="37"/>
      <c r="E4875" s="37"/>
      <c r="F4875" s="87"/>
    </row>
    <row r="4876">
      <c r="A4876" s="147"/>
      <c r="B4876" s="148"/>
      <c r="C4876" s="87"/>
      <c r="D4876" s="37"/>
      <c r="E4876" s="37"/>
      <c r="F4876" s="87"/>
    </row>
    <row r="4877">
      <c r="A4877" s="147"/>
      <c r="B4877" s="148"/>
      <c r="C4877" s="87"/>
      <c r="D4877" s="37"/>
      <c r="E4877" s="37"/>
      <c r="F4877" s="87"/>
    </row>
    <row r="4878">
      <c r="A4878" s="147"/>
      <c r="B4878" s="148"/>
      <c r="C4878" s="87"/>
      <c r="D4878" s="37"/>
      <c r="E4878" s="37"/>
      <c r="F4878" s="87"/>
    </row>
    <row r="4879">
      <c r="A4879" s="147"/>
      <c r="B4879" s="148"/>
      <c r="C4879" s="87"/>
      <c r="D4879" s="37"/>
      <c r="E4879" s="37"/>
      <c r="F4879" s="87"/>
    </row>
    <row r="4880">
      <c r="A4880" s="147"/>
      <c r="B4880" s="148"/>
      <c r="C4880" s="87"/>
      <c r="D4880" s="37"/>
      <c r="E4880" s="37"/>
      <c r="F4880" s="87"/>
    </row>
    <row r="4881">
      <c r="A4881" s="147"/>
      <c r="B4881" s="148"/>
      <c r="C4881" s="87"/>
      <c r="D4881" s="37"/>
      <c r="E4881" s="37"/>
      <c r="F4881" s="87"/>
    </row>
    <row r="4882">
      <c r="A4882" s="147"/>
      <c r="B4882" s="148"/>
      <c r="C4882" s="87"/>
      <c r="D4882" s="37"/>
      <c r="E4882" s="37"/>
      <c r="F4882" s="87"/>
    </row>
    <row r="4883">
      <c r="A4883" s="147"/>
      <c r="B4883" s="148"/>
      <c r="C4883" s="87"/>
      <c r="D4883" s="37"/>
      <c r="E4883" s="37"/>
      <c r="F4883" s="87"/>
    </row>
    <row r="4884">
      <c r="A4884" s="147"/>
      <c r="B4884" s="148"/>
      <c r="C4884" s="87"/>
      <c r="D4884" s="37"/>
      <c r="E4884" s="37"/>
      <c r="F4884" s="87"/>
    </row>
    <row r="4885">
      <c r="A4885" s="147"/>
      <c r="B4885" s="148"/>
      <c r="C4885" s="87"/>
      <c r="D4885" s="37"/>
      <c r="E4885" s="37"/>
      <c r="F4885" s="87"/>
    </row>
    <row r="4886">
      <c r="A4886" s="147"/>
      <c r="B4886" s="148"/>
      <c r="C4886" s="87"/>
      <c r="D4886" s="37"/>
      <c r="E4886" s="37"/>
      <c r="F4886" s="87"/>
    </row>
    <row r="4887">
      <c r="A4887" s="147"/>
      <c r="B4887" s="148"/>
      <c r="C4887" s="87"/>
      <c r="D4887" s="37"/>
      <c r="E4887" s="37"/>
      <c r="F4887" s="87"/>
    </row>
    <row r="4888">
      <c r="A4888" s="147"/>
      <c r="B4888" s="148"/>
      <c r="C4888" s="87"/>
      <c r="D4888" s="37"/>
      <c r="E4888" s="37"/>
      <c r="F4888" s="87"/>
    </row>
    <row r="4889">
      <c r="A4889" s="147"/>
      <c r="B4889" s="148"/>
      <c r="C4889" s="87"/>
      <c r="D4889" s="37"/>
      <c r="E4889" s="37"/>
      <c r="F4889" s="87"/>
    </row>
    <row r="4890">
      <c r="A4890" s="147"/>
      <c r="B4890" s="148"/>
      <c r="C4890" s="87"/>
      <c r="D4890" s="37"/>
      <c r="E4890" s="37"/>
      <c r="F4890" s="87"/>
    </row>
    <row r="4891">
      <c r="A4891" s="147"/>
      <c r="B4891" s="148"/>
      <c r="C4891" s="87"/>
      <c r="D4891" s="37"/>
      <c r="E4891" s="37"/>
      <c r="F4891" s="87"/>
    </row>
    <row r="4892">
      <c r="A4892" s="147"/>
      <c r="B4892" s="148"/>
      <c r="C4892" s="87"/>
      <c r="D4892" s="37"/>
      <c r="E4892" s="37"/>
      <c r="F4892" s="87"/>
    </row>
    <row r="4893">
      <c r="A4893" s="147"/>
      <c r="B4893" s="148"/>
      <c r="C4893" s="87"/>
      <c r="D4893" s="37"/>
      <c r="E4893" s="37"/>
      <c r="F4893" s="87"/>
    </row>
    <row r="4894">
      <c r="A4894" s="147"/>
      <c r="B4894" s="148"/>
      <c r="C4894" s="87"/>
      <c r="D4894" s="37"/>
      <c r="E4894" s="37"/>
      <c r="F4894" s="87"/>
    </row>
    <row r="4895">
      <c r="A4895" s="147"/>
      <c r="B4895" s="148"/>
      <c r="C4895" s="87"/>
      <c r="D4895" s="37"/>
      <c r="E4895" s="37"/>
      <c r="F4895" s="87"/>
    </row>
    <row r="4896">
      <c r="A4896" s="147"/>
      <c r="B4896" s="148"/>
      <c r="C4896" s="87"/>
      <c r="D4896" s="37"/>
      <c r="E4896" s="37"/>
      <c r="F4896" s="87"/>
    </row>
    <row r="4897">
      <c r="A4897" s="147"/>
      <c r="B4897" s="148"/>
      <c r="C4897" s="87"/>
      <c r="D4897" s="37"/>
      <c r="E4897" s="37"/>
      <c r="F4897" s="87"/>
    </row>
    <row r="4898">
      <c r="A4898" s="147"/>
      <c r="B4898" s="148"/>
      <c r="C4898" s="87"/>
      <c r="D4898" s="37"/>
      <c r="E4898" s="37"/>
      <c r="F4898" s="87"/>
    </row>
    <row r="4899">
      <c r="A4899" s="147"/>
      <c r="B4899" s="148"/>
      <c r="C4899" s="87"/>
      <c r="D4899" s="37"/>
      <c r="E4899" s="37"/>
      <c r="F4899" s="87"/>
    </row>
    <row r="4900">
      <c r="A4900" s="147"/>
      <c r="B4900" s="148"/>
      <c r="C4900" s="87"/>
      <c r="D4900" s="37"/>
      <c r="E4900" s="37"/>
      <c r="F4900" s="87"/>
    </row>
    <row r="4901">
      <c r="A4901" s="147"/>
      <c r="B4901" s="148"/>
      <c r="C4901" s="87"/>
      <c r="D4901" s="37"/>
      <c r="E4901" s="37"/>
      <c r="F4901" s="87"/>
    </row>
    <row r="4902">
      <c r="A4902" s="147"/>
      <c r="B4902" s="148"/>
      <c r="C4902" s="87"/>
      <c r="D4902" s="37"/>
      <c r="E4902" s="37"/>
      <c r="F4902" s="87"/>
    </row>
    <row r="4903">
      <c r="A4903" s="147"/>
      <c r="B4903" s="148"/>
      <c r="C4903" s="87"/>
      <c r="D4903" s="37"/>
      <c r="E4903" s="37"/>
      <c r="F4903" s="87"/>
    </row>
    <row r="4904">
      <c r="A4904" s="147"/>
      <c r="B4904" s="148"/>
      <c r="C4904" s="87"/>
      <c r="D4904" s="37"/>
      <c r="E4904" s="37"/>
      <c r="F4904" s="87"/>
    </row>
    <row r="4905">
      <c r="A4905" s="147"/>
      <c r="B4905" s="148"/>
      <c r="C4905" s="87"/>
      <c r="D4905" s="37"/>
      <c r="E4905" s="37"/>
      <c r="F4905" s="87"/>
    </row>
    <row r="4906">
      <c r="A4906" s="147"/>
      <c r="B4906" s="148"/>
      <c r="C4906" s="87"/>
      <c r="D4906" s="37"/>
      <c r="E4906" s="37"/>
      <c r="F4906" s="87"/>
    </row>
    <row r="4907">
      <c r="A4907" s="147"/>
      <c r="B4907" s="148"/>
      <c r="C4907" s="87"/>
      <c r="D4907" s="37"/>
      <c r="E4907" s="37"/>
      <c r="F4907" s="87"/>
    </row>
    <row r="4908">
      <c r="A4908" s="147"/>
      <c r="B4908" s="148"/>
      <c r="C4908" s="87"/>
      <c r="D4908" s="37"/>
      <c r="E4908" s="37"/>
      <c r="F4908" s="87"/>
    </row>
    <row r="4909">
      <c r="A4909" s="147"/>
      <c r="B4909" s="148"/>
      <c r="C4909" s="87"/>
      <c r="D4909" s="37"/>
      <c r="E4909" s="37"/>
      <c r="F4909" s="87"/>
    </row>
    <row r="4910">
      <c r="A4910" s="147"/>
      <c r="B4910" s="148"/>
      <c r="C4910" s="87"/>
      <c r="D4910" s="37"/>
      <c r="E4910" s="37"/>
      <c r="F4910" s="87"/>
    </row>
    <row r="4911">
      <c r="A4911" s="147"/>
      <c r="B4911" s="148"/>
      <c r="C4911" s="87"/>
      <c r="D4911" s="37"/>
      <c r="E4911" s="37"/>
      <c r="F4911" s="87"/>
    </row>
    <row r="4912">
      <c r="A4912" s="147"/>
      <c r="B4912" s="148"/>
      <c r="C4912" s="87"/>
      <c r="D4912" s="37"/>
      <c r="E4912" s="37"/>
      <c r="F4912" s="87"/>
    </row>
    <row r="4913">
      <c r="A4913" s="147"/>
      <c r="B4913" s="148"/>
      <c r="C4913" s="87"/>
      <c r="D4913" s="37"/>
      <c r="E4913" s="37"/>
      <c r="F4913" s="87"/>
    </row>
    <row r="4914">
      <c r="A4914" s="147"/>
      <c r="B4914" s="148"/>
      <c r="C4914" s="87"/>
      <c r="D4914" s="37"/>
      <c r="E4914" s="37"/>
      <c r="F4914" s="87"/>
    </row>
    <row r="4915">
      <c r="A4915" s="147"/>
      <c r="B4915" s="148"/>
      <c r="C4915" s="87"/>
      <c r="D4915" s="37"/>
      <c r="E4915" s="37"/>
      <c r="F4915" s="87"/>
    </row>
    <row r="4916">
      <c r="A4916" s="147"/>
      <c r="B4916" s="148"/>
      <c r="C4916" s="87"/>
      <c r="D4916" s="37"/>
      <c r="E4916" s="37"/>
      <c r="F4916" s="87"/>
    </row>
    <row r="4917">
      <c r="A4917" s="147"/>
      <c r="B4917" s="148"/>
      <c r="C4917" s="87"/>
      <c r="D4917" s="37"/>
      <c r="E4917" s="37"/>
      <c r="F4917" s="87"/>
    </row>
    <row r="4918">
      <c r="A4918" s="147"/>
      <c r="B4918" s="148"/>
      <c r="C4918" s="87"/>
      <c r="D4918" s="37"/>
      <c r="E4918" s="37"/>
      <c r="F4918" s="87"/>
    </row>
    <row r="4919">
      <c r="A4919" s="147"/>
      <c r="B4919" s="148"/>
      <c r="C4919" s="87"/>
      <c r="D4919" s="37"/>
      <c r="E4919" s="37"/>
      <c r="F4919" s="87"/>
    </row>
    <row r="4920">
      <c r="A4920" s="147"/>
      <c r="B4920" s="148"/>
      <c r="C4920" s="87"/>
      <c r="D4920" s="37"/>
      <c r="E4920" s="37"/>
      <c r="F4920" s="87"/>
    </row>
    <row r="4921">
      <c r="A4921" s="147"/>
      <c r="B4921" s="148"/>
      <c r="C4921" s="87"/>
      <c r="D4921" s="37"/>
      <c r="E4921" s="37"/>
      <c r="F4921" s="87"/>
    </row>
    <row r="4922">
      <c r="A4922" s="147"/>
      <c r="B4922" s="148"/>
      <c r="C4922" s="87"/>
      <c r="D4922" s="37"/>
      <c r="E4922" s="37"/>
      <c r="F4922" s="87"/>
    </row>
    <row r="4923">
      <c r="A4923" s="147"/>
      <c r="B4923" s="148"/>
      <c r="C4923" s="87"/>
      <c r="D4923" s="37"/>
      <c r="E4923" s="37"/>
      <c r="F4923" s="87"/>
    </row>
    <row r="4924">
      <c r="A4924" s="147"/>
      <c r="B4924" s="148"/>
      <c r="C4924" s="87"/>
      <c r="D4924" s="37"/>
      <c r="E4924" s="37"/>
      <c r="F4924" s="87"/>
    </row>
    <row r="4925">
      <c r="A4925" s="147"/>
      <c r="B4925" s="148"/>
      <c r="C4925" s="87"/>
      <c r="D4925" s="37"/>
      <c r="E4925" s="37"/>
      <c r="F4925" s="87"/>
    </row>
    <row r="4926">
      <c r="A4926" s="147"/>
      <c r="B4926" s="148"/>
      <c r="C4926" s="87"/>
      <c r="D4926" s="37"/>
      <c r="E4926" s="37"/>
      <c r="F4926" s="87"/>
    </row>
    <row r="4927">
      <c r="A4927" s="147"/>
      <c r="B4927" s="148"/>
      <c r="C4927" s="87"/>
      <c r="D4927" s="37"/>
      <c r="E4927" s="37"/>
      <c r="F4927" s="87"/>
    </row>
    <row r="4928">
      <c r="A4928" s="147"/>
      <c r="B4928" s="148"/>
      <c r="C4928" s="87"/>
      <c r="D4928" s="37"/>
      <c r="E4928" s="37"/>
      <c r="F4928" s="87"/>
    </row>
    <row r="4929">
      <c r="A4929" s="147"/>
      <c r="B4929" s="148"/>
      <c r="C4929" s="87"/>
      <c r="D4929" s="37"/>
      <c r="E4929" s="37"/>
      <c r="F4929" s="87"/>
    </row>
    <row r="4930">
      <c r="A4930" s="147"/>
      <c r="B4930" s="148"/>
      <c r="C4930" s="87"/>
      <c r="D4930" s="37"/>
      <c r="E4930" s="37"/>
      <c r="F4930" s="87"/>
    </row>
    <row r="4931">
      <c r="A4931" s="147"/>
      <c r="B4931" s="148"/>
      <c r="C4931" s="87"/>
      <c r="D4931" s="37"/>
      <c r="E4931" s="37"/>
      <c r="F4931" s="87"/>
    </row>
    <row r="4932">
      <c r="A4932" s="147"/>
      <c r="B4932" s="148"/>
      <c r="C4932" s="87"/>
      <c r="D4932" s="37"/>
      <c r="E4932" s="37"/>
      <c r="F4932" s="87"/>
    </row>
    <row r="4933">
      <c r="A4933" s="147"/>
      <c r="B4933" s="148"/>
      <c r="C4933" s="87"/>
      <c r="D4933" s="37"/>
      <c r="E4933" s="37"/>
      <c r="F4933" s="87"/>
    </row>
    <row r="4934">
      <c r="A4934" s="147"/>
      <c r="B4934" s="148"/>
      <c r="C4934" s="87"/>
      <c r="D4934" s="37"/>
      <c r="E4934" s="37"/>
      <c r="F4934" s="87"/>
    </row>
    <row r="4935">
      <c r="A4935" s="147"/>
      <c r="B4935" s="148"/>
      <c r="C4935" s="87"/>
      <c r="D4935" s="37"/>
      <c r="E4935" s="37"/>
      <c r="F4935" s="87"/>
    </row>
    <row r="4936">
      <c r="A4936" s="147"/>
      <c r="B4936" s="148"/>
      <c r="C4936" s="87"/>
      <c r="D4936" s="37"/>
      <c r="E4936" s="37"/>
      <c r="F4936" s="87"/>
    </row>
    <row r="4937">
      <c r="A4937" s="147"/>
      <c r="B4937" s="148"/>
      <c r="C4937" s="87"/>
      <c r="D4937" s="37"/>
      <c r="E4937" s="37"/>
      <c r="F4937" s="87"/>
    </row>
    <row r="4938">
      <c r="A4938" s="147"/>
      <c r="B4938" s="148"/>
      <c r="C4938" s="87"/>
      <c r="D4938" s="37"/>
      <c r="E4938" s="37"/>
      <c r="F4938" s="87"/>
    </row>
    <row r="4939">
      <c r="A4939" s="147"/>
      <c r="B4939" s="148"/>
      <c r="C4939" s="87"/>
      <c r="D4939" s="37"/>
      <c r="E4939" s="37"/>
      <c r="F4939" s="87"/>
    </row>
    <row r="4940">
      <c r="A4940" s="147"/>
      <c r="B4940" s="148"/>
      <c r="C4940" s="87"/>
      <c r="D4940" s="37"/>
      <c r="E4940" s="37"/>
      <c r="F4940" s="87"/>
    </row>
    <row r="4941">
      <c r="A4941" s="147"/>
      <c r="B4941" s="148"/>
      <c r="C4941" s="87"/>
      <c r="D4941" s="37"/>
      <c r="E4941" s="37"/>
      <c r="F4941" s="87"/>
    </row>
    <row r="4942">
      <c r="A4942" s="147"/>
      <c r="B4942" s="148"/>
      <c r="C4942" s="87"/>
      <c r="D4942" s="37"/>
      <c r="E4942" s="37"/>
      <c r="F4942" s="87"/>
    </row>
    <row r="4943">
      <c r="A4943" s="147"/>
      <c r="B4943" s="148"/>
      <c r="C4943" s="87"/>
      <c r="D4943" s="37"/>
      <c r="E4943" s="37"/>
      <c r="F4943" s="87"/>
    </row>
    <row r="4944">
      <c r="A4944" s="147"/>
      <c r="B4944" s="148"/>
      <c r="C4944" s="87"/>
      <c r="D4944" s="37"/>
      <c r="E4944" s="37"/>
      <c r="F4944" s="87"/>
    </row>
    <row r="4945">
      <c r="A4945" s="147"/>
      <c r="B4945" s="148"/>
      <c r="C4945" s="87"/>
      <c r="D4945" s="37"/>
      <c r="E4945" s="37"/>
      <c r="F4945" s="87"/>
    </row>
    <row r="4946">
      <c r="A4946" s="147"/>
      <c r="B4946" s="148"/>
      <c r="C4946" s="87"/>
      <c r="D4946" s="37"/>
      <c r="E4946" s="37"/>
      <c r="F4946" s="87"/>
    </row>
    <row r="4947">
      <c r="A4947" s="147"/>
      <c r="B4947" s="148"/>
      <c r="C4947" s="87"/>
      <c r="D4947" s="37"/>
      <c r="E4947" s="37"/>
      <c r="F4947" s="87"/>
    </row>
    <row r="4948">
      <c r="A4948" s="147"/>
      <c r="B4948" s="148"/>
      <c r="C4948" s="87"/>
      <c r="D4948" s="37"/>
      <c r="E4948" s="37"/>
      <c r="F4948" s="87"/>
    </row>
    <row r="4949">
      <c r="A4949" s="147"/>
      <c r="B4949" s="148"/>
      <c r="C4949" s="87"/>
      <c r="D4949" s="37"/>
      <c r="E4949" s="37"/>
      <c r="F4949" s="87"/>
    </row>
    <row r="4950">
      <c r="A4950" s="147"/>
      <c r="B4950" s="148"/>
      <c r="C4950" s="87"/>
      <c r="D4950" s="37"/>
      <c r="E4950" s="37"/>
      <c r="F4950" s="87"/>
    </row>
    <row r="4951">
      <c r="A4951" s="147"/>
      <c r="B4951" s="148"/>
      <c r="C4951" s="87"/>
      <c r="D4951" s="37"/>
      <c r="E4951" s="37"/>
      <c r="F4951" s="87"/>
    </row>
    <row r="4952">
      <c r="A4952" s="147"/>
      <c r="B4952" s="148"/>
      <c r="C4952" s="87"/>
      <c r="D4952" s="37"/>
      <c r="E4952" s="37"/>
      <c r="F4952" s="87"/>
    </row>
    <row r="4953">
      <c r="A4953" s="147"/>
      <c r="B4953" s="148"/>
      <c r="C4953" s="87"/>
      <c r="D4953" s="37"/>
      <c r="E4953" s="37"/>
      <c r="F4953" s="87"/>
    </row>
    <row r="4954">
      <c r="A4954" s="147"/>
      <c r="B4954" s="148"/>
      <c r="C4954" s="87"/>
      <c r="D4954" s="37"/>
      <c r="E4954" s="37"/>
      <c r="F4954" s="87"/>
    </row>
    <row r="4955">
      <c r="A4955" s="147"/>
      <c r="B4955" s="148"/>
      <c r="C4955" s="87"/>
      <c r="D4955" s="37"/>
      <c r="E4955" s="37"/>
      <c r="F4955" s="87"/>
    </row>
    <row r="4956">
      <c r="A4956" s="147"/>
      <c r="B4956" s="148"/>
      <c r="C4956" s="87"/>
      <c r="D4956" s="37"/>
      <c r="E4956" s="37"/>
      <c r="F4956" s="87"/>
    </row>
    <row r="4957">
      <c r="A4957" s="147"/>
      <c r="B4957" s="148"/>
      <c r="C4957" s="87"/>
      <c r="D4957" s="37"/>
      <c r="E4957" s="37"/>
      <c r="F4957" s="87"/>
    </row>
    <row r="4958">
      <c r="A4958" s="147"/>
      <c r="B4958" s="148"/>
      <c r="C4958" s="87"/>
      <c r="D4958" s="37"/>
      <c r="E4958" s="37"/>
      <c r="F4958" s="87"/>
    </row>
    <row r="4959">
      <c r="A4959" s="147"/>
      <c r="B4959" s="148"/>
      <c r="C4959" s="87"/>
      <c r="D4959" s="37"/>
      <c r="E4959" s="37"/>
      <c r="F4959" s="87"/>
    </row>
    <row r="4960">
      <c r="A4960" s="147"/>
      <c r="B4960" s="148"/>
      <c r="C4960" s="87"/>
      <c r="D4960" s="37"/>
      <c r="E4960" s="37"/>
      <c r="F4960" s="87"/>
    </row>
    <row r="4961">
      <c r="A4961" s="147"/>
      <c r="B4961" s="148"/>
      <c r="C4961" s="87"/>
      <c r="D4961" s="37"/>
      <c r="E4961" s="37"/>
      <c r="F4961" s="87"/>
    </row>
    <row r="4962">
      <c r="A4962" s="147"/>
      <c r="B4962" s="148"/>
      <c r="C4962" s="87"/>
      <c r="D4962" s="37"/>
      <c r="E4962" s="37"/>
      <c r="F4962" s="87"/>
    </row>
    <row r="4963">
      <c r="A4963" s="147"/>
      <c r="B4963" s="148"/>
      <c r="C4963" s="87"/>
      <c r="D4963" s="37"/>
      <c r="E4963" s="37"/>
      <c r="F4963" s="87"/>
    </row>
    <row r="4964">
      <c r="A4964" s="147"/>
      <c r="B4964" s="148"/>
      <c r="C4964" s="87"/>
      <c r="D4964" s="37"/>
      <c r="E4964" s="37"/>
      <c r="F4964" s="87"/>
    </row>
    <row r="4965">
      <c r="A4965" s="147"/>
      <c r="B4965" s="148"/>
      <c r="C4965" s="87"/>
      <c r="D4965" s="37"/>
      <c r="E4965" s="37"/>
      <c r="F4965" s="87"/>
    </row>
    <row r="4966">
      <c r="A4966" s="147"/>
      <c r="B4966" s="148"/>
      <c r="C4966" s="87"/>
      <c r="D4966" s="37"/>
      <c r="E4966" s="37"/>
      <c r="F4966" s="87"/>
    </row>
    <row r="4967">
      <c r="A4967" s="147"/>
      <c r="B4967" s="148"/>
      <c r="C4967" s="87"/>
      <c r="D4967" s="37"/>
      <c r="E4967" s="37"/>
      <c r="F4967" s="87"/>
    </row>
    <row r="4968">
      <c r="A4968" s="147"/>
      <c r="B4968" s="148"/>
      <c r="C4968" s="87"/>
      <c r="D4968" s="37"/>
      <c r="E4968" s="37"/>
      <c r="F4968" s="87"/>
    </row>
    <row r="4969">
      <c r="A4969" s="147"/>
      <c r="B4969" s="148"/>
      <c r="C4969" s="87"/>
      <c r="D4969" s="37"/>
      <c r="E4969" s="37"/>
      <c r="F4969" s="87"/>
    </row>
    <row r="4970">
      <c r="A4970" s="147"/>
      <c r="B4970" s="148"/>
      <c r="C4970" s="87"/>
      <c r="D4970" s="37"/>
      <c r="E4970" s="37"/>
      <c r="F4970" s="87"/>
    </row>
    <row r="4971">
      <c r="A4971" s="147"/>
      <c r="B4971" s="148"/>
      <c r="C4971" s="87"/>
      <c r="D4971" s="37"/>
      <c r="E4971" s="37"/>
      <c r="F4971" s="87"/>
    </row>
    <row r="4972">
      <c r="A4972" s="147"/>
      <c r="B4972" s="148"/>
      <c r="C4972" s="87"/>
      <c r="D4972" s="37"/>
      <c r="E4972" s="37"/>
      <c r="F4972" s="87"/>
    </row>
    <row r="4973">
      <c r="A4973" s="147"/>
      <c r="B4973" s="148"/>
      <c r="C4973" s="87"/>
      <c r="D4973" s="37"/>
      <c r="E4973" s="37"/>
      <c r="F4973" s="87"/>
    </row>
    <row r="4974">
      <c r="A4974" s="147"/>
      <c r="B4974" s="148"/>
      <c r="C4974" s="87"/>
      <c r="D4974" s="37"/>
      <c r="E4974" s="37"/>
      <c r="F4974" s="87"/>
    </row>
    <row r="4975">
      <c r="A4975" s="147"/>
      <c r="B4975" s="148"/>
      <c r="C4975" s="87"/>
      <c r="D4975" s="37"/>
      <c r="E4975" s="37"/>
      <c r="F4975" s="87"/>
    </row>
    <row r="4976">
      <c r="A4976" s="147"/>
      <c r="B4976" s="148"/>
      <c r="C4976" s="87"/>
      <c r="D4976" s="37"/>
      <c r="E4976" s="37"/>
      <c r="F4976" s="87"/>
    </row>
    <row r="4977">
      <c r="A4977" s="147"/>
      <c r="B4977" s="148"/>
      <c r="C4977" s="87"/>
      <c r="D4977" s="37"/>
      <c r="E4977" s="37"/>
      <c r="F4977" s="87"/>
    </row>
    <row r="4978">
      <c r="A4978" s="147"/>
      <c r="B4978" s="148"/>
      <c r="C4978" s="87"/>
      <c r="D4978" s="37"/>
      <c r="E4978" s="37"/>
      <c r="F4978" s="87"/>
    </row>
    <row r="4979">
      <c r="A4979" s="147"/>
      <c r="B4979" s="148"/>
      <c r="C4979" s="87"/>
      <c r="D4979" s="37"/>
      <c r="E4979" s="37"/>
      <c r="F4979" s="87"/>
    </row>
    <row r="4980">
      <c r="A4980" s="147"/>
      <c r="B4980" s="148"/>
      <c r="C4980" s="87"/>
      <c r="D4980" s="37"/>
      <c r="E4980" s="37"/>
      <c r="F4980" s="87"/>
    </row>
    <row r="4981">
      <c r="A4981" s="147"/>
      <c r="B4981" s="148"/>
      <c r="C4981" s="87"/>
      <c r="D4981" s="37"/>
      <c r="E4981" s="37"/>
      <c r="F4981" s="87"/>
    </row>
    <row r="4982">
      <c r="A4982" s="147"/>
      <c r="B4982" s="148"/>
      <c r="C4982" s="87"/>
      <c r="D4982" s="37"/>
      <c r="E4982" s="37"/>
      <c r="F4982" s="87"/>
    </row>
    <row r="4983">
      <c r="A4983" s="147"/>
      <c r="B4983" s="148"/>
      <c r="C4983" s="87"/>
      <c r="D4983" s="37"/>
      <c r="E4983" s="37"/>
      <c r="F4983" s="87"/>
    </row>
    <row r="4984">
      <c r="A4984" s="147"/>
      <c r="B4984" s="148"/>
      <c r="C4984" s="87"/>
      <c r="D4984" s="37"/>
      <c r="E4984" s="37"/>
      <c r="F4984" s="87"/>
    </row>
    <row r="4985">
      <c r="A4985" s="147"/>
      <c r="B4985" s="148"/>
      <c r="C4985" s="87"/>
      <c r="D4985" s="37"/>
      <c r="E4985" s="37"/>
      <c r="F4985" s="87"/>
    </row>
    <row r="4986">
      <c r="A4986" s="147"/>
      <c r="B4986" s="148"/>
      <c r="C4986" s="87"/>
      <c r="D4986" s="37"/>
      <c r="E4986" s="37"/>
      <c r="F4986" s="87"/>
    </row>
    <row r="4987">
      <c r="A4987" s="147"/>
      <c r="B4987" s="148"/>
      <c r="C4987" s="87"/>
      <c r="D4987" s="37"/>
      <c r="E4987" s="37"/>
      <c r="F4987" s="87"/>
    </row>
    <row r="4988">
      <c r="A4988" s="147"/>
      <c r="B4988" s="148"/>
      <c r="C4988" s="87"/>
      <c r="D4988" s="37"/>
      <c r="E4988" s="37"/>
      <c r="F4988" s="87"/>
    </row>
    <row r="4989">
      <c r="A4989" s="147"/>
      <c r="B4989" s="148"/>
      <c r="C4989" s="87"/>
      <c r="D4989" s="37"/>
      <c r="E4989" s="37"/>
      <c r="F4989" s="87"/>
    </row>
    <row r="4990">
      <c r="A4990" s="147"/>
      <c r="B4990" s="148"/>
      <c r="C4990" s="87"/>
      <c r="D4990" s="37"/>
      <c r="E4990" s="37"/>
      <c r="F4990" s="87"/>
    </row>
    <row r="4991">
      <c r="A4991" s="147"/>
      <c r="B4991" s="148"/>
      <c r="C4991" s="87"/>
      <c r="D4991" s="37"/>
      <c r="E4991" s="37"/>
      <c r="F4991" s="87"/>
    </row>
    <row r="4992">
      <c r="A4992" s="147"/>
      <c r="B4992" s="148"/>
      <c r="C4992" s="87"/>
      <c r="D4992" s="37"/>
      <c r="E4992" s="37"/>
      <c r="F4992" s="87"/>
    </row>
    <row r="4993">
      <c r="A4993" s="147"/>
      <c r="B4993" s="148"/>
      <c r="C4993" s="87"/>
      <c r="D4993" s="37"/>
      <c r="E4993" s="37"/>
      <c r="F4993" s="87"/>
    </row>
    <row r="4994">
      <c r="A4994" s="147"/>
      <c r="B4994" s="148"/>
      <c r="C4994" s="87"/>
      <c r="D4994" s="37"/>
      <c r="E4994" s="37"/>
      <c r="F4994" s="87"/>
    </row>
    <row r="4995">
      <c r="A4995" s="147"/>
      <c r="B4995" s="148"/>
      <c r="C4995" s="87"/>
      <c r="D4995" s="37"/>
      <c r="E4995" s="37"/>
      <c r="F4995" s="87"/>
    </row>
    <row r="4996">
      <c r="A4996" s="147"/>
      <c r="B4996" s="148"/>
      <c r="C4996" s="87"/>
      <c r="D4996" s="37"/>
      <c r="E4996" s="37"/>
      <c r="F4996" s="87"/>
    </row>
    <row r="4997">
      <c r="A4997" s="147"/>
      <c r="B4997" s="148"/>
      <c r="C4997" s="87"/>
      <c r="D4997" s="37"/>
      <c r="E4997" s="37"/>
      <c r="F4997" s="87"/>
    </row>
    <row r="4998">
      <c r="A4998" s="147"/>
      <c r="B4998" s="148"/>
      <c r="C4998" s="87"/>
      <c r="D4998" s="37"/>
      <c r="E4998" s="37"/>
      <c r="F4998" s="87"/>
    </row>
    <row r="4999">
      <c r="A4999" s="147"/>
      <c r="B4999" s="148"/>
      <c r="C4999" s="87"/>
      <c r="D4999" s="37"/>
      <c r="E4999" s="37"/>
      <c r="F4999" s="87"/>
    </row>
    <row r="5000">
      <c r="A5000" s="147"/>
      <c r="B5000" s="148"/>
      <c r="C5000" s="87"/>
      <c r="D5000" s="37"/>
      <c r="E5000" s="37"/>
      <c r="F5000" s="87"/>
    </row>
    <row r="5001">
      <c r="A5001" s="147"/>
      <c r="B5001" s="148"/>
      <c r="C5001" s="87"/>
      <c r="D5001" s="37"/>
      <c r="E5001" s="37"/>
      <c r="F5001" s="87"/>
    </row>
    <row r="5002">
      <c r="A5002" s="147"/>
      <c r="B5002" s="148"/>
      <c r="C5002" s="87"/>
      <c r="D5002" s="37"/>
      <c r="E5002" s="37"/>
      <c r="F5002" s="87"/>
    </row>
    <row r="5003">
      <c r="A5003" s="147"/>
      <c r="B5003" s="148"/>
      <c r="C5003" s="87"/>
      <c r="D5003" s="37"/>
      <c r="E5003" s="37"/>
      <c r="F5003" s="87"/>
    </row>
    <row r="5004">
      <c r="A5004" s="147"/>
      <c r="B5004" s="148"/>
      <c r="C5004" s="87"/>
      <c r="D5004" s="37"/>
      <c r="E5004" s="37"/>
      <c r="F5004" s="87"/>
    </row>
    <row r="5005">
      <c r="A5005" s="147"/>
      <c r="B5005" s="148"/>
      <c r="C5005" s="87"/>
      <c r="D5005" s="37"/>
      <c r="E5005" s="37"/>
      <c r="F5005" s="87"/>
    </row>
    <row r="5006">
      <c r="A5006" s="147"/>
      <c r="B5006" s="148"/>
      <c r="C5006" s="87"/>
      <c r="D5006" s="37"/>
      <c r="E5006" s="37"/>
      <c r="F5006" s="87"/>
    </row>
    <row r="5007">
      <c r="A5007" s="147"/>
      <c r="B5007" s="148"/>
      <c r="C5007" s="87"/>
      <c r="D5007" s="37"/>
      <c r="E5007" s="37"/>
      <c r="F5007" s="87"/>
    </row>
    <row r="5008">
      <c r="A5008" s="147"/>
      <c r="B5008" s="148"/>
      <c r="C5008" s="87"/>
      <c r="D5008" s="37"/>
      <c r="E5008" s="37"/>
      <c r="F5008" s="87"/>
    </row>
    <row r="5009">
      <c r="A5009" s="147"/>
      <c r="B5009" s="148"/>
      <c r="C5009" s="87"/>
      <c r="D5009" s="37"/>
      <c r="E5009" s="37"/>
      <c r="F5009" s="87"/>
    </row>
    <row r="5010">
      <c r="A5010" s="147"/>
      <c r="B5010" s="148"/>
      <c r="C5010" s="87"/>
      <c r="D5010" s="37"/>
      <c r="E5010" s="37"/>
      <c r="F5010" s="87"/>
    </row>
    <row r="5011">
      <c r="A5011" s="147"/>
      <c r="B5011" s="148"/>
      <c r="C5011" s="87"/>
      <c r="D5011" s="37"/>
      <c r="E5011" s="37"/>
      <c r="F5011" s="87"/>
    </row>
    <row r="5012">
      <c r="A5012" s="147"/>
      <c r="B5012" s="148"/>
      <c r="C5012" s="87"/>
      <c r="D5012" s="37"/>
      <c r="E5012" s="37"/>
      <c r="F5012" s="87"/>
    </row>
    <row r="5013">
      <c r="A5013" s="147"/>
      <c r="B5013" s="148"/>
      <c r="C5013" s="87"/>
      <c r="D5013" s="37"/>
      <c r="E5013" s="37"/>
      <c r="F5013" s="87"/>
    </row>
    <row r="5014">
      <c r="A5014" s="147"/>
      <c r="B5014" s="148"/>
      <c r="C5014" s="87"/>
      <c r="D5014" s="37"/>
      <c r="E5014" s="37"/>
      <c r="F5014" s="87"/>
    </row>
    <row r="5015">
      <c r="A5015" s="147"/>
      <c r="B5015" s="148"/>
      <c r="C5015" s="87"/>
      <c r="D5015" s="37"/>
      <c r="E5015" s="37"/>
      <c r="F5015" s="87"/>
    </row>
    <row r="5016">
      <c r="A5016" s="147"/>
      <c r="B5016" s="148"/>
      <c r="C5016" s="87"/>
      <c r="D5016" s="37"/>
      <c r="E5016" s="37"/>
      <c r="F5016" s="87"/>
    </row>
    <row r="5017">
      <c r="A5017" s="147"/>
      <c r="B5017" s="148"/>
      <c r="C5017" s="87"/>
      <c r="D5017" s="37"/>
      <c r="E5017" s="37"/>
      <c r="F5017" s="8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7.75"/>
    <col customWidth="1" min="3" max="3" width="6.88"/>
    <col customWidth="1" min="4" max="4" width="48.13"/>
    <col customWidth="1" min="5" max="5" width="10.88"/>
    <col customWidth="1" min="6" max="6" width="10.75"/>
    <col customWidth="1" min="7" max="7" width="8.38"/>
    <col customWidth="1" min="8" max="8" width="6.13"/>
    <col customWidth="1" min="9" max="9" width="5.25"/>
    <col customWidth="1" hidden="1" min="10" max="10" width="5.38"/>
    <col customWidth="1" hidden="1" min="11" max="12" width="5.25"/>
    <col customWidth="1" min="13" max="13" width="10.75"/>
    <col customWidth="1" min="14" max="14" width="9.5"/>
    <col customWidth="1" min="15" max="31" width="1.88"/>
  </cols>
  <sheetData>
    <row r="1">
      <c r="A1" s="75" t="str">
        <f t="array" ref="A1:A4">{"Alamat Penerima";
SORT(IF(UNIQUE(TRIM(UPPER({BisaStok!D3:D1745;BisaPindahBarang!C2:C1745;BisaPindahBarang!D2:D1745;BisaHilang!G2:G1745})))="",,UNIQUE(TRIM(UPPER({BisaStok!D3:D1745;BisaPindahBarang!C2:C1745;BisaPindahBarang!D2:D1745;BisaHilang!G2:G1745})))))}</f>
        <v>Alamat Penerima</v>
      </c>
      <c r="B1" s="75" t="str">
        <f t="array" ref="B1:B1745">{"Harga
Impor
Barang
(Rupiah)";IF(A2:A1745="",,IF(SUMIF(BisaStok!D3:D1745&amp;BisaStok!E3:E1745&amp;IF(BisaStok!C3:C1745&lt;2,FALSE,TRUE),A2:A1745&amp;TRUE&amp;FALSE,BisaStok!X3:X1745)&lt;1,,SUMIF(BisaStok!D3:D1745&amp;BisaStok!E3:E1745&amp;IF(BisaStok!C3:C1745&lt;2,FALSE,TRUE),A2:A1745&amp;TRUE&amp;FALSE,BisaStok!X3:X1745)))}</f>
        <v>Harga
Impor
Barang
(Rupiah)</v>
      </c>
      <c r="C1" s="76" t="str">
        <f>IFERROR(__xludf.DUMMYFUNCTION("ARRAYFORMULA({""Harga
Impor
Barang
(USD)"";If(B2:B1745="""",,B2:B1745/GOOGLEFINANCE(""CURRENCY:USDIDR""))})"),"Harga
Impor
Barang
(USD)")</f>
        <v>Harga
Impor
Barang
(USD)</v>
      </c>
      <c r="D1" s="75" t="str">
        <f t="array" ref="D1:F218">{"SKU","Tanggal Pesan Terakhir","HPP
Terakhir";
SORT({
SORT(UNIQUE(BisaSEO!A2:A1745)),IFERROR(IF(SORT(UNIQUE(BisaSEO!A2:A1745))="",,{
VLOOKUP(SORT(BisaSEO!A2:A1745),SORT({'Import-BisaJual'!A2:A1745,'Import-BisaJual'!B2:B1745},1,TRUE,2,FALSE),2,FALSE),
VLOOKUP(SORT(BisaSEO!A2:A1745),SORT({BisaStok!A3:A1745,BisaStok!B3:B1745,BisaStok!AC3:AC1745},1,TRUE,2,FALSE),3,FALSE)}),"")
},1,TRUE)}</f>
        <v>SKU</v>
      </c>
      <c r="E1" s="84" t="s">
        <v>419</v>
      </c>
      <c r="F1" s="79" t="s">
        <v>420</v>
      </c>
      <c r="G1" s="79" t="str">
        <f t="array" ref="G1:G1745">{"HPP Belum Terjual";IF(D2:D1745="",,F2:F1745*H2:H1745)}</f>
        <v>HPP Belum Terjual</v>
      </c>
      <c r="H1" s="149" t="str">
        <f t="array" ref="H1:H1745">{"Total
Stok";
IF(D2:D1745="",,IF(SUMIF(IF(COLUMN(M2:O1745),ROW(M2:O1745)),ROW(M2:O1745),M2:O1745)=0,,SUMIF(IF(COLUMN(M2:O1745),ROW(M2:O1745)),ROW(M2:O1745),M2:O1745)))}</f>
        <v>Total
Stok</v>
      </c>
      <c r="I1" s="149" t="str">
        <f t="array" ref="I1:I1745">{"1/2
Total
Stok";
IF(H2:H1745="",,ROUNDDOWN(H2:H1745/2,0))}</f>
        <v>1/2
Total
Stok</v>
      </c>
      <c r="J1" s="150" t="str">
        <f t="array" ref="J1:J1745">{"1/3
Total
Stok";
IF(H2:H1745="",,ROUNDDOWN(H2:H1745/3,0))}</f>
        <v>1/3
Total
Stok</v>
      </c>
      <c r="K1" s="150" t="str">
        <f t="array" ref="K1:K1745">{"40%
Total
Stok";
IF(H2:H1745="",,ROUNDDOWN(H2:H1745*40%,0))}</f>
        <v>40%
Total
Stok</v>
      </c>
      <c r="L1" s="150" t="str">
        <f t="array" ref="L1:L1745">{"20%
Total
Stok";
IF(H2:H1745="",,ROUNDDOWN(H2:H1745*20%,0))}</f>
        <v>20%
Total
Stok</v>
      </c>
      <c r="M1" s="85" t="str">
        <f t="array" ref="M1:Y623">TRANSPOSE(SORT(TRANSPOSE(IF(
ABS(BisaRekapGudangBackend!A1:AE1)&lt;0.5 +
(BisaRekapGudangBackend!A2:AE2="BCA ITBISA") + 
(BisaRekapGudangBackend!A2:AE2="BLIBLI ITBISA") + 
(BisaRekapGudangBackend!A2:AE2="BNI SYARIAH ITBISA") +
(BisaRekapGudangBackend!A2:AE2="BRI ITBISA") +
(BisaRekapGudangBackend!A2:AE2="MANDIRI ITBISA")
,,{BisaRekapGudangBackend!A2:M2;IF(ABS(BisaRekapGudangBackend!A3:M1745)&lt;1,,BisaRekapGudangBackend!A3:M1745)}))))</f>
        <v>KERTASARI CIAMIS</v>
      </c>
      <c r="N1" s="86" t="s">
        <v>32</v>
      </c>
      <c r="O1" s="86"/>
      <c r="P1" s="86"/>
      <c r="Q1" s="86"/>
      <c r="R1" s="86"/>
      <c r="S1" s="86"/>
      <c r="T1" s="86"/>
      <c r="U1" s="86"/>
      <c r="V1" s="86"/>
      <c r="W1" s="86"/>
      <c r="X1" s="86"/>
      <c r="Y1" s="86"/>
      <c r="Z1" s="86"/>
      <c r="AA1" s="86"/>
      <c r="AB1" s="86"/>
      <c r="AC1" s="86"/>
      <c r="AD1" s="86"/>
      <c r="AE1" s="86"/>
    </row>
    <row r="2">
      <c r="A2" s="87" t="s">
        <v>312</v>
      </c>
      <c r="B2" s="37"/>
      <c r="C2" s="38"/>
      <c r="D2" s="151" t="s">
        <v>221</v>
      </c>
      <c r="E2" s="89">
        <v>46197.0</v>
      </c>
      <c r="F2" s="72">
        <v>675.92</v>
      </c>
      <c r="G2" s="111">
        <v>2867252.6399999997</v>
      </c>
      <c r="H2" s="111">
        <v>4242.0</v>
      </c>
      <c r="I2" s="152">
        <v>2121.0</v>
      </c>
      <c r="J2" s="153">
        <v>1414.0</v>
      </c>
      <c r="K2" s="154">
        <v>1696.0</v>
      </c>
      <c r="L2" s="154">
        <v>848.0</v>
      </c>
      <c r="M2" s="155"/>
      <c r="N2" s="101">
        <v>4242.0</v>
      </c>
      <c r="O2" s="101"/>
      <c r="P2" s="101"/>
      <c r="Q2" s="101"/>
      <c r="R2" s="101"/>
      <c r="S2" s="101"/>
      <c r="T2" s="101"/>
      <c r="U2" s="101"/>
      <c r="V2" s="101"/>
      <c r="W2" s="101"/>
      <c r="X2" s="101"/>
      <c r="Y2" s="101"/>
      <c r="Z2" s="101"/>
      <c r="AA2" s="101"/>
      <c r="AB2" s="101"/>
      <c r="AC2" s="101"/>
      <c r="AD2" s="101"/>
      <c r="AE2" s="101"/>
    </row>
    <row r="3">
      <c r="A3" s="87" t="s">
        <v>32</v>
      </c>
      <c r="B3" s="37">
        <v>1.00503E8</v>
      </c>
      <c r="C3" s="38">
        <f>IFERROR(__xludf.DUMMYFUNCTION("""COMPUTED_VALUE"""),5600.300902708124)</f>
        <v>5600.300903</v>
      </c>
      <c r="D3" s="151" t="s">
        <v>58</v>
      </c>
      <c r="E3" s="89">
        <v>46197.0</v>
      </c>
      <c r="F3" s="72">
        <v>2000.0</v>
      </c>
      <c r="G3" s="116">
        <v>4016000.0</v>
      </c>
      <c r="H3" s="111">
        <v>2008.0</v>
      </c>
      <c r="I3" s="152">
        <v>1004.0</v>
      </c>
      <c r="J3" s="153">
        <v>669.0</v>
      </c>
      <c r="K3" s="154">
        <v>803.0</v>
      </c>
      <c r="L3" s="154">
        <v>401.0</v>
      </c>
      <c r="M3" s="155"/>
      <c r="N3" s="101">
        <v>2008.0</v>
      </c>
      <c r="O3" s="101"/>
      <c r="P3" s="101"/>
      <c r="Q3" s="101"/>
      <c r="R3" s="101"/>
      <c r="S3" s="101"/>
      <c r="T3" s="101"/>
      <c r="U3" s="101"/>
      <c r="V3" s="101"/>
      <c r="W3" s="101"/>
      <c r="X3" s="101"/>
      <c r="Y3" s="101"/>
      <c r="Z3" s="101"/>
      <c r="AA3" s="101"/>
      <c r="AB3" s="101"/>
      <c r="AC3" s="101"/>
      <c r="AD3" s="101"/>
      <c r="AE3" s="101"/>
    </row>
    <row r="4">
      <c r="A4" s="87"/>
      <c r="B4" s="37"/>
      <c r="C4" s="38"/>
      <c r="D4" s="151" t="s">
        <v>180</v>
      </c>
      <c r="E4" s="89">
        <v>46193.0</v>
      </c>
      <c r="F4" s="72">
        <v>3611.73</v>
      </c>
      <c r="G4" s="116">
        <v>2235660.87</v>
      </c>
      <c r="H4" s="111">
        <v>619.0</v>
      </c>
      <c r="I4" s="152">
        <v>309.0</v>
      </c>
      <c r="J4" s="153">
        <v>206.0</v>
      </c>
      <c r="K4" s="154">
        <v>247.0</v>
      </c>
      <c r="L4" s="154">
        <v>123.0</v>
      </c>
      <c r="M4" s="155"/>
      <c r="N4" s="101">
        <v>619.0</v>
      </c>
      <c r="O4" s="101"/>
      <c r="P4" s="101"/>
      <c r="Q4" s="101"/>
      <c r="R4" s="101"/>
      <c r="S4" s="101"/>
      <c r="T4" s="101"/>
      <c r="U4" s="101"/>
      <c r="V4" s="101"/>
      <c r="W4" s="101"/>
      <c r="X4" s="101"/>
      <c r="Y4" s="101"/>
      <c r="Z4" s="101"/>
      <c r="AA4" s="101"/>
      <c r="AB4" s="101"/>
      <c r="AC4" s="101"/>
      <c r="AD4" s="101"/>
      <c r="AE4" s="101"/>
    </row>
    <row r="5">
      <c r="A5" s="87"/>
      <c r="B5" s="37"/>
      <c r="C5" s="38"/>
      <c r="D5" s="151" t="s">
        <v>385</v>
      </c>
      <c r="E5" s="89"/>
      <c r="F5" s="72">
        <v>6462.2938711551105</v>
      </c>
      <c r="G5" s="116">
        <v>0.0</v>
      </c>
      <c r="H5" s="111"/>
      <c r="I5" s="152"/>
      <c r="J5" s="153"/>
      <c r="K5" s="154"/>
      <c r="L5" s="154"/>
      <c r="M5" s="155"/>
      <c r="N5" s="101"/>
      <c r="O5" s="101"/>
      <c r="P5" s="101"/>
      <c r="Q5" s="101"/>
      <c r="R5" s="101"/>
      <c r="S5" s="101"/>
      <c r="T5" s="101"/>
      <c r="U5" s="101"/>
      <c r="V5" s="101"/>
      <c r="W5" s="101"/>
      <c r="X5" s="101"/>
      <c r="Y5" s="101"/>
      <c r="Z5" s="101"/>
      <c r="AA5" s="101"/>
      <c r="AB5" s="101"/>
      <c r="AC5" s="101"/>
      <c r="AD5" s="101"/>
      <c r="AE5" s="101"/>
    </row>
    <row r="6">
      <c r="A6" s="87"/>
      <c r="B6" s="37"/>
      <c r="C6" s="38"/>
      <c r="D6" s="151" t="s">
        <v>44</v>
      </c>
      <c r="E6" s="89">
        <v>46196.0</v>
      </c>
      <c r="F6" s="72">
        <v>731.0</v>
      </c>
      <c r="G6" s="116">
        <v>3655.0</v>
      </c>
      <c r="H6" s="111">
        <v>5.0</v>
      </c>
      <c r="I6" s="152">
        <v>2.0</v>
      </c>
      <c r="J6" s="153">
        <v>1.0</v>
      </c>
      <c r="K6" s="154">
        <v>2.0</v>
      </c>
      <c r="L6" s="154">
        <v>1.0</v>
      </c>
      <c r="M6" s="93"/>
      <c r="N6" s="94">
        <v>5.0</v>
      </c>
      <c r="O6" s="94"/>
      <c r="P6" s="94"/>
      <c r="Q6" s="94"/>
      <c r="R6" s="94"/>
      <c r="S6" s="94"/>
      <c r="T6" s="94"/>
      <c r="U6" s="94"/>
      <c r="V6" s="94"/>
      <c r="W6" s="94"/>
      <c r="X6" s="94"/>
      <c r="Y6" s="94"/>
      <c r="Z6" s="94"/>
      <c r="AA6" s="94"/>
      <c r="AB6" s="94"/>
      <c r="AC6" s="94"/>
      <c r="AD6" s="94"/>
      <c r="AE6" s="94"/>
    </row>
    <row r="7">
      <c r="A7" s="87"/>
      <c r="B7" s="37"/>
      <c r="C7" s="38"/>
      <c r="D7" s="151" t="s">
        <v>473</v>
      </c>
      <c r="E7" s="89"/>
      <c r="F7" s="72"/>
      <c r="G7" s="111">
        <v>0.0</v>
      </c>
      <c r="H7" s="111"/>
      <c r="I7" s="152"/>
      <c r="J7" s="153"/>
      <c r="K7" s="154"/>
      <c r="L7" s="154"/>
      <c r="M7" s="93"/>
      <c r="N7" s="94"/>
      <c r="O7" s="94"/>
      <c r="P7" s="94"/>
      <c r="Q7" s="94"/>
      <c r="R7" s="94"/>
      <c r="S7" s="94"/>
      <c r="T7" s="94"/>
      <c r="U7" s="94"/>
      <c r="V7" s="94"/>
      <c r="W7" s="94"/>
      <c r="X7" s="94"/>
      <c r="Y7" s="94"/>
      <c r="Z7" s="94"/>
      <c r="AA7" s="94"/>
      <c r="AB7" s="94"/>
      <c r="AC7" s="94"/>
      <c r="AD7" s="94"/>
      <c r="AE7" s="94"/>
    </row>
    <row r="8">
      <c r="A8" s="87"/>
      <c r="B8" s="37"/>
      <c r="C8" s="38"/>
      <c r="D8" s="151" t="s">
        <v>49</v>
      </c>
      <c r="E8" s="89">
        <v>46176.0</v>
      </c>
      <c r="F8" s="72">
        <v>2756.0</v>
      </c>
      <c r="G8" s="111">
        <v>55120.0</v>
      </c>
      <c r="H8" s="111">
        <v>20.0</v>
      </c>
      <c r="I8" s="152">
        <v>10.0</v>
      </c>
      <c r="J8" s="153">
        <v>6.0</v>
      </c>
      <c r="K8" s="154">
        <v>8.0</v>
      </c>
      <c r="L8" s="154">
        <v>4.0</v>
      </c>
      <c r="M8" s="93"/>
      <c r="N8" s="94">
        <v>20.0</v>
      </c>
      <c r="O8" s="94"/>
      <c r="P8" s="94"/>
      <c r="Q8" s="94"/>
      <c r="R8" s="94"/>
      <c r="S8" s="94"/>
      <c r="T8" s="94"/>
      <c r="U8" s="94"/>
      <c r="V8" s="94"/>
      <c r="W8" s="94"/>
      <c r="X8" s="94"/>
      <c r="Y8" s="94"/>
      <c r="Z8" s="94"/>
      <c r="AA8" s="94"/>
      <c r="AB8" s="94"/>
      <c r="AC8" s="94"/>
      <c r="AD8" s="94"/>
      <c r="AE8" s="94"/>
    </row>
    <row r="9">
      <c r="A9" s="87"/>
      <c r="B9" s="37"/>
      <c r="C9" s="38"/>
      <c r="D9" s="151" t="s">
        <v>50</v>
      </c>
      <c r="E9" s="89">
        <v>46179.0</v>
      </c>
      <c r="F9" s="72">
        <v>6462.2938711551105</v>
      </c>
      <c r="G9" s="111">
        <v>38773.76322693066</v>
      </c>
      <c r="H9" s="111">
        <v>6.0</v>
      </c>
      <c r="I9" s="152">
        <v>3.0</v>
      </c>
      <c r="J9" s="153">
        <v>2.0</v>
      </c>
      <c r="K9" s="154">
        <v>2.0</v>
      </c>
      <c r="L9" s="154">
        <v>1.0</v>
      </c>
      <c r="M9" s="93"/>
      <c r="N9" s="94">
        <v>6.0</v>
      </c>
      <c r="O9" s="94"/>
      <c r="P9" s="94"/>
      <c r="Q9" s="94"/>
      <c r="R9" s="94"/>
      <c r="S9" s="94"/>
      <c r="T9" s="94"/>
      <c r="U9" s="94"/>
      <c r="V9" s="94"/>
      <c r="W9" s="94"/>
      <c r="X9" s="94"/>
      <c r="Y9" s="94"/>
      <c r="Z9" s="94"/>
      <c r="AA9" s="94"/>
      <c r="AB9" s="94"/>
      <c r="AC9" s="94"/>
      <c r="AD9" s="94"/>
      <c r="AE9" s="94"/>
    </row>
    <row r="10">
      <c r="A10" s="87"/>
      <c r="B10" s="37"/>
      <c r="C10" s="38"/>
      <c r="D10" s="151" t="s">
        <v>480</v>
      </c>
      <c r="E10" s="89"/>
      <c r="F10" s="72"/>
      <c r="G10" s="111">
        <v>0.0</v>
      </c>
      <c r="H10" s="111"/>
      <c r="I10" s="152"/>
      <c r="J10" s="153"/>
      <c r="K10" s="154"/>
      <c r="L10" s="154"/>
      <c r="M10" s="93"/>
      <c r="N10" s="94"/>
      <c r="O10" s="94"/>
      <c r="P10" s="94"/>
      <c r="Q10" s="94"/>
      <c r="R10" s="94"/>
      <c r="S10" s="94"/>
      <c r="T10" s="94"/>
      <c r="U10" s="94"/>
      <c r="V10" s="94"/>
      <c r="W10" s="94"/>
      <c r="X10" s="94"/>
      <c r="Y10" s="94"/>
      <c r="Z10" s="94"/>
      <c r="AA10" s="94"/>
      <c r="AB10" s="94"/>
      <c r="AC10" s="94"/>
      <c r="AD10" s="94"/>
      <c r="AE10" s="94"/>
    </row>
    <row r="11">
      <c r="A11" s="87"/>
      <c r="B11" s="37"/>
      <c r="C11" s="38"/>
      <c r="D11" s="156" t="s">
        <v>173</v>
      </c>
      <c r="E11" s="89">
        <v>46192.0</v>
      </c>
      <c r="F11" s="72">
        <v>11210.9375</v>
      </c>
      <c r="G11" s="111">
        <v>1244414.0625</v>
      </c>
      <c r="H11" s="111">
        <v>111.0</v>
      </c>
      <c r="I11" s="152">
        <v>55.0</v>
      </c>
      <c r="J11" s="153">
        <v>37.0</v>
      </c>
      <c r="K11" s="154">
        <v>44.0</v>
      </c>
      <c r="L11" s="154">
        <v>22.0</v>
      </c>
      <c r="M11" s="93"/>
      <c r="N11" s="94">
        <v>111.0</v>
      </c>
      <c r="O11" s="94"/>
      <c r="P11" s="94"/>
      <c r="Q11" s="94"/>
      <c r="R11" s="94"/>
      <c r="S11" s="94"/>
      <c r="T11" s="94"/>
      <c r="U11" s="94"/>
      <c r="V11" s="94"/>
      <c r="W11" s="94"/>
      <c r="X11" s="94"/>
      <c r="Y11" s="94"/>
      <c r="Z11" s="94"/>
      <c r="AA11" s="94"/>
      <c r="AB11" s="94"/>
      <c r="AC11" s="94"/>
      <c r="AD11" s="94"/>
      <c r="AE11" s="94"/>
    </row>
    <row r="12">
      <c r="A12" s="87"/>
      <c r="B12" s="37"/>
      <c r="C12" s="38"/>
      <c r="D12" s="156" t="s">
        <v>147</v>
      </c>
      <c r="E12" s="89">
        <v>46198.0</v>
      </c>
      <c r="F12" s="72">
        <v>3987.5</v>
      </c>
      <c r="G12" s="111">
        <v>1375687.5</v>
      </c>
      <c r="H12" s="111">
        <v>345.0</v>
      </c>
      <c r="I12" s="152">
        <v>172.0</v>
      </c>
      <c r="J12" s="153">
        <v>115.0</v>
      </c>
      <c r="K12" s="154">
        <v>138.0</v>
      </c>
      <c r="L12" s="154">
        <v>69.0</v>
      </c>
      <c r="M12" s="93"/>
      <c r="N12" s="94">
        <v>345.0</v>
      </c>
      <c r="O12" s="94"/>
      <c r="P12" s="94"/>
      <c r="Q12" s="94"/>
      <c r="R12" s="94"/>
      <c r="S12" s="94"/>
      <c r="T12" s="94"/>
      <c r="U12" s="94"/>
      <c r="V12" s="94"/>
      <c r="W12" s="94"/>
      <c r="X12" s="94"/>
      <c r="Y12" s="94"/>
      <c r="Z12" s="94"/>
      <c r="AA12" s="94"/>
      <c r="AB12" s="94"/>
      <c r="AC12" s="94"/>
      <c r="AD12" s="94"/>
      <c r="AE12" s="94"/>
    </row>
    <row r="13">
      <c r="A13" s="87"/>
      <c r="B13" s="37"/>
      <c r="C13" s="38"/>
      <c r="D13" s="156" t="s">
        <v>293</v>
      </c>
      <c r="E13" s="89">
        <v>46198.0</v>
      </c>
      <c r="F13" s="72">
        <v>3117.1666666666656</v>
      </c>
      <c r="G13" s="116">
        <v>1362201.8333333328</v>
      </c>
      <c r="H13" s="111">
        <v>437.0</v>
      </c>
      <c r="I13" s="152">
        <v>218.0</v>
      </c>
      <c r="J13" s="153">
        <v>145.0</v>
      </c>
      <c r="K13" s="154">
        <v>174.0</v>
      </c>
      <c r="L13" s="154">
        <v>87.0</v>
      </c>
      <c r="M13" s="93"/>
      <c r="N13" s="94">
        <v>437.0</v>
      </c>
      <c r="O13" s="94"/>
      <c r="P13" s="94"/>
      <c r="Q13" s="94"/>
      <c r="R13" s="94"/>
      <c r="S13" s="94"/>
      <c r="T13" s="94"/>
      <c r="U13" s="94"/>
      <c r="V13" s="94"/>
      <c r="W13" s="94"/>
      <c r="X13" s="94"/>
      <c r="Y13" s="94"/>
      <c r="Z13" s="94"/>
      <c r="AA13" s="94"/>
      <c r="AB13" s="94"/>
      <c r="AC13" s="94"/>
      <c r="AD13" s="94"/>
      <c r="AE13" s="94"/>
    </row>
    <row r="14">
      <c r="A14" s="87"/>
      <c r="B14" s="37"/>
      <c r="C14" s="38"/>
      <c r="D14" s="156" t="s">
        <v>481</v>
      </c>
      <c r="E14" s="89"/>
      <c r="F14" s="72"/>
      <c r="G14" s="116">
        <v>0.0</v>
      </c>
      <c r="H14" s="111"/>
      <c r="I14" s="152"/>
      <c r="J14" s="153"/>
      <c r="K14" s="154"/>
      <c r="L14" s="154"/>
      <c r="M14" s="93"/>
      <c r="N14" s="94"/>
      <c r="O14" s="94"/>
      <c r="P14" s="94"/>
      <c r="Q14" s="94"/>
      <c r="R14" s="94"/>
      <c r="S14" s="94"/>
      <c r="T14" s="94"/>
      <c r="U14" s="94"/>
      <c r="V14" s="94"/>
      <c r="W14" s="94"/>
      <c r="X14" s="94"/>
      <c r="Y14" s="94"/>
      <c r="Z14" s="94"/>
      <c r="AA14" s="94"/>
      <c r="AB14" s="94"/>
      <c r="AC14" s="94"/>
      <c r="AD14" s="94"/>
      <c r="AE14" s="94"/>
    </row>
    <row r="15">
      <c r="A15" s="87"/>
      <c r="B15" s="37"/>
      <c r="C15" s="38"/>
      <c r="D15" s="156" t="s">
        <v>482</v>
      </c>
      <c r="E15" s="89"/>
      <c r="F15" s="72"/>
      <c r="G15" s="116">
        <v>0.0</v>
      </c>
      <c r="H15" s="111"/>
      <c r="I15" s="152"/>
      <c r="J15" s="153"/>
      <c r="K15" s="154"/>
      <c r="L15" s="154"/>
      <c r="M15" s="93"/>
      <c r="N15" s="94"/>
      <c r="O15" s="94"/>
      <c r="P15" s="94"/>
      <c r="Q15" s="94"/>
      <c r="R15" s="94"/>
      <c r="S15" s="94"/>
      <c r="T15" s="94"/>
      <c r="U15" s="94"/>
      <c r="V15" s="94"/>
      <c r="W15" s="94"/>
      <c r="X15" s="94"/>
      <c r="Y15" s="94"/>
      <c r="Z15" s="94"/>
      <c r="AA15" s="94"/>
      <c r="AB15" s="94"/>
      <c r="AC15" s="94"/>
      <c r="AD15" s="94"/>
      <c r="AE15" s="94"/>
    </row>
    <row r="16">
      <c r="A16" s="87"/>
      <c r="B16" s="37"/>
      <c r="C16" s="38"/>
      <c r="D16" s="156" t="s">
        <v>67</v>
      </c>
      <c r="E16" s="89"/>
      <c r="F16" s="72">
        <v>5166.67</v>
      </c>
      <c r="G16" s="116">
        <v>5166.67</v>
      </c>
      <c r="H16" s="111">
        <v>1.0</v>
      </c>
      <c r="I16" s="152">
        <v>0.0</v>
      </c>
      <c r="J16" s="153">
        <v>0.0</v>
      </c>
      <c r="K16" s="154">
        <v>0.0</v>
      </c>
      <c r="L16" s="154">
        <v>0.0</v>
      </c>
      <c r="M16" s="93"/>
      <c r="N16" s="94">
        <v>1.0</v>
      </c>
      <c r="O16" s="94"/>
      <c r="P16" s="94"/>
      <c r="Q16" s="94"/>
      <c r="R16" s="94"/>
      <c r="S16" s="94"/>
      <c r="T16" s="94"/>
      <c r="U16" s="94"/>
      <c r="V16" s="94"/>
      <c r="W16" s="94"/>
      <c r="X16" s="94"/>
      <c r="Y16" s="94"/>
      <c r="Z16" s="94"/>
      <c r="AA16" s="94"/>
      <c r="AB16" s="94"/>
      <c r="AC16" s="94"/>
      <c r="AD16" s="94"/>
      <c r="AE16" s="94"/>
    </row>
    <row r="17">
      <c r="A17" s="87"/>
      <c r="B17" s="37"/>
      <c r="C17" s="38"/>
      <c r="D17" s="156" t="s">
        <v>499</v>
      </c>
      <c r="E17" s="89"/>
      <c r="F17" s="72"/>
      <c r="G17" s="116">
        <v>0.0</v>
      </c>
      <c r="H17" s="111"/>
      <c r="I17" s="152"/>
      <c r="J17" s="153"/>
      <c r="K17" s="154"/>
      <c r="L17" s="154"/>
      <c r="M17" s="93"/>
      <c r="N17" s="94"/>
      <c r="O17" s="94"/>
      <c r="P17" s="94"/>
      <c r="Q17" s="94"/>
      <c r="R17" s="94"/>
      <c r="S17" s="94"/>
      <c r="T17" s="94"/>
      <c r="U17" s="94"/>
      <c r="V17" s="94"/>
      <c r="W17" s="94"/>
      <c r="X17" s="94"/>
      <c r="Y17" s="94"/>
      <c r="Z17" s="94"/>
      <c r="AA17" s="94"/>
      <c r="AB17" s="94"/>
      <c r="AC17" s="94"/>
      <c r="AD17" s="94"/>
      <c r="AE17" s="94"/>
    </row>
    <row r="18">
      <c r="A18" s="87"/>
      <c r="B18" s="37"/>
      <c r="C18" s="38"/>
      <c r="D18" s="156" t="s">
        <v>244</v>
      </c>
      <c r="E18" s="89">
        <v>46196.0</v>
      </c>
      <c r="F18" s="72">
        <v>37978.26</v>
      </c>
      <c r="G18" s="116">
        <v>8469151.98</v>
      </c>
      <c r="H18" s="111">
        <v>223.0</v>
      </c>
      <c r="I18" s="152">
        <v>111.0</v>
      </c>
      <c r="J18" s="153">
        <v>74.0</v>
      </c>
      <c r="K18" s="154">
        <v>89.0</v>
      </c>
      <c r="L18" s="154">
        <v>44.0</v>
      </c>
      <c r="M18" s="93"/>
      <c r="N18" s="94">
        <v>223.0</v>
      </c>
      <c r="O18" s="94"/>
      <c r="P18" s="94"/>
      <c r="Q18" s="94"/>
      <c r="R18" s="94"/>
      <c r="S18" s="94"/>
      <c r="T18" s="94"/>
      <c r="U18" s="94"/>
      <c r="V18" s="94"/>
      <c r="W18" s="94"/>
      <c r="X18" s="94"/>
      <c r="Y18" s="94"/>
      <c r="Z18" s="94"/>
      <c r="AA18" s="94"/>
      <c r="AB18" s="94"/>
      <c r="AC18" s="94"/>
      <c r="AD18" s="94"/>
      <c r="AE18" s="94"/>
    </row>
    <row r="19">
      <c r="A19" s="87"/>
      <c r="B19" s="37"/>
      <c r="C19" s="38"/>
      <c r="D19" s="156" t="s">
        <v>522</v>
      </c>
      <c r="E19" s="89"/>
      <c r="F19" s="72"/>
      <c r="G19" s="116">
        <v>0.0</v>
      </c>
      <c r="H19" s="111"/>
      <c r="I19" s="152"/>
      <c r="J19" s="153"/>
      <c r="K19" s="154"/>
      <c r="L19" s="154"/>
      <c r="M19" s="93"/>
      <c r="N19" s="94"/>
      <c r="O19" s="94"/>
      <c r="P19" s="94"/>
      <c r="Q19" s="94"/>
      <c r="R19" s="94"/>
      <c r="S19" s="94"/>
      <c r="T19" s="94"/>
      <c r="U19" s="94"/>
      <c r="V19" s="94"/>
      <c r="W19" s="94"/>
      <c r="X19" s="94"/>
      <c r="Y19" s="94"/>
      <c r="Z19" s="94"/>
      <c r="AA19" s="94"/>
      <c r="AB19" s="94"/>
      <c r="AC19" s="94"/>
      <c r="AD19" s="94"/>
      <c r="AE19" s="94"/>
    </row>
    <row r="20">
      <c r="A20" s="5"/>
      <c r="B20" s="37"/>
      <c r="C20" s="38"/>
      <c r="D20" s="156" t="s">
        <v>529</v>
      </c>
      <c r="E20" s="89"/>
      <c r="F20" s="72"/>
      <c r="G20" s="111">
        <v>0.0</v>
      </c>
      <c r="H20" s="111"/>
      <c r="I20" s="152"/>
      <c r="J20" s="153"/>
      <c r="K20" s="154"/>
      <c r="L20" s="154"/>
      <c r="M20" s="93"/>
      <c r="N20" s="94"/>
      <c r="O20" s="94"/>
      <c r="P20" s="94"/>
      <c r="Q20" s="94"/>
      <c r="R20" s="94"/>
      <c r="S20" s="94"/>
      <c r="T20" s="94"/>
      <c r="U20" s="94"/>
      <c r="V20" s="94"/>
      <c r="W20" s="94"/>
      <c r="X20" s="94"/>
      <c r="Y20" s="94"/>
      <c r="Z20" s="94"/>
      <c r="AA20" s="94"/>
      <c r="AB20" s="94"/>
      <c r="AC20" s="94"/>
      <c r="AD20" s="94"/>
      <c r="AE20" s="94"/>
    </row>
    <row r="21">
      <c r="A21" s="87"/>
      <c r="B21" s="37"/>
      <c r="C21" s="38"/>
      <c r="D21" s="156" t="s">
        <v>119</v>
      </c>
      <c r="E21" s="89">
        <v>46196.0</v>
      </c>
      <c r="F21" s="72">
        <v>21771.151515151516</v>
      </c>
      <c r="G21" s="111">
        <v>4288916.848484849</v>
      </c>
      <c r="H21" s="111">
        <v>197.0</v>
      </c>
      <c r="I21" s="152">
        <v>98.0</v>
      </c>
      <c r="J21" s="153">
        <v>65.0</v>
      </c>
      <c r="K21" s="154">
        <v>78.0</v>
      </c>
      <c r="L21" s="154">
        <v>39.0</v>
      </c>
      <c r="M21" s="93"/>
      <c r="N21" s="94">
        <v>197.0</v>
      </c>
      <c r="O21" s="94"/>
      <c r="P21" s="94"/>
      <c r="Q21" s="94"/>
      <c r="R21" s="94"/>
      <c r="S21" s="94"/>
      <c r="T21" s="94"/>
      <c r="U21" s="94"/>
      <c r="V21" s="94"/>
      <c r="W21" s="94"/>
      <c r="X21" s="94"/>
      <c r="Y21" s="94"/>
      <c r="Z21" s="94"/>
      <c r="AA21" s="94"/>
      <c r="AB21" s="94"/>
      <c r="AC21" s="94"/>
      <c r="AD21" s="94"/>
      <c r="AE21" s="94"/>
    </row>
    <row r="22">
      <c r="A22" s="87"/>
      <c r="B22" s="37"/>
      <c r="C22" s="38"/>
      <c r="D22" s="156" t="s">
        <v>218</v>
      </c>
      <c r="E22" s="89">
        <v>46196.0</v>
      </c>
      <c r="F22" s="72">
        <v>6809.6</v>
      </c>
      <c r="G22" s="111">
        <v>0.0</v>
      </c>
      <c r="H22" s="111"/>
      <c r="I22" s="152"/>
      <c r="J22" s="153"/>
      <c r="K22" s="154"/>
      <c r="L22" s="154"/>
      <c r="M22" s="93"/>
      <c r="N22" s="94"/>
      <c r="O22" s="94"/>
      <c r="P22" s="94"/>
      <c r="Q22" s="94"/>
      <c r="R22" s="94"/>
      <c r="S22" s="94"/>
      <c r="T22" s="94"/>
      <c r="U22" s="94"/>
      <c r="V22" s="94"/>
      <c r="W22" s="94"/>
      <c r="X22" s="94"/>
      <c r="Y22" s="94"/>
      <c r="Z22" s="94"/>
      <c r="AA22" s="94"/>
      <c r="AB22" s="94"/>
      <c r="AC22" s="94"/>
      <c r="AD22" s="94"/>
      <c r="AE22" s="94"/>
    </row>
    <row r="23">
      <c r="A23" s="87"/>
      <c r="B23" s="37"/>
      <c r="C23" s="38"/>
      <c r="D23" s="156" t="s">
        <v>309</v>
      </c>
      <c r="E23" s="89">
        <v>46134.0</v>
      </c>
      <c r="F23" s="72"/>
      <c r="G23" s="116">
        <v>0.0</v>
      </c>
      <c r="H23" s="111">
        <v>12.0</v>
      </c>
      <c r="I23" s="152">
        <v>6.0</v>
      </c>
      <c r="J23" s="153">
        <v>4.0</v>
      </c>
      <c r="K23" s="154">
        <v>4.0</v>
      </c>
      <c r="L23" s="154">
        <v>2.0</v>
      </c>
      <c r="M23" s="93"/>
      <c r="N23" s="94">
        <v>12.0</v>
      </c>
      <c r="O23" s="94"/>
      <c r="P23" s="94"/>
      <c r="Q23" s="94"/>
      <c r="R23" s="94"/>
      <c r="S23" s="94"/>
      <c r="T23" s="94"/>
      <c r="U23" s="94"/>
      <c r="V23" s="94"/>
      <c r="W23" s="94"/>
      <c r="X23" s="94"/>
      <c r="Y23" s="94"/>
      <c r="Z23" s="94"/>
      <c r="AA23" s="94"/>
      <c r="AB23" s="94"/>
      <c r="AC23" s="94"/>
      <c r="AD23" s="94"/>
      <c r="AE23" s="94"/>
    </row>
    <row r="24">
      <c r="A24" s="87"/>
      <c r="B24" s="37"/>
      <c r="C24" s="38"/>
      <c r="D24" s="156" t="s">
        <v>536</v>
      </c>
      <c r="E24" s="89"/>
      <c r="F24" s="72"/>
      <c r="G24" s="116">
        <v>0.0</v>
      </c>
      <c r="H24" s="111"/>
      <c r="I24" s="152"/>
      <c r="J24" s="153"/>
      <c r="K24" s="154"/>
      <c r="L24" s="154"/>
      <c r="M24" s="93"/>
      <c r="N24" s="94"/>
      <c r="O24" s="94"/>
      <c r="P24" s="94"/>
      <c r="Q24" s="94"/>
      <c r="R24" s="94"/>
      <c r="S24" s="94"/>
      <c r="T24" s="94"/>
      <c r="U24" s="94"/>
      <c r="V24" s="94"/>
      <c r="W24" s="94"/>
      <c r="X24" s="94"/>
      <c r="Y24" s="94"/>
      <c r="Z24" s="94"/>
      <c r="AA24" s="94"/>
      <c r="AB24" s="94"/>
      <c r="AC24" s="94"/>
      <c r="AD24" s="94"/>
      <c r="AE24" s="94"/>
    </row>
    <row r="25">
      <c r="A25" s="87"/>
      <c r="B25" s="37"/>
      <c r="C25" s="38"/>
      <c r="D25" s="156" t="s">
        <v>537</v>
      </c>
      <c r="E25" s="89"/>
      <c r="F25" s="72"/>
      <c r="G25" s="116">
        <v>0.0</v>
      </c>
      <c r="H25" s="111"/>
      <c r="I25" s="152"/>
      <c r="J25" s="153"/>
      <c r="K25" s="154"/>
      <c r="L25" s="154"/>
      <c r="M25" s="93"/>
      <c r="N25" s="94"/>
      <c r="O25" s="94"/>
      <c r="P25" s="94"/>
      <c r="Q25" s="94"/>
      <c r="R25" s="94"/>
      <c r="S25" s="94"/>
      <c r="T25" s="94"/>
      <c r="U25" s="94"/>
      <c r="V25" s="94"/>
      <c r="W25" s="94"/>
      <c r="X25" s="94"/>
      <c r="Y25" s="94"/>
      <c r="Z25" s="94"/>
      <c r="AA25" s="94"/>
      <c r="AB25" s="94"/>
      <c r="AC25" s="94"/>
      <c r="AD25" s="94"/>
      <c r="AE25" s="94"/>
    </row>
    <row r="26">
      <c r="A26" s="87"/>
      <c r="B26" s="37"/>
      <c r="C26" s="38"/>
      <c r="D26" s="156" t="s">
        <v>541</v>
      </c>
      <c r="E26" s="89"/>
      <c r="F26" s="72"/>
      <c r="G26" s="116">
        <v>0.0</v>
      </c>
      <c r="H26" s="111"/>
      <c r="I26" s="152"/>
      <c r="J26" s="153"/>
      <c r="K26" s="154"/>
      <c r="L26" s="154"/>
      <c r="M26" s="93"/>
      <c r="N26" s="94"/>
      <c r="O26" s="94"/>
      <c r="P26" s="94"/>
      <c r="Q26" s="94"/>
      <c r="R26" s="94"/>
      <c r="S26" s="94"/>
      <c r="T26" s="94"/>
      <c r="U26" s="94"/>
      <c r="V26" s="94"/>
      <c r="W26" s="94"/>
      <c r="X26" s="94"/>
      <c r="Y26" s="94"/>
      <c r="Z26" s="94"/>
      <c r="AA26" s="94"/>
      <c r="AB26" s="94"/>
      <c r="AC26" s="94"/>
      <c r="AD26" s="94"/>
      <c r="AE26" s="94"/>
    </row>
    <row r="27">
      <c r="A27" s="87"/>
      <c r="B27" s="37"/>
      <c r="C27" s="38"/>
      <c r="D27" s="156" t="s">
        <v>545</v>
      </c>
      <c r="E27" s="89"/>
      <c r="F27" s="72"/>
      <c r="G27" s="111">
        <v>0.0</v>
      </c>
      <c r="H27" s="111"/>
      <c r="I27" s="152"/>
      <c r="J27" s="153"/>
      <c r="K27" s="154"/>
      <c r="L27" s="154"/>
      <c r="M27" s="93"/>
      <c r="N27" s="94"/>
      <c r="O27" s="94"/>
      <c r="P27" s="94"/>
      <c r="Q27" s="94"/>
      <c r="R27" s="94"/>
      <c r="S27" s="94"/>
      <c r="T27" s="94"/>
      <c r="U27" s="94"/>
      <c r="V27" s="94"/>
      <c r="W27" s="94"/>
      <c r="X27" s="94"/>
      <c r="Y27" s="94"/>
      <c r="Z27" s="94"/>
      <c r="AA27" s="94"/>
      <c r="AB27" s="94"/>
      <c r="AC27" s="94"/>
      <c r="AD27" s="94"/>
      <c r="AE27" s="94"/>
    </row>
    <row r="28">
      <c r="A28" s="87"/>
      <c r="B28" s="37"/>
      <c r="C28" s="38"/>
      <c r="D28" s="156" t="s">
        <v>546</v>
      </c>
      <c r="E28" s="89"/>
      <c r="F28" s="72"/>
      <c r="G28" s="111">
        <v>0.0</v>
      </c>
      <c r="H28" s="111"/>
      <c r="I28" s="152"/>
      <c r="J28" s="153"/>
      <c r="K28" s="154"/>
      <c r="L28" s="154"/>
      <c r="M28" s="93"/>
      <c r="N28" s="94"/>
      <c r="O28" s="94"/>
      <c r="P28" s="94"/>
      <c r="Q28" s="94"/>
      <c r="R28" s="94"/>
      <c r="S28" s="94"/>
      <c r="T28" s="94"/>
      <c r="U28" s="94"/>
      <c r="V28" s="94"/>
      <c r="W28" s="94"/>
      <c r="X28" s="94"/>
      <c r="Y28" s="94"/>
      <c r="Z28" s="94"/>
      <c r="AA28" s="94"/>
      <c r="AB28" s="94"/>
      <c r="AC28" s="94"/>
      <c r="AD28" s="94"/>
      <c r="AE28" s="94"/>
    </row>
    <row r="29">
      <c r="A29" s="87"/>
      <c r="B29" s="37"/>
      <c r="C29" s="38"/>
      <c r="D29" s="156" t="s">
        <v>547</v>
      </c>
      <c r="E29" s="89"/>
      <c r="F29" s="72"/>
      <c r="G29" s="111">
        <v>0.0</v>
      </c>
      <c r="H29" s="111"/>
      <c r="I29" s="152"/>
      <c r="J29" s="153"/>
      <c r="K29" s="154"/>
      <c r="L29" s="154"/>
      <c r="M29" s="93"/>
      <c r="N29" s="94"/>
      <c r="O29" s="94"/>
      <c r="P29" s="94"/>
      <c r="Q29" s="94"/>
      <c r="R29" s="94"/>
      <c r="S29" s="94"/>
      <c r="T29" s="94"/>
      <c r="U29" s="94"/>
      <c r="V29" s="94"/>
      <c r="W29" s="94"/>
      <c r="X29" s="94"/>
      <c r="Y29" s="94"/>
      <c r="Z29" s="94"/>
      <c r="AA29" s="94"/>
      <c r="AB29" s="94"/>
      <c r="AC29" s="94"/>
      <c r="AD29" s="94"/>
      <c r="AE29" s="94"/>
    </row>
    <row r="30">
      <c r="A30" s="87"/>
      <c r="B30" s="37"/>
      <c r="C30" s="38"/>
      <c r="D30" s="156" t="s">
        <v>548</v>
      </c>
      <c r="E30" s="89"/>
      <c r="F30" s="72"/>
      <c r="G30" s="111">
        <v>0.0</v>
      </c>
      <c r="H30" s="111"/>
      <c r="I30" s="152"/>
      <c r="J30" s="153"/>
      <c r="K30" s="154"/>
      <c r="L30" s="154"/>
      <c r="M30" s="93"/>
      <c r="N30" s="94"/>
      <c r="O30" s="94"/>
      <c r="P30" s="94"/>
      <c r="Q30" s="94"/>
      <c r="R30" s="94"/>
      <c r="S30" s="94"/>
      <c r="T30" s="94"/>
      <c r="U30" s="94"/>
      <c r="V30" s="94"/>
      <c r="W30" s="94"/>
      <c r="X30" s="94"/>
      <c r="Y30" s="94"/>
      <c r="Z30" s="94"/>
      <c r="AA30" s="94"/>
      <c r="AB30" s="94"/>
      <c r="AC30" s="94"/>
      <c r="AD30" s="94"/>
      <c r="AE30" s="94"/>
    </row>
    <row r="31">
      <c r="A31" s="87"/>
      <c r="B31" s="37"/>
      <c r="C31" s="38"/>
      <c r="D31" s="156" t="s">
        <v>551</v>
      </c>
      <c r="E31" s="89"/>
      <c r="F31" s="72"/>
      <c r="G31" s="111">
        <v>0.0</v>
      </c>
      <c r="H31" s="111"/>
      <c r="I31" s="152"/>
      <c r="J31" s="153"/>
      <c r="K31" s="154"/>
      <c r="L31" s="154"/>
      <c r="M31" s="93"/>
      <c r="N31" s="94"/>
      <c r="O31" s="94"/>
      <c r="P31" s="94"/>
      <c r="Q31" s="94"/>
      <c r="R31" s="94"/>
      <c r="S31" s="94"/>
      <c r="T31" s="94"/>
      <c r="U31" s="94"/>
      <c r="V31" s="94"/>
      <c r="W31" s="94"/>
      <c r="X31" s="94"/>
      <c r="Y31" s="94"/>
      <c r="Z31" s="94"/>
      <c r="AA31" s="94"/>
      <c r="AB31" s="94"/>
      <c r="AC31" s="94"/>
      <c r="AD31" s="94"/>
      <c r="AE31" s="94"/>
    </row>
    <row r="32">
      <c r="A32" s="87"/>
      <c r="B32" s="37"/>
      <c r="C32" s="38"/>
      <c r="D32" s="156" t="s">
        <v>171</v>
      </c>
      <c r="E32" s="89">
        <v>46198.0</v>
      </c>
      <c r="F32" s="72">
        <v>1250.5137864049648</v>
      </c>
      <c r="G32" s="116">
        <v>3372635.68193419</v>
      </c>
      <c r="H32" s="111">
        <v>2697.0</v>
      </c>
      <c r="I32" s="152">
        <v>1348.0</v>
      </c>
      <c r="J32" s="153">
        <v>899.0</v>
      </c>
      <c r="K32" s="154">
        <v>1078.0</v>
      </c>
      <c r="L32" s="154">
        <v>539.0</v>
      </c>
      <c r="M32" s="93"/>
      <c r="N32" s="94">
        <v>2697.0</v>
      </c>
      <c r="O32" s="94"/>
      <c r="P32" s="94"/>
      <c r="Q32" s="94"/>
      <c r="R32" s="94"/>
      <c r="S32" s="94"/>
      <c r="T32" s="94"/>
      <c r="U32" s="94"/>
      <c r="V32" s="94"/>
      <c r="W32" s="94"/>
      <c r="X32" s="94"/>
      <c r="Y32" s="94"/>
      <c r="Z32" s="94"/>
      <c r="AA32" s="94"/>
      <c r="AB32" s="94"/>
      <c r="AC32" s="94"/>
      <c r="AD32" s="94"/>
      <c r="AE32" s="94"/>
    </row>
    <row r="33">
      <c r="A33" s="87"/>
      <c r="B33" s="37"/>
      <c r="C33" s="38"/>
      <c r="D33" s="156" t="s">
        <v>304</v>
      </c>
      <c r="E33" s="89">
        <v>46063.0</v>
      </c>
      <c r="F33" s="72">
        <v>23076.0</v>
      </c>
      <c r="G33" s="111">
        <v>0.0</v>
      </c>
      <c r="H33" s="111"/>
      <c r="I33" s="152"/>
      <c r="J33" s="153"/>
      <c r="K33" s="154"/>
      <c r="L33" s="154"/>
      <c r="M33" s="93"/>
      <c r="N33" s="94"/>
      <c r="O33" s="94"/>
      <c r="P33" s="94"/>
      <c r="Q33" s="94"/>
      <c r="R33" s="94"/>
      <c r="S33" s="94"/>
      <c r="T33" s="94"/>
      <c r="U33" s="94"/>
      <c r="V33" s="94"/>
      <c r="W33" s="94"/>
      <c r="X33" s="94"/>
      <c r="Y33" s="94"/>
      <c r="Z33" s="94"/>
      <c r="AA33" s="94"/>
      <c r="AB33" s="94"/>
      <c r="AC33" s="94"/>
      <c r="AD33" s="94"/>
      <c r="AE33" s="94"/>
    </row>
    <row r="34">
      <c r="A34" s="87"/>
      <c r="B34" s="37"/>
      <c r="C34" s="38"/>
      <c r="D34" s="156" t="s">
        <v>239</v>
      </c>
      <c r="E34" s="89">
        <v>46192.0</v>
      </c>
      <c r="F34" s="72">
        <v>24820.0</v>
      </c>
      <c r="G34" s="111">
        <v>0.0</v>
      </c>
      <c r="H34" s="111"/>
      <c r="I34" s="152"/>
      <c r="J34" s="153"/>
      <c r="K34" s="154"/>
      <c r="L34" s="154"/>
      <c r="M34" s="93"/>
      <c r="N34" s="94"/>
      <c r="O34" s="94"/>
      <c r="P34" s="94"/>
      <c r="Q34" s="94"/>
      <c r="R34" s="94"/>
      <c r="S34" s="94"/>
      <c r="T34" s="94"/>
      <c r="U34" s="94"/>
      <c r="V34" s="94"/>
      <c r="W34" s="94"/>
      <c r="X34" s="94"/>
      <c r="Y34" s="94"/>
      <c r="Z34" s="94"/>
      <c r="AA34" s="94"/>
      <c r="AB34" s="94"/>
      <c r="AC34" s="94"/>
      <c r="AD34" s="94"/>
      <c r="AE34" s="94"/>
    </row>
    <row r="35">
      <c r="A35" s="87"/>
      <c r="B35" s="37"/>
      <c r="C35" s="38"/>
      <c r="D35" s="156" t="s">
        <v>251</v>
      </c>
      <c r="E35" s="89">
        <v>46077.0</v>
      </c>
      <c r="F35" s="72">
        <v>12783.5</v>
      </c>
      <c r="G35" s="111">
        <v>485773.0</v>
      </c>
      <c r="H35" s="111">
        <v>38.0</v>
      </c>
      <c r="I35" s="152">
        <v>19.0</v>
      </c>
      <c r="J35" s="153">
        <v>12.0</v>
      </c>
      <c r="K35" s="154">
        <v>15.0</v>
      </c>
      <c r="L35" s="154">
        <v>7.0</v>
      </c>
      <c r="M35" s="93"/>
      <c r="N35" s="94">
        <v>38.0</v>
      </c>
      <c r="O35" s="94"/>
      <c r="P35" s="94"/>
      <c r="Q35" s="94"/>
      <c r="R35" s="94"/>
      <c r="S35" s="94"/>
      <c r="T35" s="94"/>
      <c r="U35" s="94"/>
      <c r="V35" s="94"/>
      <c r="W35" s="94"/>
      <c r="X35" s="94"/>
      <c r="Y35" s="94"/>
      <c r="Z35" s="94"/>
      <c r="AA35" s="94"/>
      <c r="AB35" s="94"/>
      <c r="AC35" s="94"/>
      <c r="AD35" s="94"/>
      <c r="AE35" s="94"/>
    </row>
    <row r="36">
      <c r="A36" s="87"/>
      <c r="B36" s="37"/>
      <c r="C36" s="38"/>
      <c r="D36" s="156" t="s">
        <v>561</v>
      </c>
      <c r="E36" s="89"/>
      <c r="F36" s="72"/>
      <c r="G36" s="116">
        <v>0.0</v>
      </c>
      <c r="H36" s="111"/>
      <c r="I36" s="152"/>
      <c r="J36" s="153"/>
      <c r="K36" s="154"/>
      <c r="L36" s="154"/>
      <c r="M36" s="93"/>
      <c r="N36" s="94"/>
      <c r="O36" s="94"/>
      <c r="P36" s="94"/>
      <c r="Q36" s="94"/>
      <c r="R36" s="94"/>
      <c r="S36" s="94"/>
      <c r="T36" s="94"/>
      <c r="U36" s="94"/>
      <c r="V36" s="94"/>
      <c r="W36" s="94"/>
      <c r="X36" s="94"/>
      <c r="Y36" s="94"/>
      <c r="Z36" s="94"/>
      <c r="AA36" s="94"/>
      <c r="AB36" s="94"/>
      <c r="AC36" s="94"/>
      <c r="AD36" s="94"/>
      <c r="AE36" s="94"/>
    </row>
    <row r="37">
      <c r="A37" s="87"/>
      <c r="B37" s="37"/>
      <c r="C37" s="38"/>
      <c r="D37" s="156" t="s">
        <v>299</v>
      </c>
      <c r="E37" s="89">
        <v>46196.0</v>
      </c>
      <c r="F37" s="72">
        <v>4973.93</v>
      </c>
      <c r="G37" s="111">
        <v>0.0</v>
      </c>
      <c r="H37" s="111"/>
      <c r="I37" s="152"/>
      <c r="J37" s="153"/>
      <c r="K37" s="154"/>
      <c r="L37" s="154"/>
      <c r="M37" s="93"/>
      <c r="N37" s="94"/>
      <c r="O37" s="94"/>
      <c r="P37" s="94"/>
      <c r="Q37" s="94"/>
      <c r="R37" s="94"/>
      <c r="S37" s="94"/>
      <c r="T37" s="94"/>
      <c r="U37" s="94"/>
      <c r="V37" s="94"/>
      <c r="W37" s="94"/>
      <c r="X37" s="94"/>
      <c r="Y37" s="94"/>
      <c r="Z37" s="94"/>
      <c r="AA37" s="94"/>
      <c r="AB37" s="94"/>
      <c r="AC37" s="94"/>
      <c r="AD37" s="94"/>
      <c r="AE37" s="94"/>
    </row>
    <row r="38">
      <c r="A38" s="87"/>
      <c r="B38" s="37"/>
      <c r="C38" s="38"/>
      <c r="D38" s="156" t="s">
        <v>207</v>
      </c>
      <c r="E38" s="89">
        <v>46198.0</v>
      </c>
      <c r="F38" s="72">
        <v>8461.03</v>
      </c>
      <c r="G38" s="111">
        <v>126915.45000000001</v>
      </c>
      <c r="H38" s="111">
        <v>15.0</v>
      </c>
      <c r="I38" s="152">
        <v>7.0</v>
      </c>
      <c r="J38" s="153">
        <v>5.0</v>
      </c>
      <c r="K38" s="154">
        <v>6.0</v>
      </c>
      <c r="L38" s="154">
        <v>3.0</v>
      </c>
      <c r="M38" s="93"/>
      <c r="N38" s="94">
        <v>15.0</v>
      </c>
      <c r="O38" s="94"/>
      <c r="P38" s="94"/>
      <c r="Q38" s="94"/>
      <c r="R38" s="94"/>
      <c r="S38" s="94"/>
      <c r="T38" s="94"/>
      <c r="U38" s="94"/>
      <c r="V38" s="94"/>
      <c r="W38" s="94"/>
      <c r="X38" s="94"/>
      <c r="Y38" s="94"/>
      <c r="Z38" s="94"/>
      <c r="AA38" s="94"/>
      <c r="AB38" s="94"/>
      <c r="AC38" s="94"/>
      <c r="AD38" s="94"/>
      <c r="AE38" s="94"/>
    </row>
    <row r="39">
      <c r="A39" s="87"/>
      <c r="B39" s="37"/>
      <c r="C39" s="38"/>
      <c r="D39" s="156" t="s">
        <v>201</v>
      </c>
      <c r="E39" s="89">
        <v>46144.0</v>
      </c>
      <c r="F39" s="72">
        <v>8384.98</v>
      </c>
      <c r="G39" s="111">
        <v>0.0</v>
      </c>
      <c r="H39" s="111"/>
      <c r="I39" s="152"/>
      <c r="J39" s="153"/>
      <c r="K39" s="154"/>
      <c r="L39" s="154"/>
      <c r="M39" s="93"/>
      <c r="N39" s="94"/>
      <c r="O39" s="94"/>
      <c r="P39" s="94"/>
      <c r="Q39" s="94"/>
      <c r="R39" s="94"/>
      <c r="S39" s="94"/>
      <c r="T39" s="94"/>
      <c r="U39" s="94"/>
      <c r="V39" s="94"/>
      <c r="W39" s="94"/>
      <c r="X39" s="94"/>
      <c r="Y39" s="94"/>
      <c r="Z39" s="94"/>
      <c r="AA39" s="94"/>
      <c r="AB39" s="94"/>
      <c r="AC39" s="94"/>
      <c r="AD39" s="94"/>
      <c r="AE39" s="94"/>
    </row>
    <row r="40">
      <c r="A40" s="87"/>
      <c r="B40" s="37"/>
      <c r="C40" s="38"/>
      <c r="D40" s="156" t="s">
        <v>174</v>
      </c>
      <c r="E40" s="89">
        <v>46197.0</v>
      </c>
      <c r="F40" s="72">
        <v>7240.287112137395</v>
      </c>
      <c r="G40" s="116">
        <v>202728.03913984704</v>
      </c>
      <c r="H40" s="111">
        <v>28.0</v>
      </c>
      <c r="I40" s="152">
        <v>14.0</v>
      </c>
      <c r="J40" s="153">
        <v>9.0</v>
      </c>
      <c r="K40" s="154">
        <v>11.0</v>
      </c>
      <c r="L40" s="154">
        <v>5.0</v>
      </c>
      <c r="M40" s="93"/>
      <c r="N40" s="94">
        <v>28.0</v>
      </c>
      <c r="O40" s="94"/>
      <c r="P40" s="94"/>
      <c r="Q40" s="94"/>
      <c r="R40" s="94"/>
      <c r="S40" s="94"/>
      <c r="T40" s="94"/>
      <c r="U40" s="94"/>
      <c r="V40" s="94"/>
      <c r="W40" s="94"/>
      <c r="X40" s="94"/>
      <c r="Y40" s="94"/>
      <c r="Z40" s="94"/>
      <c r="AA40" s="94"/>
      <c r="AB40" s="94"/>
      <c r="AC40" s="94"/>
      <c r="AD40" s="94"/>
      <c r="AE40" s="94"/>
    </row>
    <row r="41">
      <c r="A41" s="87"/>
      <c r="B41" s="37"/>
      <c r="C41" s="38"/>
      <c r="D41" s="156" t="s">
        <v>393</v>
      </c>
      <c r="E41" s="89">
        <v>46185.0</v>
      </c>
      <c r="F41" s="72">
        <v>78.56140654205608</v>
      </c>
      <c r="G41" s="116">
        <v>154765.97088785048</v>
      </c>
      <c r="H41" s="111">
        <v>1970.0</v>
      </c>
      <c r="I41" s="152">
        <v>985.0</v>
      </c>
      <c r="J41" s="153">
        <v>656.0</v>
      </c>
      <c r="K41" s="154">
        <v>788.0</v>
      </c>
      <c r="L41" s="154">
        <v>394.0</v>
      </c>
      <c r="M41" s="93"/>
      <c r="N41" s="94">
        <v>1970.0</v>
      </c>
      <c r="O41" s="94"/>
      <c r="P41" s="94"/>
      <c r="Q41" s="94"/>
      <c r="R41" s="94"/>
      <c r="S41" s="94"/>
      <c r="T41" s="94"/>
      <c r="U41" s="94"/>
      <c r="V41" s="94"/>
      <c r="W41" s="94"/>
      <c r="X41" s="94"/>
      <c r="Y41" s="94"/>
      <c r="Z41" s="94"/>
      <c r="AA41" s="94"/>
      <c r="AB41" s="94"/>
      <c r="AC41" s="94"/>
      <c r="AD41" s="94"/>
      <c r="AE41" s="94"/>
    </row>
    <row r="42">
      <c r="A42" s="87"/>
      <c r="B42" s="37"/>
      <c r="C42" s="38"/>
      <c r="D42" s="156" t="s">
        <v>563</v>
      </c>
      <c r="E42" s="89"/>
      <c r="F42" s="72"/>
      <c r="G42" s="111">
        <v>0.0</v>
      </c>
      <c r="H42" s="111"/>
      <c r="I42" s="152"/>
      <c r="J42" s="153"/>
      <c r="K42" s="154"/>
      <c r="L42" s="154"/>
      <c r="M42" s="93"/>
      <c r="N42" s="94"/>
      <c r="O42" s="94"/>
      <c r="P42" s="94"/>
      <c r="Q42" s="94"/>
      <c r="R42" s="94"/>
      <c r="S42" s="94"/>
      <c r="T42" s="94"/>
      <c r="U42" s="94"/>
      <c r="V42" s="94"/>
      <c r="W42" s="94"/>
      <c r="X42" s="94"/>
      <c r="Y42" s="94"/>
      <c r="Z42" s="94"/>
      <c r="AA42" s="94"/>
      <c r="AB42" s="94"/>
      <c r="AC42" s="94"/>
      <c r="AD42" s="94"/>
      <c r="AE42" s="94"/>
    </row>
    <row r="43">
      <c r="A43" s="87"/>
      <c r="B43" s="37"/>
      <c r="C43" s="38"/>
      <c r="D43" s="156" t="s">
        <v>565</v>
      </c>
      <c r="E43" s="89"/>
      <c r="F43" s="72"/>
      <c r="G43" s="116">
        <v>0.0</v>
      </c>
      <c r="H43" s="111"/>
      <c r="I43" s="152"/>
      <c r="J43" s="153"/>
      <c r="K43" s="154"/>
      <c r="L43" s="154"/>
      <c r="M43" s="93"/>
      <c r="N43" s="94"/>
      <c r="O43" s="94"/>
      <c r="P43" s="94"/>
      <c r="Q43" s="94"/>
      <c r="R43" s="94"/>
      <c r="S43" s="94"/>
      <c r="T43" s="94"/>
      <c r="U43" s="94"/>
      <c r="V43" s="94"/>
      <c r="W43" s="94"/>
      <c r="X43" s="94"/>
      <c r="Y43" s="94"/>
      <c r="Z43" s="94"/>
      <c r="AA43" s="94"/>
      <c r="AB43" s="94"/>
      <c r="AC43" s="94"/>
      <c r="AD43" s="94"/>
      <c r="AE43" s="94"/>
    </row>
    <row r="44">
      <c r="A44" s="87"/>
      <c r="B44" s="37"/>
      <c r="C44" s="38"/>
      <c r="D44" s="156" t="s">
        <v>108</v>
      </c>
      <c r="E44" s="89">
        <v>46198.0</v>
      </c>
      <c r="F44" s="72">
        <v>5806.326923076924</v>
      </c>
      <c r="G44" s="111">
        <v>168383.48076923078</v>
      </c>
      <c r="H44" s="111">
        <v>29.0</v>
      </c>
      <c r="I44" s="152">
        <v>14.0</v>
      </c>
      <c r="J44" s="153">
        <v>9.0</v>
      </c>
      <c r="K44" s="154">
        <v>11.0</v>
      </c>
      <c r="L44" s="154">
        <v>5.0</v>
      </c>
      <c r="M44" s="93"/>
      <c r="N44" s="94">
        <v>29.0</v>
      </c>
      <c r="O44" s="94"/>
      <c r="P44" s="94"/>
      <c r="Q44" s="94"/>
      <c r="R44" s="94"/>
      <c r="S44" s="94"/>
      <c r="T44" s="94"/>
      <c r="U44" s="94"/>
      <c r="V44" s="94"/>
      <c r="W44" s="94"/>
      <c r="X44" s="94"/>
      <c r="Y44" s="94"/>
      <c r="Z44" s="94"/>
      <c r="AA44" s="94"/>
      <c r="AB44" s="94"/>
      <c r="AC44" s="94"/>
      <c r="AD44" s="94"/>
      <c r="AE44" s="94"/>
    </row>
    <row r="45">
      <c r="A45" s="87"/>
      <c r="B45" s="37"/>
      <c r="C45" s="38"/>
      <c r="D45" s="156" t="s">
        <v>566</v>
      </c>
      <c r="E45" s="89"/>
      <c r="F45" s="72"/>
      <c r="G45" s="116">
        <v>0.0</v>
      </c>
      <c r="H45" s="111"/>
      <c r="I45" s="152"/>
      <c r="J45" s="153"/>
      <c r="K45" s="154"/>
      <c r="L45" s="154"/>
      <c r="M45" s="93"/>
      <c r="N45" s="94"/>
      <c r="O45" s="94"/>
      <c r="P45" s="94"/>
      <c r="Q45" s="94"/>
      <c r="R45" s="94"/>
      <c r="S45" s="94"/>
      <c r="T45" s="94"/>
      <c r="U45" s="94"/>
      <c r="V45" s="94"/>
      <c r="W45" s="94"/>
      <c r="X45" s="94"/>
      <c r="Y45" s="94"/>
      <c r="Z45" s="94"/>
      <c r="AA45" s="94"/>
      <c r="AB45" s="94"/>
      <c r="AC45" s="94"/>
      <c r="AD45" s="94"/>
      <c r="AE45" s="94"/>
    </row>
    <row r="46">
      <c r="A46" s="87"/>
      <c r="B46" s="37"/>
      <c r="C46" s="38"/>
      <c r="D46" s="156" t="s">
        <v>576</v>
      </c>
      <c r="E46" s="89"/>
      <c r="F46" s="72"/>
      <c r="G46" s="116">
        <v>0.0</v>
      </c>
      <c r="H46" s="111"/>
      <c r="I46" s="152"/>
      <c r="J46" s="153"/>
      <c r="K46" s="154"/>
      <c r="L46" s="154"/>
      <c r="M46" s="93"/>
      <c r="N46" s="94"/>
      <c r="O46" s="94"/>
      <c r="P46" s="94"/>
      <c r="Q46" s="94"/>
      <c r="R46" s="94"/>
      <c r="S46" s="94"/>
      <c r="T46" s="94"/>
      <c r="U46" s="94"/>
      <c r="V46" s="94"/>
      <c r="W46" s="94"/>
      <c r="X46" s="94"/>
      <c r="Y46" s="94"/>
      <c r="Z46" s="94"/>
      <c r="AA46" s="94"/>
      <c r="AB46" s="94"/>
      <c r="AC46" s="94"/>
      <c r="AD46" s="94"/>
      <c r="AE46" s="94"/>
    </row>
    <row r="47">
      <c r="A47" s="87"/>
      <c r="B47" s="37"/>
      <c r="C47" s="38"/>
      <c r="D47" s="156" t="s">
        <v>319</v>
      </c>
      <c r="E47" s="89">
        <v>46195.0</v>
      </c>
      <c r="F47" s="72">
        <v>1425.7829273765321</v>
      </c>
      <c r="G47" s="111">
        <v>4030688.335693456</v>
      </c>
      <c r="H47" s="111">
        <v>2827.0</v>
      </c>
      <c r="I47" s="152">
        <v>1413.0</v>
      </c>
      <c r="J47" s="153">
        <v>942.0</v>
      </c>
      <c r="K47" s="154">
        <v>1130.0</v>
      </c>
      <c r="L47" s="154">
        <v>565.0</v>
      </c>
      <c r="M47" s="93"/>
      <c r="N47" s="94">
        <v>2827.0</v>
      </c>
      <c r="O47" s="94"/>
      <c r="P47" s="94"/>
      <c r="Q47" s="94"/>
      <c r="R47" s="94"/>
      <c r="S47" s="94"/>
      <c r="T47" s="94"/>
      <c r="U47" s="94"/>
      <c r="V47" s="94"/>
      <c r="W47" s="94"/>
      <c r="X47" s="94"/>
      <c r="Y47" s="94"/>
      <c r="Z47" s="94"/>
      <c r="AA47" s="94"/>
      <c r="AB47" s="94"/>
      <c r="AC47" s="94"/>
      <c r="AD47" s="94"/>
      <c r="AE47" s="94"/>
    </row>
    <row r="48">
      <c r="A48" s="87"/>
      <c r="B48" s="37"/>
      <c r="C48" s="38"/>
      <c r="D48" s="156" t="s">
        <v>225</v>
      </c>
      <c r="E48" s="89">
        <v>46185.0</v>
      </c>
      <c r="F48" s="72">
        <v>768.2427568969982</v>
      </c>
      <c r="G48" s="111">
        <v>768.2427568969982</v>
      </c>
      <c r="H48" s="111">
        <v>1.0</v>
      </c>
      <c r="I48" s="152">
        <v>0.0</v>
      </c>
      <c r="J48" s="153">
        <v>0.0</v>
      </c>
      <c r="K48" s="154">
        <v>0.0</v>
      </c>
      <c r="L48" s="154">
        <v>0.0</v>
      </c>
      <c r="M48" s="93"/>
      <c r="N48" s="94">
        <v>1.0</v>
      </c>
      <c r="O48" s="94"/>
      <c r="P48" s="94"/>
      <c r="Q48" s="94"/>
      <c r="R48" s="94"/>
      <c r="S48" s="94"/>
      <c r="T48" s="94"/>
      <c r="U48" s="94"/>
      <c r="V48" s="94"/>
      <c r="W48" s="94"/>
      <c r="X48" s="94"/>
      <c r="Y48" s="94"/>
      <c r="Z48" s="94"/>
      <c r="AA48" s="94"/>
      <c r="AB48" s="94"/>
      <c r="AC48" s="94"/>
      <c r="AD48" s="94"/>
      <c r="AE48" s="94"/>
    </row>
    <row r="49">
      <c r="A49" s="87"/>
      <c r="B49" s="37"/>
      <c r="C49" s="38"/>
      <c r="D49" s="156" t="s">
        <v>598</v>
      </c>
      <c r="E49" s="89"/>
      <c r="F49" s="72"/>
      <c r="G49" s="111">
        <v>0.0</v>
      </c>
      <c r="H49" s="111"/>
      <c r="I49" s="152"/>
      <c r="J49" s="153"/>
      <c r="K49" s="154"/>
      <c r="L49" s="154"/>
      <c r="M49" s="93"/>
      <c r="N49" s="94"/>
      <c r="O49" s="94"/>
      <c r="P49" s="94"/>
      <c r="Q49" s="94"/>
      <c r="R49" s="94"/>
      <c r="S49" s="94"/>
      <c r="T49" s="94"/>
      <c r="U49" s="94"/>
      <c r="V49" s="94"/>
      <c r="W49" s="94"/>
      <c r="X49" s="94"/>
      <c r="Y49" s="94"/>
      <c r="Z49" s="94"/>
      <c r="AA49" s="94"/>
      <c r="AB49" s="94"/>
      <c r="AC49" s="94"/>
      <c r="AD49" s="94"/>
      <c r="AE49" s="94"/>
    </row>
    <row r="50">
      <c r="A50" s="87"/>
      <c r="B50" s="37"/>
      <c r="C50" s="38"/>
      <c r="D50" s="156" t="s">
        <v>183</v>
      </c>
      <c r="E50" s="89">
        <v>46197.0</v>
      </c>
      <c r="F50" s="72">
        <v>27318.459999999995</v>
      </c>
      <c r="G50" s="111">
        <v>4125087.4599999995</v>
      </c>
      <c r="H50" s="111">
        <v>151.0</v>
      </c>
      <c r="I50" s="152">
        <v>75.0</v>
      </c>
      <c r="J50" s="153">
        <v>50.0</v>
      </c>
      <c r="K50" s="154">
        <v>60.0</v>
      </c>
      <c r="L50" s="154">
        <v>30.0</v>
      </c>
      <c r="M50" s="93"/>
      <c r="N50" s="94">
        <v>151.0</v>
      </c>
      <c r="O50" s="94"/>
      <c r="P50" s="94"/>
      <c r="Q50" s="94"/>
      <c r="R50" s="94"/>
      <c r="S50" s="94"/>
      <c r="T50" s="94"/>
      <c r="U50" s="94"/>
      <c r="V50" s="94"/>
      <c r="W50" s="94"/>
      <c r="X50" s="94"/>
      <c r="Y50" s="94"/>
      <c r="Z50" s="94"/>
      <c r="AA50" s="94"/>
      <c r="AB50" s="94"/>
      <c r="AC50" s="94"/>
      <c r="AD50" s="94"/>
      <c r="AE50" s="94"/>
    </row>
    <row r="51">
      <c r="A51" s="87"/>
      <c r="B51" s="37"/>
      <c r="C51" s="38"/>
      <c r="D51" s="156" t="s">
        <v>228</v>
      </c>
      <c r="E51" s="89">
        <v>46195.0</v>
      </c>
      <c r="F51" s="72">
        <v>684.887</v>
      </c>
      <c r="G51" s="111">
        <v>4794.209</v>
      </c>
      <c r="H51" s="111">
        <v>7.0</v>
      </c>
      <c r="I51" s="152">
        <v>3.0</v>
      </c>
      <c r="J51" s="153">
        <v>2.0</v>
      </c>
      <c r="K51" s="154">
        <v>2.0</v>
      </c>
      <c r="L51" s="154">
        <v>1.0</v>
      </c>
      <c r="M51" s="93"/>
      <c r="N51" s="94">
        <v>7.0</v>
      </c>
      <c r="O51" s="94"/>
      <c r="P51" s="94"/>
      <c r="Q51" s="94"/>
      <c r="R51" s="94"/>
      <c r="S51" s="94"/>
      <c r="T51" s="94"/>
      <c r="U51" s="94"/>
      <c r="V51" s="94"/>
      <c r="W51" s="94"/>
      <c r="X51" s="94"/>
      <c r="Y51" s="94"/>
      <c r="Z51" s="94"/>
      <c r="AA51" s="94"/>
      <c r="AB51" s="94"/>
      <c r="AC51" s="94"/>
      <c r="AD51" s="94"/>
      <c r="AE51" s="94"/>
    </row>
    <row r="52">
      <c r="A52" s="87"/>
      <c r="B52" s="37"/>
      <c r="C52" s="38"/>
      <c r="D52" s="156" t="s">
        <v>231</v>
      </c>
      <c r="E52" s="89">
        <v>46198.0</v>
      </c>
      <c r="F52" s="72">
        <v>779.54</v>
      </c>
      <c r="G52" s="111">
        <v>6587113.0</v>
      </c>
      <c r="H52" s="111">
        <v>8450.0</v>
      </c>
      <c r="I52" s="152">
        <v>4225.0</v>
      </c>
      <c r="J52" s="153">
        <v>2816.0</v>
      </c>
      <c r="K52" s="154">
        <v>3380.0</v>
      </c>
      <c r="L52" s="154">
        <v>1690.0</v>
      </c>
      <c r="M52" s="93"/>
      <c r="N52" s="94">
        <v>8450.0</v>
      </c>
      <c r="O52" s="94"/>
      <c r="P52" s="94"/>
      <c r="Q52" s="94"/>
      <c r="R52" s="94"/>
      <c r="S52" s="94"/>
      <c r="T52" s="94"/>
      <c r="U52" s="94"/>
      <c r="V52" s="94"/>
      <c r="W52" s="94"/>
      <c r="X52" s="94"/>
      <c r="Y52" s="94"/>
      <c r="Z52" s="94"/>
      <c r="AA52" s="94"/>
      <c r="AB52" s="94"/>
      <c r="AC52" s="94"/>
      <c r="AD52" s="94"/>
      <c r="AE52" s="94"/>
    </row>
    <row r="53">
      <c r="A53" s="87"/>
      <c r="B53" s="37"/>
      <c r="C53" s="38"/>
      <c r="D53" s="156" t="s">
        <v>290</v>
      </c>
      <c r="E53" s="89">
        <v>46195.0</v>
      </c>
      <c r="F53" s="72">
        <v>747.9090909090909</v>
      </c>
      <c r="G53" s="111">
        <v>3343153.6363636362</v>
      </c>
      <c r="H53" s="111">
        <v>4470.0</v>
      </c>
      <c r="I53" s="152">
        <v>2235.0</v>
      </c>
      <c r="J53" s="153">
        <v>1490.0</v>
      </c>
      <c r="K53" s="154">
        <v>1788.0</v>
      </c>
      <c r="L53" s="154">
        <v>894.0</v>
      </c>
      <c r="M53" s="93"/>
      <c r="N53" s="94">
        <v>4470.0</v>
      </c>
      <c r="O53" s="94"/>
      <c r="P53" s="94"/>
      <c r="Q53" s="94"/>
      <c r="R53" s="94"/>
      <c r="S53" s="94"/>
      <c r="T53" s="94"/>
      <c r="U53" s="94"/>
      <c r="V53" s="94"/>
      <c r="W53" s="94"/>
      <c r="X53" s="94"/>
      <c r="Y53" s="94"/>
      <c r="Z53" s="94"/>
      <c r="AA53" s="94"/>
      <c r="AB53" s="94"/>
      <c r="AC53" s="94"/>
      <c r="AD53" s="94"/>
      <c r="AE53" s="94"/>
    </row>
    <row r="54">
      <c r="A54" s="87"/>
      <c r="B54" s="37"/>
      <c r="C54" s="38"/>
      <c r="D54" s="156" t="s">
        <v>628</v>
      </c>
      <c r="E54" s="89"/>
      <c r="F54" s="72"/>
      <c r="G54" s="111">
        <v>0.0</v>
      </c>
      <c r="H54" s="111"/>
      <c r="I54" s="152"/>
      <c r="J54" s="153"/>
      <c r="K54" s="154"/>
      <c r="L54" s="154"/>
      <c r="M54" s="93"/>
      <c r="N54" s="94"/>
      <c r="O54" s="94"/>
      <c r="P54" s="94"/>
      <c r="Q54" s="94"/>
      <c r="R54" s="94"/>
      <c r="S54" s="94"/>
      <c r="T54" s="94"/>
      <c r="U54" s="94"/>
      <c r="V54" s="94"/>
      <c r="W54" s="94"/>
      <c r="X54" s="94"/>
      <c r="Y54" s="94"/>
      <c r="Z54" s="94"/>
      <c r="AA54" s="94"/>
      <c r="AB54" s="94"/>
      <c r="AC54" s="94"/>
      <c r="AD54" s="94"/>
      <c r="AE54" s="94"/>
    </row>
    <row r="55">
      <c r="A55" s="87"/>
      <c r="B55" s="37"/>
      <c r="C55" s="38"/>
      <c r="D55" s="156" t="s">
        <v>209</v>
      </c>
      <c r="E55" s="89">
        <v>46192.0</v>
      </c>
      <c r="F55" s="72">
        <v>552.99</v>
      </c>
      <c r="G55" s="111">
        <v>1373074.17</v>
      </c>
      <c r="H55" s="111">
        <v>2483.0</v>
      </c>
      <c r="I55" s="152">
        <v>1241.0</v>
      </c>
      <c r="J55" s="153">
        <v>827.0</v>
      </c>
      <c r="K55" s="154">
        <v>993.0</v>
      </c>
      <c r="L55" s="154">
        <v>496.0</v>
      </c>
      <c r="M55" s="93"/>
      <c r="N55" s="94">
        <v>2483.0</v>
      </c>
      <c r="O55" s="94"/>
      <c r="P55" s="94"/>
      <c r="Q55" s="94"/>
      <c r="R55" s="94"/>
      <c r="S55" s="94"/>
      <c r="T55" s="94"/>
      <c r="U55" s="94"/>
      <c r="V55" s="94"/>
      <c r="W55" s="94"/>
      <c r="X55" s="94"/>
      <c r="Y55" s="94"/>
      <c r="Z55" s="94"/>
      <c r="AA55" s="94"/>
      <c r="AB55" s="94"/>
      <c r="AC55" s="94"/>
      <c r="AD55" s="94"/>
      <c r="AE55" s="94"/>
    </row>
    <row r="56">
      <c r="A56" s="87"/>
      <c r="B56" s="37"/>
      <c r="C56" s="38"/>
      <c r="D56" s="156" t="s">
        <v>76</v>
      </c>
      <c r="E56" s="89">
        <v>46195.0</v>
      </c>
      <c r="F56" s="72">
        <v>1140.72</v>
      </c>
      <c r="G56" s="111">
        <v>1140.72</v>
      </c>
      <c r="H56" s="111">
        <v>1.0</v>
      </c>
      <c r="I56" s="152">
        <v>0.0</v>
      </c>
      <c r="J56" s="153">
        <v>0.0</v>
      </c>
      <c r="K56" s="154">
        <v>0.0</v>
      </c>
      <c r="L56" s="154">
        <v>0.0</v>
      </c>
      <c r="M56" s="93"/>
      <c r="N56" s="94">
        <v>1.0</v>
      </c>
      <c r="O56" s="94"/>
      <c r="P56" s="94"/>
      <c r="Q56" s="94"/>
      <c r="R56" s="94"/>
      <c r="S56" s="94"/>
      <c r="T56" s="94"/>
      <c r="U56" s="94"/>
      <c r="V56" s="94"/>
      <c r="W56" s="94"/>
      <c r="X56" s="94"/>
      <c r="Y56" s="94"/>
      <c r="Z56" s="94"/>
      <c r="AA56" s="94"/>
      <c r="AB56" s="94"/>
      <c r="AC56" s="94"/>
      <c r="AD56" s="94"/>
      <c r="AE56" s="94"/>
    </row>
    <row r="57">
      <c r="A57" s="87"/>
      <c r="B57" s="37"/>
      <c r="C57" s="38"/>
      <c r="D57" s="156" t="s">
        <v>636</v>
      </c>
      <c r="E57" s="89"/>
      <c r="F57" s="72"/>
      <c r="G57" s="111">
        <v>0.0</v>
      </c>
      <c r="H57" s="111"/>
      <c r="I57" s="152"/>
      <c r="J57" s="153"/>
      <c r="K57" s="154"/>
      <c r="L57" s="154"/>
      <c r="M57" s="93"/>
      <c r="N57" s="94"/>
      <c r="O57" s="94"/>
      <c r="P57" s="94"/>
      <c r="Q57" s="94"/>
      <c r="R57" s="94"/>
      <c r="S57" s="94"/>
      <c r="T57" s="94"/>
      <c r="U57" s="94"/>
      <c r="V57" s="94"/>
      <c r="W57" s="94"/>
      <c r="X57" s="94"/>
      <c r="Y57" s="94"/>
      <c r="Z57" s="94"/>
      <c r="AA57" s="94"/>
      <c r="AB57" s="94"/>
      <c r="AC57" s="94"/>
      <c r="AD57" s="94"/>
      <c r="AE57" s="94"/>
    </row>
    <row r="58">
      <c r="A58" s="87"/>
      <c r="B58" s="37"/>
      <c r="C58" s="38"/>
      <c r="D58" s="156" t="s">
        <v>79</v>
      </c>
      <c r="E58" s="89">
        <v>46197.0</v>
      </c>
      <c r="F58" s="72">
        <v>1057.0</v>
      </c>
      <c r="G58" s="111">
        <v>1057.0</v>
      </c>
      <c r="H58" s="111">
        <v>1.0</v>
      </c>
      <c r="I58" s="152">
        <v>0.0</v>
      </c>
      <c r="J58" s="153">
        <v>0.0</v>
      </c>
      <c r="K58" s="154">
        <v>0.0</v>
      </c>
      <c r="L58" s="154">
        <v>0.0</v>
      </c>
      <c r="M58" s="93"/>
      <c r="N58" s="94">
        <v>1.0</v>
      </c>
      <c r="O58" s="94"/>
      <c r="P58" s="94"/>
      <c r="Q58" s="94"/>
      <c r="R58" s="94"/>
      <c r="S58" s="94"/>
      <c r="T58" s="94"/>
      <c r="U58" s="94"/>
      <c r="V58" s="94"/>
      <c r="W58" s="94"/>
      <c r="X58" s="94"/>
      <c r="Y58" s="94"/>
      <c r="Z58" s="94"/>
      <c r="AA58" s="94"/>
      <c r="AB58" s="94"/>
      <c r="AC58" s="94"/>
      <c r="AD58" s="94"/>
      <c r="AE58" s="94"/>
    </row>
    <row r="59">
      <c r="A59" s="87"/>
      <c r="B59" s="37"/>
      <c r="C59" s="38"/>
      <c r="D59" s="156" t="s">
        <v>647</v>
      </c>
      <c r="E59" s="89"/>
      <c r="F59" s="72"/>
      <c r="G59" s="111">
        <v>0.0</v>
      </c>
      <c r="H59" s="111"/>
      <c r="I59" s="152"/>
      <c r="J59" s="153"/>
      <c r="K59" s="154"/>
      <c r="L59" s="154"/>
      <c r="M59" s="93"/>
      <c r="N59" s="94"/>
      <c r="O59" s="94"/>
      <c r="P59" s="94"/>
      <c r="Q59" s="94"/>
      <c r="R59" s="94"/>
      <c r="S59" s="94"/>
      <c r="T59" s="94"/>
      <c r="U59" s="94"/>
      <c r="V59" s="94"/>
      <c r="W59" s="94"/>
      <c r="X59" s="94"/>
      <c r="Y59" s="94"/>
      <c r="Z59" s="94"/>
      <c r="AA59" s="94"/>
      <c r="AB59" s="94"/>
      <c r="AC59" s="94"/>
      <c r="AD59" s="94"/>
      <c r="AE59" s="94"/>
    </row>
    <row r="60">
      <c r="A60" s="87"/>
      <c r="B60" s="37"/>
      <c r="C60" s="38"/>
      <c r="D60" s="156" t="s">
        <v>31</v>
      </c>
      <c r="E60" s="89"/>
      <c r="F60" s="72">
        <v>1291.1</v>
      </c>
      <c r="G60" s="111">
        <v>1291.1</v>
      </c>
      <c r="H60" s="111">
        <v>1.0</v>
      </c>
      <c r="I60" s="152">
        <v>0.0</v>
      </c>
      <c r="J60" s="153">
        <v>0.0</v>
      </c>
      <c r="K60" s="154">
        <v>0.0</v>
      </c>
      <c r="L60" s="154">
        <v>0.0</v>
      </c>
      <c r="M60" s="93"/>
      <c r="N60" s="94">
        <v>1.0</v>
      </c>
      <c r="O60" s="94"/>
      <c r="P60" s="94"/>
      <c r="Q60" s="94"/>
      <c r="R60" s="94"/>
      <c r="S60" s="94"/>
      <c r="T60" s="94"/>
      <c r="U60" s="94"/>
      <c r="V60" s="94"/>
      <c r="W60" s="94"/>
      <c r="X60" s="94"/>
      <c r="Y60" s="94"/>
      <c r="Z60" s="94"/>
      <c r="AA60" s="94"/>
      <c r="AB60" s="94"/>
      <c r="AC60" s="94"/>
      <c r="AD60" s="94"/>
      <c r="AE60" s="94"/>
    </row>
    <row r="61">
      <c r="A61" s="87"/>
      <c r="B61" s="37"/>
      <c r="C61" s="38"/>
      <c r="D61" s="156" t="s">
        <v>177</v>
      </c>
      <c r="E61" s="89">
        <v>46197.0</v>
      </c>
      <c r="F61" s="72">
        <v>476.8292682926829</v>
      </c>
      <c r="G61" s="111">
        <v>185486.58536585365</v>
      </c>
      <c r="H61" s="111">
        <v>389.0</v>
      </c>
      <c r="I61" s="152">
        <v>194.0</v>
      </c>
      <c r="J61" s="153">
        <v>129.0</v>
      </c>
      <c r="K61" s="154">
        <v>155.0</v>
      </c>
      <c r="L61" s="154">
        <v>77.0</v>
      </c>
      <c r="M61" s="93"/>
      <c r="N61" s="94">
        <v>389.0</v>
      </c>
      <c r="O61" s="94"/>
      <c r="P61" s="94"/>
      <c r="Q61" s="94"/>
      <c r="R61" s="94"/>
      <c r="S61" s="94"/>
      <c r="T61" s="94"/>
      <c r="U61" s="94"/>
      <c r="V61" s="94"/>
      <c r="W61" s="94"/>
      <c r="X61" s="94"/>
      <c r="Y61" s="94"/>
      <c r="Z61" s="94"/>
      <c r="AA61" s="94"/>
      <c r="AB61" s="94"/>
      <c r="AC61" s="94"/>
      <c r="AD61" s="94"/>
      <c r="AE61" s="94"/>
    </row>
    <row r="62">
      <c r="A62" s="87"/>
      <c r="B62" s="37"/>
      <c r="C62" s="38"/>
      <c r="D62" s="156" t="s">
        <v>294</v>
      </c>
      <c r="E62" s="89">
        <v>46198.0</v>
      </c>
      <c r="F62" s="72">
        <v>340.06499999999994</v>
      </c>
      <c r="G62" s="111">
        <v>1305509.5349999997</v>
      </c>
      <c r="H62" s="87">
        <v>3839.0</v>
      </c>
      <c r="I62" s="157">
        <v>1919.0</v>
      </c>
      <c r="J62" s="158">
        <v>1279.0</v>
      </c>
      <c r="K62" s="93">
        <v>1535.0</v>
      </c>
      <c r="L62" s="93">
        <v>767.0</v>
      </c>
      <c r="M62" s="93"/>
      <c r="N62" s="94">
        <v>3839.0</v>
      </c>
      <c r="O62" s="94"/>
      <c r="P62" s="94"/>
      <c r="Q62" s="94"/>
      <c r="R62" s="94"/>
      <c r="S62" s="94"/>
      <c r="T62" s="94"/>
      <c r="U62" s="94"/>
      <c r="V62" s="94"/>
      <c r="W62" s="94"/>
      <c r="X62" s="94"/>
      <c r="Y62" s="94"/>
      <c r="Z62" s="94"/>
      <c r="AA62" s="94"/>
      <c r="AB62" s="94"/>
      <c r="AC62" s="94"/>
      <c r="AD62" s="94"/>
      <c r="AE62" s="94"/>
    </row>
    <row r="63">
      <c r="A63" s="87"/>
      <c r="B63" s="37"/>
      <c r="C63" s="38"/>
      <c r="D63" s="156" t="s">
        <v>47</v>
      </c>
      <c r="E63" s="89">
        <v>46198.0</v>
      </c>
      <c r="F63" s="72">
        <v>572.0</v>
      </c>
      <c r="G63" s="111">
        <v>787644.0</v>
      </c>
      <c r="H63" s="111">
        <v>1377.0</v>
      </c>
      <c r="I63" s="152">
        <v>688.0</v>
      </c>
      <c r="J63" s="153">
        <v>459.0</v>
      </c>
      <c r="K63" s="154">
        <v>550.0</v>
      </c>
      <c r="L63" s="154">
        <v>275.0</v>
      </c>
      <c r="M63" s="93"/>
      <c r="N63" s="94">
        <v>1377.0</v>
      </c>
      <c r="O63" s="94"/>
      <c r="P63" s="94"/>
      <c r="Q63" s="94"/>
      <c r="R63" s="94"/>
      <c r="S63" s="94"/>
      <c r="T63" s="94"/>
      <c r="U63" s="94"/>
      <c r="V63" s="94"/>
      <c r="W63" s="94"/>
      <c r="X63" s="94"/>
      <c r="Y63" s="94"/>
      <c r="Z63" s="94"/>
      <c r="AA63" s="94"/>
      <c r="AB63" s="94"/>
      <c r="AC63" s="94"/>
      <c r="AD63" s="94"/>
      <c r="AE63" s="94"/>
    </row>
    <row r="64">
      <c r="A64" s="87"/>
      <c r="B64" s="37"/>
      <c r="C64" s="38"/>
      <c r="D64" s="156" t="s">
        <v>143</v>
      </c>
      <c r="E64" s="89">
        <v>46196.0</v>
      </c>
      <c r="F64" s="72">
        <v>855.5</v>
      </c>
      <c r="G64" s="111">
        <v>1255018.5</v>
      </c>
      <c r="H64" s="111">
        <v>1467.0</v>
      </c>
      <c r="I64" s="152">
        <v>733.0</v>
      </c>
      <c r="J64" s="153">
        <v>489.0</v>
      </c>
      <c r="K64" s="154">
        <v>586.0</v>
      </c>
      <c r="L64" s="154">
        <v>293.0</v>
      </c>
      <c r="M64" s="93"/>
      <c r="N64" s="94">
        <v>1467.0</v>
      </c>
      <c r="O64" s="94"/>
      <c r="P64" s="94"/>
      <c r="Q64" s="94"/>
      <c r="R64" s="94"/>
      <c r="S64" s="94"/>
      <c r="T64" s="94"/>
      <c r="U64" s="94"/>
      <c r="V64" s="94"/>
      <c r="W64" s="94"/>
      <c r="X64" s="94"/>
      <c r="Y64" s="94"/>
      <c r="Z64" s="94"/>
      <c r="AA64" s="94"/>
      <c r="AB64" s="94"/>
      <c r="AC64" s="94"/>
      <c r="AD64" s="94"/>
      <c r="AE64" s="94"/>
    </row>
    <row r="65">
      <c r="A65" s="87"/>
      <c r="B65" s="37"/>
      <c r="C65" s="38"/>
      <c r="D65" s="156" t="s">
        <v>74</v>
      </c>
      <c r="E65" s="89">
        <v>46191.0</v>
      </c>
      <c r="F65" s="72">
        <v>1018.0</v>
      </c>
      <c r="G65" s="111">
        <v>1018.0</v>
      </c>
      <c r="H65" s="111">
        <v>1.0</v>
      </c>
      <c r="I65" s="152">
        <v>0.0</v>
      </c>
      <c r="J65" s="153">
        <v>0.0</v>
      </c>
      <c r="K65" s="154">
        <v>0.0</v>
      </c>
      <c r="L65" s="154">
        <v>0.0</v>
      </c>
      <c r="M65" s="93"/>
      <c r="N65" s="94">
        <v>1.0</v>
      </c>
      <c r="O65" s="94"/>
      <c r="P65" s="94"/>
      <c r="Q65" s="94"/>
      <c r="R65" s="94"/>
      <c r="S65" s="94"/>
      <c r="T65" s="94"/>
      <c r="U65" s="94"/>
      <c r="V65" s="94"/>
      <c r="W65" s="94"/>
      <c r="X65" s="94"/>
      <c r="Y65" s="94"/>
      <c r="Z65" s="94"/>
      <c r="AA65" s="94"/>
      <c r="AB65" s="94"/>
      <c r="AC65" s="94"/>
      <c r="AD65" s="94"/>
      <c r="AE65" s="94"/>
    </row>
    <row r="66">
      <c r="A66" s="87"/>
      <c r="B66" s="37"/>
      <c r="C66" s="38"/>
      <c r="D66" s="156" t="s">
        <v>204</v>
      </c>
      <c r="E66" s="89">
        <v>46179.0</v>
      </c>
      <c r="F66" s="72">
        <v>369.9403803856343</v>
      </c>
      <c r="G66" s="111">
        <v>723603.3840343007</v>
      </c>
      <c r="H66" s="111">
        <v>1956.0</v>
      </c>
      <c r="I66" s="152">
        <v>978.0</v>
      </c>
      <c r="J66" s="153">
        <v>652.0</v>
      </c>
      <c r="K66" s="154">
        <v>782.0</v>
      </c>
      <c r="L66" s="154">
        <v>391.0</v>
      </c>
      <c r="M66" s="93"/>
      <c r="N66" s="94">
        <v>1956.0</v>
      </c>
      <c r="O66" s="94"/>
      <c r="P66" s="94"/>
      <c r="Q66" s="94"/>
      <c r="R66" s="94"/>
      <c r="S66" s="94"/>
      <c r="T66" s="94"/>
      <c r="U66" s="94"/>
      <c r="V66" s="94"/>
      <c r="W66" s="94"/>
      <c r="X66" s="94"/>
      <c r="Y66" s="94"/>
      <c r="Z66" s="94"/>
      <c r="AA66" s="94"/>
      <c r="AB66" s="94"/>
      <c r="AC66" s="94"/>
      <c r="AD66" s="94"/>
      <c r="AE66" s="94"/>
    </row>
    <row r="67">
      <c r="A67" s="87"/>
      <c r="B67" s="37"/>
      <c r="C67" s="38"/>
      <c r="D67" s="156" t="s">
        <v>115</v>
      </c>
      <c r="E67" s="89">
        <v>46158.0</v>
      </c>
      <c r="F67" s="72">
        <v>585.4</v>
      </c>
      <c r="G67" s="111">
        <v>440220.8</v>
      </c>
      <c r="H67" s="111">
        <v>752.0</v>
      </c>
      <c r="I67" s="152">
        <v>376.0</v>
      </c>
      <c r="J67" s="153">
        <v>250.0</v>
      </c>
      <c r="K67" s="154">
        <v>300.0</v>
      </c>
      <c r="L67" s="154">
        <v>150.0</v>
      </c>
      <c r="M67" s="93"/>
      <c r="N67" s="94">
        <v>752.0</v>
      </c>
      <c r="O67" s="94"/>
      <c r="P67" s="94"/>
      <c r="Q67" s="94"/>
      <c r="R67" s="94"/>
      <c r="S67" s="94"/>
      <c r="T67" s="94"/>
      <c r="U67" s="94"/>
      <c r="V67" s="94"/>
      <c r="W67" s="94"/>
      <c r="X67" s="94"/>
      <c r="Y67" s="94"/>
      <c r="Z67" s="94"/>
      <c r="AA67" s="94"/>
      <c r="AB67" s="94"/>
      <c r="AC67" s="94"/>
      <c r="AD67" s="94"/>
      <c r="AE67" s="94"/>
    </row>
    <row r="68">
      <c r="A68" s="87"/>
      <c r="B68" s="37"/>
      <c r="C68" s="38"/>
      <c r="D68" s="156" t="s">
        <v>690</v>
      </c>
      <c r="E68" s="89"/>
      <c r="F68" s="72"/>
      <c r="G68" s="111">
        <v>0.0</v>
      </c>
      <c r="H68" s="111"/>
      <c r="I68" s="152"/>
      <c r="J68" s="153"/>
      <c r="K68" s="154"/>
      <c r="L68" s="154"/>
      <c r="M68" s="93"/>
      <c r="N68" s="94"/>
      <c r="O68" s="94"/>
      <c r="P68" s="94"/>
      <c r="Q68" s="94"/>
      <c r="R68" s="94"/>
      <c r="S68" s="94"/>
      <c r="T68" s="94"/>
      <c r="U68" s="94"/>
      <c r="V68" s="94"/>
      <c r="W68" s="94"/>
      <c r="X68" s="94"/>
      <c r="Y68" s="94"/>
      <c r="Z68" s="94"/>
      <c r="AA68" s="94"/>
      <c r="AB68" s="94"/>
      <c r="AC68" s="94"/>
      <c r="AD68" s="94"/>
      <c r="AE68" s="94"/>
    </row>
    <row r="69">
      <c r="A69" s="87"/>
      <c r="B69" s="37"/>
      <c r="C69" s="38"/>
      <c r="D69" s="156" t="s">
        <v>105</v>
      </c>
      <c r="E69" s="89">
        <v>46197.0</v>
      </c>
      <c r="F69" s="72">
        <v>607.75</v>
      </c>
      <c r="G69" s="111">
        <v>0.0</v>
      </c>
      <c r="H69" s="111"/>
      <c r="I69" s="152"/>
      <c r="J69" s="153"/>
      <c r="K69" s="154"/>
      <c r="L69" s="154"/>
      <c r="M69" s="93"/>
      <c r="N69" s="94"/>
      <c r="O69" s="94"/>
      <c r="P69" s="94"/>
      <c r="Q69" s="94"/>
      <c r="R69" s="94"/>
      <c r="S69" s="94"/>
      <c r="T69" s="94"/>
      <c r="U69" s="94"/>
      <c r="V69" s="94"/>
      <c r="W69" s="94"/>
      <c r="X69" s="94"/>
      <c r="Y69" s="94"/>
      <c r="Z69" s="94"/>
      <c r="AA69" s="94"/>
      <c r="AB69" s="94"/>
      <c r="AC69" s="94"/>
      <c r="AD69" s="94"/>
      <c r="AE69" s="94"/>
    </row>
    <row r="70">
      <c r="A70" s="87"/>
      <c r="B70" s="37"/>
      <c r="C70" s="38"/>
      <c r="D70" s="156" t="s">
        <v>237</v>
      </c>
      <c r="E70" s="89">
        <v>46198.0</v>
      </c>
      <c r="F70" s="72">
        <v>248.68686868686868</v>
      </c>
      <c r="G70" s="111">
        <v>438186.2626262626</v>
      </c>
      <c r="H70" s="111">
        <v>1762.0</v>
      </c>
      <c r="I70" s="159">
        <v>881.0</v>
      </c>
      <c r="J70" s="160">
        <v>587.0</v>
      </c>
      <c r="K70" s="161">
        <v>704.0</v>
      </c>
      <c r="L70" s="161">
        <v>352.0</v>
      </c>
      <c r="M70" s="93"/>
      <c r="N70" s="94">
        <v>1762.0</v>
      </c>
      <c r="O70" s="94"/>
      <c r="P70" s="94"/>
      <c r="Q70" s="94"/>
      <c r="R70" s="94"/>
      <c r="S70" s="94"/>
      <c r="T70" s="94"/>
      <c r="U70" s="94"/>
      <c r="V70" s="94"/>
      <c r="W70" s="94"/>
      <c r="X70" s="94"/>
      <c r="Y70" s="94"/>
      <c r="Z70" s="94"/>
      <c r="AA70" s="94"/>
      <c r="AB70" s="94"/>
      <c r="AC70" s="94"/>
      <c r="AD70" s="94"/>
      <c r="AE70" s="94"/>
    </row>
    <row r="71">
      <c r="A71" s="87"/>
      <c r="B71" s="37"/>
      <c r="C71" s="38"/>
      <c r="D71" s="156" t="s">
        <v>150</v>
      </c>
      <c r="E71" s="89">
        <v>46196.0</v>
      </c>
      <c r="F71" s="72">
        <v>90.00550685996342</v>
      </c>
      <c r="G71" s="111">
        <v>500430.6181413966</v>
      </c>
      <c r="H71" s="111">
        <v>5560.0</v>
      </c>
      <c r="I71" s="152">
        <v>2780.0</v>
      </c>
      <c r="J71" s="153">
        <v>1853.0</v>
      </c>
      <c r="K71" s="154">
        <v>2224.0</v>
      </c>
      <c r="L71" s="154">
        <v>1112.0</v>
      </c>
      <c r="M71" s="93"/>
      <c r="N71" s="94">
        <v>5560.0</v>
      </c>
      <c r="O71" s="94"/>
      <c r="P71" s="94"/>
      <c r="Q71" s="94"/>
      <c r="R71" s="94"/>
      <c r="S71" s="94"/>
      <c r="T71" s="94"/>
      <c r="U71" s="94"/>
      <c r="V71" s="94"/>
      <c r="W71" s="94"/>
      <c r="X71" s="94"/>
      <c r="Y71" s="94"/>
      <c r="Z71" s="94"/>
      <c r="AA71" s="94"/>
      <c r="AB71" s="94"/>
      <c r="AC71" s="94"/>
      <c r="AD71" s="94"/>
      <c r="AE71" s="94"/>
    </row>
    <row r="72">
      <c r="A72" s="87"/>
      <c r="B72" s="37"/>
      <c r="C72" s="38"/>
      <c r="D72" s="156" t="s">
        <v>132</v>
      </c>
      <c r="E72" s="89">
        <v>46196.0</v>
      </c>
      <c r="F72" s="72">
        <v>165.06</v>
      </c>
      <c r="G72" s="111">
        <v>1023372.0</v>
      </c>
      <c r="H72" s="111">
        <v>6200.0</v>
      </c>
      <c r="I72" s="152">
        <v>3100.0</v>
      </c>
      <c r="J72" s="153">
        <v>2066.0</v>
      </c>
      <c r="K72" s="154">
        <v>2480.0</v>
      </c>
      <c r="L72" s="154">
        <v>1240.0</v>
      </c>
      <c r="M72" s="93"/>
      <c r="N72" s="94">
        <v>6200.0</v>
      </c>
      <c r="O72" s="94"/>
      <c r="P72" s="94"/>
      <c r="Q72" s="94"/>
      <c r="R72" s="94"/>
      <c r="S72" s="94"/>
      <c r="T72" s="94"/>
      <c r="U72" s="94"/>
      <c r="V72" s="94"/>
      <c r="W72" s="94"/>
      <c r="X72" s="94"/>
      <c r="Y72" s="94"/>
      <c r="Z72" s="94"/>
      <c r="AA72" s="94"/>
      <c r="AB72" s="94"/>
      <c r="AC72" s="94"/>
      <c r="AD72" s="94"/>
      <c r="AE72" s="94"/>
    </row>
    <row r="73">
      <c r="A73" s="87"/>
      <c r="B73" s="37"/>
      <c r="C73" s="38"/>
      <c r="D73" s="156" t="s">
        <v>124</v>
      </c>
      <c r="E73" s="89">
        <v>46197.0</v>
      </c>
      <c r="F73" s="72">
        <v>165.05</v>
      </c>
      <c r="G73" s="111">
        <v>1089330.0</v>
      </c>
      <c r="H73" s="111">
        <v>6600.0</v>
      </c>
      <c r="I73" s="152">
        <v>3300.0</v>
      </c>
      <c r="J73" s="153">
        <v>2200.0</v>
      </c>
      <c r="K73" s="154">
        <v>2640.0</v>
      </c>
      <c r="L73" s="154">
        <v>1320.0</v>
      </c>
      <c r="M73" s="93"/>
      <c r="N73" s="94">
        <v>6600.0</v>
      </c>
      <c r="O73" s="94"/>
      <c r="P73" s="94"/>
      <c r="Q73" s="94"/>
      <c r="R73" s="94"/>
      <c r="S73" s="94"/>
      <c r="T73" s="94"/>
      <c r="U73" s="94"/>
      <c r="V73" s="94"/>
      <c r="W73" s="94"/>
      <c r="X73" s="94"/>
      <c r="Y73" s="94"/>
      <c r="Z73" s="94"/>
      <c r="AA73" s="94"/>
      <c r="AB73" s="94"/>
      <c r="AC73" s="94"/>
      <c r="AD73" s="94"/>
      <c r="AE73" s="94"/>
    </row>
    <row r="74">
      <c r="A74" s="87"/>
      <c r="B74" s="37"/>
      <c r="C74" s="38"/>
      <c r="D74" s="156" t="s">
        <v>187</v>
      </c>
      <c r="E74" s="89">
        <v>46196.0</v>
      </c>
      <c r="F74" s="72">
        <v>119.7</v>
      </c>
      <c r="G74" s="111">
        <v>545832.0</v>
      </c>
      <c r="H74" s="111">
        <v>4560.0</v>
      </c>
      <c r="I74" s="152">
        <v>2280.0</v>
      </c>
      <c r="J74" s="153">
        <v>1520.0</v>
      </c>
      <c r="K74" s="154">
        <v>1824.0</v>
      </c>
      <c r="L74" s="154">
        <v>912.0</v>
      </c>
      <c r="M74" s="93"/>
      <c r="N74" s="94">
        <v>4560.0</v>
      </c>
      <c r="O74" s="94"/>
      <c r="P74" s="94"/>
      <c r="Q74" s="94"/>
      <c r="R74" s="94"/>
      <c r="S74" s="94"/>
      <c r="T74" s="94"/>
      <c r="U74" s="94"/>
      <c r="V74" s="94"/>
      <c r="W74" s="94"/>
      <c r="X74" s="94"/>
      <c r="Y74" s="94"/>
      <c r="Z74" s="94"/>
      <c r="AA74" s="94"/>
      <c r="AB74" s="94"/>
      <c r="AC74" s="94"/>
      <c r="AD74" s="94"/>
      <c r="AE74" s="94"/>
    </row>
    <row r="75">
      <c r="A75" s="87"/>
      <c r="B75" s="37"/>
      <c r="C75" s="38"/>
      <c r="D75" s="156" t="s">
        <v>127</v>
      </c>
      <c r="E75" s="89">
        <v>46197.0</v>
      </c>
      <c r="F75" s="72">
        <v>110.87764311211393</v>
      </c>
      <c r="G75" s="111">
        <v>385854.1980301565</v>
      </c>
      <c r="H75" s="111">
        <v>3480.0</v>
      </c>
      <c r="I75" s="152">
        <v>1740.0</v>
      </c>
      <c r="J75" s="153">
        <v>1160.0</v>
      </c>
      <c r="K75" s="154">
        <v>1392.0</v>
      </c>
      <c r="L75" s="154">
        <v>696.0</v>
      </c>
      <c r="M75" s="93"/>
      <c r="N75" s="94">
        <v>3480.0</v>
      </c>
      <c r="O75" s="94"/>
      <c r="P75" s="94"/>
      <c r="Q75" s="94"/>
      <c r="R75" s="94"/>
      <c r="S75" s="94"/>
      <c r="T75" s="94"/>
      <c r="U75" s="94"/>
      <c r="V75" s="94"/>
      <c r="W75" s="94"/>
      <c r="X75" s="94"/>
      <c r="Y75" s="94"/>
      <c r="Z75" s="94"/>
      <c r="AA75" s="94"/>
      <c r="AB75" s="94"/>
      <c r="AC75" s="94"/>
      <c r="AD75" s="94"/>
      <c r="AE75" s="94"/>
    </row>
    <row r="76">
      <c r="A76" s="87"/>
      <c r="B76" s="37"/>
      <c r="C76" s="38"/>
      <c r="D76" s="156" t="s">
        <v>287</v>
      </c>
      <c r="E76" s="89">
        <v>46196.0</v>
      </c>
      <c r="F76" s="72">
        <v>187.38</v>
      </c>
      <c r="G76" s="111">
        <v>652082.4</v>
      </c>
      <c r="H76" s="111">
        <v>3480.0</v>
      </c>
      <c r="I76" s="152">
        <v>1740.0</v>
      </c>
      <c r="J76" s="153">
        <v>1160.0</v>
      </c>
      <c r="K76" s="154">
        <v>1392.0</v>
      </c>
      <c r="L76" s="154">
        <v>696.0</v>
      </c>
      <c r="M76" s="93"/>
      <c r="N76" s="94">
        <v>3480.0</v>
      </c>
      <c r="O76" s="94"/>
      <c r="P76" s="94"/>
      <c r="Q76" s="94"/>
      <c r="R76" s="94"/>
      <c r="S76" s="94"/>
      <c r="T76" s="94"/>
      <c r="U76" s="94"/>
      <c r="V76" s="94"/>
      <c r="W76" s="94"/>
      <c r="X76" s="94"/>
      <c r="Y76" s="94"/>
      <c r="Z76" s="94"/>
      <c r="AA76" s="94"/>
      <c r="AB76" s="94"/>
      <c r="AC76" s="94"/>
      <c r="AD76" s="94"/>
      <c r="AE76" s="94"/>
    </row>
    <row r="77">
      <c r="A77" s="87"/>
      <c r="B77" s="37"/>
      <c r="C77" s="38"/>
      <c r="D77" s="156" t="s">
        <v>392</v>
      </c>
      <c r="E77" s="89">
        <v>46167.0</v>
      </c>
      <c r="F77" s="72">
        <v>101.13652336448597</v>
      </c>
      <c r="G77" s="111">
        <v>201261.68149532707</v>
      </c>
      <c r="H77" s="111">
        <v>1990.0</v>
      </c>
      <c r="I77" s="152">
        <v>995.0</v>
      </c>
      <c r="J77" s="153">
        <v>663.0</v>
      </c>
      <c r="K77" s="154">
        <v>796.0</v>
      </c>
      <c r="L77" s="154">
        <v>398.0</v>
      </c>
      <c r="M77" s="93"/>
      <c r="N77" s="94">
        <v>1990.0</v>
      </c>
      <c r="O77" s="94"/>
      <c r="P77" s="94"/>
      <c r="Q77" s="94"/>
      <c r="R77" s="94"/>
      <c r="S77" s="94"/>
      <c r="T77" s="94"/>
      <c r="U77" s="94"/>
      <c r="V77" s="94"/>
      <c r="W77" s="94"/>
      <c r="X77" s="94"/>
      <c r="Y77" s="94"/>
      <c r="Z77" s="94"/>
      <c r="AA77" s="94"/>
      <c r="AB77" s="94"/>
      <c r="AC77" s="94"/>
      <c r="AD77" s="94"/>
      <c r="AE77" s="94"/>
    </row>
    <row r="78">
      <c r="A78" s="87"/>
      <c r="B78" s="37"/>
      <c r="C78" s="38"/>
      <c r="D78" s="156" t="s">
        <v>256</v>
      </c>
      <c r="E78" s="89">
        <v>46190.0</v>
      </c>
      <c r="F78" s="72">
        <v>662.9258064516129</v>
      </c>
      <c r="G78" s="111">
        <v>384496.96774193546</v>
      </c>
      <c r="H78" s="111">
        <v>580.0</v>
      </c>
      <c r="I78" s="152">
        <v>290.0</v>
      </c>
      <c r="J78" s="153">
        <v>193.0</v>
      </c>
      <c r="K78" s="154">
        <v>232.0</v>
      </c>
      <c r="L78" s="154">
        <v>116.0</v>
      </c>
      <c r="M78" s="93"/>
      <c r="N78" s="94">
        <v>580.0</v>
      </c>
      <c r="O78" s="94"/>
      <c r="P78" s="94"/>
      <c r="Q78" s="94"/>
      <c r="R78" s="94"/>
      <c r="S78" s="94"/>
      <c r="T78" s="94"/>
      <c r="U78" s="94"/>
      <c r="V78" s="94"/>
      <c r="W78" s="94"/>
      <c r="X78" s="94"/>
      <c r="Y78" s="94"/>
      <c r="Z78" s="94"/>
      <c r="AA78" s="94"/>
      <c r="AB78" s="94"/>
      <c r="AC78" s="94"/>
      <c r="AD78" s="94"/>
      <c r="AE78" s="94"/>
    </row>
    <row r="79">
      <c r="A79" s="87"/>
      <c r="B79" s="37"/>
      <c r="C79" s="38"/>
      <c r="D79" s="156" t="s">
        <v>390</v>
      </c>
      <c r="E79" s="89"/>
      <c r="F79" s="72">
        <v>110.16657009345793</v>
      </c>
      <c r="G79" s="111">
        <v>220333.14018691587</v>
      </c>
      <c r="H79" s="111">
        <v>2000.0</v>
      </c>
      <c r="I79" s="152">
        <v>1000.0</v>
      </c>
      <c r="J79" s="153">
        <v>666.0</v>
      </c>
      <c r="K79" s="154">
        <v>800.0</v>
      </c>
      <c r="L79" s="154">
        <v>400.0</v>
      </c>
      <c r="M79" s="93"/>
      <c r="N79" s="94">
        <v>2000.0</v>
      </c>
      <c r="O79" s="94"/>
      <c r="P79" s="94"/>
      <c r="Q79" s="94"/>
      <c r="R79" s="94"/>
      <c r="S79" s="94"/>
      <c r="T79" s="94"/>
      <c r="U79" s="94"/>
      <c r="V79" s="94"/>
      <c r="W79" s="94"/>
      <c r="X79" s="94"/>
      <c r="Y79" s="94"/>
      <c r="Z79" s="94"/>
      <c r="AA79" s="94"/>
      <c r="AB79" s="94"/>
      <c r="AC79" s="94"/>
      <c r="AD79" s="94"/>
      <c r="AE79" s="94"/>
    </row>
    <row r="80">
      <c r="A80" s="87"/>
      <c r="B80" s="37"/>
      <c r="C80" s="38"/>
      <c r="D80" s="156" t="s">
        <v>724</v>
      </c>
      <c r="E80" s="89"/>
      <c r="F80" s="72"/>
      <c r="G80" s="111">
        <v>0.0</v>
      </c>
      <c r="H80" s="111"/>
      <c r="I80" s="152"/>
      <c r="J80" s="153"/>
      <c r="K80" s="154"/>
      <c r="L80" s="154"/>
      <c r="M80" s="93"/>
      <c r="N80" s="94"/>
      <c r="O80" s="94"/>
      <c r="P80" s="94"/>
      <c r="Q80" s="94"/>
      <c r="R80" s="94"/>
      <c r="S80" s="94"/>
      <c r="T80" s="94"/>
      <c r="U80" s="94"/>
      <c r="V80" s="94"/>
      <c r="W80" s="94"/>
      <c r="X80" s="94"/>
      <c r="Y80" s="94"/>
      <c r="Z80" s="94"/>
      <c r="AA80" s="94"/>
      <c r="AB80" s="94"/>
      <c r="AC80" s="94"/>
      <c r="AD80" s="94"/>
      <c r="AE80" s="94"/>
    </row>
    <row r="81">
      <c r="A81" s="87"/>
      <c r="B81" s="37"/>
      <c r="C81" s="38"/>
      <c r="D81" s="156" t="s">
        <v>725</v>
      </c>
      <c r="E81" s="89"/>
      <c r="F81" s="72"/>
      <c r="G81" s="111">
        <v>0.0</v>
      </c>
      <c r="H81" s="111"/>
      <c r="I81" s="152"/>
      <c r="J81" s="153"/>
      <c r="K81" s="154"/>
      <c r="L81" s="154"/>
      <c r="M81" s="93"/>
      <c r="N81" s="94"/>
      <c r="O81" s="94"/>
      <c r="P81" s="94"/>
      <c r="Q81" s="94"/>
      <c r="R81" s="94"/>
      <c r="S81" s="94"/>
      <c r="T81" s="94"/>
      <c r="U81" s="94"/>
      <c r="V81" s="94"/>
      <c r="W81" s="94"/>
      <c r="X81" s="94"/>
      <c r="Y81" s="94"/>
      <c r="Z81" s="94"/>
      <c r="AA81" s="94"/>
      <c r="AB81" s="94"/>
      <c r="AC81" s="94"/>
      <c r="AD81" s="94"/>
      <c r="AE81" s="94"/>
    </row>
    <row r="82">
      <c r="A82" s="87"/>
      <c r="B82" s="37"/>
      <c r="C82" s="38"/>
      <c r="D82" s="156" t="s">
        <v>301</v>
      </c>
      <c r="E82" s="89">
        <v>46181.0</v>
      </c>
      <c r="F82" s="72">
        <v>9482.48</v>
      </c>
      <c r="G82" s="111">
        <v>246544.47999999998</v>
      </c>
      <c r="H82" s="111">
        <v>26.0</v>
      </c>
      <c r="I82" s="152">
        <v>13.0</v>
      </c>
      <c r="J82" s="153">
        <v>8.0</v>
      </c>
      <c r="K82" s="154">
        <v>10.0</v>
      </c>
      <c r="L82" s="154">
        <v>5.0</v>
      </c>
      <c r="M82" s="93"/>
      <c r="N82" s="94">
        <v>26.0</v>
      </c>
      <c r="O82" s="94"/>
      <c r="P82" s="94"/>
      <c r="Q82" s="94"/>
      <c r="R82" s="94"/>
      <c r="S82" s="94"/>
      <c r="T82" s="94"/>
      <c r="U82" s="94"/>
      <c r="V82" s="94"/>
      <c r="W82" s="94"/>
      <c r="X82" s="94"/>
      <c r="Y82" s="94"/>
      <c r="Z82" s="94"/>
      <c r="AA82" s="94"/>
      <c r="AB82" s="94"/>
      <c r="AC82" s="94"/>
      <c r="AD82" s="94"/>
      <c r="AE82" s="94"/>
    </row>
    <row r="83">
      <c r="A83" s="87"/>
      <c r="B83" s="37"/>
      <c r="C83" s="38"/>
      <c r="D83" s="156" t="s">
        <v>134</v>
      </c>
      <c r="E83" s="89">
        <v>46181.0</v>
      </c>
      <c r="F83" s="72">
        <v>11611.0</v>
      </c>
      <c r="G83" s="111">
        <v>46444.0</v>
      </c>
      <c r="H83" s="111">
        <v>4.0</v>
      </c>
      <c r="I83" s="152">
        <v>2.0</v>
      </c>
      <c r="J83" s="153">
        <v>1.0</v>
      </c>
      <c r="K83" s="154">
        <v>1.0</v>
      </c>
      <c r="L83" s="154">
        <v>0.0</v>
      </c>
      <c r="M83" s="93"/>
      <c r="N83" s="94">
        <v>4.0</v>
      </c>
      <c r="O83" s="94"/>
      <c r="P83" s="94"/>
      <c r="Q83" s="94"/>
      <c r="R83" s="94"/>
      <c r="S83" s="94"/>
      <c r="T83" s="94"/>
      <c r="U83" s="94"/>
      <c r="V83" s="94"/>
      <c r="W83" s="94"/>
      <c r="X83" s="94"/>
      <c r="Y83" s="94"/>
      <c r="Z83" s="94"/>
      <c r="AA83" s="94"/>
      <c r="AB83" s="94"/>
      <c r="AC83" s="94"/>
      <c r="AD83" s="94"/>
      <c r="AE83" s="94"/>
    </row>
    <row r="84">
      <c r="A84" s="87"/>
      <c r="B84" s="37"/>
      <c r="C84" s="38"/>
      <c r="D84" s="156" t="s">
        <v>297</v>
      </c>
      <c r="E84" s="89">
        <v>46192.0</v>
      </c>
      <c r="F84" s="72">
        <v>285.14</v>
      </c>
      <c r="G84" s="111">
        <v>20815.219999999998</v>
      </c>
      <c r="H84" s="111">
        <v>73.0</v>
      </c>
      <c r="I84" s="152">
        <v>36.0</v>
      </c>
      <c r="J84" s="153">
        <v>24.0</v>
      </c>
      <c r="K84" s="154">
        <v>29.0</v>
      </c>
      <c r="L84" s="154">
        <v>14.0</v>
      </c>
      <c r="M84" s="93"/>
      <c r="N84" s="94">
        <v>73.0</v>
      </c>
      <c r="O84" s="94"/>
      <c r="P84" s="94"/>
      <c r="Q84" s="94"/>
      <c r="R84" s="94"/>
      <c r="S84" s="94"/>
      <c r="T84" s="94"/>
      <c r="U84" s="94"/>
      <c r="V84" s="94"/>
      <c r="W84" s="94"/>
      <c r="X84" s="94"/>
      <c r="Y84" s="94"/>
      <c r="Z84" s="94"/>
      <c r="AA84" s="94"/>
      <c r="AB84" s="94"/>
      <c r="AC84" s="94"/>
      <c r="AD84" s="94"/>
      <c r="AE84" s="94"/>
    </row>
    <row r="85">
      <c r="A85" s="87"/>
      <c r="B85" s="37"/>
      <c r="C85" s="38"/>
      <c r="D85" s="156" t="s">
        <v>55</v>
      </c>
      <c r="E85" s="89"/>
      <c r="F85" s="72">
        <v>36500.0</v>
      </c>
      <c r="G85" s="111">
        <v>182500.0</v>
      </c>
      <c r="H85" s="111">
        <v>5.0</v>
      </c>
      <c r="I85" s="152">
        <v>2.0</v>
      </c>
      <c r="J85" s="153">
        <v>1.0</v>
      </c>
      <c r="K85" s="154">
        <v>2.0</v>
      </c>
      <c r="L85" s="154">
        <v>1.0</v>
      </c>
      <c r="M85" s="93"/>
      <c r="N85" s="94">
        <v>5.0</v>
      </c>
      <c r="O85" s="94"/>
      <c r="P85" s="94"/>
      <c r="Q85" s="94"/>
      <c r="R85" s="94"/>
      <c r="S85" s="94"/>
      <c r="T85" s="94"/>
      <c r="U85" s="94"/>
      <c r="V85" s="94"/>
      <c r="W85" s="94"/>
      <c r="X85" s="94"/>
      <c r="Y85" s="94"/>
      <c r="Z85" s="94"/>
      <c r="AA85" s="94"/>
      <c r="AB85" s="94"/>
      <c r="AC85" s="94"/>
      <c r="AD85" s="94"/>
      <c r="AE85" s="94"/>
    </row>
    <row r="86">
      <c r="A86" s="87"/>
      <c r="B86" s="37"/>
      <c r="C86" s="38"/>
      <c r="D86" s="156" t="s">
        <v>152</v>
      </c>
      <c r="E86" s="89">
        <v>46196.0</v>
      </c>
      <c r="F86" s="72">
        <v>35799.38</v>
      </c>
      <c r="G86" s="111">
        <v>2720752.88</v>
      </c>
      <c r="H86" s="111">
        <v>76.0</v>
      </c>
      <c r="I86" s="152">
        <v>38.0</v>
      </c>
      <c r="J86" s="153">
        <v>25.0</v>
      </c>
      <c r="K86" s="154">
        <v>30.0</v>
      </c>
      <c r="L86" s="154">
        <v>15.0</v>
      </c>
      <c r="M86" s="93"/>
      <c r="N86" s="94">
        <v>76.0</v>
      </c>
      <c r="O86" s="94"/>
      <c r="P86" s="94"/>
      <c r="Q86" s="94"/>
      <c r="R86" s="94"/>
      <c r="S86" s="94"/>
      <c r="T86" s="94"/>
      <c r="U86" s="94"/>
      <c r="V86" s="94"/>
      <c r="W86" s="94"/>
      <c r="X86" s="94"/>
      <c r="Y86" s="94"/>
      <c r="Z86" s="94"/>
      <c r="AA86" s="94"/>
      <c r="AB86" s="94"/>
      <c r="AC86" s="94"/>
      <c r="AD86" s="94"/>
      <c r="AE86" s="94"/>
    </row>
    <row r="87">
      <c r="A87" s="87"/>
      <c r="B87" s="37"/>
      <c r="C87" s="38"/>
      <c r="D87" s="156" t="s">
        <v>272</v>
      </c>
      <c r="E87" s="89">
        <v>46177.0</v>
      </c>
      <c r="F87" s="72">
        <v>58.81999999999999</v>
      </c>
      <c r="G87" s="111">
        <v>293041.24</v>
      </c>
      <c r="H87" s="111">
        <v>4982.0</v>
      </c>
      <c r="I87" s="152">
        <v>2491.0</v>
      </c>
      <c r="J87" s="153">
        <v>1660.0</v>
      </c>
      <c r="K87" s="154">
        <v>1992.0</v>
      </c>
      <c r="L87" s="154">
        <v>996.0</v>
      </c>
      <c r="M87" s="93"/>
      <c r="N87" s="94">
        <v>4982.0</v>
      </c>
      <c r="O87" s="94"/>
      <c r="P87" s="94"/>
      <c r="Q87" s="94"/>
      <c r="R87" s="94"/>
      <c r="S87" s="94"/>
      <c r="T87" s="94"/>
      <c r="U87" s="94"/>
      <c r="V87" s="94"/>
      <c r="W87" s="94"/>
      <c r="X87" s="94"/>
      <c r="Y87" s="94"/>
      <c r="Z87" s="94"/>
      <c r="AA87" s="94"/>
      <c r="AB87" s="94"/>
      <c r="AC87" s="94"/>
      <c r="AD87" s="94"/>
      <c r="AE87" s="94"/>
    </row>
    <row r="88">
      <c r="A88" s="87"/>
      <c r="B88" s="37"/>
      <c r="C88" s="38"/>
      <c r="D88" s="156" t="s">
        <v>253</v>
      </c>
      <c r="E88" s="89">
        <v>46196.0</v>
      </c>
      <c r="F88" s="72">
        <v>69.35074627923457</v>
      </c>
      <c r="G88" s="111">
        <v>680261.4702530119</v>
      </c>
      <c r="H88" s="111">
        <v>9809.0</v>
      </c>
      <c r="I88" s="152">
        <v>4904.0</v>
      </c>
      <c r="J88" s="153">
        <v>3269.0</v>
      </c>
      <c r="K88" s="154">
        <v>3923.0</v>
      </c>
      <c r="L88" s="154">
        <v>1961.0</v>
      </c>
      <c r="M88" s="93"/>
      <c r="N88" s="94">
        <v>9809.0</v>
      </c>
      <c r="O88" s="94"/>
      <c r="P88" s="94"/>
      <c r="Q88" s="94"/>
      <c r="R88" s="94"/>
      <c r="S88" s="94"/>
      <c r="T88" s="94"/>
      <c r="U88" s="94"/>
      <c r="V88" s="94"/>
      <c r="W88" s="94"/>
      <c r="X88" s="94"/>
      <c r="Y88" s="94"/>
      <c r="Z88" s="94"/>
      <c r="AA88" s="94"/>
      <c r="AB88" s="94"/>
      <c r="AC88" s="94"/>
      <c r="AD88" s="94"/>
      <c r="AE88" s="94"/>
    </row>
    <row r="89">
      <c r="A89" s="87"/>
      <c r="B89" s="37"/>
      <c r="C89" s="38"/>
      <c r="D89" s="156" t="s">
        <v>274</v>
      </c>
      <c r="E89" s="89">
        <v>46196.0</v>
      </c>
      <c r="F89" s="72">
        <v>52.64</v>
      </c>
      <c r="G89" s="111">
        <v>214771.2</v>
      </c>
      <c r="H89" s="111">
        <v>4080.0</v>
      </c>
      <c r="I89" s="152">
        <v>2040.0</v>
      </c>
      <c r="J89" s="153">
        <v>1360.0</v>
      </c>
      <c r="K89" s="154">
        <v>1632.0</v>
      </c>
      <c r="L89" s="154">
        <v>816.0</v>
      </c>
      <c r="M89" s="93"/>
      <c r="N89" s="94">
        <v>4080.0</v>
      </c>
      <c r="O89" s="94"/>
      <c r="P89" s="94"/>
      <c r="Q89" s="94"/>
      <c r="R89" s="94"/>
      <c r="S89" s="94"/>
      <c r="T89" s="94"/>
      <c r="U89" s="94"/>
      <c r="V89" s="94"/>
      <c r="W89" s="94"/>
      <c r="X89" s="94"/>
      <c r="Y89" s="94"/>
      <c r="Z89" s="94"/>
      <c r="AA89" s="94"/>
      <c r="AB89" s="94"/>
      <c r="AC89" s="94"/>
      <c r="AD89" s="94"/>
      <c r="AE89" s="94"/>
    </row>
    <row r="90">
      <c r="A90" s="87"/>
      <c r="B90" s="37"/>
      <c r="C90" s="38"/>
      <c r="D90" s="156" t="s">
        <v>141</v>
      </c>
      <c r="E90" s="89">
        <v>46188.0</v>
      </c>
      <c r="F90" s="72">
        <v>76.63</v>
      </c>
      <c r="G90" s="111">
        <v>132340.00999999998</v>
      </c>
      <c r="H90" s="111">
        <v>1727.0</v>
      </c>
      <c r="I90" s="152">
        <v>863.0</v>
      </c>
      <c r="J90" s="153">
        <v>575.0</v>
      </c>
      <c r="K90" s="154">
        <v>690.0</v>
      </c>
      <c r="L90" s="154">
        <v>345.0</v>
      </c>
      <c r="M90" s="93"/>
      <c r="N90" s="94">
        <v>1727.0</v>
      </c>
      <c r="O90" s="94"/>
      <c r="P90" s="94"/>
      <c r="Q90" s="94"/>
      <c r="R90" s="94"/>
      <c r="S90" s="94"/>
      <c r="T90" s="94"/>
      <c r="U90" s="94"/>
      <c r="V90" s="94"/>
      <c r="W90" s="94"/>
      <c r="X90" s="94"/>
      <c r="Y90" s="94"/>
      <c r="Z90" s="94"/>
      <c r="AA90" s="94"/>
      <c r="AB90" s="94"/>
      <c r="AC90" s="94"/>
      <c r="AD90" s="94"/>
      <c r="AE90" s="94"/>
    </row>
    <row r="91">
      <c r="A91" s="87"/>
      <c r="B91" s="37"/>
      <c r="C91" s="38"/>
      <c r="D91" s="156" t="s">
        <v>102</v>
      </c>
      <c r="E91" s="89">
        <v>46196.0</v>
      </c>
      <c r="F91" s="72">
        <v>66.67</v>
      </c>
      <c r="G91" s="111">
        <v>24467.89</v>
      </c>
      <c r="H91" s="111">
        <v>367.0</v>
      </c>
      <c r="I91" s="152">
        <v>183.0</v>
      </c>
      <c r="J91" s="153">
        <v>122.0</v>
      </c>
      <c r="K91" s="154">
        <v>146.0</v>
      </c>
      <c r="L91" s="154">
        <v>73.0</v>
      </c>
      <c r="M91" s="93"/>
      <c r="N91" s="94">
        <v>367.0</v>
      </c>
      <c r="O91" s="94"/>
      <c r="P91" s="94"/>
      <c r="Q91" s="94"/>
      <c r="R91" s="94"/>
      <c r="S91" s="94"/>
      <c r="T91" s="94"/>
      <c r="U91" s="94"/>
      <c r="V91" s="94"/>
      <c r="W91" s="94"/>
      <c r="X91" s="94"/>
      <c r="Y91" s="94"/>
      <c r="Z91" s="94"/>
      <c r="AA91" s="94"/>
      <c r="AB91" s="94"/>
      <c r="AC91" s="94"/>
      <c r="AD91" s="94"/>
      <c r="AE91" s="94"/>
    </row>
    <row r="92">
      <c r="A92" s="87"/>
      <c r="B92" s="37"/>
      <c r="C92" s="38"/>
      <c r="D92" s="156" t="s">
        <v>726</v>
      </c>
      <c r="E92" s="89"/>
      <c r="F92" s="72"/>
      <c r="G92" s="111">
        <v>0.0</v>
      </c>
      <c r="H92" s="111"/>
      <c r="I92" s="152"/>
      <c r="J92" s="153"/>
      <c r="K92" s="154"/>
      <c r="L92" s="154"/>
      <c r="M92" s="93"/>
      <c r="N92" s="94"/>
      <c r="O92" s="94"/>
      <c r="P92" s="94"/>
      <c r="Q92" s="94"/>
      <c r="R92" s="94"/>
      <c r="S92" s="94"/>
      <c r="T92" s="94"/>
      <c r="U92" s="94"/>
      <c r="V92" s="94"/>
      <c r="W92" s="94"/>
      <c r="X92" s="94"/>
      <c r="Y92" s="94"/>
      <c r="Z92" s="94"/>
      <c r="AA92" s="94"/>
      <c r="AB92" s="94"/>
      <c r="AC92" s="94"/>
      <c r="AD92" s="94"/>
      <c r="AE92" s="94"/>
    </row>
    <row r="93">
      <c r="A93" s="87"/>
      <c r="B93" s="37"/>
      <c r="C93" s="38"/>
      <c r="D93" s="156" t="s">
        <v>727</v>
      </c>
      <c r="E93" s="89"/>
      <c r="F93" s="72"/>
      <c r="G93" s="111">
        <v>0.0</v>
      </c>
      <c r="H93" s="111"/>
      <c r="I93" s="152"/>
      <c r="J93" s="153"/>
      <c r="K93" s="154"/>
      <c r="L93" s="154"/>
      <c r="M93" s="93"/>
      <c r="N93" s="94"/>
      <c r="O93" s="94"/>
      <c r="P93" s="94"/>
      <c r="Q93" s="94"/>
      <c r="R93" s="94"/>
      <c r="S93" s="94"/>
      <c r="T93" s="94"/>
      <c r="U93" s="94"/>
      <c r="V93" s="94"/>
      <c r="W93" s="94"/>
      <c r="X93" s="94"/>
      <c r="Y93" s="94"/>
      <c r="Z93" s="94"/>
      <c r="AA93" s="94"/>
      <c r="AB93" s="94"/>
      <c r="AC93" s="94"/>
      <c r="AD93" s="94"/>
      <c r="AE93" s="94"/>
    </row>
    <row r="94">
      <c r="A94" s="87"/>
      <c r="B94" s="37"/>
      <c r="C94" s="38"/>
      <c r="D94" s="156" t="s">
        <v>728</v>
      </c>
      <c r="E94" s="89"/>
      <c r="F94" s="72"/>
      <c r="G94" s="111">
        <v>0.0</v>
      </c>
      <c r="H94" s="111"/>
      <c r="I94" s="152"/>
      <c r="J94" s="153"/>
      <c r="K94" s="154"/>
      <c r="L94" s="154"/>
      <c r="M94" s="93"/>
      <c r="N94" s="94"/>
      <c r="O94" s="94"/>
      <c r="P94" s="94"/>
      <c r="Q94" s="94"/>
      <c r="R94" s="94"/>
      <c r="S94" s="94"/>
      <c r="T94" s="94"/>
      <c r="U94" s="94"/>
      <c r="V94" s="94"/>
      <c r="W94" s="94"/>
      <c r="X94" s="94"/>
      <c r="Y94" s="94"/>
      <c r="Z94" s="94"/>
      <c r="AA94" s="94"/>
      <c r="AB94" s="94"/>
      <c r="AC94" s="94"/>
      <c r="AD94" s="94"/>
      <c r="AE94" s="94"/>
    </row>
    <row r="95">
      <c r="A95" s="87"/>
      <c r="B95" s="37"/>
      <c r="C95" s="38"/>
      <c r="D95" s="156" t="s">
        <v>736</v>
      </c>
      <c r="E95" s="89"/>
      <c r="F95" s="72"/>
      <c r="G95" s="111">
        <v>0.0</v>
      </c>
      <c r="H95" s="111"/>
      <c r="I95" s="152"/>
      <c r="J95" s="153"/>
      <c r="K95" s="154"/>
      <c r="L95" s="154"/>
      <c r="M95" s="93"/>
      <c r="N95" s="94"/>
      <c r="O95" s="94"/>
      <c r="P95" s="94"/>
      <c r="Q95" s="94"/>
      <c r="R95" s="94"/>
      <c r="S95" s="94"/>
      <c r="T95" s="94"/>
      <c r="U95" s="94"/>
      <c r="V95" s="94"/>
      <c r="W95" s="94"/>
      <c r="X95" s="94"/>
      <c r="Y95" s="94"/>
      <c r="Z95" s="94"/>
      <c r="AA95" s="94"/>
      <c r="AB95" s="94"/>
      <c r="AC95" s="94"/>
      <c r="AD95" s="94"/>
      <c r="AE95" s="94"/>
    </row>
    <row r="96">
      <c r="A96" s="87"/>
      <c r="B96" s="37"/>
      <c r="C96" s="38"/>
      <c r="D96" s="156" t="s">
        <v>737</v>
      </c>
      <c r="E96" s="89"/>
      <c r="F96" s="72"/>
      <c r="G96" s="111">
        <v>0.0</v>
      </c>
      <c r="H96" s="111"/>
      <c r="I96" s="152"/>
      <c r="J96" s="153"/>
      <c r="K96" s="154"/>
      <c r="L96" s="154"/>
      <c r="M96" s="93"/>
      <c r="N96" s="94"/>
      <c r="O96" s="94"/>
      <c r="P96" s="94"/>
      <c r="Q96" s="94"/>
      <c r="R96" s="94"/>
      <c r="S96" s="94"/>
      <c r="T96" s="94"/>
      <c r="U96" s="94"/>
      <c r="V96" s="94"/>
      <c r="W96" s="94"/>
      <c r="X96" s="94"/>
      <c r="Y96" s="94"/>
      <c r="Z96" s="94"/>
      <c r="AA96" s="94"/>
      <c r="AB96" s="94"/>
      <c r="AC96" s="94"/>
      <c r="AD96" s="94"/>
      <c r="AE96" s="94"/>
    </row>
    <row r="97">
      <c r="A97" s="87"/>
      <c r="B97" s="37"/>
      <c r="C97" s="38"/>
      <c r="D97" s="156" t="s">
        <v>738</v>
      </c>
      <c r="E97" s="89"/>
      <c r="F97" s="72"/>
      <c r="G97" s="111">
        <v>0.0</v>
      </c>
      <c r="H97" s="111"/>
      <c r="I97" s="152"/>
      <c r="J97" s="153"/>
      <c r="K97" s="154"/>
      <c r="L97" s="154"/>
      <c r="M97" s="93"/>
      <c r="N97" s="94"/>
      <c r="O97" s="94"/>
      <c r="P97" s="94"/>
      <c r="Q97" s="94"/>
      <c r="R97" s="94"/>
      <c r="S97" s="94"/>
      <c r="T97" s="94"/>
      <c r="U97" s="94"/>
      <c r="V97" s="94"/>
      <c r="W97" s="94"/>
      <c r="X97" s="94"/>
      <c r="Y97" s="94"/>
      <c r="Z97" s="94"/>
      <c r="AA97" s="94"/>
      <c r="AB97" s="94"/>
      <c r="AC97" s="94"/>
      <c r="AD97" s="94"/>
      <c r="AE97" s="94"/>
    </row>
    <row r="98">
      <c r="A98" s="87"/>
      <c r="B98" s="37"/>
      <c r="C98" s="38"/>
      <c r="D98" s="156" t="s">
        <v>63</v>
      </c>
      <c r="E98" s="89">
        <v>46193.0</v>
      </c>
      <c r="F98" s="72">
        <v>23261.03</v>
      </c>
      <c r="G98" s="111">
        <v>23261.03</v>
      </c>
      <c r="H98" s="111">
        <v>1.0</v>
      </c>
      <c r="I98" s="152">
        <v>0.0</v>
      </c>
      <c r="J98" s="153">
        <v>0.0</v>
      </c>
      <c r="K98" s="154">
        <v>0.0</v>
      </c>
      <c r="L98" s="154">
        <v>0.0</v>
      </c>
      <c r="M98" s="93"/>
      <c r="N98" s="94">
        <v>1.0</v>
      </c>
      <c r="O98" s="94"/>
      <c r="P98" s="94"/>
      <c r="Q98" s="94"/>
      <c r="R98" s="94"/>
      <c r="S98" s="94"/>
      <c r="T98" s="94"/>
      <c r="U98" s="94"/>
      <c r="V98" s="94"/>
      <c r="W98" s="94"/>
      <c r="X98" s="94"/>
      <c r="Y98" s="94"/>
      <c r="Z98" s="94"/>
      <c r="AA98" s="94"/>
      <c r="AB98" s="94"/>
      <c r="AC98" s="94"/>
      <c r="AD98" s="94"/>
      <c r="AE98" s="94"/>
    </row>
    <row r="99">
      <c r="A99" s="87"/>
      <c r="B99" s="37"/>
      <c r="C99" s="38"/>
      <c r="D99" s="156" t="s">
        <v>259</v>
      </c>
      <c r="E99" s="89">
        <v>46193.0</v>
      </c>
      <c r="F99" s="72">
        <v>106.37</v>
      </c>
      <c r="G99" s="111">
        <v>1042106.89</v>
      </c>
      <c r="H99" s="111">
        <v>9797.0</v>
      </c>
      <c r="I99" s="152">
        <v>4898.0</v>
      </c>
      <c r="J99" s="153">
        <v>3265.0</v>
      </c>
      <c r="K99" s="154">
        <v>3918.0</v>
      </c>
      <c r="L99" s="154">
        <v>1959.0</v>
      </c>
      <c r="M99" s="93"/>
      <c r="N99" s="94">
        <v>9797.0</v>
      </c>
      <c r="O99" s="94"/>
      <c r="P99" s="94"/>
      <c r="Q99" s="94"/>
      <c r="R99" s="94"/>
      <c r="S99" s="94"/>
      <c r="T99" s="94"/>
      <c r="U99" s="94"/>
      <c r="V99" s="94"/>
      <c r="W99" s="94"/>
      <c r="X99" s="94"/>
      <c r="Y99" s="94"/>
      <c r="Z99" s="94"/>
      <c r="AA99" s="94"/>
      <c r="AB99" s="94"/>
      <c r="AC99" s="94"/>
      <c r="AD99" s="94"/>
      <c r="AE99" s="94"/>
    </row>
    <row r="100">
      <c r="A100" s="87"/>
      <c r="B100" s="37"/>
      <c r="C100" s="38"/>
      <c r="D100" s="156" t="s">
        <v>211</v>
      </c>
      <c r="E100" s="89">
        <v>46193.0</v>
      </c>
      <c r="F100" s="72">
        <v>106.34</v>
      </c>
      <c r="G100" s="111">
        <v>235117.74000000002</v>
      </c>
      <c r="H100" s="111">
        <v>2211.0</v>
      </c>
      <c r="I100" s="152">
        <v>1105.0</v>
      </c>
      <c r="J100" s="153">
        <v>737.0</v>
      </c>
      <c r="K100" s="154">
        <v>884.0</v>
      </c>
      <c r="L100" s="154">
        <v>442.0</v>
      </c>
      <c r="M100" s="93"/>
      <c r="N100" s="94">
        <v>2211.0</v>
      </c>
      <c r="O100" s="94"/>
      <c r="P100" s="94"/>
      <c r="Q100" s="94"/>
      <c r="R100" s="94"/>
      <c r="S100" s="94"/>
      <c r="T100" s="94"/>
      <c r="U100" s="94"/>
      <c r="V100" s="94"/>
      <c r="W100" s="94"/>
      <c r="X100" s="94"/>
      <c r="Y100" s="94"/>
      <c r="Z100" s="94"/>
      <c r="AA100" s="94"/>
      <c r="AB100" s="94"/>
      <c r="AC100" s="94"/>
      <c r="AD100" s="94"/>
      <c r="AE100" s="94"/>
    </row>
    <row r="101">
      <c r="A101" s="87"/>
      <c r="B101" s="37"/>
      <c r="C101" s="38"/>
      <c r="D101" s="156" t="s">
        <v>261</v>
      </c>
      <c r="E101" s="89">
        <v>46193.0</v>
      </c>
      <c r="F101" s="72">
        <v>106.43</v>
      </c>
      <c r="G101" s="111">
        <v>126651.70000000001</v>
      </c>
      <c r="H101" s="111">
        <v>1190.0</v>
      </c>
      <c r="I101" s="152">
        <v>595.0</v>
      </c>
      <c r="J101" s="153">
        <v>396.0</v>
      </c>
      <c r="K101" s="154">
        <v>476.0</v>
      </c>
      <c r="L101" s="154">
        <v>238.0</v>
      </c>
      <c r="M101" s="93"/>
      <c r="N101" s="94">
        <v>1190.0</v>
      </c>
      <c r="O101" s="94"/>
      <c r="P101" s="94"/>
      <c r="Q101" s="94"/>
      <c r="R101" s="94"/>
      <c r="S101" s="94"/>
      <c r="T101" s="94"/>
      <c r="U101" s="94"/>
      <c r="V101" s="94"/>
      <c r="W101" s="94"/>
      <c r="X101" s="94"/>
      <c r="Y101" s="94"/>
      <c r="Z101" s="94"/>
      <c r="AA101" s="94"/>
      <c r="AB101" s="94"/>
      <c r="AC101" s="94"/>
      <c r="AD101" s="94"/>
      <c r="AE101" s="94"/>
    </row>
    <row r="102">
      <c r="A102" s="87"/>
      <c r="B102" s="37"/>
      <c r="C102" s="38"/>
      <c r="D102" s="156" t="s">
        <v>242</v>
      </c>
      <c r="E102" s="89">
        <v>46193.0</v>
      </c>
      <c r="F102" s="72">
        <v>106.44</v>
      </c>
      <c r="G102" s="111">
        <v>232358.52</v>
      </c>
      <c r="H102" s="111">
        <v>2183.0</v>
      </c>
      <c r="I102" s="152">
        <v>1091.0</v>
      </c>
      <c r="J102" s="153">
        <v>727.0</v>
      </c>
      <c r="K102" s="154">
        <v>873.0</v>
      </c>
      <c r="L102" s="154">
        <v>436.0</v>
      </c>
      <c r="M102" s="93"/>
      <c r="N102" s="94">
        <v>2183.0</v>
      </c>
      <c r="O102" s="94"/>
      <c r="P102" s="94"/>
      <c r="Q102" s="94"/>
      <c r="R102" s="94"/>
      <c r="S102" s="94"/>
      <c r="T102" s="94"/>
      <c r="U102" s="94"/>
      <c r="V102" s="94"/>
      <c r="W102" s="94"/>
      <c r="X102" s="94"/>
      <c r="Y102" s="94"/>
      <c r="Z102" s="94"/>
      <c r="AA102" s="94"/>
      <c r="AB102" s="94"/>
      <c r="AC102" s="94"/>
      <c r="AD102" s="94"/>
      <c r="AE102" s="94"/>
    </row>
    <row r="103">
      <c r="A103" s="87"/>
      <c r="B103" s="37"/>
      <c r="C103" s="38"/>
      <c r="D103" s="156" t="s">
        <v>213</v>
      </c>
      <c r="E103" s="89">
        <v>46194.0</v>
      </c>
      <c r="F103" s="72">
        <v>106.34</v>
      </c>
      <c r="G103" s="111">
        <v>349645.92</v>
      </c>
      <c r="H103" s="111">
        <v>3288.0</v>
      </c>
      <c r="I103" s="152">
        <v>1644.0</v>
      </c>
      <c r="J103" s="153">
        <v>1096.0</v>
      </c>
      <c r="K103" s="154">
        <v>1315.0</v>
      </c>
      <c r="L103" s="154">
        <v>657.0</v>
      </c>
      <c r="M103" s="93"/>
      <c r="N103" s="94">
        <v>3288.0</v>
      </c>
      <c r="O103" s="94"/>
      <c r="P103" s="94"/>
      <c r="Q103" s="94"/>
      <c r="R103" s="94"/>
      <c r="S103" s="94"/>
      <c r="T103" s="94"/>
      <c r="U103" s="94"/>
      <c r="V103" s="94"/>
      <c r="W103" s="94"/>
      <c r="X103" s="94"/>
      <c r="Y103" s="94"/>
      <c r="Z103" s="94"/>
      <c r="AA103" s="94"/>
      <c r="AB103" s="94"/>
      <c r="AC103" s="94"/>
      <c r="AD103" s="94"/>
      <c r="AE103" s="94"/>
    </row>
    <row r="104">
      <c r="A104" s="87"/>
      <c r="B104" s="37"/>
      <c r="C104" s="38"/>
      <c r="D104" s="156" t="s">
        <v>755</v>
      </c>
      <c r="E104" s="89"/>
      <c r="F104" s="72"/>
      <c r="G104" s="111">
        <v>0.0</v>
      </c>
      <c r="H104" s="111"/>
      <c r="I104" s="152"/>
      <c r="J104" s="153"/>
      <c r="K104" s="154"/>
      <c r="L104" s="154"/>
      <c r="M104" s="93"/>
      <c r="N104" s="94"/>
      <c r="O104" s="94"/>
      <c r="P104" s="94"/>
      <c r="Q104" s="94"/>
      <c r="R104" s="94"/>
      <c r="S104" s="94"/>
      <c r="T104" s="94"/>
      <c r="U104" s="94"/>
      <c r="V104" s="94"/>
      <c r="W104" s="94"/>
      <c r="X104" s="94"/>
      <c r="Y104" s="94"/>
      <c r="Z104" s="94"/>
      <c r="AA104" s="94"/>
      <c r="AB104" s="94"/>
      <c r="AC104" s="94"/>
      <c r="AD104" s="94"/>
      <c r="AE104" s="94"/>
    </row>
    <row r="105">
      <c r="A105" s="87"/>
      <c r="B105" s="37"/>
      <c r="C105" s="38"/>
      <c r="D105" s="156" t="s">
        <v>756</v>
      </c>
      <c r="E105" s="89"/>
      <c r="F105" s="72"/>
      <c r="G105" s="111">
        <v>0.0</v>
      </c>
      <c r="H105" s="111"/>
      <c r="I105" s="152"/>
      <c r="J105" s="153"/>
      <c r="K105" s="154"/>
      <c r="L105" s="154"/>
      <c r="M105" s="93"/>
      <c r="N105" s="94"/>
      <c r="O105" s="94"/>
      <c r="P105" s="94"/>
      <c r="Q105" s="94"/>
      <c r="R105" s="94"/>
      <c r="S105" s="94"/>
      <c r="T105" s="94"/>
      <c r="U105" s="94"/>
      <c r="V105" s="94"/>
      <c r="W105" s="94"/>
      <c r="X105" s="94"/>
      <c r="Y105" s="94"/>
      <c r="Z105" s="94"/>
      <c r="AA105" s="94"/>
      <c r="AB105" s="94"/>
      <c r="AC105" s="94"/>
      <c r="AD105" s="94"/>
      <c r="AE105" s="94"/>
    </row>
    <row r="106">
      <c r="A106" s="87"/>
      <c r="B106" s="37"/>
      <c r="C106" s="38"/>
      <c r="D106" s="156" t="s">
        <v>190</v>
      </c>
      <c r="E106" s="89">
        <v>46193.0</v>
      </c>
      <c r="F106" s="72">
        <v>110.3</v>
      </c>
      <c r="G106" s="111">
        <v>135117.5</v>
      </c>
      <c r="H106" s="111">
        <v>1225.0</v>
      </c>
      <c r="I106" s="152">
        <v>612.0</v>
      </c>
      <c r="J106" s="153">
        <v>408.0</v>
      </c>
      <c r="K106" s="154">
        <v>490.0</v>
      </c>
      <c r="L106" s="154">
        <v>245.0</v>
      </c>
      <c r="M106" s="93"/>
      <c r="N106" s="94">
        <v>1225.0</v>
      </c>
      <c r="O106" s="94"/>
      <c r="P106" s="94"/>
      <c r="Q106" s="94"/>
      <c r="R106" s="94"/>
      <c r="S106" s="94"/>
      <c r="T106" s="94"/>
      <c r="U106" s="94"/>
      <c r="V106" s="94"/>
      <c r="W106" s="94"/>
      <c r="X106" s="94"/>
      <c r="Y106" s="94"/>
      <c r="Z106" s="94"/>
      <c r="AA106" s="94"/>
      <c r="AB106" s="94"/>
      <c r="AC106" s="94"/>
      <c r="AD106" s="94"/>
      <c r="AE106" s="94"/>
    </row>
    <row r="107">
      <c r="A107" s="87"/>
      <c r="B107" s="37"/>
      <c r="C107" s="38"/>
      <c r="D107" s="156" t="s">
        <v>214</v>
      </c>
      <c r="E107" s="89">
        <v>46193.0</v>
      </c>
      <c r="F107" s="72">
        <v>106.34</v>
      </c>
      <c r="G107" s="111">
        <v>103681.5</v>
      </c>
      <c r="H107" s="111">
        <v>975.0</v>
      </c>
      <c r="I107" s="152">
        <v>487.0</v>
      </c>
      <c r="J107" s="153">
        <v>325.0</v>
      </c>
      <c r="K107" s="154">
        <v>390.0</v>
      </c>
      <c r="L107" s="154">
        <v>195.0</v>
      </c>
      <c r="M107" s="93"/>
      <c r="N107" s="94">
        <v>975.0</v>
      </c>
      <c r="O107" s="94"/>
      <c r="P107" s="94"/>
      <c r="Q107" s="94"/>
      <c r="R107" s="94"/>
      <c r="S107" s="94"/>
      <c r="T107" s="94"/>
      <c r="U107" s="94"/>
      <c r="V107" s="94"/>
      <c r="W107" s="94"/>
      <c r="X107" s="94"/>
      <c r="Y107" s="94"/>
      <c r="Z107" s="94"/>
      <c r="AA107" s="94"/>
      <c r="AB107" s="94"/>
      <c r="AC107" s="94"/>
      <c r="AD107" s="94"/>
      <c r="AE107" s="94"/>
    </row>
    <row r="108">
      <c r="A108" s="87"/>
      <c r="B108" s="37"/>
      <c r="C108" s="38"/>
      <c r="D108" s="156" t="s">
        <v>757</v>
      </c>
      <c r="E108" s="89"/>
      <c r="F108" s="72"/>
      <c r="G108" s="111">
        <v>0.0</v>
      </c>
      <c r="H108" s="111"/>
      <c r="I108" s="152"/>
      <c r="J108" s="153"/>
      <c r="K108" s="154"/>
      <c r="L108" s="154"/>
      <c r="M108" s="93"/>
      <c r="N108" s="94"/>
      <c r="O108" s="94"/>
      <c r="P108" s="94"/>
      <c r="Q108" s="94"/>
      <c r="R108" s="94"/>
      <c r="S108" s="94"/>
      <c r="T108" s="94"/>
      <c r="U108" s="94"/>
      <c r="V108" s="94"/>
      <c r="W108" s="94"/>
      <c r="X108" s="94"/>
      <c r="Y108" s="94"/>
      <c r="Z108" s="94"/>
      <c r="AA108" s="94"/>
      <c r="AB108" s="94"/>
      <c r="AC108" s="94"/>
      <c r="AD108" s="94"/>
      <c r="AE108" s="94"/>
    </row>
    <row r="109">
      <c r="A109" s="87"/>
      <c r="B109" s="37"/>
      <c r="C109" s="38"/>
      <c r="D109" s="156" t="s">
        <v>234</v>
      </c>
      <c r="E109" s="89">
        <v>46166.0</v>
      </c>
      <c r="F109" s="72">
        <v>969.33</v>
      </c>
      <c r="G109" s="111">
        <v>43619.85</v>
      </c>
      <c r="H109" s="111">
        <v>45.0</v>
      </c>
      <c r="I109" s="152">
        <v>22.0</v>
      </c>
      <c r="J109" s="153">
        <v>15.0</v>
      </c>
      <c r="K109" s="154">
        <v>18.0</v>
      </c>
      <c r="L109" s="154">
        <v>9.0</v>
      </c>
      <c r="M109" s="93"/>
      <c r="N109" s="94">
        <v>45.0</v>
      </c>
      <c r="O109" s="94"/>
      <c r="P109" s="94"/>
      <c r="Q109" s="94"/>
      <c r="R109" s="94"/>
      <c r="S109" s="94"/>
      <c r="T109" s="94"/>
      <c r="U109" s="94"/>
      <c r="V109" s="94"/>
      <c r="W109" s="94"/>
      <c r="X109" s="94"/>
      <c r="Y109" s="94"/>
      <c r="Z109" s="94"/>
      <c r="AA109" s="94"/>
      <c r="AB109" s="94"/>
      <c r="AC109" s="94"/>
      <c r="AD109" s="94"/>
      <c r="AE109" s="94"/>
    </row>
    <row r="110">
      <c r="A110" s="87"/>
      <c r="B110" s="37"/>
      <c r="C110" s="38"/>
      <c r="D110" s="156" t="s">
        <v>93</v>
      </c>
      <c r="E110" s="89">
        <v>46084.0</v>
      </c>
      <c r="F110" s="72">
        <v>726.09</v>
      </c>
      <c r="G110" s="111">
        <v>0.0</v>
      </c>
      <c r="H110" s="111"/>
      <c r="I110" s="152"/>
      <c r="J110" s="153"/>
      <c r="K110" s="154"/>
      <c r="L110" s="154"/>
      <c r="M110" s="93">
        <v>7.0</v>
      </c>
      <c r="N110" s="94">
        <v>-7.0</v>
      </c>
      <c r="O110" s="94"/>
      <c r="P110" s="94"/>
      <c r="Q110" s="94"/>
      <c r="R110" s="94"/>
      <c r="S110" s="94"/>
      <c r="T110" s="94"/>
      <c r="U110" s="94"/>
      <c r="V110" s="94"/>
      <c r="W110" s="94"/>
      <c r="X110" s="94"/>
      <c r="Y110" s="94"/>
      <c r="Z110" s="94"/>
      <c r="AA110" s="94"/>
      <c r="AB110" s="94"/>
      <c r="AC110" s="94"/>
      <c r="AD110" s="94"/>
      <c r="AE110" s="94"/>
    </row>
    <row r="111">
      <c r="A111" s="87"/>
      <c r="B111" s="37"/>
      <c r="C111" s="38"/>
      <c r="D111" s="156" t="s">
        <v>96</v>
      </c>
      <c r="E111" s="89">
        <v>46196.0</v>
      </c>
      <c r="F111" s="72">
        <v>315.0</v>
      </c>
      <c r="G111" s="111">
        <v>351540.0</v>
      </c>
      <c r="H111" s="111">
        <v>1116.0</v>
      </c>
      <c r="I111" s="152">
        <v>558.0</v>
      </c>
      <c r="J111" s="153">
        <v>372.0</v>
      </c>
      <c r="K111" s="154">
        <v>446.0</v>
      </c>
      <c r="L111" s="154">
        <v>223.0</v>
      </c>
      <c r="M111" s="93"/>
      <c r="N111" s="94">
        <v>1116.0</v>
      </c>
      <c r="O111" s="94"/>
      <c r="P111" s="94"/>
      <c r="Q111" s="94"/>
      <c r="R111" s="94"/>
      <c r="S111" s="94"/>
      <c r="T111" s="94"/>
      <c r="U111" s="94"/>
      <c r="V111" s="94"/>
      <c r="W111" s="94"/>
      <c r="X111" s="94"/>
      <c r="Y111" s="94"/>
      <c r="Z111" s="94"/>
      <c r="AA111" s="94"/>
      <c r="AB111" s="94"/>
      <c r="AC111" s="94"/>
      <c r="AD111" s="94"/>
      <c r="AE111" s="94"/>
    </row>
    <row r="112">
      <c r="A112" s="87"/>
      <c r="B112" s="37"/>
      <c r="C112" s="38"/>
      <c r="D112" s="156" t="s">
        <v>215</v>
      </c>
      <c r="E112" s="89">
        <v>46193.0</v>
      </c>
      <c r="F112" s="72">
        <v>106.34</v>
      </c>
      <c r="G112" s="111">
        <v>114102.82</v>
      </c>
      <c r="H112" s="111">
        <v>1073.0</v>
      </c>
      <c r="I112" s="152">
        <v>536.0</v>
      </c>
      <c r="J112" s="153">
        <v>357.0</v>
      </c>
      <c r="K112" s="154">
        <v>429.0</v>
      </c>
      <c r="L112" s="154">
        <v>214.0</v>
      </c>
      <c r="M112" s="93"/>
      <c r="N112" s="94">
        <v>1073.0</v>
      </c>
      <c r="O112" s="94"/>
      <c r="P112" s="94"/>
      <c r="Q112" s="94"/>
      <c r="R112" s="94"/>
      <c r="S112" s="94"/>
      <c r="T112" s="94"/>
      <c r="U112" s="94"/>
      <c r="V112" s="94"/>
      <c r="W112" s="94"/>
      <c r="X112" s="94"/>
      <c r="Y112" s="94"/>
      <c r="Z112" s="94"/>
      <c r="AA112" s="94"/>
      <c r="AB112" s="94"/>
      <c r="AC112" s="94"/>
      <c r="AD112" s="94"/>
      <c r="AE112" s="94"/>
    </row>
    <row r="113">
      <c r="A113" s="87"/>
      <c r="B113" s="37"/>
      <c r="C113" s="38"/>
      <c r="D113" s="156" t="s">
        <v>262</v>
      </c>
      <c r="E113" s="89">
        <v>46193.0</v>
      </c>
      <c r="F113" s="72">
        <v>106.29</v>
      </c>
      <c r="G113" s="111">
        <v>172721.25</v>
      </c>
      <c r="H113" s="111">
        <v>1625.0</v>
      </c>
      <c r="I113" s="152">
        <v>812.0</v>
      </c>
      <c r="J113" s="153">
        <v>541.0</v>
      </c>
      <c r="K113" s="154">
        <v>650.0</v>
      </c>
      <c r="L113" s="154">
        <v>325.0</v>
      </c>
      <c r="M113" s="93"/>
      <c r="N113" s="94">
        <v>1625.0</v>
      </c>
      <c r="O113" s="94"/>
      <c r="P113" s="94"/>
      <c r="Q113" s="94"/>
      <c r="R113" s="94"/>
      <c r="S113" s="94"/>
      <c r="T113" s="94"/>
      <c r="U113" s="94"/>
      <c r="V113" s="94"/>
      <c r="W113" s="94"/>
      <c r="X113" s="94"/>
      <c r="Y113" s="94"/>
      <c r="Z113" s="94"/>
      <c r="AA113" s="94"/>
      <c r="AB113" s="94"/>
      <c r="AC113" s="94"/>
      <c r="AD113" s="94"/>
      <c r="AE113" s="94"/>
    </row>
    <row r="114">
      <c r="A114" s="87"/>
      <c r="B114" s="37"/>
      <c r="C114" s="38"/>
      <c r="D114" s="156" t="s">
        <v>263</v>
      </c>
      <c r="E114" s="89">
        <v>46193.0</v>
      </c>
      <c r="F114" s="72">
        <v>106.29</v>
      </c>
      <c r="G114" s="111">
        <v>212048.55000000002</v>
      </c>
      <c r="H114" s="111">
        <v>1995.0</v>
      </c>
      <c r="I114" s="152">
        <v>997.0</v>
      </c>
      <c r="J114" s="153">
        <v>665.0</v>
      </c>
      <c r="K114" s="154">
        <v>798.0</v>
      </c>
      <c r="L114" s="154">
        <v>399.0</v>
      </c>
      <c r="M114" s="93"/>
      <c r="N114" s="94">
        <v>1995.0</v>
      </c>
      <c r="O114" s="94"/>
      <c r="P114" s="94"/>
      <c r="Q114" s="94"/>
      <c r="R114" s="94"/>
      <c r="S114" s="94"/>
      <c r="T114" s="94"/>
      <c r="U114" s="94"/>
      <c r="V114" s="94"/>
      <c r="W114" s="94"/>
      <c r="X114" s="94"/>
      <c r="Y114" s="94"/>
      <c r="Z114" s="94"/>
      <c r="AA114" s="94"/>
      <c r="AB114" s="94"/>
      <c r="AC114" s="94"/>
      <c r="AD114" s="94"/>
      <c r="AE114" s="94"/>
    </row>
    <row r="115">
      <c r="A115" s="87"/>
      <c r="B115" s="37"/>
      <c r="C115" s="38"/>
      <c r="D115" s="156" t="s">
        <v>216</v>
      </c>
      <c r="E115" s="89">
        <v>46193.0</v>
      </c>
      <c r="F115" s="72">
        <v>106.34</v>
      </c>
      <c r="G115" s="111">
        <v>217784.32</v>
      </c>
      <c r="H115" s="111">
        <v>2048.0</v>
      </c>
      <c r="I115" s="152">
        <v>1024.0</v>
      </c>
      <c r="J115" s="153">
        <v>682.0</v>
      </c>
      <c r="K115" s="154">
        <v>819.0</v>
      </c>
      <c r="L115" s="154">
        <v>409.0</v>
      </c>
      <c r="M115" s="93"/>
      <c r="N115" s="94">
        <v>2048.0</v>
      </c>
      <c r="O115" s="94"/>
      <c r="P115" s="94"/>
      <c r="Q115" s="94"/>
      <c r="R115" s="94"/>
      <c r="S115" s="94"/>
      <c r="T115" s="94"/>
      <c r="U115" s="94"/>
      <c r="V115" s="94"/>
      <c r="W115" s="94"/>
      <c r="X115" s="94"/>
      <c r="Y115" s="94"/>
      <c r="Z115" s="94"/>
      <c r="AA115" s="94"/>
      <c r="AB115" s="94"/>
      <c r="AC115" s="94"/>
      <c r="AD115" s="94"/>
      <c r="AE115" s="94"/>
    </row>
    <row r="116">
      <c r="A116" s="87"/>
      <c r="B116" s="37"/>
      <c r="C116" s="38"/>
      <c r="D116" s="156" t="s">
        <v>264</v>
      </c>
      <c r="E116" s="89">
        <v>46193.0</v>
      </c>
      <c r="F116" s="72">
        <v>106.31999999999998</v>
      </c>
      <c r="G116" s="111">
        <v>156609.35999999996</v>
      </c>
      <c r="H116" s="111">
        <v>1473.0</v>
      </c>
      <c r="I116" s="152">
        <v>736.0</v>
      </c>
      <c r="J116" s="153">
        <v>491.0</v>
      </c>
      <c r="K116" s="154">
        <v>589.0</v>
      </c>
      <c r="L116" s="154">
        <v>294.0</v>
      </c>
      <c r="M116" s="93"/>
      <c r="N116" s="94">
        <v>1473.0</v>
      </c>
      <c r="O116" s="94"/>
      <c r="P116" s="94"/>
      <c r="Q116" s="94"/>
      <c r="R116" s="94"/>
      <c r="S116" s="94"/>
      <c r="T116" s="94"/>
      <c r="U116" s="94"/>
      <c r="V116" s="94"/>
      <c r="W116" s="94"/>
      <c r="X116" s="94"/>
      <c r="Y116" s="94"/>
      <c r="Z116" s="94"/>
      <c r="AA116" s="94"/>
      <c r="AB116" s="94"/>
      <c r="AC116" s="94"/>
      <c r="AD116" s="94"/>
      <c r="AE116" s="94"/>
    </row>
    <row r="117">
      <c r="A117" s="87"/>
      <c r="B117" s="37"/>
      <c r="C117" s="38"/>
      <c r="D117" s="156" t="s">
        <v>265</v>
      </c>
      <c r="E117" s="89">
        <v>46193.0</v>
      </c>
      <c r="F117" s="72">
        <v>106.34000000000002</v>
      </c>
      <c r="G117" s="111">
        <v>145154.10000000003</v>
      </c>
      <c r="H117" s="111">
        <v>1365.0</v>
      </c>
      <c r="I117" s="152">
        <v>682.0</v>
      </c>
      <c r="J117" s="153">
        <v>455.0</v>
      </c>
      <c r="K117" s="154">
        <v>546.0</v>
      </c>
      <c r="L117" s="154">
        <v>273.0</v>
      </c>
      <c r="M117" s="93"/>
      <c r="N117" s="94">
        <v>1365.0</v>
      </c>
      <c r="O117" s="94"/>
      <c r="P117" s="94"/>
      <c r="Q117" s="94"/>
      <c r="R117" s="94"/>
      <c r="S117" s="94"/>
      <c r="T117" s="94"/>
      <c r="U117" s="94"/>
      <c r="V117" s="94"/>
      <c r="W117" s="94"/>
      <c r="X117" s="94"/>
      <c r="Y117" s="94"/>
      <c r="Z117" s="94"/>
      <c r="AA117" s="94"/>
      <c r="AB117" s="94"/>
      <c r="AC117" s="94"/>
      <c r="AD117" s="94"/>
      <c r="AE117" s="94"/>
    </row>
    <row r="118">
      <c r="A118" s="87"/>
      <c r="B118" s="37"/>
      <c r="C118" s="38"/>
      <c r="D118" s="156" t="s">
        <v>217</v>
      </c>
      <c r="E118" s="89">
        <v>46193.0</v>
      </c>
      <c r="F118" s="72">
        <v>106.34</v>
      </c>
      <c r="G118" s="111">
        <v>84008.6</v>
      </c>
      <c r="H118" s="111">
        <v>790.0</v>
      </c>
      <c r="I118" s="152">
        <v>395.0</v>
      </c>
      <c r="J118" s="153">
        <v>263.0</v>
      </c>
      <c r="K118" s="154">
        <v>316.0</v>
      </c>
      <c r="L118" s="154">
        <v>158.0</v>
      </c>
      <c r="M118" s="93"/>
      <c r="N118" s="94">
        <v>790.0</v>
      </c>
      <c r="O118" s="94"/>
      <c r="P118" s="94"/>
      <c r="Q118" s="94"/>
      <c r="R118" s="94"/>
      <c r="S118" s="94"/>
      <c r="T118" s="94"/>
      <c r="U118" s="94"/>
      <c r="V118" s="94"/>
      <c r="W118" s="94"/>
      <c r="X118" s="94"/>
      <c r="Y118" s="94"/>
      <c r="Z118" s="94"/>
      <c r="AA118" s="94"/>
      <c r="AB118" s="94"/>
      <c r="AC118" s="94"/>
      <c r="AD118" s="94"/>
      <c r="AE118" s="94"/>
    </row>
    <row r="119">
      <c r="A119" s="87"/>
      <c r="B119" s="37"/>
      <c r="C119" s="38"/>
      <c r="D119" s="156" t="s">
        <v>771</v>
      </c>
      <c r="E119" s="89"/>
      <c r="F119" s="72"/>
      <c r="G119" s="111">
        <v>0.0</v>
      </c>
      <c r="H119" s="111"/>
      <c r="I119" s="152"/>
      <c r="J119" s="153"/>
      <c r="K119" s="154"/>
      <c r="L119" s="154"/>
      <c r="M119" s="93"/>
      <c r="N119" s="94"/>
      <c r="O119" s="94"/>
      <c r="P119" s="94"/>
      <c r="Q119" s="94"/>
      <c r="R119" s="94"/>
      <c r="S119" s="94"/>
      <c r="T119" s="94"/>
      <c r="U119" s="94"/>
      <c r="V119" s="94"/>
      <c r="W119" s="94"/>
      <c r="X119" s="94"/>
      <c r="Y119" s="94"/>
      <c r="Z119" s="94"/>
      <c r="AA119" s="94"/>
      <c r="AB119" s="94"/>
      <c r="AC119" s="94"/>
      <c r="AD119" s="94"/>
      <c r="AE119" s="94"/>
    </row>
    <row r="120">
      <c r="A120" s="87"/>
      <c r="B120" s="37"/>
      <c r="C120" s="38"/>
      <c r="D120" s="156" t="s">
        <v>380</v>
      </c>
      <c r="E120" s="89"/>
      <c r="F120" s="72">
        <v>1012.7395069508701</v>
      </c>
      <c r="G120" s="111">
        <v>0.0</v>
      </c>
      <c r="H120" s="111"/>
      <c r="I120" s="152"/>
      <c r="J120" s="153"/>
      <c r="K120" s="154"/>
      <c r="L120" s="154"/>
      <c r="M120" s="93"/>
      <c r="N120" s="94"/>
      <c r="O120" s="94"/>
      <c r="P120" s="94"/>
      <c r="Q120" s="94"/>
      <c r="R120" s="94"/>
      <c r="S120" s="94"/>
      <c r="T120" s="94"/>
      <c r="U120" s="94"/>
      <c r="V120" s="94"/>
      <c r="W120" s="94"/>
      <c r="X120" s="94"/>
      <c r="Y120" s="94"/>
      <c r="Z120" s="94"/>
      <c r="AA120" s="94"/>
      <c r="AB120" s="94"/>
      <c r="AC120" s="94"/>
      <c r="AD120" s="94"/>
      <c r="AE120" s="94"/>
    </row>
    <row r="121">
      <c r="A121" s="87"/>
      <c r="B121" s="37"/>
      <c r="C121" s="38"/>
      <c r="D121" s="156" t="s">
        <v>772</v>
      </c>
      <c r="E121" s="89"/>
      <c r="F121" s="72"/>
      <c r="G121" s="111">
        <v>0.0</v>
      </c>
      <c r="H121" s="111"/>
      <c r="I121" s="152"/>
      <c r="J121" s="153"/>
      <c r="K121" s="154"/>
      <c r="L121" s="154"/>
      <c r="M121" s="93"/>
      <c r="N121" s="94"/>
      <c r="O121" s="94"/>
      <c r="P121" s="94"/>
      <c r="Q121" s="94"/>
      <c r="R121" s="94"/>
      <c r="S121" s="94"/>
      <c r="T121" s="94"/>
      <c r="U121" s="94"/>
      <c r="V121" s="94"/>
      <c r="W121" s="94"/>
      <c r="X121" s="94"/>
      <c r="Y121" s="94"/>
      <c r="Z121" s="94"/>
      <c r="AA121" s="94"/>
      <c r="AB121" s="94"/>
      <c r="AC121" s="94"/>
      <c r="AD121" s="94"/>
      <c r="AE121" s="94"/>
    </row>
    <row r="122">
      <c r="A122" s="87"/>
      <c r="B122" s="37"/>
      <c r="C122" s="38"/>
      <c r="D122" s="156" t="s">
        <v>65</v>
      </c>
      <c r="E122" s="89">
        <v>46195.0</v>
      </c>
      <c r="F122" s="72">
        <v>640.67</v>
      </c>
      <c r="G122" s="111">
        <v>413872.81999999995</v>
      </c>
      <c r="H122" s="111">
        <v>646.0</v>
      </c>
      <c r="I122" s="152">
        <v>323.0</v>
      </c>
      <c r="J122" s="153">
        <v>215.0</v>
      </c>
      <c r="K122" s="154">
        <v>258.0</v>
      </c>
      <c r="L122" s="154">
        <v>129.0</v>
      </c>
      <c r="M122" s="93"/>
      <c r="N122" s="94">
        <v>646.0</v>
      </c>
      <c r="O122" s="94"/>
      <c r="P122" s="94"/>
      <c r="Q122" s="94"/>
      <c r="R122" s="94"/>
      <c r="S122" s="94"/>
      <c r="T122" s="94"/>
      <c r="U122" s="94"/>
      <c r="V122" s="94"/>
      <c r="W122" s="94"/>
      <c r="X122" s="94"/>
      <c r="Y122" s="94"/>
      <c r="Z122" s="94"/>
      <c r="AA122" s="94"/>
      <c r="AB122" s="94"/>
      <c r="AC122" s="94"/>
      <c r="AD122" s="94"/>
      <c r="AE122" s="94"/>
    </row>
    <row r="123">
      <c r="A123" s="87"/>
      <c r="B123" s="37"/>
      <c r="C123" s="38"/>
      <c r="D123" s="156" t="s">
        <v>42</v>
      </c>
      <c r="E123" s="89">
        <v>46198.0</v>
      </c>
      <c r="F123" s="72">
        <v>559.96</v>
      </c>
      <c r="G123" s="111">
        <v>309097.92000000004</v>
      </c>
      <c r="H123" s="111">
        <v>552.0</v>
      </c>
      <c r="I123" s="152">
        <v>276.0</v>
      </c>
      <c r="J123" s="153">
        <v>184.0</v>
      </c>
      <c r="K123" s="154">
        <v>220.0</v>
      </c>
      <c r="L123" s="154">
        <v>110.0</v>
      </c>
      <c r="M123" s="93"/>
      <c r="N123" s="94">
        <v>552.0</v>
      </c>
      <c r="O123" s="94"/>
      <c r="P123" s="94"/>
      <c r="Q123" s="94"/>
      <c r="R123" s="94"/>
      <c r="S123" s="94"/>
      <c r="T123" s="94"/>
      <c r="U123" s="94"/>
      <c r="V123" s="94"/>
      <c r="W123" s="94"/>
      <c r="X123" s="94"/>
      <c r="Y123" s="94"/>
      <c r="Z123" s="94"/>
      <c r="AA123" s="94"/>
      <c r="AB123" s="94"/>
      <c r="AC123" s="94"/>
      <c r="AD123" s="94"/>
      <c r="AE123" s="94"/>
    </row>
    <row r="124">
      <c r="A124" s="87"/>
      <c r="B124" s="37"/>
      <c r="C124" s="38"/>
      <c r="D124" s="156" t="s">
        <v>85</v>
      </c>
      <c r="E124" s="89">
        <v>46198.0</v>
      </c>
      <c r="F124" s="72">
        <v>1775.5035252336133</v>
      </c>
      <c r="G124" s="111">
        <v>1423953.8272373579</v>
      </c>
      <c r="H124" s="111">
        <v>802.0</v>
      </c>
      <c r="I124" s="152">
        <v>401.0</v>
      </c>
      <c r="J124" s="153">
        <v>267.0</v>
      </c>
      <c r="K124" s="154">
        <v>320.0</v>
      </c>
      <c r="L124" s="154">
        <v>160.0</v>
      </c>
      <c r="M124" s="93"/>
      <c r="N124" s="94">
        <v>802.0</v>
      </c>
      <c r="O124" s="94"/>
      <c r="P124" s="94"/>
      <c r="Q124" s="94"/>
      <c r="R124" s="94"/>
      <c r="S124" s="94"/>
      <c r="T124" s="94"/>
      <c r="U124" s="94"/>
      <c r="V124" s="94"/>
      <c r="W124" s="94"/>
      <c r="X124" s="94"/>
      <c r="Y124" s="94"/>
      <c r="Z124" s="94"/>
      <c r="AA124" s="94"/>
      <c r="AB124" s="94"/>
      <c r="AC124" s="94"/>
      <c r="AD124" s="94"/>
      <c r="AE124" s="94"/>
    </row>
    <row r="125">
      <c r="A125" s="87"/>
      <c r="B125" s="37"/>
      <c r="C125" s="38"/>
      <c r="D125" s="156" t="s">
        <v>157</v>
      </c>
      <c r="E125" s="89">
        <v>46196.0</v>
      </c>
      <c r="F125" s="72">
        <v>2032.2872928176796</v>
      </c>
      <c r="G125" s="111">
        <v>1.3211899690607736E7</v>
      </c>
      <c r="H125" s="111">
        <v>6501.0</v>
      </c>
      <c r="I125" s="152">
        <v>3250.0</v>
      </c>
      <c r="J125" s="153">
        <v>2167.0</v>
      </c>
      <c r="K125" s="154">
        <v>2600.0</v>
      </c>
      <c r="L125" s="154">
        <v>1300.0</v>
      </c>
      <c r="M125" s="93"/>
      <c r="N125" s="94">
        <v>6501.0</v>
      </c>
      <c r="O125" s="94"/>
      <c r="P125" s="94"/>
      <c r="Q125" s="94"/>
      <c r="R125" s="94"/>
      <c r="S125" s="94"/>
      <c r="T125" s="94"/>
      <c r="U125" s="94"/>
      <c r="V125" s="94"/>
      <c r="W125" s="94"/>
      <c r="X125" s="94"/>
      <c r="Y125" s="94"/>
      <c r="Z125" s="94"/>
      <c r="AA125" s="94"/>
      <c r="AB125" s="94"/>
      <c r="AC125" s="94"/>
      <c r="AD125" s="94"/>
      <c r="AE125" s="94"/>
    </row>
    <row r="126">
      <c r="A126" s="87"/>
      <c r="B126" s="37"/>
      <c r="C126" s="38"/>
      <c r="D126" s="156" t="s">
        <v>405</v>
      </c>
      <c r="E126" s="89"/>
      <c r="F126" s="72">
        <v>1896.611739130435</v>
      </c>
      <c r="G126" s="111">
        <v>0.0</v>
      </c>
      <c r="H126" s="111"/>
      <c r="I126" s="152"/>
      <c r="J126" s="153"/>
      <c r="K126" s="154"/>
      <c r="L126" s="154"/>
      <c r="M126" s="93"/>
      <c r="N126" s="94"/>
      <c r="O126" s="94"/>
      <c r="P126" s="94"/>
      <c r="Q126" s="94"/>
      <c r="R126" s="94"/>
      <c r="S126" s="94"/>
      <c r="T126" s="94"/>
      <c r="U126" s="94"/>
      <c r="V126" s="94"/>
      <c r="W126" s="94"/>
      <c r="X126" s="94"/>
      <c r="Y126" s="94"/>
      <c r="Z126" s="94"/>
      <c r="AA126" s="94"/>
      <c r="AB126" s="94"/>
      <c r="AC126" s="94"/>
      <c r="AD126" s="94"/>
      <c r="AE126" s="94"/>
    </row>
    <row r="127">
      <c r="A127" s="87"/>
      <c r="B127" s="37"/>
      <c r="C127" s="38"/>
      <c r="D127" s="156" t="s">
        <v>404</v>
      </c>
      <c r="E127" s="89"/>
      <c r="F127" s="72">
        <v>1896.6117391304347</v>
      </c>
      <c r="G127" s="111">
        <v>0.0</v>
      </c>
      <c r="H127" s="111"/>
      <c r="I127" s="152"/>
      <c r="J127" s="153"/>
      <c r="K127" s="154"/>
      <c r="L127" s="154"/>
      <c r="M127" s="93"/>
      <c r="N127" s="94"/>
      <c r="O127" s="94"/>
      <c r="P127" s="94"/>
      <c r="Q127" s="94"/>
      <c r="R127" s="94"/>
      <c r="S127" s="94"/>
      <c r="T127" s="94"/>
      <c r="U127" s="94"/>
      <c r="V127" s="94"/>
      <c r="W127" s="94"/>
      <c r="X127" s="94"/>
      <c r="Y127" s="94"/>
      <c r="Z127" s="94"/>
      <c r="AA127" s="94"/>
      <c r="AB127" s="94"/>
      <c r="AC127" s="94"/>
      <c r="AD127" s="94"/>
      <c r="AE127" s="94"/>
    </row>
    <row r="128">
      <c r="A128" s="87"/>
      <c r="B128" s="37"/>
      <c r="C128" s="38"/>
      <c r="D128" s="156" t="s">
        <v>266</v>
      </c>
      <c r="E128" s="89">
        <v>46196.0</v>
      </c>
      <c r="F128" s="72">
        <v>4279.22</v>
      </c>
      <c r="G128" s="111">
        <v>-4279.22</v>
      </c>
      <c r="H128" s="111">
        <v>-1.0</v>
      </c>
      <c r="I128" s="152">
        <v>0.0</v>
      </c>
      <c r="J128" s="153">
        <v>0.0</v>
      </c>
      <c r="K128" s="154">
        <v>0.0</v>
      </c>
      <c r="L128" s="154">
        <v>0.0</v>
      </c>
      <c r="M128" s="93"/>
      <c r="N128" s="94">
        <v>-1.0</v>
      </c>
      <c r="O128" s="94"/>
      <c r="P128" s="94"/>
      <c r="Q128" s="94"/>
      <c r="R128" s="94"/>
      <c r="S128" s="94"/>
      <c r="T128" s="94"/>
      <c r="U128" s="94"/>
      <c r="V128" s="94"/>
      <c r="W128" s="94"/>
      <c r="X128" s="94"/>
      <c r="Y128" s="94"/>
      <c r="Z128" s="94"/>
      <c r="AA128" s="94"/>
      <c r="AB128" s="94"/>
      <c r="AC128" s="94"/>
      <c r="AD128" s="94"/>
      <c r="AE128" s="94"/>
    </row>
    <row r="129">
      <c r="A129" s="87"/>
      <c r="B129" s="37"/>
      <c r="C129" s="38"/>
      <c r="D129" s="156" t="s">
        <v>88</v>
      </c>
      <c r="E129" s="89">
        <v>46195.0</v>
      </c>
      <c r="F129" s="72">
        <v>1775.5035252336136</v>
      </c>
      <c r="G129" s="111">
        <v>3520823.490538256</v>
      </c>
      <c r="H129" s="111">
        <v>1983.0</v>
      </c>
      <c r="I129" s="152">
        <v>991.0</v>
      </c>
      <c r="J129" s="153">
        <v>661.0</v>
      </c>
      <c r="K129" s="154">
        <v>793.0</v>
      </c>
      <c r="L129" s="154">
        <v>396.0</v>
      </c>
      <c r="M129" s="93"/>
      <c r="N129" s="94">
        <v>1983.0</v>
      </c>
      <c r="O129" s="94"/>
      <c r="P129" s="94"/>
      <c r="Q129" s="94"/>
      <c r="R129" s="94"/>
      <c r="S129" s="94"/>
      <c r="T129" s="94"/>
      <c r="U129" s="94"/>
      <c r="V129" s="94"/>
      <c r="W129" s="94"/>
      <c r="X129" s="94"/>
      <c r="Y129" s="94"/>
      <c r="Z129" s="94"/>
      <c r="AA129" s="94"/>
      <c r="AB129" s="94"/>
      <c r="AC129" s="94"/>
      <c r="AD129" s="94"/>
      <c r="AE129" s="94"/>
    </row>
    <row r="130">
      <c r="A130" s="87"/>
      <c r="B130" s="37"/>
      <c r="C130" s="38"/>
      <c r="D130" s="156" t="s">
        <v>136</v>
      </c>
      <c r="E130" s="89">
        <v>46186.0</v>
      </c>
      <c r="F130" s="72">
        <v>1896.6117391304351</v>
      </c>
      <c r="G130" s="111">
        <v>352769.7834782609</v>
      </c>
      <c r="H130" s="111">
        <v>186.0</v>
      </c>
      <c r="I130" s="152">
        <v>93.0</v>
      </c>
      <c r="J130" s="153">
        <v>62.0</v>
      </c>
      <c r="K130" s="154">
        <v>74.0</v>
      </c>
      <c r="L130" s="154">
        <v>37.0</v>
      </c>
      <c r="M130" s="93"/>
      <c r="N130" s="94">
        <v>186.0</v>
      </c>
      <c r="O130" s="94"/>
      <c r="P130" s="94"/>
      <c r="Q130" s="94"/>
      <c r="R130" s="94"/>
      <c r="S130" s="94"/>
      <c r="T130" s="94"/>
      <c r="U130" s="94"/>
      <c r="V130" s="94"/>
      <c r="W130" s="94"/>
      <c r="X130" s="94"/>
      <c r="Y130" s="94"/>
      <c r="Z130" s="94"/>
      <c r="AA130" s="94"/>
      <c r="AB130" s="94"/>
      <c r="AC130" s="94"/>
      <c r="AD130" s="94"/>
      <c r="AE130" s="94"/>
    </row>
    <row r="131">
      <c r="A131" s="87"/>
      <c r="B131" s="37"/>
      <c r="C131" s="38"/>
      <c r="D131" s="156" t="s">
        <v>159</v>
      </c>
      <c r="E131" s="89">
        <v>46191.0</v>
      </c>
      <c r="F131" s="72">
        <v>19.96</v>
      </c>
      <c r="G131" s="111">
        <v>138981.48</v>
      </c>
      <c r="H131" s="111">
        <v>6963.0</v>
      </c>
      <c r="I131" s="152">
        <v>3481.0</v>
      </c>
      <c r="J131" s="153">
        <v>2321.0</v>
      </c>
      <c r="K131" s="154">
        <v>2785.0</v>
      </c>
      <c r="L131" s="154">
        <v>1392.0</v>
      </c>
      <c r="M131" s="93"/>
      <c r="N131" s="94">
        <v>6963.0</v>
      </c>
      <c r="O131" s="94"/>
      <c r="P131" s="94"/>
      <c r="Q131" s="94"/>
      <c r="R131" s="94"/>
      <c r="S131" s="94"/>
      <c r="T131" s="94"/>
      <c r="U131" s="94"/>
      <c r="V131" s="94"/>
      <c r="W131" s="94"/>
      <c r="X131" s="94"/>
      <c r="Y131" s="94"/>
      <c r="Z131" s="94"/>
      <c r="AA131" s="94"/>
      <c r="AB131" s="94"/>
      <c r="AC131" s="94"/>
      <c r="AD131" s="94"/>
      <c r="AE131" s="94"/>
    </row>
    <row r="132">
      <c r="A132" s="87"/>
      <c r="B132" s="37"/>
      <c r="C132" s="38"/>
      <c r="D132" s="156" t="s">
        <v>162</v>
      </c>
      <c r="E132" s="89">
        <v>46196.0</v>
      </c>
      <c r="F132" s="72">
        <v>19.96</v>
      </c>
      <c r="G132" s="111">
        <v>68063.6</v>
      </c>
      <c r="H132" s="111">
        <v>3410.0</v>
      </c>
      <c r="I132" s="152">
        <v>1705.0</v>
      </c>
      <c r="J132" s="153">
        <v>1136.0</v>
      </c>
      <c r="K132" s="154">
        <v>1364.0</v>
      </c>
      <c r="L132" s="154">
        <v>682.0</v>
      </c>
      <c r="M132" s="93"/>
      <c r="N132" s="94">
        <v>3410.0</v>
      </c>
      <c r="O132" s="94"/>
      <c r="P132" s="94"/>
      <c r="Q132" s="94"/>
      <c r="R132" s="94"/>
      <c r="S132" s="94"/>
      <c r="T132" s="94"/>
      <c r="U132" s="94"/>
      <c r="V132" s="94"/>
      <c r="W132" s="94"/>
      <c r="X132" s="94"/>
      <c r="Y132" s="94"/>
      <c r="Z132" s="94"/>
      <c r="AA132" s="94"/>
      <c r="AB132" s="94"/>
      <c r="AC132" s="94"/>
      <c r="AD132" s="94"/>
      <c r="AE132" s="94"/>
    </row>
    <row r="133">
      <c r="A133" s="87"/>
      <c r="B133" s="37"/>
      <c r="C133" s="38"/>
      <c r="D133" s="156" t="s">
        <v>797</v>
      </c>
      <c r="E133" s="89"/>
      <c r="F133" s="72"/>
      <c r="G133" s="111">
        <v>0.0</v>
      </c>
      <c r="H133" s="111"/>
      <c r="I133" s="152"/>
      <c r="J133" s="153"/>
      <c r="K133" s="154"/>
      <c r="L133" s="154"/>
      <c r="M133" s="93"/>
      <c r="N133" s="94"/>
      <c r="O133" s="94"/>
      <c r="P133" s="94"/>
      <c r="Q133" s="94"/>
      <c r="R133" s="94"/>
      <c r="S133" s="94"/>
      <c r="T133" s="94"/>
      <c r="U133" s="94"/>
      <c r="V133" s="94"/>
      <c r="W133" s="94"/>
      <c r="X133" s="94"/>
      <c r="Y133" s="94"/>
      <c r="Z133" s="94"/>
      <c r="AA133" s="94"/>
      <c r="AB133" s="94"/>
      <c r="AC133" s="94"/>
      <c r="AD133" s="94"/>
      <c r="AE133" s="94"/>
    </row>
    <row r="134">
      <c r="A134" s="87"/>
      <c r="B134" s="37"/>
      <c r="C134" s="38"/>
      <c r="D134" s="156" t="s">
        <v>275</v>
      </c>
      <c r="E134" s="89">
        <v>46190.0</v>
      </c>
      <c r="F134" s="72">
        <v>17.44</v>
      </c>
      <c r="G134" s="111">
        <v>17091.2</v>
      </c>
      <c r="H134" s="111">
        <v>980.0</v>
      </c>
      <c r="I134" s="152">
        <v>490.0</v>
      </c>
      <c r="J134" s="153">
        <v>326.0</v>
      </c>
      <c r="K134" s="154">
        <v>392.0</v>
      </c>
      <c r="L134" s="154">
        <v>196.0</v>
      </c>
      <c r="M134" s="93"/>
      <c r="N134" s="94">
        <v>980.0</v>
      </c>
      <c r="O134" s="94"/>
      <c r="P134" s="94"/>
      <c r="Q134" s="94"/>
      <c r="R134" s="94"/>
      <c r="S134" s="94"/>
      <c r="T134" s="94"/>
      <c r="U134" s="94"/>
      <c r="V134" s="94"/>
      <c r="W134" s="94"/>
      <c r="X134" s="94"/>
      <c r="Y134" s="94"/>
      <c r="Z134" s="94"/>
      <c r="AA134" s="94"/>
      <c r="AB134" s="94"/>
      <c r="AC134" s="94"/>
      <c r="AD134" s="94"/>
      <c r="AE134" s="94"/>
    </row>
    <row r="135">
      <c r="A135" s="87"/>
      <c r="B135" s="37"/>
      <c r="C135" s="38"/>
      <c r="D135" s="156" t="s">
        <v>278</v>
      </c>
      <c r="E135" s="89">
        <v>46187.0</v>
      </c>
      <c r="F135" s="72">
        <v>17.44</v>
      </c>
      <c r="G135" s="111">
        <v>17091.2</v>
      </c>
      <c r="H135" s="111">
        <v>980.0</v>
      </c>
      <c r="I135" s="152">
        <v>490.0</v>
      </c>
      <c r="J135" s="153">
        <v>326.0</v>
      </c>
      <c r="K135" s="154">
        <v>392.0</v>
      </c>
      <c r="L135" s="154">
        <v>196.0</v>
      </c>
      <c r="M135" s="93"/>
      <c r="N135" s="94">
        <v>980.0</v>
      </c>
      <c r="O135" s="94"/>
      <c r="P135" s="94"/>
      <c r="Q135" s="94"/>
      <c r="R135" s="94"/>
      <c r="S135" s="94"/>
      <c r="T135" s="94"/>
      <c r="U135" s="94"/>
      <c r="V135" s="94"/>
      <c r="W135" s="94"/>
      <c r="X135" s="94"/>
      <c r="Y135" s="94"/>
      <c r="Z135" s="94"/>
      <c r="AA135" s="94"/>
      <c r="AB135" s="94"/>
      <c r="AC135" s="94"/>
      <c r="AD135" s="94"/>
      <c r="AE135" s="94"/>
    </row>
    <row r="136">
      <c r="A136" s="87"/>
      <c r="B136" s="37"/>
      <c r="C136" s="38"/>
      <c r="D136" s="156" t="s">
        <v>193</v>
      </c>
      <c r="E136" s="89">
        <v>46090.0</v>
      </c>
      <c r="F136" s="72">
        <v>15.59</v>
      </c>
      <c r="G136" s="111">
        <v>-389.75</v>
      </c>
      <c r="H136" s="111">
        <v>-25.0</v>
      </c>
      <c r="I136" s="152">
        <v>-12.0</v>
      </c>
      <c r="J136" s="153">
        <v>-8.0</v>
      </c>
      <c r="K136" s="154">
        <v>-10.0</v>
      </c>
      <c r="L136" s="154">
        <v>-5.0</v>
      </c>
      <c r="M136" s="93"/>
      <c r="N136" s="94">
        <v>-25.0</v>
      </c>
      <c r="O136" s="94"/>
      <c r="P136" s="94"/>
      <c r="Q136" s="94"/>
      <c r="R136" s="94"/>
      <c r="S136" s="94"/>
      <c r="T136" s="94"/>
      <c r="U136" s="94"/>
      <c r="V136" s="94"/>
      <c r="W136" s="94"/>
      <c r="X136" s="94"/>
      <c r="Y136" s="94"/>
      <c r="Z136" s="94"/>
      <c r="AA136" s="94"/>
      <c r="AB136" s="94"/>
      <c r="AC136" s="94"/>
      <c r="AD136" s="94"/>
      <c r="AE136" s="94"/>
    </row>
    <row r="137">
      <c r="A137" s="87"/>
      <c r="B137" s="37"/>
      <c r="C137" s="38"/>
      <c r="D137" s="156" t="s">
        <v>196</v>
      </c>
      <c r="E137" s="89">
        <v>46190.0</v>
      </c>
      <c r="F137" s="72">
        <v>15.59</v>
      </c>
      <c r="G137" s="111">
        <v>85246.12</v>
      </c>
      <c r="H137" s="111">
        <v>5468.0</v>
      </c>
      <c r="I137" s="152">
        <v>2734.0</v>
      </c>
      <c r="J137" s="153">
        <v>1822.0</v>
      </c>
      <c r="K137" s="154">
        <v>2187.0</v>
      </c>
      <c r="L137" s="154">
        <v>1093.0</v>
      </c>
      <c r="M137" s="93"/>
      <c r="N137" s="94">
        <v>5468.0</v>
      </c>
      <c r="O137" s="94"/>
      <c r="P137" s="94"/>
      <c r="Q137" s="94"/>
      <c r="R137" s="94"/>
      <c r="S137" s="94"/>
      <c r="T137" s="94"/>
      <c r="U137" s="94"/>
      <c r="V137" s="94"/>
      <c r="W137" s="94"/>
      <c r="X137" s="94"/>
      <c r="Y137" s="94"/>
      <c r="Z137" s="94"/>
      <c r="AA137" s="94"/>
      <c r="AB137" s="94"/>
      <c r="AC137" s="94"/>
      <c r="AD137" s="94"/>
      <c r="AE137" s="94"/>
    </row>
    <row r="138">
      <c r="A138" s="87"/>
      <c r="B138" s="37"/>
      <c r="C138" s="38"/>
      <c r="D138" s="156" t="s">
        <v>163</v>
      </c>
      <c r="E138" s="89">
        <v>46087.0</v>
      </c>
      <c r="F138" s="72">
        <v>19.96</v>
      </c>
      <c r="G138" s="111">
        <v>78442.8</v>
      </c>
      <c r="H138" s="111">
        <v>3930.0</v>
      </c>
      <c r="I138" s="152">
        <v>1965.0</v>
      </c>
      <c r="J138" s="153">
        <v>1310.0</v>
      </c>
      <c r="K138" s="154">
        <v>1572.0</v>
      </c>
      <c r="L138" s="154">
        <v>786.0</v>
      </c>
      <c r="M138" s="93"/>
      <c r="N138" s="94">
        <v>3930.0</v>
      </c>
      <c r="O138" s="94"/>
      <c r="P138" s="94"/>
      <c r="Q138" s="94"/>
      <c r="R138" s="94"/>
      <c r="S138" s="94"/>
      <c r="T138" s="94"/>
      <c r="U138" s="94"/>
      <c r="V138" s="94"/>
      <c r="W138" s="94"/>
      <c r="X138" s="94"/>
      <c r="Y138" s="94"/>
      <c r="Z138" s="94"/>
      <c r="AA138" s="94"/>
      <c r="AB138" s="94"/>
      <c r="AC138" s="94"/>
      <c r="AD138" s="94"/>
      <c r="AE138" s="94"/>
    </row>
    <row r="139">
      <c r="A139" s="87"/>
      <c r="B139" s="37"/>
      <c r="C139" s="38"/>
      <c r="D139" s="156" t="s">
        <v>279</v>
      </c>
      <c r="E139" s="89">
        <v>46194.0</v>
      </c>
      <c r="F139" s="72">
        <v>17.44</v>
      </c>
      <c r="G139" s="111">
        <v>29613.120000000003</v>
      </c>
      <c r="H139" s="111">
        <v>1698.0</v>
      </c>
      <c r="I139" s="152">
        <v>849.0</v>
      </c>
      <c r="J139" s="153">
        <v>566.0</v>
      </c>
      <c r="K139" s="154">
        <v>679.0</v>
      </c>
      <c r="L139" s="154">
        <v>339.0</v>
      </c>
      <c r="M139" s="93"/>
      <c r="N139" s="94">
        <v>1698.0</v>
      </c>
      <c r="O139" s="94"/>
      <c r="P139" s="94"/>
      <c r="Q139" s="94"/>
      <c r="R139" s="94"/>
      <c r="S139" s="94"/>
      <c r="T139" s="94"/>
      <c r="U139" s="94"/>
      <c r="V139" s="94"/>
      <c r="W139" s="94"/>
      <c r="X139" s="94"/>
      <c r="Y139" s="94"/>
      <c r="Z139" s="94"/>
      <c r="AA139" s="94"/>
      <c r="AB139" s="94"/>
      <c r="AC139" s="94"/>
      <c r="AD139" s="94"/>
      <c r="AE139" s="94"/>
    </row>
    <row r="140">
      <c r="A140" s="87"/>
      <c r="B140" s="37"/>
      <c r="C140" s="38"/>
      <c r="D140" s="156" t="s">
        <v>280</v>
      </c>
      <c r="E140" s="89">
        <v>46191.0</v>
      </c>
      <c r="F140" s="72">
        <v>17.44</v>
      </c>
      <c r="G140" s="111">
        <v>16393.600000000002</v>
      </c>
      <c r="H140" s="111">
        <v>940.0</v>
      </c>
      <c r="I140" s="152">
        <v>470.0</v>
      </c>
      <c r="J140" s="153">
        <v>313.0</v>
      </c>
      <c r="K140" s="154">
        <v>376.0</v>
      </c>
      <c r="L140" s="154">
        <v>188.0</v>
      </c>
      <c r="M140" s="93"/>
      <c r="N140" s="94">
        <v>940.0</v>
      </c>
      <c r="O140" s="94"/>
      <c r="P140" s="94"/>
      <c r="Q140" s="94"/>
      <c r="R140" s="94"/>
      <c r="S140" s="94"/>
      <c r="T140" s="94"/>
      <c r="U140" s="94"/>
      <c r="V140" s="94"/>
      <c r="W140" s="94"/>
      <c r="X140" s="94"/>
      <c r="Y140" s="94"/>
      <c r="Z140" s="94"/>
      <c r="AA140" s="94"/>
      <c r="AB140" s="94"/>
      <c r="AC140" s="94"/>
      <c r="AD140" s="94"/>
      <c r="AE140" s="94"/>
    </row>
    <row r="141">
      <c r="A141" s="87"/>
      <c r="B141" s="37"/>
      <c r="C141" s="38"/>
      <c r="D141" s="156" t="s">
        <v>128</v>
      </c>
      <c r="E141" s="89">
        <v>46194.0</v>
      </c>
      <c r="F141" s="72">
        <v>21.17</v>
      </c>
      <c r="G141" s="111">
        <v>79451.01000000001</v>
      </c>
      <c r="H141" s="111">
        <v>3753.0</v>
      </c>
      <c r="I141" s="152">
        <v>1876.0</v>
      </c>
      <c r="J141" s="153">
        <v>1251.0</v>
      </c>
      <c r="K141" s="154">
        <v>1501.0</v>
      </c>
      <c r="L141" s="154">
        <v>750.0</v>
      </c>
      <c r="M141" s="93"/>
      <c r="N141" s="94">
        <v>3753.0</v>
      </c>
      <c r="O141" s="94"/>
      <c r="P141" s="94"/>
      <c r="Q141" s="94"/>
      <c r="R141" s="94"/>
      <c r="S141" s="94"/>
      <c r="T141" s="94"/>
      <c r="U141" s="94"/>
      <c r="V141" s="94"/>
      <c r="W141" s="94"/>
      <c r="X141" s="94"/>
      <c r="Y141" s="94"/>
      <c r="Z141" s="94"/>
      <c r="AA141" s="94"/>
      <c r="AB141" s="94"/>
      <c r="AC141" s="94"/>
      <c r="AD141" s="94"/>
      <c r="AE141" s="94"/>
    </row>
    <row r="142">
      <c r="A142" s="87"/>
      <c r="B142" s="37"/>
      <c r="C142" s="38"/>
      <c r="D142" s="156" t="s">
        <v>806</v>
      </c>
      <c r="E142" s="89"/>
      <c r="F142" s="72"/>
      <c r="G142" s="111">
        <v>0.0</v>
      </c>
      <c r="H142" s="111"/>
      <c r="I142" s="152"/>
      <c r="J142" s="153"/>
      <c r="K142" s="154"/>
      <c r="L142" s="154"/>
      <c r="M142" s="93"/>
      <c r="N142" s="94"/>
      <c r="O142" s="94"/>
      <c r="P142" s="94"/>
      <c r="Q142" s="94"/>
      <c r="R142" s="94"/>
      <c r="S142" s="94"/>
      <c r="T142" s="94"/>
      <c r="U142" s="94"/>
      <c r="V142" s="94"/>
      <c r="W142" s="94"/>
      <c r="X142" s="94"/>
      <c r="Y142" s="94"/>
      <c r="Z142" s="94"/>
      <c r="AA142" s="94"/>
      <c r="AB142" s="94"/>
      <c r="AC142" s="94"/>
      <c r="AD142" s="94"/>
      <c r="AE142" s="94"/>
    </row>
    <row r="143">
      <c r="A143" s="87"/>
      <c r="B143" s="37"/>
      <c r="C143" s="38"/>
      <c r="D143" s="156" t="s">
        <v>197</v>
      </c>
      <c r="E143" s="89">
        <v>46192.0</v>
      </c>
      <c r="F143" s="72">
        <v>15.59</v>
      </c>
      <c r="G143" s="111">
        <v>121742.31</v>
      </c>
      <c r="H143" s="111">
        <v>7809.0</v>
      </c>
      <c r="I143" s="152">
        <v>3904.0</v>
      </c>
      <c r="J143" s="153">
        <v>2603.0</v>
      </c>
      <c r="K143" s="154">
        <v>3123.0</v>
      </c>
      <c r="L143" s="154">
        <v>1561.0</v>
      </c>
      <c r="M143" s="93"/>
      <c r="N143" s="94">
        <v>7809.0</v>
      </c>
      <c r="O143" s="94"/>
      <c r="P143" s="94"/>
      <c r="Q143" s="94"/>
      <c r="R143" s="94"/>
      <c r="S143" s="94"/>
      <c r="T143" s="94"/>
      <c r="U143" s="94"/>
      <c r="V143" s="94"/>
      <c r="W143" s="94"/>
      <c r="X143" s="94"/>
      <c r="Y143" s="94"/>
      <c r="Z143" s="94"/>
      <c r="AA143" s="94"/>
      <c r="AB143" s="94"/>
      <c r="AC143" s="94"/>
      <c r="AD143" s="94"/>
      <c r="AE143" s="94"/>
    </row>
    <row r="144">
      <c r="A144" s="87"/>
      <c r="B144" s="37"/>
      <c r="C144" s="38"/>
      <c r="D144" s="156" t="s">
        <v>131</v>
      </c>
      <c r="E144" s="89">
        <v>46194.0</v>
      </c>
      <c r="F144" s="72">
        <v>21.17</v>
      </c>
      <c r="G144" s="111">
        <v>104283.42000000001</v>
      </c>
      <c r="H144" s="111">
        <v>4926.0</v>
      </c>
      <c r="I144" s="152">
        <v>2463.0</v>
      </c>
      <c r="J144" s="153">
        <v>1642.0</v>
      </c>
      <c r="K144" s="154">
        <v>1970.0</v>
      </c>
      <c r="L144" s="154">
        <v>985.0</v>
      </c>
      <c r="M144" s="93"/>
      <c r="N144" s="94">
        <v>4926.0</v>
      </c>
      <c r="O144" s="94"/>
      <c r="P144" s="94"/>
      <c r="Q144" s="94"/>
      <c r="R144" s="94"/>
      <c r="S144" s="94"/>
      <c r="T144" s="94"/>
      <c r="U144" s="94"/>
      <c r="V144" s="94"/>
      <c r="W144" s="94"/>
      <c r="X144" s="94"/>
      <c r="Y144" s="94"/>
      <c r="Z144" s="94"/>
      <c r="AA144" s="94"/>
      <c r="AB144" s="94"/>
      <c r="AC144" s="94"/>
      <c r="AD144" s="94"/>
      <c r="AE144" s="94"/>
    </row>
    <row r="145">
      <c r="A145" s="87"/>
      <c r="B145" s="37"/>
      <c r="C145" s="38"/>
      <c r="D145" s="156" t="s">
        <v>198</v>
      </c>
      <c r="E145" s="89">
        <v>46191.0</v>
      </c>
      <c r="F145" s="72">
        <v>15.59</v>
      </c>
      <c r="G145" s="111">
        <v>61814.35</v>
      </c>
      <c r="H145" s="111">
        <v>3965.0</v>
      </c>
      <c r="I145" s="152">
        <v>1982.0</v>
      </c>
      <c r="J145" s="153">
        <v>1321.0</v>
      </c>
      <c r="K145" s="154">
        <v>1586.0</v>
      </c>
      <c r="L145" s="154">
        <v>793.0</v>
      </c>
      <c r="M145" s="93"/>
      <c r="N145" s="94">
        <v>3965.0</v>
      </c>
      <c r="O145" s="94"/>
      <c r="P145" s="94"/>
      <c r="Q145" s="94"/>
      <c r="R145" s="94"/>
      <c r="S145" s="94"/>
      <c r="T145" s="94"/>
      <c r="U145" s="94"/>
      <c r="V145" s="94"/>
      <c r="W145" s="94"/>
      <c r="X145" s="94"/>
      <c r="Y145" s="94"/>
      <c r="Z145" s="94"/>
      <c r="AA145" s="94"/>
      <c r="AB145" s="94"/>
      <c r="AC145" s="94"/>
      <c r="AD145" s="94"/>
      <c r="AE145" s="94"/>
    </row>
    <row r="146">
      <c r="A146" s="87"/>
      <c r="B146" s="37"/>
      <c r="C146" s="38"/>
      <c r="D146" s="156" t="s">
        <v>164</v>
      </c>
      <c r="E146" s="89">
        <v>46187.0</v>
      </c>
      <c r="F146" s="72">
        <v>19.96</v>
      </c>
      <c r="G146" s="111">
        <v>87604.44</v>
      </c>
      <c r="H146" s="111">
        <v>4389.0</v>
      </c>
      <c r="I146" s="152">
        <v>2194.0</v>
      </c>
      <c r="J146" s="153">
        <v>1463.0</v>
      </c>
      <c r="K146" s="154">
        <v>1755.0</v>
      </c>
      <c r="L146" s="154">
        <v>877.0</v>
      </c>
      <c r="M146" s="93"/>
      <c r="N146" s="94">
        <v>4389.0</v>
      </c>
      <c r="O146" s="94"/>
      <c r="P146" s="94"/>
      <c r="Q146" s="94"/>
      <c r="R146" s="94"/>
      <c r="S146" s="94"/>
      <c r="T146" s="94"/>
      <c r="U146" s="94"/>
      <c r="V146" s="94"/>
      <c r="W146" s="94"/>
      <c r="X146" s="94"/>
      <c r="Y146" s="94"/>
      <c r="Z146" s="94"/>
      <c r="AA146" s="94"/>
      <c r="AB146" s="94"/>
      <c r="AC146" s="94"/>
      <c r="AD146" s="94"/>
      <c r="AE146" s="94"/>
    </row>
    <row r="147">
      <c r="A147" s="87"/>
      <c r="B147" s="37"/>
      <c r="C147" s="38"/>
      <c r="D147" s="156" t="s">
        <v>281</v>
      </c>
      <c r="E147" s="89">
        <v>46190.0</v>
      </c>
      <c r="F147" s="72">
        <v>17.63</v>
      </c>
      <c r="G147" s="111">
        <v>82596.54999999999</v>
      </c>
      <c r="H147" s="111">
        <v>4685.0</v>
      </c>
      <c r="I147" s="152">
        <v>2342.0</v>
      </c>
      <c r="J147" s="153">
        <v>1561.0</v>
      </c>
      <c r="K147" s="154">
        <v>1874.0</v>
      </c>
      <c r="L147" s="154">
        <v>937.0</v>
      </c>
      <c r="M147" s="93"/>
      <c r="N147" s="94">
        <v>4685.0</v>
      </c>
      <c r="O147" s="94"/>
      <c r="P147" s="94"/>
      <c r="Q147" s="94"/>
      <c r="R147" s="94"/>
      <c r="S147" s="94"/>
      <c r="T147" s="94"/>
      <c r="U147" s="94"/>
      <c r="V147" s="94"/>
      <c r="W147" s="94"/>
      <c r="X147" s="94"/>
      <c r="Y147" s="94"/>
      <c r="Z147" s="94"/>
      <c r="AA147" s="94"/>
      <c r="AB147" s="94"/>
      <c r="AC147" s="94"/>
      <c r="AD147" s="94"/>
      <c r="AE147" s="94"/>
    </row>
    <row r="148">
      <c r="A148" s="87"/>
      <c r="B148" s="37"/>
      <c r="C148" s="38"/>
      <c r="D148" s="156" t="s">
        <v>199</v>
      </c>
      <c r="E148" s="89">
        <v>46191.0</v>
      </c>
      <c r="F148" s="72">
        <v>15.59</v>
      </c>
      <c r="G148" s="111">
        <v>77123.73</v>
      </c>
      <c r="H148" s="111">
        <v>4947.0</v>
      </c>
      <c r="I148" s="152">
        <v>2473.0</v>
      </c>
      <c r="J148" s="153">
        <v>1649.0</v>
      </c>
      <c r="K148" s="154">
        <v>1978.0</v>
      </c>
      <c r="L148" s="154">
        <v>989.0</v>
      </c>
      <c r="M148" s="93"/>
      <c r="N148" s="94">
        <v>4947.0</v>
      </c>
      <c r="O148" s="94"/>
      <c r="P148" s="94"/>
      <c r="Q148" s="94"/>
      <c r="R148" s="94"/>
      <c r="S148" s="94"/>
      <c r="T148" s="94"/>
      <c r="U148" s="94"/>
      <c r="V148" s="94"/>
      <c r="W148" s="94"/>
      <c r="X148" s="94"/>
      <c r="Y148" s="94"/>
      <c r="Z148" s="94"/>
      <c r="AA148" s="94"/>
      <c r="AB148" s="94"/>
      <c r="AC148" s="94"/>
      <c r="AD148" s="94"/>
      <c r="AE148" s="94"/>
    </row>
    <row r="149">
      <c r="A149" s="87"/>
      <c r="B149" s="37"/>
      <c r="C149" s="38"/>
      <c r="D149" s="156" t="s">
        <v>168</v>
      </c>
      <c r="E149" s="89">
        <v>46195.0</v>
      </c>
      <c r="F149" s="72">
        <v>21.73</v>
      </c>
      <c r="G149" s="111">
        <v>78423.57</v>
      </c>
      <c r="H149" s="111">
        <v>3609.0</v>
      </c>
      <c r="I149" s="152">
        <v>1804.0</v>
      </c>
      <c r="J149" s="153">
        <v>1203.0</v>
      </c>
      <c r="K149" s="154">
        <v>1443.0</v>
      </c>
      <c r="L149" s="154">
        <v>721.0</v>
      </c>
      <c r="M149" s="93"/>
      <c r="N149" s="94">
        <v>3609.0</v>
      </c>
      <c r="O149" s="94"/>
      <c r="P149" s="94"/>
      <c r="Q149" s="94"/>
      <c r="R149" s="94"/>
      <c r="S149" s="94"/>
      <c r="T149" s="94"/>
      <c r="U149" s="94"/>
      <c r="V149" s="94"/>
      <c r="W149" s="94"/>
      <c r="X149" s="94"/>
      <c r="Y149" s="94"/>
      <c r="Z149" s="94"/>
      <c r="AA149" s="94"/>
      <c r="AB149" s="94"/>
      <c r="AC149" s="94"/>
      <c r="AD149" s="94"/>
      <c r="AE149" s="94"/>
    </row>
    <row r="150">
      <c r="A150" s="87"/>
      <c r="B150" s="37"/>
      <c r="C150" s="38"/>
      <c r="D150" s="156" t="s">
        <v>823</v>
      </c>
      <c r="E150" s="89"/>
      <c r="F150" s="72"/>
      <c r="G150" s="111">
        <v>0.0</v>
      </c>
      <c r="H150" s="111"/>
      <c r="I150" s="152"/>
      <c r="J150" s="153"/>
      <c r="K150" s="154"/>
      <c r="L150" s="154"/>
      <c r="M150" s="93"/>
      <c r="N150" s="94"/>
      <c r="O150" s="94"/>
      <c r="P150" s="94"/>
      <c r="Q150" s="94"/>
      <c r="R150" s="94"/>
      <c r="S150" s="94"/>
      <c r="T150" s="94"/>
      <c r="U150" s="94"/>
      <c r="V150" s="94"/>
      <c r="W150" s="94"/>
      <c r="X150" s="94"/>
      <c r="Y150" s="94"/>
      <c r="Z150" s="94"/>
      <c r="AA150" s="94"/>
      <c r="AB150" s="94"/>
      <c r="AC150" s="94"/>
      <c r="AD150" s="94"/>
      <c r="AE150" s="94"/>
    </row>
    <row r="151">
      <c r="A151" s="87"/>
      <c r="B151" s="37"/>
      <c r="C151" s="38"/>
      <c r="D151" s="156" t="s">
        <v>61</v>
      </c>
      <c r="E151" s="89">
        <v>46195.0</v>
      </c>
      <c r="F151" s="72">
        <v>21.75</v>
      </c>
      <c r="G151" s="111">
        <v>34800.0</v>
      </c>
      <c r="H151" s="111">
        <v>1600.0</v>
      </c>
      <c r="I151" s="152">
        <v>800.0</v>
      </c>
      <c r="J151" s="153">
        <v>533.0</v>
      </c>
      <c r="K151" s="154">
        <v>640.0</v>
      </c>
      <c r="L151" s="154">
        <v>320.0</v>
      </c>
      <c r="M151" s="93"/>
      <c r="N151" s="94">
        <v>1600.0</v>
      </c>
      <c r="O151" s="94"/>
      <c r="P151" s="94"/>
      <c r="Q151" s="94"/>
      <c r="R151" s="94"/>
      <c r="S151" s="94"/>
      <c r="T151" s="94"/>
      <c r="U151" s="94"/>
      <c r="V151" s="94"/>
      <c r="W151" s="94"/>
      <c r="X151" s="94"/>
      <c r="Y151" s="94"/>
      <c r="Z151" s="94"/>
      <c r="AA151" s="94"/>
      <c r="AB151" s="94"/>
      <c r="AC151" s="94"/>
      <c r="AD151" s="94"/>
      <c r="AE151" s="94"/>
    </row>
    <row r="152">
      <c r="A152" s="87"/>
      <c r="B152" s="37"/>
      <c r="C152" s="38"/>
      <c r="D152" s="156" t="s">
        <v>200</v>
      </c>
      <c r="E152" s="89"/>
      <c r="F152" s="72">
        <v>15.59</v>
      </c>
      <c r="G152" s="111">
        <v>29465.1</v>
      </c>
      <c r="H152" s="111">
        <v>1890.0</v>
      </c>
      <c r="I152" s="152">
        <v>945.0</v>
      </c>
      <c r="J152" s="153">
        <v>630.0</v>
      </c>
      <c r="K152" s="154">
        <v>756.0</v>
      </c>
      <c r="L152" s="154">
        <v>378.0</v>
      </c>
      <c r="M152" s="93"/>
      <c r="N152" s="94">
        <v>1890.0</v>
      </c>
      <c r="O152" s="94"/>
      <c r="P152" s="94"/>
      <c r="Q152" s="94"/>
      <c r="R152" s="94"/>
      <c r="S152" s="94"/>
      <c r="T152" s="94"/>
      <c r="U152" s="94"/>
      <c r="V152" s="94"/>
      <c r="W152" s="94"/>
      <c r="X152" s="94"/>
      <c r="Y152" s="94"/>
      <c r="Z152" s="94"/>
      <c r="AA152" s="94"/>
      <c r="AB152" s="94"/>
      <c r="AC152" s="94"/>
      <c r="AD152" s="94"/>
      <c r="AE152" s="94"/>
    </row>
    <row r="153">
      <c r="A153" s="87"/>
      <c r="B153" s="37"/>
      <c r="C153" s="38"/>
      <c r="D153" s="156" t="s">
        <v>165</v>
      </c>
      <c r="E153" s="89">
        <v>46190.0</v>
      </c>
      <c r="F153" s="72">
        <v>19.96</v>
      </c>
      <c r="G153" s="111">
        <v>58283.200000000004</v>
      </c>
      <c r="H153" s="111">
        <v>2920.0</v>
      </c>
      <c r="I153" s="152">
        <v>1460.0</v>
      </c>
      <c r="J153" s="153">
        <v>973.0</v>
      </c>
      <c r="K153" s="154">
        <v>1168.0</v>
      </c>
      <c r="L153" s="154">
        <v>584.0</v>
      </c>
      <c r="M153" s="93"/>
      <c r="N153" s="94">
        <v>2920.0</v>
      </c>
      <c r="O153" s="94"/>
      <c r="P153" s="94"/>
      <c r="Q153" s="94"/>
      <c r="R153" s="94"/>
      <c r="S153" s="94"/>
      <c r="T153" s="94"/>
      <c r="U153" s="94"/>
      <c r="V153" s="94"/>
      <c r="W153" s="94"/>
      <c r="X153" s="94"/>
      <c r="Y153" s="94"/>
      <c r="Z153" s="94"/>
      <c r="AA153" s="94"/>
      <c r="AB153" s="94"/>
      <c r="AC153" s="94"/>
      <c r="AD153" s="94"/>
      <c r="AE153" s="94"/>
    </row>
    <row r="154">
      <c r="A154" s="87"/>
      <c r="B154" s="37"/>
      <c r="C154" s="38"/>
      <c r="D154" s="156" t="s">
        <v>283</v>
      </c>
      <c r="E154" s="89">
        <v>46195.0</v>
      </c>
      <c r="F154" s="72">
        <v>17.73</v>
      </c>
      <c r="G154" s="111">
        <v>40140.72</v>
      </c>
      <c r="H154" s="111">
        <v>2264.0</v>
      </c>
      <c r="I154" s="152">
        <v>1132.0</v>
      </c>
      <c r="J154" s="153">
        <v>754.0</v>
      </c>
      <c r="K154" s="154">
        <v>905.0</v>
      </c>
      <c r="L154" s="154">
        <v>452.0</v>
      </c>
      <c r="M154" s="93"/>
      <c r="N154" s="94">
        <v>2264.0</v>
      </c>
      <c r="O154" s="94"/>
      <c r="P154" s="94"/>
      <c r="Q154" s="94"/>
      <c r="R154" s="94"/>
      <c r="S154" s="94"/>
      <c r="T154" s="94"/>
      <c r="U154" s="94"/>
      <c r="V154" s="94"/>
      <c r="W154" s="94"/>
      <c r="X154" s="94"/>
      <c r="Y154" s="94"/>
      <c r="Z154" s="94"/>
      <c r="AA154" s="94"/>
      <c r="AB154" s="94"/>
      <c r="AC154" s="94"/>
      <c r="AD154" s="94"/>
      <c r="AE154" s="94"/>
    </row>
    <row r="155">
      <c r="A155" s="87"/>
      <c r="B155" s="37"/>
      <c r="C155" s="38"/>
      <c r="D155" s="156" t="s">
        <v>832</v>
      </c>
      <c r="E155" s="89"/>
      <c r="F155" s="72"/>
      <c r="G155" s="111">
        <v>0.0</v>
      </c>
      <c r="H155" s="111"/>
      <c r="I155" s="152"/>
      <c r="J155" s="153"/>
      <c r="K155" s="154"/>
      <c r="L155" s="154"/>
      <c r="M155" s="93"/>
      <c r="N155" s="94"/>
      <c r="O155" s="94"/>
      <c r="P155" s="94"/>
      <c r="Q155" s="94"/>
      <c r="R155" s="94"/>
      <c r="S155" s="94"/>
      <c r="T155" s="94"/>
      <c r="U155" s="94"/>
      <c r="V155" s="94"/>
      <c r="W155" s="94"/>
      <c r="X155" s="94"/>
      <c r="Y155" s="94"/>
      <c r="Z155" s="94"/>
      <c r="AA155" s="94"/>
      <c r="AB155" s="94"/>
      <c r="AC155" s="94"/>
      <c r="AD155" s="94"/>
      <c r="AE155" s="94"/>
    </row>
    <row r="156">
      <c r="A156" s="87"/>
      <c r="B156" s="37"/>
      <c r="C156" s="38"/>
      <c r="D156" s="156" t="s">
        <v>36</v>
      </c>
      <c r="E156" s="89">
        <v>46191.0</v>
      </c>
      <c r="F156" s="72">
        <v>22.43</v>
      </c>
      <c r="G156" s="111">
        <v>17831.85</v>
      </c>
      <c r="H156" s="111">
        <v>795.0</v>
      </c>
      <c r="I156" s="152">
        <v>397.0</v>
      </c>
      <c r="J156" s="153">
        <v>265.0</v>
      </c>
      <c r="K156" s="154">
        <v>318.0</v>
      </c>
      <c r="L156" s="154">
        <v>159.0</v>
      </c>
      <c r="M156" s="93"/>
      <c r="N156" s="94">
        <v>795.0</v>
      </c>
      <c r="O156" s="94"/>
      <c r="P156" s="94"/>
      <c r="Q156" s="94"/>
      <c r="R156" s="94"/>
      <c r="S156" s="94"/>
      <c r="T156" s="94"/>
      <c r="U156" s="94"/>
      <c r="V156" s="94"/>
      <c r="W156" s="94"/>
      <c r="X156" s="94"/>
      <c r="Y156" s="94"/>
      <c r="Z156" s="94"/>
      <c r="AA156" s="94"/>
      <c r="AB156" s="94"/>
      <c r="AC156" s="94"/>
      <c r="AD156" s="94"/>
      <c r="AE156" s="94"/>
    </row>
    <row r="157">
      <c r="A157" s="87"/>
      <c r="B157" s="37"/>
      <c r="C157" s="38"/>
      <c r="D157" s="156" t="s">
        <v>284</v>
      </c>
      <c r="E157" s="89">
        <v>46195.0</v>
      </c>
      <c r="F157" s="72">
        <v>17.63</v>
      </c>
      <c r="G157" s="111">
        <v>61705.0</v>
      </c>
      <c r="H157" s="111">
        <v>3500.0</v>
      </c>
      <c r="I157" s="152">
        <v>1750.0</v>
      </c>
      <c r="J157" s="153">
        <v>1166.0</v>
      </c>
      <c r="K157" s="154">
        <v>1400.0</v>
      </c>
      <c r="L157" s="154">
        <v>700.0</v>
      </c>
      <c r="M157" s="93"/>
      <c r="N157" s="94">
        <v>3500.0</v>
      </c>
      <c r="O157" s="94"/>
      <c r="P157" s="94"/>
      <c r="Q157" s="94"/>
      <c r="R157" s="94"/>
      <c r="S157" s="94"/>
      <c r="T157" s="94"/>
      <c r="U157" s="94"/>
      <c r="V157" s="94"/>
      <c r="W157" s="94"/>
      <c r="X157" s="94"/>
      <c r="Y157" s="94"/>
      <c r="Z157" s="94"/>
      <c r="AA157" s="94"/>
      <c r="AB157" s="94"/>
      <c r="AC157" s="94"/>
      <c r="AD157" s="94"/>
      <c r="AE157" s="94"/>
    </row>
    <row r="158">
      <c r="A158" s="87"/>
      <c r="B158" s="37"/>
      <c r="C158" s="38"/>
      <c r="D158" s="156" t="s">
        <v>71</v>
      </c>
      <c r="E158" s="89">
        <v>46196.0</v>
      </c>
      <c r="F158" s="72">
        <v>21.7</v>
      </c>
      <c r="G158" s="111">
        <v>58438.1</v>
      </c>
      <c r="H158" s="111">
        <v>2693.0</v>
      </c>
      <c r="I158" s="152">
        <v>1346.0</v>
      </c>
      <c r="J158" s="153">
        <v>897.0</v>
      </c>
      <c r="K158" s="154">
        <v>1077.0</v>
      </c>
      <c r="L158" s="154">
        <v>538.0</v>
      </c>
      <c r="M158" s="93"/>
      <c r="N158" s="94">
        <v>2693.0</v>
      </c>
      <c r="O158" s="94"/>
      <c r="P158" s="94"/>
      <c r="Q158" s="94"/>
      <c r="R158" s="94"/>
      <c r="S158" s="94"/>
      <c r="T158" s="94"/>
      <c r="U158" s="94"/>
      <c r="V158" s="94"/>
      <c r="W158" s="94"/>
      <c r="X158" s="94"/>
      <c r="Y158" s="94"/>
      <c r="Z158" s="94"/>
      <c r="AA158" s="94"/>
      <c r="AB158" s="94"/>
      <c r="AC158" s="94"/>
      <c r="AD158" s="94"/>
      <c r="AE158" s="94"/>
    </row>
    <row r="159">
      <c r="A159" s="87"/>
      <c r="B159" s="37"/>
      <c r="C159" s="38"/>
      <c r="D159" s="156" t="s">
        <v>166</v>
      </c>
      <c r="E159" s="89">
        <v>46195.0</v>
      </c>
      <c r="F159" s="72">
        <v>19.96</v>
      </c>
      <c r="G159" s="111">
        <v>88762.12000000001</v>
      </c>
      <c r="H159" s="111">
        <v>4447.0</v>
      </c>
      <c r="I159" s="152">
        <v>2223.0</v>
      </c>
      <c r="J159" s="153">
        <v>1482.0</v>
      </c>
      <c r="K159" s="154">
        <v>1778.0</v>
      </c>
      <c r="L159" s="154">
        <v>889.0</v>
      </c>
      <c r="M159" s="93"/>
      <c r="N159" s="94">
        <v>4447.0</v>
      </c>
      <c r="O159" s="94"/>
      <c r="P159" s="94"/>
      <c r="Q159" s="94"/>
      <c r="R159" s="94"/>
      <c r="S159" s="94"/>
      <c r="T159" s="94"/>
      <c r="U159" s="94"/>
      <c r="V159" s="94"/>
      <c r="W159" s="94"/>
      <c r="X159" s="94"/>
      <c r="Y159" s="94"/>
      <c r="Z159" s="94"/>
      <c r="AA159" s="94"/>
      <c r="AB159" s="94"/>
      <c r="AC159" s="94"/>
      <c r="AD159" s="94"/>
      <c r="AE159" s="94"/>
    </row>
    <row r="160">
      <c r="A160" s="87"/>
      <c r="B160" s="37"/>
      <c r="C160" s="38"/>
      <c r="D160" s="156" t="s">
        <v>40</v>
      </c>
      <c r="E160" s="89">
        <v>46190.0</v>
      </c>
      <c r="F160" s="72">
        <v>20.0</v>
      </c>
      <c r="G160" s="111">
        <v>11600.0</v>
      </c>
      <c r="H160" s="111">
        <v>580.0</v>
      </c>
      <c r="I160" s="152">
        <v>290.0</v>
      </c>
      <c r="J160" s="153">
        <v>193.0</v>
      </c>
      <c r="K160" s="154">
        <v>232.0</v>
      </c>
      <c r="L160" s="154">
        <v>116.0</v>
      </c>
      <c r="M160" s="93"/>
      <c r="N160" s="94">
        <v>580.0</v>
      </c>
      <c r="O160" s="94"/>
      <c r="P160" s="94"/>
      <c r="Q160" s="94"/>
      <c r="R160" s="94"/>
      <c r="S160" s="94"/>
      <c r="T160" s="94"/>
      <c r="U160" s="94"/>
      <c r="V160" s="94"/>
      <c r="W160" s="94"/>
      <c r="X160" s="94"/>
      <c r="Y160" s="94"/>
      <c r="Z160" s="94"/>
      <c r="AA160" s="94"/>
      <c r="AB160" s="94"/>
      <c r="AC160" s="94"/>
      <c r="AD160" s="94"/>
      <c r="AE160" s="94"/>
    </row>
    <row r="161">
      <c r="A161" s="87"/>
      <c r="B161" s="37"/>
      <c r="C161" s="38"/>
      <c r="D161" s="156" t="s">
        <v>167</v>
      </c>
      <c r="E161" s="89">
        <v>46190.0</v>
      </c>
      <c r="F161" s="72">
        <v>19.96</v>
      </c>
      <c r="G161" s="111">
        <v>136167.12</v>
      </c>
      <c r="H161" s="111">
        <v>6822.0</v>
      </c>
      <c r="I161" s="152">
        <v>3411.0</v>
      </c>
      <c r="J161" s="153">
        <v>2274.0</v>
      </c>
      <c r="K161" s="154">
        <v>2728.0</v>
      </c>
      <c r="L161" s="154">
        <v>1364.0</v>
      </c>
      <c r="M161" s="93"/>
      <c r="N161" s="94">
        <v>6822.0</v>
      </c>
      <c r="O161" s="94"/>
      <c r="P161" s="94"/>
      <c r="Q161" s="94"/>
      <c r="R161" s="94"/>
      <c r="S161" s="94"/>
      <c r="T161" s="94"/>
      <c r="U161" s="94"/>
      <c r="V161" s="94"/>
      <c r="W161" s="94"/>
      <c r="X161" s="94"/>
      <c r="Y161" s="94"/>
      <c r="Z161" s="94"/>
      <c r="AA161" s="94"/>
      <c r="AB161" s="94"/>
      <c r="AC161" s="94"/>
      <c r="AD161" s="94"/>
      <c r="AE161" s="94"/>
    </row>
    <row r="162">
      <c r="A162" s="87"/>
      <c r="B162" s="37"/>
      <c r="C162" s="38"/>
      <c r="D162" s="156" t="s">
        <v>285</v>
      </c>
      <c r="E162" s="89">
        <v>46124.0</v>
      </c>
      <c r="F162" s="72">
        <v>17.440000000000005</v>
      </c>
      <c r="G162" s="111">
        <v>32525.60000000001</v>
      </c>
      <c r="H162" s="111">
        <v>1865.0</v>
      </c>
      <c r="I162" s="152">
        <v>932.0</v>
      </c>
      <c r="J162" s="153">
        <v>621.0</v>
      </c>
      <c r="K162" s="154">
        <v>746.0</v>
      </c>
      <c r="L162" s="154">
        <v>373.0</v>
      </c>
      <c r="M162" s="93"/>
      <c r="N162" s="94">
        <v>1865.0</v>
      </c>
      <c r="O162" s="94"/>
      <c r="P162" s="94"/>
      <c r="Q162" s="94"/>
      <c r="R162" s="94"/>
      <c r="S162" s="94"/>
      <c r="T162" s="94"/>
      <c r="U162" s="94"/>
      <c r="V162" s="94"/>
      <c r="W162" s="94"/>
      <c r="X162" s="94"/>
      <c r="Y162" s="94"/>
      <c r="Z162" s="94"/>
      <c r="AA162" s="94"/>
      <c r="AB162" s="94"/>
      <c r="AC162" s="94"/>
      <c r="AD162" s="94"/>
      <c r="AE162" s="94"/>
    </row>
    <row r="163">
      <c r="A163" s="87"/>
      <c r="B163" s="37"/>
      <c r="C163" s="38"/>
      <c r="D163" s="156" t="s">
        <v>286</v>
      </c>
      <c r="E163" s="89">
        <v>46190.0</v>
      </c>
      <c r="F163" s="72">
        <v>17.63</v>
      </c>
      <c r="G163" s="111">
        <v>68051.8</v>
      </c>
      <c r="H163" s="111">
        <v>3860.0</v>
      </c>
      <c r="I163" s="152">
        <v>1930.0</v>
      </c>
      <c r="J163" s="153">
        <v>1286.0</v>
      </c>
      <c r="K163" s="154">
        <v>1544.0</v>
      </c>
      <c r="L163" s="154">
        <v>772.0</v>
      </c>
      <c r="M163" s="93"/>
      <c r="N163" s="94">
        <v>3860.0</v>
      </c>
      <c r="O163" s="94"/>
      <c r="P163" s="94"/>
      <c r="Q163" s="94"/>
      <c r="R163" s="94"/>
      <c r="S163" s="94"/>
      <c r="T163" s="94"/>
      <c r="U163" s="94"/>
      <c r="V163" s="94"/>
      <c r="W163" s="94"/>
      <c r="X163" s="94"/>
      <c r="Y163" s="94"/>
      <c r="Z163" s="94"/>
      <c r="AA163" s="94"/>
      <c r="AB163" s="94"/>
      <c r="AC163" s="94"/>
      <c r="AD163" s="94"/>
      <c r="AE163" s="94"/>
    </row>
    <row r="164">
      <c r="A164" s="87"/>
      <c r="B164" s="37"/>
      <c r="C164" s="38"/>
      <c r="D164" s="156" t="s">
        <v>110</v>
      </c>
      <c r="E164" s="89">
        <v>46194.0</v>
      </c>
      <c r="F164" s="72">
        <v>13200.0</v>
      </c>
      <c r="G164" s="111">
        <v>1927200.0</v>
      </c>
      <c r="H164" s="111">
        <v>146.0</v>
      </c>
      <c r="I164" s="152">
        <v>73.0</v>
      </c>
      <c r="J164" s="153">
        <v>48.0</v>
      </c>
      <c r="K164" s="154">
        <v>58.0</v>
      </c>
      <c r="L164" s="154">
        <v>29.0</v>
      </c>
      <c r="M164" s="93"/>
      <c r="N164" s="94">
        <v>146.0</v>
      </c>
      <c r="O164" s="94"/>
      <c r="P164" s="94"/>
      <c r="Q164" s="94"/>
      <c r="R164" s="94"/>
      <c r="S164" s="94"/>
      <c r="T164" s="94"/>
      <c r="U164" s="94"/>
      <c r="V164" s="94"/>
      <c r="W164" s="94"/>
      <c r="X164" s="94"/>
      <c r="Y164" s="94"/>
      <c r="Z164" s="94"/>
      <c r="AA164" s="94"/>
      <c r="AB164" s="94"/>
      <c r="AC164" s="94"/>
      <c r="AD164" s="94"/>
      <c r="AE164" s="94"/>
    </row>
    <row r="165">
      <c r="A165" s="87"/>
      <c r="B165" s="37"/>
      <c r="C165" s="38"/>
      <c r="D165" s="156" t="s">
        <v>99</v>
      </c>
      <c r="E165" s="89">
        <v>46151.0</v>
      </c>
      <c r="F165" s="72">
        <v>18007.86</v>
      </c>
      <c r="G165" s="111">
        <v>0.0</v>
      </c>
      <c r="H165" s="111"/>
      <c r="I165" s="152"/>
      <c r="J165" s="153"/>
      <c r="K165" s="154"/>
      <c r="L165" s="154"/>
      <c r="M165" s="93"/>
      <c r="N165" s="94"/>
      <c r="O165" s="94"/>
      <c r="P165" s="94"/>
      <c r="Q165" s="94"/>
      <c r="R165" s="94"/>
      <c r="S165" s="94"/>
      <c r="T165" s="94"/>
      <c r="U165" s="94"/>
      <c r="V165" s="94"/>
      <c r="W165" s="94"/>
      <c r="X165" s="94"/>
      <c r="Y165" s="94"/>
      <c r="Z165" s="94"/>
      <c r="AA165" s="94"/>
      <c r="AB165" s="94"/>
      <c r="AC165" s="94"/>
      <c r="AD165" s="94"/>
      <c r="AE165" s="94"/>
    </row>
    <row r="166">
      <c r="A166" s="87"/>
      <c r="B166" s="37"/>
      <c r="C166" s="38"/>
      <c r="D166" s="156" t="s">
        <v>154</v>
      </c>
      <c r="E166" s="89">
        <v>46147.0</v>
      </c>
      <c r="F166" s="72">
        <v>19648.95348837209</v>
      </c>
      <c r="G166" s="111">
        <v>0.0</v>
      </c>
      <c r="H166" s="111"/>
      <c r="I166" s="152"/>
      <c r="J166" s="153"/>
      <c r="K166" s="154"/>
      <c r="L166" s="154"/>
      <c r="M166" s="93"/>
      <c r="N166" s="94"/>
      <c r="O166" s="94"/>
      <c r="P166" s="94"/>
      <c r="Q166" s="94"/>
      <c r="R166" s="94"/>
      <c r="S166" s="94"/>
      <c r="T166" s="94"/>
      <c r="U166" s="94"/>
      <c r="V166" s="94"/>
      <c r="W166" s="94"/>
      <c r="X166" s="94"/>
      <c r="Y166" s="94"/>
      <c r="Z166" s="94"/>
      <c r="AA166" s="94"/>
      <c r="AB166" s="94"/>
      <c r="AC166" s="94"/>
      <c r="AD166" s="94"/>
      <c r="AE166" s="94"/>
    </row>
    <row r="167">
      <c r="A167" s="87"/>
      <c r="B167" s="37"/>
      <c r="C167" s="38"/>
      <c r="D167" s="156" t="s">
        <v>856</v>
      </c>
      <c r="E167" s="89"/>
      <c r="F167" s="72"/>
      <c r="G167" s="111">
        <v>0.0</v>
      </c>
      <c r="H167" s="111"/>
      <c r="I167" s="152"/>
      <c r="J167" s="153"/>
      <c r="K167" s="154"/>
      <c r="L167" s="154"/>
      <c r="M167" s="93"/>
      <c r="N167" s="94"/>
      <c r="O167" s="94"/>
      <c r="P167" s="94"/>
      <c r="Q167" s="94"/>
      <c r="R167" s="94"/>
      <c r="S167" s="94"/>
      <c r="T167" s="94"/>
      <c r="U167" s="94"/>
      <c r="V167" s="94"/>
      <c r="W167" s="94"/>
      <c r="X167" s="94"/>
      <c r="Y167" s="94"/>
      <c r="Z167" s="94"/>
      <c r="AA167" s="94"/>
      <c r="AB167" s="94"/>
      <c r="AC167" s="94"/>
      <c r="AD167" s="94"/>
      <c r="AE167" s="94"/>
    </row>
    <row r="168">
      <c r="A168" s="87"/>
      <c r="B168" s="37"/>
      <c r="C168" s="38"/>
      <c r="D168" s="156" t="s">
        <v>857</v>
      </c>
      <c r="E168" s="89"/>
      <c r="F168" s="72"/>
      <c r="G168" s="111">
        <v>0.0</v>
      </c>
      <c r="H168" s="111"/>
      <c r="I168" s="152"/>
      <c r="J168" s="153"/>
      <c r="K168" s="154"/>
      <c r="L168" s="154"/>
      <c r="M168" s="93"/>
      <c r="N168" s="94"/>
      <c r="O168" s="94"/>
      <c r="P168" s="94"/>
      <c r="Q168" s="94"/>
      <c r="R168" s="94"/>
      <c r="S168" s="94"/>
      <c r="T168" s="94"/>
      <c r="U168" s="94"/>
      <c r="V168" s="94"/>
      <c r="W168" s="94"/>
      <c r="X168" s="94"/>
      <c r="Y168" s="94"/>
      <c r="Z168" s="94"/>
      <c r="AA168" s="94"/>
      <c r="AB168" s="94"/>
      <c r="AC168" s="94"/>
      <c r="AD168" s="94"/>
      <c r="AE168" s="94"/>
    </row>
    <row r="169">
      <c r="A169" s="87"/>
      <c r="B169" s="37"/>
      <c r="C169" s="38"/>
      <c r="D169" s="156" t="s">
        <v>858</v>
      </c>
      <c r="E169" s="89"/>
      <c r="F169" s="72"/>
      <c r="G169" s="111">
        <v>0.0</v>
      </c>
      <c r="H169" s="111"/>
      <c r="I169" s="152"/>
      <c r="J169" s="153"/>
      <c r="K169" s="154"/>
      <c r="L169" s="154"/>
      <c r="M169" s="93"/>
      <c r="N169" s="94"/>
      <c r="O169" s="94"/>
      <c r="P169" s="94"/>
      <c r="Q169" s="94"/>
      <c r="R169" s="94"/>
      <c r="S169" s="94"/>
      <c r="T169" s="94"/>
      <c r="U169" s="94"/>
      <c r="V169" s="94"/>
      <c r="W169" s="94"/>
      <c r="X169" s="94"/>
      <c r="Y169" s="94"/>
      <c r="Z169" s="94"/>
      <c r="AA169" s="94"/>
      <c r="AB169" s="94"/>
      <c r="AC169" s="94"/>
      <c r="AD169" s="94"/>
      <c r="AE169" s="94"/>
    </row>
    <row r="170">
      <c r="A170" s="87"/>
      <c r="B170" s="37"/>
      <c r="C170" s="38"/>
      <c r="D170" s="156" t="s">
        <v>859</v>
      </c>
      <c r="E170" s="89"/>
      <c r="F170" s="72"/>
      <c r="G170" s="111">
        <v>0.0</v>
      </c>
      <c r="H170" s="111"/>
      <c r="I170" s="152"/>
      <c r="J170" s="153"/>
      <c r="K170" s="154"/>
      <c r="L170" s="154"/>
      <c r="M170" s="93"/>
      <c r="N170" s="94"/>
      <c r="O170" s="94"/>
      <c r="P170" s="94"/>
      <c r="Q170" s="94"/>
      <c r="R170" s="94"/>
      <c r="S170" s="94"/>
      <c r="T170" s="94"/>
      <c r="U170" s="94"/>
      <c r="V170" s="94"/>
      <c r="W170" s="94"/>
      <c r="X170" s="94"/>
      <c r="Y170" s="94"/>
      <c r="Z170" s="94"/>
      <c r="AA170" s="94"/>
      <c r="AB170" s="94"/>
      <c r="AC170" s="94"/>
      <c r="AD170" s="94"/>
      <c r="AE170" s="94"/>
    </row>
    <row r="171">
      <c r="A171" s="87"/>
      <c r="B171" s="37"/>
      <c r="C171" s="38"/>
      <c r="D171" s="156" t="s">
        <v>860</v>
      </c>
      <c r="E171" s="89"/>
      <c r="F171" s="72"/>
      <c r="G171" s="111">
        <v>0.0</v>
      </c>
      <c r="H171" s="111"/>
      <c r="I171" s="152"/>
      <c r="J171" s="153"/>
      <c r="K171" s="154"/>
      <c r="L171" s="154"/>
      <c r="M171" s="93"/>
      <c r="N171" s="94"/>
      <c r="O171" s="94"/>
      <c r="P171" s="94"/>
      <c r="Q171" s="94"/>
      <c r="R171" s="94"/>
      <c r="S171" s="94"/>
      <c r="T171" s="94"/>
      <c r="U171" s="94"/>
      <c r="V171" s="94"/>
      <c r="W171" s="94"/>
      <c r="X171" s="94"/>
      <c r="Y171" s="94"/>
      <c r="Z171" s="94"/>
      <c r="AA171" s="94"/>
      <c r="AB171" s="94"/>
      <c r="AC171" s="94"/>
      <c r="AD171" s="94"/>
      <c r="AE171" s="94"/>
    </row>
    <row r="172">
      <c r="A172" s="87"/>
      <c r="B172" s="37"/>
      <c r="C172" s="38"/>
      <c r="D172" s="156" t="s">
        <v>861</v>
      </c>
      <c r="E172" s="89"/>
      <c r="F172" s="72"/>
      <c r="G172" s="111">
        <v>0.0</v>
      </c>
      <c r="H172" s="111"/>
      <c r="I172" s="152"/>
      <c r="J172" s="153"/>
      <c r="K172" s="154"/>
      <c r="L172" s="154"/>
      <c r="M172" s="93"/>
      <c r="N172" s="94"/>
      <c r="O172" s="94"/>
      <c r="P172" s="94"/>
      <c r="Q172" s="94"/>
      <c r="R172" s="94"/>
      <c r="S172" s="94"/>
      <c r="T172" s="94"/>
      <c r="U172" s="94"/>
      <c r="V172" s="94"/>
      <c r="W172" s="94"/>
      <c r="X172" s="94"/>
      <c r="Y172" s="94"/>
      <c r="Z172" s="94"/>
      <c r="AA172" s="94"/>
      <c r="AB172" s="94"/>
      <c r="AC172" s="94"/>
      <c r="AD172" s="94"/>
      <c r="AE172" s="94"/>
    </row>
    <row r="173">
      <c r="A173" s="87"/>
      <c r="B173" s="37"/>
      <c r="C173" s="38"/>
      <c r="D173" s="156" t="s">
        <v>862</v>
      </c>
      <c r="E173" s="89"/>
      <c r="F173" s="72"/>
      <c r="G173" s="111">
        <v>0.0</v>
      </c>
      <c r="H173" s="111"/>
      <c r="I173" s="152"/>
      <c r="J173" s="153"/>
      <c r="K173" s="154"/>
      <c r="L173" s="154"/>
      <c r="M173" s="93"/>
      <c r="N173" s="94"/>
      <c r="O173" s="94"/>
      <c r="P173" s="94"/>
      <c r="Q173" s="94"/>
      <c r="R173" s="94"/>
      <c r="S173" s="94"/>
      <c r="T173" s="94"/>
      <c r="U173" s="94"/>
      <c r="V173" s="94"/>
      <c r="W173" s="94"/>
      <c r="X173" s="94"/>
      <c r="Y173" s="94"/>
      <c r="Z173" s="94"/>
      <c r="AA173" s="94"/>
      <c r="AB173" s="94"/>
      <c r="AC173" s="94"/>
      <c r="AD173" s="94"/>
      <c r="AE173" s="94"/>
    </row>
    <row r="174">
      <c r="A174" s="87"/>
      <c r="B174" s="37"/>
      <c r="C174" s="38"/>
      <c r="D174" s="156" t="s">
        <v>863</v>
      </c>
      <c r="E174" s="89"/>
      <c r="F174" s="72"/>
      <c r="G174" s="111">
        <v>0.0</v>
      </c>
      <c r="H174" s="111"/>
      <c r="I174" s="152"/>
      <c r="J174" s="153"/>
      <c r="K174" s="154"/>
      <c r="L174" s="154"/>
      <c r="M174" s="93"/>
      <c r="N174" s="94"/>
      <c r="O174" s="94"/>
      <c r="P174" s="94"/>
      <c r="Q174" s="94"/>
      <c r="R174" s="94"/>
      <c r="S174" s="94"/>
      <c r="T174" s="94"/>
      <c r="U174" s="94"/>
      <c r="V174" s="94"/>
      <c r="W174" s="94"/>
      <c r="X174" s="94"/>
      <c r="Y174" s="94"/>
      <c r="Z174" s="94"/>
      <c r="AA174" s="94"/>
      <c r="AB174" s="94"/>
      <c r="AC174" s="94"/>
      <c r="AD174" s="94"/>
      <c r="AE174" s="94"/>
    </row>
    <row r="175">
      <c r="A175" s="87"/>
      <c r="B175" s="37"/>
      <c r="C175" s="38"/>
      <c r="D175" s="156" t="s">
        <v>69</v>
      </c>
      <c r="E175" s="89">
        <v>46127.0</v>
      </c>
      <c r="F175" s="72">
        <v>8283.86</v>
      </c>
      <c r="G175" s="111">
        <v>248515.80000000002</v>
      </c>
      <c r="H175" s="111">
        <v>30.0</v>
      </c>
      <c r="I175" s="152">
        <v>15.0</v>
      </c>
      <c r="J175" s="153">
        <v>10.0</v>
      </c>
      <c r="K175" s="154">
        <v>12.0</v>
      </c>
      <c r="L175" s="154">
        <v>6.0</v>
      </c>
      <c r="M175" s="93"/>
      <c r="N175" s="94">
        <v>30.0</v>
      </c>
      <c r="O175" s="94"/>
      <c r="P175" s="94"/>
      <c r="Q175" s="94"/>
      <c r="R175" s="94"/>
      <c r="S175" s="94"/>
      <c r="T175" s="94"/>
      <c r="U175" s="94"/>
      <c r="V175" s="94"/>
      <c r="W175" s="94"/>
      <c r="X175" s="94"/>
      <c r="Y175" s="94"/>
      <c r="Z175" s="94"/>
      <c r="AA175" s="94"/>
      <c r="AB175" s="94"/>
      <c r="AC175" s="94"/>
      <c r="AD175" s="94"/>
      <c r="AE175" s="94"/>
    </row>
    <row r="176">
      <c r="A176" s="87"/>
      <c r="B176" s="37"/>
      <c r="C176" s="38"/>
      <c r="D176" s="156" t="s">
        <v>112</v>
      </c>
      <c r="E176" s="89">
        <v>46182.0</v>
      </c>
      <c r="F176" s="72">
        <v>6801.53</v>
      </c>
      <c r="G176" s="111">
        <v>95221.42</v>
      </c>
      <c r="H176" s="111">
        <v>14.0</v>
      </c>
      <c r="I176" s="152">
        <v>7.0</v>
      </c>
      <c r="J176" s="153">
        <v>4.0</v>
      </c>
      <c r="K176" s="154">
        <v>5.0</v>
      </c>
      <c r="L176" s="154">
        <v>2.0</v>
      </c>
      <c r="M176" s="93"/>
      <c r="N176" s="94">
        <v>14.0</v>
      </c>
      <c r="O176" s="94"/>
      <c r="P176" s="94"/>
      <c r="Q176" s="94"/>
      <c r="R176" s="94"/>
      <c r="S176" s="94"/>
      <c r="T176" s="94"/>
      <c r="U176" s="94"/>
      <c r="V176" s="94"/>
      <c r="W176" s="94"/>
      <c r="X176" s="94"/>
      <c r="Y176" s="94"/>
      <c r="Z176" s="94"/>
      <c r="AA176" s="94"/>
      <c r="AB176" s="94"/>
      <c r="AC176" s="94"/>
      <c r="AD176" s="94"/>
      <c r="AE176" s="94"/>
    </row>
    <row r="177">
      <c r="A177" s="87"/>
      <c r="B177" s="37"/>
      <c r="C177" s="38"/>
      <c r="D177" s="156" t="s">
        <v>138</v>
      </c>
      <c r="E177" s="89">
        <v>46195.0</v>
      </c>
      <c r="F177" s="72">
        <v>11443.31</v>
      </c>
      <c r="G177" s="111">
        <v>0.0</v>
      </c>
      <c r="H177" s="111"/>
      <c r="I177" s="152"/>
      <c r="J177" s="153"/>
      <c r="K177" s="154"/>
      <c r="L177" s="154"/>
      <c r="M177" s="93"/>
      <c r="N177" s="94"/>
      <c r="O177" s="94"/>
      <c r="P177" s="94"/>
      <c r="Q177" s="94"/>
      <c r="R177" s="94"/>
      <c r="S177" s="94"/>
      <c r="T177" s="94"/>
      <c r="U177" s="94"/>
      <c r="V177" s="94"/>
      <c r="W177" s="94"/>
      <c r="X177" s="94"/>
      <c r="Y177" s="94"/>
      <c r="Z177" s="94"/>
      <c r="AA177" s="94"/>
      <c r="AB177" s="94"/>
      <c r="AC177" s="94"/>
      <c r="AD177" s="94"/>
      <c r="AE177" s="94"/>
    </row>
    <row r="178">
      <c r="A178" s="87"/>
      <c r="B178" s="37"/>
      <c r="C178" s="38"/>
      <c r="D178" s="156" t="s">
        <v>248</v>
      </c>
      <c r="E178" s="89">
        <v>46198.0</v>
      </c>
      <c r="F178" s="72">
        <v>8028.84</v>
      </c>
      <c r="G178" s="111">
        <v>8028.84</v>
      </c>
      <c r="H178" s="111">
        <v>1.0</v>
      </c>
      <c r="I178" s="152">
        <v>0.0</v>
      </c>
      <c r="J178" s="153">
        <v>0.0</v>
      </c>
      <c r="K178" s="154">
        <v>0.0</v>
      </c>
      <c r="L178" s="154">
        <v>0.0</v>
      </c>
      <c r="M178" s="93"/>
      <c r="N178" s="94">
        <v>1.0</v>
      </c>
      <c r="O178" s="94"/>
      <c r="P178" s="94"/>
      <c r="Q178" s="94"/>
      <c r="R178" s="94"/>
      <c r="S178" s="94"/>
      <c r="T178" s="94"/>
      <c r="U178" s="94"/>
      <c r="V178" s="94"/>
      <c r="W178" s="94"/>
      <c r="X178" s="94"/>
      <c r="Y178" s="94"/>
      <c r="Z178" s="94"/>
      <c r="AA178" s="94"/>
      <c r="AB178" s="94"/>
      <c r="AC178" s="94"/>
      <c r="AD178" s="94"/>
      <c r="AE178" s="94"/>
    </row>
    <row r="179">
      <c r="A179" s="87"/>
      <c r="B179" s="37"/>
      <c r="C179" s="38"/>
      <c r="D179" s="156" t="s">
        <v>145</v>
      </c>
      <c r="E179" s="89">
        <v>46153.0</v>
      </c>
      <c r="F179" s="72">
        <v>11352.67</v>
      </c>
      <c r="G179" s="111">
        <v>0.0</v>
      </c>
      <c r="H179" s="111"/>
      <c r="I179" s="152"/>
      <c r="J179" s="153"/>
      <c r="K179" s="154"/>
      <c r="L179" s="154"/>
      <c r="M179" s="93"/>
      <c r="N179" s="94"/>
      <c r="O179" s="94"/>
      <c r="P179" s="94"/>
      <c r="Q179" s="94"/>
      <c r="R179" s="94"/>
      <c r="S179" s="94"/>
      <c r="T179" s="94"/>
      <c r="U179" s="94"/>
      <c r="V179" s="94"/>
      <c r="W179" s="94"/>
      <c r="X179" s="94"/>
      <c r="Y179" s="94"/>
      <c r="Z179" s="94"/>
      <c r="AA179" s="94"/>
      <c r="AB179" s="94"/>
      <c r="AC179" s="94"/>
      <c r="AD179" s="94"/>
      <c r="AE179" s="94"/>
    </row>
    <row r="180">
      <c r="A180" s="87"/>
      <c r="B180" s="37"/>
      <c r="C180" s="38"/>
      <c r="D180" s="156" t="s">
        <v>864</v>
      </c>
      <c r="E180" s="89"/>
      <c r="F180" s="72"/>
      <c r="G180" s="111">
        <v>0.0</v>
      </c>
      <c r="H180" s="111"/>
      <c r="I180" s="152"/>
      <c r="J180" s="153"/>
      <c r="K180" s="154"/>
      <c r="L180" s="154"/>
      <c r="M180" s="93"/>
      <c r="N180" s="94"/>
      <c r="O180" s="94"/>
      <c r="P180" s="94"/>
      <c r="Q180" s="94"/>
      <c r="R180" s="94"/>
      <c r="S180" s="94"/>
      <c r="T180" s="94"/>
      <c r="U180" s="94"/>
      <c r="V180" s="94"/>
      <c r="W180" s="94"/>
      <c r="X180" s="94"/>
      <c r="Y180" s="94"/>
      <c r="Z180" s="94"/>
      <c r="AA180" s="94"/>
      <c r="AB180" s="94"/>
      <c r="AC180" s="94"/>
      <c r="AD180" s="94"/>
      <c r="AE180" s="94"/>
    </row>
    <row r="181">
      <c r="A181" s="87"/>
      <c r="B181" s="37"/>
      <c r="C181" s="38"/>
      <c r="D181" s="156" t="s">
        <v>865</v>
      </c>
      <c r="E181" s="89"/>
      <c r="F181" s="72"/>
      <c r="G181" s="111">
        <v>0.0</v>
      </c>
      <c r="H181" s="111"/>
      <c r="I181" s="152"/>
      <c r="J181" s="153"/>
      <c r="K181" s="154"/>
      <c r="L181" s="154"/>
      <c r="M181" s="93"/>
      <c r="N181" s="94"/>
      <c r="O181" s="94"/>
      <c r="P181" s="94"/>
      <c r="Q181" s="94"/>
      <c r="R181" s="94"/>
      <c r="S181" s="94"/>
      <c r="T181" s="94"/>
      <c r="U181" s="94"/>
      <c r="V181" s="94"/>
      <c r="W181" s="94"/>
      <c r="X181" s="94"/>
      <c r="Y181" s="94"/>
      <c r="Z181" s="94"/>
      <c r="AA181" s="94"/>
      <c r="AB181" s="94"/>
      <c r="AC181" s="94"/>
      <c r="AD181" s="94"/>
      <c r="AE181" s="94"/>
    </row>
    <row r="182">
      <c r="A182" s="87"/>
      <c r="B182" s="37"/>
      <c r="C182" s="38"/>
      <c r="D182" s="156" t="s">
        <v>866</v>
      </c>
      <c r="E182" s="89"/>
      <c r="F182" s="72"/>
      <c r="G182" s="111">
        <v>0.0</v>
      </c>
      <c r="H182" s="111"/>
      <c r="I182" s="152"/>
      <c r="J182" s="153"/>
      <c r="K182" s="154"/>
      <c r="L182" s="154"/>
      <c r="M182" s="93"/>
      <c r="N182" s="94"/>
      <c r="O182" s="94"/>
      <c r="P182" s="94"/>
      <c r="Q182" s="94"/>
      <c r="R182" s="94"/>
      <c r="S182" s="94"/>
      <c r="T182" s="94"/>
      <c r="U182" s="94"/>
      <c r="V182" s="94"/>
      <c r="W182" s="94"/>
      <c r="X182" s="94"/>
      <c r="Y182" s="94"/>
      <c r="Z182" s="94"/>
      <c r="AA182" s="94"/>
      <c r="AB182" s="94"/>
      <c r="AC182" s="94"/>
      <c r="AD182" s="94"/>
      <c r="AE182" s="94"/>
    </row>
    <row r="183">
      <c r="A183" s="87"/>
      <c r="B183" s="37"/>
      <c r="C183" s="38"/>
      <c r="D183" s="156" t="s">
        <v>82</v>
      </c>
      <c r="E183" s="89">
        <v>46157.0</v>
      </c>
      <c r="F183" s="72">
        <v>2904.07</v>
      </c>
      <c r="G183" s="111">
        <v>2904.07</v>
      </c>
      <c r="H183" s="111">
        <v>1.0</v>
      </c>
      <c r="I183" s="152">
        <v>0.0</v>
      </c>
      <c r="J183" s="153">
        <v>0.0</v>
      </c>
      <c r="K183" s="154">
        <v>0.0</v>
      </c>
      <c r="L183" s="154">
        <v>0.0</v>
      </c>
      <c r="M183" s="93"/>
      <c r="N183" s="94">
        <v>1.0</v>
      </c>
      <c r="O183" s="94"/>
      <c r="P183" s="94"/>
      <c r="Q183" s="94"/>
      <c r="R183" s="94"/>
      <c r="S183" s="94"/>
      <c r="T183" s="94"/>
      <c r="U183" s="94"/>
      <c r="V183" s="94"/>
      <c r="W183" s="94"/>
      <c r="X183" s="94"/>
      <c r="Y183" s="94"/>
      <c r="Z183" s="94"/>
      <c r="AA183" s="94"/>
      <c r="AB183" s="94"/>
      <c r="AC183" s="94"/>
      <c r="AD183" s="94"/>
      <c r="AE183" s="94"/>
    </row>
    <row r="184">
      <c r="A184" s="87"/>
      <c r="B184" s="37"/>
      <c r="C184" s="38"/>
      <c r="D184" s="156" t="s">
        <v>268</v>
      </c>
      <c r="E184" s="89">
        <v>46194.0</v>
      </c>
      <c r="F184" s="72">
        <v>222.05</v>
      </c>
      <c r="G184" s="111">
        <v>266015.9</v>
      </c>
      <c r="H184" s="111">
        <v>1198.0</v>
      </c>
      <c r="I184" s="152">
        <v>599.0</v>
      </c>
      <c r="J184" s="153">
        <v>399.0</v>
      </c>
      <c r="K184" s="154">
        <v>479.0</v>
      </c>
      <c r="L184" s="154">
        <v>239.0</v>
      </c>
      <c r="M184" s="93"/>
      <c r="N184" s="94">
        <v>1198.0</v>
      </c>
      <c r="O184" s="94"/>
      <c r="P184" s="94"/>
      <c r="Q184" s="94"/>
      <c r="R184" s="94"/>
      <c r="S184" s="94"/>
      <c r="T184" s="94"/>
      <c r="U184" s="94"/>
      <c r="V184" s="94"/>
      <c r="W184" s="94"/>
      <c r="X184" s="94"/>
      <c r="Y184" s="94"/>
      <c r="Z184" s="94"/>
      <c r="AA184" s="94"/>
      <c r="AB184" s="94"/>
      <c r="AC184" s="94"/>
      <c r="AD184" s="94"/>
      <c r="AE184" s="94"/>
    </row>
    <row r="185">
      <c r="A185" s="87"/>
      <c r="B185" s="37"/>
      <c r="C185" s="38"/>
      <c r="D185" s="156" t="s">
        <v>185</v>
      </c>
      <c r="E185" s="89">
        <v>46196.0</v>
      </c>
      <c r="F185" s="72">
        <v>157.5</v>
      </c>
      <c r="G185" s="111">
        <v>15120.0</v>
      </c>
      <c r="H185" s="111">
        <v>96.0</v>
      </c>
      <c r="I185" s="152">
        <v>48.0</v>
      </c>
      <c r="J185" s="153">
        <v>32.0</v>
      </c>
      <c r="K185" s="154">
        <v>38.0</v>
      </c>
      <c r="L185" s="154">
        <v>19.0</v>
      </c>
      <c r="M185" s="93"/>
      <c r="N185" s="94">
        <v>96.0</v>
      </c>
      <c r="O185" s="94"/>
      <c r="P185" s="94"/>
      <c r="Q185" s="94"/>
      <c r="R185" s="94"/>
      <c r="S185" s="94"/>
      <c r="T185" s="94"/>
      <c r="U185" s="94"/>
      <c r="V185" s="94"/>
      <c r="W185" s="94"/>
      <c r="X185" s="94"/>
      <c r="Y185" s="94"/>
      <c r="Z185" s="94"/>
      <c r="AA185" s="94"/>
      <c r="AB185" s="94"/>
      <c r="AC185" s="94"/>
      <c r="AD185" s="94"/>
      <c r="AE185" s="94"/>
    </row>
    <row r="186">
      <c r="A186" s="87"/>
      <c r="B186" s="37"/>
      <c r="C186" s="38"/>
      <c r="D186" s="156" t="s">
        <v>90</v>
      </c>
      <c r="E186" s="89">
        <v>46172.0</v>
      </c>
      <c r="F186" s="72">
        <v>535.0</v>
      </c>
      <c r="G186" s="111">
        <v>175480.0</v>
      </c>
      <c r="H186" s="111">
        <v>328.0</v>
      </c>
      <c r="I186" s="152">
        <v>164.0</v>
      </c>
      <c r="J186" s="153">
        <v>109.0</v>
      </c>
      <c r="K186" s="154">
        <v>131.0</v>
      </c>
      <c r="L186" s="154">
        <v>65.0</v>
      </c>
      <c r="M186" s="93"/>
      <c r="N186" s="94">
        <v>328.0</v>
      </c>
      <c r="O186" s="94"/>
      <c r="P186" s="94"/>
      <c r="Q186" s="94"/>
      <c r="R186" s="94"/>
      <c r="S186" s="94"/>
      <c r="T186" s="94"/>
      <c r="U186" s="94"/>
      <c r="V186" s="94"/>
      <c r="W186" s="94"/>
      <c r="X186" s="94"/>
      <c r="Y186" s="94"/>
      <c r="Z186" s="94"/>
      <c r="AA186" s="94"/>
      <c r="AB186" s="94"/>
      <c r="AC186" s="94"/>
      <c r="AD186" s="94"/>
      <c r="AE186" s="94"/>
    </row>
    <row r="187">
      <c r="A187" s="87"/>
      <c r="B187" s="37"/>
      <c r="C187" s="38"/>
      <c r="D187" s="156" t="s">
        <v>271</v>
      </c>
      <c r="E187" s="89">
        <v>46172.0</v>
      </c>
      <c r="F187" s="72">
        <v>455.8</v>
      </c>
      <c r="G187" s="111">
        <v>555164.4</v>
      </c>
      <c r="H187" s="111">
        <v>1218.0</v>
      </c>
      <c r="I187" s="152">
        <v>609.0</v>
      </c>
      <c r="J187" s="153">
        <v>406.0</v>
      </c>
      <c r="K187" s="154">
        <v>487.0</v>
      </c>
      <c r="L187" s="154">
        <v>243.0</v>
      </c>
      <c r="M187" s="93"/>
      <c r="N187" s="94">
        <v>1218.0</v>
      </c>
      <c r="O187" s="94"/>
      <c r="P187" s="94"/>
      <c r="Q187" s="94"/>
      <c r="R187" s="94"/>
      <c r="S187" s="94"/>
      <c r="T187" s="94"/>
      <c r="U187" s="94"/>
      <c r="V187" s="94"/>
      <c r="W187" s="94"/>
      <c r="X187" s="94"/>
      <c r="Y187" s="94"/>
      <c r="Z187" s="94"/>
      <c r="AA187" s="94"/>
      <c r="AB187" s="94"/>
      <c r="AC187" s="94"/>
      <c r="AD187" s="94"/>
      <c r="AE187" s="94"/>
    </row>
    <row r="188">
      <c r="A188" s="87"/>
      <c r="B188" s="37"/>
      <c r="C188" s="38"/>
      <c r="D188" s="156" t="s">
        <v>117</v>
      </c>
      <c r="E188" s="89">
        <v>46197.0</v>
      </c>
      <c r="F188" s="72">
        <v>182.38695652173914</v>
      </c>
      <c r="G188" s="111">
        <v>0.0</v>
      </c>
      <c r="H188" s="111"/>
      <c r="I188" s="152"/>
      <c r="J188" s="153"/>
      <c r="K188" s="154"/>
      <c r="L188" s="154"/>
      <c r="M188" s="93"/>
      <c r="N188" s="94"/>
      <c r="O188" s="94"/>
      <c r="P188" s="94"/>
      <c r="Q188" s="94"/>
      <c r="R188" s="94"/>
      <c r="S188" s="94"/>
      <c r="T188" s="94"/>
      <c r="U188" s="94"/>
      <c r="V188" s="94"/>
      <c r="W188" s="94"/>
      <c r="X188" s="94"/>
      <c r="Y188" s="94"/>
      <c r="Z188" s="94"/>
      <c r="AA188" s="94"/>
      <c r="AB188" s="94"/>
      <c r="AC188" s="94"/>
      <c r="AD188" s="94"/>
      <c r="AE188" s="94"/>
    </row>
    <row r="189">
      <c r="A189" s="87"/>
      <c r="B189" s="37"/>
      <c r="C189" s="38"/>
      <c r="D189" s="156" t="s">
        <v>883</v>
      </c>
      <c r="E189" s="89"/>
      <c r="F189" s="72"/>
      <c r="G189" s="111">
        <v>0.0</v>
      </c>
      <c r="H189" s="111"/>
      <c r="I189" s="152"/>
      <c r="J189" s="153"/>
      <c r="K189" s="154"/>
      <c r="L189" s="154"/>
      <c r="M189" s="93"/>
      <c r="N189" s="94"/>
      <c r="O189" s="94"/>
      <c r="P189" s="94"/>
      <c r="Q189" s="94"/>
      <c r="R189" s="94"/>
      <c r="S189" s="94"/>
      <c r="T189" s="94"/>
      <c r="U189" s="94"/>
      <c r="V189" s="94"/>
      <c r="W189" s="94"/>
      <c r="X189" s="94"/>
      <c r="Y189" s="94"/>
      <c r="Z189" s="94"/>
      <c r="AA189" s="94"/>
      <c r="AB189" s="94"/>
      <c r="AC189" s="94"/>
      <c r="AD189" s="94"/>
      <c r="AE189" s="94"/>
    </row>
    <row r="190">
      <c r="A190" s="87"/>
      <c r="B190" s="37"/>
      <c r="C190" s="38"/>
      <c r="D190" s="156" t="s">
        <v>890</v>
      </c>
      <c r="E190" s="89"/>
      <c r="F190" s="72"/>
      <c r="G190" s="111">
        <v>0.0</v>
      </c>
      <c r="H190" s="111"/>
      <c r="I190" s="152"/>
      <c r="J190" s="153"/>
      <c r="K190" s="154"/>
      <c r="L190" s="154"/>
      <c r="M190" s="93"/>
      <c r="N190" s="94"/>
      <c r="O190" s="94"/>
      <c r="P190" s="94"/>
      <c r="Q190" s="94"/>
      <c r="R190" s="94"/>
      <c r="S190" s="94"/>
      <c r="T190" s="94"/>
      <c r="U190" s="94"/>
      <c r="V190" s="94"/>
      <c r="W190" s="94"/>
      <c r="X190" s="94"/>
      <c r="Y190" s="94"/>
      <c r="Z190" s="94"/>
      <c r="AA190" s="94"/>
      <c r="AB190" s="94"/>
      <c r="AC190" s="94"/>
      <c r="AD190" s="94"/>
      <c r="AE190" s="94"/>
    </row>
    <row r="191">
      <c r="A191" s="87"/>
      <c r="B191" s="37"/>
      <c r="C191" s="38"/>
      <c r="D191" s="156" t="s">
        <v>122</v>
      </c>
      <c r="E191" s="89">
        <v>46145.0</v>
      </c>
      <c r="F191" s="72">
        <v>395.0872720450282</v>
      </c>
      <c r="G191" s="111">
        <v>437756.69742589124</v>
      </c>
      <c r="H191" s="111">
        <v>1108.0</v>
      </c>
      <c r="I191" s="152">
        <v>554.0</v>
      </c>
      <c r="J191" s="153">
        <v>369.0</v>
      </c>
      <c r="K191" s="154">
        <v>443.0</v>
      </c>
      <c r="L191" s="154">
        <v>221.0</v>
      </c>
      <c r="M191" s="93"/>
      <c r="N191" s="94">
        <v>1108.0</v>
      </c>
      <c r="O191" s="94"/>
      <c r="P191" s="94"/>
      <c r="Q191" s="94"/>
      <c r="R191" s="94"/>
      <c r="S191" s="94"/>
      <c r="T191" s="94"/>
      <c r="U191" s="94"/>
      <c r="V191" s="94"/>
      <c r="W191" s="94"/>
      <c r="X191" s="94"/>
      <c r="Y191" s="94"/>
      <c r="Z191" s="94"/>
      <c r="AA191" s="94"/>
      <c r="AB191" s="94"/>
      <c r="AC191" s="94"/>
      <c r="AD191" s="94"/>
      <c r="AE191" s="94"/>
    </row>
    <row r="192">
      <c r="A192" s="87"/>
      <c r="B192" s="37"/>
      <c r="C192" s="38"/>
      <c r="D192" s="156" t="s">
        <v>53</v>
      </c>
      <c r="E192" s="89"/>
      <c r="F192" s="72">
        <v>10607.58</v>
      </c>
      <c r="G192" s="111">
        <v>10607.58</v>
      </c>
      <c r="H192" s="111">
        <v>1.0</v>
      </c>
      <c r="I192" s="152">
        <v>0.0</v>
      </c>
      <c r="J192" s="153">
        <v>0.0</v>
      </c>
      <c r="K192" s="154">
        <v>0.0</v>
      </c>
      <c r="L192" s="154">
        <v>0.0</v>
      </c>
      <c r="M192" s="93"/>
      <c r="N192" s="94">
        <v>1.0</v>
      </c>
      <c r="O192" s="94"/>
      <c r="P192" s="94"/>
      <c r="Q192" s="94"/>
      <c r="R192" s="94"/>
      <c r="S192" s="94"/>
      <c r="T192" s="94"/>
      <c r="U192" s="94"/>
      <c r="V192" s="94"/>
      <c r="W192" s="94"/>
      <c r="X192" s="94"/>
      <c r="Y192" s="94"/>
      <c r="Z192" s="94"/>
      <c r="AA192" s="94"/>
      <c r="AB192" s="94"/>
      <c r="AC192" s="94"/>
      <c r="AD192" s="94"/>
      <c r="AE192" s="94"/>
    </row>
    <row r="193">
      <c r="A193" s="87"/>
      <c r="B193" s="37"/>
      <c r="C193" s="38"/>
      <c r="D193" s="156" t="s">
        <v>899</v>
      </c>
      <c r="E193" s="89"/>
      <c r="F193" s="72"/>
      <c r="G193" s="111">
        <v>0.0</v>
      </c>
      <c r="H193" s="111"/>
      <c r="I193" s="152"/>
      <c r="J193" s="153"/>
      <c r="K193" s="154"/>
      <c r="L193" s="154"/>
      <c r="M193" s="93"/>
      <c r="N193" s="94"/>
      <c r="O193" s="94"/>
      <c r="P193" s="94"/>
      <c r="Q193" s="94"/>
      <c r="R193" s="94"/>
      <c r="S193" s="94"/>
      <c r="T193" s="94"/>
      <c r="U193" s="94"/>
      <c r="V193" s="94"/>
      <c r="W193" s="94"/>
      <c r="X193" s="94"/>
      <c r="Y193" s="94"/>
      <c r="Z193" s="94"/>
      <c r="AA193" s="94"/>
      <c r="AB193" s="94"/>
      <c r="AC193" s="94"/>
      <c r="AD193" s="94"/>
      <c r="AE193" s="94"/>
    </row>
    <row r="194">
      <c r="A194" s="87"/>
      <c r="B194" s="37"/>
      <c r="C194" s="38"/>
      <c r="D194" s="156" t="s">
        <v>900</v>
      </c>
      <c r="E194" s="89"/>
      <c r="F194" s="72"/>
      <c r="G194" s="111">
        <v>0.0</v>
      </c>
      <c r="H194" s="111"/>
      <c r="I194" s="152"/>
      <c r="J194" s="153"/>
      <c r="K194" s="154"/>
      <c r="L194" s="154"/>
      <c r="M194" s="93"/>
      <c r="N194" s="94"/>
      <c r="O194" s="94"/>
      <c r="P194" s="94"/>
      <c r="Q194" s="94"/>
      <c r="R194" s="94"/>
      <c r="S194" s="94"/>
      <c r="T194" s="94"/>
      <c r="U194" s="94"/>
      <c r="V194" s="94"/>
      <c r="W194" s="94"/>
      <c r="X194" s="94"/>
      <c r="Y194" s="94"/>
      <c r="Z194" s="94"/>
      <c r="AA194" s="94"/>
      <c r="AB194" s="94"/>
      <c r="AC194" s="94"/>
      <c r="AD194" s="94"/>
      <c r="AE194" s="94"/>
    </row>
    <row r="195">
      <c r="A195" s="87"/>
      <c r="B195" s="37"/>
      <c r="C195" s="38"/>
      <c r="D195" s="156" t="s">
        <v>247</v>
      </c>
      <c r="E195" s="89">
        <v>46193.0</v>
      </c>
      <c r="F195" s="72">
        <v>1714.37</v>
      </c>
      <c r="G195" s="111">
        <v>533169.07</v>
      </c>
      <c r="H195" s="111">
        <v>311.0</v>
      </c>
      <c r="I195" s="152">
        <v>155.0</v>
      </c>
      <c r="J195" s="153">
        <v>103.0</v>
      </c>
      <c r="K195" s="154">
        <v>124.0</v>
      </c>
      <c r="L195" s="154">
        <v>62.0</v>
      </c>
      <c r="M195" s="93"/>
      <c r="N195" s="94">
        <v>311.0</v>
      </c>
      <c r="O195" s="94"/>
      <c r="P195" s="94"/>
      <c r="Q195" s="94"/>
      <c r="R195" s="94"/>
      <c r="S195" s="94"/>
      <c r="T195" s="94"/>
      <c r="U195" s="94"/>
      <c r="V195" s="94"/>
      <c r="W195" s="94"/>
      <c r="X195" s="94"/>
      <c r="Y195" s="94"/>
      <c r="Z195" s="94"/>
      <c r="AA195" s="94"/>
      <c r="AB195" s="94"/>
      <c r="AC195" s="94"/>
      <c r="AD195" s="94"/>
      <c r="AE195" s="94"/>
    </row>
    <row r="196">
      <c r="A196" s="87"/>
      <c r="B196" s="37"/>
      <c r="C196" s="38"/>
      <c r="D196" s="156" t="s">
        <v>908</v>
      </c>
      <c r="E196" s="89"/>
      <c r="F196" s="72"/>
      <c r="G196" s="111">
        <v>0.0</v>
      </c>
      <c r="H196" s="111"/>
      <c r="I196" s="152"/>
      <c r="J196" s="153"/>
      <c r="K196" s="154"/>
      <c r="L196" s="154"/>
      <c r="M196" s="93"/>
      <c r="N196" s="94"/>
      <c r="O196" s="94"/>
      <c r="P196" s="94"/>
      <c r="Q196" s="94"/>
      <c r="R196" s="94"/>
      <c r="S196" s="94"/>
      <c r="T196" s="94"/>
      <c r="U196" s="94"/>
      <c r="V196" s="94"/>
      <c r="W196" s="94"/>
      <c r="X196" s="94"/>
      <c r="Y196" s="94"/>
      <c r="Z196" s="94"/>
      <c r="AA196" s="94"/>
      <c r="AB196" s="94"/>
      <c r="AC196" s="94"/>
      <c r="AD196" s="94"/>
      <c r="AE196" s="94"/>
    </row>
    <row r="197">
      <c r="A197" s="87"/>
      <c r="B197" s="37"/>
      <c r="C197" s="38"/>
      <c r="D197" s="156" t="s">
        <v>913</v>
      </c>
      <c r="E197" s="89"/>
      <c r="F197" s="72"/>
      <c r="G197" s="111">
        <v>0.0</v>
      </c>
      <c r="H197" s="111"/>
      <c r="I197" s="152"/>
      <c r="J197" s="153"/>
      <c r="K197" s="154"/>
      <c r="L197" s="154"/>
      <c r="M197" s="93"/>
      <c r="N197" s="94"/>
      <c r="O197" s="94"/>
      <c r="P197" s="94"/>
      <c r="Q197" s="94"/>
      <c r="R197" s="94"/>
      <c r="S197" s="94"/>
      <c r="T197" s="94"/>
      <c r="U197" s="94"/>
      <c r="V197" s="94"/>
      <c r="W197" s="94"/>
      <c r="X197" s="94"/>
      <c r="Y197" s="94"/>
      <c r="Z197" s="94"/>
      <c r="AA197" s="94"/>
      <c r="AB197" s="94"/>
      <c r="AC197" s="94"/>
      <c r="AD197" s="94"/>
      <c r="AE197" s="94"/>
    </row>
    <row r="198">
      <c r="A198" s="87"/>
      <c r="B198" s="37"/>
      <c r="C198" s="38"/>
      <c r="D198" s="156" t="s">
        <v>919</v>
      </c>
      <c r="E198" s="89"/>
      <c r="F198" s="72"/>
      <c r="G198" s="111">
        <v>0.0</v>
      </c>
      <c r="H198" s="111"/>
      <c r="I198" s="152"/>
      <c r="J198" s="153"/>
      <c r="K198" s="154"/>
      <c r="L198" s="154"/>
      <c r="M198" s="93"/>
      <c r="N198" s="94"/>
      <c r="O198" s="94"/>
      <c r="P198" s="94"/>
      <c r="Q198" s="94"/>
      <c r="R198" s="94"/>
      <c r="S198" s="94"/>
      <c r="T198" s="94"/>
      <c r="U198" s="94"/>
      <c r="V198" s="94"/>
      <c r="W198" s="94"/>
      <c r="X198" s="94"/>
      <c r="Y198" s="94"/>
      <c r="Z198" s="94"/>
      <c r="AA198" s="94"/>
      <c r="AB198" s="94"/>
      <c r="AC198" s="94"/>
      <c r="AD198" s="94"/>
      <c r="AE198" s="94"/>
    </row>
    <row r="199">
      <c r="A199" s="87"/>
      <c r="B199" s="37"/>
      <c r="C199" s="38"/>
      <c r="D199" s="156" t="s">
        <v>923</v>
      </c>
      <c r="E199" s="89"/>
      <c r="F199" s="72"/>
      <c r="G199" s="111">
        <v>0.0</v>
      </c>
      <c r="H199" s="111"/>
      <c r="I199" s="152"/>
      <c r="J199" s="153"/>
      <c r="K199" s="154"/>
      <c r="L199" s="154"/>
      <c r="M199" s="93"/>
      <c r="N199" s="94"/>
      <c r="O199" s="94"/>
      <c r="P199" s="94"/>
      <c r="Q199" s="94"/>
      <c r="R199" s="94"/>
      <c r="S199" s="94"/>
      <c r="T199" s="94"/>
      <c r="U199" s="94"/>
      <c r="V199" s="94"/>
      <c r="W199" s="94"/>
      <c r="X199" s="94"/>
      <c r="Y199" s="94"/>
      <c r="Z199" s="94"/>
      <c r="AA199" s="94"/>
      <c r="AB199" s="94"/>
      <c r="AC199" s="94"/>
      <c r="AD199" s="94"/>
      <c r="AE199" s="94"/>
    </row>
    <row r="200">
      <c r="A200" s="87"/>
      <c r="B200" s="37"/>
      <c r="C200" s="38"/>
      <c r="D200" s="156" t="s">
        <v>306</v>
      </c>
      <c r="E200" s="89">
        <v>46196.0</v>
      </c>
      <c r="F200" s="72">
        <v>20791.2</v>
      </c>
      <c r="G200" s="111">
        <v>0.0</v>
      </c>
      <c r="H200" s="111"/>
      <c r="I200" s="152"/>
      <c r="J200" s="153"/>
      <c r="K200" s="154"/>
      <c r="L200" s="154"/>
      <c r="M200" s="93"/>
      <c r="N200" s="94"/>
      <c r="O200" s="94"/>
      <c r="P200" s="94"/>
      <c r="Q200" s="94"/>
      <c r="R200" s="94"/>
      <c r="S200" s="94"/>
      <c r="T200" s="94"/>
      <c r="U200" s="94"/>
      <c r="V200" s="94"/>
      <c r="W200" s="94"/>
      <c r="X200" s="94"/>
      <c r="Y200" s="94"/>
      <c r="Z200" s="94"/>
      <c r="AA200" s="94"/>
      <c r="AB200" s="94"/>
      <c r="AC200" s="94"/>
      <c r="AD200" s="94"/>
      <c r="AE200" s="94"/>
    </row>
    <row r="201">
      <c r="A201" s="87"/>
      <c r="B201" s="37"/>
      <c r="C201" s="38"/>
      <c r="D201" s="156" t="s">
        <v>924</v>
      </c>
      <c r="E201" s="89"/>
      <c r="F201" s="72"/>
      <c r="G201" s="111">
        <v>0.0</v>
      </c>
      <c r="H201" s="111"/>
      <c r="I201" s="152"/>
      <c r="J201" s="153"/>
      <c r="K201" s="154"/>
      <c r="L201" s="154"/>
      <c r="M201" s="93"/>
      <c r="N201" s="94"/>
      <c r="O201" s="94"/>
      <c r="P201" s="94"/>
      <c r="Q201" s="94"/>
      <c r="R201" s="94"/>
      <c r="S201" s="94"/>
      <c r="T201" s="94"/>
      <c r="U201" s="94"/>
      <c r="V201" s="94"/>
      <c r="W201" s="94"/>
      <c r="X201" s="94"/>
      <c r="Y201" s="94"/>
      <c r="Z201" s="94"/>
      <c r="AA201" s="94"/>
      <c r="AB201" s="94"/>
      <c r="AC201" s="94"/>
      <c r="AD201" s="94"/>
      <c r="AE201" s="94"/>
    </row>
    <row r="202">
      <c r="A202" s="87"/>
      <c r="B202" s="37"/>
      <c r="C202" s="38"/>
      <c r="D202" s="156" t="s">
        <v>925</v>
      </c>
      <c r="E202" s="89"/>
      <c r="F202" s="72"/>
      <c r="G202" s="111">
        <v>0.0</v>
      </c>
      <c r="H202" s="111"/>
      <c r="I202" s="152"/>
      <c r="J202" s="153"/>
      <c r="K202" s="154"/>
      <c r="L202" s="154"/>
      <c r="M202" s="93"/>
      <c r="N202" s="94"/>
      <c r="O202" s="94"/>
      <c r="P202" s="94"/>
      <c r="Q202" s="94"/>
      <c r="R202" s="94"/>
      <c r="S202" s="94"/>
      <c r="T202" s="94"/>
      <c r="U202" s="94"/>
      <c r="V202" s="94"/>
      <c r="W202" s="94"/>
      <c r="X202" s="94"/>
      <c r="Y202" s="94"/>
      <c r="Z202" s="94"/>
      <c r="AA202" s="94"/>
      <c r="AB202" s="94"/>
      <c r="AC202" s="94"/>
      <c r="AD202" s="94"/>
      <c r="AE202" s="94"/>
    </row>
    <row r="203">
      <c r="A203" s="87"/>
      <c r="B203" s="37"/>
      <c r="C203" s="38"/>
      <c r="D203" s="156" t="s">
        <v>930</v>
      </c>
      <c r="E203" s="89"/>
      <c r="F203" s="72"/>
      <c r="G203" s="111">
        <v>0.0</v>
      </c>
      <c r="H203" s="111"/>
      <c r="I203" s="152"/>
      <c r="J203" s="153"/>
      <c r="K203" s="154"/>
      <c r="L203" s="154"/>
      <c r="M203" s="93"/>
      <c r="N203" s="94"/>
      <c r="O203" s="94"/>
      <c r="P203" s="94"/>
      <c r="Q203" s="94"/>
      <c r="R203" s="94"/>
      <c r="S203" s="94"/>
      <c r="T203" s="94"/>
      <c r="U203" s="94"/>
      <c r="V203" s="94"/>
      <c r="W203" s="94"/>
      <c r="X203" s="94"/>
      <c r="Y203" s="94"/>
      <c r="Z203" s="94"/>
      <c r="AA203" s="94"/>
      <c r="AB203" s="94"/>
      <c r="AC203" s="94"/>
      <c r="AD203" s="94"/>
      <c r="AE203" s="94"/>
    </row>
    <row r="204">
      <c r="A204" s="87"/>
      <c r="B204" s="37"/>
      <c r="C204" s="38"/>
      <c r="D204" s="156" t="s">
        <v>931</v>
      </c>
      <c r="E204" s="89"/>
      <c r="F204" s="72"/>
      <c r="G204" s="111">
        <v>0.0</v>
      </c>
      <c r="H204" s="111"/>
      <c r="I204" s="152"/>
      <c r="J204" s="153"/>
      <c r="K204" s="154"/>
      <c r="L204" s="154"/>
      <c r="M204" s="93"/>
      <c r="N204" s="94"/>
      <c r="O204" s="94"/>
      <c r="P204" s="94"/>
      <c r="Q204" s="94"/>
      <c r="R204" s="94"/>
      <c r="S204" s="94"/>
      <c r="T204" s="94"/>
      <c r="U204" s="94"/>
      <c r="V204" s="94"/>
      <c r="W204" s="94"/>
      <c r="X204" s="94"/>
      <c r="Y204" s="94"/>
      <c r="Z204" s="94"/>
      <c r="AA204" s="94"/>
      <c r="AB204" s="94"/>
      <c r="AC204" s="94"/>
      <c r="AD204" s="94"/>
      <c r="AE204" s="94"/>
    </row>
    <row r="205">
      <c r="A205" s="87"/>
      <c r="B205" s="37"/>
      <c r="C205" s="38"/>
      <c r="D205" s="156" t="s">
        <v>934</v>
      </c>
      <c r="E205" s="89"/>
      <c r="F205" s="72"/>
      <c r="G205" s="111">
        <v>0.0</v>
      </c>
      <c r="H205" s="111"/>
      <c r="I205" s="152"/>
      <c r="J205" s="153"/>
      <c r="K205" s="154"/>
      <c r="L205" s="154"/>
      <c r="M205" s="93"/>
      <c r="N205" s="94"/>
      <c r="O205" s="94"/>
      <c r="P205" s="94"/>
      <c r="Q205" s="94"/>
      <c r="R205" s="94"/>
      <c r="S205" s="94"/>
      <c r="T205" s="94"/>
      <c r="U205" s="94"/>
      <c r="V205" s="94"/>
      <c r="W205" s="94"/>
      <c r="X205" s="94"/>
      <c r="Y205" s="94"/>
      <c r="Z205" s="94"/>
      <c r="AA205" s="94"/>
      <c r="AB205" s="94"/>
      <c r="AC205" s="94"/>
      <c r="AD205" s="94"/>
      <c r="AE205" s="94"/>
    </row>
    <row r="206">
      <c r="A206" s="87"/>
      <c r="B206" s="37"/>
      <c r="C206" s="38"/>
      <c r="D206" s="156" t="s">
        <v>937</v>
      </c>
      <c r="E206" s="89"/>
      <c r="F206" s="72"/>
      <c r="G206" s="111">
        <v>0.0</v>
      </c>
      <c r="H206" s="111"/>
      <c r="I206" s="152"/>
      <c r="J206" s="153"/>
      <c r="K206" s="154"/>
      <c r="L206" s="154"/>
      <c r="M206" s="93"/>
      <c r="N206" s="94"/>
      <c r="O206" s="94"/>
      <c r="P206" s="94"/>
      <c r="Q206" s="94"/>
      <c r="R206" s="94"/>
      <c r="S206" s="94"/>
      <c r="T206" s="94"/>
      <c r="U206" s="94"/>
      <c r="V206" s="94"/>
      <c r="W206" s="94"/>
      <c r="X206" s="94"/>
      <c r="Y206" s="94"/>
      <c r="Z206" s="94"/>
      <c r="AA206" s="94"/>
      <c r="AB206" s="94"/>
      <c r="AC206" s="94"/>
      <c r="AD206" s="94"/>
      <c r="AE206" s="94"/>
    </row>
    <row r="207">
      <c r="A207" s="87"/>
      <c r="B207" s="37"/>
      <c r="C207" s="38"/>
      <c r="D207" s="156" t="s">
        <v>946</v>
      </c>
      <c r="E207" s="89"/>
      <c r="F207" s="72"/>
      <c r="G207" s="111">
        <v>0.0</v>
      </c>
      <c r="H207" s="111"/>
      <c r="I207" s="152"/>
      <c r="J207" s="153"/>
      <c r="K207" s="154"/>
      <c r="L207" s="154"/>
      <c r="M207" s="93"/>
      <c r="N207" s="94"/>
      <c r="O207" s="94"/>
      <c r="P207" s="94"/>
      <c r="Q207" s="94"/>
      <c r="R207" s="94"/>
      <c r="S207" s="94"/>
      <c r="T207" s="94"/>
      <c r="U207" s="94"/>
      <c r="V207" s="94"/>
      <c r="W207" s="94"/>
      <c r="X207" s="94"/>
      <c r="Y207" s="94"/>
      <c r="Z207" s="94"/>
      <c r="AA207" s="94"/>
      <c r="AB207" s="94"/>
      <c r="AC207" s="94"/>
      <c r="AD207" s="94"/>
      <c r="AE207" s="94"/>
    </row>
    <row r="208">
      <c r="A208" s="87"/>
      <c r="B208" s="37"/>
      <c r="C208" s="38"/>
      <c r="D208" s="156" t="s">
        <v>950</v>
      </c>
      <c r="E208" s="89"/>
      <c r="F208" s="72"/>
      <c r="G208" s="111">
        <v>0.0</v>
      </c>
      <c r="H208" s="111"/>
      <c r="I208" s="152"/>
      <c r="J208" s="153"/>
      <c r="K208" s="154"/>
      <c r="L208" s="154"/>
      <c r="M208" s="93"/>
      <c r="N208" s="94"/>
      <c r="O208" s="94"/>
      <c r="P208" s="94"/>
      <c r="Q208" s="94"/>
      <c r="R208" s="94"/>
      <c r="S208" s="94"/>
      <c r="T208" s="94"/>
      <c r="U208" s="94"/>
      <c r="V208" s="94"/>
      <c r="W208" s="94"/>
      <c r="X208" s="94"/>
      <c r="Y208" s="94"/>
      <c r="Z208" s="94"/>
      <c r="AA208" s="94"/>
      <c r="AB208" s="94"/>
      <c r="AC208" s="94"/>
      <c r="AD208" s="94"/>
      <c r="AE208" s="94"/>
    </row>
    <row r="209">
      <c r="A209" s="87"/>
      <c r="B209" s="37"/>
      <c r="C209" s="38"/>
      <c r="D209" s="156" t="s">
        <v>954</v>
      </c>
      <c r="E209" s="89"/>
      <c r="F209" s="72"/>
      <c r="G209" s="111">
        <v>0.0</v>
      </c>
      <c r="H209" s="111"/>
      <c r="I209" s="152"/>
      <c r="J209" s="153"/>
      <c r="K209" s="154"/>
      <c r="L209" s="154"/>
      <c r="M209" s="93"/>
      <c r="N209" s="94"/>
      <c r="O209" s="94"/>
      <c r="P209" s="94"/>
      <c r="Q209" s="94"/>
      <c r="R209" s="94"/>
      <c r="S209" s="94"/>
      <c r="T209" s="94"/>
      <c r="U209" s="94"/>
      <c r="V209" s="94"/>
      <c r="W209" s="94"/>
      <c r="X209" s="94"/>
      <c r="Y209" s="94"/>
      <c r="Z209" s="94"/>
      <c r="AA209" s="94"/>
      <c r="AB209" s="94"/>
      <c r="AC209" s="94"/>
      <c r="AD209" s="94"/>
      <c r="AE209" s="94"/>
    </row>
    <row r="210">
      <c r="A210" s="87"/>
      <c r="B210" s="37"/>
      <c r="C210" s="37"/>
      <c r="D210" s="156" t="s">
        <v>958</v>
      </c>
      <c r="E210" s="89"/>
      <c r="F210" s="72"/>
      <c r="G210" s="111">
        <v>0.0</v>
      </c>
      <c r="H210" s="111"/>
      <c r="I210" s="111"/>
      <c r="J210" s="111"/>
      <c r="K210" s="111"/>
      <c r="L210" s="111"/>
      <c r="M210" s="94"/>
      <c r="N210" s="94"/>
      <c r="O210" s="94"/>
      <c r="P210" s="94"/>
      <c r="Q210" s="94"/>
      <c r="R210" s="94"/>
      <c r="S210" s="94"/>
      <c r="T210" s="94"/>
      <c r="U210" s="94"/>
      <c r="V210" s="94"/>
      <c r="W210" s="94"/>
      <c r="X210" s="94"/>
      <c r="Y210" s="94"/>
      <c r="Z210" s="94"/>
      <c r="AA210" s="94"/>
      <c r="AB210" s="94"/>
      <c r="AC210" s="94"/>
      <c r="AD210" s="94"/>
      <c r="AE210" s="94"/>
    </row>
    <row r="211">
      <c r="A211" s="87"/>
      <c r="B211" s="37"/>
      <c r="C211" s="37"/>
      <c r="D211" s="156" t="s">
        <v>962</v>
      </c>
      <c r="E211" s="89"/>
      <c r="F211" s="72"/>
      <c r="G211" s="111">
        <v>0.0</v>
      </c>
      <c r="H211" s="111"/>
      <c r="I211" s="111"/>
      <c r="J211" s="111"/>
      <c r="K211" s="111"/>
      <c r="L211" s="111"/>
      <c r="M211" s="94"/>
      <c r="N211" s="94"/>
      <c r="O211" s="94"/>
      <c r="P211" s="94"/>
      <c r="Q211" s="94"/>
      <c r="R211" s="94"/>
      <c r="S211" s="94"/>
      <c r="T211" s="94"/>
      <c r="U211" s="94"/>
      <c r="V211" s="94"/>
      <c r="W211" s="94"/>
      <c r="X211" s="94"/>
      <c r="Y211" s="94"/>
      <c r="Z211" s="94"/>
      <c r="AA211" s="94"/>
      <c r="AB211" s="94"/>
      <c r="AC211" s="94"/>
      <c r="AD211" s="94"/>
      <c r="AE211" s="94"/>
    </row>
    <row r="212">
      <c r="A212" s="87"/>
      <c r="B212" s="37"/>
      <c r="C212" s="37"/>
      <c r="D212" s="156" t="s">
        <v>967</v>
      </c>
      <c r="E212" s="89"/>
      <c r="F212" s="72"/>
      <c r="G212" s="111">
        <v>0.0</v>
      </c>
      <c r="H212" s="111"/>
      <c r="I212" s="111"/>
      <c r="J212" s="111"/>
      <c r="K212" s="111"/>
      <c r="L212" s="111"/>
      <c r="M212" s="94"/>
      <c r="N212" s="94"/>
      <c r="O212" s="94"/>
      <c r="P212" s="94"/>
      <c r="Q212" s="94"/>
      <c r="R212" s="94"/>
      <c r="S212" s="94"/>
      <c r="T212" s="94"/>
      <c r="U212" s="94"/>
      <c r="V212" s="94"/>
      <c r="W212" s="94"/>
      <c r="X212" s="94"/>
      <c r="Y212" s="94"/>
      <c r="Z212" s="94"/>
      <c r="AA212" s="94"/>
      <c r="AB212" s="94"/>
      <c r="AC212" s="94"/>
      <c r="AD212" s="94"/>
      <c r="AE212" s="94"/>
    </row>
    <row r="213">
      <c r="A213" s="87"/>
      <c r="B213" s="37"/>
      <c r="C213" s="37"/>
      <c r="D213" s="156" t="s">
        <v>970</v>
      </c>
      <c r="E213" s="89"/>
      <c r="F213" s="72"/>
      <c r="G213" s="111">
        <v>0.0</v>
      </c>
      <c r="H213" s="111"/>
      <c r="I213" s="111"/>
      <c r="J213" s="111"/>
      <c r="K213" s="111"/>
      <c r="L213" s="111"/>
      <c r="M213" s="94"/>
      <c r="N213" s="94"/>
      <c r="O213" s="94"/>
      <c r="P213" s="94"/>
      <c r="Q213" s="94"/>
      <c r="R213" s="94"/>
      <c r="S213" s="94"/>
      <c r="T213" s="94"/>
      <c r="U213" s="94"/>
      <c r="V213" s="94"/>
      <c r="W213" s="94"/>
      <c r="X213" s="94"/>
      <c r="Y213" s="94"/>
      <c r="Z213" s="94"/>
      <c r="AA213" s="94"/>
      <c r="AB213" s="94"/>
      <c r="AC213" s="94"/>
      <c r="AD213" s="94"/>
      <c r="AE213" s="94"/>
    </row>
    <row r="214">
      <c r="A214" s="87"/>
      <c r="B214" s="37"/>
      <c r="C214" s="37"/>
      <c r="D214" s="156" t="s">
        <v>973</v>
      </c>
      <c r="E214" s="89"/>
      <c r="F214" s="72"/>
      <c r="G214" s="111">
        <v>0.0</v>
      </c>
      <c r="H214" s="111"/>
      <c r="I214" s="111"/>
      <c r="J214" s="111"/>
      <c r="K214" s="111"/>
      <c r="L214" s="111"/>
      <c r="M214" s="94"/>
      <c r="N214" s="94"/>
      <c r="O214" s="94"/>
      <c r="P214" s="94"/>
      <c r="Q214" s="94"/>
      <c r="R214" s="94"/>
      <c r="S214" s="94"/>
      <c r="T214" s="94"/>
      <c r="U214" s="94"/>
      <c r="V214" s="94"/>
      <c r="W214" s="94"/>
      <c r="X214" s="94"/>
      <c r="Y214" s="94"/>
      <c r="Z214" s="94"/>
      <c r="AA214" s="94"/>
      <c r="AB214" s="94"/>
      <c r="AC214" s="94"/>
      <c r="AD214" s="94"/>
      <c r="AE214" s="94"/>
    </row>
    <row r="215">
      <c r="A215" s="87"/>
      <c r="B215" s="37"/>
      <c r="C215" s="37"/>
      <c r="D215" s="156" t="s">
        <v>976</v>
      </c>
      <c r="E215" s="89"/>
      <c r="F215" s="72"/>
      <c r="G215" s="111">
        <v>0.0</v>
      </c>
      <c r="H215" s="111"/>
      <c r="I215" s="111"/>
      <c r="J215" s="111"/>
      <c r="K215" s="111"/>
      <c r="L215" s="111"/>
      <c r="M215" s="94"/>
      <c r="N215" s="94"/>
      <c r="O215" s="94"/>
      <c r="P215" s="94"/>
      <c r="Q215" s="94"/>
      <c r="R215" s="94"/>
      <c r="S215" s="94"/>
      <c r="T215" s="94"/>
      <c r="U215" s="94"/>
      <c r="V215" s="94"/>
      <c r="W215" s="94"/>
      <c r="X215" s="94"/>
      <c r="Y215" s="94"/>
      <c r="Z215" s="94"/>
      <c r="AA215" s="94"/>
      <c r="AB215" s="94"/>
      <c r="AC215" s="94"/>
      <c r="AD215" s="94"/>
      <c r="AE215" s="94"/>
    </row>
    <row r="216">
      <c r="A216" s="87"/>
      <c r="B216" s="37"/>
      <c r="C216" s="37"/>
      <c r="D216" s="156" t="s">
        <v>979</v>
      </c>
      <c r="E216" s="89"/>
      <c r="F216" s="72"/>
      <c r="G216" s="111">
        <v>0.0</v>
      </c>
      <c r="H216" s="111"/>
      <c r="I216" s="111"/>
      <c r="J216" s="111"/>
      <c r="K216" s="111"/>
      <c r="L216" s="111"/>
      <c r="M216" s="94"/>
      <c r="N216" s="94"/>
      <c r="O216" s="94"/>
      <c r="P216" s="94"/>
      <c r="Q216" s="94"/>
      <c r="R216" s="94"/>
      <c r="S216" s="94"/>
      <c r="T216" s="94"/>
      <c r="U216" s="94"/>
      <c r="V216" s="94"/>
      <c r="W216" s="94"/>
      <c r="X216" s="94"/>
      <c r="Y216" s="94"/>
      <c r="Z216" s="94"/>
      <c r="AA216" s="94"/>
      <c r="AB216" s="94"/>
      <c r="AC216" s="94"/>
      <c r="AD216" s="94"/>
      <c r="AE216" s="94"/>
    </row>
    <row r="217">
      <c r="A217" s="87"/>
      <c r="B217" s="37"/>
      <c r="C217" s="37"/>
      <c r="D217" s="156" t="s">
        <v>982</v>
      </c>
      <c r="E217" s="89"/>
      <c r="F217" s="72"/>
      <c r="G217" s="111">
        <v>0.0</v>
      </c>
      <c r="H217" s="111"/>
      <c r="I217" s="111"/>
      <c r="J217" s="111"/>
      <c r="K217" s="111"/>
      <c r="L217" s="111"/>
      <c r="M217" s="94"/>
      <c r="N217" s="94"/>
      <c r="O217" s="94"/>
      <c r="P217" s="94"/>
      <c r="Q217" s="94"/>
      <c r="R217" s="94"/>
      <c r="S217" s="94"/>
      <c r="T217" s="94"/>
      <c r="U217" s="94"/>
      <c r="V217" s="94"/>
      <c r="W217" s="94"/>
      <c r="X217" s="94"/>
      <c r="Y217" s="94"/>
      <c r="Z217" s="94"/>
      <c r="AA217" s="94"/>
      <c r="AB217" s="94"/>
      <c r="AC217" s="94"/>
      <c r="AD217" s="94"/>
      <c r="AE217" s="94"/>
    </row>
    <row r="218">
      <c r="A218" s="87"/>
      <c r="B218" s="37"/>
      <c r="C218" s="37"/>
      <c r="D218" s="162"/>
      <c r="E218" s="89"/>
      <c r="F218" s="72"/>
      <c r="G218" s="111"/>
      <c r="H218" s="111"/>
      <c r="I218" s="111"/>
      <c r="J218" s="111"/>
      <c r="K218" s="111"/>
      <c r="L218" s="111"/>
      <c r="M218" s="94"/>
      <c r="N218" s="94"/>
      <c r="O218" s="94"/>
      <c r="P218" s="94"/>
      <c r="Q218" s="94"/>
      <c r="R218" s="94"/>
      <c r="S218" s="94"/>
      <c r="T218" s="94"/>
      <c r="U218" s="94"/>
      <c r="V218" s="94"/>
      <c r="W218" s="94"/>
      <c r="X218" s="94"/>
      <c r="Y218" s="94"/>
      <c r="Z218" s="94"/>
      <c r="AA218" s="94"/>
      <c r="AB218" s="94"/>
      <c r="AC218" s="94"/>
      <c r="AD218" s="94"/>
      <c r="AE218" s="94"/>
    </row>
    <row r="219">
      <c r="A219" s="87"/>
      <c r="B219" s="37"/>
      <c r="C219" s="37"/>
      <c r="D219" s="162"/>
      <c r="E219" s="89"/>
      <c r="F219" s="72"/>
      <c r="G219" s="111"/>
      <c r="H219" s="111"/>
      <c r="I219" s="111"/>
      <c r="J219" s="111"/>
      <c r="K219" s="111"/>
      <c r="L219" s="111"/>
      <c r="M219" s="94"/>
      <c r="N219" s="94"/>
      <c r="O219" s="94"/>
      <c r="P219" s="94"/>
      <c r="Q219" s="94"/>
      <c r="R219" s="94"/>
      <c r="S219" s="94"/>
      <c r="T219" s="94"/>
      <c r="U219" s="94"/>
      <c r="V219" s="94"/>
      <c r="W219" s="94"/>
      <c r="X219" s="94"/>
      <c r="Y219" s="94"/>
      <c r="Z219" s="94"/>
      <c r="AA219" s="94"/>
      <c r="AB219" s="94"/>
      <c r="AC219" s="94"/>
      <c r="AD219" s="94"/>
      <c r="AE219" s="94"/>
    </row>
    <row r="220">
      <c r="A220" s="87"/>
      <c r="B220" s="37"/>
      <c r="C220" s="37"/>
      <c r="D220" s="162"/>
      <c r="E220" s="89"/>
      <c r="F220" s="72"/>
      <c r="G220" s="111"/>
      <c r="H220" s="111"/>
      <c r="I220" s="111"/>
      <c r="J220" s="111"/>
      <c r="K220" s="111"/>
      <c r="L220" s="111"/>
      <c r="M220" s="94"/>
      <c r="N220" s="94"/>
      <c r="O220" s="94"/>
      <c r="P220" s="94"/>
      <c r="Q220" s="94"/>
      <c r="R220" s="94"/>
      <c r="S220" s="94"/>
      <c r="T220" s="94"/>
      <c r="U220" s="94"/>
      <c r="V220" s="94"/>
      <c r="W220" s="94"/>
      <c r="X220" s="94"/>
      <c r="Y220" s="94"/>
      <c r="Z220" s="94"/>
      <c r="AA220" s="94"/>
      <c r="AB220" s="94"/>
      <c r="AC220" s="94"/>
      <c r="AD220" s="94"/>
      <c r="AE220" s="94"/>
    </row>
    <row r="221">
      <c r="A221" s="87"/>
      <c r="B221" s="37"/>
      <c r="C221" s="37"/>
      <c r="D221" s="162"/>
      <c r="E221" s="89"/>
      <c r="F221" s="72"/>
      <c r="G221" s="111"/>
      <c r="H221" s="111"/>
      <c r="I221" s="111"/>
      <c r="J221" s="111"/>
      <c r="K221" s="111"/>
      <c r="L221" s="111"/>
      <c r="M221" s="94"/>
      <c r="N221" s="94"/>
      <c r="O221" s="94"/>
      <c r="P221" s="94"/>
      <c r="Q221" s="94"/>
      <c r="R221" s="94"/>
      <c r="S221" s="94"/>
      <c r="T221" s="94"/>
      <c r="U221" s="94"/>
      <c r="V221" s="94"/>
      <c r="W221" s="94"/>
      <c r="X221" s="94"/>
      <c r="Y221" s="94"/>
      <c r="Z221" s="94"/>
      <c r="AA221" s="94"/>
      <c r="AB221" s="94"/>
      <c r="AC221" s="94"/>
      <c r="AD221" s="94"/>
      <c r="AE221" s="94"/>
    </row>
    <row r="222">
      <c r="A222" s="87"/>
      <c r="B222" s="37"/>
      <c r="C222" s="37"/>
      <c r="D222" s="162"/>
      <c r="E222" s="89"/>
      <c r="F222" s="72"/>
      <c r="G222" s="111"/>
      <c r="H222" s="111"/>
      <c r="I222" s="111"/>
      <c r="J222" s="111"/>
      <c r="K222" s="111"/>
      <c r="L222" s="111"/>
      <c r="M222" s="94"/>
      <c r="N222" s="94"/>
      <c r="O222" s="94"/>
      <c r="P222" s="94"/>
      <c r="Q222" s="94"/>
      <c r="R222" s="94"/>
      <c r="S222" s="94"/>
      <c r="T222" s="94"/>
      <c r="U222" s="94"/>
      <c r="V222" s="94"/>
      <c r="W222" s="94"/>
      <c r="X222" s="94"/>
      <c r="Y222" s="94"/>
      <c r="Z222" s="94"/>
      <c r="AA222" s="94"/>
      <c r="AB222" s="94"/>
      <c r="AC222" s="94"/>
      <c r="AD222" s="94"/>
      <c r="AE222" s="94"/>
    </row>
    <row r="223">
      <c r="A223" s="87"/>
      <c r="B223" s="37"/>
      <c r="C223" s="37"/>
      <c r="D223" s="162"/>
      <c r="E223" s="89"/>
      <c r="F223" s="72"/>
      <c r="G223" s="111"/>
      <c r="H223" s="111"/>
      <c r="I223" s="111"/>
      <c r="J223" s="111"/>
      <c r="K223" s="111"/>
      <c r="L223" s="111"/>
      <c r="M223" s="94"/>
      <c r="N223" s="94"/>
      <c r="O223" s="94"/>
      <c r="P223" s="94"/>
      <c r="Q223" s="94"/>
      <c r="R223" s="94"/>
      <c r="S223" s="94"/>
      <c r="T223" s="94"/>
      <c r="U223" s="94"/>
      <c r="V223" s="94"/>
      <c r="W223" s="94"/>
      <c r="X223" s="94"/>
      <c r="Y223" s="94"/>
      <c r="Z223" s="94"/>
      <c r="AA223" s="94"/>
      <c r="AB223" s="94"/>
      <c r="AC223" s="94"/>
      <c r="AD223" s="94"/>
      <c r="AE223" s="94"/>
    </row>
    <row r="224">
      <c r="A224" s="87"/>
      <c r="B224" s="37"/>
      <c r="C224" s="37"/>
      <c r="D224" s="162"/>
      <c r="E224" s="89"/>
      <c r="F224" s="72"/>
      <c r="G224" s="111"/>
      <c r="H224" s="111"/>
      <c r="I224" s="111"/>
      <c r="J224" s="111"/>
      <c r="K224" s="111"/>
      <c r="L224" s="111"/>
      <c r="M224" s="94"/>
      <c r="N224" s="94"/>
      <c r="O224" s="94"/>
      <c r="P224" s="94"/>
      <c r="Q224" s="94"/>
      <c r="R224" s="94"/>
      <c r="S224" s="94"/>
      <c r="T224" s="94"/>
      <c r="U224" s="94"/>
      <c r="V224" s="94"/>
      <c r="W224" s="94"/>
      <c r="X224" s="94"/>
      <c r="Y224" s="94"/>
      <c r="Z224" s="94"/>
      <c r="AA224" s="94"/>
      <c r="AB224" s="94"/>
      <c r="AC224" s="94"/>
      <c r="AD224" s="94"/>
      <c r="AE224" s="94"/>
    </row>
    <row r="225">
      <c r="A225" s="87"/>
      <c r="B225" s="37"/>
      <c r="C225" s="37"/>
      <c r="D225" s="162"/>
      <c r="E225" s="89"/>
      <c r="F225" s="72"/>
      <c r="G225" s="111"/>
      <c r="H225" s="111"/>
      <c r="I225" s="111"/>
      <c r="J225" s="111"/>
      <c r="K225" s="111"/>
      <c r="L225" s="111"/>
      <c r="M225" s="94"/>
      <c r="N225" s="94"/>
      <c r="O225" s="94"/>
      <c r="P225" s="94"/>
      <c r="Q225" s="94"/>
      <c r="R225" s="94"/>
      <c r="S225" s="94"/>
      <c r="T225" s="94"/>
      <c r="U225" s="94"/>
      <c r="V225" s="94"/>
      <c r="W225" s="94"/>
      <c r="X225" s="94"/>
      <c r="Y225" s="94"/>
      <c r="Z225" s="94"/>
      <c r="AA225" s="94"/>
      <c r="AB225" s="94"/>
      <c r="AC225" s="94"/>
      <c r="AD225" s="94"/>
      <c r="AE225" s="94"/>
    </row>
    <row r="226">
      <c r="A226" s="87"/>
      <c r="B226" s="37"/>
      <c r="C226" s="37"/>
      <c r="D226" s="162"/>
      <c r="E226" s="89"/>
      <c r="F226" s="72"/>
      <c r="G226" s="111"/>
      <c r="H226" s="111"/>
      <c r="I226" s="111"/>
      <c r="J226" s="111"/>
      <c r="K226" s="111"/>
      <c r="L226" s="111"/>
      <c r="M226" s="94"/>
      <c r="N226" s="94"/>
      <c r="O226" s="94"/>
      <c r="P226" s="94"/>
      <c r="Q226" s="94"/>
      <c r="R226" s="94"/>
      <c r="S226" s="94"/>
      <c r="T226" s="94"/>
      <c r="U226" s="94"/>
      <c r="V226" s="94"/>
      <c r="W226" s="94"/>
      <c r="X226" s="94"/>
      <c r="Y226" s="94"/>
      <c r="Z226" s="94"/>
      <c r="AA226" s="94"/>
      <c r="AB226" s="94"/>
      <c r="AC226" s="94"/>
      <c r="AD226" s="94"/>
      <c r="AE226" s="94"/>
    </row>
    <row r="227">
      <c r="A227" s="87"/>
      <c r="B227" s="37"/>
      <c r="C227" s="37"/>
      <c r="D227" s="162"/>
      <c r="E227" s="89"/>
      <c r="F227" s="72"/>
      <c r="G227" s="111"/>
      <c r="H227" s="111"/>
      <c r="I227" s="111"/>
      <c r="J227" s="111"/>
      <c r="K227" s="111"/>
      <c r="L227" s="111"/>
      <c r="M227" s="94"/>
      <c r="N227" s="94"/>
      <c r="O227" s="94"/>
      <c r="P227" s="94"/>
      <c r="Q227" s="94"/>
      <c r="R227" s="94"/>
      <c r="S227" s="94"/>
      <c r="T227" s="94"/>
      <c r="U227" s="94"/>
      <c r="V227" s="94"/>
      <c r="W227" s="94"/>
      <c r="X227" s="94"/>
      <c r="Y227" s="94"/>
      <c r="Z227" s="94"/>
      <c r="AA227" s="94"/>
      <c r="AB227" s="94"/>
      <c r="AC227" s="94"/>
      <c r="AD227" s="94"/>
      <c r="AE227" s="94"/>
    </row>
    <row r="228">
      <c r="A228" s="87"/>
      <c r="B228" s="37"/>
      <c r="C228" s="37"/>
      <c r="D228" s="162"/>
      <c r="E228" s="89"/>
      <c r="F228" s="72"/>
      <c r="G228" s="111"/>
      <c r="H228" s="111"/>
      <c r="I228" s="111"/>
      <c r="J228" s="111"/>
      <c r="K228" s="111"/>
      <c r="L228" s="111"/>
      <c r="M228" s="94"/>
      <c r="N228" s="94"/>
      <c r="O228" s="94"/>
      <c r="P228" s="94"/>
      <c r="Q228" s="94"/>
      <c r="R228" s="94"/>
      <c r="S228" s="94"/>
      <c r="T228" s="94"/>
      <c r="U228" s="94"/>
      <c r="V228" s="94"/>
      <c r="W228" s="94"/>
      <c r="X228" s="94"/>
      <c r="Y228" s="94"/>
      <c r="Z228" s="94"/>
      <c r="AA228" s="94"/>
      <c r="AB228" s="94"/>
      <c r="AC228" s="94"/>
      <c r="AD228" s="94"/>
      <c r="AE228" s="94"/>
    </row>
    <row r="229">
      <c r="A229" s="87"/>
      <c r="B229" s="37"/>
      <c r="C229" s="37"/>
      <c r="D229" s="162"/>
      <c r="E229" s="89"/>
      <c r="F229" s="72"/>
      <c r="G229" s="111"/>
      <c r="H229" s="111"/>
      <c r="I229" s="111"/>
      <c r="J229" s="111"/>
      <c r="K229" s="111"/>
      <c r="L229" s="111"/>
      <c r="M229" s="94"/>
      <c r="N229" s="94"/>
      <c r="O229" s="94"/>
      <c r="P229" s="94"/>
      <c r="Q229" s="94"/>
      <c r="R229" s="94"/>
      <c r="S229" s="94"/>
      <c r="T229" s="94"/>
      <c r="U229" s="94"/>
      <c r="V229" s="94"/>
      <c r="W229" s="94"/>
      <c r="X229" s="94"/>
      <c r="Y229" s="94"/>
      <c r="Z229" s="94"/>
      <c r="AA229" s="94"/>
      <c r="AB229" s="94"/>
      <c r="AC229" s="94"/>
      <c r="AD229" s="94"/>
      <c r="AE229" s="94"/>
    </row>
    <row r="230">
      <c r="A230" s="87"/>
      <c r="B230" s="37"/>
      <c r="C230" s="37"/>
      <c r="D230" s="162"/>
      <c r="E230" s="89"/>
      <c r="F230" s="72"/>
      <c r="G230" s="111"/>
      <c r="H230" s="111"/>
      <c r="I230" s="111"/>
      <c r="J230" s="111"/>
      <c r="K230" s="111"/>
      <c r="L230" s="111"/>
      <c r="M230" s="94"/>
      <c r="N230" s="94"/>
      <c r="O230" s="94"/>
      <c r="P230" s="94"/>
      <c r="Q230" s="94"/>
      <c r="R230" s="94"/>
      <c r="S230" s="94"/>
      <c r="T230" s="94"/>
      <c r="U230" s="94"/>
      <c r="V230" s="94"/>
      <c r="W230" s="94"/>
      <c r="X230" s="94"/>
      <c r="Y230" s="94"/>
      <c r="Z230" s="94"/>
      <c r="AA230" s="94"/>
      <c r="AB230" s="94"/>
      <c r="AC230" s="94"/>
      <c r="AD230" s="94"/>
      <c r="AE230" s="94"/>
    </row>
    <row r="231">
      <c r="A231" s="87"/>
      <c r="B231" s="37"/>
      <c r="C231" s="37"/>
      <c r="D231" s="162"/>
      <c r="E231" s="89"/>
      <c r="F231" s="72"/>
      <c r="G231" s="111"/>
      <c r="H231" s="111"/>
      <c r="I231" s="111"/>
      <c r="J231" s="111"/>
      <c r="K231" s="111"/>
      <c r="L231" s="111"/>
      <c r="M231" s="94"/>
      <c r="N231" s="94"/>
      <c r="O231" s="94"/>
      <c r="P231" s="94"/>
      <c r="Q231" s="94"/>
      <c r="R231" s="94"/>
      <c r="S231" s="94"/>
      <c r="T231" s="94"/>
      <c r="U231" s="94"/>
      <c r="V231" s="94"/>
      <c r="W231" s="94"/>
      <c r="X231" s="94"/>
      <c r="Y231" s="94"/>
      <c r="Z231" s="94"/>
      <c r="AA231" s="94"/>
      <c r="AB231" s="94"/>
      <c r="AC231" s="94"/>
      <c r="AD231" s="94"/>
      <c r="AE231" s="94"/>
    </row>
    <row r="232">
      <c r="A232" s="87"/>
      <c r="B232" s="37"/>
      <c r="C232" s="37"/>
      <c r="D232" s="162"/>
      <c r="E232" s="89"/>
      <c r="F232" s="72"/>
      <c r="G232" s="111"/>
      <c r="H232" s="111"/>
      <c r="I232" s="111"/>
      <c r="J232" s="111"/>
      <c r="K232" s="111"/>
      <c r="L232" s="111"/>
      <c r="M232" s="94"/>
      <c r="N232" s="94"/>
      <c r="O232" s="94"/>
      <c r="P232" s="94"/>
      <c r="Q232" s="94"/>
      <c r="R232" s="94"/>
      <c r="S232" s="94"/>
      <c r="T232" s="94"/>
      <c r="U232" s="94"/>
      <c r="V232" s="94"/>
      <c r="W232" s="94"/>
      <c r="X232" s="94"/>
      <c r="Y232" s="94"/>
      <c r="Z232" s="94"/>
      <c r="AA232" s="94"/>
      <c r="AB232" s="94"/>
      <c r="AC232" s="94"/>
      <c r="AD232" s="94"/>
      <c r="AE232" s="94"/>
    </row>
    <row r="233">
      <c r="A233" s="87"/>
      <c r="B233" s="37"/>
      <c r="C233" s="37"/>
      <c r="D233" s="162"/>
      <c r="E233" s="89"/>
      <c r="F233" s="72"/>
      <c r="G233" s="111"/>
      <c r="H233" s="111"/>
      <c r="I233" s="111"/>
      <c r="J233" s="111"/>
      <c r="K233" s="111"/>
      <c r="L233" s="111"/>
      <c r="M233" s="94"/>
      <c r="N233" s="94"/>
      <c r="O233" s="94"/>
      <c r="P233" s="94"/>
      <c r="Q233" s="94"/>
      <c r="R233" s="94"/>
      <c r="S233" s="94"/>
      <c r="T233" s="94"/>
      <c r="U233" s="94"/>
      <c r="V233" s="94"/>
      <c r="W233" s="94"/>
      <c r="X233" s="94"/>
      <c r="Y233" s="94"/>
      <c r="Z233" s="94"/>
      <c r="AA233" s="94"/>
      <c r="AB233" s="94"/>
      <c r="AC233" s="94"/>
      <c r="AD233" s="94"/>
      <c r="AE233" s="94"/>
    </row>
    <row r="234">
      <c r="A234" s="87"/>
      <c r="B234" s="37"/>
      <c r="C234" s="37"/>
      <c r="D234" s="162"/>
      <c r="E234" s="89"/>
      <c r="F234" s="72"/>
      <c r="G234" s="111"/>
      <c r="H234" s="111"/>
      <c r="I234" s="111"/>
      <c r="J234" s="111"/>
      <c r="K234" s="111"/>
      <c r="L234" s="111"/>
      <c r="M234" s="94"/>
      <c r="N234" s="94"/>
      <c r="O234" s="94"/>
      <c r="P234" s="94"/>
      <c r="Q234" s="94"/>
      <c r="R234" s="94"/>
      <c r="S234" s="94"/>
      <c r="T234" s="94"/>
      <c r="U234" s="94"/>
      <c r="V234" s="94"/>
      <c r="W234" s="94"/>
      <c r="X234" s="94"/>
      <c r="Y234" s="94"/>
      <c r="Z234" s="94"/>
      <c r="AA234" s="94"/>
      <c r="AB234" s="94"/>
      <c r="AC234" s="94"/>
      <c r="AD234" s="94"/>
      <c r="AE234" s="94"/>
    </row>
    <row r="235">
      <c r="A235" s="87"/>
      <c r="B235" s="37"/>
      <c r="C235" s="37"/>
      <c r="D235" s="162"/>
      <c r="E235" s="89"/>
      <c r="F235" s="72"/>
      <c r="G235" s="111"/>
      <c r="H235" s="111"/>
      <c r="I235" s="111"/>
      <c r="J235" s="111"/>
      <c r="K235" s="111"/>
      <c r="L235" s="111"/>
      <c r="M235" s="94"/>
      <c r="N235" s="94"/>
      <c r="O235" s="94"/>
      <c r="P235" s="94"/>
      <c r="Q235" s="94"/>
      <c r="R235" s="94"/>
      <c r="S235" s="94"/>
      <c r="T235" s="94"/>
      <c r="U235" s="94"/>
      <c r="V235" s="94"/>
      <c r="W235" s="94"/>
      <c r="X235" s="94"/>
      <c r="Y235" s="94"/>
      <c r="Z235" s="94"/>
      <c r="AA235" s="94"/>
      <c r="AB235" s="94"/>
      <c r="AC235" s="94"/>
      <c r="AD235" s="94"/>
      <c r="AE235" s="94"/>
    </row>
    <row r="236">
      <c r="A236" s="87"/>
      <c r="B236" s="37"/>
      <c r="C236" s="37"/>
      <c r="D236" s="162"/>
      <c r="E236" s="89"/>
      <c r="F236" s="72"/>
      <c r="G236" s="111"/>
      <c r="H236" s="111"/>
      <c r="I236" s="111"/>
      <c r="J236" s="111"/>
      <c r="K236" s="111"/>
      <c r="L236" s="111"/>
      <c r="M236" s="94"/>
      <c r="N236" s="94"/>
      <c r="O236" s="94"/>
      <c r="P236" s="94"/>
      <c r="Q236" s="94"/>
      <c r="R236" s="94"/>
      <c r="S236" s="94"/>
      <c r="T236" s="94"/>
      <c r="U236" s="94"/>
      <c r="V236" s="94"/>
      <c r="W236" s="94"/>
      <c r="X236" s="94"/>
      <c r="Y236" s="94"/>
      <c r="Z236" s="94"/>
      <c r="AA236" s="94"/>
      <c r="AB236" s="94"/>
      <c r="AC236" s="94"/>
      <c r="AD236" s="94"/>
      <c r="AE236" s="94"/>
    </row>
    <row r="237">
      <c r="A237" s="87"/>
      <c r="B237" s="37"/>
      <c r="C237" s="37"/>
      <c r="D237" s="162"/>
      <c r="E237" s="89"/>
      <c r="F237" s="72"/>
      <c r="G237" s="111"/>
      <c r="H237" s="111"/>
      <c r="I237" s="111"/>
      <c r="J237" s="111"/>
      <c r="K237" s="111"/>
      <c r="L237" s="111"/>
      <c r="M237" s="94"/>
      <c r="N237" s="94"/>
      <c r="O237" s="94"/>
      <c r="P237" s="94"/>
      <c r="Q237" s="94"/>
      <c r="R237" s="94"/>
      <c r="S237" s="94"/>
      <c r="T237" s="94"/>
      <c r="U237" s="94"/>
      <c r="V237" s="94"/>
      <c r="W237" s="94"/>
      <c r="X237" s="94"/>
      <c r="Y237" s="94"/>
      <c r="Z237" s="94"/>
      <c r="AA237" s="94"/>
      <c r="AB237" s="94"/>
      <c r="AC237" s="94"/>
      <c r="AD237" s="94"/>
      <c r="AE237" s="94"/>
    </row>
    <row r="238">
      <c r="A238" s="87"/>
      <c r="B238" s="37"/>
      <c r="C238" s="37"/>
      <c r="D238" s="162"/>
      <c r="E238" s="89"/>
      <c r="F238" s="72"/>
      <c r="G238" s="111"/>
      <c r="H238" s="111"/>
      <c r="I238" s="111"/>
      <c r="J238" s="111"/>
      <c r="K238" s="111"/>
      <c r="L238" s="111"/>
      <c r="M238" s="94"/>
      <c r="N238" s="94"/>
      <c r="O238" s="94"/>
      <c r="P238" s="94"/>
      <c r="Q238" s="94"/>
      <c r="R238" s="94"/>
      <c r="S238" s="94"/>
      <c r="T238" s="94"/>
      <c r="U238" s="94"/>
      <c r="V238" s="94"/>
      <c r="W238" s="94"/>
      <c r="X238" s="94"/>
      <c r="Y238" s="94"/>
      <c r="Z238" s="94"/>
      <c r="AA238" s="94"/>
      <c r="AB238" s="94"/>
      <c r="AC238" s="94"/>
      <c r="AD238" s="94"/>
      <c r="AE238" s="94"/>
    </row>
    <row r="239">
      <c r="A239" s="87"/>
      <c r="B239" s="37"/>
      <c r="C239" s="37"/>
      <c r="D239" s="162"/>
      <c r="E239" s="89"/>
      <c r="F239" s="72"/>
      <c r="G239" s="111"/>
      <c r="H239" s="111"/>
      <c r="I239" s="111"/>
      <c r="J239" s="111"/>
      <c r="K239" s="111"/>
      <c r="L239" s="111"/>
      <c r="M239" s="94"/>
      <c r="N239" s="94"/>
      <c r="O239" s="94"/>
      <c r="P239" s="94"/>
      <c r="Q239" s="94"/>
      <c r="R239" s="94"/>
      <c r="S239" s="94"/>
      <c r="T239" s="94"/>
      <c r="U239" s="94"/>
      <c r="V239" s="94"/>
      <c r="W239" s="94"/>
      <c r="X239" s="94"/>
      <c r="Y239" s="94"/>
      <c r="Z239" s="94"/>
      <c r="AA239" s="94"/>
      <c r="AB239" s="94"/>
      <c r="AC239" s="94"/>
      <c r="AD239" s="94"/>
      <c r="AE239" s="94"/>
    </row>
    <row r="240">
      <c r="A240" s="87"/>
      <c r="B240" s="37"/>
      <c r="C240" s="37"/>
      <c r="D240" s="162"/>
      <c r="E240" s="89"/>
      <c r="F240" s="72"/>
      <c r="G240" s="111"/>
      <c r="H240" s="111"/>
      <c r="I240" s="111"/>
      <c r="J240" s="111"/>
      <c r="K240" s="111"/>
      <c r="L240" s="111"/>
      <c r="M240" s="94"/>
      <c r="N240" s="94"/>
      <c r="O240" s="94"/>
      <c r="P240" s="94"/>
      <c r="Q240" s="94"/>
      <c r="R240" s="94"/>
      <c r="S240" s="94"/>
      <c r="T240" s="94"/>
      <c r="U240" s="94"/>
      <c r="V240" s="94"/>
      <c r="W240" s="94"/>
      <c r="X240" s="94"/>
      <c r="Y240" s="94"/>
      <c r="Z240" s="94"/>
      <c r="AA240" s="94"/>
      <c r="AB240" s="94"/>
      <c r="AC240" s="94"/>
      <c r="AD240" s="94"/>
      <c r="AE240" s="94"/>
    </row>
    <row r="241">
      <c r="A241" s="87"/>
      <c r="B241" s="37"/>
      <c r="C241" s="37"/>
      <c r="D241" s="162"/>
      <c r="E241" s="89"/>
      <c r="F241" s="72"/>
      <c r="G241" s="111"/>
      <c r="H241" s="111"/>
      <c r="I241" s="111"/>
      <c r="J241" s="111"/>
      <c r="K241" s="111"/>
      <c r="L241" s="111"/>
      <c r="M241" s="94"/>
      <c r="N241" s="94"/>
      <c r="O241" s="94"/>
      <c r="P241" s="94"/>
      <c r="Q241" s="94"/>
      <c r="R241" s="94"/>
      <c r="S241" s="94"/>
      <c r="T241" s="94"/>
      <c r="U241" s="94"/>
      <c r="V241" s="94"/>
      <c r="W241" s="94"/>
      <c r="X241" s="94"/>
      <c r="Y241" s="94"/>
      <c r="Z241" s="94"/>
      <c r="AA241" s="94"/>
      <c r="AB241" s="94"/>
      <c r="AC241" s="94"/>
      <c r="AD241" s="94"/>
      <c r="AE241" s="94"/>
    </row>
    <row r="242">
      <c r="A242" s="87"/>
      <c r="B242" s="37"/>
      <c r="C242" s="37"/>
      <c r="D242" s="162"/>
      <c r="E242" s="89"/>
      <c r="F242" s="72"/>
      <c r="G242" s="111"/>
      <c r="H242" s="111"/>
      <c r="I242" s="111"/>
      <c r="J242" s="111"/>
      <c r="K242" s="111"/>
      <c r="L242" s="111"/>
      <c r="M242" s="94"/>
      <c r="N242" s="94"/>
      <c r="O242" s="94"/>
      <c r="P242" s="94"/>
      <c r="Q242" s="94"/>
      <c r="R242" s="94"/>
      <c r="S242" s="94"/>
      <c r="T242" s="94"/>
      <c r="U242" s="94"/>
      <c r="V242" s="94"/>
      <c r="W242" s="94"/>
      <c r="X242" s="94"/>
      <c r="Y242" s="94"/>
      <c r="Z242" s="94"/>
      <c r="AA242" s="94"/>
      <c r="AB242" s="94"/>
      <c r="AC242" s="94"/>
      <c r="AD242" s="94"/>
      <c r="AE242" s="94"/>
    </row>
    <row r="243">
      <c r="A243" s="87"/>
      <c r="B243" s="37"/>
      <c r="C243" s="37"/>
      <c r="D243" s="162"/>
      <c r="E243" s="89"/>
      <c r="F243" s="72"/>
      <c r="G243" s="111"/>
      <c r="H243" s="111"/>
      <c r="I243" s="111"/>
      <c r="J243" s="111"/>
      <c r="K243" s="111"/>
      <c r="L243" s="111"/>
      <c r="M243" s="94"/>
      <c r="N243" s="94"/>
      <c r="O243" s="94"/>
      <c r="P243" s="94"/>
      <c r="Q243" s="94"/>
      <c r="R243" s="94"/>
      <c r="S243" s="94"/>
      <c r="T243" s="94"/>
      <c r="U243" s="94"/>
      <c r="V243" s="94"/>
      <c r="W243" s="94"/>
      <c r="X243" s="94"/>
      <c r="Y243" s="94"/>
      <c r="Z243" s="94"/>
      <c r="AA243" s="94"/>
      <c r="AB243" s="94"/>
      <c r="AC243" s="94"/>
      <c r="AD243" s="94"/>
      <c r="AE243" s="94"/>
    </row>
    <row r="244">
      <c r="A244" s="87"/>
      <c r="B244" s="37"/>
      <c r="C244" s="37"/>
      <c r="D244" s="162"/>
      <c r="E244" s="89"/>
      <c r="F244" s="72"/>
      <c r="G244" s="111"/>
      <c r="H244" s="111"/>
      <c r="I244" s="111"/>
      <c r="J244" s="111"/>
      <c r="K244" s="111"/>
      <c r="L244" s="111"/>
      <c r="M244" s="94"/>
      <c r="N244" s="94"/>
      <c r="O244" s="94"/>
      <c r="P244" s="94"/>
      <c r="Q244" s="94"/>
      <c r="R244" s="94"/>
      <c r="S244" s="94"/>
      <c r="T244" s="94"/>
      <c r="U244" s="94"/>
      <c r="V244" s="94"/>
      <c r="W244" s="94"/>
      <c r="X244" s="94"/>
      <c r="Y244" s="94"/>
      <c r="Z244" s="94"/>
      <c r="AA244" s="94"/>
      <c r="AB244" s="94"/>
      <c r="AC244" s="94"/>
      <c r="AD244" s="94"/>
      <c r="AE244" s="94"/>
    </row>
    <row r="245">
      <c r="A245" s="87"/>
      <c r="B245" s="37"/>
      <c r="C245" s="37"/>
      <c r="D245" s="162"/>
      <c r="E245" s="89"/>
      <c r="F245" s="72"/>
      <c r="G245" s="111"/>
      <c r="H245" s="111"/>
      <c r="I245" s="111"/>
      <c r="J245" s="111"/>
      <c r="K245" s="111"/>
      <c r="L245" s="111"/>
      <c r="M245" s="94"/>
      <c r="N245" s="94"/>
      <c r="O245" s="94"/>
      <c r="P245" s="94"/>
      <c r="Q245" s="94"/>
      <c r="R245" s="94"/>
      <c r="S245" s="94"/>
      <c r="T245" s="94"/>
      <c r="U245" s="94"/>
      <c r="V245" s="94"/>
      <c r="W245" s="94"/>
      <c r="X245" s="94"/>
      <c r="Y245" s="94"/>
      <c r="Z245" s="94"/>
      <c r="AA245" s="94"/>
      <c r="AB245" s="94"/>
      <c r="AC245" s="94"/>
      <c r="AD245" s="94"/>
      <c r="AE245" s="94"/>
    </row>
    <row r="246">
      <c r="A246" s="87"/>
      <c r="B246" s="37"/>
      <c r="C246" s="37"/>
      <c r="D246" s="162"/>
      <c r="E246" s="89"/>
      <c r="F246" s="72"/>
      <c r="G246" s="111"/>
      <c r="H246" s="111"/>
      <c r="I246" s="111"/>
      <c r="J246" s="111"/>
      <c r="K246" s="111"/>
      <c r="L246" s="111"/>
      <c r="M246" s="94"/>
      <c r="N246" s="94"/>
      <c r="O246" s="94"/>
      <c r="P246" s="94"/>
      <c r="Q246" s="94"/>
      <c r="R246" s="94"/>
      <c r="S246" s="94"/>
      <c r="T246" s="94"/>
      <c r="U246" s="94"/>
      <c r="V246" s="94"/>
      <c r="W246" s="94"/>
      <c r="X246" s="94"/>
      <c r="Y246" s="94"/>
      <c r="Z246" s="94"/>
      <c r="AA246" s="94"/>
      <c r="AB246" s="94"/>
      <c r="AC246" s="94"/>
      <c r="AD246" s="94"/>
      <c r="AE246" s="94"/>
    </row>
    <row r="247">
      <c r="A247" s="87"/>
      <c r="B247" s="37"/>
      <c r="C247" s="37"/>
      <c r="D247" s="162"/>
      <c r="E247" s="89"/>
      <c r="F247" s="72"/>
      <c r="G247" s="111"/>
      <c r="H247" s="111"/>
      <c r="I247" s="111"/>
      <c r="J247" s="111"/>
      <c r="K247" s="111"/>
      <c r="L247" s="111"/>
      <c r="M247" s="94"/>
      <c r="N247" s="94"/>
      <c r="O247" s="94"/>
      <c r="P247" s="94"/>
      <c r="Q247" s="94"/>
      <c r="R247" s="94"/>
      <c r="S247" s="94"/>
      <c r="T247" s="94"/>
      <c r="U247" s="94"/>
      <c r="V247" s="94"/>
      <c r="W247" s="94"/>
      <c r="X247" s="94"/>
      <c r="Y247" s="94"/>
      <c r="Z247" s="94"/>
      <c r="AA247" s="94"/>
      <c r="AB247" s="94"/>
      <c r="AC247" s="94"/>
      <c r="AD247" s="94"/>
      <c r="AE247" s="94"/>
    </row>
    <row r="248">
      <c r="A248" s="87"/>
      <c r="B248" s="37"/>
      <c r="C248" s="37"/>
      <c r="D248" s="162"/>
      <c r="E248" s="89"/>
      <c r="F248" s="72"/>
      <c r="G248" s="111"/>
      <c r="H248" s="111"/>
      <c r="I248" s="111"/>
      <c r="J248" s="111"/>
      <c r="K248" s="111"/>
      <c r="L248" s="111"/>
      <c r="M248" s="94"/>
      <c r="N248" s="94"/>
      <c r="O248" s="94"/>
      <c r="P248" s="94"/>
      <c r="Q248" s="94"/>
      <c r="R248" s="94"/>
      <c r="S248" s="94"/>
      <c r="T248" s="94"/>
      <c r="U248" s="94"/>
      <c r="V248" s="94"/>
      <c r="W248" s="94"/>
      <c r="X248" s="94"/>
      <c r="Y248" s="94"/>
      <c r="Z248" s="94"/>
      <c r="AA248" s="94"/>
      <c r="AB248" s="94"/>
      <c r="AC248" s="94"/>
      <c r="AD248" s="94"/>
      <c r="AE248" s="94"/>
    </row>
    <row r="249">
      <c r="A249" s="87"/>
      <c r="B249" s="37"/>
      <c r="C249" s="37"/>
      <c r="D249" s="162"/>
      <c r="E249" s="89"/>
      <c r="F249" s="72"/>
      <c r="G249" s="111"/>
      <c r="H249" s="111"/>
      <c r="I249" s="111"/>
      <c r="J249" s="111"/>
      <c r="K249" s="111"/>
      <c r="L249" s="111"/>
      <c r="M249" s="94"/>
      <c r="N249" s="94"/>
      <c r="O249" s="94"/>
      <c r="P249" s="94"/>
      <c r="Q249" s="94"/>
      <c r="R249" s="94"/>
      <c r="S249" s="94"/>
      <c r="T249" s="94"/>
      <c r="U249" s="94"/>
      <c r="V249" s="94"/>
      <c r="W249" s="94"/>
      <c r="X249" s="94"/>
      <c r="Y249" s="94"/>
      <c r="Z249" s="94"/>
      <c r="AA249" s="94"/>
      <c r="AB249" s="94"/>
      <c r="AC249" s="94"/>
      <c r="AD249" s="94"/>
      <c r="AE249" s="94"/>
    </row>
    <row r="250">
      <c r="A250" s="87"/>
      <c r="B250" s="37"/>
      <c r="C250" s="37"/>
      <c r="D250" s="162"/>
      <c r="E250" s="89"/>
      <c r="F250" s="72"/>
      <c r="G250" s="111"/>
      <c r="H250" s="111"/>
      <c r="I250" s="111"/>
      <c r="J250" s="111"/>
      <c r="K250" s="111"/>
      <c r="L250" s="111"/>
      <c r="M250" s="94"/>
      <c r="N250" s="94"/>
      <c r="O250" s="94"/>
      <c r="P250" s="94"/>
      <c r="Q250" s="94"/>
      <c r="R250" s="94"/>
      <c r="S250" s="94"/>
      <c r="T250" s="94"/>
      <c r="U250" s="94"/>
      <c r="V250" s="94"/>
      <c r="W250" s="94"/>
      <c r="X250" s="94"/>
      <c r="Y250" s="94"/>
      <c r="Z250" s="94"/>
      <c r="AA250" s="94"/>
      <c r="AB250" s="94"/>
      <c r="AC250" s="94"/>
      <c r="AD250" s="94"/>
      <c r="AE250" s="94"/>
    </row>
    <row r="251">
      <c r="A251" s="87"/>
      <c r="B251" s="37"/>
      <c r="C251" s="37"/>
      <c r="D251" s="162"/>
      <c r="E251" s="89"/>
      <c r="F251" s="72"/>
      <c r="G251" s="111"/>
      <c r="H251" s="111"/>
      <c r="I251" s="111"/>
      <c r="J251" s="111"/>
      <c r="K251" s="111"/>
      <c r="L251" s="111"/>
      <c r="M251" s="94"/>
      <c r="N251" s="94"/>
      <c r="O251" s="94"/>
      <c r="P251" s="94"/>
      <c r="Q251" s="94"/>
      <c r="R251" s="94"/>
      <c r="S251" s="94"/>
      <c r="T251" s="94"/>
      <c r="U251" s="94"/>
      <c r="V251" s="94"/>
      <c r="W251" s="94"/>
      <c r="X251" s="94"/>
      <c r="Y251" s="94"/>
      <c r="Z251" s="94"/>
      <c r="AA251" s="94"/>
      <c r="AB251" s="94"/>
      <c r="AC251" s="94"/>
      <c r="AD251" s="94"/>
      <c r="AE251" s="94"/>
    </row>
    <row r="252">
      <c r="A252" s="87"/>
      <c r="B252" s="37"/>
      <c r="C252" s="37"/>
      <c r="D252" s="162"/>
      <c r="E252" s="89"/>
      <c r="F252" s="72"/>
      <c r="G252" s="111"/>
      <c r="H252" s="111"/>
      <c r="I252" s="111"/>
      <c r="J252" s="111"/>
      <c r="K252" s="111"/>
      <c r="L252" s="111"/>
      <c r="M252" s="94"/>
      <c r="N252" s="94"/>
      <c r="O252" s="94"/>
      <c r="P252" s="94"/>
      <c r="Q252" s="94"/>
      <c r="R252" s="94"/>
      <c r="S252" s="94"/>
      <c r="T252" s="94"/>
      <c r="U252" s="94"/>
      <c r="V252" s="94"/>
      <c r="W252" s="94"/>
      <c r="X252" s="94"/>
      <c r="Y252" s="94"/>
      <c r="Z252" s="94"/>
      <c r="AA252" s="94"/>
      <c r="AB252" s="94"/>
      <c r="AC252" s="94"/>
      <c r="AD252" s="94"/>
      <c r="AE252" s="94"/>
    </row>
    <row r="253">
      <c r="A253" s="87"/>
      <c r="B253" s="37"/>
      <c r="C253" s="37"/>
      <c r="D253" s="162"/>
      <c r="E253" s="89"/>
      <c r="F253" s="72"/>
      <c r="G253" s="111"/>
      <c r="H253" s="111"/>
      <c r="I253" s="111"/>
      <c r="J253" s="111"/>
      <c r="K253" s="111"/>
      <c r="L253" s="111"/>
      <c r="M253" s="94"/>
      <c r="N253" s="94"/>
      <c r="O253" s="94"/>
      <c r="P253" s="94"/>
      <c r="Q253" s="94"/>
      <c r="R253" s="94"/>
      <c r="S253" s="94"/>
      <c r="T253" s="94"/>
      <c r="U253" s="94"/>
      <c r="V253" s="94"/>
      <c r="W253" s="94"/>
      <c r="X253" s="94"/>
      <c r="Y253" s="94"/>
      <c r="Z253" s="94"/>
      <c r="AA253" s="94"/>
      <c r="AB253" s="94"/>
      <c r="AC253" s="94"/>
      <c r="AD253" s="94"/>
      <c r="AE253" s="94"/>
    </row>
    <row r="254">
      <c r="A254" s="87"/>
      <c r="B254" s="37"/>
      <c r="C254" s="37"/>
      <c r="D254" s="162"/>
      <c r="E254" s="89"/>
      <c r="F254" s="72"/>
      <c r="G254" s="111"/>
      <c r="H254" s="111"/>
      <c r="I254" s="111"/>
      <c r="J254" s="111"/>
      <c r="K254" s="111"/>
      <c r="L254" s="111"/>
      <c r="M254" s="94"/>
      <c r="N254" s="94"/>
      <c r="O254" s="94"/>
      <c r="P254" s="94"/>
      <c r="Q254" s="94"/>
      <c r="R254" s="94"/>
      <c r="S254" s="94"/>
      <c r="T254" s="94"/>
      <c r="U254" s="94"/>
      <c r="V254" s="94"/>
      <c r="W254" s="94"/>
      <c r="X254" s="94"/>
      <c r="Y254" s="94"/>
      <c r="Z254" s="94"/>
      <c r="AA254" s="94"/>
      <c r="AB254" s="94"/>
      <c r="AC254" s="94"/>
      <c r="AD254" s="94"/>
      <c r="AE254" s="94"/>
    </row>
    <row r="255">
      <c r="A255" s="87"/>
      <c r="B255" s="37"/>
      <c r="C255" s="37"/>
      <c r="D255" s="162"/>
      <c r="E255" s="89"/>
      <c r="F255" s="72"/>
      <c r="G255" s="111"/>
      <c r="H255" s="111"/>
      <c r="I255" s="111"/>
      <c r="J255" s="111"/>
      <c r="K255" s="111"/>
      <c r="L255" s="111"/>
      <c r="M255" s="94"/>
      <c r="N255" s="94"/>
      <c r="O255" s="94"/>
      <c r="P255" s="94"/>
      <c r="Q255" s="94"/>
      <c r="R255" s="94"/>
      <c r="S255" s="94"/>
      <c r="T255" s="94"/>
      <c r="U255" s="94"/>
      <c r="V255" s="94"/>
      <c r="W255" s="94"/>
      <c r="X255" s="94"/>
      <c r="Y255" s="94"/>
      <c r="Z255" s="94"/>
      <c r="AA255" s="94"/>
      <c r="AB255" s="94"/>
      <c r="AC255" s="94"/>
      <c r="AD255" s="94"/>
      <c r="AE255" s="94"/>
    </row>
    <row r="256">
      <c r="A256" s="87"/>
      <c r="B256" s="37"/>
      <c r="C256" s="37"/>
      <c r="D256" s="162"/>
      <c r="E256" s="89"/>
      <c r="F256" s="72"/>
      <c r="G256" s="111"/>
      <c r="H256" s="111"/>
      <c r="I256" s="111"/>
      <c r="J256" s="111"/>
      <c r="K256" s="111"/>
      <c r="L256" s="111"/>
      <c r="M256" s="94"/>
      <c r="N256" s="94"/>
      <c r="O256" s="94"/>
      <c r="P256" s="94"/>
      <c r="Q256" s="94"/>
      <c r="R256" s="94"/>
      <c r="S256" s="94"/>
      <c r="T256" s="94"/>
      <c r="U256" s="94"/>
      <c r="V256" s="94"/>
      <c r="W256" s="94"/>
      <c r="X256" s="94"/>
      <c r="Y256" s="94"/>
      <c r="Z256" s="94"/>
      <c r="AA256" s="94"/>
      <c r="AB256" s="94"/>
      <c r="AC256" s="94"/>
      <c r="AD256" s="94"/>
      <c r="AE256" s="94"/>
    </row>
    <row r="257">
      <c r="A257" s="87"/>
      <c r="B257" s="37"/>
      <c r="C257" s="37"/>
      <c r="D257" s="162"/>
      <c r="E257" s="89"/>
      <c r="F257" s="72"/>
      <c r="G257" s="111"/>
      <c r="H257" s="111"/>
      <c r="I257" s="111"/>
      <c r="J257" s="111"/>
      <c r="K257" s="111"/>
      <c r="L257" s="111"/>
      <c r="M257" s="94"/>
      <c r="N257" s="94"/>
      <c r="O257" s="94"/>
      <c r="P257" s="94"/>
      <c r="Q257" s="94"/>
      <c r="R257" s="94"/>
      <c r="S257" s="94"/>
      <c r="T257" s="94"/>
      <c r="U257" s="94"/>
      <c r="V257" s="94"/>
      <c r="W257" s="94"/>
      <c r="X257" s="94"/>
      <c r="Y257" s="94"/>
      <c r="Z257" s="94"/>
      <c r="AA257" s="94"/>
      <c r="AB257" s="94"/>
      <c r="AC257" s="94"/>
      <c r="AD257" s="94"/>
      <c r="AE257" s="94"/>
    </row>
    <row r="258">
      <c r="A258" s="87"/>
      <c r="B258" s="37"/>
      <c r="C258" s="37"/>
      <c r="D258" s="162"/>
      <c r="E258" s="89"/>
      <c r="F258" s="72"/>
      <c r="G258" s="111"/>
      <c r="H258" s="111"/>
      <c r="I258" s="111"/>
      <c r="J258" s="111"/>
      <c r="K258" s="111"/>
      <c r="L258" s="111"/>
      <c r="M258" s="94"/>
      <c r="N258" s="94"/>
      <c r="O258" s="94"/>
      <c r="P258" s="94"/>
      <c r="Q258" s="94"/>
      <c r="R258" s="94"/>
      <c r="S258" s="94"/>
      <c r="T258" s="94"/>
      <c r="U258" s="94"/>
      <c r="V258" s="94"/>
      <c r="W258" s="94"/>
      <c r="X258" s="94"/>
      <c r="Y258" s="94"/>
      <c r="Z258" s="94"/>
      <c r="AA258" s="94"/>
      <c r="AB258" s="94"/>
      <c r="AC258" s="94"/>
      <c r="AD258" s="94"/>
      <c r="AE258" s="94"/>
    </row>
    <row r="259">
      <c r="A259" s="87"/>
      <c r="B259" s="37"/>
      <c r="C259" s="37"/>
      <c r="D259" s="162"/>
      <c r="E259" s="89"/>
      <c r="F259" s="72"/>
      <c r="G259" s="111"/>
      <c r="H259" s="111"/>
      <c r="I259" s="111"/>
      <c r="J259" s="111"/>
      <c r="K259" s="111"/>
      <c r="L259" s="111"/>
      <c r="M259" s="94"/>
      <c r="N259" s="94"/>
      <c r="O259" s="94"/>
      <c r="P259" s="94"/>
      <c r="Q259" s="94"/>
      <c r="R259" s="94"/>
      <c r="S259" s="94"/>
      <c r="T259" s="94"/>
      <c r="U259" s="94"/>
      <c r="V259" s="94"/>
      <c r="W259" s="94"/>
      <c r="X259" s="94"/>
      <c r="Y259" s="94"/>
      <c r="Z259" s="94"/>
      <c r="AA259" s="94"/>
      <c r="AB259" s="94"/>
      <c r="AC259" s="94"/>
      <c r="AD259" s="94"/>
      <c r="AE259" s="94"/>
    </row>
    <row r="260">
      <c r="A260" s="87"/>
      <c r="B260" s="37"/>
      <c r="C260" s="37"/>
      <c r="D260" s="162"/>
      <c r="E260" s="89"/>
      <c r="F260" s="72"/>
      <c r="G260" s="111"/>
      <c r="H260" s="111"/>
      <c r="I260" s="111"/>
      <c r="J260" s="111"/>
      <c r="K260" s="111"/>
      <c r="L260" s="111"/>
      <c r="M260" s="94"/>
      <c r="N260" s="94"/>
      <c r="O260" s="94"/>
      <c r="P260" s="94"/>
      <c r="Q260" s="94"/>
      <c r="R260" s="94"/>
      <c r="S260" s="94"/>
      <c r="T260" s="94"/>
      <c r="U260" s="94"/>
      <c r="V260" s="94"/>
      <c r="W260" s="94"/>
      <c r="X260" s="94"/>
      <c r="Y260" s="94"/>
      <c r="Z260" s="94"/>
      <c r="AA260" s="94"/>
      <c r="AB260" s="94"/>
      <c r="AC260" s="94"/>
      <c r="AD260" s="94"/>
      <c r="AE260" s="94"/>
    </row>
    <row r="261">
      <c r="A261" s="87"/>
      <c r="B261" s="37"/>
      <c r="C261" s="37"/>
      <c r="D261" s="162"/>
      <c r="E261" s="89"/>
      <c r="F261" s="72"/>
      <c r="G261" s="111"/>
      <c r="H261" s="111"/>
      <c r="I261" s="111"/>
      <c r="J261" s="111"/>
      <c r="K261" s="111"/>
      <c r="L261" s="111"/>
      <c r="M261" s="94"/>
      <c r="N261" s="94"/>
      <c r="O261" s="94"/>
      <c r="P261" s="94"/>
      <c r="Q261" s="94"/>
      <c r="R261" s="94"/>
      <c r="S261" s="94"/>
      <c r="T261" s="94"/>
      <c r="U261" s="94"/>
      <c r="V261" s="94"/>
      <c r="W261" s="94"/>
      <c r="X261" s="94"/>
      <c r="Y261" s="94"/>
      <c r="Z261" s="94"/>
      <c r="AA261" s="94"/>
      <c r="AB261" s="94"/>
      <c r="AC261" s="94"/>
      <c r="AD261" s="94"/>
      <c r="AE261" s="94"/>
    </row>
    <row r="262">
      <c r="A262" s="87"/>
      <c r="B262" s="37"/>
      <c r="C262" s="37"/>
      <c r="D262" s="162"/>
      <c r="E262" s="89"/>
      <c r="F262" s="72"/>
      <c r="G262" s="111"/>
      <c r="H262" s="111"/>
      <c r="I262" s="111"/>
      <c r="J262" s="111"/>
      <c r="K262" s="111"/>
      <c r="L262" s="111"/>
      <c r="M262" s="94"/>
      <c r="N262" s="94"/>
      <c r="O262" s="94"/>
      <c r="P262" s="94"/>
      <c r="Q262" s="94"/>
      <c r="R262" s="94"/>
      <c r="S262" s="94"/>
      <c r="T262" s="94"/>
      <c r="U262" s="94"/>
      <c r="V262" s="94"/>
      <c r="W262" s="94"/>
      <c r="X262" s="94"/>
      <c r="Y262" s="94"/>
      <c r="Z262" s="94"/>
      <c r="AA262" s="94"/>
      <c r="AB262" s="94"/>
      <c r="AC262" s="94"/>
      <c r="AD262" s="94"/>
      <c r="AE262" s="94"/>
    </row>
    <row r="263">
      <c r="A263" s="87"/>
      <c r="B263" s="37"/>
      <c r="C263" s="37"/>
      <c r="D263" s="162"/>
      <c r="E263" s="89"/>
      <c r="F263" s="72"/>
      <c r="G263" s="111"/>
      <c r="H263" s="111"/>
      <c r="I263" s="111"/>
      <c r="J263" s="111"/>
      <c r="K263" s="111"/>
      <c r="L263" s="111"/>
      <c r="M263" s="94"/>
      <c r="N263" s="94"/>
      <c r="O263" s="94"/>
      <c r="P263" s="94"/>
      <c r="Q263" s="94"/>
      <c r="R263" s="94"/>
      <c r="S263" s="94"/>
      <c r="T263" s="94"/>
      <c r="U263" s="94"/>
      <c r="V263" s="94"/>
      <c r="W263" s="94"/>
      <c r="X263" s="94"/>
      <c r="Y263" s="94"/>
      <c r="Z263" s="94"/>
      <c r="AA263" s="94"/>
      <c r="AB263" s="94"/>
      <c r="AC263" s="94"/>
      <c r="AD263" s="94"/>
      <c r="AE263" s="94"/>
    </row>
    <row r="264">
      <c r="A264" s="87"/>
      <c r="B264" s="37"/>
      <c r="C264" s="37"/>
      <c r="D264" s="162"/>
      <c r="E264" s="89"/>
      <c r="F264" s="72"/>
      <c r="G264" s="111"/>
      <c r="H264" s="111"/>
      <c r="I264" s="111"/>
      <c r="J264" s="111"/>
      <c r="K264" s="111"/>
      <c r="L264" s="111"/>
      <c r="M264" s="94"/>
      <c r="N264" s="94"/>
      <c r="O264" s="94"/>
      <c r="P264" s="94"/>
      <c r="Q264" s="94"/>
      <c r="R264" s="94"/>
      <c r="S264" s="94"/>
      <c r="T264" s="94"/>
      <c r="U264" s="94"/>
      <c r="V264" s="94"/>
      <c r="W264" s="94"/>
      <c r="X264" s="94"/>
      <c r="Y264" s="94"/>
      <c r="Z264" s="94"/>
      <c r="AA264" s="94"/>
      <c r="AB264" s="94"/>
      <c r="AC264" s="94"/>
      <c r="AD264" s="94"/>
      <c r="AE264" s="94"/>
    </row>
    <row r="265">
      <c r="A265" s="87"/>
      <c r="B265" s="37"/>
      <c r="C265" s="37"/>
      <c r="D265" s="162"/>
      <c r="E265" s="89"/>
      <c r="F265" s="72"/>
      <c r="G265" s="111"/>
      <c r="H265" s="111"/>
      <c r="I265" s="111"/>
      <c r="J265" s="111"/>
      <c r="K265" s="111"/>
      <c r="L265" s="111"/>
      <c r="M265" s="94"/>
      <c r="N265" s="94"/>
      <c r="O265" s="94"/>
      <c r="P265" s="94"/>
      <c r="Q265" s="94"/>
      <c r="R265" s="94"/>
      <c r="S265" s="94"/>
      <c r="T265" s="94"/>
      <c r="U265" s="94"/>
      <c r="V265" s="94"/>
      <c r="W265" s="94"/>
      <c r="X265" s="94"/>
      <c r="Y265" s="94"/>
      <c r="Z265" s="94"/>
      <c r="AA265" s="94"/>
      <c r="AB265" s="94"/>
      <c r="AC265" s="94"/>
      <c r="AD265" s="94"/>
      <c r="AE265" s="94"/>
    </row>
    <row r="266">
      <c r="A266" s="87"/>
      <c r="B266" s="37"/>
      <c r="C266" s="37"/>
      <c r="D266" s="162"/>
      <c r="E266" s="89"/>
      <c r="F266" s="72"/>
      <c r="G266" s="111"/>
      <c r="H266" s="111"/>
      <c r="I266" s="111"/>
      <c r="J266" s="111"/>
      <c r="K266" s="111"/>
      <c r="L266" s="111"/>
      <c r="M266" s="94"/>
      <c r="N266" s="94"/>
      <c r="O266" s="94"/>
      <c r="P266" s="94"/>
      <c r="Q266" s="94"/>
      <c r="R266" s="94"/>
      <c r="S266" s="94"/>
      <c r="T266" s="94"/>
      <c r="U266" s="94"/>
      <c r="V266" s="94"/>
      <c r="W266" s="94"/>
      <c r="X266" s="94"/>
      <c r="Y266" s="94"/>
      <c r="Z266" s="94"/>
      <c r="AA266" s="94"/>
      <c r="AB266" s="94"/>
      <c r="AC266" s="94"/>
      <c r="AD266" s="94"/>
      <c r="AE266" s="94"/>
    </row>
    <row r="267">
      <c r="A267" s="87"/>
      <c r="B267" s="37"/>
      <c r="C267" s="37"/>
      <c r="D267" s="162"/>
      <c r="E267" s="89"/>
      <c r="F267" s="72"/>
      <c r="G267" s="111"/>
      <c r="H267" s="111"/>
      <c r="I267" s="111"/>
      <c r="J267" s="111"/>
      <c r="K267" s="111"/>
      <c r="L267" s="111"/>
      <c r="M267" s="94"/>
      <c r="N267" s="94"/>
      <c r="O267" s="94"/>
      <c r="P267" s="94"/>
      <c r="Q267" s="94"/>
      <c r="R267" s="94"/>
      <c r="S267" s="94"/>
      <c r="T267" s="94"/>
      <c r="U267" s="94"/>
      <c r="V267" s="94"/>
      <c r="W267" s="94"/>
      <c r="X267" s="94"/>
      <c r="Y267" s="94"/>
      <c r="Z267" s="94"/>
      <c r="AA267" s="94"/>
      <c r="AB267" s="94"/>
      <c r="AC267" s="94"/>
      <c r="AD267" s="94"/>
      <c r="AE267" s="94"/>
    </row>
    <row r="268">
      <c r="A268" s="87"/>
      <c r="B268" s="37"/>
      <c r="C268" s="37"/>
      <c r="D268" s="162"/>
      <c r="E268" s="89"/>
      <c r="F268" s="72"/>
      <c r="G268" s="111"/>
      <c r="H268" s="111"/>
      <c r="I268" s="111"/>
      <c r="J268" s="111"/>
      <c r="K268" s="111"/>
      <c r="L268" s="111"/>
      <c r="M268" s="94"/>
      <c r="N268" s="94"/>
      <c r="O268" s="94"/>
      <c r="P268" s="94"/>
      <c r="Q268" s="94"/>
      <c r="R268" s="94"/>
      <c r="S268" s="94"/>
      <c r="T268" s="94"/>
      <c r="U268" s="94"/>
      <c r="V268" s="94"/>
      <c r="W268" s="94"/>
      <c r="X268" s="94"/>
      <c r="Y268" s="94"/>
      <c r="Z268" s="94"/>
      <c r="AA268" s="94"/>
      <c r="AB268" s="94"/>
      <c r="AC268" s="94"/>
      <c r="AD268" s="94"/>
      <c r="AE268" s="94"/>
    </row>
    <row r="269">
      <c r="A269" s="87"/>
      <c r="B269" s="37"/>
      <c r="C269" s="37"/>
      <c r="D269" s="162"/>
      <c r="E269" s="89"/>
      <c r="F269" s="72"/>
      <c r="G269" s="111"/>
      <c r="H269" s="111"/>
      <c r="I269" s="111"/>
      <c r="J269" s="111"/>
      <c r="K269" s="111"/>
      <c r="L269" s="111"/>
      <c r="M269" s="94"/>
      <c r="N269" s="94"/>
      <c r="O269" s="94"/>
      <c r="P269" s="94"/>
      <c r="Q269" s="94"/>
      <c r="R269" s="94"/>
      <c r="S269" s="94"/>
      <c r="T269" s="94"/>
      <c r="U269" s="94"/>
      <c r="V269" s="94"/>
      <c r="W269" s="94"/>
      <c r="X269" s="94"/>
      <c r="Y269" s="94"/>
      <c r="Z269" s="94"/>
      <c r="AA269" s="94"/>
      <c r="AB269" s="94"/>
      <c r="AC269" s="94"/>
      <c r="AD269" s="94"/>
      <c r="AE269" s="94"/>
    </row>
    <row r="270">
      <c r="A270" s="87"/>
      <c r="B270" s="37"/>
      <c r="C270" s="37"/>
      <c r="D270" s="162"/>
      <c r="E270" s="89"/>
      <c r="F270" s="72"/>
      <c r="G270" s="111"/>
      <c r="H270" s="111"/>
      <c r="I270" s="111"/>
      <c r="J270" s="111"/>
      <c r="K270" s="111"/>
      <c r="L270" s="111"/>
      <c r="M270" s="94"/>
      <c r="N270" s="94"/>
      <c r="O270" s="94"/>
      <c r="P270" s="94"/>
      <c r="Q270" s="94"/>
      <c r="R270" s="94"/>
      <c r="S270" s="94"/>
      <c r="T270" s="94"/>
      <c r="U270" s="94"/>
      <c r="V270" s="94"/>
      <c r="W270" s="94"/>
      <c r="X270" s="94"/>
      <c r="Y270" s="94"/>
      <c r="Z270" s="94"/>
      <c r="AA270" s="94"/>
      <c r="AB270" s="94"/>
      <c r="AC270" s="94"/>
      <c r="AD270" s="94"/>
      <c r="AE270" s="94"/>
    </row>
    <row r="271">
      <c r="A271" s="87"/>
      <c r="B271" s="37"/>
      <c r="C271" s="37"/>
      <c r="D271" s="162"/>
      <c r="E271" s="89"/>
      <c r="F271" s="72"/>
      <c r="G271" s="111"/>
      <c r="H271" s="111"/>
      <c r="I271" s="111"/>
      <c r="J271" s="111"/>
      <c r="K271" s="111"/>
      <c r="L271" s="111"/>
      <c r="M271" s="94"/>
      <c r="N271" s="94"/>
      <c r="O271" s="94"/>
      <c r="P271" s="94"/>
      <c r="Q271" s="94"/>
      <c r="R271" s="94"/>
      <c r="S271" s="94"/>
      <c r="T271" s="94"/>
      <c r="U271" s="94"/>
      <c r="V271" s="94"/>
      <c r="W271" s="94"/>
      <c r="X271" s="94"/>
      <c r="Y271" s="94"/>
      <c r="Z271" s="94"/>
      <c r="AA271" s="94"/>
      <c r="AB271" s="94"/>
      <c r="AC271" s="94"/>
      <c r="AD271" s="94"/>
      <c r="AE271" s="94"/>
    </row>
    <row r="272">
      <c r="A272" s="87"/>
      <c r="B272" s="37"/>
      <c r="C272" s="37"/>
      <c r="D272" s="162"/>
      <c r="E272" s="89"/>
      <c r="F272" s="72"/>
      <c r="G272" s="111"/>
      <c r="H272" s="111"/>
      <c r="I272" s="111"/>
      <c r="J272" s="111"/>
      <c r="K272" s="111"/>
      <c r="L272" s="111"/>
      <c r="M272" s="94"/>
      <c r="N272" s="94"/>
      <c r="O272" s="94"/>
      <c r="P272" s="94"/>
      <c r="Q272" s="94"/>
      <c r="R272" s="94"/>
      <c r="S272" s="94"/>
      <c r="T272" s="94"/>
      <c r="U272" s="94"/>
      <c r="V272" s="94"/>
      <c r="W272" s="94"/>
      <c r="X272" s="94"/>
      <c r="Y272" s="94"/>
      <c r="Z272" s="94"/>
      <c r="AA272" s="94"/>
      <c r="AB272" s="94"/>
      <c r="AC272" s="94"/>
      <c r="AD272" s="94"/>
      <c r="AE272" s="94"/>
    </row>
    <row r="273">
      <c r="A273" s="87"/>
      <c r="B273" s="37"/>
      <c r="C273" s="37"/>
      <c r="D273" s="162"/>
      <c r="E273" s="89"/>
      <c r="F273" s="72"/>
      <c r="G273" s="111"/>
      <c r="H273" s="111"/>
      <c r="I273" s="111"/>
      <c r="J273" s="111"/>
      <c r="K273" s="111"/>
      <c r="L273" s="111"/>
      <c r="M273" s="94"/>
      <c r="N273" s="94"/>
      <c r="O273" s="94"/>
      <c r="P273" s="94"/>
      <c r="Q273" s="94"/>
      <c r="R273" s="94"/>
      <c r="S273" s="94"/>
      <c r="T273" s="94"/>
      <c r="U273" s="94"/>
      <c r="V273" s="94"/>
      <c r="W273" s="94"/>
      <c r="X273" s="94"/>
      <c r="Y273" s="94"/>
      <c r="Z273" s="94"/>
      <c r="AA273" s="94"/>
      <c r="AB273" s="94"/>
      <c r="AC273" s="94"/>
      <c r="AD273" s="94"/>
      <c r="AE273" s="94"/>
    </row>
    <row r="274">
      <c r="A274" s="87"/>
      <c r="B274" s="37"/>
      <c r="C274" s="37"/>
      <c r="D274" s="162"/>
      <c r="E274" s="89"/>
      <c r="F274" s="72"/>
      <c r="G274" s="111"/>
      <c r="H274" s="111"/>
      <c r="I274" s="111"/>
      <c r="J274" s="111"/>
      <c r="K274" s="111"/>
      <c r="L274" s="111"/>
      <c r="M274" s="94"/>
      <c r="N274" s="94"/>
      <c r="O274" s="94"/>
      <c r="P274" s="94"/>
      <c r="Q274" s="94"/>
      <c r="R274" s="94"/>
      <c r="S274" s="94"/>
      <c r="T274" s="94"/>
      <c r="U274" s="94"/>
      <c r="V274" s="94"/>
      <c r="W274" s="94"/>
      <c r="X274" s="94"/>
      <c r="Y274" s="94"/>
      <c r="Z274" s="94"/>
      <c r="AA274" s="94"/>
      <c r="AB274" s="94"/>
      <c r="AC274" s="94"/>
      <c r="AD274" s="94"/>
      <c r="AE274" s="94"/>
    </row>
    <row r="275">
      <c r="A275" s="87"/>
      <c r="B275" s="37"/>
      <c r="C275" s="37"/>
      <c r="D275" s="162"/>
      <c r="E275" s="89"/>
      <c r="F275" s="72"/>
      <c r="G275" s="111"/>
      <c r="H275" s="111"/>
      <c r="I275" s="111"/>
      <c r="J275" s="111"/>
      <c r="K275" s="111"/>
      <c r="L275" s="111"/>
      <c r="M275" s="94"/>
      <c r="N275" s="94"/>
      <c r="O275" s="94"/>
      <c r="P275" s="94"/>
      <c r="Q275" s="94"/>
      <c r="R275" s="94"/>
      <c r="S275" s="94"/>
      <c r="T275" s="94"/>
      <c r="U275" s="94"/>
      <c r="V275" s="94"/>
      <c r="W275" s="94"/>
      <c r="X275" s="94"/>
      <c r="Y275" s="94"/>
      <c r="Z275" s="94"/>
      <c r="AA275" s="94"/>
      <c r="AB275" s="94"/>
      <c r="AC275" s="94"/>
      <c r="AD275" s="94"/>
      <c r="AE275" s="94"/>
    </row>
    <row r="276">
      <c r="A276" s="87"/>
      <c r="B276" s="37"/>
      <c r="C276" s="37"/>
      <c r="D276" s="162"/>
      <c r="E276" s="89"/>
      <c r="F276" s="72"/>
      <c r="G276" s="111"/>
      <c r="H276" s="111"/>
      <c r="I276" s="111"/>
      <c r="J276" s="111"/>
      <c r="K276" s="111"/>
      <c r="L276" s="111"/>
      <c r="M276" s="94"/>
      <c r="N276" s="94"/>
      <c r="O276" s="94"/>
      <c r="P276" s="94"/>
      <c r="Q276" s="94"/>
      <c r="R276" s="94"/>
      <c r="S276" s="94"/>
      <c r="T276" s="94"/>
      <c r="U276" s="94"/>
      <c r="V276" s="94"/>
      <c r="W276" s="94"/>
      <c r="X276" s="94"/>
      <c r="Y276" s="94"/>
      <c r="Z276" s="94"/>
      <c r="AA276" s="94"/>
      <c r="AB276" s="94"/>
      <c r="AC276" s="94"/>
      <c r="AD276" s="94"/>
      <c r="AE276" s="94"/>
    </row>
    <row r="277">
      <c r="A277" s="87"/>
      <c r="B277" s="37"/>
      <c r="C277" s="37"/>
      <c r="D277" s="162"/>
      <c r="E277" s="89"/>
      <c r="F277" s="72"/>
      <c r="G277" s="111"/>
      <c r="H277" s="111"/>
      <c r="I277" s="111"/>
      <c r="J277" s="111"/>
      <c r="K277" s="111"/>
      <c r="L277" s="111"/>
      <c r="M277" s="94"/>
      <c r="N277" s="94"/>
      <c r="O277" s="94"/>
      <c r="P277" s="94"/>
      <c r="Q277" s="94"/>
      <c r="R277" s="94"/>
      <c r="S277" s="94"/>
      <c r="T277" s="94"/>
      <c r="U277" s="94"/>
      <c r="V277" s="94"/>
      <c r="W277" s="94"/>
      <c r="X277" s="94"/>
      <c r="Y277" s="94"/>
      <c r="Z277" s="94"/>
      <c r="AA277" s="94"/>
      <c r="AB277" s="94"/>
      <c r="AC277" s="94"/>
      <c r="AD277" s="94"/>
      <c r="AE277" s="94"/>
    </row>
    <row r="278">
      <c r="A278" s="87"/>
      <c r="B278" s="37"/>
      <c r="C278" s="37"/>
      <c r="D278" s="162"/>
      <c r="E278" s="89"/>
      <c r="F278" s="72"/>
      <c r="G278" s="111"/>
      <c r="H278" s="111"/>
      <c r="I278" s="111"/>
      <c r="J278" s="111"/>
      <c r="K278" s="111"/>
      <c r="L278" s="111"/>
      <c r="M278" s="94"/>
      <c r="N278" s="94"/>
      <c r="O278" s="94"/>
      <c r="P278" s="94"/>
      <c r="Q278" s="94"/>
      <c r="R278" s="94"/>
      <c r="S278" s="94"/>
      <c r="T278" s="94"/>
      <c r="U278" s="94"/>
      <c r="V278" s="94"/>
      <c r="W278" s="94"/>
      <c r="X278" s="94"/>
      <c r="Y278" s="94"/>
      <c r="Z278" s="94"/>
      <c r="AA278" s="94"/>
      <c r="AB278" s="94"/>
      <c r="AC278" s="94"/>
      <c r="AD278" s="94"/>
      <c r="AE278" s="94"/>
    </row>
    <row r="279">
      <c r="A279" s="87"/>
      <c r="B279" s="37"/>
      <c r="C279" s="37"/>
      <c r="D279" s="162"/>
      <c r="E279" s="89"/>
      <c r="F279" s="72"/>
      <c r="G279" s="111"/>
      <c r="H279" s="111"/>
      <c r="I279" s="111"/>
      <c r="J279" s="111"/>
      <c r="K279" s="111"/>
      <c r="L279" s="111"/>
      <c r="M279" s="94"/>
      <c r="N279" s="94"/>
      <c r="O279" s="94"/>
      <c r="P279" s="94"/>
      <c r="Q279" s="94"/>
      <c r="R279" s="94"/>
      <c r="S279" s="94"/>
      <c r="T279" s="94"/>
      <c r="U279" s="94"/>
      <c r="V279" s="94"/>
      <c r="W279" s="94"/>
      <c r="X279" s="94"/>
      <c r="Y279" s="94"/>
      <c r="Z279" s="94"/>
      <c r="AA279" s="94"/>
      <c r="AB279" s="94"/>
      <c r="AC279" s="94"/>
      <c r="AD279" s="94"/>
      <c r="AE279" s="94"/>
    </row>
    <row r="280">
      <c r="A280" s="87"/>
      <c r="B280" s="37"/>
      <c r="C280" s="37"/>
      <c r="D280" s="162"/>
      <c r="E280" s="89"/>
      <c r="F280" s="72"/>
      <c r="G280" s="111"/>
      <c r="H280" s="111"/>
      <c r="I280" s="111"/>
      <c r="J280" s="111"/>
      <c r="K280" s="111"/>
      <c r="L280" s="111"/>
      <c r="M280" s="94"/>
      <c r="N280" s="94"/>
      <c r="O280" s="94"/>
      <c r="P280" s="94"/>
      <c r="Q280" s="94"/>
      <c r="R280" s="94"/>
      <c r="S280" s="94"/>
      <c r="T280" s="94"/>
      <c r="U280" s="94"/>
      <c r="V280" s="94"/>
      <c r="W280" s="94"/>
      <c r="X280" s="94"/>
      <c r="Y280" s="94"/>
      <c r="Z280" s="94"/>
      <c r="AA280" s="94"/>
      <c r="AB280" s="94"/>
      <c r="AC280" s="94"/>
      <c r="AD280" s="94"/>
      <c r="AE280" s="94"/>
    </row>
    <row r="281">
      <c r="A281" s="87"/>
      <c r="B281" s="37"/>
      <c r="C281" s="37"/>
      <c r="D281" s="162"/>
      <c r="E281" s="89"/>
      <c r="F281" s="72"/>
      <c r="G281" s="111"/>
      <c r="H281" s="111"/>
      <c r="I281" s="111"/>
      <c r="J281" s="111"/>
      <c r="K281" s="111"/>
      <c r="L281" s="111"/>
      <c r="M281" s="94"/>
      <c r="N281" s="94"/>
      <c r="O281" s="94"/>
      <c r="P281" s="94"/>
      <c r="Q281" s="94"/>
      <c r="R281" s="94"/>
      <c r="S281" s="94"/>
      <c r="T281" s="94"/>
      <c r="U281" s="94"/>
      <c r="V281" s="94"/>
      <c r="W281" s="94"/>
      <c r="X281" s="94"/>
      <c r="Y281" s="94"/>
      <c r="Z281" s="94"/>
      <c r="AA281" s="94"/>
      <c r="AB281" s="94"/>
      <c r="AC281" s="94"/>
      <c r="AD281" s="94"/>
      <c r="AE281" s="94"/>
    </row>
    <row r="282">
      <c r="A282" s="87"/>
      <c r="B282" s="37"/>
      <c r="C282" s="37"/>
      <c r="D282" s="162"/>
      <c r="E282" s="89"/>
      <c r="F282" s="72"/>
      <c r="G282" s="111"/>
      <c r="H282" s="111"/>
      <c r="I282" s="111"/>
      <c r="J282" s="111"/>
      <c r="K282" s="111"/>
      <c r="L282" s="111"/>
      <c r="M282" s="94"/>
      <c r="N282" s="94"/>
      <c r="O282" s="94"/>
      <c r="P282" s="94"/>
      <c r="Q282" s="94"/>
      <c r="R282" s="94"/>
      <c r="S282" s="94"/>
      <c r="T282" s="94"/>
      <c r="U282" s="94"/>
      <c r="V282" s="94"/>
      <c r="W282" s="94"/>
      <c r="X282" s="94"/>
      <c r="Y282" s="94"/>
      <c r="Z282" s="94"/>
      <c r="AA282" s="94"/>
      <c r="AB282" s="94"/>
      <c r="AC282" s="94"/>
      <c r="AD282" s="94"/>
      <c r="AE282" s="94"/>
    </row>
    <row r="283">
      <c r="A283" s="87"/>
      <c r="B283" s="37"/>
      <c r="C283" s="37"/>
      <c r="D283" s="162"/>
      <c r="E283" s="89"/>
      <c r="F283" s="72"/>
      <c r="G283" s="111"/>
      <c r="H283" s="111"/>
      <c r="I283" s="111"/>
      <c r="J283" s="111"/>
      <c r="K283" s="111"/>
      <c r="L283" s="111"/>
      <c r="M283" s="94"/>
      <c r="N283" s="94"/>
      <c r="O283" s="94"/>
      <c r="P283" s="94"/>
      <c r="Q283" s="94"/>
      <c r="R283" s="94"/>
      <c r="S283" s="94"/>
      <c r="T283" s="94"/>
      <c r="U283" s="94"/>
      <c r="V283" s="94"/>
      <c r="W283" s="94"/>
      <c r="X283" s="94"/>
      <c r="Y283" s="94"/>
      <c r="Z283" s="94"/>
      <c r="AA283" s="94"/>
      <c r="AB283" s="94"/>
      <c r="AC283" s="94"/>
      <c r="AD283" s="94"/>
      <c r="AE283" s="94"/>
    </row>
    <row r="284">
      <c r="A284" s="87"/>
      <c r="B284" s="37"/>
      <c r="C284" s="37"/>
      <c r="D284" s="162"/>
      <c r="E284" s="89"/>
      <c r="F284" s="72"/>
      <c r="G284" s="111"/>
      <c r="H284" s="111"/>
      <c r="I284" s="111"/>
      <c r="J284" s="111"/>
      <c r="K284" s="111"/>
      <c r="L284" s="111"/>
      <c r="M284" s="94"/>
      <c r="N284" s="94"/>
      <c r="O284" s="94"/>
      <c r="P284" s="94"/>
      <c r="Q284" s="94"/>
      <c r="R284" s="94"/>
      <c r="S284" s="94"/>
      <c r="T284" s="94"/>
      <c r="U284" s="94"/>
      <c r="V284" s="94"/>
      <c r="W284" s="94"/>
      <c r="X284" s="94"/>
      <c r="Y284" s="94"/>
      <c r="Z284" s="94"/>
      <c r="AA284" s="94"/>
      <c r="AB284" s="94"/>
      <c r="AC284" s="94"/>
      <c r="AD284" s="94"/>
      <c r="AE284" s="94"/>
    </row>
    <row r="285">
      <c r="A285" s="87"/>
      <c r="B285" s="37"/>
      <c r="C285" s="37"/>
      <c r="D285" s="162"/>
      <c r="E285" s="89"/>
      <c r="F285" s="72"/>
      <c r="G285" s="111"/>
      <c r="H285" s="111"/>
      <c r="I285" s="111"/>
      <c r="J285" s="111"/>
      <c r="K285" s="111"/>
      <c r="L285" s="111"/>
      <c r="M285" s="94"/>
      <c r="N285" s="94"/>
      <c r="O285" s="94"/>
      <c r="P285" s="94"/>
      <c r="Q285" s="94"/>
      <c r="R285" s="94"/>
      <c r="S285" s="94"/>
      <c r="T285" s="94"/>
      <c r="U285" s="94"/>
      <c r="V285" s="94"/>
      <c r="W285" s="94"/>
      <c r="X285" s="94"/>
      <c r="Y285" s="94"/>
      <c r="Z285" s="94"/>
      <c r="AA285" s="94"/>
      <c r="AB285" s="94"/>
      <c r="AC285" s="94"/>
      <c r="AD285" s="94"/>
      <c r="AE285" s="94"/>
    </row>
    <row r="286">
      <c r="A286" s="87"/>
      <c r="B286" s="37"/>
      <c r="C286" s="37"/>
      <c r="D286" s="162"/>
      <c r="E286" s="89"/>
      <c r="F286" s="72"/>
      <c r="G286" s="111"/>
      <c r="H286" s="111"/>
      <c r="I286" s="111"/>
      <c r="J286" s="111"/>
      <c r="K286" s="111"/>
      <c r="L286" s="111"/>
      <c r="M286" s="94"/>
      <c r="N286" s="94"/>
      <c r="O286" s="94"/>
      <c r="P286" s="94"/>
      <c r="Q286" s="94"/>
      <c r="R286" s="94"/>
      <c r="S286" s="94"/>
      <c r="T286" s="94"/>
      <c r="U286" s="94"/>
      <c r="V286" s="94"/>
      <c r="W286" s="94"/>
      <c r="X286" s="94"/>
      <c r="Y286" s="94"/>
      <c r="Z286" s="94"/>
      <c r="AA286" s="94"/>
      <c r="AB286" s="94"/>
      <c r="AC286" s="94"/>
      <c r="AD286" s="94"/>
      <c r="AE286" s="94"/>
    </row>
    <row r="287">
      <c r="A287" s="87"/>
      <c r="B287" s="37"/>
      <c r="C287" s="37"/>
      <c r="D287" s="162"/>
      <c r="E287" s="89"/>
      <c r="F287" s="72"/>
      <c r="G287" s="111"/>
      <c r="H287" s="111"/>
      <c r="I287" s="111"/>
      <c r="J287" s="111"/>
      <c r="K287" s="111"/>
      <c r="L287" s="111"/>
      <c r="M287" s="94"/>
      <c r="N287" s="94"/>
      <c r="O287" s="94"/>
      <c r="P287" s="94"/>
      <c r="Q287" s="94"/>
      <c r="R287" s="94"/>
      <c r="S287" s="94"/>
      <c r="T287" s="94"/>
      <c r="U287" s="94"/>
      <c r="V287" s="94"/>
      <c r="W287" s="94"/>
      <c r="X287" s="94"/>
      <c r="Y287" s="94"/>
      <c r="Z287" s="94"/>
      <c r="AA287" s="94"/>
      <c r="AB287" s="94"/>
      <c r="AC287" s="94"/>
      <c r="AD287" s="94"/>
      <c r="AE287" s="94"/>
    </row>
    <row r="288">
      <c r="A288" s="87"/>
      <c r="B288" s="37"/>
      <c r="C288" s="37"/>
      <c r="D288" s="162"/>
      <c r="E288" s="89"/>
      <c r="F288" s="72"/>
      <c r="G288" s="111"/>
      <c r="H288" s="111"/>
      <c r="I288" s="111"/>
      <c r="J288" s="111"/>
      <c r="K288" s="111"/>
      <c r="L288" s="111"/>
      <c r="M288" s="94"/>
      <c r="N288" s="94"/>
      <c r="O288" s="94"/>
      <c r="P288" s="94"/>
      <c r="Q288" s="94"/>
      <c r="R288" s="94"/>
      <c r="S288" s="94"/>
      <c r="T288" s="94"/>
      <c r="U288" s="94"/>
      <c r="V288" s="94"/>
      <c r="W288" s="94"/>
      <c r="X288" s="94"/>
      <c r="Y288" s="94"/>
      <c r="Z288" s="94"/>
      <c r="AA288" s="94"/>
      <c r="AB288" s="94"/>
      <c r="AC288" s="94"/>
      <c r="AD288" s="94"/>
      <c r="AE288" s="94"/>
    </row>
    <row r="289">
      <c r="A289" s="87"/>
      <c r="B289" s="37"/>
      <c r="C289" s="37"/>
      <c r="D289" s="162"/>
      <c r="E289" s="89"/>
      <c r="F289" s="72"/>
      <c r="G289" s="111"/>
      <c r="H289" s="111"/>
      <c r="I289" s="111"/>
      <c r="J289" s="111"/>
      <c r="K289" s="111"/>
      <c r="L289" s="111"/>
      <c r="M289" s="94"/>
      <c r="N289" s="94"/>
      <c r="O289" s="94"/>
      <c r="P289" s="94"/>
      <c r="Q289" s="94"/>
      <c r="R289" s="94"/>
      <c r="S289" s="94"/>
      <c r="T289" s="94"/>
      <c r="U289" s="94"/>
      <c r="V289" s="94"/>
      <c r="W289" s="94"/>
      <c r="X289" s="94"/>
      <c r="Y289" s="94"/>
      <c r="Z289" s="94"/>
      <c r="AA289" s="94"/>
      <c r="AB289" s="94"/>
      <c r="AC289" s="94"/>
      <c r="AD289" s="94"/>
      <c r="AE289" s="94"/>
    </row>
    <row r="290">
      <c r="A290" s="87"/>
      <c r="B290" s="37"/>
      <c r="C290" s="37"/>
      <c r="D290" s="162"/>
      <c r="E290" s="89"/>
      <c r="F290" s="72"/>
      <c r="G290" s="111"/>
      <c r="H290" s="111"/>
      <c r="I290" s="111"/>
      <c r="J290" s="111"/>
      <c r="K290" s="111"/>
      <c r="L290" s="111"/>
      <c r="M290" s="94"/>
      <c r="N290" s="94"/>
      <c r="O290" s="94"/>
      <c r="P290" s="94"/>
      <c r="Q290" s="94"/>
      <c r="R290" s="94"/>
      <c r="S290" s="94"/>
      <c r="T290" s="94"/>
      <c r="U290" s="94"/>
      <c r="V290" s="94"/>
      <c r="W290" s="94"/>
      <c r="X290" s="94"/>
      <c r="Y290" s="94"/>
      <c r="Z290" s="94"/>
      <c r="AA290" s="94"/>
      <c r="AB290" s="94"/>
      <c r="AC290" s="94"/>
      <c r="AD290" s="94"/>
      <c r="AE290" s="94"/>
    </row>
    <row r="291">
      <c r="A291" s="87"/>
      <c r="B291" s="37"/>
      <c r="C291" s="37"/>
      <c r="D291" s="162"/>
      <c r="E291" s="89"/>
      <c r="F291" s="72"/>
      <c r="G291" s="111"/>
      <c r="H291" s="111"/>
      <c r="I291" s="111"/>
      <c r="J291" s="111"/>
      <c r="K291" s="111"/>
      <c r="L291" s="111"/>
      <c r="M291" s="94"/>
      <c r="N291" s="94"/>
      <c r="O291" s="94"/>
      <c r="P291" s="94"/>
      <c r="Q291" s="94"/>
      <c r="R291" s="94"/>
      <c r="S291" s="94"/>
      <c r="T291" s="94"/>
      <c r="U291" s="94"/>
      <c r="V291" s="94"/>
      <c r="W291" s="94"/>
      <c r="X291" s="94"/>
      <c r="Y291" s="94"/>
      <c r="Z291" s="94"/>
      <c r="AA291" s="94"/>
      <c r="AB291" s="94"/>
      <c r="AC291" s="94"/>
      <c r="AD291" s="94"/>
      <c r="AE291" s="94"/>
    </row>
    <row r="292">
      <c r="A292" s="87"/>
      <c r="B292" s="37"/>
      <c r="C292" s="37"/>
      <c r="D292" s="162"/>
      <c r="E292" s="89"/>
      <c r="F292" s="72"/>
      <c r="G292" s="111"/>
      <c r="H292" s="111"/>
      <c r="I292" s="111"/>
      <c r="J292" s="111"/>
      <c r="K292" s="111"/>
      <c r="L292" s="111"/>
      <c r="M292" s="94"/>
      <c r="N292" s="94"/>
      <c r="O292" s="94"/>
      <c r="P292" s="94"/>
      <c r="Q292" s="94"/>
      <c r="R292" s="94"/>
      <c r="S292" s="94"/>
      <c r="T292" s="94"/>
      <c r="U292" s="94"/>
      <c r="V292" s="94"/>
      <c r="W292" s="94"/>
      <c r="X292" s="94"/>
      <c r="Y292" s="94"/>
      <c r="Z292" s="94"/>
      <c r="AA292" s="94"/>
      <c r="AB292" s="94"/>
      <c r="AC292" s="94"/>
      <c r="AD292" s="94"/>
      <c r="AE292" s="94"/>
    </row>
    <row r="293">
      <c r="A293" s="87"/>
      <c r="B293" s="37"/>
      <c r="C293" s="37"/>
      <c r="D293" s="162"/>
      <c r="E293" s="89"/>
      <c r="F293" s="72"/>
      <c r="G293" s="111"/>
      <c r="H293" s="111"/>
      <c r="I293" s="111"/>
      <c r="J293" s="111"/>
      <c r="K293" s="111"/>
      <c r="L293" s="111"/>
      <c r="M293" s="94"/>
      <c r="N293" s="94"/>
      <c r="O293" s="94"/>
      <c r="P293" s="94"/>
      <c r="Q293" s="94"/>
      <c r="R293" s="94"/>
      <c r="S293" s="94"/>
      <c r="T293" s="94"/>
      <c r="U293" s="94"/>
      <c r="V293" s="94"/>
      <c r="W293" s="94"/>
      <c r="X293" s="94"/>
      <c r="Y293" s="94"/>
      <c r="Z293" s="94"/>
      <c r="AA293" s="94"/>
      <c r="AB293" s="94"/>
      <c r="AC293" s="94"/>
      <c r="AD293" s="94"/>
      <c r="AE293" s="94"/>
    </row>
    <row r="294">
      <c r="A294" s="87"/>
      <c r="B294" s="37"/>
      <c r="C294" s="37"/>
      <c r="D294" s="162"/>
      <c r="E294" s="89"/>
      <c r="F294" s="72"/>
      <c r="G294" s="111"/>
      <c r="H294" s="111"/>
      <c r="I294" s="111"/>
      <c r="J294" s="111"/>
      <c r="K294" s="111"/>
      <c r="L294" s="111"/>
      <c r="M294" s="94"/>
      <c r="N294" s="94"/>
      <c r="O294" s="94"/>
      <c r="P294" s="94"/>
      <c r="Q294" s="94"/>
      <c r="R294" s="94"/>
      <c r="S294" s="94"/>
      <c r="T294" s="94"/>
      <c r="U294" s="94"/>
      <c r="V294" s="94"/>
      <c r="W294" s="94"/>
      <c r="X294" s="94"/>
      <c r="Y294" s="94"/>
      <c r="Z294" s="94"/>
      <c r="AA294" s="94"/>
      <c r="AB294" s="94"/>
      <c r="AC294" s="94"/>
      <c r="AD294" s="94"/>
      <c r="AE294" s="94"/>
    </row>
    <row r="295">
      <c r="A295" s="87"/>
      <c r="B295" s="37"/>
      <c r="C295" s="37"/>
      <c r="D295" s="162"/>
      <c r="E295" s="89"/>
      <c r="F295" s="72"/>
      <c r="G295" s="111"/>
      <c r="H295" s="111"/>
      <c r="I295" s="111"/>
      <c r="J295" s="111"/>
      <c r="K295" s="111"/>
      <c r="L295" s="111"/>
      <c r="M295" s="94"/>
      <c r="N295" s="94"/>
      <c r="O295" s="94"/>
      <c r="P295" s="94"/>
      <c r="Q295" s="94"/>
      <c r="R295" s="94"/>
      <c r="S295" s="94"/>
      <c r="T295" s="94"/>
      <c r="U295" s="94"/>
      <c r="V295" s="94"/>
      <c r="W295" s="94"/>
      <c r="X295" s="94"/>
      <c r="Y295" s="94"/>
      <c r="Z295" s="94"/>
      <c r="AA295" s="94"/>
      <c r="AB295" s="94"/>
      <c r="AC295" s="94"/>
      <c r="AD295" s="94"/>
      <c r="AE295" s="94"/>
    </row>
    <row r="296">
      <c r="A296" s="87"/>
      <c r="B296" s="37"/>
      <c r="C296" s="37"/>
      <c r="D296" s="162"/>
      <c r="E296" s="89"/>
      <c r="F296" s="72"/>
      <c r="G296" s="111"/>
      <c r="H296" s="111"/>
      <c r="I296" s="111"/>
      <c r="J296" s="111"/>
      <c r="K296" s="111"/>
      <c r="L296" s="111"/>
      <c r="M296" s="94"/>
      <c r="N296" s="94"/>
      <c r="O296" s="94"/>
      <c r="P296" s="94"/>
      <c r="Q296" s="94"/>
      <c r="R296" s="94"/>
      <c r="S296" s="94"/>
      <c r="T296" s="94"/>
      <c r="U296" s="94"/>
      <c r="V296" s="94"/>
      <c r="W296" s="94"/>
      <c r="X296" s="94"/>
      <c r="Y296" s="94"/>
      <c r="Z296" s="94"/>
      <c r="AA296" s="94"/>
      <c r="AB296" s="94"/>
      <c r="AC296" s="94"/>
      <c r="AD296" s="94"/>
      <c r="AE296" s="94"/>
    </row>
    <row r="297">
      <c r="A297" s="87"/>
      <c r="B297" s="37"/>
      <c r="C297" s="37"/>
      <c r="D297" s="162"/>
      <c r="E297" s="89"/>
      <c r="F297" s="72"/>
      <c r="G297" s="111"/>
      <c r="H297" s="111"/>
      <c r="I297" s="111"/>
      <c r="J297" s="111"/>
      <c r="K297" s="111"/>
      <c r="L297" s="111"/>
      <c r="M297" s="94"/>
      <c r="N297" s="94"/>
      <c r="O297" s="94"/>
      <c r="P297" s="94"/>
      <c r="Q297" s="94"/>
      <c r="R297" s="94"/>
      <c r="S297" s="94"/>
      <c r="T297" s="94"/>
      <c r="U297" s="94"/>
      <c r="V297" s="94"/>
      <c r="W297" s="94"/>
      <c r="X297" s="94"/>
      <c r="Y297" s="94"/>
      <c r="Z297" s="94"/>
      <c r="AA297" s="94"/>
      <c r="AB297" s="94"/>
      <c r="AC297" s="94"/>
      <c r="AD297" s="94"/>
      <c r="AE297" s="94"/>
    </row>
    <row r="298">
      <c r="A298" s="87"/>
      <c r="B298" s="37"/>
      <c r="C298" s="37"/>
      <c r="D298" s="162"/>
      <c r="E298" s="89"/>
      <c r="F298" s="72"/>
      <c r="G298" s="111"/>
      <c r="H298" s="111"/>
      <c r="I298" s="111"/>
      <c r="J298" s="111"/>
      <c r="K298" s="111"/>
      <c r="L298" s="111"/>
      <c r="M298" s="94"/>
      <c r="N298" s="94"/>
      <c r="O298" s="94"/>
      <c r="P298" s="94"/>
      <c r="Q298" s="94"/>
      <c r="R298" s="94"/>
      <c r="S298" s="94"/>
      <c r="T298" s="94"/>
      <c r="U298" s="94"/>
      <c r="V298" s="94"/>
      <c r="W298" s="94"/>
      <c r="X298" s="94"/>
      <c r="Y298" s="94"/>
      <c r="Z298" s="94"/>
      <c r="AA298" s="94"/>
      <c r="AB298" s="94"/>
      <c r="AC298" s="94"/>
      <c r="AD298" s="94"/>
      <c r="AE298" s="94"/>
    </row>
    <row r="299">
      <c r="A299" s="87"/>
      <c r="B299" s="37"/>
      <c r="C299" s="37"/>
      <c r="D299" s="162"/>
      <c r="E299" s="89"/>
      <c r="F299" s="72"/>
      <c r="G299" s="111"/>
      <c r="H299" s="111"/>
      <c r="I299" s="111"/>
      <c r="J299" s="111"/>
      <c r="K299" s="111"/>
      <c r="L299" s="111"/>
      <c r="M299" s="94"/>
      <c r="N299" s="94"/>
      <c r="O299" s="94"/>
      <c r="P299" s="94"/>
      <c r="Q299" s="94"/>
      <c r="R299" s="94"/>
      <c r="S299" s="94"/>
      <c r="T299" s="94"/>
      <c r="U299" s="94"/>
      <c r="V299" s="94"/>
      <c r="W299" s="94"/>
      <c r="X299" s="94"/>
      <c r="Y299" s="94"/>
      <c r="Z299" s="94"/>
      <c r="AA299" s="94"/>
      <c r="AB299" s="94"/>
      <c r="AC299" s="94"/>
      <c r="AD299" s="94"/>
      <c r="AE299" s="94"/>
    </row>
    <row r="300">
      <c r="A300" s="87"/>
      <c r="B300" s="37"/>
      <c r="C300" s="37"/>
      <c r="D300" s="162"/>
      <c r="E300" s="89"/>
      <c r="F300" s="72"/>
      <c r="G300" s="111"/>
      <c r="H300" s="111"/>
      <c r="I300" s="111"/>
      <c r="J300" s="111"/>
      <c r="K300" s="111"/>
      <c r="L300" s="111"/>
      <c r="M300" s="94"/>
      <c r="N300" s="94"/>
      <c r="O300" s="94"/>
      <c r="P300" s="94"/>
      <c r="Q300" s="94"/>
      <c r="R300" s="94"/>
      <c r="S300" s="94"/>
      <c r="T300" s="94"/>
      <c r="U300" s="94"/>
      <c r="V300" s="94"/>
      <c r="W300" s="94"/>
      <c r="X300" s="94"/>
      <c r="Y300" s="94"/>
      <c r="Z300" s="94"/>
      <c r="AA300" s="94"/>
      <c r="AB300" s="94"/>
      <c r="AC300" s="94"/>
      <c r="AD300" s="94"/>
      <c r="AE300" s="94"/>
    </row>
    <row r="301">
      <c r="A301" s="87"/>
      <c r="B301" s="37"/>
      <c r="C301" s="37"/>
      <c r="D301" s="162"/>
      <c r="E301" s="89"/>
      <c r="F301" s="72"/>
      <c r="G301" s="111"/>
      <c r="H301" s="111"/>
      <c r="I301" s="111"/>
      <c r="J301" s="111"/>
      <c r="K301" s="111"/>
      <c r="L301" s="111"/>
      <c r="M301" s="94"/>
      <c r="N301" s="94"/>
      <c r="O301" s="94"/>
      <c r="P301" s="94"/>
      <c r="Q301" s="94"/>
      <c r="R301" s="94"/>
      <c r="S301" s="94"/>
      <c r="T301" s="94"/>
      <c r="U301" s="94"/>
      <c r="V301" s="94"/>
      <c r="W301" s="94"/>
      <c r="X301" s="94"/>
      <c r="Y301" s="94"/>
      <c r="Z301" s="94"/>
      <c r="AA301" s="94"/>
      <c r="AB301" s="94"/>
      <c r="AC301" s="94"/>
      <c r="AD301" s="94"/>
      <c r="AE301" s="94"/>
    </row>
    <row r="302">
      <c r="A302" s="87"/>
      <c r="B302" s="37"/>
      <c r="C302" s="37"/>
      <c r="D302" s="162"/>
      <c r="E302" s="89"/>
      <c r="F302" s="72"/>
      <c r="G302" s="111"/>
      <c r="H302" s="111"/>
      <c r="I302" s="111"/>
      <c r="J302" s="111"/>
      <c r="K302" s="111"/>
      <c r="L302" s="111"/>
      <c r="M302" s="94"/>
      <c r="N302" s="94"/>
      <c r="O302" s="94"/>
      <c r="P302" s="94"/>
      <c r="Q302" s="94"/>
      <c r="R302" s="94"/>
      <c r="S302" s="94"/>
      <c r="T302" s="94"/>
      <c r="U302" s="94"/>
      <c r="V302" s="94"/>
      <c r="W302" s="94"/>
      <c r="X302" s="94"/>
      <c r="Y302" s="94"/>
      <c r="Z302" s="94"/>
      <c r="AA302" s="94"/>
      <c r="AB302" s="94"/>
      <c r="AC302" s="94"/>
      <c r="AD302" s="94"/>
      <c r="AE302" s="94"/>
    </row>
    <row r="303">
      <c r="A303" s="87"/>
      <c r="B303" s="37"/>
      <c r="C303" s="37"/>
      <c r="D303" s="162"/>
      <c r="E303" s="89"/>
      <c r="F303" s="72"/>
      <c r="G303" s="111"/>
      <c r="H303" s="111"/>
      <c r="I303" s="111"/>
      <c r="J303" s="111"/>
      <c r="K303" s="111"/>
      <c r="L303" s="111"/>
      <c r="M303" s="94"/>
      <c r="N303" s="94"/>
      <c r="O303" s="94"/>
      <c r="P303" s="94"/>
      <c r="Q303" s="94"/>
      <c r="R303" s="94"/>
      <c r="S303" s="94"/>
      <c r="T303" s="94"/>
      <c r="U303" s="94"/>
      <c r="V303" s="94"/>
      <c r="W303" s="94"/>
      <c r="X303" s="94"/>
      <c r="Y303" s="94"/>
      <c r="Z303" s="94"/>
      <c r="AA303" s="94"/>
      <c r="AB303" s="94"/>
      <c r="AC303" s="94"/>
      <c r="AD303" s="94"/>
      <c r="AE303" s="94"/>
    </row>
    <row r="304">
      <c r="A304" s="87"/>
      <c r="B304" s="37"/>
      <c r="C304" s="37"/>
      <c r="D304" s="162"/>
      <c r="E304" s="89"/>
      <c r="F304" s="72"/>
      <c r="G304" s="111"/>
      <c r="H304" s="111"/>
      <c r="I304" s="111"/>
      <c r="J304" s="111"/>
      <c r="K304" s="111"/>
      <c r="L304" s="111"/>
      <c r="M304" s="94"/>
      <c r="N304" s="94"/>
      <c r="O304" s="94"/>
      <c r="P304" s="94"/>
      <c r="Q304" s="94"/>
      <c r="R304" s="94"/>
      <c r="S304" s="94"/>
      <c r="T304" s="94"/>
      <c r="U304" s="94"/>
      <c r="V304" s="94"/>
      <c r="W304" s="94"/>
      <c r="X304" s="94"/>
      <c r="Y304" s="94"/>
      <c r="Z304" s="94"/>
      <c r="AA304" s="94"/>
      <c r="AB304" s="94"/>
      <c r="AC304" s="94"/>
      <c r="AD304" s="94"/>
      <c r="AE304" s="94"/>
    </row>
    <row r="305">
      <c r="A305" s="87"/>
      <c r="B305" s="37"/>
      <c r="C305" s="37"/>
      <c r="D305" s="162"/>
      <c r="E305" s="89"/>
      <c r="F305" s="72"/>
      <c r="G305" s="111"/>
      <c r="H305" s="111"/>
      <c r="I305" s="111"/>
      <c r="J305" s="111"/>
      <c r="K305" s="111"/>
      <c r="L305" s="111"/>
      <c r="M305" s="94"/>
      <c r="N305" s="94"/>
      <c r="O305" s="94"/>
      <c r="P305" s="94"/>
      <c r="Q305" s="94"/>
      <c r="R305" s="94"/>
      <c r="S305" s="94"/>
      <c r="T305" s="94"/>
      <c r="U305" s="94"/>
      <c r="V305" s="94"/>
      <c r="W305" s="94"/>
      <c r="X305" s="94"/>
      <c r="Y305" s="94"/>
      <c r="Z305" s="94"/>
      <c r="AA305" s="94"/>
      <c r="AB305" s="94"/>
      <c r="AC305" s="94"/>
      <c r="AD305" s="94"/>
      <c r="AE305" s="94"/>
    </row>
    <row r="306">
      <c r="A306" s="87"/>
      <c r="B306" s="37"/>
      <c r="C306" s="37"/>
      <c r="D306" s="162"/>
      <c r="E306" s="89"/>
      <c r="F306" s="72"/>
      <c r="G306" s="111"/>
      <c r="H306" s="111"/>
      <c r="I306" s="111"/>
      <c r="J306" s="111"/>
      <c r="K306" s="111"/>
      <c r="L306" s="111"/>
      <c r="M306" s="94"/>
      <c r="N306" s="94"/>
      <c r="O306" s="94"/>
      <c r="P306" s="94"/>
      <c r="Q306" s="94"/>
      <c r="R306" s="94"/>
      <c r="S306" s="94"/>
      <c r="T306" s="94"/>
      <c r="U306" s="94"/>
      <c r="V306" s="94"/>
      <c r="W306" s="94"/>
      <c r="X306" s="94"/>
      <c r="Y306" s="94"/>
      <c r="Z306" s="94"/>
      <c r="AA306" s="94"/>
      <c r="AB306" s="94"/>
      <c r="AC306" s="94"/>
      <c r="AD306" s="94"/>
      <c r="AE306" s="94"/>
    </row>
    <row r="307">
      <c r="A307" s="87"/>
      <c r="B307" s="37"/>
      <c r="C307" s="37"/>
      <c r="D307" s="162"/>
      <c r="E307" s="89"/>
      <c r="F307" s="72"/>
      <c r="G307" s="111"/>
      <c r="H307" s="111"/>
      <c r="I307" s="111"/>
      <c r="J307" s="111"/>
      <c r="K307" s="111"/>
      <c r="L307" s="111"/>
      <c r="M307" s="94"/>
      <c r="N307" s="94"/>
      <c r="O307" s="94"/>
      <c r="P307" s="94"/>
      <c r="Q307" s="94"/>
      <c r="R307" s="94"/>
      <c r="S307" s="94"/>
      <c r="T307" s="94"/>
      <c r="U307" s="94"/>
      <c r="V307" s="94"/>
      <c r="W307" s="94"/>
      <c r="X307" s="94"/>
      <c r="Y307" s="94"/>
      <c r="Z307" s="94"/>
      <c r="AA307" s="94"/>
      <c r="AB307" s="94"/>
      <c r="AC307" s="94"/>
      <c r="AD307" s="94"/>
      <c r="AE307" s="94"/>
    </row>
    <row r="308">
      <c r="A308" s="87"/>
      <c r="B308" s="37"/>
      <c r="C308" s="37"/>
      <c r="D308" s="162"/>
      <c r="E308" s="89"/>
      <c r="F308" s="72"/>
      <c r="G308" s="111"/>
      <c r="H308" s="111"/>
      <c r="I308" s="111"/>
      <c r="J308" s="111"/>
      <c r="K308" s="111"/>
      <c r="L308" s="111"/>
      <c r="M308" s="94"/>
      <c r="N308" s="94"/>
      <c r="O308" s="94"/>
      <c r="P308" s="94"/>
      <c r="Q308" s="94"/>
      <c r="R308" s="94"/>
      <c r="S308" s="94"/>
      <c r="T308" s="94"/>
      <c r="U308" s="94"/>
      <c r="V308" s="94"/>
      <c r="W308" s="94"/>
      <c r="X308" s="94"/>
      <c r="Y308" s="94"/>
      <c r="Z308" s="94"/>
      <c r="AA308" s="94"/>
      <c r="AB308" s="94"/>
      <c r="AC308" s="94"/>
      <c r="AD308" s="94"/>
      <c r="AE308" s="94"/>
    </row>
    <row r="309">
      <c r="A309" s="87"/>
      <c r="B309" s="37"/>
      <c r="C309" s="37"/>
      <c r="D309" s="162"/>
      <c r="E309" s="89"/>
      <c r="F309" s="72"/>
      <c r="G309" s="111"/>
      <c r="H309" s="111"/>
      <c r="I309" s="111"/>
      <c r="J309" s="111"/>
      <c r="K309" s="111"/>
      <c r="L309" s="111"/>
      <c r="M309" s="94"/>
      <c r="N309" s="94"/>
      <c r="O309" s="94"/>
      <c r="P309" s="94"/>
      <c r="Q309" s="94"/>
      <c r="R309" s="94"/>
      <c r="S309" s="94"/>
      <c r="T309" s="94"/>
      <c r="U309" s="94"/>
      <c r="V309" s="94"/>
      <c r="W309" s="94"/>
      <c r="X309" s="94"/>
      <c r="Y309" s="94"/>
      <c r="Z309" s="94"/>
      <c r="AA309" s="94"/>
      <c r="AB309" s="94"/>
      <c r="AC309" s="94"/>
      <c r="AD309" s="94"/>
      <c r="AE309" s="94"/>
    </row>
    <row r="310">
      <c r="A310" s="87"/>
      <c r="B310" s="37"/>
      <c r="C310" s="37"/>
      <c r="D310" s="162"/>
      <c r="E310" s="89"/>
      <c r="F310" s="72"/>
      <c r="G310" s="111"/>
      <c r="H310" s="111"/>
      <c r="I310" s="111"/>
      <c r="J310" s="111"/>
      <c r="K310" s="111"/>
      <c r="L310" s="111"/>
      <c r="M310" s="94"/>
      <c r="N310" s="94"/>
      <c r="O310" s="94"/>
      <c r="P310" s="94"/>
      <c r="Q310" s="94"/>
      <c r="R310" s="94"/>
      <c r="S310" s="94"/>
      <c r="T310" s="94"/>
      <c r="U310" s="94"/>
      <c r="V310" s="94"/>
      <c r="W310" s="94"/>
      <c r="X310" s="94"/>
      <c r="Y310" s="94"/>
      <c r="Z310" s="94"/>
      <c r="AA310" s="94"/>
      <c r="AB310" s="94"/>
      <c r="AC310" s="94"/>
      <c r="AD310" s="94"/>
      <c r="AE310" s="94"/>
    </row>
    <row r="311">
      <c r="A311" s="87"/>
      <c r="B311" s="37"/>
      <c r="C311" s="37"/>
      <c r="D311" s="162"/>
      <c r="E311" s="89"/>
      <c r="F311" s="72"/>
      <c r="G311" s="111"/>
      <c r="H311" s="111"/>
      <c r="I311" s="111"/>
      <c r="J311" s="111"/>
      <c r="K311" s="111"/>
      <c r="L311" s="111"/>
      <c r="M311" s="94"/>
      <c r="N311" s="94"/>
      <c r="O311" s="94"/>
      <c r="P311" s="94"/>
      <c r="Q311" s="94"/>
      <c r="R311" s="94"/>
      <c r="S311" s="94"/>
      <c r="T311" s="94"/>
      <c r="U311" s="94"/>
      <c r="V311" s="94"/>
      <c r="W311" s="94"/>
      <c r="X311" s="94"/>
      <c r="Y311" s="94"/>
      <c r="Z311" s="94"/>
      <c r="AA311" s="94"/>
      <c r="AB311" s="94"/>
      <c r="AC311" s="94"/>
      <c r="AD311" s="94"/>
      <c r="AE311" s="94"/>
    </row>
    <row r="312">
      <c r="A312" s="87"/>
      <c r="B312" s="37"/>
      <c r="C312" s="37"/>
      <c r="D312" s="162"/>
      <c r="E312" s="89"/>
      <c r="F312" s="72"/>
      <c r="G312" s="111"/>
      <c r="H312" s="111"/>
      <c r="I312" s="111"/>
      <c r="J312" s="111"/>
      <c r="K312" s="111"/>
      <c r="L312" s="111"/>
      <c r="M312" s="94"/>
      <c r="N312" s="94"/>
      <c r="O312" s="94"/>
      <c r="P312" s="94"/>
      <c r="Q312" s="94"/>
      <c r="R312" s="94"/>
      <c r="S312" s="94"/>
      <c r="T312" s="94"/>
      <c r="U312" s="94"/>
      <c r="V312" s="94"/>
      <c r="W312" s="94"/>
      <c r="X312" s="94"/>
      <c r="Y312" s="94"/>
      <c r="Z312" s="94"/>
      <c r="AA312" s="94"/>
      <c r="AB312" s="94"/>
      <c r="AC312" s="94"/>
      <c r="AD312" s="94"/>
      <c r="AE312" s="94"/>
    </row>
    <row r="313">
      <c r="A313" s="87"/>
      <c r="B313" s="37"/>
      <c r="C313" s="37"/>
      <c r="D313" s="162"/>
      <c r="E313" s="89"/>
      <c r="F313" s="72"/>
      <c r="G313" s="111"/>
      <c r="H313" s="111"/>
      <c r="I313" s="111"/>
      <c r="J313" s="111"/>
      <c r="K313" s="111"/>
      <c r="L313" s="111"/>
      <c r="M313" s="94"/>
      <c r="N313" s="94"/>
      <c r="O313" s="94"/>
      <c r="P313" s="94"/>
      <c r="Q313" s="94"/>
      <c r="R313" s="94"/>
      <c r="S313" s="94"/>
      <c r="T313" s="94"/>
      <c r="U313" s="94"/>
      <c r="V313" s="94"/>
      <c r="W313" s="94"/>
      <c r="X313" s="94"/>
      <c r="Y313" s="94"/>
      <c r="Z313" s="94"/>
      <c r="AA313" s="94"/>
      <c r="AB313" s="94"/>
      <c r="AC313" s="94"/>
      <c r="AD313" s="94"/>
      <c r="AE313" s="94"/>
    </row>
    <row r="314">
      <c r="A314" s="87"/>
      <c r="B314" s="37"/>
      <c r="C314" s="37"/>
      <c r="D314" s="162"/>
      <c r="E314" s="89"/>
      <c r="F314" s="72"/>
      <c r="G314" s="111"/>
      <c r="H314" s="111"/>
      <c r="I314" s="111"/>
      <c r="J314" s="111"/>
      <c r="K314" s="111"/>
      <c r="L314" s="111"/>
      <c r="M314" s="94"/>
      <c r="N314" s="94"/>
      <c r="O314" s="94"/>
      <c r="P314" s="94"/>
      <c r="Q314" s="94"/>
      <c r="R314" s="94"/>
      <c r="S314" s="94"/>
      <c r="T314" s="94"/>
      <c r="U314" s="94"/>
      <c r="V314" s="94"/>
      <c r="W314" s="94"/>
      <c r="X314" s="94"/>
      <c r="Y314" s="94"/>
      <c r="Z314" s="94"/>
      <c r="AA314" s="94"/>
      <c r="AB314" s="94"/>
      <c r="AC314" s="94"/>
      <c r="AD314" s="94"/>
      <c r="AE314" s="94"/>
    </row>
    <row r="315">
      <c r="A315" s="87"/>
      <c r="B315" s="37"/>
      <c r="C315" s="37"/>
      <c r="D315" s="162"/>
      <c r="E315" s="89"/>
      <c r="F315" s="72"/>
      <c r="G315" s="111"/>
      <c r="H315" s="111"/>
      <c r="I315" s="111"/>
      <c r="J315" s="111"/>
      <c r="K315" s="111"/>
      <c r="L315" s="111"/>
      <c r="M315" s="94"/>
      <c r="N315" s="94"/>
      <c r="O315" s="94"/>
      <c r="P315" s="94"/>
      <c r="Q315" s="94"/>
      <c r="R315" s="94"/>
      <c r="S315" s="94"/>
      <c r="T315" s="94"/>
      <c r="U315" s="94"/>
      <c r="V315" s="94"/>
      <c r="W315" s="94"/>
      <c r="X315" s="94"/>
      <c r="Y315" s="94"/>
      <c r="Z315" s="94"/>
      <c r="AA315" s="94"/>
      <c r="AB315" s="94"/>
      <c r="AC315" s="94"/>
      <c r="AD315" s="94"/>
      <c r="AE315" s="94"/>
    </row>
    <row r="316">
      <c r="A316" s="87"/>
      <c r="B316" s="37"/>
      <c r="C316" s="37"/>
      <c r="D316" s="162"/>
      <c r="E316" s="89"/>
      <c r="F316" s="72"/>
      <c r="G316" s="111"/>
      <c r="H316" s="111"/>
      <c r="I316" s="111"/>
      <c r="J316" s="111"/>
      <c r="K316" s="111"/>
      <c r="L316" s="111"/>
      <c r="M316" s="94"/>
      <c r="N316" s="94"/>
      <c r="O316" s="94"/>
      <c r="P316" s="94"/>
      <c r="Q316" s="94"/>
      <c r="R316" s="94"/>
      <c r="S316" s="94"/>
      <c r="T316" s="94"/>
      <c r="U316" s="94"/>
      <c r="V316" s="94"/>
      <c r="W316" s="94"/>
      <c r="X316" s="94"/>
      <c r="Y316" s="94"/>
      <c r="Z316" s="94"/>
      <c r="AA316" s="94"/>
      <c r="AB316" s="94"/>
      <c r="AC316" s="94"/>
      <c r="AD316" s="94"/>
      <c r="AE316" s="94"/>
    </row>
    <row r="317">
      <c r="A317" s="87"/>
      <c r="B317" s="37"/>
      <c r="C317" s="37"/>
      <c r="D317" s="162"/>
      <c r="E317" s="89"/>
      <c r="F317" s="72"/>
      <c r="G317" s="111"/>
      <c r="H317" s="111"/>
      <c r="I317" s="111"/>
      <c r="J317" s="111"/>
      <c r="K317" s="111"/>
      <c r="L317" s="111"/>
      <c r="M317" s="94"/>
      <c r="N317" s="94"/>
      <c r="O317" s="94"/>
      <c r="P317" s="94"/>
      <c r="Q317" s="94"/>
      <c r="R317" s="94"/>
      <c r="S317" s="94"/>
      <c r="T317" s="94"/>
      <c r="U317" s="94"/>
      <c r="V317" s="94"/>
      <c r="W317" s="94"/>
      <c r="X317" s="94"/>
      <c r="Y317" s="94"/>
      <c r="Z317" s="94"/>
      <c r="AA317" s="94"/>
      <c r="AB317" s="94"/>
      <c r="AC317" s="94"/>
      <c r="AD317" s="94"/>
      <c r="AE317" s="94"/>
    </row>
    <row r="318">
      <c r="A318" s="87"/>
      <c r="B318" s="37"/>
      <c r="C318" s="37"/>
      <c r="D318" s="162"/>
      <c r="E318" s="89"/>
      <c r="F318" s="72"/>
      <c r="G318" s="111"/>
      <c r="H318" s="111"/>
      <c r="I318" s="111"/>
      <c r="J318" s="111"/>
      <c r="K318" s="111"/>
      <c r="L318" s="111"/>
      <c r="M318" s="94"/>
      <c r="N318" s="94"/>
      <c r="O318" s="94"/>
      <c r="P318" s="94"/>
      <c r="Q318" s="94"/>
      <c r="R318" s="94"/>
      <c r="S318" s="94"/>
      <c r="T318" s="94"/>
      <c r="U318" s="94"/>
      <c r="V318" s="94"/>
      <c r="W318" s="94"/>
      <c r="X318" s="94"/>
      <c r="Y318" s="94"/>
      <c r="Z318" s="94"/>
      <c r="AA318" s="94"/>
      <c r="AB318" s="94"/>
      <c r="AC318" s="94"/>
      <c r="AD318" s="94"/>
      <c r="AE318" s="94"/>
    </row>
    <row r="319">
      <c r="A319" s="87"/>
      <c r="B319" s="37"/>
      <c r="C319" s="37"/>
      <c r="D319" s="162"/>
      <c r="E319" s="89"/>
      <c r="F319" s="72"/>
      <c r="G319" s="111"/>
      <c r="H319" s="111"/>
      <c r="I319" s="111"/>
      <c r="J319" s="111"/>
      <c r="K319" s="111"/>
      <c r="L319" s="111"/>
      <c r="M319" s="94"/>
      <c r="N319" s="94"/>
      <c r="O319" s="94"/>
      <c r="P319" s="94"/>
      <c r="Q319" s="94"/>
      <c r="R319" s="94"/>
      <c r="S319" s="94"/>
      <c r="T319" s="94"/>
      <c r="U319" s="94"/>
      <c r="V319" s="94"/>
      <c r="W319" s="94"/>
      <c r="X319" s="94"/>
      <c r="Y319" s="94"/>
      <c r="Z319" s="94"/>
      <c r="AA319" s="94"/>
      <c r="AB319" s="94"/>
      <c r="AC319" s="94"/>
      <c r="AD319" s="94"/>
      <c r="AE319" s="94"/>
    </row>
    <row r="320">
      <c r="A320" s="87"/>
      <c r="B320" s="37"/>
      <c r="C320" s="37"/>
      <c r="D320" s="162"/>
      <c r="E320" s="89"/>
      <c r="F320" s="72"/>
      <c r="G320" s="111"/>
      <c r="H320" s="111"/>
      <c r="I320" s="111"/>
      <c r="J320" s="111"/>
      <c r="K320" s="111"/>
      <c r="L320" s="111"/>
      <c r="M320" s="94"/>
      <c r="N320" s="94"/>
      <c r="O320" s="94"/>
      <c r="P320" s="94"/>
      <c r="Q320" s="94"/>
      <c r="R320" s="94"/>
      <c r="S320" s="94"/>
      <c r="T320" s="94"/>
      <c r="U320" s="94"/>
      <c r="V320" s="94"/>
      <c r="W320" s="94"/>
      <c r="X320" s="94"/>
      <c r="Y320" s="94"/>
      <c r="Z320" s="94"/>
      <c r="AA320" s="94"/>
      <c r="AB320" s="94"/>
      <c r="AC320" s="94"/>
      <c r="AD320" s="94"/>
      <c r="AE320" s="94"/>
    </row>
    <row r="321">
      <c r="A321" s="87"/>
      <c r="B321" s="37"/>
      <c r="C321" s="37"/>
      <c r="D321" s="162"/>
      <c r="E321" s="89"/>
      <c r="F321" s="72"/>
      <c r="G321" s="111"/>
      <c r="H321" s="111"/>
      <c r="I321" s="111"/>
      <c r="J321" s="111"/>
      <c r="K321" s="111"/>
      <c r="L321" s="111"/>
      <c r="M321" s="94"/>
      <c r="N321" s="94"/>
      <c r="O321" s="94"/>
      <c r="P321" s="94"/>
      <c r="Q321" s="94"/>
      <c r="R321" s="94"/>
      <c r="S321" s="94"/>
      <c r="T321" s="94"/>
      <c r="U321" s="94"/>
      <c r="V321" s="94"/>
      <c r="W321" s="94"/>
      <c r="X321" s="94"/>
      <c r="Y321" s="94"/>
      <c r="Z321" s="94"/>
      <c r="AA321" s="94"/>
      <c r="AB321" s="94"/>
      <c r="AC321" s="94"/>
      <c r="AD321" s="94"/>
      <c r="AE321" s="94"/>
    </row>
    <row r="322">
      <c r="A322" s="87"/>
      <c r="B322" s="37"/>
      <c r="C322" s="37"/>
      <c r="D322" s="162"/>
      <c r="E322" s="89"/>
      <c r="F322" s="72"/>
      <c r="G322" s="111"/>
      <c r="H322" s="111"/>
      <c r="I322" s="111"/>
      <c r="J322" s="111"/>
      <c r="K322" s="111"/>
      <c r="L322" s="111"/>
      <c r="M322" s="94"/>
      <c r="N322" s="94"/>
      <c r="O322" s="94"/>
      <c r="P322" s="94"/>
      <c r="Q322" s="94"/>
      <c r="R322" s="94"/>
      <c r="S322" s="94"/>
      <c r="T322" s="94"/>
      <c r="U322" s="94"/>
      <c r="V322" s="94"/>
      <c r="W322" s="94"/>
      <c r="X322" s="94"/>
      <c r="Y322" s="94"/>
      <c r="Z322" s="94"/>
      <c r="AA322" s="94"/>
      <c r="AB322" s="94"/>
      <c r="AC322" s="94"/>
      <c r="AD322" s="94"/>
      <c r="AE322" s="94"/>
    </row>
    <row r="323">
      <c r="A323" s="87"/>
      <c r="B323" s="37"/>
      <c r="C323" s="37"/>
      <c r="D323" s="162"/>
      <c r="E323" s="89"/>
      <c r="F323" s="72"/>
      <c r="G323" s="111"/>
      <c r="H323" s="111"/>
      <c r="I323" s="111"/>
      <c r="J323" s="111"/>
      <c r="K323" s="111"/>
      <c r="L323" s="111"/>
      <c r="M323" s="94"/>
      <c r="N323" s="94"/>
      <c r="O323" s="94"/>
      <c r="P323" s="94"/>
      <c r="Q323" s="94"/>
      <c r="R323" s="94"/>
      <c r="S323" s="94"/>
      <c r="T323" s="94"/>
      <c r="U323" s="94"/>
      <c r="V323" s="94"/>
      <c r="W323" s="94"/>
      <c r="X323" s="94"/>
      <c r="Y323" s="94"/>
      <c r="Z323" s="94"/>
      <c r="AA323" s="94"/>
      <c r="AB323" s="94"/>
      <c r="AC323" s="94"/>
      <c r="AD323" s="94"/>
      <c r="AE323" s="94"/>
    </row>
    <row r="324">
      <c r="A324" s="87"/>
      <c r="B324" s="37"/>
      <c r="C324" s="37"/>
      <c r="D324" s="162"/>
      <c r="E324" s="89"/>
      <c r="F324" s="72"/>
      <c r="G324" s="111"/>
      <c r="H324" s="111"/>
      <c r="I324" s="111"/>
      <c r="J324" s="111"/>
      <c r="K324" s="111"/>
      <c r="L324" s="111"/>
      <c r="M324" s="94"/>
      <c r="N324" s="94"/>
      <c r="O324" s="94"/>
      <c r="P324" s="94"/>
      <c r="Q324" s="94"/>
      <c r="R324" s="94"/>
      <c r="S324" s="94"/>
      <c r="T324" s="94"/>
      <c r="U324" s="94"/>
      <c r="V324" s="94"/>
      <c r="W324" s="94"/>
      <c r="X324" s="94"/>
      <c r="Y324" s="94"/>
      <c r="Z324" s="94"/>
      <c r="AA324" s="94"/>
      <c r="AB324" s="94"/>
      <c r="AC324" s="94"/>
      <c r="AD324" s="94"/>
      <c r="AE324" s="94"/>
    </row>
    <row r="325">
      <c r="A325" s="87"/>
      <c r="B325" s="37"/>
      <c r="C325" s="37"/>
      <c r="D325" s="162"/>
      <c r="E325" s="89"/>
      <c r="F325" s="72"/>
      <c r="G325" s="111"/>
      <c r="H325" s="111"/>
      <c r="I325" s="111"/>
      <c r="J325" s="111"/>
      <c r="K325" s="111"/>
      <c r="L325" s="111"/>
      <c r="M325" s="94"/>
      <c r="N325" s="94"/>
      <c r="O325" s="94"/>
      <c r="P325" s="94"/>
      <c r="Q325" s="94"/>
      <c r="R325" s="94"/>
      <c r="S325" s="94"/>
      <c r="T325" s="94"/>
      <c r="U325" s="94"/>
      <c r="V325" s="94"/>
      <c r="W325" s="94"/>
      <c r="X325" s="94"/>
      <c r="Y325" s="94"/>
      <c r="Z325" s="94"/>
      <c r="AA325" s="94"/>
      <c r="AB325" s="94"/>
      <c r="AC325" s="94"/>
      <c r="AD325" s="94"/>
      <c r="AE325" s="94"/>
    </row>
    <row r="326">
      <c r="A326" s="87"/>
      <c r="B326" s="37"/>
      <c r="C326" s="37"/>
      <c r="D326" s="162"/>
      <c r="E326" s="89"/>
      <c r="F326" s="72"/>
      <c r="G326" s="111"/>
      <c r="H326" s="111"/>
      <c r="I326" s="111"/>
      <c r="J326" s="111"/>
      <c r="K326" s="111"/>
      <c r="L326" s="111"/>
      <c r="M326" s="94"/>
      <c r="N326" s="94"/>
      <c r="O326" s="94"/>
      <c r="P326" s="94"/>
      <c r="Q326" s="94"/>
      <c r="R326" s="94"/>
      <c r="S326" s="94"/>
      <c r="T326" s="94"/>
      <c r="U326" s="94"/>
      <c r="V326" s="94"/>
      <c r="W326" s="94"/>
      <c r="X326" s="94"/>
      <c r="Y326" s="94"/>
      <c r="Z326" s="94"/>
      <c r="AA326" s="94"/>
      <c r="AB326" s="94"/>
      <c r="AC326" s="94"/>
      <c r="AD326" s="94"/>
      <c r="AE326" s="94"/>
    </row>
    <row r="327">
      <c r="A327" s="87"/>
      <c r="B327" s="37"/>
      <c r="C327" s="37"/>
      <c r="D327" s="162"/>
      <c r="E327" s="89"/>
      <c r="F327" s="72"/>
      <c r="G327" s="111"/>
      <c r="H327" s="111"/>
      <c r="I327" s="111"/>
      <c r="J327" s="111"/>
      <c r="K327" s="111"/>
      <c r="L327" s="111"/>
      <c r="M327" s="94"/>
      <c r="N327" s="94"/>
      <c r="O327" s="94"/>
      <c r="P327" s="94"/>
      <c r="Q327" s="94"/>
      <c r="R327" s="94"/>
      <c r="S327" s="94"/>
      <c r="T327" s="94"/>
      <c r="U327" s="94"/>
      <c r="V327" s="94"/>
      <c r="W327" s="94"/>
      <c r="X327" s="94"/>
      <c r="Y327" s="94"/>
      <c r="Z327" s="94"/>
      <c r="AA327" s="94"/>
      <c r="AB327" s="94"/>
      <c r="AC327" s="94"/>
      <c r="AD327" s="94"/>
      <c r="AE327" s="94"/>
    </row>
    <row r="328">
      <c r="A328" s="87"/>
      <c r="B328" s="37"/>
      <c r="C328" s="37"/>
      <c r="D328" s="162"/>
      <c r="E328" s="89"/>
      <c r="F328" s="72"/>
      <c r="G328" s="111"/>
      <c r="H328" s="111"/>
      <c r="I328" s="111"/>
      <c r="J328" s="111"/>
      <c r="K328" s="111"/>
      <c r="L328" s="111"/>
      <c r="M328" s="94"/>
      <c r="N328" s="94"/>
      <c r="O328" s="94"/>
      <c r="P328" s="94"/>
      <c r="Q328" s="94"/>
      <c r="R328" s="94"/>
      <c r="S328" s="94"/>
      <c r="T328" s="94"/>
      <c r="U328" s="94"/>
      <c r="V328" s="94"/>
      <c r="W328" s="94"/>
      <c r="X328" s="94"/>
      <c r="Y328" s="94"/>
      <c r="Z328" s="94"/>
      <c r="AA328" s="94"/>
      <c r="AB328" s="94"/>
      <c r="AC328" s="94"/>
      <c r="AD328" s="94"/>
      <c r="AE328" s="94"/>
    </row>
    <row r="329">
      <c r="A329" s="87"/>
      <c r="B329" s="37"/>
      <c r="C329" s="37"/>
      <c r="D329" s="162"/>
      <c r="E329" s="89"/>
      <c r="F329" s="72"/>
      <c r="G329" s="111"/>
      <c r="H329" s="111"/>
      <c r="I329" s="111"/>
      <c r="J329" s="111"/>
      <c r="K329" s="111"/>
      <c r="L329" s="111"/>
      <c r="M329" s="94"/>
      <c r="N329" s="94"/>
      <c r="O329" s="94"/>
      <c r="P329" s="94"/>
      <c r="Q329" s="94"/>
      <c r="R329" s="94"/>
      <c r="S329" s="94"/>
      <c r="T329" s="94"/>
      <c r="U329" s="94"/>
      <c r="V329" s="94"/>
      <c r="W329" s="94"/>
      <c r="X329" s="94"/>
      <c r="Y329" s="94"/>
      <c r="Z329" s="94"/>
      <c r="AA329" s="94"/>
      <c r="AB329" s="94"/>
      <c r="AC329" s="94"/>
      <c r="AD329" s="94"/>
      <c r="AE329" s="94"/>
    </row>
    <row r="330">
      <c r="A330" s="87"/>
      <c r="B330" s="37"/>
      <c r="C330" s="37"/>
      <c r="D330" s="162"/>
      <c r="E330" s="89"/>
      <c r="F330" s="72"/>
      <c r="G330" s="111"/>
      <c r="H330" s="111"/>
      <c r="I330" s="111"/>
      <c r="J330" s="111"/>
      <c r="K330" s="111"/>
      <c r="L330" s="111"/>
      <c r="M330" s="94"/>
      <c r="N330" s="94"/>
      <c r="O330" s="94"/>
      <c r="P330" s="94"/>
      <c r="Q330" s="94"/>
      <c r="R330" s="94"/>
      <c r="S330" s="94"/>
      <c r="T330" s="94"/>
      <c r="U330" s="94"/>
      <c r="V330" s="94"/>
      <c r="W330" s="94"/>
      <c r="X330" s="94"/>
      <c r="Y330" s="94"/>
      <c r="Z330" s="94"/>
      <c r="AA330" s="94"/>
      <c r="AB330" s="94"/>
      <c r="AC330" s="94"/>
      <c r="AD330" s="94"/>
      <c r="AE330" s="94"/>
    </row>
    <row r="331">
      <c r="A331" s="87"/>
      <c r="B331" s="37"/>
      <c r="C331" s="37"/>
      <c r="D331" s="162"/>
      <c r="E331" s="89"/>
      <c r="F331" s="72"/>
      <c r="G331" s="111"/>
      <c r="H331" s="111"/>
      <c r="I331" s="111"/>
      <c r="J331" s="111"/>
      <c r="K331" s="111"/>
      <c r="L331" s="111"/>
      <c r="M331" s="94"/>
      <c r="N331" s="94"/>
      <c r="O331" s="94"/>
      <c r="P331" s="94"/>
      <c r="Q331" s="94"/>
      <c r="R331" s="94"/>
      <c r="S331" s="94"/>
      <c r="T331" s="94"/>
      <c r="U331" s="94"/>
      <c r="V331" s="94"/>
      <c r="W331" s="94"/>
      <c r="X331" s="94"/>
      <c r="Y331" s="94"/>
      <c r="Z331" s="94"/>
      <c r="AA331" s="94"/>
      <c r="AB331" s="94"/>
      <c r="AC331" s="94"/>
      <c r="AD331" s="94"/>
      <c r="AE331" s="94"/>
    </row>
    <row r="332">
      <c r="A332" s="87"/>
      <c r="B332" s="37"/>
      <c r="C332" s="37"/>
      <c r="D332" s="162"/>
      <c r="E332" s="89"/>
      <c r="F332" s="72"/>
      <c r="G332" s="111"/>
      <c r="H332" s="111"/>
      <c r="I332" s="111"/>
      <c r="J332" s="111"/>
      <c r="K332" s="111"/>
      <c r="L332" s="111"/>
      <c r="M332" s="94"/>
      <c r="N332" s="94"/>
      <c r="O332" s="94"/>
      <c r="P332" s="94"/>
      <c r="Q332" s="94"/>
      <c r="R332" s="94"/>
      <c r="S332" s="94"/>
      <c r="T332" s="94"/>
      <c r="U332" s="94"/>
      <c r="V332" s="94"/>
      <c r="W332" s="94"/>
      <c r="X332" s="94"/>
      <c r="Y332" s="94"/>
      <c r="Z332" s="94"/>
      <c r="AA332" s="94"/>
      <c r="AB332" s="94"/>
      <c r="AC332" s="94"/>
      <c r="AD332" s="94"/>
      <c r="AE332" s="94"/>
    </row>
    <row r="333">
      <c r="A333" s="87"/>
      <c r="B333" s="37"/>
      <c r="C333" s="37"/>
      <c r="D333" s="162"/>
      <c r="E333" s="89"/>
      <c r="F333" s="72"/>
      <c r="G333" s="111"/>
      <c r="H333" s="111"/>
      <c r="I333" s="111"/>
      <c r="J333" s="111"/>
      <c r="K333" s="111"/>
      <c r="L333" s="111"/>
      <c r="M333" s="94"/>
      <c r="N333" s="94"/>
      <c r="O333" s="94"/>
      <c r="P333" s="94"/>
      <c r="Q333" s="94"/>
      <c r="R333" s="94"/>
      <c r="S333" s="94"/>
      <c r="T333" s="94"/>
      <c r="U333" s="94"/>
      <c r="V333" s="94"/>
      <c r="W333" s="94"/>
      <c r="X333" s="94"/>
      <c r="Y333" s="94"/>
      <c r="Z333" s="94"/>
      <c r="AA333" s="94"/>
      <c r="AB333" s="94"/>
      <c r="AC333" s="94"/>
      <c r="AD333" s="94"/>
      <c r="AE333" s="94"/>
    </row>
    <row r="334">
      <c r="A334" s="87"/>
      <c r="B334" s="37"/>
      <c r="C334" s="37"/>
      <c r="D334" s="162"/>
      <c r="E334" s="89"/>
      <c r="F334" s="72"/>
      <c r="G334" s="111"/>
      <c r="H334" s="111"/>
      <c r="I334" s="111"/>
      <c r="J334" s="111"/>
      <c r="K334" s="111"/>
      <c r="L334" s="111"/>
      <c r="M334" s="94"/>
      <c r="N334" s="94"/>
      <c r="O334" s="94"/>
      <c r="P334" s="94"/>
      <c r="Q334" s="94"/>
      <c r="R334" s="94"/>
      <c r="S334" s="94"/>
      <c r="T334" s="94"/>
      <c r="U334" s="94"/>
      <c r="V334" s="94"/>
      <c r="W334" s="94"/>
      <c r="X334" s="94"/>
      <c r="Y334" s="94"/>
      <c r="Z334" s="94"/>
      <c r="AA334" s="94"/>
      <c r="AB334" s="94"/>
      <c r="AC334" s="94"/>
      <c r="AD334" s="94"/>
      <c r="AE334" s="94"/>
    </row>
    <row r="335">
      <c r="A335" s="87"/>
      <c r="B335" s="37"/>
      <c r="C335" s="37"/>
      <c r="D335" s="162"/>
      <c r="E335" s="89"/>
      <c r="F335" s="72"/>
      <c r="G335" s="111"/>
      <c r="H335" s="111"/>
      <c r="I335" s="111"/>
      <c r="J335" s="111"/>
      <c r="K335" s="111"/>
      <c r="L335" s="111"/>
      <c r="M335" s="94"/>
      <c r="N335" s="94"/>
      <c r="O335" s="94"/>
      <c r="P335" s="94"/>
      <c r="Q335" s="94"/>
      <c r="R335" s="94"/>
      <c r="S335" s="94"/>
      <c r="T335" s="94"/>
      <c r="U335" s="94"/>
      <c r="V335" s="94"/>
      <c r="W335" s="94"/>
      <c r="X335" s="94"/>
      <c r="Y335" s="94"/>
      <c r="Z335" s="94"/>
      <c r="AA335" s="94"/>
      <c r="AB335" s="94"/>
      <c r="AC335" s="94"/>
      <c r="AD335" s="94"/>
      <c r="AE335" s="94"/>
    </row>
    <row r="336">
      <c r="A336" s="87"/>
      <c r="B336" s="37"/>
      <c r="C336" s="37"/>
      <c r="D336" s="162"/>
      <c r="E336" s="89"/>
      <c r="F336" s="72"/>
      <c r="G336" s="111"/>
      <c r="H336" s="111"/>
      <c r="I336" s="111"/>
      <c r="J336" s="111"/>
      <c r="K336" s="111"/>
      <c r="L336" s="111"/>
      <c r="M336" s="94"/>
      <c r="N336" s="94"/>
      <c r="O336" s="94"/>
      <c r="P336" s="94"/>
      <c r="Q336" s="94"/>
      <c r="R336" s="94"/>
      <c r="S336" s="94"/>
      <c r="T336" s="94"/>
      <c r="U336" s="94"/>
      <c r="V336" s="94"/>
      <c r="W336" s="94"/>
      <c r="X336" s="94"/>
      <c r="Y336" s="94"/>
      <c r="Z336" s="94"/>
      <c r="AA336" s="94"/>
      <c r="AB336" s="94"/>
      <c r="AC336" s="94"/>
      <c r="AD336" s="94"/>
      <c r="AE336" s="94"/>
    </row>
    <row r="337">
      <c r="A337" s="87"/>
      <c r="B337" s="37"/>
      <c r="C337" s="37"/>
      <c r="D337" s="162"/>
      <c r="E337" s="89"/>
      <c r="F337" s="72"/>
      <c r="G337" s="111"/>
      <c r="H337" s="111"/>
      <c r="I337" s="111"/>
      <c r="J337" s="111"/>
      <c r="K337" s="111"/>
      <c r="L337" s="111"/>
      <c r="M337" s="94"/>
      <c r="N337" s="94"/>
      <c r="O337" s="94"/>
      <c r="P337" s="94"/>
      <c r="Q337" s="94"/>
      <c r="R337" s="94"/>
      <c r="S337" s="94"/>
      <c r="T337" s="94"/>
      <c r="U337" s="94"/>
      <c r="V337" s="94"/>
      <c r="W337" s="94"/>
      <c r="X337" s="94"/>
      <c r="Y337" s="94"/>
      <c r="Z337" s="94"/>
      <c r="AA337" s="94"/>
      <c r="AB337" s="94"/>
      <c r="AC337" s="94"/>
      <c r="AD337" s="94"/>
      <c r="AE337" s="94"/>
    </row>
    <row r="338">
      <c r="A338" s="87"/>
      <c r="B338" s="37"/>
      <c r="C338" s="37"/>
      <c r="D338" s="162"/>
      <c r="E338" s="89"/>
      <c r="F338" s="72"/>
      <c r="G338" s="111"/>
      <c r="H338" s="111"/>
      <c r="I338" s="111"/>
      <c r="J338" s="111"/>
      <c r="K338" s="111"/>
      <c r="L338" s="111"/>
      <c r="M338" s="94"/>
      <c r="N338" s="94"/>
      <c r="O338" s="94"/>
      <c r="P338" s="94"/>
      <c r="Q338" s="94"/>
      <c r="R338" s="94"/>
      <c r="S338" s="94"/>
      <c r="T338" s="94"/>
      <c r="U338" s="94"/>
      <c r="V338" s="94"/>
      <c r="W338" s="94"/>
      <c r="X338" s="94"/>
      <c r="Y338" s="94"/>
      <c r="Z338" s="94"/>
      <c r="AA338" s="94"/>
      <c r="AB338" s="94"/>
      <c r="AC338" s="94"/>
      <c r="AD338" s="94"/>
      <c r="AE338" s="94"/>
    </row>
    <row r="339">
      <c r="A339" s="87"/>
      <c r="B339" s="37"/>
      <c r="C339" s="37"/>
      <c r="D339" s="162"/>
      <c r="E339" s="89"/>
      <c r="F339" s="72"/>
      <c r="G339" s="111"/>
      <c r="H339" s="111"/>
      <c r="I339" s="111"/>
      <c r="J339" s="111"/>
      <c r="K339" s="111"/>
      <c r="L339" s="111"/>
      <c r="M339" s="94"/>
      <c r="N339" s="94"/>
      <c r="O339" s="94"/>
      <c r="P339" s="94"/>
      <c r="Q339" s="94"/>
      <c r="R339" s="94"/>
      <c r="S339" s="94"/>
      <c r="T339" s="94"/>
      <c r="U339" s="94"/>
      <c r="V339" s="94"/>
      <c r="W339" s="94"/>
      <c r="X339" s="94"/>
      <c r="Y339" s="94"/>
      <c r="Z339" s="94"/>
      <c r="AA339" s="94"/>
      <c r="AB339" s="94"/>
      <c r="AC339" s="94"/>
      <c r="AD339" s="94"/>
      <c r="AE339" s="94"/>
    </row>
    <row r="340">
      <c r="A340" s="87"/>
      <c r="B340" s="37"/>
      <c r="C340" s="37"/>
      <c r="D340" s="162"/>
      <c r="E340" s="89"/>
      <c r="F340" s="72"/>
      <c r="G340" s="111"/>
      <c r="H340" s="111"/>
      <c r="I340" s="111"/>
      <c r="J340" s="111"/>
      <c r="K340" s="111"/>
      <c r="L340" s="111"/>
      <c r="M340" s="94"/>
      <c r="N340" s="94"/>
      <c r="O340" s="94"/>
      <c r="P340" s="94"/>
      <c r="Q340" s="94"/>
      <c r="R340" s="94"/>
      <c r="S340" s="94"/>
      <c r="T340" s="94"/>
      <c r="U340" s="94"/>
      <c r="V340" s="94"/>
      <c r="W340" s="94"/>
      <c r="X340" s="94"/>
      <c r="Y340" s="94"/>
      <c r="Z340" s="94"/>
      <c r="AA340" s="94"/>
      <c r="AB340" s="94"/>
      <c r="AC340" s="94"/>
      <c r="AD340" s="94"/>
      <c r="AE340" s="94"/>
    </row>
    <row r="341">
      <c r="A341" s="87"/>
      <c r="B341" s="37"/>
      <c r="C341" s="37"/>
      <c r="D341" s="162"/>
      <c r="E341" s="89"/>
      <c r="F341" s="72"/>
      <c r="G341" s="111"/>
      <c r="H341" s="111"/>
      <c r="I341" s="111"/>
      <c r="J341" s="111"/>
      <c r="K341" s="111"/>
      <c r="L341" s="111"/>
      <c r="M341" s="94"/>
      <c r="N341" s="94"/>
      <c r="O341" s="94"/>
      <c r="P341" s="94"/>
      <c r="Q341" s="94"/>
      <c r="R341" s="94"/>
      <c r="S341" s="94"/>
      <c r="T341" s="94"/>
      <c r="U341" s="94"/>
      <c r="V341" s="94"/>
      <c r="W341" s="94"/>
      <c r="X341" s="94"/>
      <c r="Y341" s="94"/>
      <c r="Z341" s="94"/>
      <c r="AA341" s="94"/>
      <c r="AB341" s="94"/>
      <c r="AC341" s="94"/>
      <c r="AD341" s="94"/>
      <c r="AE341" s="94"/>
    </row>
    <row r="342">
      <c r="A342" s="87"/>
      <c r="B342" s="37"/>
      <c r="C342" s="37"/>
      <c r="D342" s="162"/>
      <c r="E342" s="89"/>
      <c r="F342" s="72"/>
      <c r="G342" s="111"/>
      <c r="H342" s="111"/>
      <c r="I342" s="111"/>
      <c r="J342" s="111"/>
      <c r="K342" s="111"/>
      <c r="L342" s="111"/>
      <c r="M342" s="94"/>
      <c r="N342" s="94"/>
      <c r="O342" s="94"/>
      <c r="P342" s="94"/>
      <c r="Q342" s="94"/>
      <c r="R342" s="94"/>
      <c r="S342" s="94"/>
      <c r="T342" s="94"/>
      <c r="U342" s="94"/>
      <c r="V342" s="94"/>
      <c r="W342" s="94"/>
      <c r="X342" s="94"/>
      <c r="Y342" s="94"/>
      <c r="Z342" s="94"/>
      <c r="AA342" s="94"/>
      <c r="AB342" s="94"/>
      <c r="AC342" s="94"/>
      <c r="AD342" s="94"/>
      <c r="AE342" s="94"/>
    </row>
    <row r="343">
      <c r="A343" s="87"/>
      <c r="B343" s="37"/>
      <c r="C343" s="37"/>
      <c r="D343" s="162"/>
      <c r="E343" s="89"/>
      <c r="F343" s="72"/>
      <c r="G343" s="111"/>
      <c r="H343" s="111"/>
      <c r="I343" s="111"/>
      <c r="J343" s="111"/>
      <c r="K343" s="111"/>
      <c r="L343" s="111"/>
      <c r="M343" s="94"/>
      <c r="N343" s="94"/>
      <c r="O343" s="94"/>
      <c r="P343" s="94"/>
      <c r="Q343" s="94"/>
      <c r="R343" s="94"/>
      <c r="S343" s="94"/>
      <c r="T343" s="94"/>
      <c r="U343" s="94"/>
      <c r="V343" s="94"/>
      <c r="W343" s="94"/>
      <c r="X343" s="94"/>
      <c r="Y343" s="94"/>
      <c r="Z343" s="94"/>
      <c r="AA343" s="94"/>
      <c r="AB343" s="94"/>
      <c r="AC343" s="94"/>
      <c r="AD343" s="94"/>
      <c r="AE343" s="94"/>
    </row>
    <row r="344">
      <c r="A344" s="87"/>
      <c r="B344" s="37"/>
      <c r="C344" s="37"/>
      <c r="D344" s="162"/>
      <c r="E344" s="89"/>
      <c r="F344" s="72"/>
      <c r="G344" s="111"/>
      <c r="H344" s="111"/>
      <c r="I344" s="111"/>
      <c r="J344" s="111"/>
      <c r="K344" s="111"/>
      <c r="L344" s="111"/>
      <c r="M344" s="94"/>
      <c r="N344" s="94"/>
      <c r="O344" s="94"/>
      <c r="P344" s="94"/>
      <c r="Q344" s="94"/>
      <c r="R344" s="94"/>
      <c r="S344" s="94"/>
      <c r="T344" s="94"/>
      <c r="U344" s="94"/>
      <c r="V344" s="94"/>
      <c r="W344" s="94"/>
      <c r="X344" s="94"/>
      <c r="Y344" s="94"/>
      <c r="Z344" s="94"/>
      <c r="AA344" s="94"/>
      <c r="AB344" s="94"/>
      <c r="AC344" s="94"/>
      <c r="AD344" s="94"/>
      <c r="AE344" s="94"/>
    </row>
    <row r="345">
      <c r="A345" s="87"/>
      <c r="B345" s="37"/>
      <c r="C345" s="37"/>
      <c r="D345" s="162"/>
      <c r="E345" s="89"/>
      <c r="F345" s="72"/>
      <c r="G345" s="111"/>
      <c r="H345" s="111"/>
      <c r="I345" s="111"/>
      <c r="J345" s="111"/>
      <c r="K345" s="111"/>
      <c r="L345" s="111"/>
      <c r="M345" s="94"/>
      <c r="N345" s="94"/>
      <c r="O345" s="94"/>
      <c r="P345" s="94"/>
      <c r="Q345" s="94"/>
      <c r="R345" s="94"/>
      <c r="S345" s="94"/>
      <c r="T345" s="94"/>
      <c r="U345" s="94"/>
      <c r="V345" s="94"/>
      <c r="W345" s="94"/>
      <c r="X345" s="94"/>
      <c r="Y345" s="94"/>
      <c r="Z345" s="94"/>
      <c r="AA345" s="94"/>
      <c r="AB345" s="94"/>
      <c r="AC345" s="94"/>
      <c r="AD345" s="94"/>
      <c r="AE345" s="94"/>
    </row>
    <row r="346">
      <c r="A346" s="87"/>
      <c r="B346" s="37"/>
      <c r="C346" s="37"/>
      <c r="D346" s="162"/>
      <c r="E346" s="89"/>
      <c r="F346" s="72"/>
      <c r="G346" s="111"/>
      <c r="H346" s="111"/>
      <c r="I346" s="111"/>
      <c r="J346" s="111"/>
      <c r="K346" s="111"/>
      <c r="L346" s="111"/>
      <c r="M346" s="94"/>
      <c r="N346" s="94"/>
      <c r="O346" s="94"/>
      <c r="P346" s="94"/>
      <c r="Q346" s="94"/>
      <c r="R346" s="94"/>
      <c r="S346" s="94"/>
      <c r="T346" s="94"/>
      <c r="U346" s="94"/>
      <c r="V346" s="94"/>
      <c r="W346" s="94"/>
      <c r="X346" s="94"/>
      <c r="Y346" s="94"/>
      <c r="Z346" s="94"/>
      <c r="AA346" s="94"/>
      <c r="AB346" s="94"/>
      <c r="AC346" s="94"/>
      <c r="AD346" s="94"/>
      <c r="AE346" s="94"/>
    </row>
    <row r="347">
      <c r="A347" s="87"/>
      <c r="B347" s="37"/>
      <c r="C347" s="37"/>
      <c r="D347" s="162"/>
      <c r="E347" s="89"/>
      <c r="F347" s="72"/>
      <c r="G347" s="111"/>
      <c r="H347" s="111"/>
      <c r="I347" s="111"/>
      <c r="J347" s="111"/>
      <c r="K347" s="111"/>
      <c r="L347" s="111"/>
      <c r="M347" s="94"/>
      <c r="N347" s="94"/>
      <c r="O347" s="94"/>
      <c r="P347" s="94"/>
      <c r="Q347" s="94"/>
      <c r="R347" s="94"/>
      <c r="S347" s="94"/>
      <c r="T347" s="94"/>
      <c r="U347" s="94"/>
      <c r="V347" s="94"/>
      <c r="W347" s="94"/>
      <c r="X347" s="94"/>
      <c r="Y347" s="94"/>
      <c r="Z347" s="94"/>
      <c r="AA347" s="94"/>
      <c r="AB347" s="94"/>
      <c r="AC347" s="94"/>
      <c r="AD347" s="94"/>
      <c r="AE347" s="94"/>
    </row>
    <row r="348">
      <c r="A348" s="87"/>
      <c r="B348" s="37"/>
      <c r="C348" s="37"/>
      <c r="D348" s="162"/>
      <c r="E348" s="89"/>
      <c r="F348" s="72"/>
      <c r="G348" s="111"/>
      <c r="H348" s="111"/>
      <c r="I348" s="111"/>
      <c r="J348" s="111"/>
      <c r="K348" s="111"/>
      <c r="L348" s="111"/>
      <c r="M348" s="94"/>
      <c r="N348" s="94"/>
      <c r="O348" s="94"/>
      <c r="P348" s="94"/>
      <c r="Q348" s="94"/>
      <c r="R348" s="94"/>
      <c r="S348" s="94"/>
      <c r="T348" s="94"/>
      <c r="U348" s="94"/>
      <c r="V348" s="94"/>
      <c r="W348" s="94"/>
      <c r="X348" s="94"/>
      <c r="Y348" s="94"/>
      <c r="Z348" s="94"/>
      <c r="AA348" s="94"/>
      <c r="AB348" s="94"/>
      <c r="AC348" s="94"/>
      <c r="AD348" s="94"/>
      <c r="AE348" s="94"/>
    </row>
    <row r="349">
      <c r="A349" s="87"/>
      <c r="B349" s="37"/>
      <c r="C349" s="37"/>
      <c r="D349" s="162"/>
      <c r="E349" s="89"/>
      <c r="F349" s="72"/>
      <c r="G349" s="111"/>
      <c r="H349" s="111"/>
      <c r="I349" s="111"/>
      <c r="J349" s="111"/>
      <c r="K349" s="111"/>
      <c r="L349" s="111"/>
      <c r="M349" s="94"/>
      <c r="N349" s="94"/>
      <c r="O349" s="94"/>
      <c r="P349" s="94"/>
      <c r="Q349" s="94"/>
      <c r="R349" s="94"/>
      <c r="S349" s="94"/>
      <c r="T349" s="94"/>
      <c r="U349" s="94"/>
      <c r="V349" s="94"/>
      <c r="W349" s="94"/>
      <c r="X349" s="94"/>
      <c r="Y349" s="94"/>
      <c r="Z349" s="94"/>
      <c r="AA349" s="94"/>
      <c r="AB349" s="94"/>
      <c r="AC349" s="94"/>
      <c r="AD349" s="94"/>
      <c r="AE349" s="94"/>
    </row>
    <row r="350">
      <c r="A350" s="87"/>
      <c r="B350" s="37"/>
      <c r="C350" s="37"/>
      <c r="D350" s="162"/>
      <c r="E350" s="89"/>
      <c r="F350" s="72"/>
      <c r="G350" s="111"/>
      <c r="H350" s="111"/>
      <c r="I350" s="111"/>
      <c r="J350" s="111"/>
      <c r="K350" s="111"/>
      <c r="L350" s="111"/>
      <c r="M350" s="94"/>
      <c r="N350" s="94"/>
      <c r="O350" s="94"/>
      <c r="P350" s="94"/>
      <c r="Q350" s="94"/>
      <c r="R350" s="94"/>
      <c r="S350" s="94"/>
      <c r="T350" s="94"/>
      <c r="U350" s="94"/>
      <c r="V350" s="94"/>
      <c r="W350" s="94"/>
      <c r="X350" s="94"/>
      <c r="Y350" s="94"/>
      <c r="Z350" s="94"/>
      <c r="AA350" s="94"/>
      <c r="AB350" s="94"/>
      <c r="AC350" s="94"/>
      <c r="AD350" s="94"/>
      <c r="AE350" s="94"/>
    </row>
    <row r="351">
      <c r="A351" s="87"/>
      <c r="B351" s="37"/>
      <c r="C351" s="37"/>
      <c r="D351" s="162"/>
      <c r="E351" s="89"/>
      <c r="F351" s="72"/>
      <c r="G351" s="111"/>
      <c r="H351" s="111"/>
      <c r="I351" s="111"/>
      <c r="J351" s="111"/>
      <c r="K351" s="111"/>
      <c r="L351" s="111"/>
      <c r="M351" s="94"/>
      <c r="N351" s="94"/>
      <c r="O351" s="94"/>
      <c r="P351" s="94"/>
      <c r="Q351" s="94"/>
      <c r="R351" s="94"/>
      <c r="S351" s="94"/>
      <c r="T351" s="94"/>
      <c r="U351" s="94"/>
      <c r="V351" s="94"/>
      <c r="W351" s="94"/>
      <c r="X351" s="94"/>
      <c r="Y351" s="94"/>
      <c r="Z351" s="94"/>
      <c r="AA351" s="94"/>
      <c r="AB351" s="94"/>
      <c r="AC351" s="94"/>
      <c r="AD351" s="94"/>
      <c r="AE351" s="94"/>
    </row>
    <row r="352">
      <c r="A352" s="87"/>
      <c r="B352" s="37"/>
      <c r="C352" s="37"/>
      <c r="D352" s="162"/>
      <c r="E352" s="89"/>
      <c r="F352" s="72"/>
      <c r="G352" s="111"/>
      <c r="H352" s="111"/>
      <c r="I352" s="111"/>
      <c r="J352" s="111"/>
      <c r="K352" s="111"/>
      <c r="L352" s="111"/>
      <c r="M352" s="94"/>
      <c r="N352" s="94"/>
      <c r="O352" s="94"/>
      <c r="P352" s="94"/>
      <c r="Q352" s="94"/>
      <c r="R352" s="94"/>
      <c r="S352" s="94"/>
      <c r="T352" s="94"/>
      <c r="U352" s="94"/>
      <c r="V352" s="94"/>
      <c r="W352" s="94"/>
      <c r="X352" s="94"/>
      <c r="Y352" s="94"/>
      <c r="Z352" s="94"/>
      <c r="AA352" s="94"/>
      <c r="AB352" s="94"/>
      <c r="AC352" s="94"/>
      <c r="AD352" s="94"/>
      <c r="AE352" s="94"/>
    </row>
    <row r="353">
      <c r="A353" s="87"/>
      <c r="B353" s="37"/>
      <c r="C353" s="37"/>
      <c r="D353" s="162"/>
      <c r="E353" s="89"/>
      <c r="F353" s="72"/>
      <c r="G353" s="111"/>
      <c r="H353" s="111"/>
      <c r="I353" s="111"/>
      <c r="J353" s="111"/>
      <c r="K353" s="111"/>
      <c r="L353" s="111"/>
      <c r="M353" s="94"/>
      <c r="N353" s="94"/>
      <c r="O353" s="94"/>
      <c r="P353" s="94"/>
      <c r="Q353" s="94"/>
      <c r="R353" s="94"/>
      <c r="S353" s="94"/>
      <c r="T353" s="94"/>
      <c r="U353" s="94"/>
      <c r="V353" s="94"/>
      <c r="W353" s="94"/>
      <c r="X353" s="94"/>
      <c r="Y353" s="94"/>
      <c r="Z353" s="94"/>
      <c r="AA353" s="94"/>
      <c r="AB353" s="94"/>
      <c r="AC353" s="94"/>
      <c r="AD353" s="94"/>
      <c r="AE353" s="94"/>
    </row>
    <row r="354">
      <c r="A354" s="87"/>
      <c r="B354" s="37"/>
      <c r="C354" s="37"/>
      <c r="D354" s="162"/>
      <c r="E354" s="89"/>
      <c r="F354" s="72"/>
      <c r="G354" s="111"/>
      <c r="H354" s="111"/>
      <c r="I354" s="111"/>
      <c r="J354" s="111"/>
      <c r="K354" s="111"/>
      <c r="L354" s="111"/>
      <c r="M354" s="94"/>
      <c r="N354" s="94"/>
      <c r="O354" s="94"/>
      <c r="P354" s="94"/>
      <c r="Q354" s="94"/>
      <c r="R354" s="94"/>
      <c r="S354" s="94"/>
      <c r="T354" s="94"/>
      <c r="U354" s="94"/>
      <c r="V354" s="94"/>
      <c r="W354" s="94"/>
      <c r="X354" s="94"/>
      <c r="Y354" s="94"/>
      <c r="Z354" s="94"/>
      <c r="AA354" s="94"/>
      <c r="AB354" s="94"/>
      <c r="AC354" s="94"/>
      <c r="AD354" s="94"/>
      <c r="AE354" s="94"/>
    </row>
    <row r="355">
      <c r="A355" s="87"/>
      <c r="B355" s="37"/>
      <c r="C355" s="37"/>
      <c r="D355" s="162"/>
      <c r="E355" s="89"/>
      <c r="F355" s="72"/>
      <c r="G355" s="111"/>
      <c r="H355" s="111"/>
      <c r="I355" s="111"/>
      <c r="J355" s="111"/>
      <c r="K355" s="111"/>
      <c r="L355" s="111"/>
      <c r="M355" s="94"/>
      <c r="N355" s="94"/>
      <c r="O355" s="94"/>
      <c r="P355" s="94"/>
      <c r="Q355" s="94"/>
      <c r="R355" s="94"/>
      <c r="S355" s="94"/>
      <c r="T355" s="94"/>
      <c r="U355" s="94"/>
      <c r="V355" s="94"/>
      <c r="W355" s="94"/>
      <c r="X355" s="94"/>
      <c r="Y355" s="94"/>
      <c r="Z355" s="94"/>
      <c r="AA355" s="94"/>
      <c r="AB355" s="94"/>
      <c r="AC355" s="94"/>
      <c r="AD355" s="94"/>
      <c r="AE355" s="94"/>
    </row>
    <row r="356">
      <c r="A356" s="87"/>
      <c r="B356" s="37"/>
      <c r="C356" s="37"/>
      <c r="D356" s="162"/>
      <c r="E356" s="89"/>
      <c r="F356" s="72"/>
      <c r="G356" s="111"/>
      <c r="H356" s="111"/>
      <c r="I356" s="111"/>
      <c r="J356" s="111"/>
      <c r="K356" s="111"/>
      <c r="L356" s="111"/>
      <c r="M356" s="94"/>
      <c r="N356" s="94"/>
      <c r="O356" s="94"/>
      <c r="P356" s="94"/>
      <c r="Q356" s="94"/>
      <c r="R356" s="94"/>
      <c r="S356" s="94"/>
      <c r="T356" s="94"/>
      <c r="U356" s="94"/>
      <c r="V356" s="94"/>
      <c r="W356" s="94"/>
      <c r="X356" s="94"/>
      <c r="Y356" s="94"/>
      <c r="Z356" s="94"/>
      <c r="AA356" s="94"/>
      <c r="AB356" s="94"/>
      <c r="AC356" s="94"/>
      <c r="AD356" s="94"/>
      <c r="AE356" s="94"/>
    </row>
    <row r="357">
      <c r="A357" s="87"/>
      <c r="B357" s="37"/>
      <c r="C357" s="37"/>
      <c r="D357" s="162"/>
      <c r="E357" s="89"/>
      <c r="F357" s="72"/>
      <c r="G357" s="111"/>
      <c r="H357" s="111"/>
      <c r="I357" s="111"/>
      <c r="J357" s="111"/>
      <c r="K357" s="111"/>
      <c r="L357" s="111"/>
      <c r="M357" s="94"/>
      <c r="N357" s="94"/>
      <c r="O357" s="94"/>
      <c r="P357" s="94"/>
      <c r="Q357" s="94"/>
      <c r="R357" s="94"/>
      <c r="S357" s="94"/>
      <c r="T357" s="94"/>
      <c r="U357" s="94"/>
      <c r="V357" s="94"/>
      <c r="W357" s="94"/>
      <c r="X357" s="94"/>
      <c r="Y357" s="94"/>
      <c r="Z357" s="94"/>
      <c r="AA357" s="94"/>
      <c r="AB357" s="94"/>
      <c r="AC357" s="94"/>
      <c r="AD357" s="94"/>
      <c r="AE357" s="94"/>
    </row>
    <row r="358">
      <c r="A358" s="87"/>
      <c r="B358" s="37"/>
      <c r="C358" s="37"/>
      <c r="D358" s="162"/>
      <c r="E358" s="89"/>
      <c r="F358" s="72"/>
      <c r="G358" s="111"/>
      <c r="H358" s="111"/>
      <c r="I358" s="111"/>
      <c r="J358" s="111"/>
      <c r="K358" s="111"/>
      <c r="L358" s="111"/>
      <c r="M358" s="94"/>
      <c r="N358" s="94"/>
      <c r="O358" s="94"/>
      <c r="P358" s="94"/>
      <c r="Q358" s="94"/>
      <c r="R358" s="94"/>
      <c r="S358" s="94"/>
      <c r="T358" s="94"/>
      <c r="U358" s="94"/>
      <c r="V358" s="94"/>
      <c r="W358" s="94"/>
      <c r="X358" s="94"/>
      <c r="Y358" s="94"/>
      <c r="Z358" s="94"/>
      <c r="AA358" s="94"/>
      <c r="AB358" s="94"/>
      <c r="AC358" s="94"/>
      <c r="AD358" s="94"/>
      <c r="AE358" s="94"/>
    </row>
    <row r="359">
      <c r="A359" s="87"/>
      <c r="B359" s="37"/>
      <c r="C359" s="37"/>
      <c r="D359" s="162"/>
      <c r="E359" s="89"/>
      <c r="F359" s="72"/>
      <c r="G359" s="111"/>
      <c r="H359" s="111"/>
      <c r="I359" s="111"/>
      <c r="J359" s="111"/>
      <c r="K359" s="111"/>
      <c r="L359" s="111"/>
      <c r="M359" s="94"/>
      <c r="N359" s="94"/>
      <c r="O359" s="94"/>
      <c r="P359" s="94"/>
      <c r="Q359" s="94"/>
      <c r="R359" s="94"/>
      <c r="S359" s="94"/>
      <c r="T359" s="94"/>
      <c r="U359" s="94"/>
      <c r="V359" s="94"/>
      <c r="W359" s="94"/>
      <c r="X359" s="94"/>
      <c r="Y359" s="94"/>
      <c r="Z359" s="94"/>
      <c r="AA359" s="94"/>
      <c r="AB359" s="94"/>
      <c r="AC359" s="94"/>
      <c r="AD359" s="94"/>
      <c r="AE359" s="94"/>
    </row>
    <row r="360">
      <c r="A360" s="87"/>
      <c r="B360" s="37"/>
      <c r="C360" s="37"/>
      <c r="D360" s="162"/>
      <c r="E360" s="89"/>
      <c r="F360" s="72"/>
      <c r="G360" s="111"/>
      <c r="H360" s="111"/>
      <c r="I360" s="111"/>
      <c r="J360" s="111"/>
      <c r="K360" s="111"/>
      <c r="L360" s="111"/>
      <c r="M360" s="94"/>
      <c r="N360" s="94"/>
      <c r="O360" s="94"/>
      <c r="P360" s="94"/>
      <c r="Q360" s="94"/>
      <c r="R360" s="94"/>
      <c r="S360" s="94"/>
      <c r="T360" s="94"/>
      <c r="U360" s="94"/>
      <c r="V360" s="94"/>
      <c r="W360" s="94"/>
      <c r="X360" s="94"/>
      <c r="Y360" s="94"/>
      <c r="Z360" s="94"/>
      <c r="AA360" s="94"/>
      <c r="AB360" s="94"/>
      <c r="AC360" s="94"/>
      <c r="AD360" s="94"/>
      <c r="AE360" s="94"/>
    </row>
    <row r="361">
      <c r="A361" s="87"/>
      <c r="B361" s="37"/>
      <c r="C361" s="37"/>
      <c r="D361" s="162"/>
      <c r="E361" s="89"/>
      <c r="F361" s="72"/>
      <c r="G361" s="111"/>
      <c r="H361" s="111"/>
      <c r="I361" s="111"/>
      <c r="J361" s="111"/>
      <c r="K361" s="111"/>
      <c r="L361" s="111"/>
      <c r="M361" s="94"/>
      <c r="N361" s="94"/>
      <c r="O361" s="94"/>
      <c r="P361" s="94"/>
      <c r="Q361" s="94"/>
      <c r="R361" s="94"/>
      <c r="S361" s="94"/>
      <c r="T361" s="94"/>
      <c r="U361" s="94"/>
      <c r="V361" s="94"/>
      <c r="W361" s="94"/>
      <c r="X361" s="94"/>
      <c r="Y361" s="94"/>
      <c r="Z361" s="94"/>
      <c r="AA361" s="94"/>
      <c r="AB361" s="94"/>
      <c r="AC361" s="94"/>
      <c r="AD361" s="94"/>
      <c r="AE361" s="94"/>
    </row>
    <row r="362">
      <c r="A362" s="87"/>
      <c r="B362" s="37"/>
      <c r="C362" s="37"/>
      <c r="D362" s="162"/>
      <c r="E362" s="89"/>
      <c r="F362" s="72"/>
      <c r="G362" s="111"/>
      <c r="H362" s="111"/>
      <c r="I362" s="111"/>
      <c r="J362" s="111"/>
      <c r="K362" s="111"/>
      <c r="L362" s="111"/>
      <c r="M362" s="94"/>
      <c r="N362" s="94"/>
      <c r="O362" s="94"/>
      <c r="P362" s="94"/>
      <c r="Q362" s="94"/>
      <c r="R362" s="94"/>
      <c r="S362" s="94"/>
      <c r="T362" s="94"/>
      <c r="U362" s="94"/>
      <c r="V362" s="94"/>
      <c r="W362" s="94"/>
      <c r="X362" s="94"/>
      <c r="Y362" s="94"/>
      <c r="Z362" s="94"/>
      <c r="AA362" s="94"/>
      <c r="AB362" s="94"/>
      <c r="AC362" s="94"/>
      <c r="AD362" s="94"/>
      <c r="AE362" s="94"/>
    </row>
    <row r="363">
      <c r="A363" s="87"/>
      <c r="B363" s="37"/>
      <c r="C363" s="37"/>
      <c r="D363" s="162"/>
      <c r="E363" s="89"/>
      <c r="F363" s="72"/>
      <c r="G363" s="111"/>
      <c r="H363" s="111"/>
      <c r="I363" s="111"/>
      <c r="J363" s="111"/>
      <c r="K363" s="111"/>
      <c r="L363" s="111"/>
      <c r="M363" s="94"/>
      <c r="N363" s="94"/>
      <c r="O363" s="94"/>
      <c r="P363" s="94"/>
      <c r="Q363" s="94"/>
      <c r="R363" s="94"/>
      <c r="S363" s="94"/>
      <c r="T363" s="94"/>
      <c r="U363" s="94"/>
      <c r="V363" s="94"/>
      <c r="W363" s="94"/>
      <c r="X363" s="94"/>
      <c r="Y363" s="94"/>
      <c r="Z363" s="94"/>
      <c r="AA363" s="94"/>
      <c r="AB363" s="94"/>
      <c r="AC363" s="94"/>
      <c r="AD363" s="94"/>
      <c r="AE363" s="94"/>
    </row>
    <row r="364">
      <c r="A364" s="87"/>
      <c r="B364" s="37"/>
      <c r="C364" s="37"/>
      <c r="D364" s="162"/>
      <c r="E364" s="89"/>
      <c r="F364" s="72"/>
      <c r="G364" s="111"/>
      <c r="H364" s="111"/>
      <c r="I364" s="111"/>
      <c r="J364" s="111"/>
      <c r="K364" s="111"/>
      <c r="L364" s="111"/>
      <c r="M364" s="94"/>
      <c r="N364" s="94"/>
      <c r="O364" s="94"/>
      <c r="P364" s="94"/>
      <c r="Q364" s="94"/>
      <c r="R364" s="94"/>
      <c r="S364" s="94"/>
      <c r="T364" s="94"/>
      <c r="U364" s="94"/>
      <c r="V364" s="94"/>
      <c r="W364" s="94"/>
      <c r="X364" s="94"/>
      <c r="Y364" s="94"/>
      <c r="Z364" s="94"/>
      <c r="AA364" s="94"/>
      <c r="AB364" s="94"/>
      <c r="AC364" s="94"/>
      <c r="AD364" s="94"/>
      <c r="AE364" s="94"/>
    </row>
    <row r="365">
      <c r="A365" s="87"/>
      <c r="B365" s="37"/>
      <c r="C365" s="37"/>
      <c r="D365" s="162"/>
      <c r="E365" s="89"/>
      <c r="F365" s="72"/>
      <c r="G365" s="111"/>
      <c r="H365" s="111"/>
      <c r="I365" s="111"/>
      <c r="J365" s="111"/>
      <c r="K365" s="111"/>
      <c r="L365" s="111"/>
      <c r="M365" s="94"/>
      <c r="N365" s="94"/>
      <c r="O365" s="94"/>
      <c r="P365" s="94"/>
      <c r="Q365" s="94"/>
      <c r="R365" s="94"/>
      <c r="S365" s="94"/>
      <c r="T365" s="94"/>
      <c r="U365" s="94"/>
      <c r="V365" s="94"/>
      <c r="W365" s="94"/>
      <c r="X365" s="94"/>
      <c r="Y365" s="94"/>
      <c r="Z365" s="94"/>
      <c r="AA365" s="94"/>
      <c r="AB365" s="94"/>
      <c r="AC365" s="94"/>
      <c r="AD365" s="94"/>
      <c r="AE365" s="94"/>
    </row>
    <row r="366">
      <c r="A366" s="87"/>
      <c r="B366" s="37"/>
      <c r="C366" s="37"/>
      <c r="D366" s="162"/>
      <c r="E366" s="89"/>
      <c r="F366" s="72"/>
      <c r="G366" s="111"/>
      <c r="H366" s="111"/>
      <c r="I366" s="111"/>
      <c r="J366" s="111"/>
      <c r="K366" s="111"/>
      <c r="L366" s="111"/>
      <c r="M366" s="94"/>
      <c r="N366" s="94"/>
      <c r="O366" s="94"/>
      <c r="P366" s="94"/>
      <c r="Q366" s="94"/>
      <c r="R366" s="94"/>
      <c r="S366" s="94"/>
      <c r="T366" s="94"/>
      <c r="U366" s="94"/>
      <c r="V366" s="94"/>
      <c r="W366" s="94"/>
      <c r="X366" s="94"/>
      <c r="Y366" s="94"/>
      <c r="Z366" s="94"/>
      <c r="AA366" s="94"/>
      <c r="AB366" s="94"/>
      <c r="AC366" s="94"/>
      <c r="AD366" s="94"/>
      <c r="AE366" s="94"/>
    </row>
    <row r="367">
      <c r="A367" s="87"/>
      <c r="B367" s="37"/>
      <c r="C367" s="37"/>
      <c r="D367" s="162"/>
      <c r="E367" s="89"/>
      <c r="F367" s="72"/>
      <c r="G367" s="111"/>
      <c r="H367" s="111"/>
      <c r="I367" s="111"/>
      <c r="J367" s="111"/>
      <c r="K367" s="111"/>
      <c r="L367" s="111"/>
      <c r="M367" s="94"/>
      <c r="N367" s="94"/>
      <c r="O367" s="94"/>
      <c r="P367" s="94"/>
      <c r="Q367" s="94"/>
      <c r="R367" s="94"/>
      <c r="S367" s="94"/>
      <c r="T367" s="94"/>
      <c r="U367" s="94"/>
      <c r="V367" s="94"/>
      <c r="W367" s="94"/>
      <c r="X367" s="94"/>
      <c r="Y367" s="94"/>
      <c r="Z367" s="94"/>
      <c r="AA367" s="94"/>
      <c r="AB367" s="94"/>
      <c r="AC367" s="94"/>
      <c r="AD367" s="94"/>
      <c r="AE367" s="94"/>
    </row>
    <row r="368">
      <c r="A368" s="87"/>
      <c r="B368" s="37"/>
      <c r="C368" s="37"/>
      <c r="D368" s="162"/>
      <c r="E368" s="89"/>
      <c r="F368" s="72"/>
      <c r="G368" s="111"/>
      <c r="H368" s="111"/>
      <c r="I368" s="111"/>
      <c r="J368" s="111"/>
      <c r="K368" s="111"/>
      <c r="L368" s="111"/>
      <c r="M368" s="94"/>
      <c r="N368" s="94"/>
      <c r="O368" s="94"/>
      <c r="P368" s="94"/>
      <c r="Q368" s="94"/>
      <c r="R368" s="94"/>
      <c r="S368" s="94"/>
      <c r="T368" s="94"/>
      <c r="U368" s="94"/>
      <c r="V368" s="94"/>
      <c r="W368" s="94"/>
      <c r="X368" s="94"/>
      <c r="Y368" s="94"/>
      <c r="Z368" s="94"/>
      <c r="AA368" s="94"/>
      <c r="AB368" s="94"/>
      <c r="AC368" s="94"/>
      <c r="AD368" s="94"/>
      <c r="AE368" s="94"/>
    </row>
    <row r="369">
      <c r="A369" s="87"/>
      <c r="B369" s="37"/>
      <c r="C369" s="37"/>
      <c r="D369" s="162"/>
      <c r="E369" s="89"/>
      <c r="F369" s="72"/>
      <c r="G369" s="111"/>
      <c r="H369" s="111"/>
      <c r="I369" s="111"/>
      <c r="J369" s="111"/>
      <c r="K369" s="111"/>
      <c r="L369" s="111"/>
      <c r="M369" s="94"/>
      <c r="N369" s="94"/>
      <c r="O369" s="94"/>
      <c r="P369" s="94"/>
      <c r="Q369" s="94"/>
      <c r="R369" s="94"/>
      <c r="S369" s="94"/>
      <c r="T369" s="94"/>
      <c r="U369" s="94"/>
      <c r="V369" s="94"/>
      <c r="W369" s="94"/>
      <c r="X369" s="94"/>
      <c r="Y369" s="94"/>
      <c r="Z369" s="94"/>
      <c r="AA369" s="94"/>
      <c r="AB369" s="94"/>
      <c r="AC369" s="94"/>
      <c r="AD369" s="94"/>
      <c r="AE369" s="94"/>
    </row>
    <row r="370">
      <c r="A370" s="87"/>
      <c r="B370" s="37"/>
      <c r="C370" s="37"/>
      <c r="D370" s="162"/>
      <c r="E370" s="89"/>
      <c r="F370" s="72"/>
      <c r="G370" s="111"/>
      <c r="H370" s="111"/>
      <c r="I370" s="111"/>
      <c r="J370" s="111"/>
      <c r="K370" s="111"/>
      <c r="L370" s="111"/>
      <c r="M370" s="94"/>
      <c r="N370" s="94"/>
      <c r="O370" s="94"/>
      <c r="P370" s="94"/>
      <c r="Q370" s="94"/>
      <c r="R370" s="94"/>
      <c r="S370" s="94"/>
      <c r="T370" s="94"/>
      <c r="U370" s="94"/>
      <c r="V370" s="94"/>
      <c r="W370" s="94"/>
      <c r="X370" s="94"/>
      <c r="Y370" s="94"/>
      <c r="Z370" s="94"/>
      <c r="AA370" s="94"/>
      <c r="AB370" s="94"/>
      <c r="AC370" s="94"/>
      <c r="AD370" s="94"/>
      <c r="AE370" s="94"/>
    </row>
    <row r="371">
      <c r="A371" s="87"/>
      <c r="B371" s="37"/>
      <c r="C371" s="37"/>
      <c r="D371" s="162"/>
      <c r="E371" s="89"/>
      <c r="F371" s="72"/>
      <c r="G371" s="111"/>
      <c r="H371" s="111"/>
      <c r="I371" s="111"/>
      <c r="J371" s="111"/>
      <c r="K371" s="111"/>
      <c r="L371" s="111"/>
      <c r="M371" s="94"/>
      <c r="N371" s="94"/>
      <c r="O371" s="94"/>
      <c r="P371" s="94"/>
      <c r="Q371" s="94"/>
      <c r="R371" s="94"/>
      <c r="S371" s="94"/>
      <c r="T371" s="94"/>
      <c r="U371" s="94"/>
      <c r="V371" s="94"/>
      <c r="W371" s="94"/>
      <c r="X371" s="94"/>
      <c r="Y371" s="94"/>
      <c r="Z371" s="94"/>
      <c r="AA371" s="94"/>
      <c r="AB371" s="94"/>
      <c r="AC371" s="94"/>
      <c r="AD371" s="94"/>
      <c r="AE371" s="94"/>
    </row>
    <row r="372">
      <c r="A372" s="87"/>
      <c r="B372" s="37"/>
      <c r="C372" s="37"/>
      <c r="D372" s="162"/>
      <c r="E372" s="89"/>
      <c r="F372" s="72"/>
      <c r="G372" s="111"/>
      <c r="H372" s="111"/>
      <c r="I372" s="111"/>
      <c r="J372" s="111"/>
      <c r="K372" s="111"/>
      <c r="L372" s="111"/>
      <c r="M372" s="94"/>
      <c r="N372" s="94"/>
      <c r="O372" s="94"/>
      <c r="P372" s="94"/>
      <c r="Q372" s="94"/>
      <c r="R372" s="94"/>
      <c r="S372" s="94"/>
      <c r="T372" s="94"/>
      <c r="U372" s="94"/>
      <c r="V372" s="94"/>
      <c r="W372" s="94"/>
      <c r="X372" s="94"/>
      <c r="Y372" s="94"/>
      <c r="Z372" s="94"/>
      <c r="AA372" s="94"/>
      <c r="AB372" s="94"/>
      <c r="AC372" s="94"/>
      <c r="AD372" s="94"/>
      <c r="AE372" s="94"/>
    </row>
    <row r="373">
      <c r="A373" s="87"/>
      <c r="B373" s="37"/>
      <c r="C373" s="37"/>
      <c r="D373" s="162"/>
      <c r="E373" s="89"/>
      <c r="F373" s="72"/>
      <c r="G373" s="111"/>
      <c r="H373" s="111"/>
      <c r="I373" s="111"/>
      <c r="J373" s="111"/>
      <c r="K373" s="111"/>
      <c r="L373" s="111"/>
      <c r="M373" s="94"/>
      <c r="N373" s="94"/>
      <c r="O373" s="94"/>
      <c r="P373" s="94"/>
      <c r="Q373" s="94"/>
      <c r="R373" s="94"/>
      <c r="S373" s="94"/>
      <c r="T373" s="94"/>
      <c r="U373" s="94"/>
      <c r="V373" s="94"/>
      <c r="W373" s="94"/>
      <c r="X373" s="94"/>
      <c r="Y373" s="94"/>
      <c r="Z373" s="94"/>
      <c r="AA373" s="94"/>
      <c r="AB373" s="94"/>
      <c r="AC373" s="94"/>
      <c r="AD373" s="94"/>
      <c r="AE373" s="94"/>
    </row>
    <row r="374">
      <c r="A374" s="87"/>
      <c r="B374" s="37"/>
      <c r="C374" s="37"/>
      <c r="D374" s="162"/>
      <c r="E374" s="89"/>
      <c r="F374" s="72"/>
      <c r="G374" s="111"/>
      <c r="H374" s="111"/>
      <c r="I374" s="111"/>
      <c r="J374" s="111"/>
      <c r="K374" s="111"/>
      <c r="L374" s="111"/>
      <c r="M374" s="94"/>
      <c r="N374" s="94"/>
      <c r="O374" s="94"/>
      <c r="P374" s="94"/>
      <c r="Q374" s="94"/>
      <c r="R374" s="94"/>
      <c r="S374" s="94"/>
      <c r="T374" s="94"/>
      <c r="U374" s="94"/>
      <c r="V374" s="94"/>
      <c r="W374" s="94"/>
      <c r="X374" s="94"/>
      <c r="Y374" s="94"/>
      <c r="Z374" s="94"/>
      <c r="AA374" s="94"/>
      <c r="AB374" s="94"/>
      <c r="AC374" s="94"/>
      <c r="AD374" s="94"/>
      <c r="AE374" s="94"/>
    </row>
    <row r="375">
      <c r="A375" s="87"/>
      <c r="B375" s="37"/>
      <c r="C375" s="37"/>
      <c r="D375" s="162"/>
      <c r="E375" s="89"/>
      <c r="F375" s="72"/>
      <c r="G375" s="111"/>
      <c r="H375" s="111"/>
      <c r="I375" s="111"/>
      <c r="J375" s="111"/>
      <c r="K375" s="111"/>
      <c r="L375" s="111"/>
      <c r="M375" s="94"/>
      <c r="N375" s="94"/>
      <c r="O375" s="94"/>
      <c r="P375" s="94"/>
      <c r="Q375" s="94"/>
      <c r="R375" s="94"/>
      <c r="S375" s="94"/>
      <c r="T375" s="94"/>
      <c r="U375" s="94"/>
      <c r="V375" s="94"/>
      <c r="W375" s="94"/>
      <c r="X375" s="94"/>
      <c r="Y375" s="94"/>
      <c r="Z375" s="94"/>
      <c r="AA375" s="94"/>
      <c r="AB375" s="94"/>
      <c r="AC375" s="94"/>
      <c r="AD375" s="94"/>
      <c r="AE375" s="94"/>
    </row>
    <row r="376">
      <c r="A376" s="87"/>
      <c r="B376" s="37"/>
      <c r="C376" s="37"/>
      <c r="D376" s="162"/>
      <c r="E376" s="89"/>
      <c r="F376" s="72"/>
      <c r="G376" s="111"/>
      <c r="H376" s="111"/>
      <c r="I376" s="111"/>
      <c r="J376" s="111"/>
      <c r="K376" s="111"/>
      <c r="L376" s="111"/>
      <c r="M376" s="94"/>
      <c r="N376" s="94"/>
      <c r="O376" s="94"/>
      <c r="P376" s="94"/>
      <c r="Q376" s="94"/>
      <c r="R376" s="94"/>
      <c r="S376" s="94"/>
      <c r="T376" s="94"/>
      <c r="U376" s="94"/>
      <c r="V376" s="94"/>
      <c r="W376" s="94"/>
      <c r="X376" s="94"/>
      <c r="Y376" s="94"/>
      <c r="Z376" s="94"/>
      <c r="AA376" s="94"/>
      <c r="AB376" s="94"/>
      <c r="AC376" s="94"/>
      <c r="AD376" s="94"/>
      <c r="AE376" s="94"/>
    </row>
    <row r="377">
      <c r="A377" s="87"/>
      <c r="B377" s="37"/>
      <c r="C377" s="37"/>
      <c r="D377" s="162"/>
      <c r="E377" s="89"/>
      <c r="F377" s="72"/>
      <c r="G377" s="111"/>
      <c r="H377" s="111"/>
      <c r="I377" s="111"/>
      <c r="J377" s="111"/>
      <c r="K377" s="111"/>
      <c r="L377" s="111"/>
      <c r="M377" s="94"/>
      <c r="N377" s="94"/>
      <c r="O377" s="94"/>
      <c r="P377" s="94"/>
      <c r="Q377" s="94"/>
      <c r="R377" s="94"/>
      <c r="S377" s="94"/>
      <c r="T377" s="94"/>
      <c r="U377" s="94"/>
      <c r="V377" s="94"/>
      <c r="W377" s="94"/>
      <c r="X377" s="94"/>
      <c r="Y377" s="94"/>
      <c r="Z377" s="94"/>
      <c r="AA377" s="94"/>
      <c r="AB377" s="94"/>
      <c r="AC377" s="94"/>
      <c r="AD377" s="94"/>
      <c r="AE377" s="94"/>
    </row>
    <row r="378">
      <c r="A378" s="87"/>
      <c r="B378" s="37"/>
      <c r="C378" s="37"/>
      <c r="D378" s="162"/>
      <c r="E378" s="89"/>
      <c r="F378" s="72"/>
      <c r="G378" s="111"/>
      <c r="H378" s="111"/>
      <c r="I378" s="111"/>
      <c r="J378" s="111"/>
      <c r="K378" s="111"/>
      <c r="L378" s="111"/>
      <c r="M378" s="94"/>
      <c r="N378" s="94"/>
      <c r="O378" s="94"/>
      <c r="P378" s="94"/>
      <c r="Q378" s="94"/>
      <c r="R378" s="94"/>
      <c r="S378" s="94"/>
      <c r="T378" s="94"/>
      <c r="U378" s="94"/>
      <c r="V378" s="94"/>
      <c r="W378" s="94"/>
      <c r="X378" s="94"/>
      <c r="Y378" s="94"/>
      <c r="Z378" s="94"/>
      <c r="AA378" s="94"/>
      <c r="AB378" s="94"/>
      <c r="AC378" s="94"/>
      <c r="AD378" s="94"/>
      <c r="AE378" s="94"/>
    </row>
    <row r="379">
      <c r="A379" s="87"/>
      <c r="B379" s="37"/>
      <c r="C379" s="37"/>
      <c r="D379" s="162"/>
      <c r="E379" s="89"/>
      <c r="F379" s="72"/>
      <c r="G379" s="111"/>
      <c r="H379" s="111"/>
      <c r="I379" s="111"/>
      <c r="J379" s="111"/>
      <c r="K379" s="111"/>
      <c r="L379" s="111"/>
      <c r="M379" s="94"/>
      <c r="N379" s="94"/>
      <c r="O379" s="94"/>
      <c r="P379" s="94"/>
      <c r="Q379" s="94"/>
      <c r="R379" s="94"/>
      <c r="S379" s="94"/>
      <c r="T379" s="94"/>
      <c r="U379" s="94"/>
      <c r="V379" s="94"/>
      <c r="W379" s="94"/>
      <c r="X379" s="94"/>
      <c r="Y379" s="94"/>
      <c r="Z379" s="94"/>
      <c r="AA379" s="94"/>
      <c r="AB379" s="94"/>
      <c r="AC379" s="94"/>
      <c r="AD379" s="94"/>
      <c r="AE379" s="94"/>
    </row>
    <row r="380">
      <c r="A380" s="87"/>
      <c r="B380" s="37"/>
      <c r="C380" s="37"/>
      <c r="D380" s="162"/>
      <c r="E380" s="89"/>
      <c r="F380" s="72"/>
      <c r="G380" s="111"/>
      <c r="H380" s="111"/>
      <c r="I380" s="111"/>
      <c r="J380" s="111"/>
      <c r="K380" s="111"/>
      <c r="L380" s="111"/>
      <c r="M380" s="94"/>
      <c r="N380" s="94"/>
      <c r="O380" s="94"/>
      <c r="P380" s="94"/>
      <c r="Q380" s="94"/>
      <c r="R380" s="94"/>
      <c r="S380" s="94"/>
      <c r="T380" s="94"/>
      <c r="U380" s="94"/>
      <c r="V380" s="94"/>
      <c r="W380" s="94"/>
      <c r="X380" s="94"/>
      <c r="Y380" s="94"/>
      <c r="Z380" s="94"/>
      <c r="AA380" s="94"/>
      <c r="AB380" s="94"/>
      <c r="AC380" s="94"/>
      <c r="AD380" s="94"/>
      <c r="AE380" s="94"/>
    </row>
    <row r="381">
      <c r="A381" s="87"/>
      <c r="B381" s="37"/>
      <c r="C381" s="37"/>
      <c r="D381" s="162"/>
      <c r="E381" s="89"/>
      <c r="F381" s="72"/>
      <c r="G381" s="111"/>
      <c r="H381" s="111"/>
      <c r="I381" s="111"/>
      <c r="J381" s="111"/>
      <c r="K381" s="111"/>
      <c r="L381" s="111"/>
      <c r="M381" s="94"/>
      <c r="N381" s="94"/>
      <c r="O381" s="94"/>
      <c r="P381" s="94"/>
      <c r="Q381" s="94"/>
      <c r="R381" s="94"/>
      <c r="S381" s="94"/>
      <c r="T381" s="94"/>
      <c r="U381" s="94"/>
      <c r="V381" s="94"/>
      <c r="W381" s="94"/>
      <c r="X381" s="94"/>
      <c r="Y381" s="94"/>
      <c r="Z381" s="94"/>
      <c r="AA381" s="94"/>
      <c r="AB381" s="94"/>
      <c r="AC381" s="94"/>
      <c r="AD381" s="94"/>
      <c r="AE381" s="94"/>
    </row>
    <row r="382">
      <c r="A382" s="87"/>
      <c r="B382" s="37"/>
      <c r="C382" s="37"/>
      <c r="D382" s="162"/>
      <c r="E382" s="89"/>
      <c r="F382" s="72"/>
      <c r="G382" s="111"/>
      <c r="H382" s="111"/>
      <c r="I382" s="111"/>
      <c r="J382" s="111"/>
      <c r="K382" s="111"/>
      <c r="L382" s="111"/>
      <c r="M382" s="94"/>
      <c r="N382" s="94"/>
      <c r="O382" s="94"/>
      <c r="P382" s="94"/>
      <c r="Q382" s="94"/>
      <c r="R382" s="94"/>
      <c r="S382" s="94"/>
      <c r="T382" s="94"/>
      <c r="U382" s="94"/>
      <c r="V382" s="94"/>
      <c r="W382" s="94"/>
      <c r="X382" s="94"/>
      <c r="Y382" s="94"/>
      <c r="Z382" s="94"/>
      <c r="AA382" s="94"/>
      <c r="AB382" s="94"/>
      <c r="AC382" s="94"/>
      <c r="AD382" s="94"/>
      <c r="AE382" s="94"/>
    </row>
    <row r="383">
      <c r="A383" s="87"/>
      <c r="B383" s="37"/>
      <c r="C383" s="37"/>
      <c r="D383" s="162"/>
      <c r="E383" s="89"/>
      <c r="F383" s="72"/>
      <c r="G383" s="111"/>
      <c r="H383" s="111"/>
      <c r="I383" s="111"/>
      <c r="J383" s="111"/>
      <c r="K383" s="111"/>
      <c r="L383" s="111"/>
      <c r="M383" s="94"/>
      <c r="N383" s="94"/>
      <c r="O383" s="94"/>
      <c r="P383" s="94"/>
      <c r="Q383" s="94"/>
      <c r="R383" s="94"/>
      <c r="S383" s="94"/>
      <c r="T383" s="94"/>
      <c r="U383" s="94"/>
      <c r="V383" s="94"/>
      <c r="W383" s="94"/>
      <c r="X383" s="94"/>
      <c r="Y383" s="94"/>
      <c r="Z383" s="94"/>
      <c r="AA383" s="94"/>
      <c r="AB383" s="94"/>
      <c r="AC383" s="94"/>
      <c r="AD383" s="94"/>
      <c r="AE383" s="94"/>
    </row>
    <row r="384">
      <c r="A384" s="87"/>
      <c r="B384" s="37"/>
      <c r="C384" s="37"/>
      <c r="D384" s="162"/>
      <c r="E384" s="89"/>
      <c r="F384" s="72"/>
      <c r="G384" s="111"/>
      <c r="H384" s="111"/>
      <c r="I384" s="111"/>
      <c r="J384" s="111"/>
      <c r="K384" s="111"/>
      <c r="L384" s="111"/>
      <c r="M384" s="94"/>
      <c r="N384" s="94"/>
      <c r="O384" s="94"/>
      <c r="P384" s="94"/>
      <c r="Q384" s="94"/>
      <c r="R384" s="94"/>
      <c r="S384" s="94"/>
      <c r="T384" s="94"/>
      <c r="U384" s="94"/>
      <c r="V384" s="94"/>
      <c r="W384" s="94"/>
      <c r="X384" s="94"/>
      <c r="Y384" s="94"/>
      <c r="Z384" s="94"/>
      <c r="AA384" s="94"/>
      <c r="AB384" s="94"/>
      <c r="AC384" s="94"/>
      <c r="AD384" s="94"/>
      <c r="AE384" s="94"/>
    </row>
    <row r="385">
      <c r="A385" s="87"/>
      <c r="B385" s="37"/>
      <c r="C385" s="37"/>
      <c r="D385" s="162"/>
      <c r="E385" s="89"/>
      <c r="F385" s="72"/>
      <c r="G385" s="111"/>
      <c r="H385" s="111"/>
      <c r="I385" s="111"/>
      <c r="J385" s="111"/>
      <c r="K385" s="111"/>
      <c r="L385" s="111"/>
      <c r="M385" s="94"/>
      <c r="N385" s="94"/>
      <c r="O385" s="94"/>
      <c r="P385" s="94"/>
      <c r="Q385" s="94"/>
      <c r="R385" s="94"/>
      <c r="S385" s="94"/>
      <c r="T385" s="94"/>
      <c r="U385" s="94"/>
      <c r="V385" s="94"/>
      <c r="W385" s="94"/>
      <c r="X385" s="94"/>
      <c r="Y385" s="94"/>
      <c r="Z385" s="94"/>
      <c r="AA385" s="94"/>
      <c r="AB385" s="94"/>
      <c r="AC385" s="94"/>
      <c r="AD385" s="94"/>
      <c r="AE385" s="94"/>
    </row>
    <row r="386">
      <c r="A386" s="87"/>
      <c r="B386" s="37"/>
      <c r="C386" s="37"/>
      <c r="D386" s="162"/>
      <c r="E386" s="89"/>
      <c r="F386" s="72"/>
      <c r="G386" s="111"/>
      <c r="H386" s="111"/>
      <c r="I386" s="111"/>
      <c r="J386" s="111"/>
      <c r="K386" s="111"/>
      <c r="L386" s="111"/>
      <c r="M386" s="94"/>
      <c r="N386" s="94"/>
      <c r="O386" s="94"/>
      <c r="P386" s="94"/>
      <c r="Q386" s="94"/>
      <c r="R386" s="94"/>
      <c r="S386" s="94"/>
      <c r="T386" s="94"/>
      <c r="U386" s="94"/>
      <c r="V386" s="94"/>
      <c r="W386" s="94"/>
      <c r="X386" s="94"/>
      <c r="Y386" s="94"/>
      <c r="Z386" s="94"/>
      <c r="AA386" s="94"/>
      <c r="AB386" s="94"/>
      <c r="AC386" s="94"/>
      <c r="AD386" s="94"/>
      <c r="AE386" s="94"/>
    </row>
    <row r="387">
      <c r="A387" s="87"/>
      <c r="B387" s="37"/>
      <c r="C387" s="37"/>
      <c r="D387" s="162"/>
      <c r="E387" s="89"/>
      <c r="F387" s="72"/>
      <c r="G387" s="111"/>
      <c r="H387" s="111"/>
      <c r="I387" s="111"/>
      <c r="J387" s="111"/>
      <c r="K387" s="111"/>
      <c r="L387" s="111"/>
      <c r="M387" s="94"/>
      <c r="N387" s="94"/>
      <c r="O387" s="94"/>
      <c r="P387" s="94"/>
      <c r="Q387" s="94"/>
      <c r="R387" s="94"/>
      <c r="S387" s="94"/>
      <c r="T387" s="94"/>
      <c r="U387" s="94"/>
      <c r="V387" s="94"/>
      <c r="W387" s="94"/>
      <c r="X387" s="94"/>
      <c r="Y387" s="94"/>
      <c r="Z387" s="94"/>
      <c r="AA387" s="94"/>
      <c r="AB387" s="94"/>
      <c r="AC387" s="94"/>
      <c r="AD387" s="94"/>
      <c r="AE387" s="94"/>
    </row>
    <row r="388">
      <c r="A388" s="87"/>
      <c r="B388" s="37"/>
      <c r="C388" s="37"/>
      <c r="D388" s="162"/>
      <c r="E388" s="89"/>
      <c r="F388" s="72"/>
      <c r="G388" s="111"/>
      <c r="H388" s="111"/>
      <c r="I388" s="111"/>
      <c r="J388" s="111"/>
      <c r="K388" s="111"/>
      <c r="L388" s="111"/>
      <c r="M388" s="94"/>
      <c r="N388" s="94"/>
      <c r="O388" s="94"/>
      <c r="P388" s="94"/>
      <c r="Q388" s="94"/>
      <c r="R388" s="94"/>
      <c r="S388" s="94"/>
      <c r="T388" s="94"/>
      <c r="U388" s="94"/>
      <c r="V388" s="94"/>
      <c r="W388" s="94"/>
      <c r="X388" s="94"/>
      <c r="Y388" s="94"/>
      <c r="Z388" s="94"/>
      <c r="AA388" s="94"/>
      <c r="AB388" s="94"/>
      <c r="AC388" s="94"/>
      <c r="AD388" s="94"/>
      <c r="AE388" s="94"/>
    </row>
    <row r="389">
      <c r="A389" s="87"/>
      <c r="B389" s="37"/>
      <c r="C389" s="37"/>
      <c r="D389" s="162"/>
      <c r="E389" s="89"/>
      <c r="F389" s="72"/>
      <c r="G389" s="111"/>
      <c r="H389" s="111"/>
      <c r="I389" s="111"/>
      <c r="J389" s="111"/>
      <c r="K389" s="111"/>
      <c r="L389" s="111"/>
      <c r="M389" s="94"/>
      <c r="N389" s="94"/>
      <c r="O389" s="94"/>
      <c r="P389" s="94"/>
      <c r="Q389" s="94"/>
      <c r="R389" s="94"/>
      <c r="S389" s="94"/>
      <c r="T389" s="94"/>
      <c r="U389" s="94"/>
      <c r="V389" s="94"/>
      <c r="W389" s="94"/>
      <c r="X389" s="94"/>
      <c r="Y389" s="94"/>
      <c r="Z389" s="94"/>
      <c r="AA389" s="94"/>
      <c r="AB389" s="94"/>
      <c r="AC389" s="94"/>
      <c r="AD389" s="94"/>
      <c r="AE389" s="94"/>
    </row>
    <row r="390">
      <c r="A390" s="87"/>
      <c r="B390" s="37"/>
      <c r="C390" s="37"/>
      <c r="D390" s="162"/>
      <c r="E390" s="89"/>
      <c r="F390" s="72"/>
      <c r="G390" s="111"/>
      <c r="H390" s="111"/>
      <c r="I390" s="111"/>
      <c r="J390" s="111"/>
      <c r="K390" s="111"/>
      <c r="L390" s="111"/>
      <c r="M390" s="94"/>
      <c r="N390" s="94"/>
      <c r="O390" s="94"/>
      <c r="P390" s="94"/>
      <c r="Q390" s="94"/>
      <c r="R390" s="94"/>
      <c r="S390" s="94"/>
      <c r="T390" s="94"/>
      <c r="U390" s="94"/>
      <c r="V390" s="94"/>
      <c r="W390" s="94"/>
      <c r="X390" s="94"/>
      <c r="Y390" s="94"/>
      <c r="Z390" s="94"/>
      <c r="AA390" s="94"/>
      <c r="AB390" s="94"/>
      <c r="AC390" s="94"/>
      <c r="AD390" s="94"/>
      <c r="AE390" s="94"/>
    </row>
    <row r="391">
      <c r="A391" s="87"/>
      <c r="B391" s="37"/>
      <c r="C391" s="37"/>
      <c r="D391" s="162"/>
      <c r="E391" s="89"/>
      <c r="F391" s="72"/>
      <c r="G391" s="111"/>
      <c r="H391" s="111"/>
      <c r="I391" s="111"/>
      <c r="J391" s="111"/>
      <c r="K391" s="111"/>
      <c r="L391" s="111"/>
      <c r="M391" s="94"/>
      <c r="N391" s="94"/>
      <c r="O391" s="94"/>
      <c r="P391" s="94"/>
      <c r="Q391" s="94"/>
      <c r="R391" s="94"/>
      <c r="S391" s="94"/>
      <c r="T391" s="94"/>
      <c r="U391" s="94"/>
      <c r="V391" s="94"/>
      <c r="W391" s="94"/>
      <c r="X391" s="94"/>
      <c r="Y391" s="94"/>
      <c r="Z391" s="94"/>
      <c r="AA391" s="94"/>
      <c r="AB391" s="94"/>
      <c r="AC391" s="94"/>
      <c r="AD391" s="94"/>
      <c r="AE391" s="94"/>
    </row>
    <row r="392">
      <c r="A392" s="87"/>
      <c r="B392" s="37"/>
      <c r="C392" s="37"/>
      <c r="D392" s="162"/>
      <c r="E392" s="89"/>
      <c r="F392" s="72"/>
      <c r="G392" s="111"/>
      <c r="H392" s="111"/>
      <c r="I392" s="111"/>
      <c r="J392" s="111"/>
      <c r="K392" s="111"/>
      <c r="L392" s="111"/>
      <c r="M392" s="94"/>
      <c r="N392" s="94"/>
      <c r="O392" s="94"/>
      <c r="P392" s="94"/>
      <c r="Q392" s="94"/>
      <c r="R392" s="94"/>
      <c r="S392" s="94"/>
      <c r="T392" s="94"/>
      <c r="U392" s="94"/>
      <c r="V392" s="94"/>
      <c r="W392" s="94"/>
      <c r="X392" s="94"/>
      <c r="Y392" s="94"/>
      <c r="Z392" s="94"/>
      <c r="AA392" s="94"/>
      <c r="AB392" s="94"/>
      <c r="AC392" s="94"/>
      <c r="AD392" s="94"/>
      <c r="AE392" s="94"/>
    </row>
    <row r="393">
      <c r="A393" s="87"/>
      <c r="B393" s="37"/>
      <c r="C393" s="37"/>
      <c r="D393" s="162"/>
      <c r="E393" s="89"/>
      <c r="F393" s="72"/>
      <c r="G393" s="111"/>
      <c r="H393" s="111"/>
      <c r="I393" s="111"/>
      <c r="J393" s="111"/>
      <c r="K393" s="111"/>
      <c r="L393" s="111"/>
      <c r="M393" s="94"/>
      <c r="N393" s="94"/>
      <c r="O393" s="94"/>
      <c r="P393" s="94"/>
      <c r="Q393" s="94"/>
      <c r="R393" s="94"/>
      <c r="S393" s="94"/>
      <c r="T393" s="94"/>
      <c r="U393" s="94"/>
      <c r="V393" s="94"/>
      <c r="W393" s="94"/>
      <c r="X393" s="94"/>
      <c r="Y393" s="94"/>
      <c r="Z393" s="94"/>
      <c r="AA393" s="94"/>
      <c r="AB393" s="94"/>
      <c r="AC393" s="94"/>
      <c r="AD393" s="94"/>
      <c r="AE393" s="94"/>
    </row>
    <row r="394">
      <c r="A394" s="87"/>
      <c r="B394" s="37"/>
      <c r="C394" s="37"/>
      <c r="D394" s="162"/>
      <c r="E394" s="89"/>
      <c r="F394" s="72"/>
      <c r="G394" s="111"/>
      <c r="H394" s="111"/>
      <c r="I394" s="111"/>
      <c r="J394" s="111"/>
      <c r="K394" s="111"/>
      <c r="L394" s="111"/>
      <c r="M394" s="94"/>
      <c r="N394" s="94"/>
      <c r="O394" s="94"/>
      <c r="P394" s="94"/>
      <c r="Q394" s="94"/>
      <c r="R394" s="94"/>
      <c r="S394" s="94"/>
      <c r="T394" s="94"/>
      <c r="U394" s="94"/>
      <c r="V394" s="94"/>
      <c r="W394" s="94"/>
      <c r="X394" s="94"/>
      <c r="Y394" s="94"/>
      <c r="Z394" s="94"/>
      <c r="AA394" s="94"/>
      <c r="AB394" s="94"/>
      <c r="AC394" s="94"/>
      <c r="AD394" s="94"/>
      <c r="AE394" s="94"/>
    </row>
    <row r="395">
      <c r="A395" s="87"/>
      <c r="B395" s="37"/>
      <c r="C395" s="37"/>
      <c r="D395" s="162"/>
      <c r="E395" s="89"/>
      <c r="F395" s="72"/>
      <c r="G395" s="111"/>
      <c r="H395" s="111"/>
      <c r="I395" s="111"/>
      <c r="J395" s="111"/>
      <c r="K395" s="111"/>
      <c r="L395" s="111"/>
      <c r="M395" s="94"/>
      <c r="N395" s="94"/>
      <c r="O395" s="94"/>
      <c r="P395" s="94"/>
      <c r="Q395" s="94"/>
      <c r="R395" s="94"/>
      <c r="S395" s="94"/>
      <c r="T395" s="94"/>
      <c r="U395" s="94"/>
      <c r="V395" s="94"/>
      <c r="W395" s="94"/>
      <c r="X395" s="94"/>
      <c r="Y395" s="94"/>
      <c r="Z395" s="94"/>
      <c r="AA395" s="94"/>
      <c r="AB395" s="94"/>
      <c r="AC395" s="94"/>
      <c r="AD395" s="94"/>
      <c r="AE395" s="94"/>
    </row>
    <row r="396">
      <c r="A396" s="87"/>
      <c r="B396" s="37"/>
      <c r="C396" s="37"/>
      <c r="D396" s="162"/>
      <c r="E396" s="89"/>
      <c r="F396" s="72"/>
      <c r="G396" s="111"/>
      <c r="H396" s="111"/>
      <c r="I396" s="111"/>
      <c r="J396" s="111"/>
      <c r="K396" s="111"/>
      <c r="L396" s="111"/>
      <c r="M396" s="94"/>
      <c r="N396" s="94"/>
      <c r="O396" s="94"/>
      <c r="P396" s="94"/>
      <c r="Q396" s="94"/>
      <c r="R396" s="94"/>
      <c r="S396" s="94"/>
      <c r="T396" s="94"/>
      <c r="U396" s="94"/>
      <c r="V396" s="94"/>
      <c r="W396" s="94"/>
      <c r="X396" s="94"/>
      <c r="Y396" s="94"/>
      <c r="Z396" s="94"/>
      <c r="AA396" s="94"/>
      <c r="AB396" s="94"/>
      <c r="AC396" s="94"/>
      <c r="AD396" s="94"/>
      <c r="AE396" s="94"/>
    </row>
    <row r="397">
      <c r="A397" s="87"/>
      <c r="B397" s="37"/>
      <c r="C397" s="37"/>
      <c r="D397" s="162"/>
      <c r="E397" s="89"/>
      <c r="F397" s="72"/>
      <c r="G397" s="111"/>
      <c r="H397" s="111"/>
      <c r="I397" s="111"/>
      <c r="J397" s="111"/>
      <c r="K397" s="111"/>
      <c r="L397" s="111"/>
      <c r="M397" s="94"/>
      <c r="N397" s="94"/>
      <c r="O397" s="94"/>
      <c r="P397" s="94"/>
      <c r="Q397" s="94"/>
      <c r="R397" s="94"/>
      <c r="S397" s="94"/>
      <c r="T397" s="94"/>
      <c r="U397" s="94"/>
      <c r="V397" s="94"/>
      <c r="W397" s="94"/>
      <c r="X397" s="94"/>
      <c r="Y397" s="94"/>
      <c r="Z397" s="94"/>
      <c r="AA397" s="94"/>
      <c r="AB397" s="94"/>
      <c r="AC397" s="94"/>
      <c r="AD397" s="94"/>
      <c r="AE397" s="94"/>
    </row>
    <row r="398">
      <c r="A398" s="87"/>
      <c r="B398" s="37"/>
      <c r="C398" s="37"/>
      <c r="D398" s="162"/>
      <c r="E398" s="89"/>
      <c r="F398" s="72"/>
      <c r="G398" s="111"/>
      <c r="H398" s="111"/>
      <c r="I398" s="111"/>
      <c r="J398" s="111"/>
      <c r="K398" s="111"/>
      <c r="L398" s="111"/>
      <c r="M398" s="94"/>
      <c r="N398" s="94"/>
      <c r="O398" s="94"/>
      <c r="P398" s="94"/>
      <c r="Q398" s="94"/>
      <c r="R398" s="94"/>
      <c r="S398" s="94"/>
      <c r="T398" s="94"/>
      <c r="U398" s="94"/>
      <c r="V398" s="94"/>
      <c r="W398" s="94"/>
      <c r="X398" s="94"/>
      <c r="Y398" s="94"/>
      <c r="Z398" s="94"/>
      <c r="AA398" s="94"/>
      <c r="AB398" s="94"/>
      <c r="AC398" s="94"/>
      <c r="AD398" s="94"/>
      <c r="AE398" s="94"/>
    </row>
    <row r="399">
      <c r="A399" s="87"/>
      <c r="B399" s="37"/>
      <c r="C399" s="37"/>
      <c r="D399" s="162"/>
      <c r="E399" s="89"/>
      <c r="F399" s="72"/>
      <c r="G399" s="111"/>
      <c r="H399" s="111"/>
      <c r="I399" s="111"/>
      <c r="J399" s="111"/>
      <c r="K399" s="111"/>
      <c r="L399" s="111"/>
      <c r="M399" s="94"/>
      <c r="N399" s="94"/>
      <c r="O399" s="94"/>
      <c r="P399" s="94"/>
      <c r="Q399" s="94"/>
      <c r="R399" s="94"/>
      <c r="S399" s="94"/>
      <c r="T399" s="94"/>
      <c r="U399" s="94"/>
      <c r="V399" s="94"/>
      <c r="W399" s="94"/>
      <c r="X399" s="94"/>
      <c r="Y399" s="94"/>
      <c r="Z399" s="94"/>
      <c r="AA399" s="94"/>
      <c r="AB399" s="94"/>
      <c r="AC399" s="94"/>
      <c r="AD399" s="94"/>
      <c r="AE399" s="94"/>
    </row>
    <row r="400">
      <c r="A400" s="87"/>
      <c r="B400" s="37"/>
      <c r="C400" s="37"/>
      <c r="D400" s="162"/>
      <c r="E400" s="89"/>
      <c r="F400" s="72"/>
      <c r="G400" s="111"/>
      <c r="H400" s="111"/>
      <c r="I400" s="111"/>
      <c r="J400" s="111"/>
      <c r="K400" s="111"/>
      <c r="L400" s="111"/>
      <c r="M400" s="94"/>
      <c r="N400" s="94"/>
      <c r="O400" s="94"/>
      <c r="P400" s="94"/>
      <c r="Q400" s="94"/>
      <c r="R400" s="94"/>
      <c r="S400" s="94"/>
      <c r="T400" s="94"/>
      <c r="U400" s="94"/>
      <c r="V400" s="94"/>
      <c r="W400" s="94"/>
      <c r="X400" s="94"/>
      <c r="Y400" s="94"/>
      <c r="Z400" s="94"/>
      <c r="AA400" s="94"/>
      <c r="AB400" s="94"/>
      <c r="AC400" s="94"/>
      <c r="AD400" s="94"/>
      <c r="AE400" s="94"/>
    </row>
    <row r="401">
      <c r="A401" s="87"/>
      <c r="B401" s="37"/>
      <c r="C401" s="37"/>
      <c r="D401" s="162"/>
      <c r="E401" s="89"/>
      <c r="F401" s="72"/>
      <c r="G401" s="111"/>
      <c r="H401" s="111"/>
      <c r="I401" s="111"/>
      <c r="J401" s="111"/>
      <c r="K401" s="111"/>
      <c r="L401" s="111"/>
      <c r="M401" s="94"/>
      <c r="N401" s="94"/>
      <c r="O401" s="94"/>
      <c r="P401" s="94"/>
      <c r="Q401" s="94"/>
      <c r="R401" s="94"/>
      <c r="S401" s="94"/>
      <c r="T401" s="94"/>
      <c r="U401" s="94"/>
      <c r="V401" s="94"/>
      <c r="W401" s="94"/>
      <c r="X401" s="94"/>
      <c r="Y401" s="94"/>
      <c r="Z401" s="94"/>
      <c r="AA401" s="94"/>
      <c r="AB401" s="94"/>
      <c r="AC401" s="94"/>
      <c r="AD401" s="94"/>
      <c r="AE401" s="94"/>
    </row>
    <row r="402">
      <c r="A402" s="87"/>
      <c r="B402" s="37"/>
      <c r="C402" s="37"/>
      <c r="D402" s="162"/>
      <c r="E402" s="89"/>
      <c r="F402" s="72"/>
      <c r="G402" s="111"/>
      <c r="H402" s="111"/>
      <c r="I402" s="111"/>
      <c r="J402" s="111"/>
      <c r="K402" s="111"/>
      <c r="L402" s="111"/>
      <c r="M402" s="94"/>
      <c r="N402" s="94"/>
      <c r="O402" s="94"/>
      <c r="P402" s="94"/>
      <c r="Q402" s="94"/>
      <c r="R402" s="94"/>
      <c r="S402" s="94"/>
      <c r="T402" s="94"/>
      <c r="U402" s="94"/>
      <c r="V402" s="94"/>
      <c r="W402" s="94"/>
      <c r="X402" s="94"/>
      <c r="Y402" s="94"/>
      <c r="Z402" s="94"/>
      <c r="AA402" s="94"/>
      <c r="AB402" s="94"/>
      <c r="AC402" s="94"/>
      <c r="AD402" s="94"/>
      <c r="AE402" s="94"/>
    </row>
    <row r="403">
      <c r="A403" s="87"/>
      <c r="B403" s="37"/>
      <c r="C403" s="37"/>
      <c r="D403" s="162"/>
      <c r="E403" s="89"/>
      <c r="F403" s="72"/>
      <c r="G403" s="111"/>
      <c r="H403" s="111"/>
      <c r="I403" s="111"/>
      <c r="J403" s="111"/>
      <c r="K403" s="111"/>
      <c r="L403" s="111"/>
      <c r="M403" s="94"/>
      <c r="N403" s="94"/>
      <c r="O403" s="94"/>
      <c r="P403" s="94"/>
      <c r="Q403" s="94"/>
      <c r="R403" s="94"/>
      <c r="S403" s="94"/>
      <c r="T403" s="94"/>
      <c r="U403" s="94"/>
      <c r="V403" s="94"/>
      <c r="W403" s="94"/>
      <c r="X403" s="94"/>
      <c r="Y403" s="94"/>
      <c r="Z403" s="94"/>
      <c r="AA403" s="94"/>
      <c r="AB403" s="94"/>
      <c r="AC403" s="94"/>
      <c r="AD403" s="94"/>
      <c r="AE403" s="94"/>
    </row>
    <row r="404">
      <c r="A404" s="87"/>
      <c r="B404" s="37"/>
      <c r="C404" s="37"/>
      <c r="D404" s="162"/>
      <c r="E404" s="89"/>
      <c r="F404" s="72"/>
      <c r="G404" s="111"/>
      <c r="H404" s="111"/>
      <c r="I404" s="111"/>
      <c r="J404" s="111"/>
      <c r="K404" s="111"/>
      <c r="L404" s="111"/>
      <c r="M404" s="94"/>
      <c r="N404" s="94"/>
      <c r="O404" s="94"/>
      <c r="P404" s="94"/>
      <c r="Q404" s="94"/>
      <c r="R404" s="94"/>
      <c r="S404" s="94"/>
      <c r="T404" s="94"/>
      <c r="U404" s="94"/>
      <c r="V404" s="94"/>
      <c r="W404" s="94"/>
      <c r="X404" s="94"/>
      <c r="Y404" s="94"/>
      <c r="Z404" s="94"/>
      <c r="AA404" s="94"/>
      <c r="AB404" s="94"/>
      <c r="AC404" s="94"/>
      <c r="AD404" s="94"/>
      <c r="AE404" s="94"/>
    </row>
    <row r="405">
      <c r="A405" s="87"/>
      <c r="B405" s="37"/>
      <c r="C405" s="37"/>
      <c r="D405" s="162"/>
      <c r="E405" s="89"/>
      <c r="F405" s="72"/>
      <c r="G405" s="111"/>
      <c r="H405" s="111"/>
      <c r="I405" s="111"/>
      <c r="J405" s="111"/>
      <c r="K405" s="111"/>
      <c r="L405" s="111"/>
      <c r="M405" s="94"/>
      <c r="N405" s="94"/>
      <c r="O405" s="94"/>
      <c r="P405" s="94"/>
      <c r="Q405" s="94"/>
      <c r="R405" s="94"/>
      <c r="S405" s="94"/>
      <c r="T405" s="94"/>
      <c r="U405" s="94"/>
      <c r="V405" s="94"/>
      <c r="W405" s="94"/>
      <c r="X405" s="94"/>
      <c r="Y405" s="94"/>
      <c r="Z405" s="94"/>
      <c r="AA405" s="94"/>
      <c r="AB405" s="94"/>
      <c r="AC405" s="94"/>
      <c r="AD405" s="94"/>
      <c r="AE405" s="94"/>
    </row>
    <row r="406">
      <c r="A406" s="87"/>
      <c r="B406" s="37"/>
      <c r="C406" s="37"/>
      <c r="D406" s="162"/>
      <c r="E406" s="89"/>
      <c r="F406" s="72"/>
      <c r="G406" s="111"/>
      <c r="H406" s="111"/>
      <c r="I406" s="111"/>
      <c r="J406" s="111"/>
      <c r="K406" s="111"/>
      <c r="L406" s="111"/>
      <c r="M406" s="94"/>
      <c r="N406" s="94"/>
      <c r="O406" s="94"/>
      <c r="P406" s="94"/>
      <c r="Q406" s="94"/>
      <c r="R406" s="94"/>
      <c r="S406" s="94"/>
      <c r="T406" s="94"/>
      <c r="U406" s="94"/>
      <c r="V406" s="94"/>
      <c r="W406" s="94"/>
      <c r="X406" s="94"/>
      <c r="Y406" s="94"/>
      <c r="Z406" s="94"/>
      <c r="AA406" s="94"/>
      <c r="AB406" s="94"/>
      <c r="AC406" s="94"/>
      <c r="AD406" s="94"/>
      <c r="AE406" s="94"/>
    </row>
    <row r="407">
      <c r="A407" s="87"/>
      <c r="B407" s="37"/>
      <c r="C407" s="37"/>
      <c r="D407" s="162"/>
      <c r="E407" s="89"/>
      <c r="F407" s="72"/>
      <c r="G407" s="111"/>
      <c r="H407" s="111"/>
      <c r="I407" s="111"/>
      <c r="J407" s="111"/>
      <c r="K407" s="111"/>
      <c r="L407" s="111"/>
      <c r="M407" s="94"/>
      <c r="N407" s="94"/>
      <c r="O407" s="94"/>
      <c r="P407" s="94"/>
      <c r="Q407" s="94"/>
      <c r="R407" s="94"/>
      <c r="S407" s="94"/>
      <c r="T407" s="94"/>
      <c r="U407" s="94"/>
      <c r="V407" s="94"/>
      <c r="W407" s="94"/>
      <c r="X407" s="94"/>
      <c r="Y407" s="94"/>
      <c r="Z407" s="94"/>
      <c r="AA407" s="94"/>
      <c r="AB407" s="94"/>
      <c r="AC407" s="94"/>
      <c r="AD407" s="94"/>
      <c r="AE407" s="94"/>
    </row>
    <row r="408">
      <c r="A408" s="87"/>
      <c r="B408" s="37"/>
      <c r="C408" s="37"/>
      <c r="D408" s="162"/>
      <c r="E408" s="89"/>
      <c r="F408" s="72"/>
      <c r="G408" s="111"/>
      <c r="H408" s="111"/>
      <c r="I408" s="111"/>
      <c r="J408" s="111"/>
      <c r="K408" s="111"/>
      <c r="L408" s="111"/>
      <c r="M408" s="94"/>
      <c r="N408" s="94"/>
      <c r="O408" s="94"/>
      <c r="P408" s="94"/>
      <c r="Q408" s="94"/>
      <c r="R408" s="94"/>
      <c r="S408" s="94"/>
      <c r="T408" s="94"/>
      <c r="U408" s="94"/>
      <c r="V408" s="94"/>
      <c r="W408" s="94"/>
      <c r="X408" s="94"/>
      <c r="Y408" s="94"/>
      <c r="Z408" s="94"/>
      <c r="AA408" s="94"/>
      <c r="AB408" s="94"/>
      <c r="AC408" s="94"/>
      <c r="AD408" s="94"/>
      <c r="AE408" s="94"/>
    </row>
    <row r="409">
      <c r="A409" s="87"/>
      <c r="B409" s="37"/>
      <c r="C409" s="37"/>
      <c r="D409" s="162"/>
      <c r="E409" s="89"/>
      <c r="F409" s="72"/>
      <c r="G409" s="111"/>
      <c r="H409" s="111"/>
      <c r="I409" s="111"/>
      <c r="J409" s="111"/>
      <c r="K409" s="111"/>
      <c r="L409" s="111"/>
      <c r="M409" s="94"/>
      <c r="N409" s="94"/>
      <c r="O409" s="94"/>
      <c r="P409" s="94"/>
      <c r="Q409" s="94"/>
      <c r="R409" s="94"/>
      <c r="S409" s="94"/>
      <c r="T409" s="94"/>
      <c r="U409" s="94"/>
      <c r="V409" s="94"/>
      <c r="W409" s="94"/>
      <c r="X409" s="94"/>
      <c r="Y409" s="94"/>
      <c r="Z409" s="94"/>
      <c r="AA409" s="94"/>
      <c r="AB409" s="94"/>
      <c r="AC409" s="94"/>
      <c r="AD409" s="94"/>
      <c r="AE409" s="94"/>
    </row>
    <row r="410">
      <c r="A410" s="87"/>
      <c r="B410" s="37"/>
      <c r="C410" s="37"/>
      <c r="D410" s="162"/>
      <c r="E410" s="89"/>
      <c r="F410" s="72"/>
      <c r="G410" s="111"/>
      <c r="H410" s="111"/>
      <c r="I410" s="111"/>
      <c r="J410" s="111"/>
      <c r="K410" s="111"/>
      <c r="L410" s="111"/>
      <c r="M410" s="94"/>
      <c r="N410" s="94"/>
      <c r="O410" s="94"/>
      <c r="P410" s="94"/>
      <c r="Q410" s="94"/>
      <c r="R410" s="94"/>
      <c r="S410" s="94"/>
      <c r="T410" s="94"/>
      <c r="U410" s="94"/>
      <c r="V410" s="94"/>
      <c r="W410" s="94"/>
      <c r="X410" s="94"/>
      <c r="Y410" s="94"/>
      <c r="Z410" s="94"/>
      <c r="AA410" s="94"/>
      <c r="AB410" s="94"/>
      <c r="AC410" s="94"/>
      <c r="AD410" s="94"/>
      <c r="AE410" s="94"/>
    </row>
    <row r="411">
      <c r="A411" s="87"/>
      <c r="B411" s="37"/>
      <c r="C411" s="37"/>
      <c r="D411" s="162"/>
      <c r="E411" s="89"/>
      <c r="F411" s="72"/>
      <c r="G411" s="111"/>
      <c r="H411" s="111"/>
      <c r="I411" s="111"/>
      <c r="J411" s="111"/>
      <c r="K411" s="111"/>
      <c r="L411" s="111"/>
      <c r="M411" s="94"/>
      <c r="N411" s="94"/>
      <c r="O411" s="94"/>
      <c r="P411" s="94"/>
      <c r="Q411" s="94"/>
      <c r="R411" s="94"/>
      <c r="S411" s="94"/>
      <c r="T411" s="94"/>
      <c r="U411" s="94"/>
      <c r="V411" s="94"/>
      <c r="W411" s="94"/>
      <c r="X411" s="94"/>
      <c r="Y411" s="94"/>
      <c r="Z411" s="94"/>
      <c r="AA411" s="94"/>
      <c r="AB411" s="94"/>
      <c r="AC411" s="94"/>
      <c r="AD411" s="94"/>
      <c r="AE411" s="94"/>
    </row>
    <row r="412">
      <c r="A412" s="87"/>
      <c r="B412" s="37"/>
      <c r="C412" s="37"/>
      <c r="D412" s="162"/>
      <c r="E412" s="89"/>
      <c r="F412" s="72"/>
      <c r="G412" s="111"/>
      <c r="H412" s="111"/>
      <c r="I412" s="111"/>
      <c r="J412" s="111"/>
      <c r="K412" s="111"/>
      <c r="L412" s="111"/>
      <c r="M412" s="94"/>
      <c r="N412" s="94"/>
      <c r="O412" s="94"/>
      <c r="P412" s="94"/>
      <c r="Q412" s="94"/>
      <c r="R412" s="94"/>
      <c r="S412" s="94"/>
      <c r="T412" s="94"/>
      <c r="U412" s="94"/>
      <c r="V412" s="94"/>
      <c r="W412" s="94"/>
      <c r="X412" s="94"/>
      <c r="Y412" s="94"/>
      <c r="Z412" s="94"/>
      <c r="AA412" s="94"/>
      <c r="AB412" s="94"/>
      <c r="AC412" s="94"/>
      <c r="AD412" s="94"/>
      <c r="AE412" s="94"/>
    </row>
    <row r="413">
      <c r="A413" s="87"/>
      <c r="B413" s="37"/>
      <c r="C413" s="37"/>
      <c r="D413" s="162"/>
      <c r="E413" s="89"/>
      <c r="F413" s="72"/>
      <c r="G413" s="111"/>
      <c r="H413" s="111"/>
      <c r="I413" s="111"/>
      <c r="J413" s="111"/>
      <c r="K413" s="111"/>
      <c r="L413" s="111"/>
      <c r="M413" s="94"/>
      <c r="N413" s="94"/>
      <c r="O413" s="94"/>
      <c r="P413" s="94"/>
      <c r="Q413" s="94"/>
      <c r="R413" s="94"/>
      <c r="S413" s="94"/>
      <c r="T413" s="94"/>
      <c r="U413" s="94"/>
      <c r="V413" s="94"/>
      <c r="W413" s="94"/>
      <c r="X413" s="94"/>
      <c r="Y413" s="94"/>
      <c r="Z413" s="94"/>
      <c r="AA413" s="94"/>
      <c r="AB413" s="94"/>
      <c r="AC413" s="94"/>
      <c r="AD413" s="94"/>
      <c r="AE413" s="94"/>
    </row>
    <row r="414">
      <c r="A414" s="87"/>
      <c r="B414" s="37"/>
      <c r="C414" s="37"/>
      <c r="D414" s="162"/>
      <c r="E414" s="89"/>
      <c r="F414" s="72"/>
      <c r="G414" s="111"/>
      <c r="H414" s="111"/>
      <c r="I414" s="111"/>
      <c r="J414" s="111"/>
      <c r="K414" s="111"/>
      <c r="L414" s="111"/>
      <c r="M414" s="94"/>
      <c r="N414" s="94"/>
      <c r="O414" s="94"/>
      <c r="P414" s="94"/>
      <c r="Q414" s="94"/>
      <c r="R414" s="94"/>
      <c r="S414" s="94"/>
      <c r="T414" s="94"/>
      <c r="U414" s="94"/>
      <c r="V414" s="94"/>
      <c r="W414" s="94"/>
      <c r="X414" s="94"/>
      <c r="Y414" s="94"/>
      <c r="Z414" s="94"/>
      <c r="AA414" s="94"/>
      <c r="AB414" s="94"/>
      <c r="AC414" s="94"/>
      <c r="AD414" s="94"/>
      <c r="AE414" s="94"/>
    </row>
    <row r="415">
      <c r="A415" s="87"/>
      <c r="B415" s="37"/>
      <c r="C415" s="37"/>
      <c r="D415" s="162"/>
      <c r="E415" s="89"/>
      <c r="F415" s="72"/>
      <c r="G415" s="111"/>
      <c r="H415" s="111"/>
      <c r="I415" s="111"/>
      <c r="J415" s="111"/>
      <c r="K415" s="111"/>
      <c r="L415" s="111"/>
      <c r="M415" s="94"/>
      <c r="N415" s="94"/>
      <c r="O415" s="94"/>
      <c r="P415" s="94"/>
      <c r="Q415" s="94"/>
      <c r="R415" s="94"/>
      <c r="S415" s="94"/>
      <c r="T415" s="94"/>
      <c r="U415" s="94"/>
      <c r="V415" s="94"/>
      <c r="W415" s="94"/>
      <c r="X415" s="94"/>
      <c r="Y415" s="94"/>
      <c r="Z415" s="94"/>
      <c r="AA415" s="94"/>
      <c r="AB415" s="94"/>
      <c r="AC415" s="94"/>
      <c r="AD415" s="94"/>
      <c r="AE415" s="94"/>
    </row>
    <row r="416">
      <c r="A416" s="87"/>
      <c r="B416" s="37"/>
      <c r="C416" s="37"/>
      <c r="D416" s="162"/>
      <c r="E416" s="89"/>
      <c r="F416" s="72"/>
      <c r="G416" s="111"/>
      <c r="H416" s="111"/>
      <c r="I416" s="111"/>
      <c r="J416" s="111"/>
      <c r="K416" s="111"/>
      <c r="L416" s="111"/>
      <c r="M416" s="94"/>
      <c r="N416" s="94"/>
      <c r="O416" s="94"/>
      <c r="P416" s="94"/>
      <c r="Q416" s="94"/>
      <c r="R416" s="94"/>
      <c r="S416" s="94"/>
      <c r="T416" s="94"/>
      <c r="U416" s="94"/>
      <c r="V416" s="94"/>
      <c r="W416" s="94"/>
      <c r="X416" s="94"/>
      <c r="Y416" s="94"/>
      <c r="Z416" s="94"/>
      <c r="AA416" s="94"/>
      <c r="AB416" s="94"/>
      <c r="AC416" s="94"/>
      <c r="AD416" s="94"/>
      <c r="AE416" s="94"/>
    </row>
    <row r="417">
      <c r="A417" s="87"/>
      <c r="B417" s="37"/>
      <c r="C417" s="37"/>
      <c r="D417" s="162"/>
      <c r="E417" s="89"/>
      <c r="F417" s="72"/>
      <c r="G417" s="111"/>
      <c r="H417" s="111"/>
      <c r="I417" s="111"/>
      <c r="J417" s="111"/>
      <c r="K417" s="111"/>
      <c r="L417" s="111"/>
      <c r="M417" s="94"/>
      <c r="N417" s="94"/>
      <c r="O417" s="94"/>
      <c r="P417" s="94"/>
      <c r="Q417" s="94"/>
      <c r="R417" s="94"/>
      <c r="S417" s="94"/>
      <c r="T417" s="94"/>
      <c r="U417" s="94"/>
      <c r="V417" s="94"/>
      <c r="W417" s="94"/>
      <c r="X417" s="94"/>
      <c r="Y417" s="94"/>
      <c r="Z417" s="94"/>
      <c r="AA417" s="94"/>
      <c r="AB417" s="94"/>
      <c r="AC417" s="94"/>
      <c r="AD417" s="94"/>
      <c r="AE417" s="94"/>
    </row>
    <row r="418">
      <c r="A418" s="87"/>
      <c r="B418" s="37"/>
      <c r="C418" s="37"/>
      <c r="D418" s="162"/>
      <c r="E418" s="89"/>
      <c r="F418" s="72"/>
      <c r="G418" s="111"/>
      <c r="H418" s="111"/>
      <c r="I418" s="111"/>
      <c r="J418" s="111"/>
      <c r="K418" s="111"/>
      <c r="L418" s="111"/>
      <c r="M418" s="94"/>
      <c r="N418" s="94"/>
      <c r="O418" s="94"/>
      <c r="P418" s="94"/>
      <c r="Q418" s="94"/>
      <c r="R418" s="94"/>
      <c r="S418" s="94"/>
      <c r="T418" s="94"/>
      <c r="U418" s="94"/>
      <c r="V418" s="94"/>
      <c r="W418" s="94"/>
      <c r="X418" s="94"/>
      <c r="Y418" s="94"/>
      <c r="Z418" s="94"/>
      <c r="AA418" s="94"/>
      <c r="AB418" s="94"/>
      <c r="AC418" s="94"/>
      <c r="AD418" s="94"/>
      <c r="AE418" s="94"/>
    </row>
    <row r="419">
      <c r="A419" s="87"/>
      <c r="B419" s="37"/>
      <c r="C419" s="37"/>
      <c r="D419" s="162"/>
      <c r="E419" s="89"/>
      <c r="F419" s="72"/>
      <c r="G419" s="111"/>
      <c r="H419" s="111"/>
      <c r="I419" s="111"/>
      <c r="J419" s="111"/>
      <c r="K419" s="111"/>
      <c r="L419" s="111"/>
      <c r="M419" s="94"/>
      <c r="N419" s="94"/>
      <c r="O419" s="94"/>
      <c r="P419" s="94"/>
      <c r="Q419" s="94"/>
      <c r="R419" s="94"/>
      <c r="S419" s="94"/>
      <c r="T419" s="94"/>
      <c r="U419" s="94"/>
      <c r="V419" s="94"/>
      <c r="W419" s="94"/>
      <c r="X419" s="94"/>
      <c r="Y419" s="94"/>
      <c r="Z419" s="94"/>
      <c r="AA419" s="94"/>
      <c r="AB419" s="94"/>
      <c r="AC419" s="94"/>
      <c r="AD419" s="94"/>
      <c r="AE419" s="94"/>
    </row>
    <row r="420">
      <c r="A420" s="87"/>
      <c r="B420" s="37"/>
      <c r="C420" s="37"/>
      <c r="D420" s="162"/>
      <c r="E420" s="89"/>
      <c r="F420" s="72"/>
      <c r="G420" s="111"/>
      <c r="H420" s="111"/>
      <c r="I420" s="111"/>
      <c r="J420" s="111"/>
      <c r="K420" s="111"/>
      <c r="L420" s="111"/>
      <c r="M420" s="94"/>
      <c r="N420" s="94"/>
      <c r="O420" s="94"/>
      <c r="P420" s="94"/>
      <c r="Q420" s="94"/>
      <c r="R420" s="94"/>
      <c r="S420" s="94"/>
      <c r="T420" s="94"/>
      <c r="U420" s="94"/>
      <c r="V420" s="94"/>
      <c r="W420" s="94"/>
      <c r="X420" s="94"/>
      <c r="Y420" s="94"/>
      <c r="Z420" s="94"/>
      <c r="AA420" s="94"/>
      <c r="AB420" s="94"/>
      <c r="AC420" s="94"/>
      <c r="AD420" s="94"/>
      <c r="AE420" s="94"/>
    </row>
    <row r="421">
      <c r="A421" s="87"/>
      <c r="B421" s="37"/>
      <c r="C421" s="37"/>
      <c r="D421" s="162"/>
      <c r="E421" s="89"/>
      <c r="F421" s="72"/>
      <c r="G421" s="111"/>
      <c r="H421" s="111"/>
      <c r="I421" s="111"/>
      <c r="J421" s="111"/>
      <c r="K421" s="111"/>
      <c r="L421" s="111"/>
      <c r="M421" s="94"/>
      <c r="N421" s="94"/>
      <c r="O421" s="94"/>
      <c r="P421" s="94"/>
      <c r="Q421" s="94"/>
      <c r="R421" s="94"/>
      <c r="S421" s="94"/>
      <c r="T421" s="94"/>
      <c r="U421" s="94"/>
      <c r="V421" s="94"/>
      <c r="W421" s="94"/>
      <c r="X421" s="94"/>
      <c r="Y421" s="94"/>
      <c r="Z421" s="94"/>
      <c r="AA421" s="94"/>
      <c r="AB421" s="94"/>
      <c r="AC421" s="94"/>
      <c r="AD421" s="94"/>
      <c r="AE421" s="94"/>
    </row>
    <row r="422">
      <c r="A422" s="87"/>
      <c r="B422" s="37"/>
      <c r="C422" s="37"/>
      <c r="D422" s="162"/>
      <c r="E422" s="89"/>
      <c r="F422" s="72"/>
      <c r="G422" s="111"/>
      <c r="H422" s="111"/>
      <c r="I422" s="111"/>
      <c r="J422" s="111"/>
      <c r="K422" s="111"/>
      <c r="L422" s="111"/>
      <c r="M422" s="94"/>
      <c r="N422" s="94"/>
      <c r="O422" s="94"/>
      <c r="P422" s="94"/>
      <c r="Q422" s="94"/>
      <c r="R422" s="94"/>
      <c r="S422" s="94"/>
      <c r="T422" s="94"/>
      <c r="U422" s="94"/>
      <c r="V422" s="94"/>
      <c r="W422" s="94"/>
      <c r="X422" s="94"/>
      <c r="Y422" s="94"/>
      <c r="Z422" s="94"/>
      <c r="AA422" s="94"/>
      <c r="AB422" s="94"/>
      <c r="AC422" s="94"/>
      <c r="AD422" s="94"/>
      <c r="AE422" s="94"/>
    </row>
    <row r="423">
      <c r="A423" s="87"/>
      <c r="B423" s="37"/>
      <c r="C423" s="37"/>
      <c r="D423" s="162"/>
      <c r="E423" s="89"/>
      <c r="F423" s="72"/>
      <c r="G423" s="111"/>
      <c r="H423" s="111"/>
      <c r="I423" s="111"/>
      <c r="J423" s="111"/>
      <c r="K423" s="111"/>
      <c r="L423" s="111"/>
      <c r="M423" s="94"/>
      <c r="N423" s="94"/>
      <c r="O423" s="94"/>
      <c r="P423" s="94"/>
      <c r="Q423" s="94"/>
      <c r="R423" s="94"/>
      <c r="S423" s="94"/>
      <c r="T423" s="94"/>
      <c r="U423" s="94"/>
      <c r="V423" s="94"/>
      <c r="W423" s="94"/>
      <c r="X423" s="94"/>
      <c r="Y423" s="94"/>
      <c r="Z423" s="94"/>
      <c r="AA423" s="94"/>
      <c r="AB423" s="94"/>
      <c r="AC423" s="94"/>
      <c r="AD423" s="94"/>
      <c r="AE423" s="94"/>
    </row>
    <row r="424">
      <c r="A424" s="87"/>
      <c r="B424" s="37"/>
      <c r="C424" s="37"/>
      <c r="D424" s="162"/>
      <c r="E424" s="89"/>
      <c r="F424" s="72"/>
      <c r="G424" s="111"/>
      <c r="H424" s="111"/>
      <c r="I424" s="111"/>
      <c r="J424" s="111"/>
      <c r="K424" s="111"/>
      <c r="L424" s="111"/>
      <c r="M424" s="94"/>
      <c r="N424" s="94"/>
      <c r="O424" s="94"/>
      <c r="P424" s="94"/>
      <c r="Q424" s="94"/>
      <c r="R424" s="94"/>
      <c r="S424" s="94"/>
      <c r="T424" s="94"/>
      <c r="U424" s="94"/>
      <c r="V424" s="94"/>
      <c r="W424" s="94"/>
      <c r="X424" s="94"/>
      <c r="Y424" s="94"/>
      <c r="Z424" s="94"/>
      <c r="AA424" s="94"/>
      <c r="AB424" s="94"/>
      <c r="AC424" s="94"/>
      <c r="AD424" s="94"/>
      <c r="AE424" s="94"/>
    </row>
    <row r="425">
      <c r="A425" s="87"/>
      <c r="B425" s="37"/>
      <c r="C425" s="37"/>
      <c r="D425" s="162"/>
      <c r="E425" s="89"/>
      <c r="F425" s="72"/>
      <c r="G425" s="111"/>
      <c r="H425" s="111"/>
      <c r="I425" s="111"/>
      <c r="J425" s="111"/>
      <c r="K425" s="111"/>
      <c r="L425" s="111"/>
      <c r="M425" s="94"/>
      <c r="N425" s="94"/>
      <c r="O425" s="94"/>
      <c r="P425" s="94"/>
      <c r="Q425" s="94"/>
      <c r="R425" s="94"/>
      <c r="S425" s="94"/>
      <c r="T425" s="94"/>
      <c r="U425" s="94"/>
      <c r="V425" s="94"/>
      <c r="W425" s="94"/>
      <c r="X425" s="94"/>
      <c r="Y425" s="94"/>
      <c r="Z425" s="94"/>
      <c r="AA425" s="94"/>
      <c r="AB425" s="94"/>
      <c r="AC425" s="94"/>
      <c r="AD425" s="94"/>
      <c r="AE425" s="94"/>
    </row>
    <row r="426">
      <c r="A426" s="87"/>
      <c r="B426" s="37"/>
      <c r="C426" s="37"/>
      <c r="D426" s="162"/>
      <c r="E426" s="89"/>
      <c r="F426" s="72"/>
      <c r="G426" s="111"/>
      <c r="H426" s="111"/>
      <c r="I426" s="111"/>
      <c r="J426" s="111"/>
      <c r="K426" s="111"/>
      <c r="L426" s="111"/>
      <c r="M426" s="94"/>
      <c r="N426" s="94"/>
      <c r="O426" s="94"/>
      <c r="P426" s="94"/>
      <c r="Q426" s="94"/>
      <c r="R426" s="94"/>
      <c r="S426" s="94"/>
      <c r="T426" s="94"/>
      <c r="U426" s="94"/>
      <c r="V426" s="94"/>
      <c r="W426" s="94"/>
      <c r="X426" s="94"/>
      <c r="Y426" s="94"/>
      <c r="Z426" s="94"/>
      <c r="AA426" s="94"/>
      <c r="AB426" s="94"/>
      <c r="AC426" s="94"/>
      <c r="AD426" s="94"/>
      <c r="AE426" s="94"/>
    </row>
    <row r="427">
      <c r="A427" s="87"/>
      <c r="B427" s="37"/>
      <c r="C427" s="37"/>
      <c r="D427" s="162"/>
      <c r="E427" s="89"/>
      <c r="F427" s="72"/>
      <c r="G427" s="111"/>
      <c r="H427" s="111"/>
      <c r="I427" s="111"/>
      <c r="J427" s="111"/>
      <c r="K427" s="111"/>
      <c r="L427" s="111"/>
      <c r="M427" s="94"/>
      <c r="N427" s="94"/>
      <c r="O427" s="94"/>
      <c r="P427" s="94"/>
      <c r="Q427" s="94"/>
      <c r="R427" s="94"/>
      <c r="S427" s="94"/>
      <c r="T427" s="94"/>
      <c r="U427" s="94"/>
      <c r="V427" s="94"/>
      <c r="W427" s="94"/>
      <c r="X427" s="94"/>
      <c r="Y427" s="94"/>
      <c r="Z427" s="94"/>
      <c r="AA427" s="94"/>
      <c r="AB427" s="94"/>
      <c r="AC427" s="94"/>
      <c r="AD427" s="94"/>
      <c r="AE427" s="94"/>
    </row>
    <row r="428">
      <c r="A428" s="87"/>
      <c r="B428" s="37"/>
      <c r="C428" s="37"/>
      <c r="D428" s="162"/>
      <c r="E428" s="89"/>
      <c r="F428" s="72"/>
      <c r="G428" s="111"/>
      <c r="H428" s="111"/>
      <c r="I428" s="111"/>
      <c r="J428" s="111"/>
      <c r="K428" s="111"/>
      <c r="L428" s="111"/>
      <c r="M428" s="94"/>
      <c r="N428" s="94"/>
      <c r="O428" s="94"/>
      <c r="P428" s="94"/>
      <c r="Q428" s="94"/>
      <c r="R428" s="94"/>
      <c r="S428" s="94"/>
      <c r="T428" s="94"/>
      <c r="U428" s="94"/>
      <c r="V428" s="94"/>
      <c r="W428" s="94"/>
      <c r="X428" s="94"/>
      <c r="Y428" s="94"/>
      <c r="Z428" s="94"/>
      <c r="AA428" s="94"/>
      <c r="AB428" s="94"/>
      <c r="AC428" s="94"/>
      <c r="AD428" s="94"/>
      <c r="AE428" s="94"/>
    </row>
    <row r="429">
      <c r="A429" s="87"/>
      <c r="B429" s="37"/>
      <c r="C429" s="37"/>
      <c r="D429" s="162"/>
      <c r="E429" s="89"/>
      <c r="F429" s="72"/>
      <c r="G429" s="111"/>
      <c r="H429" s="111"/>
      <c r="I429" s="111"/>
      <c r="J429" s="111"/>
      <c r="K429" s="111"/>
      <c r="L429" s="111"/>
      <c r="M429" s="94"/>
      <c r="N429" s="94"/>
      <c r="O429" s="94"/>
      <c r="P429" s="94"/>
      <c r="Q429" s="94"/>
      <c r="R429" s="94"/>
      <c r="S429" s="94"/>
      <c r="T429" s="94"/>
      <c r="U429" s="94"/>
      <c r="V429" s="94"/>
      <c r="W429" s="94"/>
      <c r="X429" s="94"/>
      <c r="Y429" s="94"/>
      <c r="Z429" s="94"/>
      <c r="AA429" s="94"/>
      <c r="AB429" s="94"/>
      <c r="AC429" s="94"/>
      <c r="AD429" s="94"/>
      <c r="AE429" s="94"/>
    </row>
    <row r="430">
      <c r="A430" s="87"/>
      <c r="B430" s="37"/>
      <c r="C430" s="37"/>
      <c r="D430" s="162"/>
      <c r="E430" s="89"/>
      <c r="F430" s="72"/>
      <c r="G430" s="111"/>
      <c r="H430" s="111"/>
      <c r="I430" s="111"/>
      <c r="J430" s="111"/>
      <c r="K430" s="111"/>
      <c r="L430" s="111"/>
      <c r="M430" s="94"/>
      <c r="N430" s="94"/>
      <c r="O430" s="94"/>
      <c r="P430" s="94"/>
      <c r="Q430" s="94"/>
      <c r="R430" s="94"/>
      <c r="S430" s="94"/>
      <c r="T430" s="94"/>
      <c r="U430" s="94"/>
      <c r="V430" s="94"/>
      <c r="W430" s="94"/>
      <c r="X430" s="94"/>
      <c r="Y430" s="94"/>
      <c r="Z430" s="94"/>
      <c r="AA430" s="94"/>
      <c r="AB430" s="94"/>
      <c r="AC430" s="94"/>
      <c r="AD430" s="94"/>
      <c r="AE430" s="94"/>
    </row>
    <row r="431">
      <c r="A431" s="87"/>
      <c r="B431" s="37"/>
      <c r="C431" s="37"/>
      <c r="D431" s="162"/>
      <c r="E431" s="89"/>
      <c r="F431" s="72"/>
      <c r="G431" s="111"/>
      <c r="H431" s="111"/>
      <c r="I431" s="111"/>
      <c r="J431" s="111"/>
      <c r="K431" s="111"/>
      <c r="L431" s="111"/>
      <c r="M431" s="94"/>
      <c r="N431" s="94"/>
      <c r="O431" s="94"/>
      <c r="P431" s="94"/>
      <c r="Q431" s="94"/>
      <c r="R431" s="94"/>
      <c r="S431" s="94"/>
      <c r="T431" s="94"/>
      <c r="U431" s="94"/>
      <c r="V431" s="94"/>
      <c r="W431" s="94"/>
      <c r="X431" s="94"/>
      <c r="Y431" s="94"/>
      <c r="Z431" s="94"/>
      <c r="AA431" s="94"/>
      <c r="AB431" s="94"/>
      <c r="AC431" s="94"/>
      <c r="AD431" s="94"/>
      <c r="AE431" s="94"/>
    </row>
    <row r="432">
      <c r="A432" s="87"/>
      <c r="B432" s="37"/>
      <c r="C432" s="37"/>
      <c r="D432" s="162"/>
      <c r="E432" s="89"/>
      <c r="F432" s="72"/>
      <c r="G432" s="111"/>
      <c r="H432" s="111"/>
      <c r="I432" s="111"/>
      <c r="J432" s="111"/>
      <c r="K432" s="111"/>
      <c r="L432" s="111"/>
      <c r="M432" s="94"/>
      <c r="N432" s="94"/>
      <c r="O432" s="94"/>
      <c r="P432" s="94"/>
      <c r="Q432" s="94"/>
      <c r="R432" s="94"/>
      <c r="S432" s="94"/>
      <c r="T432" s="94"/>
      <c r="U432" s="94"/>
      <c r="V432" s="94"/>
      <c r="W432" s="94"/>
      <c r="X432" s="94"/>
      <c r="Y432" s="94"/>
      <c r="Z432" s="94"/>
      <c r="AA432" s="94"/>
      <c r="AB432" s="94"/>
      <c r="AC432" s="94"/>
      <c r="AD432" s="94"/>
      <c r="AE432" s="94"/>
    </row>
    <row r="433">
      <c r="A433" s="87"/>
      <c r="B433" s="37"/>
      <c r="C433" s="37"/>
      <c r="D433" s="162"/>
      <c r="E433" s="89"/>
      <c r="F433" s="72"/>
      <c r="G433" s="111"/>
      <c r="H433" s="111"/>
      <c r="I433" s="111"/>
      <c r="J433" s="111"/>
      <c r="K433" s="111"/>
      <c r="L433" s="111"/>
      <c r="M433" s="94"/>
      <c r="N433" s="94"/>
      <c r="O433" s="94"/>
      <c r="P433" s="94"/>
      <c r="Q433" s="94"/>
      <c r="R433" s="94"/>
      <c r="S433" s="94"/>
      <c r="T433" s="94"/>
      <c r="U433" s="94"/>
      <c r="V433" s="94"/>
      <c r="W433" s="94"/>
      <c r="X433" s="94"/>
      <c r="Y433" s="94"/>
      <c r="Z433" s="94"/>
      <c r="AA433" s="94"/>
      <c r="AB433" s="94"/>
      <c r="AC433" s="94"/>
      <c r="AD433" s="94"/>
      <c r="AE433" s="94"/>
    </row>
    <row r="434">
      <c r="A434" s="87"/>
      <c r="B434" s="37"/>
      <c r="C434" s="37"/>
      <c r="D434" s="162"/>
      <c r="E434" s="89"/>
      <c r="F434" s="72"/>
      <c r="G434" s="111"/>
      <c r="H434" s="111"/>
      <c r="I434" s="111"/>
      <c r="J434" s="111"/>
      <c r="K434" s="111"/>
      <c r="L434" s="111"/>
      <c r="M434" s="94"/>
      <c r="N434" s="94"/>
      <c r="O434" s="94"/>
      <c r="P434" s="94"/>
      <c r="Q434" s="94"/>
      <c r="R434" s="94"/>
      <c r="S434" s="94"/>
      <c r="T434" s="94"/>
      <c r="U434" s="94"/>
      <c r="V434" s="94"/>
      <c r="W434" s="94"/>
      <c r="X434" s="94"/>
      <c r="Y434" s="94"/>
      <c r="Z434" s="94"/>
      <c r="AA434" s="94"/>
      <c r="AB434" s="94"/>
      <c r="AC434" s="94"/>
      <c r="AD434" s="94"/>
      <c r="AE434" s="94"/>
    </row>
    <row r="435">
      <c r="A435" s="87"/>
      <c r="B435" s="37"/>
      <c r="C435" s="37"/>
      <c r="D435" s="162"/>
      <c r="E435" s="89"/>
      <c r="F435" s="72"/>
      <c r="G435" s="111"/>
      <c r="H435" s="111"/>
      <c r="I435" s="111"/>
      <c r="J435" s="111"/>
      <c r="K435" s="111"/>
      <c r="L435" s="111"/>
      <c r="M435" s="94"/>
      <c r="N435" s="94"/>
      <c r="O435" s="94"/>
      <c r="P435" s="94"/>
      <c r="Q435" s="94"/>
      <c r="R435" s="94"/>
      <c r="S435" s="94"/>
      <c r="T435" s="94"/>
      <c r="U435" s="94"/>
      <c r="V435" s="94"/>
      <c r="W435" s="94"/>
      <c r="X435" s="94"/>
      <c r="Y435" s="94"/>
      <c r="Z435" s="94"/>
      <c r="AA435" s="94"/>
      <c r="AB435" s="94"/>
      <c r="AC435" s="94"/>
      <c r="AD435" s="94"/>
      <c r="AE435" s="94"/>
    </row>
    <row r="436">
      <c r="A436" s="87"/>
      <c r="B436" s="37"/>
      <c r="C436" s="37"/>
      <c r="D436" s="162"/>
      <c r="E436" s="89"/>
      <c r="F436" s="72"/>
      <c r="G436" s="111"/>
      <c r="H436" s="111"/>
      <c r="I436" s="111"/>
      <c r="J436" s="111"/>
      <c r="K436" s="111"/>
      <c r="L436" s="111"/>
      <c r="M436" s="94"/>
      <c r="N436" s="94"/>
      <c r="O436" s="94"/>
      <c r="P436" s="94"/>
      <c r="Q436" s="94"/>
      <c r="R436" s="94"/>
      <c r="S436" s="94"/>
      <c r="T436" s="94"/>
      <c r="U436" s="94"/>
      <c r="V436" s="94"/>
      <c r="W436" s="94"/>
      <c r="X436" s="94"/>
      <c r="Y436" s="94"/>
      <c r="Z436" s="94"/>
      <c r="AA436" s="94"/>
      <c r="AB436" s="94"/>
      <c r="AC436" s="94"/>
      <c r="AD436" s="94"/>
      <c r="AE436" s="94"/>
    </row>
    <row r="437">
      <c r="A437" s="87"/>
      <c r="B437" s="37"/>
      <c r="C437" s="37"/>
      <c r="D437" s="162"/>
      <c r="E437" s="89"/>
      <c r="F437" s="72"/>
      <c r="G437" s="111"/>
      <c r="H437" s="111"/>
      <c r="I437" s="111"/>
      <c r="J437" s="111"/>
      <c r="K437" s="111"/>
      <c r="L437" s="111"/>
      <c r="M437" s="94"/>
      <c r="N437" s="94"/>
      <c r="O437" s="94"/>
      <c r="P437" s="94"/>
      <c r="Q437" s="94"/>
      <c r="R437" s="94"/>
      <c r="S437" s="94"/>
      <c r="T437" s="94"/>
      <c r="U437" s="94"/>
      <c r="V437" s="94"/>
      <c r="W437" s="94"/>
      <c r="X437" s="94"/>
      <c r="Y437" s="94"/>
      <c r="Z437" s="94"/>
      <c r="AA437" s="94"/>
      <c r="AB437" s="94"/>
      <c r="AC437" s="94"/>
      <c r="AD437" s="94"/>
      <c r="AE437" s="94"/>
    </row>
    <row r="438">
      <c r="A438" s="87"/>
      <c r="B438" s="37"/>
      <c r="C438" s="37"/>
      <c r="D438" s="162"/>
      <c r="E438" s="89"/>
      <c r="F438" s="72"/>
      <c r="G438" s="111"/>
      <c r="H438" s="111"/>
      <c r="I438" s="111"/>
      <c r="J438" s="111"/>
      <c r="K438" s="111"/>
      <c r="L438" s="111"/>
      <c r="M438" s="94"/>
      <c r="N438" s="94"/>
      <c r="O438" s="94"/>
      <c r="P438" s="94"/>
      <c r="Q438" s="94"/>
      <c r="R438" s="94"/>
      <c r="S438" s="94"/>
      <c r="T438" s="94"/>
      <c r="U438" s="94"/>
      <c r="V438" s="94"/>
      <c r="W438" s="94"/>
      <c r="X438" s="94"/>
      <c r="Y438" s="94"/>
      <c r="Z438" s="94"/>
      <c r="AA438" s="94"/>
      <c r="AB438" s="94"/>
      <c r="AC438" s="94"/>
      <c r="AD438" s="94"/>
      <c r="AE438" s="94"/>
    </row>
    <row r="439">
      <c r="A439" s="87"/>
      <c r="B439" s="37"/>
      <c r="C439" s="37"/>
      <c r="D439" s="162"/>
      <c r="E439" s="89"/>
      <c r="F439" s="72"/>
      <c r="G439" s="111"/>
      <c r="H439" s="111"/>
      <c r="I439" s="111"/>
      <c r="J439" s="111"/>
      <c r="K439" s="111"/>
      <c r="L439" s="111"/>
      <c r="M439" s="94"/>
      <c r="N439" s="94"/>
      <c r="O439" s="94"/>
      <c r="P439" s="94"/>
      <c r="Q439" s="94"/>
      <c r="R439" s="94"/>
      <c r="S439" s="94"/>
      <c r="T439" s="94"/>
      <c r="U439" s="94"/>
      <c r="V439" s="94"/>
      <c r="W439" s="94"/>
      <c r="X439" s="94"/>
      <c r="Y439" s="94"/>
      <c r="Z439" s="94"/>
      <c r="AA439" s="94"/>
      <c r="AB439" s="94"/>
      <c r="AC439" s="94"/>
      <c r="AD439" s="94"/>
      <c r="AE439" s="94"/>
    </row>
    <row r="440">
      <c r="A440" s="87"/>
      <c r="B440" s="37"/>
      <c r="C440" s="37"/>
      <c r="D440" s="162"/>
      <c r="E440" s="89"/>
      <c r="F440" s="72"/>
      <c r="G440" s="111"/>
      <c r="H440" s="111"/>
      <c r="I440" s="111"/>
      <c r="J440" s="111"/>
      <c r="K440" s="111"/>
      <c r="L440" s="111"/>
      <c r="M440" s="94"/>
      <c r="N440" s="94"/>
      <c r="O440" s="94"/>
      <c r="P440" s="94"/>
      <c r="Q440" s="94"/>
      <c r="R440" s="94"/>
      <c r="S440" s="94"/>
      <c r="T440" s="94"/>
      <c r="U440" s="94"/>
      <c r="V440" s="94"/>
      <c r="W440" s="94"/>
      <c r="X440" s="94"/>
      <c r="Y440" s="94"/>
      <c r="Z440" s="94"/>
      <c r="AA440" s="94"/>
      <c r="AB440" s="94"/>
      <c r="AC440" s="94"/>
      <c r="AD440" s="94"/>
      <c r="AE440" s="94"/>
    </row>
    <row r="441">
      <c r="A441" s="87"/>
      <c r="B441" s="37"/>
      <c r="C441" s="37"/>
      <c r="D441" s="162"/>
      <c r="E441" s="89"/>
      <c r="F441" s="72"/>
      <c r="G441" s="111"/>
      <c r="H441" s="111"/>
      <c r="I441" s="111"/>
      <c r="J441" s="111"/>
      <c r="K441" s="111"/>
      <c r="L441" s="111"/>
      <c r="M441" s="94"/>
      <c r="N441" s="94"/>
      <c r="O441" s="94"/>
      <c r="P441" s="94"/>
      <c r="Q441" s="94"/>
      <c r="R441" s="94"/>
      <c r="S441" s="94"/>
      <c r="T441" s="94"/>
      <c r="U441" s="94"/>
      <c r="V441" s="94"/>
      <c r="W441" s="94"/>
      <c r="X441" s="94"/>
      <c r="Y441" s="94"/>
      <c r="Z441" s="94"/>
      <c r="AA441" s="94"/>
      <c r="AB441" s="94"/>
      <c r="AC441" s="94"/>
      <c r="AD441" s="94"/>
      <c r="AE441" s="94"/>
    </row>
    <row r="442">
      <c r="A442" s="87"/>
      <c r="B442" s="37"/>
      <c r="C442" s="37"/>
      <c r="D442" s="162"/>
      <c r="E442" s="89"/>
      <c r="F442" s="72"/>
      <c r="G442" s="111"/>
      <c r="H442" s="111"/>
      <c r="I442" s="111"/>
      <c r="J442" s="111"/>
      <c r="K442" s="111"/>
      <c r="L442" s="111"/>
      <c r="M442" s="94"/>
      <c r="N442" s="94"/>
      <c r="O442" s="94"/>
      <c r="P442" s="94"/>
      <c r="Q442" s="94"/>
      <c r="R442" s="94"/>
      <c r="S442" s="94"/>
      <c r="T442" s="94"/>
      <c r="U442" s="94"/>
      <c r="V442" s="94"/>
      <c r="W442" s="94"/>
      <c r="X442" s="94"/>
      <c r="Y442" s="94"/>
      <c r="Z442" s="94"/>
      <c r="AA442" s="94"/>
      <c r="AB442" s="94"/>
      <c r="AC442" s="94"/>
      <c r="AD442" s="94"/>
      <c r="AE442" s="94"/>
    </row>
    <row r="443">
      <c r="A443" s="87"/>
      <c r="B443" s="37"/>
      <c r="C443" s="37"/>
      <c r="D443" s="162"/>
      <c r="E443" s="89"/>
      <c r="F443" s="72"/>
      <c r="G443" s="111"/>
      <c r="H443" s="111"/>
      <c r="I443" s="111"/>
      <c r="J443" s="111"/>
      <c r="K443" s="111"/>
      <c r="L443" s="111"/>
      <c r="M443" s="94"/>
      <c r="N443" s="94"/>
      <c r="O443" s="94"/>
      <c r="P443" s="94"/>
      <c r="Q443" s="94"/>
      <c r="R443" s="94"/>
      <c r="S443" s="94"/>
      <c r="T443" s="94"/>
      <c r="U443" s="94"/>
      <c r="V443" s="94"/>
      <c r="W443" s="94"/>
      <c r="X443" s="94"/>
      <c r="Y443" s="94"/>
      <c r="Z443" s="94"/>
      <c r="AA443" s="94"/>
      <c r="AB443" s="94"/>
      <c r="AC443" s="94"/>
      <c r="AD443" s="94"/>
      <c r="AE443" s="94"/>
    </row>
    <row r="444">
      <c r="A444" s="87"/>
      <c r="B444" s="37"/>
      <c r="C444" s="37"/>
      <c r="D444" s="162"/>
      <c r="E444" s="89"/>
      <c r="F444" s="72"/>
      <c r="G444" s="111"/>
      <c r="H444" s="111"/>
      <c r="I444" s="111"/>
      <c r="J444" s="111"/>
      <c r="K444" s="111"/>
      <c r="L444" s="111"/>
      <c r="M444" s="94"/>
      <c r="N444" s="94"/>
      <c r="O444" s="94"/>
      <c r="P444" s="94"/>
      <c r="Q444" s="94"/>
      <c r="R444" s="94"/>
      <c r="S444" s="94"/>
      <c r="T444" s="94"/>
      <c r="U444" s="94"/>
      <c r="V444" s="94"/>
      <c r="W444" s="94"/>
      <c r="X444" s="94"/>
      <c r="Y444" s="94"/>
      <c r="Z444" s="94"/>
      <c r="AA444" s="94"/>
      <c r="AB444" s="94"/>
      <c r="AC444" s="94"/>
      <c r="AD444" s="94"/>
      <c r="AE444" s="94"/>
    </row>
    <row r="445">
      <c r="A445" s="87"/>
      <c r="B445" s="37"/>
      <c r="C445" s="37"/>
      <c r="D445" s="162"/>
      <c r="E445" s="89"/>
      <c r="F445" s="72"/>
      <c r="G445" s="111"/>
      <c r="H445" s="111"/>
      <c r="I445" s="111"/>
      <c r="J445" s="111"/>
      <c r="K445" s="111"/>
      <c r="L445" s="111"/>
      <c r="M445" s="94"/>
      <c r="N445" s="94"/>
      <c r="O445" s="94"/>
      <c r="P445" s="94"/>
      <c r="Q445" s="94"/>
      <c r="R445" s="94"/>
      <c r="S445" s="94"/>
      <c r="T445" s="94"/>
      <c r="U445" s="94"/>
      <c r="V445" s="94"/>
      <c r="W445" s="94"/>
      <c r="X445" s="94"/>
      <c r="Y445" s="94"/>
      <c r="Z445" s="94"/>
      <c r="AA445" s="94"/>
      <c r="AB445" s="94"/>
      <c r="AC445" s="94"/>
      <c r="AD445" s="94"/>
      <c r="AE445" s="94"/>
    </row>
    <row r="446">
      <c r="A446" s="87"/>
      <c r="B446" s="37"/>
      <c r="C446" s="37"/>
      <c r="D446" s="162"/>
      <c r="E446" s="89"/>
      <c r="F446" s="72"/>
      <c r="G446" s="111"/>
      <c r="H446" s="111"/>
      <c r="I446" s="111"/>
      <c r="J446" s="111"/>
      <c r="K446" s="111"/>
      <c r="L446" s="111"/>
      <c r="M446" s="94"/>
      <c r="N446" s="94"/>
      <c r="O446" s="94"/>
      <c r="P446" s="94"/>
      <c r="Q446" s="94"/>
      <c r="R446" s="94"/>
      <c r="S446" s="94"/>
      <c r="T446" s="94"/>
      <c r="U446" s="94"/>
      <c r="V446" s="94"/>
      <c r="W446" s="94"/>
      <c r="X446" s="94"/>
      <c r="Y446" s="94"/>
      <c r="Z446" s="94"/>
      <c r="AA446" s="94"/>
      <c r="AB446" s="94"/>
      <c r="AC446" s="94"/>
      <c r="AD446" s="94"/>
      <c r="AE446" s="94"/>
    </row>
    <row r="447">
      <c r="A447" s="87"/>
      <c r="B447" s="37"/>
      <c r="C447" s="37"/>
      <c r="D447" s="162"/>
      <c r="E447" s="89"/>
      <c r="F447" s="72"/>
      <c r="G447" s="111"/>
      <c r="H447" s="111"/>
      <c r="I447" s="111"/>
      <c r="J447" s="111"/>
      <c r="K447" s="111"/>
      <c r="L447" s="111"/>
      <c r="M447" s="94"/>
      <c r="N447" s="94"/>
      <c r="O447" s="94"/>
      <c r="P447" s="94"/>
      <c r="Q447" s="94"/>
      <c r="R447" s="94"/>
      <c r="S447" s="94"/>
      <c r="T447" s="94"/>
      <c r="U447" s="94"/>
      <c r="V447" s="94"/>
      <c r="W447" s="94"/>
      <c r="X447" s="94"/>
      <c r="Y447" s="94"/>
      <c r="Z447" s="94"/>
      <c r="AA447" s="94"/>
      <c r="AB447" s="94"/>
      <c r="AC447" s="94"/>
      <c r="AD447" s="94"/>
      <c r="AE447" s="94"/>
    </row>
    <row r="448">
      <c r="A448" s="87"/>
      <c r="B448" s="37"/>
      <c r="C448" s="37"/>
      <c r="D448" s="162"/>
      <c r="E448" s="89"/>
      <c r="F448" s="72"/>
      <c r="G448" s="111"/>
      <c r="H448" s="111"/>
      <c r="I448" s="111"/>
      <c r="J448" s="111"/>
      <c r="K448" s="111"/>
      <c r="L448" s="111"/>
      <c r="M448" s="94"/>
      <c r="N448" s="94"/>
      <c r="O448" s="94"/>
      <c r="P448" s="94"/>
      <c r="Q448" s="94"/>
      <c r="R448" s="94"/>
      <c r="S448" s="94"/>
      <c r="T448" s="94"/>
      <c r="U448" s="94"/>
      <c r="V448" s="94"/>
      <c r="W448" s="94"/>
      <c r="X448" s="94"/>
      <c r="Y448" s="94"/>
      <c r="Z448" s="94"/>
      <c r="AA448" s="94"/>
      <c r="AB448" s="94"/>
      <c r="AC448" s="94"/>
      <c r="AD448" s="94"/>
      <c r="AE448" s="94"/>
    </row>
    <row r="449">
      <c r="A449" s="87"/>
      <c r="B449" s="37"/>
      <c r="C449" s="37"/>
      <c r="D449" s="162"/>
      <c r="E449" s="89"/>
      <c r="F449" s="72"/>
      <c r="G449" s="111"/>
      <c r="H449" s="111"/>
      <c r="I449" s="111"/>
      <c r="J449" s="111"/>
      <c r="K449" s="111"/>
      <c r="L449" s="111"/>
      <c r="M449" s="94"/>
      <c r="N449" s="94"/>
      <c r="O449" s="94"/>
      <c r="P449" s="94"/>
      <c r="Q449" s="94"/>
      <c r="R449" s="94"/>
      <c r="S449" s="94"/>
      <c r="T449" s="94"/>
      <c r="U449" s="94"/>
      <c r="V449" s="94"/>
      <c r="W449" s="94"/>
      <c r="X449" s="94"/>
      <c r="Y449" s="94"/>
      <c r="Z449" s="94"/>
      <c r="AA449" s="94"/>
      <c r="AB449" s="94"/>
      <c r="AC449" s="94"/>
      <c r="AD449" s="94"/>
      <c r="AE449" s="94"/>
    </row>
    <row r="450">
      <c r="A450" s="87"/>
      <c r="B450" s="37"/>
      <c r="C450" s="37"/>
      <c r="D450" s="162"/>
      <c r="E450" s="89"/>
      <c r="F450" s="72"/>
      <c r="G450" s="111"/>
      <c r="H450" s="111"/>
      <c r="I450" s="111"/>
      <c r="J450" s="111"/>
      <c r="K450" s="111"/>
      <c r="L450" s="111"/>
      <c r="M450" s="94"/>
      <c r="N450" s="94"/>
      <c r="O450" s="94"/>
      <c r="P450" s="94"/>
      <c r="Q450" s="94"/>
      <c r="R450" s="94"/>
      <c r="S450" s="94"/>
      <c r="T450" s="94"/>
      <c r="U450" s="94"/>
      <c r="V450" s="94"/>
      <c r="W450" s="94"/>
      <c r="X450" s="94"/>
      <c r="Y450" s="94"/>
      <c r="Z450" s="94"/>
      <c r="AA450" s="94"/>
      <c r="AB450" s="94"/>
      <c r="AC450" s="94"/>
      <c r="AD450" s="94"/>
      <c r="AE450" s="94"/>
    </row>
    <row r="451">
      <c r="A451" s="87"/>
      <c r="B451" s="37"/>
      <c r="C451" s="37"/>
      <c r="D451" s="162"/>
      <c r="E451" s="89"/>
      <c r="F451" s="72"/>
      <c r="G451" s="111"/>
      <c r="H451" s="111"/>
      <c r="I451" s="111"/>
      <c r="J451" s="111"/>
      <c r="K451" s="111"/>
      <c r="L451" s="111"/>
      <c r="M451" s="94"/>
      <c r="N451" s="94"/>
      <c r="O451" s="94"/>
      <c r="P451" s="94"/>
      <c r="Q451" s="94"/>
      <c r="R451" s="94"/>
      <c r="S451" s="94"/>
      <c r="T451" s="94"/>
      <c r="U451" s="94"/>
      <c r="V451" s="94"/>
      <c r="W451" s="94"/>
      <c r="X451" s="94"/>
      <c r="Y451" s="94"/>
      <c r="Z451" s="94"/>
      <c r="AA451" s="94"/>
      <c r="AB451" s="94"/>
      <c r="AC451" s="94"/>
      <c r="AD451" s="94"/>
      <c r="AE451" s="94"/>
    </row>
    <row r="452">
      <c r="A452" s="87"/>
      <c r="B452" s="37"/>
      <c r="C452" s="37"/>
      <c r="D452" s="162"/>
      <c r="E452" s="89"/>
      <c r="F452" s="72"/>
      <c r="G452" s="111"/>
      <c r="H452" s="111"/>
      <c r="I452" s="111"/>
      <c r="J452" s="111"/>
      <c r="K452" s="111"/>
      <c r="L452" s="111"/>
      <c r="M452" s="94"/>
      <c r="N452" s="94"/>
      <c r="O452" s="94"/>
      <c r="P452" s="94"/>
      <c r="Q452" s="94"/>
      <c r="R452" s="94"/>
      <c r="S452" s="94"/>
      <c r="T452" s="94"/>
      <c r="U452" s="94"/>
      <c r="V452" s="94"/>
      <c r="W452" s="94"/>
      <c r="X452" s="94"/>
      <c r="Y452" s="94"/>
      <c r="Z452" s="94"/>
      <c r="AA452" s="94"/>
      <c r="AB452" s="94"/>
      <c r="AC452" s="94"/>
      <c r="AD452" s="94"/>
      <c r="AE452" s="94"/>
    </row>
    <row r="453">
      <c r="A453" s="87"/>
      <c r="B453" s="37"/>
      <c r="C453" s="37"/>
      <c r="D453" s="162"/>
      <c r="E453" s="89"/>
      <c r="F453" s="72"/>
      <c r="G453" s="111"/>
      <c r="H453" s="111"/>
      <c r="I453" s="111"/>
      <c r="J453" s="111"/>
      <c r="K453" s="111"/>
      <c r="L453" s="111"/>
      <c r="M453" s="94"/>
      <c r="N453" s="94"/>
      <c r="O453" s="94"/>
      <c r="P453" s="94"/>
      <c r="Q453" s="94"/>
      <c r="R453" s="94"/>
      <c r="S453" s="94"/>
      <c r="T453" s="94"/>
      <c r="U453" s="94"/>
      <c r="V453" s="94"/>
      <c r="W453" s="94"/>
      <c r="X453" s="94"/>
      <c r="Y453" s="94"/>
      <c r="Z453" s="94"/>
      <c r="AA453" s="94"/>
      <c r="AB453" s="94"/>
      <c r="AC453" s="94"/>
      <c r="AD453" s="94"/>
      <c r="AE453" s="94"/>
    </row>
    <row r="454">
      <c r="A454" s="87"/>
      <c r="B454" s="37"/>
      <c r="C454" s="37"/>
      <c r="D454" s="162"/>
      <c r="E454" s="89"/>
      <c r="F454" s="72"/>
      <c r="G454" s="111"/>
      <c r="H454" s="111"/>
      <c r="I454" s="111"/>
      <c r="J454" s="111"/>
      <c r="K454" s="111"/>
      <c r="L454" s="111"/>
      <c r="M454" s="94"/>
      <c r="N454" s="94"/>
      <c r="O454" s="94"/>
      <c r="P454" s="94"/>
      <c r="Q454" s="94"/>
      <c r="R454" s="94"/>
      <c r="S454" s="94"/>
      <c r="T454" s="94"/>
      <c r="U454" s="94"/>
      <c r="V454" s="94"/>
      <c r="W454" s="94"/>
      <c r="X454" s="94"/>
      <c r="Y454" s="94"/>
      <c r="Z454" s="94"/>
      <c r="AA454" s="94"/>
      <c r="AB454" s="94"/>
      <c r="AC454" s="94"/>
      <c r="AD454" s="94"/>
      <c r="AE454" s="94"/>
    </row>
    <row r="455">
      <c r="A455" s="87"/>
      <c r="B455" s="37"/>
      <c r="C455" s="37"/>
      <c r="D455" s="162"/>
      <c r="E455" s="89"/>
      <c r="F455" s="72"/>
      <c r="G455" s="111"/>
      <c r="H455" s="111"/>
      <c r="I455" s="111"/>
      <c r="J455" s="111"/>
      <c r="K455" s="111"/>
      <c r="L455" s="111"/>
      <c r="M455" s="94"/>
      <c r="N455" s="94"/>
      <c r="O455" s="94"/>
      <c r="P455" s="94"/>
      <c r="Q455" s="94"/>
      <c r="R455" s="94"/>
      <c r="S455" s="94"/>
      <c r="T455" s="94"/>
      <c r="U455" s="94"/>
      <c r="V455" s="94"/>
      <c r="W455" s="94"/>
      <c r="X455" s="94"/>
      <c r="Y455" s="94"/>
      <c r="Z455" s="94"/>
      <c r="AA455" s="94"/>
      <c r="AB455" s="94"/>
      <c r="AC455" s="94"/>
      <c r="AD455" s="94"/>
      <c r="AE455" s="94"/>
    </row>
    <row r="456">
      <c r="A456" s="87"/>
      <c r="B456" s="37"/>
      <c r="C456" s="37"/>
      <c r="D456" s="162"/>
      <c r="E456" s="89"/>
      <c r="F456" s="72"/>
      <c r="G456" s="111"/>
      <c r="H456" s="111"/>
      <c r="I456" s="111"/>
      <c r="J456" s="111"/>
      <c r="K456" s="111"/>
      <c r="L456" s="111"/>
      <c r="M456" s="94"/>
      <c r="N456" s="94"/>
      <c r="O456" s="94"/>
      <c r="P456" s="94"/>
      <c r="Q456" s="94"/>
      <c r="R456" s="94"/>
      <c r="S456" s="94"/>
      <c r="T456" s="94"/>
      <c r="U456" s="94"/>
      <c r="V456" s="94"/>
      <c r="W456" s="94"/>
      <c r="X456" s="94"/>
      <c r="Y456" s="94"/>
      <c r="Z456" s="94"/>
      <c r="AA456" s="94"/>
      <c r="AB456" s="94"/>
      <c r="AC456" s="94"/>
      <c r="AD456" s="94"/>
      <c r="AE456" s="94"/>
    </row>
    <row r="457">
      <c r="A457" s="87"/>
      <c r="B457" s="37"/>
      <c r="C457" s="37"/>
      <c r="D457" s="162"/>
      <c r="E457" s="89"/>
      <c r="F457" s="72"/>
      <c r="G457" s="111"/>
      <c r="H457" s="111"/>
      <c r="I457" s="111"/>
      <c r="J457" s="111"/>
      <c r="K457" s="111"/>
      <c r="L457" s="111"/>
      <c r="M457" s="94"/>
      <c r="N457" s="94"/>
      <c r="O457" s="94"/>
      <c r="P457" s="94"/>
      <c r="Q457" s="94"/>
      <c r="R457" s="94"/>
      <c r="S457" s="94"/>
      <c r="T457" s="94"/>
      <c r="U457" s="94"/>
      <c r="V457" s="94"/>
      <c r="W457" s="94"/>
      <c r="X457" s="94"/>
      <c r="Y457" s="94"/>
      <c r="Z457" s="94"/>
      <c r="AA457" s="94"/>
      <c r="AB457" s="94"/>
      <c r="AC457" s="94"/>
      <c r="AD457" s="94"/>
      <c r="AE457" s="94"/>
    </row>
    <row r="458">
      <c r="A458" s="87"/>
      <c r="B458" s="37"/>
      <c r="C458" s="37"/>
      <c r="D458" s="162"/>
      <c r="E458" s="89"/>
      <c r="F458" s="72"/>
      <c r="G458" s="111"/>
      <c r="H458" s="111"/>
      <c r="I458" s="111"/>
      <c r="J458" s="111"/>
      <c r="K458" s="111"/>
      <c r="L458" s="111"/>
      <c r="M458" s="94"/>
      <c r="N458" s="94"/>
      <c r="O458" s="94"/>
      <c r="P458" s="94"/>
      <c r="Q458" s="94"/>
      <c r="R458" s="94"/>
      <c r="S458" s="94"/>
      <c r="T458" s="94"/>
      <c r="U458" s="94"/>
      <c r="V458" s="94"/>
      <c r="W458" s="94"/>
      <c r="X458" s="94"/>
      <c r="Y458" s="94"/>
      <c r="Z458" s="94"/>
      <c r="AA458" s="94"/>
      <c r="AB458" s="94"/>
      <c r="AC458" s="94"/>
      <c r="AD458" s="94"/>
      <c r="AE458" s="94"/>
    </row>
    <row r="459">
      <c r="A459" s="87"/>
      <c r="B459" s="37"/>
      <c r="C459" s="37"/>
      <c r="D459" s="162"/>
      <c r="E459" s="89"/>
      <c r="F459" s="72"/>
      <c r="G459" s="111"/>
      <c r="H459" s="111"/>
      <c r="I459" s="111"/>
      <c r="J459" s="111"/>
      <c r="K459" s="111"/>
      <c r="L459" s="111"/>
      <c r="M459" s="94"/>
      <c r="N459" s="94"/>
      <c r="O459" s="94"/>
      <c r="P459" s="94"/>
      <c r="Q459" s="94"/>
      <c r="R459" s="94"/>
      <c r="S459" s="94"/>
      <c r="T459" s="94"/>
      <c r="U459" s="94"/>
      <c r="V459" s="94"/>
      <c r="W459" s="94"/>
      <c r="X459" s="94"/>
      <c r="Y459" s="94"/>
      <c r="Z459" s="94"/>
      <c r="AA459" s="94"/>
      <c r="AB459" s="94"/>
      <c r="AC459" s="94"/>
      <c r="AD459" s="94"/>
      <c r="AE459" s="94"/>
    </row>
    <row r="460">
      <c r="A460" s="87"/>
      <c r="B460" s="37"/>
      <c r="C460" s="37"/>
      <c r="D460" s="162"/>
      <c r="E460" s="89"/>
      <c r="F460" s="72"/>
      <c r="G460" s="111"/>
      <c r="H460" s="111"/>
      <c r="I460" s="111"/>
      <c r="J460" s="111"/>
      <c r="K460" s="111"/>
      <c r="L460" s="111"/>
      <c r="M460" s="94"/>
      <c r="N460" s="94"/>
      <c r="O460" s="94"/>
      <c r="P460" s="94"/>
      <c r="Q460" s="94"/>
      <c r="R460" s="94"/>
      <c r="S460" s="94"/>
      <c r="T460" s="94"/>
      <c r="U460" s="94"/>
      <c r="V460" s="94"/>
      <c r="W460" s="94"/>
      <c r="X460" s="94"/>
      <c r="Y460" s="94"/>
      <c r="Z460" s="94"/>
      <c r="AA460" s="94"/>
      <c r="AB460" s="94"/>
      <c r="AC460" s="94"/>
      <c r="AD460" s="94"/>
      <c r="AE460" s="94"/>
    </row>
    <row r="461">
      <c r="A461" s="87"/>
      <c r="B461" s="37"/>
      <c r="C461" s="37"/>
      <c r="D461" s="162"/>
      <c r="E461" s="89"/>
      <c r="F461" s="72"/>
      <c r="G461" s="111"/>
      <c r="H461" s="111"/>
      <c r="I461" s="111"/>
      <c r="J461" s="111"/>
      <c r="K461" s="111"/>
      <c r="L461" s="111"/>
      <c r="M461" s="94"/>
      <c r="N461" s="94"/>
      <c r="O461" s="94"/>
      <c r="P461" s="94"/>
      <c r="Q461" s="94"/>
      <c r="R461" s="94"/>
      <c r="S461" s="94"/>
      <c r="T461" s="94"/>
      <c r="U461" s="94"/>
      <c r="V461" s="94"/>
      <c r="W461" s="94"/>
      <c r="X461" s="94"/>
      <c r="Y461" s="94"/>
      <c r="Z461" s="94"/>
      <c r="AA461" s="94"/>
      <c r="AB461" s="94"/>
      <c r="AC461" s="94"/>
      <c r="AD461" s="94"/>
      <c r="AE461" s="94"/>
    </row>
    <row r="462">
      <c r="A462" s="87"/>
      <c r="B462" s="37"/>
      <c r="C462" s="37"/>
      <c r="D462" s="162"/>
      <c r="E462" s="89"/>
      <c r="F462" s="72"/>
      <c r="G462" s="111"/>
      <c r="H462" s="111"/>
      <c r="I462" s="111"/>
      <c r="J462" s="111"/>
      <c r="K462" s="111"/>
      <c r="L462" s="111"/>
      <c r="M462" s="94"/>
      <c r="N462" s="94"/>
      <c r="O462" s="94"/>
      <c r="P462" s="94"/>
      <c r="Q462" s="94"/>
      <c r="R462" s="94"/>
      <c r="S462" s="94"/>
      <c r="T462" s="94"/>
      <c r="U462" s="94"/>
      <c r="V462" s="94"/>
      <c r="W462" s="94"/>
      <c r="X462" s="94"/>
      <c r="Y462" s="94"/>
      <c r="Z462" s="94"/>
      <c r="AA462" s="94"/>
      <c r="AB462" s="94"/>
      <c r="AC462" s="94"/>
      <c r="AD462" s="94"/>
      <c r="AE462" s="94"/>
    </row>
    <row r="463">
      <c r="A463" s="87"/>
      <c r="B463" s="37"/>
      <c r="C463" s="37"/>
      <c r="D463" s="162"/>
      <c r="E463" s="89"/>
      <c r="F463" s="72"/>
      <c r="G463" s="111"/>
      <c r="H463" s="111"/>
      <c r="I463" s="111"/>
      <c r="J463" s="111"/>
      <c r="K463" s="111"/>
      <c r="L463" s="111"/>
      <c r="M463" s="94"/>
      <c r="N463" s="94"/>
      <c r="O463" s="94"/>
      <c r="P463" s="94"/>
      <c r="Q463" s="94"/>
      <c r="R463" s="94"/>
      <c r="S463" s="94"/>
      <c r="T463" s="94"/>
      <c r="U463" s="94"/>
      <c r="V463" s="94"/>
      <c r="W463" s="94"/>
      <c r="X463" s="94"/>
      <c r="Y463" s="94"/>
      <c r="Z463" s="94"/>
      <c r="AA463" s="94"/>
      <c r="AB463" s="94"/>
      <c r="AC463" s="94"/>
      <c r="AD463" s="94"/>
      <c r="AE463" s="94"/>
    </row>
    <row r="464">
      <c r="A464" s="87"/>
      <c r="B464" s="37"/>
      <c r="C464" s="37"/>
      <c r="D464" s="162"/>
      <c r="E464" s="89"/>
      <c r="F464" s="72"/>
      <c r="G464" s="111"/>
      <c r="H464" s="111"/>
      <c r="I464" s="111"/>
      <c r="J464" s="111"/>
      <c r="K464" s="111"/>
      <c r="L464" s="111"/>
      <c r="M464" s="94"/>
      <c r="N464" s="94"/>
      <c r="O464" s="94"/>
      <c r="P464" s="94"/>
      <c r="Q464" s="94"/>
      <c r="R464" s="94"/>
      <c r="S464" s="94"/>
      <c r="T464" s="94"/>
      <c r="U464" s="94"/>
      <c r="V464" s="94"/>
      <c r="W464" s="94"/>
      <c r="X464" s="94"/>
      <c r="Y464" s="94"/>
      <c r="Z464" s="94"/>
      <c r="AA464" s="94"/>
      <c r="AB464" s="94"/>
      <c r="AC464" s="94"/>
      <c r="AD464" s="94"/>
      <c r="AE464" s="94"/>
    </row>
    <row r="465">
      <c r="A465" s="87"/>
      <c r="B465" s="37"/>
      <c r="C465" s="37"/>
      <c r="D465" s="162"/>
      <c r="E465" s="89"/>
      <c r="F465" s="72"/>
      <c r="G465" s="111"/>
      <c r="H465" s="111"/>
      <c r="I465" s="111"/>
      <c r="J465" s="111"/>
      <c r="K465" s="111"/>
      <c r="L465" s="111"/>
      <c r="M465" s="94"/>
      <c r="N465" s="94"/>
      <c r="O465" s="94"/>
      <c r="P465" s="94"/>
      <c r="Q465" s="94"/>
      <c r="R465" s="94"/>
      <c r="S465" s="94"/>
      <c r="T465" s="94"/>
      <c r="U465" s="94"/>
      <c r="V465" s="94"/>
      <c r="W465" s="94"/>
      <c r="X465" s="94"/>
      <c r="Y465" s="94"/>
      <c r="Z465" s="94"/>
      <c r="AA465" s="94"/>
      <c r="AB465" s="94"/>
      <c r="AC465" s="94"/>
      <c r="AD465" s="94"/>
      <c r="AE465" s="94"/>
    </row>
    <row r="466">
      <c r="A466" s="87"/>
      <c r="B466" s="37"/>
      <c r="C466" s="37"/>
      <c r="D466" s="162"/>
      <c r="E466" s="89"/>
      <c r="F466" s="72"/>
      <c r="G466" s="111"/>
      <c r="H466" s="111"/>
      <c r="I466" s="111"/>
      <c r="J466" s="111"/>
      <c r="K466" s="111"/>
      <c r="L466" s="111"/>
      <c r="M466" s="94"/>
      <c r="N466" s="94"/>
      <c r="O466" s="94"/>
      <c r="P466" s="94"/>
      <c r="Q466" s="94"/>
      <c r="R466" s="94"/>
      <c r="S466" s="94"/>
      <c r="T466" s="94"/>
      <c r="U466" s="94"/>
      <c r="V466" s="94"/>
      <c r="W466" s="94"/>
      <c r="X466" s="94"/>
      <c r="Y466" s="94"/>
      <c r="Z466" s="94"/>
      <c r="AA466" s="94"/>
      <c r="AB466" s="94"/>
      <c r="AC466" s="94"/>
      <c r="AD466" s="94"/>
      <c r="AE466" s="94"/>
    </row>
    <row r="467">
      <c r="A467" s="87"/>
      <c r="B467" s="37"/>
      <c r="C467" s="37"/>
      <c r="D467" s="162"/>
      <c r="E467" s="89"/>
      <c r="F467" s="72"/>
      <c r="G467" s="111"/>
      <c r="H467" s="111"/>
      <c r="I467" s="111"/>
      <c r="J467" s="111"/>
      <c r="K467" s="111"/>
      <c r="L467" s="111"/>
      <c r="M467" s="94"/>
      <c r="N467" s="94"/>
      <c r="O467" s="94"/>
      <c r="P467" s="94"/>
      <c r="Q467" s="94"/>
      <c r="R467" s="94"/>
      <c r="S467" s="94"/>
      <c r="T467" s="94"/>
      <c r="U467" s="94"/>
      <c r="V467" s="94"/>
      <c r="W467" s="94"/>
      <c r="X467" s="94"/>
      <c r="Y467" s="94"/>
      <c r="Z467" s="94"/>
      <c r="AA467" s="94"/>
      <c r="AB467" s="94"/>
      <c r="AC467" s="94"/>
      <c r="AD467" s="94"/>
      <c r="AE467" s="94"/>
    </row>
    <row r="468">
      <c r="A468" s="87"/>
      <c r="B468" s="37"/>
      <c r="C468" s="37"/>
      <c r="D468" s="162"/>
      <c r="E468" s="89"/>
      <c r="F468" s="72"/>
      <c r="G468" s="111"/>
      <c r="H468" s="111"/>
      <c r="I468" s="111"/>
      <c r="J468" s="111"/>
      <c r="K468" s="111"/>
      <c r="L468" s="111"/>
      <c r="M468" s="94"/>
      <c r="N468" s="94"/>
      <c r="O468" s="94"/>
      <c r="P468" s="94"/>
      <c r="Q468" s="94"/>
      <c r="R468" s="94"/>
      <c r="S468" s="94"/>
      <c r="T468" s="94"/>
      <c r="U468" s="94"/>
      <c r="V468" s="94"/>
      <c r="W468" s="94"/>
      <c r="X468" s="94"/>
      <c r="Y468" s="94"/>
      <c r="Z468" s="94"/>
      <c r="AA468" s="94"/>
      <c r="AB468" s="94"/>
      <c r="AC468" s="94"/>
      <c r="AD468" s="94"/>
      <c r="AE468" s="94"/>
    </row>
    <row r="469">
      <c r="A469" s="87"/>
      <c r="B469" s="37"/>
      <c r="C469" s="37"/>
      <c r="D469" s="162"/>
      <c r="E469" s="89"/>
      <c r="F469" s="72"/>
      <c r="G469" s="111"/>
      <c r="H469" s="111"/>
      <c r="I469" s="111"/>
      <c r="J469" s="111"/>
      <c r="K469" s="111"/>
      <c r="L469" s="111"/>
      <c r="M469" s="94"/>
      <c r="N469" s="94"/>
      <c r="O469" s="94"/>
      <c r="P469" s="94"/>
      <c r="Q469" s="94"/>
      <c r="R469" s="94"/>
      <c r="S469" s="94"/>
      <c r="T469" s="94"/>
      <c r="U469" s="94"/>
      <c r="V469" s="94"/>
      <c r="W469" s="94"/>
      <c r="X469" s="94"/>
      <c r="Y469" s="94"/>
      <c r="Z469" s="94"/>
      <c r="AA469" s="94"/>
      <c r="AB469" s="94"/>
      <c r="AC469" s="94"/>
      <c r="AD469" s="94"/>
      <c r="AE469" s="94"/>
    </row>
    <row r="470">
      <c r="A470" s="87"/>
      <c r="B470" s="37"/>
      <c r="C470" s="37"/>
      <c r="D470" s="162"/>
      <c r="E470" s="89"/>
      <c r="F470" s="72"/>
      <c r="G470" s="111"/>
      <c r="H470" s="111"/>
      <c r="I470" s="111"/>
      <c r="J470" s="111"/>
      <c r="K470" s="111"/>
      <c r="L470" s="111"/>
      <c r="M470" s="94"/>
      <c r="N470" s="94"/>
      <c r="O470" s="94"/>
      <c r="P470" s="94"/>
      <c r="Q470" s="94"/>
      <c r="R470" s="94"/>
      <c r="S470" s="94"/>
      <c r="T470" s="94"/>
      <c r="U470" s="94"/>
      <c r="V470" s="94"/>
      <c r="W470" s="94"/>
      <c r="X470" s="94"/>
      <c r="Y470" s="94"/>
      <c r="Z470" s="94"/>
      <c r="AA470" s="94"/>
      <c r="AB470" s="94"/>
      <c r="AC470" s="94"/>
      <c r="AD470" s="94"/>
      <c r="AE470" s="94"/>
    </row>
    <row r="471">
      <c r="A471" s="87"/>
      <c r="B471" s="37"/>
      <c r="C471" s="37"/>
      <c r="D471" s="162"/>
      <c r="E471" s="89"/>
      <c r="F471" s="72"/>
      <c r="G471" s="111"/>
      <c r="H471" s="111"/>
      <c r="I471" s="111"/>
      <c r="J471" s="111"/>
      <c r="K471" s="111"/>
      <c r="L471" s="111"/>
      <c r="M471" s="94"/>
      <c r="N471" s="94"/>
      <c r="O471" s="94"/>
      <c r="P471" s="94"/>
      <c r="Q471" s="94"/>
      <c r="R471" s="94"/>
      <c r="S471" s="94"/>
      <c r="T471" s="94"/>
      <c r="U471" s="94"/>
      <c r="V471" s="94"/>
      <c r="W471" s="94"/>
      <c r="X471" s="94"/>
      <c r="Y471" s="94"/>
      <c r="Z471" s="94"/>
      <c r="AA471" s="94"/>
      <c r="AB471" s="94"/>
      <c r="AC471" s="94"/>
      <c r="AD471" s="94"/>
      <c r="AE471" s="94"/>
    </row>
    <row r="472">
      <c r="A472" s="87"/>
      <c r="B472" s="37"/>
      <c r="C472" s="37"/>
      <c r="D472" s="162"/>
      <c r="E472" s="89"/>
      <c r="F472" s="72"/>
      <c r="G472" s="111"/>
      <c r="H472" s="111"/>
      <c r="I472" s="111"/>
      <c r="J472" s="111"/>
      <c r="K472" s="111"/>
      <c r="L472" s="111"/>
      <c r="M472" s="94"/>
      <c r="N472" s="94"/>
      <c r="O472" s="94"/>
      <c r="P472" s="94"/>
      <c r="Q472" s="94"/>
      <c r="R472" s="94"/>
      <c r="S472" s="94"/>
      <c r="T472" s="94"/>
      <c r="U472" s="94"/>
      <c r="V472" s="94"/>
      <c r="W472" s="94"/>
      <c r="X472" s="94"/>
      <c r="Y472" s="94"/>
      <c r="Z472" s="94"/>
      <c r="AA472" s="94"/>
      <c r="AB472" s="94"/>
      <c r="AC472" s="94"/>
      <c r="AD472" s="94"/>
      <c r="AE472" s="94"/>
    </row>
    <row r="473">
      <c r="A473" s="87"/>
      <c r="B473" s="37"/>
      <c r="C473" s="37"/>
      <c r="D473" s="162"/>
      <c r="E473" s="89"/>
      <c r="F473" s="72"/>
      <c r="G473" s="111"/>
      <c r="H473" s="111"/>
      <c r="I473" s="111"/>
      <c r="J473" s="111"/>
      <c r="K473" s="111"/>
      <c r="L473" s="111"/>
      <c r="M473" s="94"/>
      <c r="N473" s="94"/>
      <c r="O473" s="94"/>
      <c r="P473" s="94"/>
      <c r="Q473" s="94"/>
      <c r="R473" s="94"/>
      <c r="S473" s="94"/>
      <c r="T473" s="94"/>
      <c r="U473" s="94"/>
      <c r="V473" s="94"/>
      <c r="W473" s="94"/>
      <c r="X473" s="94"/>
      <c r="Y473" s="94"/>
      <c r="Z473" s="94"/>
      <c r="AA473" s="94"/>
      <c r="AB473" s="94"/>
      <c r="AC473" s="94"/>
      <c r="AD473" s="94"/>
      <c r="AE473" s="94"/>
    </row>
    <row r="474">
      <c r="A474" s="87"/>
      <c r="B474" s="37"/>
      <c r="C474" s="37"/>
      <c r="D474" s="162"/>
      <c r="E474" s="89"/>
      <c r="F474" s="72"/>
      <c r="G474" s="111"/>
      <c r="H474" s="111"/>
      <c r="I474" s="111"/>
      <c r="J474" s="111"/>
      <c r="K474" s="111"/>
      <c r="L474" s="111"/>
      <c r="M474" s="94"/>
      <c r="N474" s="94"/>
      <c r="O474" s="94"/>
      <c r="P474" s="94"/>
      <c r="Q474" s="94"/>
      <c r="R474" s="94"/>
      <c r="S474" s="94"/>
      <c r="T474" s="94"/>
      <c r="U474" s="94"/>
      <c r="V474" s="94"/>
      <c r="W474" s="94"/>
      <c r="X474" s="94"/>
      <c r="Y474" s="94"/>
      <c r="Z474" s="94"/>
      <c r="AA474" s="94"/>
      <c r="AB474" s="94"/>
      <c r="AC474" s="94"/>
      <c r="AD474" s="94"/>
      <c r="AE474" s="94"/>
    </row>
    <row r="475">
      <c r="A475" s="87"/>
      <c r="B475" s="37"/>
      <c r="C475" s="37"/>
      <c r="D475" s="162"/>
      <c r="E475" s="89"/>
      <c r="F475" s="72"/>
      <c r="G475" s="111"/>
      <c r="H475" s="111"/>
      <c r="I475" s="111"/>
      <c r="J475" s="111"/>
      <c r="K475" s="111"/>
      <c r="L475" s="111"/>
      <c r="M475" s="94"/>
      <c r="N475" s="94"/>
      <c r="O475" s="94"/>
      <c r="P475" s="94"/>
      <c r="Q475" s="94"/>
      <c r="R475" s="94"/>
      <c r="S475" s="94"/>
      <c r="T475" s="94"/>
      <c r="U475" s="94"/>
      <c r="V475" s="94"/>
      <c r="W475" s="94"/>
      <c r="X475" s="94"/>
      <c r="Y475" s="94"/>
      <c r="Z475" s="94"/>
      <c r="AA475" s="94"/>
      <c r="AB475" s="94"/>
      <c r="AC475" s="94"/>
      <c r="AD475" s="94"/>
      <c r="AE475" s="94"/>
    </row>
    <row r="476">
      <c r="A476" s="87"/>
      <c r="B476" s="37"/>
      <c r="C476" s="37"/>
      <c r="D476" s="162"/>
      <c r="E476" s="89"/>
      <c r="F476" s="72"/>
      <c r="G476" s="111"/>
      <c r="H476" s="111"/>
      <c r="I476" s="111"/>
      <c r="J476" s="111"/>
      <c r="K476" s="111"/>
      <c r="L476" s="111"/>
      <c r="M476" s="94"/>
      <c r="N476" s="94"/>
      <c r="O476" s="94"/>
      <c r="P476" s="94"/>
      <c r="Q476" s="94"/>
      <c r="R476" s="94"/>
      <c r="S476" s="94"/>
      <c r="T476" s="94"/>
      <c r="U476" s="94"/>
      <c r="V476" s="94"/>
      <c r="W476" s="94"/>
      <c r="X476" s="94"/>
      <c r="Y476" s="94"/>
      <c r="Z476" s="94"/>
      <c r="AA476" s="94"/>
      <c r="AB476" s="94"/>
      <c r="AC476" s="94"/>
      <c r="AD476" s="94"/>
      <c r="AE476" s="94"/>
    </row>
    <row r="477">
      <c r="A477" s="87"/>
      <c r="B477" s="37"/>
      <c r="C477" s="37"/>
      <c r="D477" s="162"/>
      <c r="E477" s="89"/>
      <c r="F477" s="72"/>
      <c r="G477" s="111"/>
      <c r="H477" s="111"/>
      <c r="I477" s="111"/>
      <c r="J477" s="111"/>
      <c r="K477" s="111"/>
      <c r="L477" s="111"/>
      <c r="M477" s="94"/>
      <c r="N477" s="94"/>
      <c r="O477" s="94"/>
      <c r="P477" s="94"/>
      <c r="Q477" s="94"/>
      <c r="R477" s="94"/>
      <c r="S477" s="94"/>
      <c r="T477" s="94"/>
      <c r="U477" s="94"/>
      <c r="V477" s="94"/>
      <c r="W477" s="94"/>
      <c r="X477" s="94"/>
      <c r="Y477" s="94"/>
      <c r="Z477" s="94"/>
      <c r="AA477" s="94"/>
      <c r="AB477" s="94"/>
      <c r="AC477" s="94"/>
      <c r="AD477" s="94"/>
      <c r="AE477" s="94"/>
    </row>
    <row r="478">
      <c r="A478" s="87"/>
      <c r="B478" s="37"/>
      <c r="C478" s="37"/>
      <c r="D478" s="162"/>
      <c r="E478" s="89"/>
      <c r="F478" s="72"/>
      <c r="G478" s="111"/>
      <c r="H478" s="111"/>
      <c r="I478" s="111"/>
      <c r="J478" s="111"/>
      <c r="K478" s="111"/>
      <c r="L478" s="111"/>
      <c r="M478" s="94"/>
      <c r="N478" s="94"/>
      <c r="O478" s="94"/>
      <c r="P478" s="94"/>
      <c r="Q478" s="94"/>
      <c r="R478" s="94"/>
      <c r="S478" s="94"/>
      <c r="T478" s="94"/>
      <c r="U478" s="94"/>
      <c r="V478" s="94"/>
      <c r="W478" s="94"/>
      <c r="X478" s="94"/>
      <c r="Y478" s="94"/>
      <c r="Z478" s="94"/>
      <c r="AA478" s="94"/>
      <c r="AB478" s="94"/>
      <c r="AC478" s="94"/>
      <c r="AD478" s="94"/>
      <c r="AE478" s="94"/>
    </row>
    <row r="479">
      <c r="A479" s="87"/>
      <c r="B479" s="37"/>
      <c r="C479" s="37"/>
      <c r="D479" s="162"/>
      <c r="E479" s="89"/>
      <c r="F479" s="72"/>
      <c r="G479" s="111"/>
      <c r="H479" s="111"/>
      <c r="I479" s="111"/>
      <c r="J479" s="111"/>
      <c r="K479" s="111"/>
      <c r="L479" s="111"/>
      <c r="M479" s="94"/>
      <c r="N479" s="94"/>
      <c r="O479" s="94"/>
      <c r="P479" s="94"/>
      <c r="Q479" s="94"/>
      <c r="R479" s="94"/>
      <c r="S479" s="94"/>
      <c r="T479" s="94"/>
      <c r="U479" s="94"/>
      <c r="V479" s="94"/>
      <c r="W479" s="94"/>
      <c r="X479" s="94"/>
      <c r="Y479" s="94"/>
      <c r="Z479" s="94"/>
      <c r="AA479" s="94"/>
      <c r="AB479" s="94"/>
      <c r="AC479" s="94"/>
      <c r="AD479" s="94"/>
      <c r="AE479" s="94"/>
    </row>
    <row r="480">
      <c r="A480" s="87"/>
      <c r="B480" s="37"/>
      <c r="C480" s="37"/>
      <c r="D480" s="162"/>
      <c r="E480" s="89"/>
      <c r="F480" s="72"/>
      <c r="G480" s="111"/>
      <c r="H480" s="111"/>
      <c r="I480" s="111"/>
      <c r="J480" s="111"/>
      <c r="K480" s="111"/>
      <c r="L480" s="111"/>
      <c r="M480" s="94"/>
      <c r="N480" s="94"/>
      <c r="O480" s="94"/>
      <c r="P480" s="94"/>
      <c r="Q480" s="94"/>
      <c r="R480" s="94"/>
      <c r="S480" s="94"/>
      <c r="T480" s="94"/>
      <c r="U480" s="94"/>
      <c r="V480" s="94"/>
      <c r="W480" s="94"/>
      <c r="X480" s="94"/>
      <c r="Y480" s="94"/>
      <c r="Z480" s="94"/>
      <c r="AA480" s="94"/>
      <c r="AB480" s="94"/>
      <c r="AC480" s="94"/>
      <c r="AD480" s="94"/>
      <c r="AE480" s="94"/>
    </row>
    <row r="481">
      <c r="A481" s="87"/>
      <c r="B481" s="37"/>
      <c r="C481" s="37"/>
      <c r="D481" s="162"/>
      <c r="E481" s="89"/>
      <c r="F481" s="72"/>
      <c r="G481" s="111"/>
      <c r="H481" s="111"/>
      <c r="I481" s="111"/>
      <c r="J481" s="111"/>
      <c r="K481" s="111"/>
      <c r="L481" s="111"/>
      <c r="M481" s="94"/>
      <c r="N481" s="94"/>
      <c r="O481" s="94"/>
      <c r="P481" s="94"/>
      <c r="Q481" s="94"/>
      <c r="R481" s="94"/>
      <c r="S481" s="94"/>
      <c r="T481" s="94"/>
      <c r="U481" s="94"/>
      <c r="V481" s="94"/>
      <c r="W481" s="94"/>
      <c r="X481" s="94"/>
      <c r="Y481" s="94"/>
      <c r="Z481" s="94"/>
      <c r="AA481" s="94"/>
      <c r="AB481" s="94"/>
      <c r="AC481" s="94"/>
      <c r="AD481" s="94"/>
      <c r="AE481" s="94"/>
    </row>
    <row r="482">
      <c r="A482" s="87"/>
      <c r="B482" s="37"/>
      <c r="C482" s="37"/>
      <c r="D482" s="162"/>
      <c r="E482" s="89"/>
      <c r="F482" s="72"/>
      <c r="G482" s="111"/>
      <c r="H482" s="111"/>
      <c r="I482" s="111"/>
      <c r="J482" s="111"/>
      <c r="K482" s="111"/>
      <c r="L482" s="111"/>
      <c r="M482" s="94"/>
      <c r="N482" s="94"/>
      <c r="O482" s="94"/>
      <c r="P482" s="94"/>
      <c r="Q482" s="94"/>
      <c r="R482" s="94"/>
      <c r="S482" s="94"/>
      <c r="T482" s="94"/>
      <c r="U482" s="94"/>
      <c r="V482" s="94"/>
      <c r="W482" s="94"/>
      <c r="X482" s="94"/>
      <c r="Y482" s="94"/>
      <c r="Z482" s="94"/>
      <c r="AA482" s="94"/>
      <c r="AB482" s="94"/>
      <c r="AC482" s="94"/>
      <c r="AD482" s="94"/>
      <c r="AE482" s="94"/>
    </row>
    <row r="483">
      <c r="A483" s="87"/>
      <c r="B483" s="37"/>
      <c r="C483" s="37"/>
      <c r="D483" s="162"/>
      <c r="E483" s="89"/>
      <c r="F483" s="72"/>
      <c r="G483" s="111"/>
      <c r="H483" s="111"/>
      <c r="I483" s="111"/>
      <c r="J483" s="111"/>
      <c r="K483" s="111"/>
      <c r="L483" s="111"/>
      <c r="M483" s="94"/>
      <c r="N483" s="94"/>
      <c r="O483" s="94"/>
      <c r="P483" s="94"/>
      <c r="Q483" s="94"/>
      <c r="R483" s="94"/>
      <c r="S483" s="94"/>
      <c r="T483" s="94"/>
      <c r="U483" s="94"/>
      <c r="V483" s="94"/>
      <c r="W483" s="94"/>
      <c r="X483" s="94"/>
      <c r="Y483" s="94"/>
      <c r="Z483" s="94"/>
      <c r="AA483" s="94"/>
      <c r="AB483" s="94"/>
      <c r="AC483" s="94"/>
      <c r="AD483" s="94"/>
      <c r="AE483" s="94"/>
    </row>
    <row r="484">
      <c r="A484" s="87"/>
      <c r="B484" s="37"/>
      <c r="C484" s="37"/>
      <c r="D484" s="162"/>
      <c r="E484" s="89"/>
      <c r="F484" s="72"/>
      <c r="G484" s="111"/>
      <c r="H484" s="111"/>
      <c r="I484" s="111"/>
      <c r="J484" s="111"/>
      <c r="K484" s="111"/>
      <c r="L484" s="111"/>
      <c r="M484" s="94"/>
      <c r="N484" s="94"/>
      <c r="O484" s="94"/>
      <c r="P484" s="94"/>
      <c r="Q484" s="94"/>
      <c r="R484" s="94"/>
      <c r="S484" s="94"/>
      <c r="T484" s="94"/>
      <c r="U484" s="94"/>
      <c r="V484" s="94"/>
      <c r="W484" s="94"/>
      <c r="X484" s="94"/>
      <c r="Y484" s="94"/>
      <c r="Z484" s="94"/>
      <c r="AA484" s="94"/>
      <c r="AB484" s="94"/>
      <c r="AC484" s="94"/>
      <c r="AD484" s="94"/>
      <c r="AE484" s="94"/>
    </row>
    <row r="485">
      <c r="A485" s="87"/>
      <c r="B485" s="37"/>
      <c r="C485" s="37"/>
      <c r="D485" s="162"/>
      <c r="E485" s="89"/>
      <c r="F485" s="72"/>
      <c r="G485" s="111"/>
      <c r="H485" s="111"/>
      <c r="I485" s="111"/>
      <c r="J485" s="111"/>
      <c r="K485" s="111"/>
      <c r="L485" s="111"/>
      <c r="M485" s="94"/>
      <c r="N485" s="94"/>
      <c r="O485" s="94"/>
      <c r="P485" s="94"/>
      <c r="Q485" s="94"/>
      <c r="R485" s="94"/>
      <c r="S485" s="94"/>
      <c r="T485" s="94"/>
      <c r="U485" s="94"/>
      <c r="V485" s="94"/>
      <c r="W485" s="94"/>
      <c r="X485" s="94"/>
      <c r="Y485" s="94"/>
      <c r="Z485" s="94"/>
      <c r="AA485" s="94"/>
      <c r="AB485" s="94"/>
      <c r="AC485" s="94"/>
      <c r="AD485" s="94"/>
      <c r="AE485" s="94"/>
    </row>
    <row r="486">
      <c r="A486" s="87"/>
      <c r="B486" s="37"/>
      <c r="C486" s="37"/>
      <c r="D486" s="162"/>
      <c r="E486" s="89"/>
      <c r="F486" s="72"/>
      <c r="G486" s="111"/>
      <c r="H486" s="111"/>
      <c r="I486" s="111"/>
      <c r="J486" s="111"/>
      <c r="K486" s="111"/>
      <c r="L486" s="111"/>
      <c r="M486" s="94"/>
      <c r="N486" s="94"/>
      <c r="O486" s="94"/>
      <c r="P486" s="94"/>
      <c r="Q486" s="94"/>
      <c r="R486" s="94"/>
      <c r="S486" s="94"/>
      <c r="T486" s="94"/>
      <c r="U486" s="94"/>
      <c r="V486" s="94"/>
      <c r="W486" s="94"/>
      <c r="X486" s="94"/>
      <c r="Y486" s="94"/>
      <c r="Z486" s="94"/>
      <c r="AA486" s="94"/>
      <c r="AB486" s="94"/>
      <c r="AC486" s="94"/>
      <c r="AD486" s="94"/>
      <c r="AE486" s="94"/>
    </row>
    <row r="487">
      <c r="A487" s="87"/>
      <c r="B487" s="37"/>
      <c r="C487" s="37"/>
      <c r="D487" s="162"/>
      <c r="E487" s="89"/>
      <c r="F487" s="72"/>
      <c r="G487" s="111"/>
      <c r="H487" s="111"/>
      <c r="I487" s="111"/>
      <c r="J487" s="111"/>
      <c r="K487" s="111"/>
      <c r="L487" s="111"/>
      <c r="M487" s="94"/>
      <c r="N487" s="94"/>
      <c r="O487" s="94"/>
      <c r="P487" s="94"/>
      <c r="Q487" s="94"/>
      <c r="R487" s="94"/>
      <c r="S487" s="94"/>
      <c r="T487" s="94"/>
      <c r="U487" s="94"/>
      <c r="V487" s="94"/>
      <c r="W487" s="94"/>
      <c r="X487" s="94"/>
      <c r="Y487" s="94"/>
      <c r="Z487" s="94"/>
      <c r="AA487" s="94"/>
      <c r="AB487" s="94"/>
      <c r="AC487" s="94"/>
      <c r="AD487" s="94"/>
      <c r="AE487" s="94"/>
    </row>
    <row r="488">
      <c r="A488" s="87"/>
      <c r="B488" s="37"/>
      <c r="C488" s="37"/>
      <c r="D488" s="162"/>
      <c r="E488" s="89"/>
      <c r="F488" s="72"/>
      <c r="G488" s="111"/>
      <c r="H488" s="111"/>
      <c r="I488" s="111"/>
      <c r="J488" s="111"/>
      <c r="K488" s="111"/>
      <c r="L488" s="111"/>
      <c r="M488" s="94"/>
      <c r="N488" s="94"/>
      <c r="O488" s="94"/>
      <c r="P488" s="94"/>
      <c r="Q488" s="94"/>
      <c r="R488" s="94"/>
      <c r="S488" s="94"/>
      <c r="T488" s="94"/>
      <c r="U488" s="94"/>
      <c r="V488" s="94"/>
      <c r="W488" s="94"/>
      <c r="X488" s="94"/>
      <c r="Y488" s="94"/>
      <c r="Z488" s="94"/>
      <c r="AA488" s="94"/>
      <c r="AB488" s="94"/>
      <c r="AC488" s="94"/>
      <c r="AD488" s="94"/>
      <c r="AE488" s="94"/>
    </row>
    <row r="489">
      <c r="A489" s="87"/>
      <c r="B489" s="37"/>
      <c r="C489" s="37"/>
      <c r="D489" s="162"/>
      <c r="E489" s="89"/>
      <c r="F489" s="72"/>
      <c r="G489" s="111"/>
      <c r="H489" s="111"/>
      <c r="I489" s="111"/>
      <c r="J489" s="111"/>
      <c r="K489" s="111"/>
      <c r="L489" s="111"/>
      <c r="M489" s="94"/>
      <c r="N489" s="94"/>
      <c r="O489" s="94"/>
      <c r="P489" s="94"/>
      <c r="Q489" s="94"/>
      <c r="R489" s="94"/>
      <c r="S489" s="94"/>
      <c r="T489" s="94"/>
      <c r="U489" s="94"/>
      <c r="V489" s="94"/>
      <c r="W489" s="94"/>
      <c r="X489" s="94"/>
      <c r="Y489" s="94"/>
      <c r="Z489" s="94"/>
      <c r="AA489" s="94"/>
      <c r="AB489" s="94"/>
      <c r="AC489" s="94"/>
      <c r="AD489" s="94"/>
      <c r="AE489" s="94"/>
    </row>
    <row r="490">
      <c r="A490" s="87"/>
      <c r="B490" s="37"/>
      <c r="C490" s="37"/>
      <c r="D490" s="162"/>
      <c r="E490" s="89"/>
      <c r="F490" s="72"/>
      <c r="G490" s="111"/>
      <c r="H490" s="111"/>
      <c r="I490" s="111"/>
      <c r="J490" s="111"/>
      <c r="K490" s="111"/>
      <c r="L490" s="111"/>
      <c r="M490" s="94"/>
      <c r="N490" s="94"/>
      <c r="O490" s="94"/>
      <c r="P490" s="94"/>
      <c r="Q490" s="94"/>
      <c r="R490" s="94"/>
      <c r="S490" s="94"/>
      <c r="T490" s="94"/>
      <c r="U490" s="94"/>
      <c r="V490" s="94"/>
      <c r="W490" s="94"/>
      <c r="X490" s="94"/>
      <c r="Y490" s="94"/>
      <c r="Z490" s="94"/>
      <c r="AA490" s="94"/>
      <c r="AB490" s="94"/>
      <c r="AC490" s="94"/>
      <c r="AD490" s="94"/>
      <c r="AE490" s="94"/>
    </row>
    <row r="491">
      <c r="A491" s="87"/>
      <c r="B491" s="37"/>
      <c r="C491" s="37"/>
      <c r="D491" s="162"/>
      <c r="E491" s="89"/>
      <c r="F491" s="72"/>
      <c r="G491" s="111"/>
      <c r="H491" s="111"/>
      <c r="I491" s="111"/>
      <c r="J491" s="111"/>
      <c r="K491" s="111"/>
      <c r="L491" s="111"/>
      <c r="M491" s="94"/>
      <c r="N491" s="94"/>
      <c r="O491" s="94"/>
      <c r="P491" s="94"/>
      <c r="Q491" s="94"/>
      <c r="R491" s="94"/>
      <c r="S491" s="94"/>
      <c r="T491" s="94"/>
      <c r="U491" s="94"/>
      <c r="V491" s="94"/>
      <c r="W491" s="94"/>
      <c r="X491" s="94"/>
      <c r="Y491" s="94"/>
      <c r="Z491" s="94"/>
      <c r="AA491" s="94"/>
      <c r="AB491" s="94"/>
      <c r="AC491" s="94"/>
      <c r="AD491" s="94"/>
      <c r="AE491" s="94"/>
    </row>
    <row r="492">
      <c r="A492" s="87"/>
      <c r="B492" s="37"/>
      <c r="C492" s="37"/>
      <c r="D492" s="162"/>
      <c r="E492" s="89"/>
      <c r="F492" s="72"/>
      <c r="G492" s="111"/>
      <c r="H492" s="111"/>
      <c r="I492" s="111"/>
      <c r="J492" s="111"/>
      <c r="K492" s="111"/>
      <c r="L492" s="111"/>
      <c r="M492" s="94"/>
      <c r="N492" s="94"/>
      <c r="O492" s="94"/>
      <c r="P492" s="94"/>
      <c r="Q492" s="94"/>
      <c r="R492" s="94"/>
      <c r="S492" s="94"/>
      <c r="T492" s="94"/>
      <c r="U492" s="94"/>
      <c r="V492" s="94"/>
      <c r="W492" s="94"/>
      <c r="X492" s="94"/>
      <c r="Y492" s="94"/>
      <c r="Z492" s="94"/>
      <c r="AA492" s="94"/>
      <c r="AB492" s="94"/>
      <c r="AC492" s="94"/>
      <c r="AD492" s="94"/>
      <c r="AE492" s="94"/>
    </row>
    <row r="493">
      <c r="A493" s="87"/>
      <c r="B493" s="37"/>
      <c r="C493" s="37"/>
      <c r="D493" s="162"/>
      <c r="E493" s="89"/>
      <c r="F493" s="72"/>
      <c r="G493" s="111"/>
      <c r="H493" s="111"/>
      <c r="I493" s="111"/>
      <c r="J493" s="111"/>
      <c r="K493" s="111"/>
      <c r="L493" s="111"/>
      <c r="M493" s="94"/>
      <c r="N493" s="94"/>
      <c r="O493" s="94"/>
      <c r="P493" s="94"/>
      <c r="Q493" s="94"/>
      <c r="R493" s="94"/>
      <c r="S493" s="94"/>
      <c r="T493" s="94"/>
      <c r="U493" s="94"/>
      <c r="V493" s="94"/>
      <c r="W493" s="94"/>
      <c r="X493" s="94"/>
      <c r="Y493" s="94"/>
      <c r="Z493" s="94"/>
      <c r="AA493" s="94"/>
      <c r="AB493" s="94"/>
      <c r="AC493" s="94"/>
      <c r="AD493" s="94"/>
      <c r="AE493" s="94"/>
    </row>
    <row r="494">
      <c r="A494" s="87"/>
      <c r="B494" s="37"/>
      <c r="C494" s="37"/>
      <c r="D494" s="162"/>
      <c r="E494" s="89"/>
      <c r="F494" s="72"/>
      <c r="G494" s="111"/>
      <c r="H494" s="111"/>
      <c r="I494" s="111"/>
      <c r="J494" s="111"/>
      <c r="K494" s="111"/>
      <c r="L494" s="111"/>
      <c r="M494" s="94"/>
      <c r="N494" s="94"/>
      <c r="O494" s="94"/>
      <c r="P494" s="94"/>
      <c r="Q494" s="94"/>
      <c r="R494" s="94"/>
      <c r="S494" s="94"/>
      <c r="T494" s="94"/>
      <c r="U494" s="94"/>
      <c r="V494" s="94"/>
      <c r="W494" s="94"/>
      <c r="X494" s="94"/>
      <c r="Y494" s="94"/>
      <c r="Z494" s="94"/>
      <c r="AA494" s="94"/>
      <c r="AB494" s="94"/>
      <c r="AC494" s="94"/>
      <c r="AD494" s="94"/>
      <c r="AE494" s="94"/>
    </row>
    <row r="495">
      <c r="A495" s="87"/>
      <c r="B495" s="37"/>
      <c r="C495" s="37"/>
      <c r="D495" s="162"/>
      <c r="E495" s="89"/>
      <c r="F495" s="72"/>
      <c r="G495" s="111"/>
      <c r="H495" s="111"/>
      <c r="I495" s="111"/>
      <c r="J495" s="111"/>
      <c r="K495" s="111"/>
      <c r="L495" s="111"/>
      <c r="M495" s="94"/>
      <c r="N495" s="94"/>
      <c r="O495" s="94"/>
      <c r="P495" s="94"/>
      <c r="Q495" s="94"/>
      <c r="R495" s="94"/>
      <c r="S495" s="94"/>
      <c r="T495" s="94"/>
      <c r="U495" s="94"/>
      <c r="V495" s="94"/>
      <c r="W495" s="94"/>
      <c r="X495" s="94"/>
      <c r="Y495" s="94"/>
      <c r="Z495" s="94"/>
      <c r="AA495" s="94"/>
      <c r="AB495" s="94"/>
      <c r="AC495" s="94"/>
      <c r="AD495" s="94"/>
      <c r="AE495" s="94"/>
    </row>
    <row r="496">
      <c r="A496" s="87"/>
      <c r="B496" s="37"/>
      <c r="C496" s="37"/>
      <c r="D496" s="162"/>
      <c r="E496" s="89"/>
      <c r="F496" s="72"/>
      <c r="G496" s="111"/>
      <c r="H496" s="111"/>
      <c r="I496" s="111"/>
      <c r="J496" s="111"/>
      <c r="K496" s="111"/>
      <c r="L496" s="111"/>
      <c r="M496" s="94"/>
      <c r="N496" s="94"/>
      <c r="O496" s="94"/>
      <c r="P496" s="94"/>
      <c r="Q496" s="94"/>
      <c r="R496" s="94"/>
      <c r="S496" s="94"/>
      <c r="T496" s="94"/>
      <c r="U496" s="94"/>
      <c r="V496" s="94"/>
      <c r="W496" s="94"/>
      <c r="X496" s="94"/>
      <c r="Y496" s="94"/>
      <c r="Z496" s="94"/>
      <c r="AA496" s="94"/>
      <c r="AB496" s="94"/>
      <c r="AC496" s="94"/>
      <c r="AD496" s="94"/>
      <c r="AE496" s="94"/>
    </row>
    <row r="497">
      <c r="A497" s="87"/>
      <c r="B497" s="37"/>
      <c r="C497" s="37"/>
      <c r="D497" s="162"/>
      <c r="E497" s="89"/>
      <c r="F497" s="72"/>
      <c r="G497" s="111"/>
      <c r="H497" s="111"/>
      <c r="I497" s="111"/>
      <c r="J497" s="111"/>
      <c r="K497" s="111"/>
      <c r="L497" s="111"/>
      <c r="M497" s="94"/>
      <c r="N497" s="94"/>
      <c r="O497" s="94"/>
      <c r="P497" s="94"/>
      <c r="Q497" s="94"/>
      <c r="R497" s="94"/>
      <c r="S497" s="94"/>
      <c r="T497" s="94"/>
      <c r="U497" s="94"/>
      <c r="V497" s="94"/>
      <c r="W497" s="94"/>
      <c r="X497" s="94"/>
      <c r="Y497" s="94"/>
      <c r="Z497" s="94"/>
      <c r="AA497" s="94"/>
      <c r="AB497" s="94"/>
      <c r="AC497" s="94"/>
      <c r="AD497" s="94"/>
      <c r="AE497" s="94"/>
    </row>
    <row r="498">
      <c r="A498" s="87"/>
      <c r="B498" s="37"/>
      <c r="C498" s="37"/>
      <c r="D498" s="162"/>
      <c r="E498" s="89"/>
      <c r="F498" s="72"/>
      <c r="G498" s="111"/>
      <c r="H498" s="111"/>
      <c r="I498" s="111"/>
      <c r="J498" s="111"/>
      <c r="K498" s="111"/>
      <c r="L498" s="111"/>
      <c r="M498" s="94"/>
      <c r="N498" s="94"/>
      <c r="O498" s="94"/>
      <c r="P498" s="94"/>
      <c r="Q498" s="94"/>
      <c r="R498" s="94"/>
      <c r="S498" s="94"/>
      <c r="T498" s="94"/>
      <c r="U498" s="94"/>
      <c r="V498" s="94"/>
      <c r="W498" s="94"/>
      <c r="X498" s="94"/>
      <c r="Y498" s="94"/>
      <c r="Z498" s="94"/>
      <c r="AA498" s="94"/>
      <c r="AB498" s="94"/>
      <c r="AC498" s="94"/>
      <c r="AD498" s="94"/>
      <c r="AE498" s="94"/>
    </row>
    <row r="499">
      <c r="A499" s="87"/>
      <c r="B499" s="37"/>
      <c r="C499" s="37"/>
      <c r="D499" s="162"/>
      <c r="E499" s="89"/>
      <c r="F499" s="72"/>
      <c r="G499" s="111"/>
      <c r="H499" s="111"/>
      <c r="I499" s="111"/>
      <c r="J499" s="111"/>
      <c r="K499" s="111"/>
      <c r="L499" s="111"/>
      <c r="M499" s="94"/>
      <c r="N499" s="94"/>
      <c r="O499" s="94"/>
      <c r="P499" s="94"/>
      <c r="Q499" s="94"/>
      <c r="R499" s="94"/>
      <c r="S499" s="94"/>
      <c r="T499" s="94"/>
      <c r="U499" s="94"/>
      <c r="V499" s="94"/>
      <c r="W499" s="94"/>
      <c r="X499" s="94"/>
      <c r="Y499" s="94"/>
      <c r="Z499" s="94"/>
      <c r="AA499" s="94"/>
      <c r="AB499" s="94"/>
      <c r="AC499" s="94"/>
      <c r="AD499" s="94"/>
      <c r="AE499" s="94"/>
    </row>
    <row r="500">
      <c r="A500" s="87"/>
      <c r="B500" s="37"/>
      <c r="C500" s="37"/>
      <c r="D500" s="162"/>
      <c r="E500" s="89"/>
      <c r="F500" s="72"/>
      <c r="G500" s="111"/>
      <c r="H500" s="111"/>
      <c r="I500" s="111"/>
      <c r="J500" s="111"/>
      <c r="K500" s="111"/>
      <c r="L500" s="111"/>
      <c r="M500" s="94"/>
      <c r="N500" s="94"/>
      <c r="O500" s="94"/>
      <c r="P500" s="94"/>
      <c r="Q500" s="94"/>
      <c r="R500" s="94"/>
      <c r="S500" s="94"/>
      <c r="T500" s="94"/>
      <c r="U500" s="94"/>
      <c r="V500" s="94"/>
      <c r="W500" s="94"/>
      <c r="X500" s="94"/>
      <c r="Y500" s="94"/>
      <c r="Z500" s="94"/>
      <c r="AA500" s="94"/>
      <c r="AB500" s="94"/>
      <c r="AC500" s="94"/>
      <c r="AD500" s="94"/>
      <c r="AE500" s="94"/>
    </row>
    <row r="501">
      <c r="A501" s="87"/>
      <c r="B501" s="37"/>
      <c r="C501" s="37"/>
      <c r="D501" s="162"/>
      <c r="E501" s="89"/>
      <c r="F501" s="72"/>
      <c r="G501" s="111"/>
      <c r="H501" s="111"/>
      <c r="I501" s="111"/>
      <c r="J501" s="111"/>
      <c r="K501" s="111"/>
      <c r="L501" s="111"/>
      <c r="M501" s="94"/>
      <c r="N501" s="94"/>
      <c r="O501" s="94"/>
      <c r="P501" s="94"/>
      <c r="Q501" s="94"/>
      <c r="R501" s="94"/>
      <c r="S501" s="94"/>
      <c r="T501" s="94"/>
      <c r="U501" s="94"/>
      <c r="V501" s="94"/>
      <c r="W501" s="94"/>
      <c r="X501" s="94"/>
      <c r="Y501" s="94"/>
      <c r="Z501" s="94"/>
      <c r="AA501" s="94"/>
      <c r="AB501" s="94"/>
      <c r="AC501" s="94"/>
      <c r="AD501" s="94"/>
      <c r="AE501" s="94"/>
    </row>
    <row r="502">
      <c r="A502" s="87"/>
      <c r="B502" s="37"/>
      <c r="C502" s="37"/>
      <c r="D502" s="162"/>
      <c r="E502" s="89"/>
      <c r="F502" s="72"/>
      <c r="G502" s="111"/>
      <c r="H502" s="111"/>
      <c r="I502" s="111"/>
      <c r="J502" s="111"/>
      <c r="K502" s="111"/>
      <c r="L502" s="111"/>
      <c r="M502" s="94"/>
      <c r="N502" s="94"/>
      <c r="O502" s="94"/>
      <c r="P502" s="94"/>
      <c r="Q502" s="94"/>
      <c r="R502" s="94"/>
      <c r="S502" s="94"/>
      <c r="T502" s="94"/>
      <c r="U502" s="94"/>
      <c r="V502" s="94"/>
      <c r="W502" s="94"/>
      <c r="X502" s="94"/>
      <c r="Y502" s="94"/>
      <c r="Z502" s="94"/>
      <c r="AA502" s="94"/>
      <c r="AB502" s="94"/>
      <c r="AC502" s="94"/>
      <c r="AD502" s="94"/>
      <c r="AE502" s="94"/>
    </row>
    <row r="503">
      <c r="A503" s="87"/>
      <c r="B503" s="37"/>
      <c r="C503" s="37"/>
      <c r="D503" s="162"/>
      <c r="E503" s="89"/>
      <c r="F503" s="72"/>
      <c r="G503" s="111"/>
      <c r="H503" s="111"/>
      <c r="I503" s="111"/>
      <c r="J503" s="111"/>
      <c r="K503" s="111"/>
      <c r="L503" s="111"/>
      <c r="M503" s="94"/>
      <c r="N503" s="94"/>
      <c r="O503" s="94"/>
      <c r="P503" s="94"/>
      <c r="Q503" s="94"/>
      <c r="R503" s="94"/>
      <c r="S503" s="94"/>
      <c r="T503" s="94"/>
      <c r="U503" s="94"/>
      <c r="V503" s="94"/>
      <c r="W503" s="94"/>
      <c r="X503" s="94"/>
      <c r="Y503" s="94"/>
      <c r="Z503" s="94"/>
      <c r="AA503" s="94"/>
      <c r="AB503" s="94"/>
      <c r="AC503" s="94"/>
      <c r="AD503" s="94"/>
      <c r="AE503" s="94"/>
    </row>
    <row r="504">
      <c r="A504" s="87"/>
      <c r="B504" s="37"/>
      <c r="C504" s="37"/>
      <c r="D504" s="162"/>
      <c r="E504" s="89"/>
      <c r="F504" s="72"/>
      <c r="G504" s="111"/>
      <c r="H504" s="111"/>
      <c r="I504" s="111"/>
      <c r="J504" s="111"/>
      <c r="K504" s="111"/>
      <c r="L504" s="111"/>
      <c r="M504" s="94"/>
      <c r="N504" s="94"/>
      <c r="O504" s="94"/>
      <c r="P504" s="94"/>
      <c r="Q504" s="94"/>
      <c r="R504" s="94"/>
      <c r="S504" s="94"/>
      <c r="T504" s="94"/>
      <c r="U504" s="94"/>
      <c r="V504" s="94"/>
      <c r="W504" s="94"/>
      <c r="X504" s="94"/>
      <c r="Y504" s="94"/>
      <c r="Z504" s="94"/>
      <c r="AA504" s="94"/>
      <c r="AB504" s="94"/>
      <c r="AC504" s="94"/>
      <c r="AD504" s="94"/>
      <c r="AE504" s="94"/>
    </row>
    <row r="505">
      <c r="A505" s="87"/>
      <c r="B505" s="37"/>
      <c r="C505" s="37"/>
      <c r="D505" s="162"/>
      <c r="E505" s="89"/>
      <c r="F505" s="72"/>
      <c r="G505" s="111"/>
      <c r="H505" s="111"/>
      <c r="I505" s="111"/>
      <c r="J505" s="111"/>
      <c r="K505" s="111"/>
      <c r="L505" s="111"/>
      <c r="M505" s="94"/>
      <c r="N505" s="94"/>
      <c r="O505" s="94"/>
      <c r="P505" s="94"/>
      <c r="Q505" s="94"/>
      <c r="R505" s="94"/>
      <c r="S505" s="94"/>
      <c r="T505" s="94"/>
      <c r="U505" s="94"/>
      <c r="V505" s="94"/>
      <c r="W505" s="94"/>
      <c r="X505" s="94"/>
      <c r="Y505" s="94"/>
      <c r="Z505" s="94"/>
      <c r="AA505" s="94"/>
      <c r="AB505" s="94"/>
      <c r="AC505" s="94"/>
      <c r="AD505" s="94"/>
      <c r="AE505" s="94"/>
    </row>
    <row r="506">
      <c r="A506" s="87"/>
      <c r="B506" s="37"/>
      <c r="C506" s="37"/>
      <c r="D506" s="162"/>
      <c r="E506" s="89"/>
      <c r="F506" s="72"/>
      <c r="G506" s="111"/>
      <c r="H506" s="111"/>
      <c r="I506" s="111"/>
      <c r="J506" s="111"/>
      <c r="K506" s="111"/>
      <c r="L506" s="111"/>
      <c r="M506" s="94"/>
      <c r="N506" s="94"/>
      <c r="O506" s="94"/>
      <c r="P506" s="94"/>
      <c r="Q506" s="94"/>
      <c r="R506" s="94"/>
      <c r="S506" s="94"/>
      <c r="T506" s="94"/>
      <c r="U506" s="94"/>
      <c r="V506" s="94"/>
      <c r="W506" s="94"/>
      <c r="X506" s="94"/>
      <c r="Y506" s="94"/>
      <c r="Z506" s="94"/>
      <c r="AA506" s="94"/>
      <c r="AB506" s="94"/>
      <c r="AC506" s="94"/>
      <c r="AD506" s="94"/>
      <c r="AE506" s="94"/>
    </row>
    <row r="507">
      <c r="A507" s="87"/>
      <c r="B507" s="37"/>
      <c r="C507" s="37"/>
      <c r="D507" s="162"/>
      <c r="E507" s="89"/>
      <c r="F507" s="72"/>
      <c r="G507" s="111"/>
      <c r="H507" s="111"/>
      <c r="I507" s="111"/>
      <c r="J507" s="111"/>
      <c r="K507" s="111"/>
      <c r="L507" s="111"/>
      <c r="M507" s="94"/>
      <c r="N507" s="94"/>
      <c r="O507" s="94"/>
      <c r="P507" s="94"/>
      <c r="Q507" s="94"/>
      <c r="R507" s="94"/>
      <c r="S507" s="94"/>
      <c r="T507" s="94"/>
      <c r="U507" s="94"/>
      <c r="V507" s="94"/>
      <c r="W507" s="94"/>
      <c r="X507" s="94"/>
      <c r="Y507" s="94"/>
      <c r="Z507" s="94"/>
      <c r="AA507" s="94"/>
      <c r="AB507" s="94"/>
      <c r="AC507" s="94"/>
      <c r="AD507" s="94"/>
      <c r="AE507" s="94"/>
    </row>
    <row r="508">
      <c r="A508" s="87"/>
      <c r="B508" s="37"/>
      <c r="C508" s="37"/>
      <c r="D508" s="162"/>
      <c r="E508" s="89"/>
      <c r="F508" s="72"/>
      <c r="G508" s="111"/>
      <c r="H508" s="111"/>
      <c r="I508" s="111"/>
      <c r="J508" s="111"/>
      <c r="K508" s="111"/>
      <c r="L508" s="111"/>
      <c r="M508" s="94"/>
      <c r="N508" s="94"/>
      <c r="O508" s="94"/>
      <c r="P508" s="94"/>
      <c r="Q508" s="94"/>
      <c r="R508" s="94"/>
      <c r="S508" s="94"/>
      <c r="T508" s="94"/>
      <c r="U508" s="94"/>
      <c r="V508" s="94"/>
      <c r="W508" s="94"/>
      <c r="X508" s="94"/>
      <c r="Y508" s="94"/>
      <c r="Z508" s="94"/>
      <c r="AA508" s="94"/>
      <c r="AB508" s="94"/>
      <c r="AC508" s="94"/>
      <c r="AD508" s="94"/>
      <c r="AE508" s="94"/>
    </row>
    <row r="509">
      <c r="A509" s="87"/>
      <c r="B509" s="37"/>
      <c r="C509" s="37"/>
      <c r="D509" s="162"/>
      <c r="E509" s="89"/>
      <c r="F509" s="72"/>
      <c r="G509" s="111"/>
      <c r="H509" s="111"/>
      <c r="I509" s="111"/>
      <c r="J509" s="111"/>
      <c r="K509" s="111"/>
      <c r="L509" s="111"/>
      <c r="M509" s="94"/>
      <c r="N509" s="94"/>
      <c r="O509" s="94"/>
      <c r="P509" s="94"/>
      <c r="Q509" s="94"/>
      <c r="R509" s="94"/>
      <c r="S509" s="94"/>
      <c r="T509" s="94"/>
      <c r="U509" s="94"/>
      <c r="V509" s="94"/>
      <c r="W509" s="94"/>
      <c r="X509" s="94"/>
      <c r="Y509" s="94"/>
      <c r="Z509" s="94"/>
      <c r="AA509" s="94"/>
      <c r="AB509" s="94"/>
      <c r="AC509" s="94"/>
      <c r="AD509" s="94"/>
      <c r="AE509" s="94"/>
    </row>
    <row r="510">
      <c r="A510" s="87"/>
      <c r="B510" s="37"/>
      <c r="C510" s="37"/>
      <c r="D510" s="162"/>
      <c r="E510" s="89"/>
      <c r="F510" s="72"/>
      <c r="G510" s="111"/>
      <c r="H510" s="111"/>
      <c r="I510" s="111"/>
      <c r="J510" s="111"/>
      <c r="K510" s="111"/>
      <c r="L510" s="111"/>
      <c r="M510" s="94"/>
      <c r="N510" s="94"/>
      <c r="O510" s="94"/>
      <c r="P510" s="94"/>
      <c r="Q510" s="94"/>
      <c r="R510" s="94"/>
      <c r="S510" s="94"/>
      <c r="T510" s="94"/>
      <c r="U510" s="94"/>
      <c r="V510" s="94"/>
      <c r="W510" s="94"/>
      <c r="X510" s="94"/>
      <c r="Y510" s="94"/>
      <c r="Z510" s="94"/>
      <c r="AA510" s="94"/>
      <c r="AB510" s="94"/>
      <c r="AC510" s="94"/>
      <c r="AD510" s="94"/>
      <c r="AE510" s="94"/>
    </row>
    <row r="511">
      <c r="A511" s="87"/>
      <c r="B511" s="37"/>
      <c r="C511" s="37"/>
      <c r="D511" s="162"/>
      <c r="E511" s="89"/>
      <c r="F511" s="72"/>
      <c r="G511" s="111"/>
      <c r="H511" s="111"/>
      <c r="I511" s="111"/>
      <c r="J511" s="111"/>
      <c r="K511" s="111"/>
      <c r="L511" s="111"/>
      <c r="M511" s="94"/>
      <c r="N511" s="94"/>
      <c r="O511" s="94"/>
      <c r="P511" s="94"/>
      <c r="Q511" s="94"/>
      <c r="R511" s="94"/>
      <c r="S511" s="94"/>
      <c r="T511" s="94"/>
      <c r="U511" s="94"/>
      <c r="V511" s="94"/>
      <c r="W511" s="94"/>
      <c r="X511" s="94"/>
      <c r="Y511" s="94"/>
      <c r="Z511" s="94"/>
      <c r="AA511" s="94"/>
      <c r="AB511" s="94"/>
      <c r="AC511" s="94"/>
      <c r="AD511" s="94"/>
      <c r="AE511" s="94"/>
    </row>
    <row r="512">
      <c r="A512" s="87"/>
      <c r="B512" s="37"/>
      <c r="C512" s="37"/>
      <c r="D512" s="162"/>
      <c r="E512" s="89"/>
      <c r="F512" s="72"/>
      <c r="G512" s="111"/>
      <c r="H512" s="111"/>
      <c r="I512" s="111"/>
      <c r="J512" s="111"/>
      <c r="K512" s="111"/>
      <c r="L512" s="111"/>
      <c r="M512" s="94"/>
      <c r="N512" s="94"/>
      <c r="O512" s="94"/>
      <c r="P512" s="94"/>
      <c r="Q512" s="94"/>
      <c r="R512" s="94"/>
      <c r="S512" s="94"/>
      <c r="T512" s="94"/>
      <c r="U512" s="94"/>
      <c r="V512" s="94"/>
      <c r="W512" s="94"/>
      <c r="X512" s="94"/>
      <c r="Y512" s="94"/>
      <c r="Z512" s="94"/>
      <c r="AA512" s="94"/>
      <c r="AB512" s="94"/>
      <c r="AC512" s="94"/>
      <c r="AD512" s="94"/>
      <c r="AE512" s="94"/>
    </row>
    <row r="513">
      <c r="A513" s="87"/>
      <c r="B513" s="37"/>
      <c r="C513" s="37"/>
      <c r="D513" s="162"/>
      <c r="E513" s="89"/>
      <c r="F513" s="72"/>
      <c r="G513" s="111"/>
      <c r="H513" s="111"/>
      <c r="I513" s="111"/>
      <c r="J513" s="111"/>
      <c r="K513" s="111"/>
      <c r="L513" s="111"/>
      <c r="M513" s="94"/>
      <c r="N513" s="94"/>
      <c r="O513" s="94"/>
      <c r="P513" s="94"/>
      <c r="Q513" s="94"/>
      <c r="R513" s="94"/>
      <c r="S513" s="94"/>
      <c r="T513" s="94"/>
      <c r="U513" s="94"/>
      <c r="V513" s="94"/>
      <c r="W513" s="94"/>
      <c r="X513" s="94"/>
      <c r="Y513" s="94"/>
      <c r="Z513" s="94"/>
      <c r="AA513" s="94"/>
      <c r="AB513" s="94"/>
      <c r="AC513" s="94"/>
      <c r="AD513" s="94"/>
      <c r="AE513" s="94"/>
    </row>
    <row r="514">
      <c r="A514" s="87"/>
      <c r="B514" s="37"/>
      <c r="C514" s="37"/>
      <c r="D514" s="162"/>
      <c r="E514" s="89"/>
      <c r="F514" s="72"/>
      <c r="G514" s="111"/>
      <c r="H514" s="111"/>
      <c r="I514" s="111"/>
      <c r="J514" s="111"/>
      <c r="K514" s="111"/>
      <c r="L514" s="111"/>
      <c r="M514" s="94"/>
      <c r="N514" s="94"/>
      <c r="O514" s="94"/>
      <c r="P514" s="94"/>
      <c r="Q514" s="94"/>
      <c r="R514" s="94"/>
      <c r="S514" s="94"/>
      <c r="T514" s="94"/>
      <c r="U514" s="94"/>
      <c r="V514" s="94"/>
      <c r="W514" s="94"/>
      <c r="X514" s="94"/>
      <c r="Y514" s="94"/>
      <c r="Z514" s="94"/>
      <c r="AA514" s="94"/>
      <c r="AB514" s="94"/>
      <c r="AC514" s="94"/>
      <c r="AD514" s="94"/>
      <c r="AE514" s="94"/>
    </row>
    <row r="515">
      <c r="A515" s="87"/>
      <c r="B515" s="37"/>
      <c r="C515" s="37"/>
      <c r="D515" s="162"/>
      <c r="E515" s="89"/>
      <c r="F515" s="72"/>
      <c r="G515" s="111"/>
      <c r="H515" s="111"/>
      <c r="I515" s="111"/>
      <c r="J515" s="111"/>
      <c r="K515" s="111"/>
      <c r="L515" s="111"/>
      <c r="M515" s="94"/>
      <c r="N515" s="94"/>
      <c r="O515" s="94"/>
      <c r="P515" s="94"/>
      <c r="Q515" s="94"/>
      <c r="R515" s="94"/>
      <c r="S515" s="94"/>
      <c r="T515" s="94"/>
      <c r="U515" s="94"/>
      <c r="V515" s="94"/>
      <c r="W515" s="94"/>
      <c r="X515" s="94"/>
      <c r="Y515" s="94"/>
      <c r="Z515" s="94"/>
      <c r="AA515" s="94"/>
      <c r="AB515" s="94"/>
      <c r="AC515" s="94"/>
      <c r="AD515" s="94"/>
      <c r="AE515" s="94"/>
    </row>
    <row r="516">
      <c r="A516" s="87"/>
      <c r="B516" s="37"/>
      <c r="C516" s="37"/>
      <c r="D516" s="162"/>
      <c r="E516" s="89"/>
      <c r="F516" s="72"/>
      <c r="G516" s="111"/>
      <c r="H516" s="111"/>
      <c r="I516" s="111"/>
      <c r="J516" s="111"/>
      <c r="K516" s="111"/>
      <c r="L516" s="111"/>
      <c r="M516" s="94"/>
      <c r="N516" s="94"/>
      <c r="O516" s="94"/>
      <c r="P516" s="94"/>
      <c r="Q516" s="94"/>
      <c r="R516" s="94"/>
      <c r="S516" s="94"/>
      <c r="T516" s="94"/>
      <c r="U516" s="94"/>
      <c r="V516" s="94"/>
      <c r="W516" s="94"/>
      <c r="X516" s="94"/>
      <c r="Y516" s="94"/>
      <c r="Z516" s="94"/>
      <c r="AA516" s="94"/>
      <c r="AB516" s="94"/>
      <c r="AC516" s="94"/>
      <c r="AD516" s="94"/>
      <c r="AE516" s="94"/>
    </row>
    <row r="517">
      <c r="A517" s="87"/>
      <c r="B517" s="37"/>
      <c r="C517" s="37"/>
      <c r="D517" s="162"/>
      <c r="E517" s="89"/>
      <c r="F517" s="72"/>
      <c r="G517" s="111"/>
      <c r="H517" s="111"/>
      <c r="I517" s="111"/>
      <c r="J517" s="111"/>
      <c r="K517" s="111"/>
      <c r="L517" s="111"/>
      <c r="M517" s="94"/>
      <c r="N517" s="94"/>
      <c r="O517" s="94"/>
      <c r="P517" s="94"/>
      <c r="Q517" s="94"/>
      <c r="R517" s="94"/>
      <c r="S517" s="94"/>
      <c r="T517" s="94"/>
      <c r="U517" s="94"/>
      <c r="V517" s="94"/>
      <c r="W517" s="94"/>
      <c r="X517" s="94"/>
      <c r="Y517" s="94"/>
      <c r="Z517" s="94"/>
      <c r="AA517" s="94"/>
      <c r="AB517" s="94"/>
      <c r="AC517" s="94"/>
      <c r="AD517" s="94"/>
      <c r="AE517" s="94"/>
    </row>
    <row r="518">
      <c r="A518" s="87"/>
      <c r="B518" s="37"/>
      <c r="C518" s="37"/>
      <c r="D518" s="162"/>
      <c r="E518" s="89"/>
      <c r="F518" s="72"/>
      <c r="G518" s="111"/>
      <c r="H518" s="111"/>
      <c r="I518" s="111"/>
      <c r="J518" s="111"/>
      <c r="K518" s="111"/>
      <c r="L518" s="111"/>
      <c r="M518" s="94"/>
      <c r="N518" s="94"/>
      <c r="O518" s="94"/>
      <c r="P518" s="94"/>
      <c r="Q518" s="94"/>
      <c r="R518" s="94"/>
      <c r="S518" s="94"/>
      <c r="T518" s="94"/>
      <c r="U518" s="94"/>
      <c r="V518" s="94"/>
      <c r="W518" s="94"/>
      <c r="X518" s="94"/>
      <c r="Y518" s="94"/>
      <c r="Z518" s="94"/>
      <c r="AA518" s="94"/>
      <c r="AB518" s="94"/>
      <c r="AC518" s="94"/>
      <c r="AD518" s="94"/>
      <c r="AE518" s="94"/>
    </row>
    <row r="519">
      <c r="A519" s="87"/>
      <c r="B519" s="37"/>
      <c r="C519" s="37"/>
      <c r="D519" s="162"/>
      <c r="E519" s="89"/>
      <c r="F519" s="72"/>
      <c r="G519" s="111"/>
      <c r="H519" s="111"/>
      <c r="I519" s="111"/>
      <c r="J519" s="111"/>
      <c r="K519" s="111"/>
      <c r="L519" s="111"/>
      <c r="M519" s="94"/>
      <c r="N519" s="94"/>
      <c r="O519" s="94"/>
      <c r="P519" s="94"/>
      <c r="Q519" s="94"/>
      <c r="R519" s="94"/>
      <c r="S519" s="94"/>
      <c r="T519" s="94"/>
      <c r="U519" s="94"/>
      <c r="V519" s="94"/>
      <c r="W519" s="94"/>
      <c r="X519" s="94"/>
      <c r="Y519" s="94"/>
      <c r="Z519" s="94"/>
      <c r="AA519" s="94"/>
      <c r="AB519" s="94"/>
      <c r="AC519" s="94"/>
      <c r="AD519" s="94"/>
      <c r="AE519" s="94"/>
    </row>
    <row r="520">
      <c r="A520" s="87"/>
      <c r="B520" s="37"/>
      <c r="C520" s="37"/>
      <c r="D520" s="162"/>
      <c r="E520" s="89"/>
      <c r="F520" s="72"/>
      <c r="G520" s="111"/>
      <c r="H520" s="111"/>
      <c r="I520" s="111"/>
      <c r="J520" s="111"/>
      <c r="K520" s="111"/>
      <c r="L520" s="111"/>
      <c r="M520" s="94"/>
      <c r="N520" s="94"/>
      <c r="O520" s="94"/>
      <c r="P520" s="94"/>
      <c r="Q520" s="94"/>
      <c r="R520" s="94"/>
      <c r="S520" s="94"/>
      <c r="T520" s="94"/>
      <c r="U520" s="94"/>
      <c r="V520" s="94"/>
      <c r="W520" s="94"/>
      <c r="X520" s="94"/>
      <c r="Y520" s="94"/>
      <c r="Z520" s="94"/>
      <c r="AA520" s="94"/>
      <c r="AB520" s="94"/>
      <c r="AC520" s="94"/>
      <c r="AD520" s="94"/>
      <c r="AE520" s="94"/>
    </row>
    <row r="521">
      <c r="A521" s="87"/>
      <c r="B521" s="37"/>
      <c r="C521" s="37"/>
      <c r="D521" s="162"/>
      <c r="E521" s="89"/>
      <c r="F521" s="72"/>
      <c r="G521" s="111"/>
      <c r="H521" s="111"/>
      <c r="I521" s="111"/>
      <c r="J521" s="111"/>
      <c r="K521" s="111"/>
      <c r="L521" s="111"/>
      <c r="M521" s="94"/>
      <c r="N521" s="94"/>
      <c r="O521" s="94"/>
      <c r="P521" s="94"/>
      <c r="Q521" s="94"/>
      <c r="R521" s="94"/>
      <c r="S521" s="94"/>
      <c r="T521" s="94"/>
      <c r="U521" s="94"/>
      <c r="V521" s="94"/>
      <c r="W521" s="94"/>
      <c r="X521" s="94"/>
      <c r="Y521" s="94"/>
      <c r="Z521" s="94"/>
      <c r="AA521" s="94"/>
      <c r="AB521" s="94"/>
      <c r="AC521" s="94"/>
      <c r="AD521" s="94"/>
      <c r="AE521" s="94"/>
    </row>
    <row r="522">
      <c r="A522" s="87"/>
      <c r="B522" s="37"/>
      <c r="C522" s="37"/>
      <c r="D522" s="162"/>
      <c r="E522" s="89"/>
      <c r="F522" s="72"/>
      <c r="G522" s="111"/>
      <c r="H522" s="111"/>
      <c r="I522" s="111"/>
      <c r="J522" s="111"/>
      <c r="K522" s="111"/>
      <c r="L522" s="111"/>
      <c r="M522" s="94"/>
      <c r="N522" s="94"/>
      <c r="O522" s="94"/>
      <c r="P522" s="94"/>
      <c r="Q522" s="94"/>
      <c r="R522" s="94"/>
      <c r="S522" s="94"/>
      <c r="T522" s="94"/>
      <c r="U522" s="94"/>
      <c r="V522" s="94"/>
      <c r="W522" s="94"/>
      <c r="X522" s="94"/>
      <c r="Y522" s="94"/>
      <c r="Z522" s="94"/>
      <c r="AA522" s="94"/>
      <c r="AB522" s="94"/>
      <c r="AC522" s="94"/>
      <c r="AD522" s="94"/>
      <c r="AE522" s="94"/>
    </row>
    <row r="523">
      <c r="A523" s="87"/>
      <c r="B523" s="37"/>
      <c r="C523" s="37"/>
      <c r="D523" s="162"/>
      <c r="E523" s="89"/>
      <c r="F523" s="72"/>
      <c r="G523" s="111"/>
      <c r="H523" s="111"/>
      <c r="I523" s="111"/>
      <c r="J523" s="111"/>
      <c r="K523" s="111"/>
      <c r="L523" s="111"/>
      <c r="M523" s="94"/>
      <c r="N523" s="94"/>
      <c r="O523" s="94"/>
      <c r="P523" s="94"/>
      <c r="Q523" s="94"/>
      <c r="R523" s="94"/>
      <c r="S523" s="94"/>
      <c r="T523" s="94"/>
      <c r="U523" s="94"/>
      <c r="V523" s="94"/>
      <c r="W523" s="94"/>
      <c r="X523" s="94"/>
      <c r="Y523" s="94"/>
      <c r="Z523" s="94"/>
      <c r="AA523" s="94"/>
      <c r="AB523" s="94"/>
      <c r="AC523" s="94"/>
      <c r="AD523" s="94"/>
      <c r="AE523" s="94"/>
    </row>
    <row r="524">
      <c r="A524" s="87"/>
      <c r="B524" s="37"/>
      <c r="C524" s="37"/>
      <c r="D524" s="162"/>
      <c r="E524" s="89"/>
      <c r="F524" s="72"/>
      <c r="G524" s="111"/>
      <c r="H524" s="111"/>
      <c r="I524" s="111"/>
      <c r="J524" s="111"/>
      <c r="K524" s="111"/>
      <c r="L524" s="111"/>
      <c r="M524" s="94"/>
      <c r="N524" s="94"/>
      <c r="O524" s="94"/>
      <c r="P524" s="94"/>
      <c r="Q524" s="94"/>
      <c r="R524" s="94"/>
      <c r="S524" s="94"/>
      <c r="T524" s="94"/>
      <c r="U524" s="94"/>
      <c r="V524" s="94"/>
      <c r="W524" s="94"/>
      <c r="X524" s="94"/>
      <c r="Y524" s="94"/>
      <c r="Z524" s="94"/>
      <c r="AA524" s="94"/>
      <c r="AB524" s="94"/>
      <c r="AC524" s="94"/>
      <c r="AD524" s="94"/>
      <c r="AE524" s="94"/>
    </row>
    <row r="525">
      <c r="A525" s="87"/>
      <c r="B525" s="37"/>
      <c r="C525" s="37"/>
      <c r="D525" s="162"/>
      <c r="E525" s="89"/>
      <c r="F525" s="72"/>
      <c r="G525" s="111"/>
      <c r="H525" s="111"/>
      <c r="I525" s="111"/>
      <c r="J525" s="111"/>
      <c r="K525" s="111"/>
      <c r="L525" s="111"/>
      <c r="M525" s="94"/>
      <c r="N525" s="94"/>
      <c r="O525" s="94"/>
      <c r="P525" s="94"/>
      <c r="Q525" s="94"/>
      <c r="R525" s="94"/>
      <c r="S525" s="94"/>
      <c r="T525" s="94"/>
      <c r="U525" s="94"/>
      <c r="V525" s="94"/>
      <c r="W525" s="94"/>
      <c r="X525" s="94"/>
      <c r="Y525" s="94"/>
      <c r="Z525" s="94"/>
      <c r="AA525" s="94"/>
      <c r="AB525" s="94"/>
      <c r="AC525" s="94"/>
      <c r="AD525" s="94"/>
      <c r="AE525" s="94"/>
    </row>
    <row r="526">
      <c r="A526" s="87"/>
      <c r="B526" s="37"/>
      <c r="C526" s="37"/>
      <c r="D526" s="162"/>
      <c r="E526" s="89"/>
      <c r="F526" s="72"/>
      <c r="G526" s="111"/>
      <c r="H526" s="111"/>
      <c r="I526" s="111"/>
      <c r="J526" s="111"/>
      <c r="K526" s="111"/>
      <c r="L526" s="111"/>
      <c r="M526" s="94"/>
      <c r="N526" s="94"/>
      <c r="O526" s="94"/>
      <c r="P526" s="94"/>
      <c r="Q526" s="94"/>
      <c r="R526" s="94"/>
      <c r="S526" s="94"/>
      <c r="T526" s="94"/>
      <c r="U526" s="94"/>
      <c r="V526" s="94"/>
      <c r="W526" s="94"/>
      <c r="X526" s="94"/>
      <c r="Y526" s="94"/>
      <c r="Z526" s="94"/>
      <c r="AA526" s="94"/>
      <c r="AB526" s="94"/>
      <c r="AC526" s="94"/>
      <c r="AD526" s="94"/>
      <c r="AE526" s="94"/>
    </row>
    <row r="527">
      <c r="A527" s="87"/>
      <c r="B527" s="37"/>
      <c r="C527" s="37"/>
      <c r="D527" s="162"/>
      <c r="E527" s="89"/>
      <c r="F527" s="72"/>
      <c r="G527" s="111"/>
      <c r="H527" s="111"/>
      <c r="I527" s="111"/>
      <c r="J527" s="111"/>
      <c r="K527" s="111"/>
      <c r="L527" s="111"/>
      <c r="M527" s="94"/>
      <c r="N527" s="94"/>
      <c r="O527" s="94"/>
      <c r="P527" s="94"/>
      <c r="Q527" s="94"/>
      <c r="R527" s="94"/>
      <c r="S527" s="94"/>
      <c r="T527" s="94"/>
      <c r="U527" s="94"/>
      <c r="V527" s="94"/>
      <c r="W527" s="94"/>
      <c r="X527" s="94"/>
      <c r="Y527" s="94"/>
      <c r="Z527" s="94"/>
      <c r="AA527" s="94"/>
      <c r="AB527" s="94"/>
      <c r="AC527" s="94"/>
      <c r="AD527" s="94"/>
      <c r="AE527" s="94"/>
    </row>
    <row r="528">
      <c r="A528" s="87"/>
      <c r="B528" s="37"/>
      <c r="C528" s="37"/>
      <c r="D528" s="162"/>
      <c r="E528" s="89"/>
      <c r="F528" s="72"/>
      <c r="G528" s="111"/>
      <c r="H528" s="111"/>
      <c r="I528" s="111"/>
      <c r="J528" s="111"/>
      <c r="K528" s="111"/>
      <c r="L528" s="111"/>
      <c r="M528" s="94"/>
      <c r="N528" s="94"/>
      <c r="O528" s="94"/>
      <c r="P528" s="94"/>
      <c r="Q528" s="94"/>
      <c r="R528" s="94"/>
      <c r="S528" s="94"/>
      <c r="T528" s="94"/>
      <c r="U528" s="94"/>
      <c r="V528" s="94"/>
      <c r="W528" s="94"/>
      <c r="X528" s="94"/>
      <c r="Y528" s="94"/>
      <c r="Z528" s="94"/>
      <c r="AA528" s="94"/>
      <c r="AB528" s="94"/>
      <c r="AC528" s="94"/>
      <c r="AD528" s="94"/>
      <c r="AE528" s="94"/>
    </row>
    <row r="529">
      <c r="A529" s="87"/>
      <c r="B529" s="37"/>
      <c r="C529" s="37"/>
      <c r="D529" s="162"/>
      <c r="E529" s="89"/>
      <c r="F529" s="72"/>
      <c r="G529" s="111"/>
      <c r="H529" s="111"/>
      <c r="I529" s="111"/>
      <c r="J529" s="111"/>
      <c r="K529" s="111"/>
      <c r="L529" s="111"/>
      <c r="M529" s="94"/>
      <c r="N529" s="94"/>
      <c r="O529" s="94"/>
      <c r="P529" s="94"/>
      <c r="Q529" s="94"/>
      <c r="R529" s="94"/>
      <c r="S529" s="94"/>
      <c r="T529" s="94"/>
      <c r="U529" s="94"/>
      <c r="V529" s="94"/>
      <c r="W529" s="94"/>
      <c r="X529" s="94"/>
      <c r="Y529" s="94"/>
      <c r="Z529" s="94"/>
      <c r="AA529" s="94"/>
      <c r="AB529" s="94"/>
      <c r="AC529" s="94"/>
      <c r="AD529" s="94"/>
      <c r="AE529" s="94"/>
    </row>
    <row r="530">
      <c r="A530" s="87"/>
      <c r="B530" s="37"/>
      <c r="C530" s="37"/>
      <c r="D530" s="162"/>
      <c r="E530" s="89"/>
      <c r="F530" s="72"/>
      <c r="G530" s="111"/>
      <c r="H530" s="111"/>
      <c r="I530" s="111"/>
      <c r="J530" s="111"/>
      <c r="K530" s="111"/>
      <c r="L530" s="111"/>
      <c r="M530" s="94"/>
      <c r="N530" s="94"/>
      <c r="O530" s="94"/>
      <c r="P530" s="94"/>
      <c r="Q530" s="94"/>
      <c r="R530" s="94"/>
      <c r="S530" s="94"/>
      <c r="T530" s="94"/>
      <c r="U530" s="94"/>
      <c r="V530" s="94"/>
      <c r="W530" s="94"/>
      <c r="X530" s="94"/>
      <c r="Y530" s="94"/>
      <c r="Z530" s="94"/>
      <c r="AA530" s="94"/>
      <c r="AB530" s="94"/>
      <c r="AC530" s="94"/>
      <c r="AD530" s="94"/>
      <c r="AE530" s="94"/>
    </row>
    <row r="531">
      <c r="A531" s="87"/>
      <c r="B531" s="37"/>
      <c r="C531" s="37"/>
      <c r="D531" s="162"/>
      <c r="E531" s="89"/>
      <c r="F531" s="72"/>
      <c r="G531" s="111"/>
      <c r="H531" s="111"/>
      <c r="I531" s="111"/>
      <c r="J531" s="111"/>
      <c r="K531" s="111"/>
      <c r="L531" s="111"/>
      <c r="M531" s="94"/>
      <c r="N531" s="94"/>
      <c r="O531" s="94"/>
      <c r="P531" s="94"/>
      <c r="Q531" s="94"/>
      <c r="R531" s="94"/>
      <c r="S531" s="94"/>
      <c r="T531" s="94"/>
      <c r="U531" s="94"/>
      <c r="V531" s="94"/>
      <c r="W531" s="94"/>
      <c r="X531" s="94"/>
      <c r="Y531" s="94"/>
      <c r="Z531" s="94"/>
      <c r="AA531" s="94"/>
      <c r="AB531" s="94"/>
      <c r="AC531" s="94"/>
      <c r="AD531" s="94"/>
      <c r="AE531" s="94"/>
    </row>
    <row r="532">
      <c r="A532" s="87"/>
      <c r="B532" s="37"/>
      <c r="C532" s="37"/>
      <c r="D532" s="162"/>
      <c r="E532" s="89"/>
      <c r="F532" s="72"/>
      <c r="G532" s="111"/>
      <c r="H532" s="111"/>
      <c r="I532" s="111"/>
      <c r="J532" s="111"/>
      <c r="K532" s="111"/>
      <c r="L532" s="111"/>
      <c r="M532" s="94"/>
      <c r="N532" s="94"/>
      <c r="O532" s="94"/>
      <c r="P532" s="94"/>
      <c r="Q532" s="94"/>
      <c r="R532" s="94"/>
      <c r="S532" s="94"/>
      <c r="T532" s="94"/>
      <c r="U532" s="94"/>
      <c r="V532" s="94"/>
      <c r="W532" s="94"/>
      <c r="X532" s="94"/>
      <c r="Y532" s="94"/>
      <c r="Z532" s="94"/>
      <c r="AA532" s="94"/>
      <c r="AB532" s="94"/>
      <c r="AC532" s="94"/>
      <c r="AD532" s="94"/>
      <c r="AE532" s="94"/>
    </row>
    <row r="533">
      <c r="A533" s="87"/>
      <c r="B533" s="37"/>
      <c r="C533" s="37"/>
      <c r="D533" s="162"/>
      <c r="E533" s="89"/>
      <c r="F533" s="72"/>
      <c r="G533" s="111"/>
      <c r="H533" s="111"/>
      <c r="I533" s="111"/>
      <c r="J533" s="111"/>
      <c r="K533" s="111"/>
      <c r="L533" s="111"/>
      <c r="M533" s="94"/>
      <c r="N533" s="94"/>
      <c r="O533" s="94"/>
      <c r="P533" s="94"/>
      <c r="Q533" s="94"/>
      <c r="R533" s="94"/>
      <c r="S533" s="94"/>
      <c r="T533" s="94"/>
      <c r="U533" s="94"/>
      <c r="V533" s="94"/>
      <c r="W533" s="94"/>
      <c r="X533" s="94"/>
      <c r="Y533" s="94"/>
      <c r="Z533" s="94"/>
      <c r="AA533" s="94"/>
      <c r="AB533" s="94"/>
      <c r="AC533" s="94"/>
      <c r="AD533" s="94"/>
      <c r="AE533" s="94"/>
    </row>
    <row r="534">
      <c r="A534" s="87"/>
      <c r="B534" s="37"/>
      <c r="C534" s="37"/>
      <c r="D534" s="162"/>
      <c r="E534" s="89"/>
      <c r="F534" s="72"/>
      <c r="G534" s="111"/>
      <c r="H534" s="111"/>
      <c r="I534" s="111"/>
      <c r="J534" s="111"/>
      <c r="K534" s="111"/>
      <c r="L534" s="111"/>
      <c r="M534" s="94"/>
      <c r="N534" s="94"/>
      <c r="O534" s="94"/>
      <c r="P534" s="94"/>
      <c r="Q534" s="94"/>
      <c r="R534" s="94"/>
      <c r="S534" s="94"/>
      <c r="T534" s="94"/>
      <c r="U534" s="94"/>
      <c r="V534" s="94"/>
      <c r="W534" s="94"/>
      <c r="X534" s="94"/>
      <c r="Y534" s="94"/>
      <c r="Z534" s="94"/>
      <c r="AA534" s="94"/>
      <c r="AB534" s="94"/>
      <c r="AC534" s="94"/>
      <c r="AD534" s="94"/>
      <c r="AE534" s="94"/>
    </row>
    <row r="535">
      <c r="A535" s="87"/>
      <c r="B535" s="37"/>
      <c r="C535" s="37"/>
      <c r="D535" s="162"/>
      <c r="E535" s="89"/>
      <c r="F535" s="72"/>
      <c r="G535" s="111"/>
      <c r="H535" s="111"/>
      <c r="I535" s="111"/>
      <c r="J535" s="111"/>
      <c r="K535" s="111"/>
      <c r="L535" s="111"/>
      <c r="M535" s="94"/>
      <c r="N535" s="94"/>
      <c r="O535" s="94"/>
      <c r="P535" s="94"/>
      <c r="Q535" s="94"/>
      <c r="R535" s="94"/>
      <c r="S535" s="94"/>
      <c r="T535" s="94"/>
      <c r="U535" s="94"/>
      <c r="V535" s="94"/>
      <c r="W535" s="94"/>
      <c r="X535" s="94"/>
      <c r="Y535" s="94"/>
      <c r="Z535" s="94"/>
      <c r="AA535" s="94"/>
      <c r="AB535" s="94"/>
      <c r="AC535" s="94"/>
      <c r="AD535" s="94"/>
      <c r="AE535" s="94"/>
    </row>
    <row r="536">
      <c r="A536" s="87"/>
      <c r="B536" s="37"/>
      <c r="C536" s="37"/>
      <c r="D536" s="162"/>
      <c r="E536" s="89"/>
      <c r="F536" s="72"/>
      <c r="G536" s="111"/>
      <c r="H536" s="111"/>
      <c r="I536" s="111"/>
      <c r="J536" s="111"/>
      <c r="K536" s="111"/>
      <c r="L536" s="111"/>
      <c r="M536" s="94"/>
      <c r="N536" s="94"/>
      <c r="O536" s="94"/>
      <c r="P536" s="94"/>
      <c r="Q536" s="94"/>
      <c r="R536" s="94"/>
      <c r="S536" s="94"/>
      <c r="T536" s="94"/>
      <c r="U536" s="94"/>
      <c r="V536" s="94"/>
      <c r="W536" s="94"/>
      <c r="X536" s="94"/>
      <c r="Y536" s="94"/>
      <c r="Z536" s="94"/>
      <c r="AA536" s="94"/>
      <c r="AB536" s="94"/>
      <c r="AC536" s="94"/>
      <c r="AD536" s="94"/>
      <c r="AE536" s="94"/>
    </row>
    <row r="537">
      <c r="A537" s="87"/>
      <c r="B537" s="37"/>
      <c r="C537" s="37"/>
      <c r="D537" s="162"/>
      <c r="E537" s="89"/>
      <c r="F537" s="72"/>
      <c r="G537" s="111"/>
      <c r="H537" s="111"/>
      <c r="I537" s="111"/>
      <c r="J537" s="111"/>
      <c r="K537" s="111"/>
      <c r="L537" s="111"/>
      <c r="M537" s="94"/>
      <c r="N537" s="94"/>
      <c r="O537" s="94"/>
      <c r="P537" s="94"/>
      <c r="Q537" s="94"/>
      <c r="R537" s="94"/>
      <c r="S537" s="94"/>
      <c r="T537" s="94"/>
      <c r="U537" s="94"/>
      <c r="V537" s="94"/>
      <c r="W537" s="94"/>
      <c r="X537" s="94"/>
      <c r="Y537" s="94"/>
      <c r="Z537" s="94"/>
      <c r="AA537" s="94"/>
      <c r="AB537" s="94"/>
      <c r="AC537" s="94"/>
      <c r="AD537" s="94"/>
      <c r="AE537" s="94"/>
    </row>
    <row r="538">
      <c r="A538" s="87"/>
      <c r="B538" s="37"/>
      <c r="C538" s="37"/>
      <c r="D538" s="162"/>
      <c r="E538" s="89"/>
      <c r="F538" s="72"/>
      <c r="G538" s="111"/>
      <c r="H538" s="111"/>
      <c r="I538" s="111"/>
      <c r="J538" s="111"/>
      <c r="K538" s="111"/>
      <c r="L538" s="111"/>
      <c r="M538" s="94"/>
      <c r="N538" s="94"/>
      <c r="O538" s="94"/>
      <c r="P538" s="94"/>
      <c r="Q538" s="94"/>
      <c r="R538" s="94"/>
      <c r="S538" s="94"/>
      <c r="T538" s="94"/>
      <c r="U538" s="94"/>
      <c r="V538" s="94"/>
      <c r="W538" s="94"/>
      <c r="X538" s="94"/>
      <c r="Y538" s="94"/>
      <c r="Z538" s="94"/>
      <c r="AA538" s="94"/>
      <c r="AB538" s="94"/>
      <c r="AC538" s="94"/>
      <c r="AD538" s="94"/>
      <c r="AE538" s="94"/>
    </row>
    <row r="539">
      <c r="A539" s="87"/>
      <c r="B539" s="37"/>
      <c r="C539" s="37"/>
      <c r="D539" s="162"/>
      <c r="E539" s="89"/>
      <c r="F539" s="72"/>
      <c r="G539" s="111"/>
      <c r="H539" s="111"/>
      <c r="I539" s="111"/>
      <c r="J539" s="111"/>
      <c r="K539" s="111"/>
      <c r="L539" s="111"/>
      <c r="M539" s="94"/>
      <c r="N539" s="94"/>
      <c r="O539" s="94"/>
      <c r="P539" s="94"/>
      <c r="Q539" s="94"/>
      <c r="R539" s="94"/>
      <c r="S539" s="94"/>
      <c r="T539" s="94"/>
      <c r="U539" s="94"/>
      <c r="V539" s="94"/>
      <c r="W539" s="94"/>
      <c r="X539" s="94"/>
      <c r="Y539" s="94"/>
      <c r="Z539" s="94"/>
      <c r="AA539" s="94"/>
      <c r="AB539" s="94"/>
      <c r="AC539" s="94"/>
      <c r="AD539" s="94"/>
      <c r="AE539" s="94"/>
    </row>
    <row r="540">
      <c r="A540" s="87"/>
      <c r="B540" s="37"/>
      <c r="C540" s="37"/>
      <c r="D540" s="162"/>
      <c r="E540" s="89"/>
      <c r="F540" s="72"/>
      <c r="G540" s="111"/>
      <c r="H540" s="111"/>
      <c r="I540" s="111"/>
      <c r="J540" s="111"/>
      <c r="K540" s="111"/>
      <c r="L540" s="111"/>
      <c r="M540" s="94"/>
      <c r="N540" s="94"/>
      <c r="O540" s="94"/>
      <c r="P540" s="94"/>
      <c r="Q540" s="94"/>
      <c r="R540" s="94"/>
      <c r="S540" s="94"/>
      <c r="T540" s="94"/>
      <c r="U540" s="94"/>
      <c r="V540" s="94"/>
      <c r="W540" s="94"/>
      <c r="X540" s="94"/>
      <c r="Y540" s="94"/>
      <c r="Z540" s="94"/>
      <c r="AA540" s="94"/>
      <c r="AB540" s="94"/>
      <c r="AC540" s="94"/>
      <c r="AD540" s="94"/>
      <c r="AE540" s="94"/>
    </row>
    <row r="541">
      <c r="A541" s="87"/>
      <c r="B541" s="37"/>
      <c r="C541" s="37"/>
      <c r="D541" s="162"/>
      <c r="E541" s="89"/>
      <c r="F541" s="72"/>
      <c r="G541" s="111"/>
      <c r="H541" s="111"/>
      <c r="I541" s="111"/>
      <c r="J541" s="111"/>
      <c r="K541" s="111"/>
      <c r="L541" s="111"/>
      <c r="M541" s="94"/>
      <c r="N541" s="94"/>
      <c r="O541" s="94"/>
      <c r="P541" s="94"/>
      <c r="Q541" s="94"/>
      <c r="R541" s="94"/>
      <c r="S541" s="94"/>
      <c r="T541" s="94"/>
      <c r="U541" s="94"/>
      <c r="V541" s="94"/>
      <c r="W541" s="94"/>
      <c r="X541" s="94"/>
      <c r="Y541" s="94"/>
      <c r="Z541" s="94"/>
      <c r="AA541" s="94"/>
      <c r="AB541" s="94"/>
      <c r="AC541" s="94"/>
      <c r="AD541" s="94"/>
      <c r="AE541" s="94"/>
    </row>
    <row r="542">
      <c r="A542" s="87"/>
      <c r="B542" s="37"/>
      <c r="C542" s="37"/>
      <c r="D542" s="162"/>
      <c r="E542" s="89"/>
      <c r="F542" s="72"/>
      <c r="G542" s="111"/>
      <c r="H542" s="111"/>
      <c r="I542" s="111"/>
      <c r="J542" s="111"/>
      <c r="K542" s="111"/>
      <c r="L542" s="111"/>
      <c r="M542" s="94"/>
      <c r="N542" s="94"/>
      <c r="O542" s="94"/>
      <c r="P542" s="94"/>
      <c r="Q542" s="94"/>
      <c r="R542" s="94"/>
      <c r="S542" s="94"/>
      <c r="T542" s="94"/>
      <c r="U542" s="94"/>
      <c r="V542" s="94"/>
      <c r="W542" s="94"/>
      <c r="X542" s="94"/>
      <c r="Y542" s="94"/>
      <c r="Z542" s="94"/>
      <c r="AA542" s="94"/>
      <c r="AB542" s="94"/>
      <c r="AC542" s="94"/>
      <c r="AD542" s="94"/>
      <c r="AE542" s="94"/>
    </row>
    <row r="543">
      <c r="A543" s="87"/>
      <c r="B543" s="37"/>
      <c r="C543" s="37"/>
      <c r="D543" s="162"/>
      <c r="E543" s="89"/>
      <c r="F543" s="72"/>
      <c r="G543" s="111"/>
      <c r="H543" s="111"/>
      <c r="I543" s="111"/>
      <c r="J543" s="111"/>
      <c r="K543" s="111"/>
      <c r="L543" s="111"/>
      <c r="M543" s="94"/>
      <c r="N543" s="94"/>
      <c r="O543" s="94"/>
      <c r="P543" s="94"/>
      <c r="Q543" s="94"/>
      <c r="R543" s="94"/>
      <c r="S543" s="94"/>
      <c r="T543" s="94"/>
      <c r="U543" s="94"/>
      <c r="V543" s="94"/>
      <c r="W543" s="94"/>
      <c r="X543" s="94"/>
      <c r="Y543" s="94"/>
      <c r="Z543" s="94"/>
      <c r="AA543" s="94"/>
      <c r="AB543" s="94"/>
      <c r="AC543" s="94"/>
      <c r="AD543" s="94"/>
      <c r="AE543" s="94"/>
    </row>
    <row r="544">
      <c r="A544" s="87"/>
      <c r="B544" s="37"/>
      <c r="C544" s="37"/>
      <c r="D544" s="162"/>
      <c r="E544" s="89"/>
      <c r="F544" s="72"/>
      <c r="G544" s="111"/>
      <c r="H544" s="111"/>
      <c r="I544" s="111"/>
      <c r="J544" s="111"/>
      <c r="K544" s="111"/>
      <c r="L544" s="111"/>
      <c r="M544" s="94"/>
      <c r="N544" s="94"/>
      <c r="O544" s="94"/>
      <c r="P544" s="94"/>
      <c r="Q544" s="94"/>
      <c r="R544" s="94"/>
      <c r="S544" s="94"/>
      <c r="T544" s="94"/>
      <c r="U544" s="94"/>
      <c r="V544" s="94"/>
      <c r="W544" s="94"/>
      <c r="X544" s="94"/>
      <c r="Y544" s="94"/>
      <c r="Z544" s="94"/>
      <c r="AA544" s="94"/>
      <c r="AB544" s="94"/>
      <c r="AC544" s="94"/>
      <c r="AD544" s="94"/>
      <c r="AE544" s="94"/>
    </row>
    <row r="545">
      <c r="A545" s="87"/>
      <c r="B545" s="37"/>
      <c r="C545" s="37"/>
      <c r="D545" s="162"/>
      <c r="E545" s="89"/>
      <c r="F545" s="72"/>
      <c r="G545" s="111"/>
      <c r="H545" s="111"/>
      <c r="I545" s="111"/>
      <c r="J545" s="111"/>
      <c r="K545" s="111"/>
      <c r="L545" s="111"/>
      <c r="M545" s="94"/>
      <c r="N545" s="94"/>
      <c r="O545" s="94"/>
      <c r="P545" s="94"/>
      <c r="Q545" s="94"/>
      <c r="R545" s="94"/>
      <c r="S545" s="94"/>
      <c r="T545" s="94"/>
      <c r="U545" s="94"/>
      <c r="V545" s="94"/>
      <c r="W545" s="94"/>
      <c r="X545" s="94"/>
      <c r="Y545" s="94"/>
      <c r="Z545" s="94"/>
      <c r="AA545" s="94"/>
      <c r="AB545" s="94"/>
      <c r="AC545" s="94"/>
      <c r="AD545" s="94"/>
      <c r="AE545" s="94"/>
    </row>
    <row r="546">
      <c r="A546" s="87"/>
      <c r="B546" s="37"/>
      <c r="C546" s="37"/>
      <c r="D546" s="162"/>
      <c r="E546" s="89"/>
      <c r="F546" s="72"/>
      <c r="G546" s="111"/>
      <c r="H546" s="111"/>
      <c r="I546" s="111"/>
      <c r="J546" s="111"/>
      <c r="K546" s="111"/>
      <c r="L546" s="111"/>
      <c r="M546" s="94"/>
      <c r="N546" s="94"/>
      <c r="O546" s="94"/>
      <c r="P546" s="94"/>
      <c r="Q546" s="94"/>
      <c r="R546" s="94"/>
      <c r="S546" s="94"/>
      <c r="T546" s="94"/>
      <c r="U546" s="94"/>
      <c r="V546" s="94"/>
      <c r="W546" s="94"/>
      <c r="X546" s="94"/>
      <c r="Y546" s="94"/>
      <c r="Z546" s="94"/>
      <c r="AA546" s="94"/>
      <c r="AB546" s="94"/>
      <c r="AC546" s="94"/>
      <c r="AD546" s="94"/>
      <c r="AE546" s="94"/>
    </row>
    <row r="547">
      <c r="A547" s="87"/>
      <c r="B547" s="37"/>
      <c r="C547" s="37"/>
      <c r="D547" s="162"/>
      <c r="E547" s="89"/>
      <c r="F547" s="72"/>
      <c r="G547" s="111"/>
      <c r="H547" s="111"/>
      <c r="I547" s="111"/>
      <c r="J547" s="111"/>
      <c r="K547" s="111"/>
      <c r="L547" s="111"/>
      <c r="M547" s="94"/>
      <c r="N547" s="94"/>
      <c r="O547" s="94"/>
      <c r="P547" s="94"/>
      <c r="Q547" s="94"/>
      <c r="R547" s="94"/>
      <c r="S547" s="94"/>
      <c r="T547" s="94"/>
      <c r="U547" s="94"/>
      <c r="V547" s="94"/>
      <c r="W547" s="94"/>
      <c r="X547" s="94"/>
      <c r="Y547" s="94"/>
      <c r="Z547" s="94"/>
      <c r="AA547" s="94"/>
      <c r="AB547" s="94"/>
      <c r="AC547" s="94"/>
      <c r="AD547" s="94"/>
      <c r="AE547" s="94"/>
    </row>
    <row r="548">
      <c r="A548" s="87"/>
      <c r="B548" s="37"/>
      <c r="C548" s="37"/>
      <c r="D548" s="162"/>
      <c r="E548" s="89"/>
      <c r="F548" s="72"/>
      <c r="G548" s="111"/>
      <c r="H548" s="111"/>
      <c r="I548" s="111"/>
      <c r="J548" s="111"/>
      <c r="K548" s="111"/>
      <c r="L548" s="111"/>
      <c r="M548" s="94"/>
      <c r="N548" s="94"/>
      <c r="O548" s="94"/>
      <c r="P548" s="94"/>
      <c r="Q548" s="94"/>
      <c r="R548" s="94"/>
      <c r="S548" s="94"/>
      <c r="T548" s="94"/>
      <c r="U548" s="94"/>
      <c r="V548" s="94"/>
      <c r="W548" s="94"/>
      <c r="X548" s="94"/>
      <c r="Y548" s="94"/>
      <c r="Z548" s="94"/>
      <c r="AA548" s="94"/>
      <c r="AB548" s="94"/>
      <c r="AC548" s="94"/>
      <c r="AD548" s="94"/>
      <c r="AE548" s="94"/>
    </row>
    <row r="549">
      <c r="A549" s="87"/>
      <c r="B549" s="37"/>
      <c r="C549" s="37"/>
      <c r="D549" s="162"/>
      <c r="E549" s="89"/>
      <c r="F549" s="72"/>
      <c r="G549" s="111"/>
      <c r="H549" s="111"/>
      <c r="I549" s="111"/>
      <c r="J549" s="111"/>
      <c r="K549" s="111"/>
      <c r="L549" s="111"/>
      <c r="M549" s="94"/>
      <c r="N549" s="94"/>
      <c r="O549" s="94"/>
      <c r="P549" s="94"/>
      <c r="Q549" s="94"/>
      <c r="R549" s="94"/>
      <c r="S549" s="94"/>
      <c r="T549" s="94"/>
      <c r="U549" s="94"/>
      <c r="V549" s="94"/>
      <c r="W549" s="94"/>
      <c r="X549" s="94"/>
      <c r="Y549" s="94"/>
      <c r="Z549" s="94"/>
      <c r="AA549" s="94"/>
      <c r="AB549" s="94"/>
      <c r="AC549" s="94"/>
      <c r="AD549" s="94"/>
      <c r="AE549" s="94"/>
    </row>
    <row r="550">
      <c r="A550" s="87"/>
      <c r="B550" s="37"/>
      <c r="C550" s="37"/>
      <c r="D550" s="162"/>
      <c r="E550" s="89"/>
      <c r="F550" s="72"/>
      <c r="G550" s="111"/>
      <c r="H550" s="111"/>
      <c r="I550" s="111"/>
      <c r="J550" s="111"/>
      <c r="K550" s="111"/>
      <c r="L550" s="111"/>
      <c r="M550" s="94"/>
      <c r="N550" s="94"/>
      <c r="O550" s="94"/>
      <c r="P550" s="94"/>
      <c r="Q550" s="94"/>
      <c r="R550" s="94"/>
      <c r="S550" s="94"/>
      <c r="T550" s="94"/>
      <c r="U550" s="94"/>
      <c r="V550" s="94"/>
      <c r="W550" s="94"/>
      <c r="X550" s="94"/>
      <c r="Y550" s="94"/>
      <c r="Z550" s="94"/>
      <c r="AA550" s="94"/>
      <c r="AB550" s="94"/>
      <c r="AC550" s="94"/>
      <c r="AD550" s="94"/>
      <c r="AE550" s="94"/>
    </row>
    <row r="551">
      <c r="A551" s="87"/>
      <c r="B551" s="37"/>
      <c r="C551" s="37"/>
      <c r="D551" s="162"/>
      <c r="E551" s="89"/>
      <c r="F551" s="72"/>
      <c r="G551" s="111"/>
      <c r="H551" s="111"/>
      <c r="I551" s="111"/>
      <c r="J551" s="111"/>
      <c r="K551" s="111"/>
      <c r="L551" s="111"/>
      <c r="M551" s="94"/>
      <c r="N551" s="94"/>
      <c r="O551" s="94"/>
      <c r="P551" s="94"/>
      <c r="Q551" s="94"/>
      <c r="R551" s="94"/>
      <c r="S551" s="94"/>
      <c r="T551" s="94"/>
      <c r="U551" s="94"/>
      <c r="V551" s="94"/>
      <c r="W551" s="94"/>
      <c r="X551" s="94"/>
      <c r="Y551" s="94"/>
      <c r="Z551" s="94"/>
      <c r="AA551" s="94"/>
      <c r="AB551" s="94"/>
      <c r="AC551" s="94"/>
      <c r="AD551" s="94"/>
      <c r="AE551" s="94"/>
    </row>
    <row r="552">
      <c r="A552" s="87"/>
      <c r="B552" s="37"/>
      <c r="C552" s="37"/>
      <c r="D552" s="162"/>
      <c r="E552" s="89"/>
      <c r="F552" s="72"/>
      <c r="G552" s="111"/>
      <c r="H552" s="111"/>
      <c r="I552" s="111"/>
      <c r="J552" s="111"/>
      <c r="K552" s="111"/>
      <c r="L552" s="111"/>
      <c r="M552" s="94"/>
      <c r="N552" s="94"/>
      <c r="O552" s="94"/>
      <c r="P552" s="94"/>
      <c r="Q552" s="94"/>
      <c r="R552" s="94"/>
      <c r="S552" s="94"/>
      <c r="T552" s="94"/>
      <c r="U552" s="94"/>
      <c r="V552" s="94"/>
      <c r="W552" s="94"/>
      <c r="X552" s="94"/>
      <c r="Y552" s="94"/>
      <c r="Z552" s="94"/>
      <c r="AA552" s="94"/>
      <c r="AB552" s="94"/>
      <c r="AC552" s="94"/>
      <c r="AD552" s="94"/>
      <c r="AE552" s="94"/>
    </row>
    <row r="553">
      <c r="A553" s="87"/>
      <c r="B553" s="37"/>
      <c r="C553" s="37"/>
      <c r="D553" s="162"/>
      <c r="E553" s="89"/>
      <c r="F553" s="72"/>
      <c r="G553" s="111"/>
      <c r="H553" s="111"/>
      <c r="I553" s="111"/>
      <c r="J553" s="111"/>
      <c r="K553" s="111"/>
      <c r="L553" s="111"/>
      <c r="M553" s="94"/>
      <c r="N553" s="94"/>
      <c r="O553" s="94"/>
      <c r="P553" s="94"/>
      <c r="Q553" s="94"/>
      <c r="R553" s="94"/>
      <c r="S553" s="94"/>
      <c r="T553" s="94"/>
      <c r="U553" s="94"/>
      <c r="V553" s="94"/>
      <c r="W553" s="94"/>
      <c r="X553" s="94"/>
      <c r="Y553" s="94"/>
      <c r="Z553" s="94"/>
      <c r="AA553" s="94"/>
      <c r="AB553" s="94"/>
      <c r="AC553" s="94"/>
      <c r="AD553" s="94"/>
      <c r="AE553" s="94"/>
    </row>
    <row r="554">
      <c r="A554" s="87"/>
      <c r="B554" s="37"/>
      <c r="C554" s="37"/>
      <c r="D554" s="162"/>
      <c r="E554" s="89"/>
      <c r="F554" s="72"/>
      <c r="G554" s="111"/>
      <c r="H554" s="111"/>
      <c r="I554" s="111"/>
      <c r="J554" s="111"/>
      <c r="K554" s="111"/>
      <c r="L554" s="111"/>
      <c r="M554" s="94"/>
      <c r="N554" s="94"/>
      <c r="O554" s="94"/>
      <c r="P554" s="94"/>
      <c r="Q554" s="94"/>
      <c r="R554" s="94"/>
      <c r="S554" s="94"/>
      <c r="T554" s="94"/>
      <c r="U554" s="94"/>
      <c r="V554" s="94"/>
      <c r="W554" s="94"/>
      <c r="X554" s="94"/>
      <c r="Y554" s="94"/>
      <c r="Z554" s="94"/>
      <c r="AA554" s="94"/>
      <c r="AB554" s="94"/>
      <c r="AC554" s="94"/>
      <c r="AD554" s="94"/>
      <c r="AE554" s="94"/>
    </row>
    <row r="555">
      <c r="A555" s="87"/>
      <c r="B555" s="37"/>
      <c r="C555" s="37"/>
      <c r="D555" s="162"/>
      <c r="E555" s="89"/>
      <c r="F555" s="72"/>
      <c r="G555" s="111"/>
      <c r="H555" s="111"/>
      <c r="I555" s="111"/>
      <c r="J555" s="111"/>
      <c r="K555" s="111"/>
      <c r="L555" s="111"/>
      <c r="M555" s="94"/>
      <c r="N555" s="94"/>
      <c r="O555" s="94"/>
      <c r="P555" s="94"/>
      <c r="Q555" s="94"/>
      <c r="R555" s="94"/>
      <c r="S555" s="94"/>
      <c r="T555" s="94"/>
      <c r="U555" s="94"/>
      <c r="V555" s="94"/>
      <c r="W555" s="94"/>
      <c r="X555" s="94"/>
      <c r="Y555" s="94"/>
      <c r="Z555" s="94"/>
      <c r="AA555" s="94"/>
      <c r="AB555" s="94"/>
      <c r="AC555" s="94"/>
      <c r="AD555" s="94"/>
      <c r="AE555" s="94"/>
    </row>
    <row r="556">
      <c r="A556" s="87"/>
      <c r="B556" s="37"/>
      <c r="C556" s="37"/>
      <c r="D556" s="162"/>
      <c r="E556" s="89"/>
      <c r="F556" s="72"/>
      <c r="G556" s="111"/>
      <c r="H556" s="111"/>
      <c r="I556" s="111"/>
      <c r="J556" s="111"/>
      <c r="K556" s="111"/>
      <c r="L556" s="111"/>
      <c r="M556" s="94"/>
      <c r="N556" s="94"/>
      <c r="O556" s="94"/>
      <c r="P556" s="94"/>
      <c r="Q556" s="94"/>
      <c r="R556" s="94"/>
      <c r="S556" s="94"/>
      <c r="T556" s="94"/>
      <c r="U556" s="94"/>
      <c r="V556" s="94"/>
      <c r="W556" s="94"/>
      <c r="X556" s="94"/>
      <c r="Y556" s="94"/>
      <c r="Z556" s="94"/>
      <c r="AA556" s="94"/>
      <c r="AB556" s="94"/>
      <c r="AC556" s="94"/>
      <c r="AD556" s="94"/>
      <c r="AE556" s="94"/>
    </row>
    <row r="557">
      <c r="A557" s="87"/>
      <c r="B557" s="37"/>
      <c r="C557" s="37"/>
      <c r="D557" s="162"/>
      <c r="E557" s="89"/>
      <c r="F557" s="72"/>
      <c r="G557" s="111"/>
      <c r="H557" s="111"/>
      <c r="I557" s="111"/>
      <c r="J557" s="111"/>
      <c r="K557" s="111"/>
      <c r="L557" s="111"/>
      <c r="M557" s="94"/>
      <c r="N557" s="94"/>
      <c r="O557" s="94"/>
      <c r="P557" s="94"/>
      <c r="Q557" s="94"/>
      <c r="R557" s="94"/>
      <c r="S557" s="94"/>
      <c r="T557" s="94"/>
      <c r="U557" s="94"/>
      <c r="V557" s="94"/>
      <c r="W557" s="94"/>
      <c r="X557" s="94"/>
      <c r="Y557" s="94"/>
      <c r="Z557" s="94"/>
      <c r="AA557" s="94"/>
      <c r="AB557" s="94"/>
      <c r="AC557" s="94"/>
      <c r="AD557" s="94"/>
      <c r="AE557" s="94"/>
    </row>
    <row r="558">
      <c r="A558" s="87"/>
      <c r="B558" s="37"/>
      <c r="C558" s="37"/>
      <c r="D558" s="162"/>
      <c r="E558" s="89"/>
      <c r="F558" s="72"/>
      <c r="G558" s="111"/>
      <c r="H558" s="111"/>
      <c r="I558" s="111"/>
      <c r="J558" s="111"/>
      <c r="K558" s="111"/>
      <c r="L558" s="111"/>
      <c r="M558" s="94"/>
      <c r="N558" s="94"/>
      <c r="O558" s="94"/>
      <c r="P558" s="94"/>
      <c r="Q558" s="94"/>
      <c r="R558" s="94"/>
      <c r="S558" s="94"/>
      <c r="T558" s="94"/>
      <c r="U558" s="94"/>
      <c r="V558" s="94"/>
      <c r="W558" s="94"/>
      <c r="X558" s="94"/>
      <c r="Y558" s="94"/>
      <c r="Z558" s="94"/>
      <c r="AA558" s="94"/>
      <c r="AB558" s="94"/>
      <c r="AC558" s="94"/>
      <c r="AD558" s="94"/>
      <c r="AE558" s="94"/>
    </row>
    <row r="559">
      <c r="A559" s="87"/>
      <c r="B559" s="37"/>
      <c r="C559" s="37"/>
      <c r="D559" s="162"/>
      <c r="E559" s="89"/>
      <c r="F559" s="72"/>
      <c r="G559" s="111"/>
      <c r="H559" s="111"/>
      <c r="I559" s="111"/>
      <c r="J559" s="111"/>
      <c r="K559" s="111"/>
      <c r="L559" s="111"/>
      <c r="M559" s="94"/>
      <c r="N559" s="94"/>
      <c r="O559" s="94"/>
      <c r="P559" s="94"/>
      <c r="Q559" s="94"/>
      <c r="R559" s="94"/>
      <c r="S559" s="94"/>
      <c r="T559" s="94"/>
      <c r="U559" s="94"/>
      <c r="V559" s="94"/>
      <c r="W559" s="94"/>
      <c r="X559" s="94"/>
      <c r="Y559" s="94"/>
      <c r="Z559" s="94"/>
      <c r="AA559" s="94"/>
      <c r="AB559" s="94"/>
      <c r="AC559" s="94"/>
      <c r="AD559" s="94"/>
      <c r="AE559" s="94"/>
    </row>
    <row r="560">
      <c r="A560" s="87"/>
      <c r="B560" s="37"/>
      <c r="C560" s="37"/>
      <c r="D560" s="162"/>
      <c r="E560" s="89"/>
      <c r="F560" s="72"/>
      <c r="G560" s="111"/>
      <c r="H560" s="111"/>
      <c r="I560" s="111"/>
      <c r="J560" s="111"/>
      <c r="K560" s="111"/>
      <c r="L560" s="111"/>
      <c r="M560" s="94"/>
      <c r="N560" s="94"/>
      <c r="O560" s="94"/>
      <c r="P560" s="94"/>
      <c r="Q560" s="94"/>
      <c r="R560" s="94"/>
      <c r="S560" s="94"/>
      <c r="T560" s="94"/>
      <c r="U560" s="94"/>
      <c r="V560" s="94"/>
      <c r="W560" s="94"/>
      <c r="X560" s="94"/>
      <c r="Y560" s="94"/>
      <c r="Z560" s="94"/>
      <c r="AA560" s="94"/>
      <c r="AB560" s="94"/>
      <c r="AC560" s="94"/>
      <c r="AD560" s="94"/>
      <c r="AE560" s="94"/>
    </row>
    <row r="561">
      <c r="A561" s="87"/>
      <c r="B561" s="37"/>
      <c r="C561" s="37"/>
      <c r="D561" s="162"/>
      <c r="E561" s="89"/>
      <c r="F561" s="72"/>
      <c r="G561" s="111"/>
      <c r="H561" s="111"/>
      <c r="I561" s="111"/>
      <c r="J561" s="111"/>
      <c r="K561" s="111"/>
      <c r="L561" s="111"/>
      <c r="M561" s="94"/>
      <c r="N561" s="94"/>
      <c r="O561" s="94"/>
      <c r="P561" s="94"/>
      <c r="Q561" s="94"/>
      <c r="R561" s="94"/>
      <c r="S561" s="94"/>
      <c r="T561" s="94"/>
      <c r="U561" s="94"/>
      <c r="V561" s="94"/>
      <c r="W561" s="94"/>
      <c r="X561" s="94"/>
      <c r="Y561" s="94"/>
      <c r="Z561" s="94"/>
      <c r="AA561" s="94"/>
      <c r="AB561" s="94"/>
      <c r="AC561" s="94"/>
      <c r="AD561" s="94"/>
      <c r="AE561" s="94"/>
    </row>
    <row r="562">
      <c r="A562" s="87"/>
      <c r="B562" s="37"/>
      <c r="C562" s="37"/>
      <c r="D562" s="162"/>
      <c r="E562" s="89"/>
      <c r="F562" s="72"/>
      <c r="G562" s="111"/>
      <c r="H562" s="111"/>
      <c r="I562" s="111"/>
      <c r="J562" s="111"/>
      <c r="K562" s="111"/>
      <c r="L562" s="111"/>
      <c r="M562" s="94"/>
      <c r="N562" s="94"/>
      <c r="O562" s="94"/>
      <c r="P562" s="94"/>
      <c r="Q562" s="94"/>
      <c r="R562" s="94"/>
      <c r="S562" s="94"/>
      <c r="T562" s="94"/>
      <c r="U562" s="94"/>
      <c r="V562" s="94"/>
      <c r="W562" s="94"/>
      <c r="X562" s="94"/>
      <c r="Y562" s="94"/>
      <c r="Z562" s="94"/>
      <c r="AA562" s="94"/>
      <c r="AB562" s="94"/>
      <c r="AC562" s="94"/>
      <c r="AD562" s="94"/>
      <c r="AE562" s="94"/>
    </row>
    <row r="563">
      <c r="A563" s="87"/>
      <c r="B563" s="37"/>
      <c r="C563" s="37"/>
      <c r="D563" s="162"/>
      <c r="E563" s="89"/>
      <c r="F563" s="72"/>
      <c r="G563" s="111"/>
      <c r="H563" s="111"/>
      <c r="I563" s="111"/>
      <c r="J563" s="111"/>
      <c r="K563" s="111"/>
      <c r="L563" s="111"/>
      <c r="M563" s="94"/>
      <c r="N563" s="94"/>
      <c r="O563" s="94"/>
      <c r="P563" s="94"/>
      <c r="Q563" s="94"/>
      <c r="R563" s="94"/>
      <c r="S563" s="94"/>
      <c r="T563" s="94"/>
      <c r="U563" s="94"/>
      <c r="V563" s="94"/>
      <c r="W563" s="94"/>
      <c r="X563" s="94"/>
      <c r="Y563" s="94"/>
      <c r="Z563" s="94"/>
      <c r="AA563" s="94"/>
      <c r="AB563" s="94"/>
      <c r="AC563" s="94"/>
      <c r="AD563" s="94"/>
      <c r="AE563" s="94"/>
    </row>
    <row r="564">
      <c r="A564" s="87"/>
      <c r="B564" s="37"/>
      <c r="C564" s="37"/>
      <c r="D564" s="162"/>
      <c r="E564" s="89"/>
      <c r="F564" s="72"/>
      <c r="G564" s="111"/>
      <c r="H564" s="111"/>
      <c r="I564" s="111"/>
      <c r="J564" s="111"/>
      <c r="K564" s="111"/>
      <c r="L564" s="111"/>
      <c r="M564" s="94"/>
      <c r="N564" s="94"/>
      <c r="O564" s="94"/>
      <c r="P564" s="94"/>
      <c r="Q564" s="94"/>
      <c r="R564" s="94"/>
      <c r="S564" s="94"/>
      <c r="T564" s="94"/>
      <c r="U564" s="94"/>
      <c r="V564" s="94"/>
      <c r="W564" s="94"/>
      <c r="X564" s="94"/>
      <c r="Y564" s="94"/>
      <c r="Z564" s="94"/>
      <c r="AA564" s="94"/>
      <c r="AB564" s="94"/>
      <c r="AC564" s="94"/>
      <c r="AD564" s="94"/>
      <c r="AE564" s="94"/>
    </row>
    <row r="565">
      <c r="A565" s="87"/>
      <c r="B565" s="37"/>
      <c r="C565" s="37"/>
      <c r="D565" s="162"/>
      <c r="E565" s="89"/>
      <c r="F565" s="72"/>
      <c r="G565" s="111"/>
      <c r="H565" s="111"/>
      <c r="I565" s="111"/>
      <c r="J565" s="111"/>
      <c r="K565" s="111"/>
      <c r="L565" s="111"/>
      <c r="M565" s="94"/>
      <c r="N565" s="94"/>
      <c r="O565" s="94"/>
      <c r="P565" s="94"/>
      <c r="Q565" s="94"/>
      <c r="R565" s="94"/>
      <c r="S565" s="94"/>
      <c r="T565" s="94"/>
      <c r="U565" s="94"/>
      <c r="V565" s="94"/>
      <c r="W565" s="94"/>
      <c r="X565" s="94"/>
      <c r="Y565" s="94"/>
      <c r="Z565" s="94"/>
      <c r="AA565" s="94"/>
      <c r="AB565" s="94"/>
      <c r="AC565" s="94"/>
      <c r="AD565" s="94"/>
      <c r="AE565" s="94"/>
    </row>
    <row r="566">
      <c r="A566" s="87"/>
      <c r="B566" s="37"/>
      <c r="C566" s="37"/>
      <c r="D566" s="162"/>
      <c r="E566" s="89"/>
      <c r="F566" s="72"/>
      <c r="G566" s="111"/>
      <c r="H566" s="111"/>
      <c r="I566" s="111"/>
      <c r="J566" s="111"/>
      <c r="K566" s="111"/>
      <c r="L566" s="111"/>
      <c r="M566" s="94"/>
      <c r="N566" s="94"/>
      <c r="O566" s="94"/>
      <c r="P566" s="94"/>
      <c r="Q566" s="94"/>
      <c r="R566" s="94"/>
      <c r="S566" s="94"/>
      <c r="T566" s="94"/>
      <c r="U566" s="94"/>
      <c r="V566" s="94"/>
      <c r="W566" s="94"/>
      <c r="X566" s="94"/>
      <c r="Y566" s="94"/>
      <c r="Z566" s="94"/>
      <c r="AA566" s="94"/>
      <c r="AB566" s="94"/>
      <c r="AC566" s="94"/>
      <c r="AD566" s="94"/>
      <c r="AE566" s="94"/>
    </row>
    <row r="567">
      <c r="A567" s="87"/>
      <c r="B567" s="37"/>
      <c r="C567" s="37"/>
      <c r="D567" s="162"/>
      <c r="E567" s="89"/>
      <c r="F567" s="72"/>
      <c r="G567" s="111"/>
      <c r="H567" s="111"/>
      <c r="I567" s="111"/>
      <c r="J567" s="111"/>
      <c r="K567" s="111"/>
      <c r="L567" s="111"/>
      <c r="M567" s="94"/>
      <c r="N567" s="94"/>
      <c r="O567" s="94"/>
      <c r="P567" s="94"/>
      <c r="Q567" s="94"/>
      <c r="R567" s="94"/>
      <c r="S567" s="94"/>
      <c r="T567" s="94"/>
      <c r="U567" s="94"/>
      <c r="V567" s="94"/>
      <c r="W567" s="94"/>
      <c r="X567" s="94"/>
      <c r="Y567" s="94"/>
      <c r="Z567" s="94"/>
      <c r="AA567" s="94"/>
      <c r="AB567" s="94"/>
      <c r="AC567" s="94"/>
      <c r="AD567" s="94"/>
      <c r="AE567" s="94"/>
    </row>
    <row r="568">
      <c r="A568" s="87"/>
      <c r="B568" s="37"/>
      <c r="C568" s="37"/>
      <c r="D568" s="162"/>
      <c r="E568" s="89"/>
      <c r="F568" s="72"/>
      <c r="G568" s="111"/>
      <c r="H568" s="111"/>
      <c r="I568" s="111"/>
      <c r="J568" s="111"/>
      <c r="K568" s="111"/>
      <c r="L568" s="111"/>
      <c r="M568" s="94"/>
      <c r="N568" s="94"/>
      <c r="O568" s="94"/>
      <c r="P568" s="94"/>
      <c r="Q568" s="94"/>
      <c r="R568" s="94"/>
      <c r="S568" s="94"/>
      <c r="T568" s="94"/>
      <c r="U568" s="94"/>
      <c r="V568" s="94"/>
      <c r="W568" s="94"/>
      <c r="X568" s="94"/>
      <c r="Y568" s="94"/>
      <c r="Z568" s="94"/>
      <c r="AA568" s="94"/>
      <c r="AB568" s="94"/>
      <c r="AC568" s="94"/>
      <c r="AD568" s="94"/>
      <c r="AE568" s="94"/>
    </row>
    <row r="569">
      <c r="A569" s="87"/>
      <c r="B569" s="37"/>
      <c r="C569" s="37"/>
      <c r="D569" s="162"/>
      <c r="E569" s="89"/>
      <c r="F569" s="72"/>
      <c r="G569" s="111"/>
      <c r="H569" s="111"/>
      <c r="I569" s="111"/>
      <c r="J569" s="111"/>
      <c r="K569" s="111"/>
      <c r="L569" s="111"/>
      <c r="M569" s="94"/>
      <c r="N569" s="94"/>
      <c r="O569" s="94"/>
      <c r="P569" s="94"/>
      <c r="Q569" s="94"/>
      <c r="R569" s="94"/>
      <c r="S569" s="94"/>
      <c r="T569" s="94"/>
      <c r="U569" s="94"/>
      <c r="V569" s="94"/>
      <c r="W569" s="94"/>
      <c r="X569" s="94"/>
      <c r="Y569" s="94"/>
      <c r="Z569" s="94"/>
      <c r="AA569" s="94"/>
      <c r="AB569" s="94"/>
      <c r="AC569" s="94"/>
      <c r="AD569" s="94"/>
      <c r="AE569" s="94"/>
    </row>
    <row r="570">
      <c r="A570" s="87"/>
      <c r="B570" s="37"/>
      <c r="C570" s="37"/>
      <c r="D570" s="162"/>
      <c r="E570" s="89"/>
      <c r="F570" s="72"/>
      <c r="G570" s="111"/>
      <c r="H570" s="111"/>
      <c r="I570" s="111"/>
      <c r="J570" s="111"/>
      <c r="K570" s="111"/>
      <c r="L570" s="111"/>
      <c r="M570" s="94"/>
      <c r="N570" s="94"/>
      <c r="O570" s="94"/>
      <c r="P570" s="94"/>
      <c r="Q570" s="94"/>
      <c r="R570" s="94"/>
      <c r="S570" s="94"/>
      <c r="T570" s="94"/>
      <c r="U570" s="94"/>
      <c r="V570" s="94"/>
      <c r="W570" s="94"/>
      <c r="X570" s="94"/>
      <c r="Y570" s="94"/>
      <c r="Z570" s="94"/>
      <c r="AA570" s="94"/>
      <c r="AB570" s="94"/>
      <c r="AC570" s="94"/>
      <c r="AD570" s="94"/>
      <c r="AE570" s="94"/>
    </row>
    <row r="571">
      <c r="A571" s="87"/>
      <c r="B571" s="37"/>
      <c r="C571" s="37"/>
      <c r="D571" s="162"/>
      <c r="E571" s="89"/>
      <c r="F571" s="72"/>
      <c r="G571" s="111"/>
      <c r="H571" s="111"/>
      <c r="I571" s="111"/>
      <c r="J571" s="111"/>
      <c r="K571" s="111"/>
      <c r="L571" s="111"/>
      <c r="M571" s="94"/>
      <c r="N571" s="94"/>
      <c r="O571" s="94"/>
      <c r="P571" s="94"/>
      <c r="Q571" s="94"/>
      <c r="R571" s="94"/>
      <c r="S571" s="94"/>
      <c r="T571" s="94"/>
      <c r="U571" s="94"/>
      <c r="V571" s="94"/>
      <c r="W571" s="94"/>
      <c r="X571" s="94"/>
      <c r="Y571" s="94"/>
      <c r="Z571" s="94"/>
      <c r="AA571" s="94"/>
      <c r="AB571" s="94"/>
      <c r="AC571" s="94"/>
      <c r="AD571" s="94"/>
      <c r="AE571" s="94"/>
    </row>
    <row r="572">
      <c r="A572" s="87"/>
      <c r="B572" s="37"/>
      <c r="C572" s="37"/>
      <c r="D572" s="162"/>
      <c r="E572" s="89"/>
      <c r="F572" s="72"/>
      <c r="G572" s="111"/>
      <c r="H572" s="111"/>
      <c r="I572" s="111"/>
      <c r="J572" s="111"/>
      <c r="K572" s="111"/>
      <c r="L572" s="111"/>
      <c r="M572" s="94"/>
      <c r="N572" s="94"/>
      <c r="O572" s="94"/>
      <c r="P572" s="94"/>
      <c r="Q572" s="94"/>
      <c r="R572" s="94"/>
      <c r="S572" s="94"/>
      <c r="T572" s="94"/>
      <c r="U572" s="94"/>
      <c r="V572" s="94"/>
      <c r="W572" s="94"/>
      <c r="X572" s="94"/>
      <c r="Y572" s="94"/>
      <c r="Z572" s="94"/>
      <c r="AA572" s="94"/>
      <c r="AB572" s="94"/>
      <c r="AC572" s="94"/>
      <c r="AD572" s="94"/>
      <c r="AE572" s="94"/>
    </row>
    <row r="573">
      <c r="A573" s="87"/>
      <c r="B573" s="37"/>
      <c r="C573" s="37"/>
      <c r="D573" s="162"/>
      <c r="E573" s="89"/>
      <c r="F573" s="72"/>
      <c r="G573" s="111"/>
      <c r="H573" s="111"/>
      <c r="I573" s="111"/>
      <c r="J573" s="111"/>
      <c r="K573" s="111"/>
      <c r="L573" s="111"/>
      <c r="M573" s="94"/>
      <c r="N573" s="94"/>
      <c r="O573" s="94"/>
      <c r="P573" s="94"/>
      <c r="Q573" s="94"/>
      <c r="R573" s="94"/>
      <c r="S573" s="94"/>
      <c r="T573" s="94"/>
      <c r="U573" s="94"/>
      <c r="V573" s="94"/>
      <c r="W573" s="94"/>
      <c r="X573" s="94"/>
      <c r="Y573" s="94"/>
      <c r="Z573" s="94"/>
      <c r="AA573" s="94"/>
      <c r="AB573" s="94"/>
      <c r="AC573" s="94"/>
      <c r="AD573" s="94"/>
      <c r="AE573" s="94"/>
    </row>
    <row r="574">
      <c r="A574" s="87"/>
      <c r="B574" s="37"/>
      <c r="C574" s="37"/>
      <c r="D574" s="162"/>
      <c r="E574" s="89"/>
      <c r="F574" s="72"/>
      <c r="G574" s="111"/>
      <c r="H574" s="111"/>
      <c r="I574" s="111"/>
      <c r="J574" s="111"/>
      <c r="K574" s="111"/>
      <c r="L574" s="111"/>
      <c r="M574" s="94"/>
      <c r="N574" s="94"/>
      <c r="O574" s="94"/>
      <c r="P574" s="94"/>
      <c r="Q574" s="94"/>
      <c r="R574" s="94"/>
      <c r="S574" s="94"/>
      <c r="T574" s="94"/>
      <c r="U574" s="94"/>
      <c r="V574" s="94"/>
      <c r="W574" s="94"/>
      <c r="X574" s="94"/>
      <c r="Y574" s="94"/>
      <c r="Z574" s="94"/>
      <c r="AA574" s="94"/>
      <c r="AB574" s="94"/>
      <c r="AC574" s="94"/>
      <c r="AD574" s="94"/>
      <c r="AE574" s="94"/>
    </row>
    <row r="575">
      <c r="A575" s="87"/>
      <c r="B575" s="37"/>
      <c r="C575" s="37"/>
      <c r="D575" s="162"/>
      <c r="E575" s="89"/>
      <c r="F575" s="72"/>
      <c r="G575" s="111"/>
      <c r="H575" s="111"/>
      <c r="I575" s="111"/>
      <c r="J575" s="111"/>
      <c r="K575" s="111"/>
      <c r="L575" s="111"/>
      <c r="M575" s="94"/>
      <c r="N575" s="94"/>
      <c r="O575" s="94"/>
      <c r="P575" s="94"/>
      <c r="Q575" s="94"/>
      <c r="R575" s="94"/>
      <c r="S575" s="94"/>
      <c r="T575" s="94"/>
      <c r="U575" s="94"/>
      <c r="V575" s="94"/>
      <c r="W575" s="94"/>
      <c r="X575" s="94"/>
      <c r="Y575" s="94"/>
      <c r="Z575" s="94"/>
      <c r="AA575" s="94"/>
      <c r="AB575" s="94"/>
      <c r="AC575" s="94"/>
      <c r="AD575" s="94"/>
      <c r="AE575" s="94"/>
    </row>
    <row r="576">
      <c r="A576" s="87"/>
      <c r="B576" s="37"/>
      <c r="C576" s="37"/>
      <c r="D576" s="162"/>
      <c r="E576" s="89"/>
      <c r="F576" s="72"/>
      <c r="G576" s="111"/>
      <c r="H576" s="111"/>
      <c r="I576" s="111"/>
      <c r="J576" s="111"/>
      <c r="K576" s="111"/>
      <c r="L576" s="111"/>
      <c r="M576" s="94"/>
      <c r="N576" s="94"/>
      <c r="O576" s="94"/>
      <c r="P576" s="94"/>
      <c r="Q576" s="94"/>
      <c r="R576" s="94"/>
      <c r="S576" s="94"/>
      <c r="T576" s="94"/>
      <c r="U576" s="94"/>
      <c r="V576" s="94"/>
      <c r="W576" s="94"/>
      <c r="X576" s="94"/>
      <c r="Y576" s="94"/>
      <c r="Z576" s="94"/>
      <c r="AA576" s="94"/>
      <c r="AB576" s="94"/>
      <c r="AC576" s="94"/>
      <c r="AD576" s="94"/>
      <c r="AE576" s="94"/>
    </row>
    <row r="577">
      <c r="A577" s="87"/>
      <c r="B577" s="37"/>
      <c r="C577" s="37"/>
      <c r="D577" s="162"/>
      <c r="E577" s="89"/>
      <c r="F577" s="72"/>
      <c r="G577" s="111"/>
      <c r="H577" s="111"/>
      <c r="I577" s="111"/>
      <c r="J577" s="111"/>
      <c r="K577" s="111"/>
      <c r="L577" s="111"/>
      <c r="M577" s="94"/>
      <c r="N577" s="94"/>
      <c r="O577" s="94"/>
      <c r="P577" s="94"/>
      <c r="Q577" s="94"/>
      <c r="R577" s="94"/>
      <c r="S577" s="94"/>
      <c r="T577" s="94"/>
      <c r="U577" s="94"/>
      <c r="V577" s="94"/>
      <c r="W577" s="94"/>
      <c r="X577" s="94"/>
      <c r="Y577" s="94"/>
      <c r="Z577" s="94"/>
      <c r="AA577" s="94"/>
      <c r="AB577" s="94"/>
      <c r="AC577" s="94"/>
      <c r="AD577" s="94"/>
      <c r="AE577" s="94"/>
    </row>
    <row r="578">
      <c r="A578" s="87"/>
      <c r="B578" s="37"/>
      <c r="C578" s="37"/>
      <c r="D578" s="162"/>
      <c r="E578" s="89"/>
      <c r="F578" s="72"/>
      <c r="G578" s="111"/>
      <c r="H578" s="111"/>
      <c r="I578" s="111"/>
      <c r="J578" s="111"/>
      <c r="K578" s="111"/>
      <c r="L578" s="111"/>
      <c r="M578" s="94"/>
      <c r="N578" s="94"/>
      <c r="O578" s="94"/>
      <c r="P578" s="94"/>
      <c r="Q578" s="94"/>
      <c r="R578" s="94"/>
      <c r="S578" s="94"/>
      <c r="T578" s="94"/>
      <c r="U578" s="94"/>
      <c r="V578" s="94"/>
      <c r="W578" s="94"/>
      <c r="X578" s="94"/>
      <c r="Y578" s="94"/>
      <c r="Z578" s="94"/>
      <c r="AA578" s="94"/>
      <c r="AB578" s="94"/>
      <c r="AC578" s="94"/>
      <c r="AD578" s="94"/>
      <c r="AE578" s="94"/>
    </row>
    <row r="579">
      <c r="A579" s="87"/>
      <c r="B579" s="37"/>
      <c r="C579" s="37"/>
      <c r="D579" s="162"/>
      <c r="E579" s="89"/>
      <c r="F579" s="72"/>
      <c r="G579" s="111"/>
      <c r="H579" s="111"/>
      <c r="I579" s="111"/>
      <c r="J579" s="111"/>
      <c r="K579" s="111"/>
      <c r="L579" s="111"/>
      <c r="M579" s="94"/>
      <c r="N579" s="94"/>
      <c r="O579" s="94"/>
      <c r="P579" s="94"/>
      <c r="Q579" s="94"/>
      <c r="R579" s="94"/>
      <c r="S579" s="94"/>
      <c r="T579" s="94"/>
      <c r="U579" s="94"/>
      <c r="V579" s="94"/>
      <c r="W579" s="94"/>
      <c r="X579" s="94"/>
      <c r="Y579" s="94"/>
      <c r="Z579" s="94"/>
      <c r="AA579" s="94"/>
      <c r="AB579" s="94"/>
      <c r="AC579" s="94"/>
      <c r="AD579" s="94"/>
      <c r="AE579" s="94"/>
    </row>
    <row r="580">
      <c r="A580" s="87"/>
      <c r="B580" s="37"/>
      <c r="C580" s="37"/>
      <c r="D580" s="162"/>
      <c r="E580" s="89"/>
      <c r="F580" s="72"/>
      <c r="G580" s="111"/>
      <c r="H580" s="111"/>
      <c r="I580" s="111"/>
      <c r="J580" s="111"/>
      <c r="K580" s="111"/>
      <c r="L580" s="111"/>
      <c r="M580" s="94"/>
      <c r="N580" s="94"/>
      <c r="O580" s="94"/>
      <c r="P580" s="94"/>
      <c r="Q580" s="94"/>
      <c r="R580" s="94"/>
      <c r="S580" s="94"/>
      <c r="T580" s="94"/>
      <c r="U580" s="94"/>
      <c r="V580" s="94"/>
      <c r="W580" s="94"/>
      <c r="X580" s="94"/>
      <c r="Y580" s="94"/>
      <c r="Z580" s="94"/>
      <c r="AA580" s="94"/>
      <c r="AB580" s="94"/>
      <c r="AC580" s="94"/>
      <c r="AD580" s="94"/>
      <c r="AE580" s="94"/>
    </row>
    <row r="581">
      <c r="A581" s="87"/>
      <c r="B581" s="37"/>
      <c r="C581" s="37"/>
      <c r="D581" s="162"/>
      <c r="E581" s="89"/>
      <c r="F581" s="72"/>
      <c r="G581" s="111"/>
      <c r="H581" s="111"/>
      <c r="I581" s="111"/>
      <c r="J581" s="111"/>
      <c r="K581" s="111"/>
      <c r="L581" s="111"/>
      <c r="M581" s="94"/>
      <c r="N581" s="94"/>
      <c r="O581" s="94"/>
      <c r="P581" s="94"/>
      <c r="Q581" s="94"/>
      <c r="R581" s="94"/>
      <c r="S581" s="94"/>
      <c r="T581" s="94"/>
      <c r="U581" s="94"/>
      <c r="V581" s="94"/>
      <c r="W581" s="94"/>
      <c r="X581" s="94"/>
      <c r="Y581" s="94"/>
      <c r="Z581" s="94"/>
      <c r="AA581" s="94"/>
      <c r="AB581" s="94"/>
      <c r="AC581" s="94"/>
      <c r="AD581" s="94"/>
      <c r="AE581" s="94"/>
    </row>
    <row r="582">
      <c r="A582" s="87"/>
      <c r="B582" s="37"/>
      <c r="C582" s="37"/>
      <c r="D582" s="162"/>
      <c r="E582" s="89"/>
      <c r="F582" s="72"/>
      <c r="G582" s="111"/>
      <c r="H582" s="111"/>
      <c r="I582" s="111"/>
      <c r="J582" s="111"/>
      <c r="K582" s="111"/>
      <c r="L582" s="111"/>
      <c r="M582" s="94"/>
      <c r="N582" s="94"/>
      <c r="O582" s="94"/>
      <c r="P582" s="94"/>
      <c r="Q582" s="94"/>
      <c r="R582" s="94"/>
      <c r="S582" s="94"/>
      <c r="T582" s="94"/>
      <c r="U582" s="94"/>
      <c r="V582" s="94"/>
      <c r="W582" s="94"/>
      <c r="X582" s="94"/>
      <c r="Y582" s="94"/>
      <c r="Z582" s="94"/>
      <c r="AA582" s="94"/>
      <c r="AB582" s="94"/>
      <c r="AC582" s="94"/>
      <c r="AD582" s="94"/>
      <c r="AE582" s="94"/>
    </row>
    <row r="583">
      <c r="A583" s="87"/>
      <c r="B583" s="37"/>
      <c r="C583" s="37"/>
      <c r="D583" s="162"/>
      <c r="E583" s="89"/>
      <c r="F583" s="72"/>
      <c r="G583" s="111"/>
      <c r="H583" s="111"/>
      <c r="I583" s="111"/>
      <c r="J583" s="111"/>
      <c r="K583" s="111"/>
      <c r="L583" s="111"/>
      <c r="M583" s="94"/>
      <c r="N583" s="94"/>
      <c r="O583" s="94"/>
      <c r="P583" s="94"/>
      <c r="Q583" s="94"/>
      <c r="R583" s="94"/>
      <c r="S583" s="94"/>
      <c r="T583" s="94"/>
      <c r="U583" s="94"/>
      <c r="V583" s="94"/>
      <c r="W583" s="94"/>
      <c r="X583" s="94"/>
      <c r="Y583" s="94"/>
      <c r="Z583" s="94"/>
      <c r="AA583" s="94"/>
      <c r="AB583" s="94"/>
      <c r="AC583" s="94"/>
      <c r="AD583" s="94"/>
      <c r="AE583" s="94"/>
    </row>
    <row r="584">
      <c r="A584" s="87"/>
      <c r="B584" s="37"/>
      <c r="C584" s="37"/>
      <c r="D584" s="162"/>
      <c r="E584" s="89"/>
      <c r="F584" s="72"/>
      <c r="G584" s="111"/>
      <c r="H584" s="111"/>
      <c r="I584" s="111"/>
      <c r="J584" s="111"/>
      <c r="K584" s="111"/>
      <c r="L584" s="111"/>
      <c r="M584" s="94"/>
      <c r="N584" s="94"/>
      <c r="O584" s="94"/>
      <c r="P584" s="94"/>
      <c r="Q584" s="94"/>
      <c r="R584" s="94"/>
      <c r="S584" s="94"/>
      <c r="T584" s="94"/>
      <c r="U584" s="94"/>
      <c r="V584" s="94"/>
      <c r="W584" s="94"/>
      <c r="X584" s="94"/>
      <c r="Y584" s="94"/>
      <c r="Z584" s="94"/>
      <c r="AA584" s="94"/>
      <c r="AB584" s="94"/>
      <c r="AC584" s="94"/>
      <c r="AD584" s="94"/>
      <c r="AE584" s="94"/>
    </row>
    <row r="585">
      <c r="A585" s="87"/>
      <c r="B585" s="37"/>
      <c r="C585" s="37"/>
      <c r="D585" s="162"/>
      <c r="E585" s="89"/>
      <c r="F585" s="72"/>
      <c r="G585" s="111"/>
      <c r="H585" s="111"/>
      <c r="I585" s="111"/>
      <c r="J585" s="111"/>
      <c r="K585" s="111"/>
      <c r="L585" s="111"/>
      <c r="M585" s="94"/>
      <c r="N585" s="94"/>
      <c r="O585" s="94"/>
      <c r="P585" s="94"/>
      <c r="Q585" s="94"/>
      <c r="R585" s="94"/>
      <c r="S585" s="94"/>
      <c r="T585" s="94"/>
      <c r="U585" s="94"/>
      <c r="V585" s="94"/>
      <c r="W585" s="94"/>
      <c r="X585" s="94"/>
      <c r="Y585" s="94"/>
      <c r="Z585" s="94"/>
      <c r="AA585" s="94"/>
      <c r="AB585" s="94"/>
      <c r="AC585" s="94"/>
      <c r="AD585" s="94"/>
      <c r="AE585" s="94"/>
    </row>
    <row r="586">
      <c r="A586" s="87"/>
      <c r="B586" s="37"/>
      <c r="C586" s="37"/>
      <c r="D586" s="162"/>
      <c r="E586" s="89"/>
      <c r="F586" s="72"/>
      <c r="G586" s="111"/>
      <c r="H586" s="111"/>
      <c r="I586" s="111"/>
      <c r="J586" s="111"/>
      <c r="K586" s="111"/>
      <c r="L586" s="111"/>
      <c r="M586" s="94"/>
      <c r="N586" s="94"/>
      <c r="O586" s="94"/>
      <c r="P586" s="94"/>
      <c r="Q586" s="94"/>
      <c r="R586" s="94"/>
      <c r="S586" s="94"/>
      <c r="T586" s="94"/>
      <c r="U586" s="94"/>
      <c r="V586" s="94"/>
      <c r="W586" s="94"/>
      <c r="X586" s="94"/>
      <c r="Y586" s="94"/>
      <c r="Z586" s="94"/>
      <c r="AA586" s="94"/>
      <c r="AB586" s="94"/>
      <c r="AC586" s="94"/>
      <c r="AD586" s="94"/>
      <c r="AE586" s="94"/>
    </row>
    <row r="587">
      <c r="A587" s="87"/>
      <c r="B587" s="37"/>
      <c r="C587" s="37"/>
      <c r="D587" s="162"/>
      <c r="E587" s="89"/>
      <c r="F587" s="72"/>
      <c r="G587" s="111"/>
      <c r="H587" s="111"/>
      <c r="I587" s="111"/>
      <c r="J587" s="111"/>
      <c r="K587" s="111"/>
      <c r="L587" s="111"/>
      <c r="M587" s="94"/>
      <c r="N587" s="94"/>
      <c r="O587" s="94"/>
      <c r="P587" s="94"/>
      <c r="Q587" s="94"/>
      <c r="R587" s="94"/>
      <c r="S587" s="94"/>
      <c r="T587" s="94"/>
      <c r="U587" s="94"/>
      <c r="V587" s="94"/>
      <c r="W587" s="94"/>
      <c r="X587" s="94"/>
      <c r="Y587" s="94"/>
      <c r="Z587" s="94"/>
      <c r="AA587" s="94"/>
      <c r="AB587" s="94"/>
      <c r="AC587" s="94"/>
      <c r="AD587" s="94"/>
      <c r="AE587" s="94"/>
    </row>
    <row r="588">
      <c r="A588" s="87"/>
      <c r="B588" s="37"/>
      <c r="C588" s="37"/>
      <c r="D588" s="162"/>
      <c r="E588" s="89"/>
      <c r="F588" s="72"/>
      <c r="G588" s="111"/>
      <c r="H588" s="111"/>
      <c r="I588" s="111"/>
      <c r="J588" s="111"/>
      <c r="K588" s="111"/>
      <c r="L588" s="111"/>
      <c r="M588" s="94"/>
      <c r="N588" s="94"/>
      <c r="O588" s="94"/>
      <c r="P588" s="94"/>
      <c r="Q588" s="94"/>
      <c r="R588" s="94"/>
      <c r="S588" s="94"/>
      <c r="T588" s="94"/>
      <c r="U588" s="94"/>
      <c r="V588" s="94"/>
      <c r="W588" s="94"/>
      <c r="X588" s="94"/>
      <c r="Y588" s="94"/>
      <c r="Z588" s="94"/>
      <c r="AA588" s="94"/>
      <c r="AB588" s="94"/>
      <c r="AC588" s="94"/>
      <c r="AD588" s="94"/>
      <c r="AE588" s="94"/>
    </row>
    <row r="589">
      <c r="A589" s="87"/>
      <c r="B589" s="37"/>
      <c r="C589" s="37"/>
      <c r="D589" s="162"/>
      <c r="E589" s="89"/>
      <c r="F589" s="72"/>
      <c r="G589" s="111"/>
      <c r="H589" s="111"/>
      <c r="I589" s="111"/>
      <c r="J589" s="111"/>
      <c r="K589" s="111"/>
      <c r="L589" s="111"/>
      <c r="M589" s="94"/>
      <c r="N589" s="94"/>
      <c r="O589" s="94"/>
      <c r="P589" s="94"/>
      <c r="Q589" s="94"/>
      <c r="R589" s="94"/>
      <c r="S589" s="94"/>
      <c r="T589" s="94"/>
      <c r="U589" s="94"/>
      <c r="V589" s="94"/>
      <c r="W589" s="94"/>
      <c r="X589" s="94"/>
      <c r="Y589" s="94"/>
      <c r="Z589" s="94"/>
      <c r="AA589" s="94"/>
      <c r="AB589" s="94"/>
      <c r="AC589" s="94"/>
      <c r="AD589" s="94"/>
      <c r="AE589" s="94"/>
    </row>
    <row r="590">
      <c r="A590" s="87"/>
      <c r="B590" s="37"/>
      <c r="C590" s="37"/>
      <c r="D590" s="162"/>
      <c r="E590" s="89"/>
      <c r="F590" s="72"/>
      <c r="G590" s="111"/>
      <c r="H590" s="111"/>
      <c r="I590" s="111"/>
      <c r="J590" s="111"/>
      <c r="K590" s="111"/>
      <c r="L590" s="111"/>
      <c r="M590" s="94"/>
      <c r="N590" s="94"/>
      <c r="O590" s="94"/>
      <c r="P590" s="94"/>
      <c r="Q590" s="94"/>
      <c r="R590" s="94"/>
      <c r="S590" s="94"/>
      <c r="T590" s="94"/>
      <c r="U590" s="94"/>
      <c r="V590" s="94"/>
      <c r="W590" s="94"/>
      <c r="X590" s="94"/>
      <c r="Y590" s="94"/>
      <c r="Z590" s="94"/>
      <c r="AA590" s="94"/>
      <c r="AB590" s="94"/>
      <c r="AC590" s="94"/>
      <c r="AD590" s="94"/>
      <c r="AE590" s="94"/>
    </row>
    <row r="591">
      <c r="A591" s="87"/>
      <c r="B591" s="37"/>
      <c r="C591" s="37"/>
      <c r="D591" s="162"/>
      <c r="E591" s="89"/>
      <c r="F591" s="72"/>
      <c r="G591" s="111"/>
      <c r="H591" s="111"/>
      <c r="I591" s="111"/>
      <c r="J591" s="111"/>
      <c r="K591" s="111"/>
      <c r="L591" s="111"/>
      <c r="M591" s="94"/>
      <c r="N591" s="94"/>
      <c r="O591" s="94"/>
      <c r="P591" s="94"/>
      <c r="Q591" s="94"/>
      <c r="R591" s="94"/>
      <c r="S591" s="94"/>
      <c r="T591" s="94"/>
      <c r="U591" s="94"/>
      <c r="V591" s="94"/>
      <c r="W591" s="94"/>
      <c r="X591" s="94"/>
      <c r="Y591" s="94"/>
      <c r="Z591" s="94"/>
      <c r="AA591" s="94"/>
      <c r="AB591" s="94"/>
      <c r="AC591" s="94"/>
      <c r="AD591" s="94"/>
      <c r="AE591" s="94"/>
    </row>
    <row r="592">
      <c r="A592" s="87"/>
      <c r="B592" s="37"/>
      <c r="C592" s="37"/>
      <c r="D592" s="162"/>
      <c r="E592" s="89"/>
      <c r="F592" s="72"/>
      <c r="G592" s="111"/>
      <c r="H592" s="111"/>
      <c r="I592" s="111"/>
      <c r="J592" s="111"/>
      <c r="K592" s="111"/>
      <c r="L592" s="111"/>
      <c r="M592" s="94"/>
      <c r="N592" s="94"/>
      <c r="O592" s="94"/>
      <c r="P592" s="94"/>
      <c r="Q592" s="94"/>
      <c r="R592" s="94"/>
      <c r="S592" s="94"/>
      <c r="T592" s="94"/>
      <c r="U592" s="94"/>
      <c r="V592" s="94"/>
      <c r="W592" s="94"/>
      <c r="X592" s="94"/>
      <c r="Y592" s="94"/>
      <c r="Z592" s="94"/>
      <c r="AA592" s="94"/>
      <c r="AB592" s="94"/>
      <c r="AC592" s="94"/>
      <c r="AD592" s="94"/>
      <c r="AE592" s="94"/>
    </row>
    <row r="593">
      <c r="A593" s="87"/>
      <c r="B593" s="37"/>
      <c r="C593" s="37"/>
      <c r="D593" s="162"/>
      <c r="E593" s="89"/>
      <c r="F593" s="72"/>
      <c r="G593" s="111"/>
      <c r="H593" s="111"/>
      <c r="I593" s="111"/>
      <c r="J593" s="111"/>
      <c r="K593" s="111"/>
      <c r="L593" s="111"/>
      <c r="M593" s="94"/>
      <c r="N593" s="94"/>
      <c r="O593" s="94"/>
      <c r="P593" s="94"/>
      <c r="Q593" s="94"/>
      <c r="R593" s="94"/>
      <c r="S593" s="94"/>
      <c r="T593" s="94"/>
      <c r="U593" s="94"/>
      <c r="V593" s="94"/>
      <c r="W593" s="94"/>
      <c r="X593" s="94"/>
      <c r="Y593" s="94"/>
      <c r="Z593" s="94"/>
      <c r="AA593" s="94"/>
      <c r="AB593" s="94"/>
      <c r="AC593" s="94"/>
      <c r="AD593" s="94"/>
      <c r="AE593" s="94"/>
    </row>
    <row r="594">
      <c r="A594" s="87"/>
      <c r="B594" s="37"/>
      <c r="C594" s="37"/>
      <c r="D594" s="162"/>
      <c r="E594" s="89"/>
      <c r="F594" s="72"/>
      <c r="G594" s="111"/>
      <c r="H594" s="111"/>
      <c r="I594" s="111"/>
      <c r="J594" s="111"/>
      <c r="K594" s="111"/>
      <c r="L594" s="111"/>
      <c r="M594" s="94"/>
      <c r="N594" s="94"/>
      <c r="O594" s="94"/>
      <c r="P594" s="94"/>
      <c r="Q594" s="94"/>
      <c r="R594" s="94"/>
      <c r="S594" s="94"/>
      <c r="T594" s="94"/>
      <c r="U594" s="94"/>
      <c r="V594" s="94"/>
      <c r="W594" s="94"/>
      <c r="X594" s="94"/>
      <c r="Y594" s="94"/>
      <c r="Z594" s="94"/>
      <c r="AA594" s="94"/>
      <c r="AB594" s="94"/>
      <c r="AC594" s="94"/>
      <c r="AD594" s="94"/>
      <c r="AE594" s="94"/>
    </row>
    <row r="595">
      <c r="A595" s="87"/>
      <c r="B595" s="37"/>
      <c r="C595" s="37"/>
      <c r="D595" s="162"/>
      <c r="E595" s="89"/>
      <c r="F595" s="72"/>
      <c r="G595" s="111"/>
      <c r="H595" s="111"/>
      <c r="I595" s="111"/>
      <c r="J595" s="111"/>
      <c r="K595" s="111"/>
      <c r="L595" s="111"/>
      <c r="M595" s="94"/>
      <c r="N595" s="94"/>
      <c r="O595" s="94"/>
      <c r="P595" s="94"/>
      <c r="Q595" s="94"/>
      <c r="R595" s="94"/>
      <c r="S595" s="94"/>
      <c r="T595" s="94"/>
      <c r="U595" s="94"/>
      <c r="V595" s="94"/>
      <c r="W595" s="94"/>
      <c r="X595" s="94"/>
      <c r="Y595" s="94"/>
      <c r="Z595" s="94"/>
      <c r="AA595" s="94"/>
      <c r="AB595" s="94"/>
      <c r="AC595" s="94"/>
      <c r="AD595" s="94"/>
      <c r="AE595" s="94"/>
    </row>
    <row r="596">
      <c r="A596" s="87"/>
      <c r="B596" s="37"/>
      <c r="C596" s="37"/>
      <c r="D596" s="162"/>
      <c r="E596" s="89"/>
      <c r="F596" s="72"/>
      <c r="G596" s="111"/>
      <c r="H596" s="111"/>
      <c r="I596" s="111"/>
      <c r="J596" s="111"/>
      <c r="K596" s="111"/>
      <c r="L596" s="111"/>
      <c r="M596" s="94"/>
      <c r="N596" s="94"/>
      <c r="O596" s="94"/>
      <c r="P596" s="94"/>
      <c r="Q596" s="94"/>
      <c r="R596" s="94"/>
      <c r="S596" s="94"/>
      <c r="T596" s="94"/>
      <c r="U596" s="94"/>
      <c r="V596" s="94"/>
      <c r="W596" s="94"/>
      <c r="X596" s="94"/>
      <c r="Y596" s="94"/>
      <c r="Z596" s="94"/>
      <c r="AA596" s="94"/>
      <c r="AB596" s="94"/>
      <c r="AC596" s="94"/>
      <c r="AD596" s="94"/>
      <c r="AE596" s="94"/>
    </row>
    <row r="597">
      <c r="A597" s="87"/>
      <c r="B597" s="37"/>
      <c r="C597" s="37"/>
      <c r="D597" s="162"/>
      <c r="E597" s="89"/>
      <c r="F597" s="72"/>
      <c r="G597" s="111"/>
      <c r="H597" s="111"/>
      <c r="I597" s="111"/>
      <c r="J597" s="111"/>
      <c r="K597" s="111"/>
      <c r="L597" s="111"/>
      <c r="M597" s="94"/>
      <c r="N597" s="94"/>
      <c r="O597" s="94"/>
      <c r="P597" s="94"/>
      <c r="Q597" s="94"/>
      <c r="R597" s="94"/>
      <c r="S597" s="94"/>
      <c r="T597" s="94"/>
      <c r="U597" s="94"/>
      <c r="V597" s="94"/>
      <c r="W597" s="94"/>
      <c r="X597" s="94"/>
      <c r="Y597" s="94"/>
      <c r="Z597" s="94"/>
      <c r="AA597" s="94"/>
      <c r="AB597" s="94"/>
      <c r="AC597" s="94"/>
      <c r="AD597" s="94"/>
      <c r="AE597" s="94"/>
    </row>
    <row r="598">
      <c r="A598" s="87"/>
      <c r="B598" s="37"/>
      <c r="C598" s="37"/>
      <c r="D598" s="162"/>
      <c r="E598" s="89"/>
      <c r="F598" s="72"/>
      <c r="G598" s="111"/>
      <c r="H598" s="111"/>
      <c r="I598" s="111"/>
      <c r="J598" s="111"/>
      <c r="K598" s="111"/>
      <c r="L598" s="111"/>
      <c r="M598" s="94"/>
      <c r="N598" s="94"/>
      <c r="O598" s="94"/>
      <c r="P598" s="94"/>
      <c r="Q598" s="94"/>
      <c r="R598" s="94"/>
      <c r="S598" s="94"/>
      <c r="T598" s="94"/>
      <c r="U598" s="94"/>
      <c r="V598" s="94"/>
      <c r="W598" s="94"/>
      <c r="X598" s="94"/>
      <c r="Y598" s="94"/>
      <c r="Z598" s="94"/>
      <c r="AA598" s="94"/>
      <c r="AB598" s="94"/>
      <c r="AC598" s="94"/>
      <c r="AD598" s="94"/>
      <c r="AE598" s="94"/>
    </row>
    <row r="599">
      <c r="A599" s="87"/>
      <c r="B599" s="37"/>
      <c r="C599" s="37"/>
      <c r="D599" s="162"/>
      <c r="E599" s="89"/>
      <c r="F599" s="72"/>
      <c r="G599" s="111"/>
      <c r="H599" s="111"/>
      <c r="I599" s="111"/>
      <c r="J599" s="111"/>
      <c r="K599" s="111"/>
      <c r="L599" s="111"/>
      <c r="M599" s="94"/>
      <c r="N599" s="94"/>
      <c r="O599" s="94"/>
      <c r="P599" s="94"/>
      <c r="Q599" s="94"/>
      <c r="R599" s="94"/>
      <c r="S599" s="94"/>
      <c r="T599" s="94"/>
      <c r="U599" s="94"/>
      <c r="V599" s="94"/>
      <c r="W599" s="94"/>
      <c r="X599" s="94"/>
      <c r="Y599" s="94"/>
      <c r="Z599" s="94"/>
      <c r="AA599" s="94"/>
      <c r="AB599" s="94"/>
      <c r="AC599" s="94"/>
      <c r="AD599" s="94"/>
      <c r="AE599" s="94"/>
    </row>
    <row r="600">
      <c r="A600" s="87"/>
      <c r="B600" s="37"/>
      <c r="C600" s="37"/>
      <c r="D600" s="162"/>
      <c r="E600" s="89"/>
      <c r="F600" s="72"/>
      <c r="G600" s="111"/>
      <c r="H600" s="111"/>
      <c r="I600" s="111"/>
      <c r="J600" s="111"/>
      <c r="K600" s="111"/>
      <c r="L600" s="111"/>
      <c r="M600" s="94"/>
      <c r="N600" s="94"/>
      <c r="O600" s="94"/>
      <c r="P600" s="94"/>
      <c r="Q600" s="94"/>
      <c r="R600" s="94"/>
      <c r="S600" s="94"/>
      <c r="T600" s="94"/>
      <c r="U600" s="94"/>
      <c r="V600" s="94"/>
      <c r="W600" s="94"/>
      <c r="X600" s="94"/>
      <c r="Y600" s="94"/>
      <c r="Z600" s="94"/>
      <c r="AA600" s="94"/>
      <c r="AB600" s="94"/>
      <c r="AC600" s="94"/>
      <c r="AD600" s="94"/>
      <c r="AE600" s="94"/>
    </row>
    <row r="601">
      <c r="A601" s="87"/>
      <c r="B601" s="37"/>
      <c r="C601" s="37"/>
      <c r="D601" s="162"/>
      <c r="E601" s="89"/>
      <c r="F601" s="72"/>
      <c r="G601" s="111"/>
      <c r="H601" s="111"/>
      <c r="I601" s="111"/>
      <c r="J601" s="111"/>
      <c r="K601" s="111"/>
      <c r="L601" s="111"/>
      <c r="M601" s="94"/>
      <c r="N601" s="94"/>
      <c r="O601" s="94"/>
      <c r="P601" s="94"/>
      <c r="Q601" s="94"/>
      <c r="R601" s="94"/>
      <c r="S601" s="94"/>
      <c r="T601" s="94"/>
      <c r="U601" s="94"/>
      <c r="V601" s="94"/>
      <c r="W601" s="94"/>
      <c r="X601" s="94"/>
      <c r="Y601" s="94"/>
      <c r="Z601" s="94"/>
      <c r="AA601" s="94"/>
      <c r="AB601" s="94"/>
      <c r="AC601" s="94"/>
      <c r="AD601" s="94"/>
      <c r="AE601" s="94"/>
    </row>
    <row r="602">
      <c r="A602" s="87"/>
      <c r="B602" s="37"/>
      <c r="C602" s="37"/>
      <c r="D602" s="162"/>
      <c r="E602" s="89"/>
      <c r="F602" s="72"/>
      <c r="G602" s="111"/>
      <c r="H602" s="111"/>
      <c r="I602" s="111"/>
      <c r="J602" s="111"/>
      <c r="K602" s="111"/>
      <c r="L602" s="111"/>
      <c r="M602" s="94"/>
      <c r="N602" s="94"/>
      <c r="O602" s="94"/>
      <c r="P602" s="94"/>
      <c r="Q602" s="94"/>
      <c r="R602" s="94"/>
      <c r="S602" s="94"/>
      <c r="T602" s="94"/>
      <c r="U602" s="94"/>
      <c r="V602" s="94"/>
      <c r="W602" s="94"/>
      <c r="X602" s="94"/>
      <c r="Y602" s="94"/>
      <c r="Z602" s="94"/>
      <c r="AA602" s="94"/>
      <c r="AB602" s="94"/>
      <c r="AC602" s="94"/>
      <c r="AD602" s="94"/>
      <c r="AE602" s="94"/>
    </row>
    <row r="603">
      <c r="A603" s="87"/>
      <c r="B603" s="37"/>
      <c r="C603" s="37"/>
      <c r="D603" s="162"/>
      <c r="E603" s="89"/>
      <c r="F603" s="72"/>
      <c r="G603" s="111"/>
      <c r="H603" s="111"/>
      <c r="I603" s="111"/>
      <c r="J603" s="111"/>
      <c r="K603" s="111"/>
      <c r="L603" s="111"/>
      <c r="M603" s="94"/>
      <c r="N603" s="94"/>
      <c r="O603" s="94"/>
      <c r="P603" s="94"/>
      <c r="Q603" s="94"/>
      <c r="R603" s="94"/>
      <c r="S603" s="94"/>
      <c r="T603" s="94"/>
      <c r="U603" s="94"/>
      <c r="V603" s="94"/>
      <c r="W603" s="94"/>
      <c r="X603" s="94"/>
      <c r="Y603" s="94"/>
      <c r="Z603" s="94"/>
      <c r="AA603" s="94"/>
      <c r="AB603" s="94"/>
      <c r="AC603" s="94"/>
      <c r="AD603" s="94"/>
      <c r="AE603" s="94"/>
    </row>
    <row r="604">
      <c r="A604" s="87"/>
      <c r="B604" s="37"/>
      <c r="C604" s="37"/>
      <c r="D604" s="162"/>
      <c r="E604" s="89"/>
      <c r="F604" s="72"/>
      <c r="G604" s="111"/>
      <c r="H604" s="111"/>
      <c r="I604" s="111"/>
      <c r="J604" s="111"/>
      <c r="K604" s="111"/>
      <c r="L604" s="111"/>
      <c r="M604" s="94"/>
      <c r="N604" s="94"/>
      <c r="O604" s="94"/>
      <c r="P604" s="94"/>
      <c r="Q604" s="94"/>
      <c r="R604" s="94"/>
      <c r="S604" s="94"/>
      <c r="T604" s="94"/>
      <c r="U604" s="94"/>
      <c r="V604" s="94"/>
      <c r="W604" s="94"/>
      <c r="X604" s="94"/>
      <c r="Y604" s="94"/>
      <c r="Z604" s="94"/>
      <c r="AA604" s="94"/>
      <c r="AB604" s="94"/>
      <c r="AC604" s="94"/>
      <c r="AD604" s="94"/>
      <c r="AE604" s="94"/>
    </row>
    <row r="605">
      <c r="A605" s="87"/>
      <c r="B605" s="37"/>
      <c r="C605" s="37"/>
      <c r="D605" s="162"/>
      <c r="E605" s="89"/>
      <c r="F605" s="72"/>
      <c r="G605" s="111"/>
      <c r="H605" s="111"/>
      <c r="I605" s="111"/>
      <c r="J605" s="111"/>
      <c r="K605" s="111"/>
      <c r="L605" s="111"/>
      <c r="M605" s="94"/>
      <c r="N605" s="94"/>
      <c r="O605" s="94"/>
      <c r="P605" s="94"/>
      <c r="Q605" s="94"/>
      <c r="R605" s="94"/>
      <c r="S605" s="94"/>
      <c r="T605" s="94"/>
      <c r="U605" s="94"/>
      <c r="V605" s="94"/>
      <c r="W605" s="94"/>
      <c r="X605" s="94"/>
      <c r="Y605" s="94"/>
      <c r="Z605" s="94"/>
      <c r="AA605" s="94"/>
      <c r="AB605" s="94"/>
      <c r="AC605" s="94"/>
      <c r="AD605" s="94"/>
      <c r="AE605" s="94"/>
    </row>
    <row r="606">
      <c r="A606" s="87"/>
      <c r="B606" s="37"/>
      <c r="C606" s="37"/>
      <c r="D606" s="162"/>
      <c r="E606" s="89"/>
      <c r="F606" s="72"/>
      <c r="G606" s="111"/>
      <c r="H606" s="111"/>
      <c r="I606" s="111"/>
      <c r="J606" s="111"/>
      <c r="K606" s="111"/>
      <c r="L606" s="111"/>
      <c r="M606" s="94"/>
      <c r="N606" s="94"/>
      <c r="O606" s="94"/>
      <c r="P606" s="94"/>
      <c r="Q606" s="94"/>
      <c r="R606" s="94"/>
      <c r="S606" s="94"/>
      <c r="T606" s="94"/>
      <c r="U606" s="94"/>
      <c r="V606" s="94"/>
      <c r="W606" s="94"/>
      <c r="X606" s="94"/>
      <c r="Y606" s="94"/>
      <c r="Z606" s="94"/>
      <c r="AA606" s="94"/>
      <c r="AB606" s="94"/>
      <c r="AC606" s="94"/>
      <c r="AD606" s="94"/>
      <c r="AE606" s="94"/>
    </row>
    <row r="607">
      <c r="A607" s="87"/>
      <c r="B607" s="37"/>
      <c r="C607" s="37"/>
      <c r="D607" s="162"/>
      <c r="E607" s="89"/>
      <c r="F607" s="72"/>
      <c r="G607" s="111"/>
      <c r="H607" s="111"/>
      <c r="I607" s="111"/>
      <c r="J607" s="111"/>
      <c r="K607" s="111"/>
      <c r="L607" s="111"/>
      <c r="M607" s="94"/>
      <c r="N607" s="94"/>
      <c r="O607" s="94"/>
      <c r="P607" s="94"/>
      <c r="Q607" s="94"/>
      <c r="R607" s="94"/>
      <c r="S607" s="94"/>
      <c r="T607" s="94"/>
      <c r="U607" s="94"/>
      <c r="V607" s="94"/>
      <c r="W607" s="94"/>
      <c r="X607" s="94"/>
      <c r="Y607" s="94"/>
      <c r="Z607" s="94"/>
      <c r="AA607" s="94"/>
      <c r="AB607" s="94"/>
      <c r="AC607" s="94"/>
      <c r="AD607" s="94"/>
      <c r="AE607" s="94"/>
    </row>
    <row r="608">
      <c r="A608" s="87"/>
      <c r="B608" s="37"/>
      <c r="C608" s="37"/>
      <c r="D608" s="162"/>
      <c r="E608" s="89"/>
      <c r="F608" s="72"/>
      <c r="G608" s="111"/>
      <c r="H608" s="111"/>
      <c r="I608" s="111"/>
      <c r="J608" s="111"/>
      <c r="K608" s="111"/>
      <c r="L608" s="111"/>
      <c r="M608" s="94"/>
      <c r="N608" s="94"/>
      <c r="O608" s="94"/>
      <c r="P608" s="94"/>
      <c r="Q608" s="94"/>
      <c r="R608" s="94"/>
      <c r="S608" s="94"/>
      <c r="T608" s="94"/>
      <c r="U608" s="94"/>
      <c r="V608" s="94"/>
      <c r="W608" s="94"/>
      <c r="X608" s="94"/>
      <c r="Y608" s="94"/>
      <c r="Z608" s="94"/>
      <c r="AA608" s="94"/>
      <c r="AB608" s="94"/>
      <c r="AC608" s="94"/>
      <c r="AD608" s="94"/>
      <c r="AE608" s="94"/>
    </row>
    <row r="609">
      <c r="A609" s="87"/>
      <c r="B609" s="37"/>
      <c r="C609" s="37"/>
      <c r="D609" s="162"/>
      <c r="E609" s="89"/>
      <c r="F609" s="72"/>
      <c r="G609" s="111"/>
      <c r="H609" s="111"/>
      <c r="I609" s="111"/>
      <c r="J609" s="111"/>
      <c r="K609" s="111"/>
      <c r="L609" s="111"/>
      <c r="M609" s="94"/>
      <c r="N609" s="94"/>
      <c r="O609" s="94"/>
      <c r="P609" s="94"/>
      <c r="Q609" s="94"/>
      <c r="R609" s="94"/>
      <c r="S609" s="94"/>
      <c r="T609" s="94"/>
      <c r="U609" s="94"/>
      <c r="V609" s="94"/>
      <c r="W609" s="94"/>
      <c r="X609" s="94"/>
      <c r="Y609" s="94"/>
      <c r="Z609" s="94"/>
      <c r="AA609" s="94"/>
      <c r="AB609" s="94"/>
      <c r="AC609" s="94"/>
      <c r="AD609" s="94"/>
      <c r="AE609" s="94"/>
    </row>
    <row r="610">
      <c r="A610" s="87"/>
      <c r="B610" s="37"/>
      <c r="C610" s="37"/>
      <c r="D610" s="162"/>
      <c r="E610" s="89"/>
      <c r="F610" s="72"/>
      <c r="G610" s="111"/>
      <c r="H610" s="111"/>
      <c r="I610" s="111"/>
      <c r="J610" s="111"/>
      <c r="K610" s="111"/>
      <c r="L610" s="111"/>
      <c r="M610" s="94"/>
      <c r="N610" s="94"/>
      <c r="O610" s="94"/>
      <c r="P610" s="94"/>
      <c r="Q610" s="94"/>
      <c r="R610" s="94"/>
      <c r="S610" s="94"/>
      <c r="T610" s="94"/>
      <c r="U610" s="94"/>
      <c r="V610" s="94"/>
      <c r="W610" s="94"/>
      <c r="X610" s="94"/>
      <c r="Y610" s="94"/>
      <c r="Z610" s="94"/>
      <c r="AA610" s="94"/>
      <c r="AB610" s="94"/>
      <c r="AC610" s="94"/>
      <c r="AD610" s="94"/>
      <c r="AE610" s="94"/>
    </row>
    <row r="611">
      <c r="A611" s="87"/>
      <c r="B611" s="37"/>
      <c r="C611" s="37"/>
      <c r="D611" s="162"/>
      <c r="E611" s="89"/>
      <c r="F611" s="72"/>
      <c r="G611" s="111"/>
      <c r="H611" s="111"/>
      <c r="I611" s="111"/>
      <c r="J611" s="111"/>
      <c r="K611" s="111"/>
      <c r="L611" s="111"/>
      <c r="M611" s="94"/>
      <c r="N611" s="94"/>
      <c r="O611" s="94"/>
      <c r="P611" s="94"/>
      <c r="Q611" s="94"/>
      <c r="R611" s="94"/>
      <c r="S611" s="94"/>
      <c r="T611" s="94"/>
      <c r="U611" s="94"/>
      <c r="V611" s="94"/>
      <c r="W611" s="94"/>
      <c r="X611" s="94"/>
      <c r="Y611" s="94"/>
      <c r="Z611" s="94"/>
      <c r="AA611" s="94"/>
      <c r="AB611" s="94"/>
      <c r="AC611" s="94"/>
      <c r="AD611" s="94"/>
      <c r="AE611" s="94"/>
    </row>
    <row r="612">
      <c r="A612" s="87"/>
      <c r="B612" s="37"/>
      <c r="C612" s="37"/>
      <c r="D612" s="162"/>
      <c r="E612" s="89"/>
      <c r="F612" s="72"/>
      <c r="G612" s="111"/>
      <c r="H612" s="111"/>
      <c r="I612" s="111"/>
      <c r="J612" s="111"/>
      <c r="K612" s="111"/>
      <c r="L612" s="111"/>
      <c r="M612" s="94"/>
      <c r="N612" s="94"/>
      <c r="O612" s="94"/>
      <c r="P612" s="94"/>
      <c r="Q612" s="94"/>
      <c r="R612" s="94"/>
      <c r="S612" s="94"/>
      <c r="T612" s="94"/>
      <c r="U612" s="94"/>
      <c r="V612" s="94"/>
      <c r="W612" s="94"/>
      <c r="X612" s="94"/>
      <c r="Y612" s="94"/>
      <c r="Z612" s="94"/>
      <c r="AA612" s="94"/>
      <c r="AB612" s="94"/>
      <c r="AC612" s="94"/>
      <c r="AD612" s="94"/>
      <c r="AE612" s="94"/>
    </row>
    <row r="613">
      <c r="A613" s="87"/>
      <c r="B613" s="37"/>
      <c r="C613" s="37"/>
      <c r="D613" s="162"/>
      <c r="E613" s="89"/>
      <c r="F613" s="72"/>
      <c r="G613" s="111"/>
      <c r="H613" s="111"/>
      <c r="I613" s="111"/>
      <c r="J613" s="111"/>
      <c r="K613" s="111"/>
      <c r="L613" s="111"/>
      <c r="M613" s="94"/>
      <c r="N613" s="94"/>
      <c r="O613" s="94"/>
      <c r="P613" s="94"/>
      <c r="Q613" s="94"/>
      <c r="R613" s="94"/>
      <c r="S613" s="94"/>
      <c r="T613" s="94"/>
      <c r="U613" s="94"/>
      <c r="V613" s="94"/>
      <c r="W613" s="94"/>
      <c r="X613" s="94"/>
      <c r="Y613" s="94"/>
      <c r="Z613" s="94"/>
      <c r="AA613" s="94"/>
      <c r="AB613" s="94"/>
      <c r="AC613" s="94"/>
      <c r="AD613" s="94"/>
      <c r="AE613" s="94"/>
    </row>
    <row r="614">
      <c r="A614" s="87"/>
      <c r="B614" s="37"/>
      <c r="C614" s="37"/>
      <c r="D614" s="162"/>
      <c r="E614" s="89"/>
      <c r="F614" s="72"/>
      <c r="G614" s="111"/>
      <c r="H614" s="111"/>
      <c r="I614" s="111"/>
      <c r="J614" s="111"/>
      <c r="K614" s="111"/>
      <c r="L614" s="111"/>
      <c r="M614" s="94"/>
      <c r="N614" s="94"/>
      <c r="O614" s="94"/>
      <c r="P614" s="94"/>
      <c r="Q614" s="94"/>
      <c r="R614" s="94"/>
      <c r="S614" s="94"/>
      <c r="T614" s="94"/>
      <c r="U614" s="94"/>
      <c r="V614" s="94"/>
      <c r="W614" s="94"/>
      <c r="X614" s="94"/>
      <c r="Y614" s="94"/>
      <c r="Z614" s="94"/>
      <c r="AA614" s="94"/>
      <c r="AB614" s="94"/>
      <c r="AC614" s="94"/>
      <c r="AD614" s="94"/>
      <c r="AE614" s="94"/>
    </row>
    <row r="615">
      <c r="A615" s="87"/>
      <c r="B615" s="37"/>
      <c r="C615" s="37"/>
      <c r="D615" s="162"/>
      <c r="E615" s="89"/>
      <c r="F615" s="72"/>
      <c r="G615" s="111"/>
      <c r="H615" s="111"/>
      <c r="I615" s="111"/>
      <c r="J615" s="111"/>
      <c r="K615" s="111"/>
      <c r="L615" s="111"/>
      <c r="M615" s="94"/>
      <c r="N615" s="94"/>
      <c r="O615" s="94"/>
      <c r="P615" s="94"/>
      <c r="Q615" s="94"/>
      <c r="R615" s="94"/>
      <c r="S615" s="94"/>
      <c r="T615" s="94"/>
      <c r="U615" s="94"/>
      <c r="V615" s="94"/>
      <c r="W615" s="94"/>
      <c r="X615" s="94"/>
      <c r="Y615" s="94"/>
      <c r="Z615" s="94"/>
      <c r="AA615" s="94"/>
      <c r="AB615" s="94"/>
      <c r="AC615" s="94"/>
      <c r="AD615" s="94"/>
      <c r="AE615" s="94"/>
    </row>
    <row r="616">
      <c r="A616" s="87"/>
      <c r="B616" s="37"/>
      <c r="C616" s="37"/>
      <c r="D616" s="162"/>
      <c r="E616" s="89"/>
      <c r="F616" s="72"/>
      <c r="G616" s="111"/>
      <c r="H616" s="111"/>
      <c r="I616" s="111"/>
      <c r="J616" s="111"/>
      <c r="K616" s="111"/>
      <c r="L616" s="111"/>
      <c r="M616" s="94"/>
      <c r="N616" s="94"/>
      <c r="O616" s="94"/>
      <c r="P616" s="94"/>
      <c r="Q616" s="94"/>
      <c r="R616" s="94"/>
      <c r="S616" s="94"/>
      <c r="T616" s="94"/>
      <c r="U616" s="94"/>
      <c r="V616" s="94"/>
      <c r="W616" s="94"/>
      <c r="X616" s="94"/>
      <c r="Y616" s="94"/>
      <c r="Z616" s="94"/>
      <c r="AA616" s="94"/>
      <c r="AB616" s="94"/>
      <c r="AC616" s="94"/>
      <c r="AD616" s="94"/>
      <c r="AE616" s="94"/>
    </row>
    <row r="617">
      <c r="A617" s="87"/>
      <c r="B617" s="37"/>
      <c r="C617" s="37"/>
      <c r="D617" s="162"/>
      <c r="E617" s="89"/>
      <c r="F617" s="72"/>
      <c r="G617" s="111"/>
      <c r="H617" s="111"/>
      <c r="I617" s="111"/>
      <c r="J617" s="111"/>
      <c r="K617" s="111"/>
      <c r="L617" s="111"/>
      <c r="M617" s="94"/>
      <c r="N617" s="94"/>
      <c r="O617" s="94"/>
      <c r="P617" s="94"/>
      <c r="Q617" s="94"/>
      <c r="R617" s="94"/>
      <c r="S617" s="94"/>
      <c r="T617" s="94"/>
      <c r="U617" s="94"/>
      <c r="V617" s="94"/>
      <c r="W617" s="94"/>
      <c r="X617" s="94"/>
      <c r="Y617" s="94"/>
      <c r="Z617" s="94"/>
      <c r="AA617" s="94"/>
      <c r="AB617" s="94"/>
      <c r="AC617" s="94"/>
      <c r="AD617" s="94"/>
      <c r="AE617" s="94"/>
    </row>
    <row r="618">
      <c r="A618" s="87"/>
      <c r="B618" s="37"/>
      <c r="C618" s="37"/>
      <c r="D618" s="162"/>
      <c r="E618" s="89"/>
      <c r="F618" s="72"/>
      <c r="G618" s="111"/>
      <c r="H618" s="111"/>
      <c r="I618" s="111"/>
      <c r="J618" s="111"/>
      <c r="K618" s="111"/>
      <c r="L618" s="111"/>
      <c r="M618" s="94"/>
      <c r="N618" s="94"/>
      <c r="O618" s="94"/>
      <c r="P618" s="94"/>
      <c r="Q618" s="94"/>
      <c r="R618" s="94"/>
      <c r="S618" s="94"/>
      <c r="T618" s="94"/>
      <c r="U618" s="94"/>
      <c r="V618" s="94"/>
      <c r="W618" s="94"/>
      <c r="X618" s="94"/>
      <c r="Y618" s="94"/>
      <c r="Z618" s="94"/>
      <c r="AA618" s="94"/>
      <c r="AB618" s="94"/>
      <c r="AC618" s="94"/>
      <c r="AD618" s="94"/>
      <c r="AE618" s="94"/>
    </row>
    <row r="619">
      <c r="A619" s="87"/>
      <c r="B619" s="37"/>
      <c r="C619" s="37"/>
      <c r="D619" s="162"/>
      <c r="E619" s="89"/>
      <c r="F619" s="72"/>
      <c r="G619" s="111"/>
      <c r="H619" s="111"/>
      <c r="I619" s="111"/>
      <c r="J619" s="111"/>
      <c r="K619" s="111"/>
      <c r="L619" s="111"/>
      <c r="M619" s="94"/>
      <c r="N619" s="94"/>
      <c r="O619" s="94"/>
      <c r="P619" s="94"/>
      <c r="Q619" s="94"/>
      <c r="R619" s="94"/>
      <c r="S619" s="94"/>
      <c r="T619" s="94"/>
      <c r="U619" s="94"/>
      <c r="V619" s="94"/>
      <c r="W619" s="94"/>
      <c r="X619" s="94"/>
      <c r="Y619" s="94"/>
      <c r="Z619" s="94"/>
      <c r="AA619" s="94"/>
      <c r="AB619" s="94"/>
      <c r="AC619" s="94"/>
      <c r="AD619" s="94"/>
      <c r="AE619" s="94"/>
    </row>
    <row r="620">
      <c r="A620" s="87"/>
      <c r="B620" s="37"/>
      <c r="C620" s="37"/>
      <c r="D620" s="162"/>
      <c r="E620" s="89"/>
      <c r="F620" s="72"/>
      <c r="G620" s="111"/>
      <c r="H620" s="111"/>
      <c r="I620" s="111"/>
      <c r="J620" s="111"/>
      <c r="K620" s="111"/>
      <c r="L620" s="111"/>
      <c r="M620" s="94"/>
      <c r="N620" s="94"/>
      <c r="O620" s="94"/>
      <c r="P620" s="94"/>
      <c r="Q620" s="94"/>
      <c r="R620" s="94"/>
      <c r="S620" s="94"/>
      <c r="T620" s="94"/>
      <c r="U620" s="94"/>
      <c r="V620" s="94"/>
      <c r="W620" s="94"/>
      <c r="X620" s="94"/>
      <c r="Y620" s="94"/>
      <c r="Z620" s="94"/>
      <c r="AA620" s="94"/>
      <c r="AB620" s="94"/>
      <c r="AC620" s="94"/>
      <c r="AD620" s="94"/>
      <c r="AE620" s="94"/>
    </row>
    <row r="621">
      <c r="A621" s="87"/>
      <c r="B621" s="37"/>
      <c r="C621" s="37"/>
      <c r="D621" s="162"/>
      <c r="E621" s="89"/>
      <c r="F621" s="72"/>
      <c r="G621" s="111"/>
      <c r="H621" s="111"/>
      <c r="I621" s="111"/>
      <c r="J621" s="111"/>
      <c r="K621" s="111"/>
      <c r="L621" s="111"/>
      <c r="M621" s="94"/>
      <c r="N621" s="94"/>
      <c r="O621" s="94"/>
      <c r="P621" s="94"/>
      <c r="Q621" s="94"/>
      <c r="R621" s="94"/>
      <c r="S621" s="94"/>
      <c r="T621" s="94"/>
      <c r="U621" s="94"/>
      <c r="V621" s="94"/>
      <c r="W621" s="94"/>
      <c r="X621" s="94"/>
      <c r="Y621" s="94"/>
      <c r="Z621" s="94"/>
      <c r="AA621" s="94"/>
      <c r="AB621" s="94"/>
      <c r="AC621" s="94"/>
      <c r="AD621" s="94"/>
      <c r="AE621" s="94"/>
    </row>
    <row r="622">
      <c r="A622" s="87"/>
      <c r="B622" s="37"/>
      <c r="C622" s="37"/>
      <c r="D622" s="162"/>
      <c r="E622" s="89"/>
      <c r="F622" s="72"/>
      <c r="G622" s="111"/>
      <c r="H622" s="111"/>
      <c r="I622" s="111"/>
      <c r="J622" s="111"/>
      <c r="K622" s="111"/>
      <c r="L622" s="111"/>
      <c r="M622" s="94"/>
      <c r="N622" s="94"/>
      <c r="O622" s="94"/>
      <c r="P622" s="94"/>
      <c r="Q622" s="94"/>
      <c r="R622" s="94"/>
      <c r="S622" s="94"/>
      <c r="T622" s="94"/>
      <c r="U622" s="94"/>
      <c r="V622" s="94"/>
      <c r="W622" s="94"/>
      <c r="X622" s="94"/>
      <c r="Y622" s="94"/>
      <c r="Z622" s="94"/>
      <c r="AA622" s="94"/>
      <c r="AB622" s="94"/>
      <c r="AC622" s="94"/>
      <c r="AD622" s="94"/>
      <c r="AE622" s="94"/>
    </row>
    <row r="623">
      <c r="A623" s="87"/>
      <c r="B623" s="37"/>
      <c r="C623" s="37"/>
      <c r="D623" s="162"/>
      <c r="E623" s="89"/>
      <c r="F623" s="72"/>
      <c r="G623" s="111"/>
      <c r="H623" s="111"/>
      <c r="I623" s="111"/>
      <c r="J623" s="111"/>
      <c r="K623" s="111"/>
      <c r="L623" s="111"/>
      <c r="M623" s="94"/>
      <c r="N623" s="94"/>
      <c r="O623" s="94"/>
      <c r="P623" s="94"/>
      <c r="Q623" s="94"/>
      <c r="R623" s="94"/>
      <c r="S623" s="94"/>
      <c r="T623" s="94"/>
      <c r="U623" s="94"/>
      <c r="V623" s="94"/>
      <c r="W623" s="94"/>
      <c r="X623" s="94"/>
      <c r="Y623" s="94"/>
      <c r="Z623" s="94"/>
      <c r="AA623" s="94"/>
      <c r="AB623" s="94"/>
      <c r="AC623" s="94"/>
      <c r="AD623" s="94"/>
      <c r="AE623" s="94"/>
    </row>
    <row r="624">
      <c r="A624" s="87"/>
      <c r="B624" s="37"/>
      <c r="C624" s="37"/>
      <c r="D624" s="162"/>
      <c r="E624" s="89"/>
      <c r="F624" s="72"/>
      <c r="G624" s="111"/>
      <c r="H624" s="111"/>
      <c r="I624" s="111"/>
      <c r="J624" s="111"/>
      <c r="K624" s="111"/>
      <c r="L624" s="111"/>
      <c r="M624" s="94"/>
      <c r="N624" s="94"/>
      <c r="O624" s="94"/>
      <c r="P624" s="94"/>
      <c r="Q624" s="94"/>
      <c r="R624" s="94"/>
      <c r="S624" s="94"/>
      <c r="T624" s="94"/>
      <c r="U624" s="94"/>
      <c r="V624" s="94"/>
      <c r="W624" s="94"/>
      <c r="X624" s="94"/>
      <c r="Y624" s="94"/>
      <c r="Z624" s="94"/>
      <c r="AA624" s="94"/>
      <c r="AB624" s="94"/>
      <c r="AC624" s="94"/>
      <c r="AD624" s="94"/>
      <c r="AE624" s="94"/>
    </row>
    <row r="625">
      <c r="A625" s="87"/>
      <c r="B625" s="37"/>
      <c r="C625" s="37"/>
      <c r="D625" s="162"/>
      <c r="E625" s="89"/>
      <c r="F625" s="72"/>
      <c r="G625" s="111"/>
      <c r="H625" s="111"/>
      <c r="I625" s="111"/>
      <c r="J625" s="111"/>
      <c r="K625" s="111"/>
      <c r="L625" s="111"/>
      <c r="M625" s="94"/>
      <c r="N625" s="94"/>
      <c r="O625" s="94"/>
      <c r="P625" s="94"/>
      <c r="Q625" s="94"/>
      <c r="R625" s="94"/>
      <c r="S625" s="94"/>
      <c r="T625" s="94"/>
      <c r="U625" s="94"/>
      <c r="V625" s="94"/>
      <c r="W625" s="94"/>
      <c r="X625" s="94"/>
      <c r="Y625" s="94"/>
      <c r="Z625" s="94"/>
      <c r="AA625" s="94"/>
      <c r="AB625" s="94"/>
      <c r="AC625" s="94"/>
      <c r="AD625" s="94"/>
      <c r="AE625" s="94"/>
    </row>
    <row r="626">
      <c r="A626" s="87"/>
      <c r="B626" s="37"/>
      <c r="C626" s="37"/>
      <c r="D626" s="162"/>
      <c r="E626" s="89"/>
      <c r="F626" s="72"/>
      <c r="G626" s="111"/>
      <c r="H626" s="111"/>
      <c r="I626" s="111"/>
      <c r="J626" s="111"/>
      <c r="K626" s="111"/>
      <c r="L626" s="111"/>
      <c r="M626" s="94"/>
      <c r="N626" s="94"/>
      <c r="O626" s="94"/>
      <c r="P626" s="94"/>
      <c r="Q626" s="94"/>
      <c r="R626" s="94"/>
      <c r="S626" s="94"/>
      <c r="T626" s="94"/>
      <c r="U626" s="94"/>
      <c r="V626" s="94"/>
      <c r="W626" s="94"/>
      <c r="X626" s="94"/>
      <c r="Y626" s="94"/>
      <c r="Z626" s="94"/>
      <c r="AA626" s="94"/>
      <c r="AB626" s="94"/>
      <c r="AC626" s="94"/>
      <c r="AD626" s="94"/>
      <c r="AE626" s="94"/>
    </row>
    <row r="627">
      <c r="A627" s="87"/>
      <c r="B627" s="37"/>
      <c r="C627" s="37"/>
      <c r="D627" s="162"/>
      <c r="E627" s="89"/>
      <c r="F627" s="72"/>
      <c r="G627" s="111"/>
      <c r="H627" s="111"/>
      <c r="I627" s="111"/>
      <c r="J627" s="111"/>
      <c r="K627" s="111"/>
      <c r="L627" s="111"/>
      <c r="M627" s="94"/>
      <c r="N627" s="94"/>
      <c r="O627" s="94"/>
      <c r="P627" s="94"/>
      <c r="Q627" s="94"/>
      <c r="R627" s="94"/>
      <c r="S627" s="94"/>
      <c r="T627" s="94"/>
      <c r="U627" s="94"/>
      <c r="V627" s="94"/>
      <c r="W627" s="94"/>
      <c r="X627" s="94"/>
      <c r="Y627" s="94"/>
      <c r="Z627" s="94"/>
      <c r="AA627" s="94"/>
      <c r="AB627" s="94"/>
      <c r="AC627" s="94"/>
      <c r="AD627" s="94"/>
      <c r="AE627" s="94"/>
    </row>
    <row r="628">
      <c r="A628" s="87"/>
      <c r="B628" s="37"/>
      <c r="C628" s="37"/>
      <c r="D628" s="162"/>
      <c r="E628" s="89"/>
      <c r="F628" s="72"/>
      <c r="G628" s="111"/>
      <c r="H628" s="111"/>
      <c r="I628" s="111"/>
      <c r="J628" s="111"/>
      <c r="K628" s="111"/>
      <c r="L628" s="111"/>
      <c r="M628" s="94"/>
      <c r="N628" s="94"/>
      <c r="O628" s="94"/>
      <c r="P628" s="94"/>
      <c r="Q628" s="94"/>
      <c r="R628" s="94"/>
      <c r="S628" s="94"/>
      <c r="T628" s="94"/>
      <c r="U628" s="94"/>
      <c r="V628" s="94"/>
      <c r="W628" s="94"/>
      <c r="X628" s="94"/>
      <c r="Y628" s="94"/>
      <c r="Z628" s="94"/>
      <c r="AA628" s="94"/>
      <c r="AB628" s="94"/>
      <c r="AC628" s="94"/>
      <c r="AD628" s="94"/>
      <c r="AE628" s="94"/>
    </row>
    <row r="629">
      <c r="A629" s="87"/>
      <c r="B629" s="37"/>
      <c r="C629" s="37"/>
      <c r="D629" s="162"/>
      <c r="E629" s="89"/>
      <c r="F629" s="72"/>
      <c r="G629" s="111"/>
      <c r="H629" s="111"/>
      <c r="I629" s="111"/>
      <c r="J629" s="111"/>
      <c r="K629" s="111"/>
      <c r="L629" s="111"/>
      <c r="M629" s="94"/>
      <c r="N629" s="94"/>
      <c r="O629" s="94"/>
      <c r="P629" s="94"/>
      <c r="Q629" s="94"/>
      <c r="R629" s="94"/>
      <c r="S629" s="94"/>
      <c r="T629" s="94"/>
      <c r="U629" s="94"/>
      <c r="V629" s="94"/>
      <c r="W629" s="94"/>
      <c r="X629" s="94"/>
      <c r="Y629" s="94"/>
      <c r="Z629" s="94"/>
      <c r="AA629" s="94"/>
      <c r="AB629" s="94"/>
      <c r="AC629" s="94"/>
      <c r="AD629" s="94"/>
      <c r="AE629" s="94"/>
    </row>
    <row r="630">
      <c r="A630" s="87"/>
      <c r="B630" s="37"/>
      <c r="C630" s="37"/>
      <c r="D630" s="162"/>
      <c r="E630" s="89"/>
      <c r="F630" s="72"/>
      <c r="G630" s="111"/>
      <c r="H630" s="111"/>
      <c r="I630" s="111"/>
      <c r="J630" s="111"/>
      <c r="K630" s="111"/>
      <c r="L630" s="111"/>
      <c r="M630" s="94"/>
      <c r="N630" s="94"/>
      <c r="O630" s="94"/>
      <c r="P630" s="94"/>
      <c r="Q630" s="94"/>
      <c r="R630" s="94"/>
      <c r="S630" s="94"/>
      <c r="T630" s="94"/>
      <c r="U630" s="94"/>
      <c r="V630" s="94"/>
      <c r="W630" s="94"/>
      <c r="X630" s="94"/>
      <c r="Y630" s="94"/>
      <c r="Z630" s="94"/>
      <c r="AA630" s="94"/>
      <c r="AB630" s="94"/>
      <c r="AC630" s="94"/>
      <c r="AD630" s="94"/>
      <c r="AE630" s="94"/>
    </row>
    <row r="631">
      <c r="A631" s="87"/>
      <c r="B631" s="37"/>
      <c r="C631" s="37"/>
      <c r="D631" s="162"/>
      <c r="E631" s="89"/>
      <c r="F631" s="72"/>
      <c r="G631" s="111"/>
      <c r="H631" s="111"/>
      <c r="I631" s="111"/>
      <c r="J631" s="111"/>
      <c r="K631" s="111"/>
      <c r="L631" s="111"/>
      <c r="M631" s="94"/>
      <c r="N631" s="94"/>
      <c r="O631" s="94"/>
      <c r="P631" s="94"/>
      <c r="Q631" s="94"/>
      <c r="R631" s="94"/>
      <c r="S631" s="94"/>
      <c r="T631" s="94"/>
      <c r="U631" s="94"/>
      <c r="V631" s="94"/>
      <c r="W631" s="94"/>
      <c r="X631" s="94"/>
      <c r="Y631" s="94"/>
      <c r="Z631" s="94"/>
      <c r="AA631" s="94"/>
      <c r="AB631" s="94"/>
      <c r="AC631" s="94"/>
      <c r="AD631" s="94"/>
      <c r="AE631" s="94"/>
    </row>
    <row r="632">
      <c r="A632" s="87"/>
      <c r="B632" s="37"/>
      <c r="C632" s="37"/>
      <c r="D632" s="162"/>
      <c r="E632" s="89"/>
      <c r="F632" s="72"/>
      <c r="G632" s="111"/>
      <c r="H632" s="111"/>
      <c r="I632" s="111"/>
      <c r="J632" s="111"/>
      <c r="K632" s="111"/>
      <c r="L632" s="111"/>
      <c r="M632" s="94"/>
      <c r="N632" s="94"/>
      <c r="O632" s="94"/>
      <c r="P632" s="94"/>
      <c r="Q632" s="94"/>
      <c r="R632" s="94"/>
      <c r="S632" s="94"/>
      <c r="T632" s="94"/>
      <c r="U632" s="94"/>
      <c r="V632" s="94"/>
      <c r="W632" s="94"/>
      <c r="X632" s="94"/>
      <c r="Y632" s="94"/>
      <c r="Z632" s="94"/>
      <c r="AA632" s="94"/>
      <c r="AB632" s="94"/>
      <c r="AC632" s="94"/>
      <c r="AD632" s="94"/>
      <c r="AE632" s="94"/>
    </row>
    <row r="633">
      <c r="A633" s="87"/>
      <c r="B633" s="37"/>
      <c r="C633" s="37"/>
      <c r="D633" s="162"/>
      <c r="E633" s="89"/>
      <c r="F633" s="72"/>
      <c r="G633" s="111"/>
      <c r="H633" s="111"/>
      <c r="I633" s="111"/>
      <c r="J633" s="111"/>
      <c r="K633" s="111"/>
      <c r="L633" s="111"/>
      <c r="M633" s="94"/>
      <c r="N633" s="94"/>
      <c r="O633" s="94"/>
      <c r="P633" s="94"/>
      <c r="Q633" s="94"/>
      <c r="R633" s="94"/>
      <c r="S633" s="94"/>
      <c r="T633" s="94"/>
      <c r="U633" s="94"/>
      <c r="V633" s="94"/>
      <c r="W633" s="94"/>
      <c r="X633" s="94"/>
      <c r="Y633" s="94"/>
      <c r="Z633" s="94"/>
      <c r="AA633" s="94"/>
      <c r="AB633" s="94"/>
      <c r="AC633" s="94"/>
      <c r="AD633" s="94"/>
      <c r="AE633" s="94"/>
    </row>
    <row r="634">
      <c r="A634" s="87"/>
      <c r="B634" s="37"/>
      <c r="C634" s="37"/>
      <c r="D634" s="162"/>
      <c r="E634" s="89"/>
      <c r="F634" s="72"/>
      <c r="G634" s="111"/>
      <c r="H634" s="111"/>
      <c r="I634" s="111"/>
      <c r="J634" s="111"/>
      <c r="K634" s="111"/>
      <c r="L634" s="111"/>
      <c r="M634" s="94"/>
      <c r="N634" s="94"/>
      <c r="O634" s="94"/>
      <c r="P634" s="94"/>
      <c r="Q634" s="94"/>
      <c r="R634" s="94"/>
      <c r="S634" s="94"/>
      <c r="T634" s="94"/>
      <c r="U634" s="94"/>
      <c r="V634" s="94"/>
      <c r="W634" s="94"/>
      <c r="X634" s="94"/>
      <c r="Y634" s="94"/>
      <c r="Z634" s="94"/>
      <c r="AA634" s="94"/>
      <c r="AB634" s="94"/>
      <c r="AC634" s="94"/>
      <c r="AD634" s="94"/>
      <c r="AE634" s="94"/>
    </row>
    <row r="635">
      <c r="A635" s="87"/>
      <c r="B635" s="37"/>
      <c r="C635" s="37"/>
      <c r="D635" s="162"/>
      <c r="E635" s="89"/>
      <c r="F635" s="72"/>
      <c r="G635" s="111"/>
      <c r="H635" s="111"/>
      <c r="I635" s="111"/>
      <c r="J635" s="111"/>
      <c r="K635" s="111"/>
      <c r="L635" s="111"/>
      <c r="M635" s="94"/>
      <c r="N635" s="94"/>
      <c r="O635" s="94"/>
      <c r="P635" s="94"/>
      <c r="Q635" s="94"/>
      <c r="R635" s="94"/>
      <c r="S635" s="94"/>
      <c r="T635" s="94"/>
      <c r="U635" s="94"/>
      <c r="V635" s="94"/>
      <c r="W635" s="94"/>
      <c r="X635" s="94"/>
      <c r="Y635" s="94"/>
      <c r="Z635" s="94"/>
      <c r="AA635" s="94"/>
      <c r="AB635" s="94"/>
      <c r="AC635" s="94"/>
      <c r="AD635" s="94"/>
      <c r="AE635" s="94"/>
    </row>
    <row r="636">
      <c r="A636" s="87"/>
      <c r="B636" s="37"/>
      <c r="C636" s="37"/>
      <c r="D636" s="162"/>
      <c r="E636" s="89"/>
      <c r="F636" s="72"/>
      <c r="G636" s="111"/>
      <c r="H636" s="111"/>
      <c r="I636" s="111"/>
      <c r="J636" s="111"/>
      <c r="K636" s="111"/>
      <c r="L636" s="111"/>
      <c r="M636" s="94"/>
      <c r="N636" s="94"/>
      <c r="O636" s="94"/>
      <c r="P636" s="94"/>
      <c r="Q636" s="94"/>
      <c r="R636" s="94"/>
      <c r="S636" s="94"/>
      <c r="T636" s="94"/>
      <c r="U636" s="94"/>
      <c r="V636" s="94"/>
      <c r="W636" s="94"/>
      <c r="X636" s="94"/>
      <c r="Y636" s="94"/>
      <c r="Z636" s="94"/>
      <c r="AA636" s="94"/>
      <c r="AB636" s="94"/>
      <c r="AC636" s="94"/>
      <c r="AD636" s="94"/>
      <c r="AE636" s="94"/>
    </row>
    <row r="637">
      <c r="A637" s="87"/>
      <c r="B637" s="37"/>
      <c r="C637" s="37"/>
      <c r="D637" s="162"/>
      <c r="E637" s="89"/>
      <c r="F637" s="72"/>
      <c r="G637" s="111"/>
      <c r="H637" s="111"/>
      <c r="I637" s="111"/>
      <c r="J637" s="111"/>
      <c r="K637" s="111"/>
      <c r="L637" s="111"/>
      <c r="M637" s="94"/>
      <c r="N637" s="94"/>
      <c r="O637" s="94"/>
      <c r="P637" s="94"/>
      <c r="Q637" s="94"/>
      <c r="R637" s="94"/>
      <c r="S637" s="94"/>
      <c r="T637" s="94"/>
      <c r="U637" s="94"/>
      <c r="V637" s="94"/>
      <c r="W637" s="94"/>
      <c r="X637" s="94"/>
      <c r="Y637" s="94"/>
      <c r="Z637" s="94"/>
      <c r="AA637" s="94"/>
      <c r="AB637" s="94"/>
      <c r="AC637" s="94"/>
      <c r="AD637" s="94"/>
      <c r="AE637" s="94"/>
    </row>
    <row r="638">
      <c r="A638" s="87"/>
      <c r="B638" s="37"/>
      <c r="C638" s="37"/>
      <c r="D638" s="162"/>
      <c r="E638" s="89"/>
      <c r="F638" s="72"/>
      <c r="G638" s="111"/>
      <c r="H638" s="111"/>
      <c r="I638" s="111"/>
      <c r="J638" s="111"/>
      <c r="K638" s="111"/>
      <c r="L638" s="111"/>
      <c r="M638" s="94"/>
      <c r="N638" s="94"/>
      <c r="O638" s="94"/>
      <c r="P638" s="94"/>
      <c r="Q638" s="94"/>
      <c r="R638" s="94"/>
      <c r="S638" s="94"/>
      <c r="T638" s="94"/>
      <c r="U638" s="94"/>
      <c r="V638" s="94"/>
      <c r="W638" s="94"/>
      <c r="X638" s="94"/>
      <c r="Y638" s="94"/>
      <c r="Z638" s="94"/>
      <c r="AA638" s="94"/>
      <c r="AB638" s="94"/>
      <c r="AC638" s="94"/>
      <c r="AD638" s="94"/>
      <c r="AE638" s="94"/>
    </row>
    <row r="639">
      <c r="A639" s="87"/>
      <c r="B639" s="37"/>
      <c r="C639" s="37"/>
      <c r="D639" s="162"/>
      <c r="E639" s="89"/>
      <c r="F639" s="72"/>
      <c r="G639" s="111"/>
      <c r="H639" s="111"/>
      <c r="I639" s="111"/>
      <c r="J639" s="111"/>
      <c r="K639" s="111"/>
      <c r="L639" s="111"/>
      <c r="M639" s="94"/>
      <c r="N639" s="94"/>
      <c r="O639" s="94"/>
      <c r="P639" s="94"/>
      <c r="Q639" s="94"/>
      <c r="R639" s="94"/>
      <c r="S639" s="94"/>
      <c r="T639" s="94"/>
      <c r="U639" s="94"/>
      <c r="V639" s="94"/>
      <c r="W639" s="94"/>
      <c r="X639" s="94"/>
      <c r="Y639" s="94"/>
      <c r="Z639" s="94"/>
      <c r="AA639" s="94"/>
      <c r="AB639" s="94"/>
      <c r="AC639" s="94"/>
      <c r="AD639" s="94"/>
      <c r="AE639" s="94"/>
    </row>
    <row r="640">
      <c r="A640" s="87"/>
      <c r="B640" s="37"/>
      <c r="C640" s="37"/>
      <c r="D640" s="162"/>
      <c r="E640" s="89"/>
      <c r="F640" s="72"/>
      <c r="G640" s="111"/>
      <c r="H640" s="111"/>
      <c r="I640" s="111"/>
      <c r="J640" s="111"/>
      <c r="K640" s="111"/>
      <c r="L640" s="111"/>
      <c r="M640" s="94"/>
      <c r="N640" s="94"/>
      <c r="O640" s="94"/>
      <c r="P640" s="94"/>
      <c r="Q640" s="94"/>
      <c r="R640" s="94"/>
      <c r="S640" s="94"/>
      <c r="T640" s="94"/>
      <c r="U640" s="94"/>
      <c r="V640" s="94"/>
      <c r="W640" s="94"/>
      <c r="X640" s="94"/>
      <c r="Y640" s="94"/>
      <c r="Z640" s="94"/>
      <c r="AA640" s="94"/>
      <c r="AB640" s="94"/>
      <c r="AC640" s="94"/>
      <c r="AD640" s="94"/>
      <c r="AE640" s="94"/>
    </row>
    <row r="641">
      <c r="A641" s="87"/>
      <c r="B641" s="37"/>
      <c r="C641" s="37"/>
      <c r="D641" s="162"/>
      <c r="E641" s="89"/>
      <c r="F641" s="72"/>
      <c r="G641" s="111"/>
      <c r="H641" s="111"/>
      <c r="I641" s="111"/>
      <c r="J641" s="111"/>
      <c r="K641" s="111"/>
      <c r="L641" s="111"/>
      <c r="M641" s="94"/>
      <c r="N641" s="94"/>
      <c r="O641" s="94"/>
      <c r="P641" s="94"/>
      <c r="Q641" s="94"/>
      <c r="R641" s="94"/>
      <c r="S641" s="94"/>
      <c r="T641" s="94"/>
      <c r="U641" s="94"/>
      <c r="V641" s="94"/>
      <c r="W641" s="94"/>
      <c r="X641" s="94"/>
      <c r="Y641" s="94"/>
      <c r="Z641" s="94"/>
      <c r="AA641" s="94"/>
      <c r="AB641" s="94"/>
      <c r="AC641" s="94"/>
      <c r="AD641" s="94"/>
      <c r="AE641" s="94"/>
    </row>
    <row r="642">
      <c r="A642" s="87"/>
      <c r="B642" s="37"/>
      <c r="C642" s="37"/>
      <c r="D642" s="162"/>
      <c r="E642" s="89"/>
      <c r="F642" s="72"/>
      <c r="G642" s="111"/>
      <c r="H642" s="111"/>
      <c r="I642" s="111"/>
      <c r="J642" s="111"/>
      <c r="K642" s="111"/>
      <c r="L642" s="111"/>
      <c r="M642" s="94"/>
      <c r="N642" s="94"/>
      <c r="O642" s="94"/>
      <c r="P642" s="94"/>
      <c r="Q642" s="94"/>
      <c r="R642" s="94"/>
      <c r="S642" s="94"/>
      <c r="T642" s="94"/>
      <c r="U642" s="94"/>
      <c r="V642" s="94"/>
      <c r="W642" s="94"/>
      <c r="X642" s="94"/>
      <c r="Y642" s="94"/>
      <c r="Z642" s="94"/>
      <c r="AA642" s="94"/>
      <c r="AB642" s="94"/>
      <c r="AC642" s="94"/>
      <c r="AD642" s="94"/>
      <c r="AE642" s="94"/>
    </row>
    <row r="643">
      <c r="A643" s="87"/>
      <c r="B643" s="37"/>
      <c r="C643" s="37"/>
      <c r="D643" s="162"/>
      <c r="E643" s="89"/>
      <c r="F643" s="72"/>
      <c r="G643" s="111"/>
      <c r="H643" s="111"/>
      <c r="I643" s="111"/>
      <c r="J643" s="111"/>
      <c r="K643" s="111"/>
      <c r="L643" s="111"/>
      <c r="M643" s="94"/>
      <c r="N643" s="94"/>
      <c r="O643" s="94"/>
      <c r="P643" s="94"/>
      <c r="Q643" s="94"/>
      <c r="R643" s="94"/>
      <c r="S643" s="94"/>
      <c r="T643" s="94"/>
      <c r="U643" s="94"/>
      <c r="V643" s="94"/>
      <c r="W643" s="94"/>
      <c r="X643" s="94"/>
      <c r="Y643" s="94"/>
      <c r="Z643" s="94"/>
      <c r="AA643" s="94"/>
      <c r="AB643" s="94"/>
      <c r="AC643" s="94"/>
      <c r="AD643" s="94"/>
      <c r="AE643" s="94"/>
    </row>
    <row r="644">
      <c r="A644" s="87"/>
      <c r="B644" s="37"/>
      <c r="C644" s="37"/>
      <c r="D644" s="162"/>
      <c r="E644" s="89"/>
      <c r="F644" s="72"/>
      <c r="G644" s="111"/>
      <c r="H644" s="111"/>
      <c r="I644" s="111"/>
      <c r="J644" s="111"/>
      <c r="K644" s="111"/>
      <c r="L644" s="111"/>
      <c r="M644" s="94"/>
      <c r="N644" s="94"/>
      <c r="O644" s="94"/>
      <c r="P644" s="94"/>
      <c r="Q644" s="94"/>
      <c r="R644" s="94"/>
      <c r="S644" s="94"/>
      <c r="T644" s="94"/>
      <c r="U644" s="94"/>
      <c r="V644" s="94"/>
      <c r="W644" s="94"/>
      <c r="X644" s="94"/>
      <c r="Y644" s="94"/>
      <c r="Z644" s="94"/>
      <c r="AA644" s="94"/>
      <c r="AB644" s="94"/>
      <c r="AC644" s="94"/>
      <c r="AD644" s="94"/>
      <c r="AE644" s="94"/>
    </row>
    <row r="645">
      <c r="A645" s="87"/>
      <c r="B645" s="37"/>
      <c r="C645" s="37"/>
      <c r="D645" s="162"/>
      <c r="E645" s="89"/>
      <c r="F645" s="72"/>
      <c r="G645" s="111"/>
      <c r="H645" s="111"/>
      <c r="I645" s="111"/>
      <c r="J645" s="111"/>
      <c r="K645" s="111"/>
      <c r="L645" s="111"/>
      <c r="M645" s="94"/>
      <c r="N645" s="94"/>
      <c r="O645" s="94"/>
      <c r="P645" s="94"/>
      <c r="Q645" s="94"/>
      <c r="R645" s="94"/>
      <c r="S645" s="94"/>
      <c r="T645" s="94"/>
      <c r="U645" s="94"/>
      <c r="V645" s="94"/>
      <c r="W645" s="94"/>
      <c r="X645" s="94"/>
      <c r="Y645" s="94"/>
      <c r="Z645" s="94"/>
      <c r="AA645" s="94"/>
      <c r="AB645" s="94"/>
      <c r="AC645" s="94"/>
      <c r="AD645" s="94"/>
      <c r="AE645" s="94"/>
    </row>
    <row r="646">
      <c r="A646" s="87"/>
      <c r="B646" s="37"/>
      <c r="C646" s="37"/>
      <c r="D646" s="162"/>
      <c r="E646" s="89"/>
      <c r="F646" s="72"/>
      <c r="G646" s="111"/>
      <c r="H646" s="111"/>
      <c r="I646" s="111"/>
      <c r="J646" s="111"/>
      <c r="K646" s="111"/>
      <c r="L646" s="111"/>
      <c r="M646" s="94"/>
      <c r="N646" s="94"/>
      <c r="O646" s="94"/>
      <c r="P646" s="94"/>
      <c r="Q646" s="94"/>
      <c r="R646" s="94"/>
      <c r="S646" s="94"/>
      <c r="T646" s="94"/>
      <c r="U646" s="94"/>
      <c r="V646" s="94"/>
      <c r="W646" s="94"/>
      <c r="X646" s="94"/>
      <c r="Y646" s="94"/>
      <c r="Z646" s="94"/>
      <c r="AA646" s="94"/>
      <c r="AB646" s="94"/>
      <c r="AC646" s="94"/>
      <c r="AD646" s="94"/>
      <c r="AE646" s="94"/>
    </row>
    <row r="647">
      <c r="A647" s="87"/>
      <c r="B647" s="37"/>
      <c r="C647" s="37"/>
      <c r="D647" s="162"/>
      <c r="E647" s="89"/>
      <c r="F647" s="72"/>
      <c r="G647" s="111"/>
      <c r="H647" s="111"/>
      <c r="I647" s="111"/>
      <c r="J647" s="111"/>
      <c r="K647" s="111"/>
      <c r="L647" s="111"/>
      <c r="M647" s="94"/>
      <c r="N647" s="94"/>
      <c r="O647" s="94"/>
      <c r="P647" s="94"/>
      <c r="Q647" s="94"/>
      <c r="R647" s="94"/>
      <c r="S647" s="94"/>
      <c r="T647" s="94"/>
      <c r="U647" s="94"/>
      <c r="V647" s="94"/>
      <c r="W647" s="94"/>
      <c r="X647" s="94"/>
      <c r="Y647" s="94"/>
      <c r="Z647" s="94"/>
      <c r="AA647" s="94"/>
      <c r="AB647" s="94"/>
      <c r="AC647" s="94"/>
      <c r="AD647" s="94"/>
      <c r="AE647" s="94"/>
    </row>
    <row r="648">
      <c r="A648" s="87"/>
      <c r="B648" s="37"/>
      <c r="C648" s="37"/>
      <c r="D648" s="162"/>
      <c r="E648" s="89"/>
      <c r="F648" s="72"/>
      <c r="G648" s="111"/>
      <c r="H648" s="111"/>
      <c r="I648" s="111"/>
      <c r="J648" s="111"/>
      <c r="K648" s="111"/>
      <c r="L648" s="111"/>
      <c r="M648" s="94"/>
      <c r="N648" s="94"/>
      <c r="O648" s="94"/>
      <c r="P648" s="94"/>
      <c r="Q648" s="94"/>
      <c r="R648" s="94"/>
      <c r="S648" s="94"/>
      <c r="T648" s="94"/>
      <c r="U648" s="94"/>
      <c r="V648" s="94"/>
      <c r="W648" s="94"/>
      <c r="X648" s="94"/>
      <c r="Y648" s="94"/>
      <c r="Z648" s="94"/>
      <c r="AA648" s="94"/>
      <c r="AB648" s="94"/>
      <c r="AC648" s="94"/>
      <c r="AD648" s="94"/>
      <c r="AE648" s="94"/>
    </row>
    <row r="649">
      <c r="A649" s="87"/>
      <c r="B649" s="37"/>
      <c r="C649" s="37"/>
      <c r="D649" s="162"/>
      <c r="E649" s="89"/>
      <c r="F649" s="72"/>
      <c r="G649" s="111"/>
      <c r="H649" s="111"/>
      <c r="I649" s="111"/>
      <c r="J649" s="111"/>
      <c r="K649" s="111"/>
      <c r="L649" s="111"/>
      <c r="M649" s="94"/>
      <c r="N649" s="94"/>
      <c r="O649" s="94"/>
      <c r="P649" s="94"/>
      <c r="Q649" s="94"/>
      <c r="R649" s="94"/>
      <c r="S649" s="94"/>
      <c r="T649" s="94"/>
      <c r="U649" s="94"/>
      <c r="V649" s="94"/>
      <c r="W649" s="94"/>
      <c r="X649" s="94"/>
      <c r="Y649" s="94"/>
      <c r="Z649" s="94"/>
      <c r="AA649" s="94"/>
      <c r="AB649" s="94"/>
      <c r="AC649" s="94"/>
      <c r="AD649" s="94"/>
      <c r="AE649" s="94"/>
    </row>
    <row r="650">
      <c r="A650" s="87"/>
      <c r="B650" s="37"/>
      <c r="C650" s="37"/>
      <c r="D650" s="162"/>
      <c r="E650" s="89"/>
      <c r="F650" s="72"/>
      <c r="G650" s="111"/>
      <c r="H650" s="111"/>
      <c r="I650" s="111"/>
      <c r="J650" s="111"/>
      <c r="K650" s="111"/>
      <c r="L650" s="111"/>
      <c r="M650" s="94"/>
      <c r="N650" s="94"/>
      <c r="O650" s="94"/>
      <c r="P650" s="94"/>
      <c r="Q650" s="94"/>
      <c r="R650" s="94"/>
      <c r="S650" s="94"/>
      <c r="T650" s="94"/>
      <c r="U650" s="94"/>
      <c r="V650" s="94"/>
      <c r="W650" s="94"/>
      <c r="X650" s="94"/>
      <c r="Y650" s="94"/>
      <c r="Z650" s="94"/>
      <c r="AA650" s="94"/>
      <c r="AB650" s="94"/>
      <c r="AC650" s="94"/>
      <c r="AD650" s="94"/>
      <c r="AE650" s="94"/>
    </row>
    <row r="651">
      <c r="A651" s="87"/>
      <c r="B651" s="37"/>
      <c r="C651" s="37"/>
      <c r="D651" s="162"/>
      <c r="E651" s="89"/>
      <c r="F651" s="72"/>
      <c r="G651" s="111"/>
      <c r="H651" s="111"/>
      <c r="I651" s="111"/>
      <c r="J651" s="111"/>
      <c r="K651" s="111"/>
      <c r="L651" s="111"/>
      <c r="M651" s="94"/>
      <c r="N651" s="94"/>
      <c r="O651" s="94"/>
      <c r="P651" s="94"/>
      <c r="Q651" s="94"/>
      <c r="R651" s="94"/>
      <c r="S651" s="94"/>
      <c r="T651" s="94"/>
      <c r="U651" s="94"/>
      <c r="V651" s="94"/>
      <c r="W651" s="94"/>
      <c r="X651" s="94"/>
      <c r="Y651" s="94"/>
      <c r="Z651" s="94"/>
      <c r="AA651" s="94"/>
      <c r="AB651" s="94"/>
      <c r="AC651" s="94"/>
      <c r="AD651" s="94"/>
      <c r="AE651" s="94"/>
    </row>
    <row r="652">
      <c r="A652" s="87"/>
      <c r="B652" s="37"/>
      <c r="C652" s="37"/>
      <c r="D652" s="162"/>
      <c r="E652" s="89"/>
      <c r="F652" s="72"/>
      <c r="G652" s="111"/>
      <c r="H652" s="111"/>
      <c r="I652" s="111"/>
      <c r="J652" s="111"/>
      <c r="K652" s="111"/>
      <c r="L652" s="111"/>
      <c r="M652" s="94"/>
      <c r="N652" s="94"/>
      <c r="O652" s="94"/>
      <c r="P652" s="94"/>
      <c r="Q652" s="94"/>
      <c r="R652" s="94"/>
      <c r="S652" s="94"/>
      <c r="T652" s="94"/>
      <c r="U652" s="94"/>
      <c r="V652" s="94"/>
      <c r="W652" s="94"/>
      <c r="X652" s="94"/>
      <c r="Y652" s="94"/>
      <c r="Z652" s="94"/>
      <c r="AA652" s="94"/>
      <c r="AB652" s="94"/>
      <c r="AC652" s="94"/>
      <c r="AD652" s="94"/>
      <c r="AE652" s="94"/>
    </row>
    <row r="653">
      <c r="A653" s="87"/>
      <c r="B653" s="37"/>
      <c r="C653" s="37"/>
      <c r="D653" s="162"/>
      <c r="E653" s="89"/>
      <c r="F653" s="72"/>
      <c r="G653" s="111"/>
      <c r="H653" s="111"/>
      <c r="I653" s="111"/>
      <c r="J653" s="111"/>
      <c r="K653" s="111"/>
      <c r="L653" s="111"/>
      <c r="M653" s="94"/>
      <c r="N653" s="94"/>
      <c r="O653" s="94"/>
      <c r="P653" s="94"/>
      <c r="Q653" s="94"/>
      <c r="R653" s="94"/>
      <c r="S653" s="94"/>
      <c r="T653" s="94"/>
      <c r="U653" s="94"/>
      <c r="V653" s="94"/>
      <c r="W653" s="94"/>
      <c r="X653" s="94"/>
      <c r="Y653" s="94"/>
      <c r="Z653" s="94"/>
      <c r="AA653" s="94"/>
      <c r="AB653" s="94"/>
      <c r="AC653" s="94"/>
      <c r="AD653" s="94"/>
      <c r="AE653" s="94"/>
    </row>
    <row r="654">
      <c r="A654" s="87"/>
      <c r="B654" s="37"/>
      <c r="C654" s="37"/>
      <c r="D654" s="162"/>
      <c r="E654" s="89"/>
      <c r="F654" s="72"/>
      <c r="G654" s="111"/>
      <c r="H654" s="111"/>
      <c r="I654" s="111"/>
      <c r="J654" s="111"/>
      <c r="K654" s="111"/>
      <c r="L654" s="111"/>
      <c r="M654" s="94"/>
      <c r="N654" s="94"/>
      <c r="O654" s="94"/>
      <c r="P654" s="94"/>
      <c r="Q654" s="94"/>
      <c r="R654" s="94"/>
      <c r="S654" s="94"/>
      <c r="T654" s="94"/>
      <c r="U654" s="94"/>
      <c r="V654" s="94"/>
      <c r="W654" s="94"/>
      <c r="X654" s="94"/>
      <c r="Y654" s="94"/>
      <c r="Z654" s="94"/>
      <c r="AA654" s="94"/>
      <c r="AB654" s="94"/>
      <c r="AC654" s="94"/>
      <c r="AD654" s="94"/>
      <c r="AE654" s="94"/>
    </row>
    <row r="655">
      <c r="A655" s="87"/>
      <c r="B655" s="37"/>
      <c r="C655" s="37"/>
      <c r="D655" s="162"/>
      <c r="E655" s="89"/>
      <c r="F655" s="72"/>
      <c r="G655" s="111"/>
      <c r="H655" s="111"/>
      <c r="I655" s="111"/>
      <c r="J655" s="111"/>
      <c r="K655" s="111"/>
      <c r="L655" s="111"/>
      <c r="M655" s="94"/>
      <c r="N655" s="94"/>
      <c r="O655" s="94"/>
      <c r="P655" s="94"/>
      <c r="Q655" s="94"/>
      <c r="R655" s="94"/>
      <c r="S655" s="94"/>
      <c r="T655" s="94"/>
      <c r="U655" s="94"/>
      <c r="V655" s="94"/>
      <c r="W655" s="94"/>
      <c r="X655" s="94"/>
      <c r="Y655" s="94"/>
      <c r="Z655" s="94"/>
      <c r="AA655" s="94"/>
      <c r="AB655" s="94"/>
      <c r="AC655" s="94"/>
      <c r="AD655" s="94"/>
      <c r="AE655" s="94"/>
    </row>
    <row r="656">
      <c r="A656" s="87"/>
      <c r="B656" s="37"/>
      <c r="C656" s="37"/>
      <c r="D656" s="162"/>
      <c r="E656" s="89"/>
      <c r="F656" s="72"/>
      <c r="G656" s="111"/>
      <c r="H656" s="111"/>
      <c r="I656" s="111"/>
      <c r="J656" s="111"/>
      <c r="K656" s="111"/>
      <c r="L656" s="111"/>
      <c r="M656" s="94"/>
      <c r="N656" s="94"/>
      <c r="O656" s="94"/>
      <c r="P656" s="94"/>
      <c r="Q656" s="94"/>
      <c r="R656" s="94"/>
      <c r="S656" s="94"/>
      <c r="T656" s="94"/>
      <c r="U656" s="94"/>
      <c r="V656" s="94"/>
      <c r="W656" s="94"/>
      <c r="X656" s="94"/>
      <c r="Y656" s="94"/>
      <c r="Z656" s="94"/>
      <c r="AA656" s="94"/>
      <c r="AB656" s="94"/>
      <c r="AC656" s="94"/>
      <c r="AD656" s="94"/>
      <c r="AE656" s="94"/>
    </row>
    <row r="657">
      <c r="A657" s="87"/>
      <c r="B657" s="37"/>
      <c r="C657" s="37"/>
      <c r="D657" s="162"/>
      <c r="E657" s="89"/>
      <c r="F657" s="72"/>
      <c r="G657" s="111"/>
      <c r="H657" s="111"/>
      <c r="I657" s="111"/>
      <c r="J657" s="111"/>
      <c r="K657" s="111"/>
      <c r="L657" s="111"/>
      <c r="M657" s="94"/>
      <c r="N657" s="94"/>
      <c r="O657" s="94"/>
      <c r="P657" s="94"/>
      <c r="Q657" s="94"/>
      <c r="R657" s="94"/>
      <c r="S657" s="94"/>
      <c r="T657" s="94"/>
      <c r="U657" s="94"/>
      <c r="V657" s="94"/>
      <c r="W657" s="94"/>
      <c r="X657" s="94"/>
      <c r="Y657" s="94"/>
      <c r="Z657" s="94"/>
      <c r="AA657" s="94"/>
      <c r="AB657" s="94"/>
      <c r="AC657" s="94"/>
      <c r="AD657" s="94"/>
      <c r="AE657" s="94"/>
    </row>
    <row r="658">
      <c r="A658" s="87"/>
      <c r="B658" s="37"/>
      <c r="C658" s="37"/>
      <c r="D658" s="162"/>
      <c r="E658" s="89"/>
      <c r="F658" s="72"/>
      <c r="G658" s="111"/>
      <c r="H658" s="111"/>
      <c r="I658" s="111"/>
      <c r="J658" s="111"/>
      <c r="K658" s="111"/>
      <c r="L658" s="111"/>
      <c r="M658" s="94"/>
      <c r="N658" s="94"/>
      <c r="O658" s="94"/>
      <c r="P658" s="94"/>
      <c r="Q658" s="94"/>
      <c r="R658" s="94"/>
      <c r="S658" s="94"/>
      <c r="T658" s="94"/>
      <c r="U658" s="94"/>
      <c r="V658" s="94"/>
      <c r="W658" s="94"/>
      <c r="X658" s="94"/>
      <c r="Y658" s="94"/>
      <c r="Z658" s="94"/>
      <c r="AA658" s="94"/>
      <c r="AB658" s="94"/>
      <c r="AC658" s="94"/>
      <c r="AD658" s="94"/>
      <c r="AE658" s="94"/>
    </row>
    <row r="659">
      <c r="A659" s="87"/>
      <c r="B659" s="37"/>
      <c r="C659" s="37"/>
      <c r="D659" s="162"/>
      <c r="E659" s="89"/>
      <c r="F659" s="72"/>
      <c r="G659" s="111"/>
      <c r="H659" s="111"/>
      <c r="I659" s="111"/>
      <c r="J659" s="111"/>
      <c r="K659" s="111"/>
      <c r="L659" s="111"/>
      <c r="M659" s="94"/>
      <c r="N659" s="94"/>
      <c r="O659" s="94"/>
      <c r="P659" s="94"/>
      <c r="Q659" s="94"/>
      <c r="R659" s="94"/>
      <c r="S659" s="94"/>
      <c r="T659" s="94"/>
      <c r="U659" s="94"/>
      <c r="V659" s="94"/>
      <c r="W659" s="94"/>
      <c r="X659" s="94"/>
      <c r="Y659" s="94"/>
      <c r="Z659" s="94"/>
      <c r="AA659" s="94"/>
      <c r="AB659" s="94"/>
      <c r="AC659" s="94"/>
      <c r="AD659" s="94"/>
      <c r="AE659" s="94"/>
    </row>
    <row r="660">
      <c r="A660" s="87"/>
      <c r="B660" s="37"/>
      <c r="C660" s="37"/>
      <c r="D660" s="162"/>
      <c r="E660" s="89"/>
      <c r="F660" s="72"/>
      <c r="G660" s="111"/>
      <c r="H660" s="111"/>
      <c r="I660" s="111"/>
      <c r="J660" s="111"/>
      <c r="K660" s="111"/>
      <c r="L660" s="111"/>
      <c r="M660" s="94"/>
      <c r="N660" s="94"/>
      <c r="O660" s="94"/>
      <c r="P660" s="94"/>
      <c r="Q660" s="94"/>
      <c r="R660" s="94"/>
      <c r="S660" s="94"/>
      <c r="T660" s="94"/>
      <c r="U660" s="94"/>
      <c r="V660" s="94"/>
      <c r="W660" s="94"/>
      <c r="X660" s="94"/>
      <c r="Y660" s="94"/>
      <c r="Z660" s="94"/>
      <c r="AA660" s="94"/>
      <c r="AB660" s="94"/>
      <c r="AC660" s="94"/>
      <c r="AD660" s="94"/>
      <c r="AE660" s="94"/>
    </row>
    <row r="661">
      <c r="A661" s="87"/>
      <c r="B661" s="37"/>
      <c r="C661" s="37"/>
      <c r="D661" s="162"/>
      <c r="E661" s="89"/>
      <c r="F661" s="72"/>
      <c r="G661" s="111"/>
      <c r="H661" s="111"/>
      <c r="I661" s="111"/>
      <c r="J661" s="111"/>
      <c r="K661" s="111"/>
      <c r="L661" s="111"/>
      <c r="M661" s="94"/>
      <c r="N661" s="94"/>
      <c r="O661" s="94"/>
      <c r="P661" s="94"/>
      <c r="Q661" s="94"/>
      <c r="R661" s="94"/>
      <c r="S661" s="94"/>
      <c r="T661" s="94"/>
      <c r="U661" s="94"/>
      <c r="V661" s="94"/>
      <c r="W661" s="94"/>
      <c r="X661" s="94"/>
      <c r="Y661" s="94"/>
      <c r="Z661" s="94"/>
      <c r="AA661" s="94"/>
      <c r="AB661" s="94"/>
      <c r="AC661" s="94"/>
      <c r="AD661" s="94"/>
      <c r="AE661" s="94"/>
    </row>
    <row r="662">
      <c r="A662" s="87"/>
      <c r="B662" s="37"/>
      <c r="C662" s="37"/>
      <c r="D662" s="162"/>
      <c r="E662" s="89"/>
      <c r="F662" s="72"/>
      <c r="G662" s="111"/>
      <c r="H662" s="111"/>
      <c r="I662" s="111"/>
      <c r="J662" s="111"/>
      <c r="K662" s="111"/>
      <c r="L662" s="111"/>
      <c r="M662" s="94"/>
      <c r="N662" s="94"/>
      <c r="O662" s="94"/>
      <c r="P662" s="94"/>
      <c r="Q662" s="94"/>
      <c r="R662" s="94"/>
      <c r="S662" s="94"/>
      <c r="T662" s="94"/>
      <c r="U662" s="94"/>
      <c r="V662" s="94"/>
      <c r="W662" s="94"/>
      <c r="X662" s="94"/>
      <c r="Y662" s="94"/>
      <c r="Z662" s="94"/>
      <c r="AA662" s="94"/>
      <c r="AB662" s="94"/>
      <c r="AC662" s="94"/>
      <c r="AD662" s="94"/>
      <c r="AE662" s="94"/>
    </row>
    <row r="663">
      <c r="A663" s="87"/>
      <c r="B663" s="37"/>
      <c r="C663" s="37"/>
      <c r="D663" s="162"/>
      <c r="E663" s="89"/>
      <c r="F663" s="72"/>
      <c r="G663" s="111"/>
      <c r="H663" s="111"/>
      <c r="I663" s="111"/>
      <c r="J663" s="111"/>
      <c r="K663" s="111"/>
      <c r="L663" s="111"/>
      <c r="M663" s="94"/>
      <c r="N663" s="94"/>
      <c r="O663" s="94"/>
      <c r="P663" s="94"/>
      <c r="Q663" s="94"/>
      <c r="R663" s="94"/>
      <c r="S663" s="94"/>
      <c r="T663" s="94"/>
      <c r="U663" s="94"/>
      <c r="V663" s="94"/>
      <c r="W663" s="94"/>
      <c r="X663" s="94"/>
      <c r="Y663" s="94"/>
      <c r="Z663" s="94"/>
      <c r="AA663" s="94"/>
      <c r="AB663" s="94"/>
      <c r="AC663" s="94"/>
      <c r="AD663" s="94"/>
      <c r="AE663" s="94"/>
    </row>
    <row r="664">
      <c r="A664" s="87"/>
      <c r="B664" s="37"/>
      <c r="C664" s="37"/>
      <c r="D664" s="162"/>
      <c r="E664" s="89"/>
      <c r="F664" s="72"/>
      <c r="G664" s="111"/>
      <c r="H664" s="111"/>
      <c r="I664" s="111"/>
      <c r="J664" s="111"/>
      <c r="K664" s="111"/>
      <c r="L664" s="111"/>
      <c r="M664" s="94"/>
      <c r="N664" s="94"/>
      <c r="O664" s="94"/>
      <c r="P664" s="94"/>
      <c r="Q664" s="94"/>
      <c r="R664" s="94"/>
      <c r="S664" s="94"/>
      <c r="T664" s="94"/>
      <c r="U664" s="94"/>
      <c r="V664" s="94"/>
      <c r="W664" s="94"/>
      <c r="X664" s="94"/>
      <c r="Y664" s="94"/>
      <c r="Z664" s="94"/>
      <c r="AA664" s="94"/>
      <c r="AB664" s="94"/>
      <c r="AC664" s="94"/>
      <c r="AD664" s="94"/>
      <c r="AE664" s="94"/>
    </row>
    <row r="665">
      <c r="A665" s="87"/>
      <c r="B665" s="37"/>
      <c r="C665" s="37"/>
      <c r="D665" s="162"/>
      <c r="E665" s="89"/>
      <c r="F665" s="72"/>
      <c r="G665" s="111"/>
      <c r="H665" s="111"/>
      <c r="I665" s="111"/>
      <c r="J665" s="111"/>
      <c r="K665" s="111"/>
      <c r="L665" s="111"/>
      <c r="M665" s="94"/>
      <c r="N665" s="94"/>
      <c r="O665" s="94"/>
      <c r="P665" s="94"/>
      <c r="Q665" s="94"/>
      <c r="R665" s="94"/>
      <c r="S665" s="94"/>
      <c r="T665" s="94"/>
      <c r="U665" s="94"/>
      <c r="V665" s="94"/>
      <c r="W665" s="94"/>
      <c r="X665" s="94"/>
      <c r="Y665" s="94"/>
      <c r="Z665" s="94"/>
      <c r="AA665" s="94"/>
      <c r="AB665" s="94"/>
      <c r="AC665" s="94"/>
      <c r="AD665" s="94"/>
      <c r="AE665" s="94"/>
    </row>
    <row r="666">
      <c r="A666" s="87"/>
      <c r="B666" s="37"/>
      <c r="C666" s="37"/>
      <c r="D666" s="162"/>
      <c r="E666" s="89"/>
      <c r="F666" s="72"/>
      <c r="G666" s="111"/>
      <c r="H666" s="111"/>
      <c r="I666" s="111"/>
      <c r="J666" s="111"/>
      <c r="K666" s="111"/>
      <c r="L666" s="111"/>
      <c r="M666" s="94"/>
      <c r="N666" s="94"/>
      <c r="O666" s="94"/>
      <c r="P666" s="94"/>
      <c r="Q666" s="94"/>
      <c r="R666" s="94"/>
      <c r="S666" s="94"/>
      <c r="T666" s="94"/>
      <c r="U666" s="94"/>
      <c r="V666" s="94"/>
      <c r="W666" s="94"/>
      <c r="X666" s="94"/>
      <c r="Y666" s="94"/>
      <c r="Z666" s="94"/>
      <c r="AA666" s="94"/>
      <c r="AB666" s="94"/>
      <c r="AC666" s="94"/>
      <c r="AD666" s="94"/>
      <c r="AE666" s="94"/>
    </row>
    <row r="667">
      <c r="A667" s="87"/>
      <c r="B667" s="37"/>
      <c r="C667" s="37"/>
      <c r="D667" s="162"/>
      <c r="E667" s="89"/>
      <c r="F667" s="72"/>
      <c r="G667" s="111"/>
      <c r="H667" s="111"/>
      <c r="I667" s="111"/>
      <c r="J667" s="111"/>
      <c r="K667" s="111"/>
      <c r="L667" s="111"/>
      <c r="M667" s="94"/>
      <c r="N667" s="94"/>
      <c r="O667" s="94"/>
      <c r="P667" s="94"/>
      <c r="Q667" s="94"/>
      <c r="R667" s="94"/>
      <c r="S667" s="94"/>
      <c r="T667" s="94"/>
      <c r="U667" s="94"/>
      <c r="V667" s="94"/>
      <c r="W667" s="94"/>
      <c r="X667" s="94"/>
      <c r="Y667" s="94"/>
      <c r="Z667" s="94"/>
      <c r="AA667" s="94"/>
      <c r="AB667" s="94"/>
      <c r="AC667" s="94"/>
      <c r="AD667" s="94"/>
      <c r="AE667" s="94"/>
    </row>
    <row r="668">
      <c r="A668" s="87"/>
      <c r="B668" s="37"/>
      <c r="C668" s="37"/>
      <c r="D668" s="162"/>
      <c r="E668" s="89"/>
      <c r="F668" s="72"/>
      <c r="G668" s="111"/>
      <c r="H668" s="111"/>
      <c r="I668" s="111"/>
      <c r="J668" s="111"/>
      <c r="K668" s="111"/>
      <c r="L668" s="111"/>
      <c r="M668" s="94"/>
      <c r="N668" s="94"/>
      <c r="O668" s="94"/>
      <c r="P668" s="94"/>
      <c r="Q668" s="94"/>
      <c r="R668" s="94"/>
      <c r="S668" s="94"/>
      <c r="T668" s="94"/>
      <c r="U668" s="94"/>
      <c r="V668" s="94"/>
      <c r="W668" s="94"/>
      <c r="X668" s="94"/>
      <c r="Y668" s="94"/>
      <c r="Z668" s="94"/>
      <c r="AA668" s="94"/>
      <c r="AB668" s="94"/>
      <c r="AC668" s="94"/>
      <c r="AD668" s="94"/>
      <c r="AE668" s="94"/>
    </row>
    <row r="669">
      <c r="A669" s="87"/>
      <c r="B669" s="37"/>
      <c r="C669" s="37"/>
      <c r="D669" s="162"/>
      <c r="E669" s="89"/>
      <c r="F669" s="72"/>
      <c r="G669" s="111"/>
      <c r="H669" s="111"/>
      <c r="I669" s="111"/>
      <c r="J669" s="111"/>
      <c r="K669" s="111"/>
      <c r="L669" s="111"/>
      <c r="M669" s="94"/>
      <c r="N669" s="94"/>
      <c r="O669" s="94"/>
      <c r="P669" s="94"/>
      <c r="Q669" s="94"/>
      <c r="R669" s="94"/>
      <c r="S669" s="94"/>
      <c r="T669" s="94"/>
      <c r="U669" s="94"/>
      <c r="V669" s="94"/>
      <c r="W669" s="94"/>
      <c r="X669" s="94"/>
      <c r="Y669" s="94"/>
      <c r="Z669" s="94"/>
      <c r="AA669" s="94"/>
      <c r="AB669" s="94"/>
      <c r="AC669" s="94"/>
      <c r="AD669" s="94"/>
      <c r="AE669" s="94"/>
    </row>
    <row r="670">
      <c r="A670" s="87"/>
      <c r="B670" s="37"/>
      <c r="C670" s="37"/>
      <c r="D670" s="162"/>
      <c r="E670" s="89"/>
      <c r="F670" s="72"/>
      <c r="G670" s="111"/>
      <c r="H670" s="111"/>
      <c r="I670" s="111"/>
      <c r="J670" s="111"/>
      <c r="K670" s="111"/>
      <c r="L670" s="111"/>
      <c r="M670" s="94"/>
      <c r="N670" s="94"/>
      <c r="O670" s="94"/>
      <c r="P670" s="94"/>
      <c r="Q670" s="94"/>
      <c r="R670" s="94"/>
      <c r="S670" s="94"/>
      <c r="T670" s="94"/>
      <c r="U670" s="94"/>
      <c r="V670" s="94"/>
      <c r="W670" s="94"/>
      <c r="X670" s="94"/>
      <c r="Y670" s="94"/>
      <c r="Z670" s="94"/>
      <c r="AA670" s="94"/>
      <c r="AB670" s="94"/>
      <c r="AC670" s="94"/>
      <c r="AD670" s="94"/>
      <c r="AE670" s="94"/>
    </row>
    <row r="671">
      <c r="A671" s="87"/>
      <c r="B671" s="37"/>
      <c r="C671" s="37"/>
      <c r="D671" s="162"/>
      <c r="E671" s="89"/>
      <c r="F671" s="72"/>
      <c r="G671" s="111"/>
      <c r="H671" s="111"/>
      <c r="I671" s="111"/>
      <c r="J671" s="111"/>
      <c r="K671" s="111"/>
      <c r="L671" s="111"/>
      <c r="M671" s="94"/>
      <c r="N671" s="94"/>
      <c r="O671" s="94"/>
      <c r="P671" s="94"/>
      <c r="Q671" s="94"/>
      <c r="R671" s="94"/>
      <c r="S671" s="94"/>
      <c r="T671" s="94"/>
      <c r="U671" s="94"/>
      <c r="V671" s="94"/>
      <c r="W671" s="94"/>
      <c r="X671" s="94"/>
      <c r="Y671" s="94"/>
      <c r="Z671" s="94"/>
      <c r="AA671" s="94"/>
      <c r="AB671" s="94"/>
      <c r="AC671" s="94"/>
      <c r="AD671" s="94"/>
      <c r="AE671" s="94"/>
    </row>
    <row r="672">
      <c r="A672" s="87"/>
      <c r="B672" s="37"/>
      <c r="C672" s="37"/>
      <c r="D672" s="162"/>
      <c r="E672" s="89"/>
      <c r="F672" s="72"/>
      <c r="G672" s="111"/>
      <c r="H672" s="111"/>
      <c r="I672" s="111"/>
      <c r="J672" s="111"/>
      <c r="K672" s="111"/>
      <c r="L672" s="111"/>
      <c r="M672" s="94"/>
      <c r="N672" s="94"/>
      <c r="O672" s="94"/>
      <c r="P672" s="94"/>
      <c r="Q672" s="94"/>
      <c r="R672" s="94"/>
      <c r="S672" s="94"/>
      <c r="T672" s="94"/>
      <c r="U672" s="94"/>
      <c r="V672" s="94"/>
      <c r="W672" s="94"/>
      <c r="X672" s="94"/>
      <c r="Y672" s="94"/>
      <c r="Z672" s="94"/>
      <c r="AA672" s="94"/>
      <c r="AB672" s="94"/>
      <c r="AC672" s="94"/>
      <c r="AD672" s="94"/>
      <c r="AE672" s="94"/>
    </row>
    <row r="673">
      <c r="A673" s="87"/>
      <c r="B673" s="37"/>
      <c r="C673" s="37"/>
      <c r="D673" s="162"/>
      <c r="E673" s="89"/>
      <c r="F673" s="72"/>
      <c r="G673" s="111"/>
      <c r="H673" s="111"/>
      <c r="I673" s="111"/>
      <c r="J673" s="111"/>
      <c r="K673" s="111"/>
      <c r="L673" s="111"/>
      <c r="M673" s="94"/>
      <c r="N673" s="94"/>
      <c r="O673" s="94"/>
      <c r="P673" s="94"/>
      <c r="Q673" s="94"/>
      <c r="R673" s="94"/>
      <c r="S673" s="94"/>
      <c r="T673" s="94"/>
      <c r="U673" s="94"/>
      <c r="V673" s="94"/>
      <c r="W673" s="94"/>
      <c r="X673" s="94"/>
      <c r="Y673" s="94"/>
      <c r="Z673" s="94"/>
      <c r="AA673" s="94"/>
      <c r="AB673" s="94"/>
      <c r="AC673" s="94"/>
      <c r="AD673" s="94"/>
      <c r="AE673" s="94"/>
    </row>
    <row r="674">
      <c r="A674" s="87"/>
      <c r="B674" s="37"/>
      <c r="C674" s="37"/>
      <c r="D674" s="162"/>
      <c r="E674" s="89"/>
      <c r="F674" s="72"/>
      <c r="G674" s="111"/>
      <c r="H674" s="111"/>
      <c r="I674" s="111"/>
      <c r="J674" s="111"/>
      <c r="K674" s="111"/>
      <c r="L674" s="111"/>
      <c r="M674" s="94"/>
      <c r="N674" s="94"/>
      <c r="O674" s="94"/>
      <c r="P674" s="94"/>
      <c r="Q674" s="94"/>
      <c r="R674" s="94"/>
      <c r="S674" s="94"/>
      <c r="T674" s="94"/>
      <c r="U674" s="94"/>
      <c r="V674" s="94"/>
      <c r="W674" s="94"/>
      <c r="X674" s="94"/>
      <c r="Y674" s="94"/>
      <c r="Z674" s="94"/>
      <c r="AA674" s="94"/>
      <c r="AB674" s="94"/>
      <c r="AC674" s="94"/>
      <c r="AD674" s="94"/>
      <c r="AE674" s="94"/>
    </row>
    <row r="675">
      <c r="A675" s="87"/>
      <c r="B675" s="37"/>
      <c r="C675" s="37"/>
      <c r="D675" s="162"/>
      <c r="E675" s="89"/>
      <c r="F675" s="72"/>
      <c r="G675" s="111"/>
      <c r="H675" s="111"/>
      <c r="I675" s="111"/>
      <c r="J675" s="111"/>
      <c r="K675" s="111"/>
      <c r="L675" s="111"/>
      <c r="M675" s="94"/>
      <c r="N675" s="94"/>
      <c r="O675" s="94"/>
      <c r="P675" s="94"/>
      <c r="Q675" s="94"/>
      <c r="R675" s="94"/>
      <c r="S675" s="94"/>
      <c r="T675" s="94"/>
      <c r="U675" s="94"/>
      <c r="V675" s="94"/>
      <c r="W675" s="94"/>
      <c r="X675" s="94"/>
      <c r="Y675" s="94"/>
      <c r="Z675" s="94"/>
      <c r="AA675" s="94"/>
      <c r="AB675" s="94"/>
      <c r="AC675" s="94"/>
      <c r="AD675" s="94"/>
      <c r="AE675" s="94"/>
    </row>
    <row r="676">
      <c r="A676" s="87"/>
      <c r="B676" s="37"/>
      <c r="C676" s="37"/>
      <c r="D676" s="162"/>
      <c r="E676" s="89"/>
      <c r="F676" s="72"/>
      <c r="G676" s="111"/>
      <c r="H676" s="111"/>
      <c r="I676" s="111"/>
      <c r="J676" s="111"/>
      <c r="K676" s="111"/>
      <c r="L676" s="111"/>
      <c r="M676" s="94"/>
      <c r="N676" s="94"/>
      <c r="O676" s="94"/>
      <c r="P676" s="94"/>
      <c r="Q676" s="94"/>
      <c r="R676" s="94"/>
      <c r="S676" s="94"/>
      <c r="T676" s="94"/>
      <c r="U676" s="94"/>
      <c r="V676" s="94"/>
      <c r="W676" s="94"/>
      <c r="X676" s="94"/>
      <c r="Y676" s="94"/>
      <c r="Z676" s="94"/>
      <c r="AA676" s="94"/>
      <c r="AB676" s="94"/>
      <c r="AC676" s="94"/>
      <c r="AD676" s="94"/>
      <c r="AE676" s="94"/>
    </row>
    <row r="677">
      <c r="A677" s="87"/>
      <c r="B677" s="37"/>
      <c r="C677" s="37"/>
      <c r="D677" s="162"/>
      <c r="E677" s="89"/>
      <c r="F677" s="72"/>
      <c r="G677" s="111"/>
      <c r="H677" s="111"/>
      <c r="I677" s="111"/>
      <c r="J677" s="111"/>
      <c r="K677" s="111"/>
      <c r="L677" s="111"/>
      <c r="M677" s="94"/>
      <c r="N677" s="94"/>
      <c r="O677" s="94"/>
      <c r="P677" s="94"/>
      <c r="Q677" s="94"/>
      <c r="R677" s="94"/>
      <c r="S677" s="94"/>
      <c r="T677" s="94"/>
      <c r="U677" s="94"/>
      <c r="V677" s="94"/>
      <c r="W677" s="94"/>
      <c r="X677" s="94"/>
      <c r="Y677" s="94"/>
      <c r="Z677" s="94"/>
      <c r="AA677" s="94"/>
      <c r="AB677" s="94"/>
      <c r="AC677" s="94"/>
      <c r="AD677" s="94"/>
      <c r="AE677" s="94"/>
    </row>
    <row r="678">
      <c r="A678" s="87"/>
      <c r="B678" s="37"/>
      <c r="C678" s="37"/>
      <c r="D678" s="162"/>
      <c r="E678" s="89"/>
      <c r="F678" s="72"/>
      <c r="G678" s="111"/>
      <c r="H678" s="111"/>
      <c r="I678" s="111"/>
      <c r="J678" s="111"/>
      <c r="K678" s="111"/>
      <c r="L678" s="111"/>
      <c r="M678" s="94"/>
      <c r="N678" s="94"/>
      <c r="O678" s="94"/>
      <c r="P678" s="94"/>
      <c r="Q678" s="94"/>
      <c r="R678" s="94"/>
      <c r="S678" s="94"/>
      <c r="T678" s="94"/>
      <c r="U678" s="94"/>
      <c r="V678" s="94"/>
      <c r="W678" s="94"/>
      <c r="X678" s="94"/>
      <c r="Y678" s="94"/>
      <c r="Z678" s="94"/>
      <c r="AA678" s="94"/>
      <c r="AB678" s="94"/>
      <c r="AC678" s="94"/>
      <c r="AD678" s="94"/>
      <c r="AE678" s="94"/>
    </row>
    <row r="679">
      <c r="A679" s="87"/>
      <c r="B679" s="37"/>
      <c r="C679" s="37"/>
      <c r="D679" s="162"/>
      <c r="E679" s="89"/>
      <c r="F679" s="72"/>
      <c r="G679" s="111"/>
      <c r="H679" s="111"/>
      <c r="I679" s="111"/>
      <c r="J679" s="111"/>
      <c r="K679" s="111"/>
      <c r="L679" s="111"/>
      <c r="M679" s="94"/>
      <c r="N679" s="94"/>
      <c r="O679" s="94"/>
      <c r="P679" s="94"/>
      <c r="Q679" s="94"/>
      <c r="R679" s="94"/>
      <c r="S679" s="94"/>
      <c r="T679" s="94"/>
      <c r="U679" s="94"/>
      <c r="V679" s="94"/>
      <c r="W679" s="94"/>
      <c r="X679" s="94"/>
      <c r="Y679" s="94"/>
      <c r="Z679" s="94"/>
      <c r="AA679" s="94"/>
      <c r="AB679" s="94"/>
      <c r="AC679" s="94"/>
      <c r="AD679" s="94"/>
      <c r="AE679" s="94"/>
    </row>
    <row r="680">
      <c r="A680" s="87"/>
      <c r="B680" s="37"/>
      <c r="C680" s="37"/>
      <c r="D680" s="162"/>
      <c r="E680" s="89"/>
      <c r="F680" s="72"/>
      <c r="G680" s="111"/>
      <c r="H680" s="111"/>
      <c r="I680" s="111"/>
      <c r="J680" s="111"/>
      <c r="K680" s="111"/>
      <c r="L680" s="111"/>
      <c r="M680" s="94"/>
      <c r="N680" s="94"/>
      <c r="O680" s="94"/>
      <c r="P680" s="94"/>
      <c r="Q680" s="94"/>
      <c r="R680" s="94"/>
      <c r="S680" s="94"/>
      <c r="T680" s="94"/>
      <c r="U680" s="94"/>
      <c r="V680" s="94"/>
      <c r="W680" s="94"/>
      <c r="X680" s="94"/>
      <c r="Y680" s="94"/>
      <c r="Z680" s="94"/>
      <c r="AA680" s="94"/>
      <c r="AB680" s="94"/>
      <c r="AC680" s="94"/>
      <c r="AD680" s="94"/>
      <c r="AE680" s="94"/>
    </row>
    <row r="681">
      <c r="A681" s="87"/>
      <c r="B681" s="37"/>
      <c r="C681" s="37"/>
      <c r="D681" s="162"/>
      <c r="E681" s="89"/>
      <c r="F681" s="72"/>
      <c r="G681" s="111"/>
      <c r="H681" s="111"/>
      <c r="I681" s="111"/>
      <c r="J681" s="111"/>
      <c r="K681" s="111"/>
      <c r="L681" s="111"/>
      <c r="M681" s="94"/>
      <c r="N681" s="94"/>
      <c r="O681" s="94"/>
      <c r="P681" s="94"/>
      <c r="Q681" s="94"/>
      <c r="R681" s="94"/>
      <c r="S681" s="94"/>
      <c r="T681" s="94"/>
      <c r="U681" s="94"/>
      <c r="V681" s="94"/>
      <c r="W681" s="94"/>
      <c r="X681" s="94"/>
      <c r="Y681" s="94"/>
      <c r="Z681" s="94"/>
      <c r="AA681" s="94"/>
      <c r="AB681" s="94"/>
      <c r="AC681" s="94"/>
      <c r="AD681" s="94"/>
      <c r="AE681" s="94"/>
    </row>
    <row r="682">
      <c r="A682" s="87"/>
      <c r="B682" s="37"/>
      <c r="C682" s="37"/>
      <c r="D682" s="162"/>
      <c r="E682" s="89"/>
      <c r="F682" s="72"/>
      <c r="G682" s="111"/>
      <c r="H682" s="111"/>
      <c r="I682" s="111"/>
      <c r="J682" s="111"/>
      <c r="K682" s="111"/>
      <c r="L682" s="111"/>
      <c r="M682" s="94"/>
      <c r="N682" s="94"/>
      <c r="O682" s="94"/>
      <c r="P682" s="94"/>
      <c r="Q682" s="94"/>
      <c r="R682" s="94"/>
      <c r="S682" s="94"/>
      <c r="T682" s="94"/>
      <c r="U682" s="94"/>
      <c r="V682" s="94"/>
      <c r="W682" s="94"/>
      <c r="X682" s="94"/>
      <c r="Y682" s="94"/>
      <c r="Z682" s="94"/>
      <c r="AA682" s="94"/>
      <c r="AB682" s="94"/>
      <c r="AC682" s="94"/>
      <c r="AD682" s="94"/>
      <c r="AE682" s="94"/>
    </row>
    <row r="683">
      <c r="A683" s="87"/>
      <c r="B683" s="37"/>
      <c r="C683" s="37"/>
      <c r="D683" s="162"/>
      <c r="E683" s="89"/>
      <c r="F683" s="72"/>
      <c r="G683" s="111"/>
      <c r="H683" s="111"/>
      <c r="I683" s="111"/>
      <c r="J683" s="111"/>
      <c r="K683" s="111"/>
      <c r="L683" s="111"/>
      <c r="M683" s="94"/>
      <c r="N683" s="94"/>
      <c r="O683" s="94"/>
      <c r="P683" s="94"/>
      <c r="Q683" s="94"/>
      <c r="R683" s="94"/>
      <c r="S683" s="94"/>
      <c r="T683" s="94"/>
      <c r="U683" s="94"/>
      <c r="V683" s="94"/>
      <c r="W683" s="94"/>
      <c r="X683" s="94"/>
      <c r="Y683" s="94"/>
      <c r="Z683" s="94"/>
      <c r="AA683" s="94"/>
      <c r="AB683" s="94"/>
      <c r="AC683" s="94"/>
      <c r="AD683" s="94"/>
      <c r="AE683" s="94"/>
    </row>
    <row r="684">
      <c r="A684" s="87"/>
      <c r="B684" s="37"/>
      <c r="C684" s="37"/>
      <c r="D684" s="162"/>
      <c r="E684" s="89"/>
      <c r="F684" s="72"/>
      <c r="G684" s="111"/>
      <c r="H684" s="111"/>
      <c r="I684" s="111"/>
      <c r="J684" s="111"/>
      <c r="K684" s="111"/>
      <c r="L684" s="111"/>
      <c r="M684" s="94"/>
      <c r="N684" s="94"/>
      <c r="O684" s="94"/>
      <c r="P684" s="94"/>
      <c r="Q684" s="94"/>
      <c r="R684" s="94"/>
      <c r="S684" s="94"/>
      <c r="T684" s="94"/>
      <c r="U684" s="94"/>
      <c r="V684" s="94"/>
      <c r="W684" s="94"/>
      <c r="X684" s="94"/>
      <c r="Y684" s="94"/>
      <c r="Z684" s="94"/>
      <c r="AA684" s="94"/>
      <c r="AB684" s="94"/>
      <c r="AC684" s="94"/>
      <c r="AD684" s="94"/>
      <c r="AE684" s="94"/>
    </row>
    <row r="685">
      <c r="A685" s="87"/>
      <c r="B685" s="37"/>
      <c r="C685" s="37"/>
      <c r="D685" s="162"/>
      <c r="E685" s="89"/>
      <c r="F685" s="72"/>
      <c r="G685" s="111"/>
      <c r="H685" s="111"/>
      <c r="I685" s="111"/>
      <c r="J685" s="111"/>
      <c r="K685" s="111"/>
      <c r="L685" s="111"/>
      <c r="M685" s="94"/>
      <c r="N685" s="94"/>
      <c r="O685" s="94"/>
      <c r="P685" s="94"/>
      <c r="Q685" s="94"/>
      <c r="R685" s="94"/>
      <c r="S685" s="94"/>
      <c r="T685" s="94"/>
      <c r="U685" s="94"/>
      <c r="V685" s="94"/>
      <c r="W685" s="94"/>
      <c r="X685" s="94"/>
      <c r="Y685" s="94"/>
      <c r="Z685" s="94"/>
      <c r="AA685" s="94"/>
      <c r="AB685" s="94"/>
      <c r="AC685" s="94"/>
      <c r="AD685" s="94"/>
      <c r="AE685" s="94"/>
    </row>
    <row r="686">
      <c r="A686" s="87"/>
      <c r="B686" s="37"/>
      <c r="C686" s="37"/>
      <c r="D686" s="162"/>
      <c r="E686" s="89"/>
      <c r="F686" s="72"/>
      <c r="G686" s="111"/>
      <c r="H686" s="111"/>
      <c r="I686" s="111"/>
      <c r="J686" s="111"/>
      <c r="K686" s="111"/>
      <c r="L686" s="111"/>
      <c r="M686" s="94"/>
      <c r="N686" s="94"/>
      <c r="O686" s="94"/>
      <c r="P686" s="94"/>
      <c r="Q686" s="94"/>
      <c r="R686" s="94"/>
      <c r="S686" s="94"/>
      <c r="T686" s="94"/>
      <c r="U686" s="94"/>
      <c r="V686" s="94"/>
      <c r="W686" s="94"/>
      <c r="X686" s="94"/>
      <c r="Y686" s="94"/>
      <c r="Z686" s="94"/>
      <c r="AA686" s="94"/>
      <c r="AB686" s="94"/>
      <c r="AC686" s="94"/>
      <c r="AD686" s="94"/>
      <c r="AE686" s="94"/>
    </row>
    <row r="687">
      <c r="A687" s="87"/>
      <c r="B687" s="37"/>
      <c r="C687" s="37"/>
      <c r="D687" s="162"/>
      <c r="E687" s="89"/>
      <c r="F687" s="72"/>
      <c r="G687" s="111"/>
      <c r="H687" s="111"/>
      <c r="I687" s="111"/>
      <c r="J687" s="111"/>
      <c r="K687" s="111"/>
      <c r="L687" s="111"/>
      <c r="M687" s="94"/>
      <c r="N687" s="94"/>
      <c r="O687" s="94"/>
      <c r="P687" s="94"/>
      <c r="Q687" s="94"/>
      <c r="R687" s="94"/>
      <c r="S687" s="94"/>
      <c r="T687" s="94"/>
      <c r="U687" s="94"/>
      <c r="V687" s="94"/>
      <c r="W687" s="94"/>
      <c r="X687" s="94"/>
      <c r="Y687" s="94"/>
      <c r="Z687" s="94"/>
      <c r="AA687" s="94"/>
      <c r="AB687" s="94"/>
      <c r="AC687" s="94"/>
      <c r="AD687" s="94"/>
      <c r="AE687" s="94"/>
    </row>
    <row r="688">
      <c r="A688" s="87"/>
      <c r="B688" s="37"/>
      <c r="C688" s="37"/>
      <c r="D688" s="162"/>
      <c r="E688" s="89"/>
      <c r="F688" s="72"/>
      <c r="G688" s="111"/>
      <c r="H688" s="111"/>
      <c r="I688" s="111"/>
      <c r="J688" s="111"/>
      <c r="K688" s="111"/>
      <c r="L688" s="111"/>
      <c r="M688" s="94"/>
      <c r="N688" s="94"/>
      <c r="O688" s="94"/>
      <c r="P688" s="94"/>
      <c r="Q688" s="94"/>
      <c r="R688" s="94"/>
      <c r="S688" s="94"/>
      <c r="T688" s="94"/>
      <c r="U688" s="94"/>
      <c r="V688" s="94"/>
      <c r="W688" s="94"/>
      <c r="X688" s="94"/>
      <c r="Y688" s="94"/>
      <c r="Z688" s="94"/>
      <c r="AA688" s="94"/>
      <c r="AB688" s="94"/>
      <c r="AC688" s="94"/>
      <c r="AD688" s="94"/>
      <c r="AE688" s="94"/>
    </row>
    <row r="689">
      <c r="A689" s="87"/>
      <c r="B689" s="37"/>
      <c r="C689" s="37"/>
      <c r="D689" s="162"/>
      <c r="E689" s="89"/>
      <c r="F689" s="72"/>
      <c r="G689" s="111"/>
      <c r="H689" s="111"/>
      <c r="I689" s="111"/>
      <c r="J689" s="111"/>
      <c r="K689" s="111"/>
      <c r="L689" s="111"/>
      <c r="M689" s="94"/>
      <c r="N689" s="94"/>
      <c r="O689" s="94"/>
      <c r="P689" s="94"/>
      <c r="Q689" s="94"/>
      <c r="R689" s="94"/>
      <c r="S689" s="94"/>
      <c r="T689" s="94"/>
      <c r="U689" s="94"/>
      <c r="V689" s="94"/>
      <c r="W689" s="94"/>
      <c r="X689" s="94"/>
      <c r="Y689" s="94"/>
      <c r="Z689" s="94"/>
      <c r="AA689" s="94"/>
      <c r="AB689" s="94"/>
      <c r="AC689" s="94"/>
      <c r="AD689" s="94"/>
      <c r="AE689" s="94"/>
    </row>
    <row r="690">
      <c r="A690" s="87"/>
      <c r="B690" s="37"/>
      <c r="C690" s="37"/>
      <c r="D690" s="162"/>
      <c r="E690" s="89"/>
      <c r="F690" s="72"/>
      <c r="G690" s="111"/>
      <c r="H690" s="111"/>
      <c r="I690" s="111"/>
      <c r="J690" s="111"/>
      <c r="K690" s="111"/>
      <c r="L690" s="111"/>
      <c r="M690" s="94"/>
      <c r="N690" s="94"/>
      <c r="O690" s="94"/>
      <c r="P690" s="94"/>
      <c r="Q690" s="94"/>
      <c r="R690" s="94"/>
      <c r="S690" s="94"/>
      <c r="T690" s="94"/>
      <c r="U690" s="94"/>
      <c r="V690" s="94"/>
      <c r="W690" s="94"/>
      <c r="X690" s="94"/>
      <c r="Y690" s="94"/>
      <c r="Z690" s="94"/>
      <c r="AA690" s="94"/>
      <c r="AB690" s="94"/>
      <c r="AC690" s="94"/>
      <c r="AD690" s="94"/>
      <c r="AE690" s="94"/>
    </row>
    <row r="691">
      <c r="A691" s="87"/>
      <c r="B691" s="37"/>
      <c r="C691" s="37"/>
      <c r="D691" s="162"/>
      <c r="E691" s="89"/>
      <c r="F691" s="72"/>
      <c r="G691" s="111"/>
      <c r="H691" s="111"/>
      <c r="I691" s="111"/>
      <c r="J691" s="111"/>
      <c r="K691" s="111"/>
      <c r="L691" s="111"/>
      <c r="M691" s="94"/>
      <c r="N691" s="94"/>
      <c r="O691" s="94"/>
      <c r="P691" s="94"/>
      <c r="Q691" s="94"/>
      <c r="R691" s="94"/>
      <c r="S691" s="94"/>
      <c r="T691" s="94"/>
      <c r="U691" s="94"/>
      <c r="V691" s="94"/>
      <c r="W691" s="94"/>
      <c r="X691" s="94"/>
      <c r="Y691" s="94"/>
      <c r="Z691" s="94"/>
      <c r="AA691" s="94"/>
      <c r="AB691" s="94"/>
      <c r="AC691" s="94"/>
      <c r="AD691" s="94"/>
      <c r="AE691" s="94"/>
    </row>
    <row r="692">
      <c r="A692" s="87"/>
      <c r="B692" s="37"/>
      <c r="C692" s="37"/>
      <c r="D692" s="162"/>
      <c r="E692" s="89"/>
      <c r="F692" s="72"/>
      <c r="G692" s="111"/>
      <c r="H692" s="111"/>
      <c r="I692" s="111"/>
      <c r="J692" s="111"/>
      <c r="K692" s="111"/>
      <c r="L692" s="111"/>
      <c r="M692" s="94"/>
      <c r="N692" s="94"/>
      <c r="O692" s="94"/>
      <c r="P692" s="94"/>
      <c r="Q692" s="94"/>
      <c r="R692" s="94"/>
      <c r="S692" s="94"/>
      <c r="T692" s="94"/>
      <c r="U692" s="94"/>
      <c r="V692" s="94"/>
      <c r="W692" s="94"/>
      <c r="X692" s="94"/>
      <c r="Y692" s="94"/>
      <c r="Z692" s="94"/>
      <c r="AA692" s="94"/>
      <c r="AB692" s="94"/>
      <c r="AC692" s="94"/>
      <c r="AD692" s="94"/>
      <c r="AE692" s="94"/>
    </row>
    <row r="693">
      <c r="A693" s="87"/>
      <c r="B693" s="37"/>
      <c r="C693" s="37"/>
      <c r="D693" s="162"/>
      <c r="E693" s="89"/>
      <c r="F693" s="72"/>
      <c r="G693" s="111"/>
      <c r="H693" s="111"/>
      <c r="I693" s="111"/>
      <c r="J693" s="111"/>
      <c r="K693" s="111"/>
      <c r="L693" s="111"/>
      <c r="M693" s="94"/>
      <c r="N693" s="94"/>
      <c r="O693" s="94"/>
      <c r="P693" s="94"/>
      <c r="Q693" s="94"/>
      <c r="R693" s="94"/>
      <c r="S693" s="94"/>
      <c r="T693" s="94"/>
      <c r="U693" s="94"/>
      <c r="V693" s="94"/>
      <c r="W693" s="94"/>
      <c r="X693" s="94"/>
      <c r="Y693" s="94"/>
      <c r="Z693" s="94"/>
      <c r="AA693" s="94"/>
      <c r="AB693" s="94"/>
      <c r="AC693" s="94"/>
      <c r="AD693" s="94"/>
      <c r="AE693" s="94"/>
    </row>
    <row r="694">
      <c r="A694" s="87"/>
      <c r="B694" s="37"/>
      <c r="C694" s="37"/>
      <c r="D694" s="162"/>
      <c r="E694" s="89"/>
      <c r="F694" s="72"/>
      <c r="G694" s="111"/>
      <c r="H694" s="111"/>
      <c r="I694" s="111"/>
      <c r="J694" s="111"/>
      <c r="K694" s="111"/>
      <c r="L694" s="111"/>
      <c r="M694" s="94"/>
      <c r="N694" s="94"/>
      <c r="O694" s="94"/>
      <c r="P694" s="94"/>
      <c r="Q694" s="94"/>
      <c r="R694" s="94"/>
      <c r="S694" s="94"/>
      <c r="T694" s="94"/>
      <c r="U694" s="94"/>
      <c r="V694" s="94"/>
      <c r="W694" s="94"/>
      <c r="X694" s="94"/>
      <c r="Y694" s="94"/>
      <c r="Z694" s="94"/>
      <c r="AA694" s="94"/>
      <c r="AB694" s="94"/>
      <c r="AC694" s="94"/>
      <c r="AD694" s="94"/>
      <c r="AE694" s="94"/>
    </row>
    <row r="695">
      <c r="A695" s="87"/>
      <c r="B695" s="37"/>
      <c r="C695" s="37"/>
      <c r="D695" s="162"/>
      <c r="E695" s="89"/>
      <c r="F695" s="72"/>
      <c r="G695" s="111"/>
      <c r="H695" s="111"/>
      <c r="I695" s="111"/>
      <c r="J695" s="111"/>
      <c r="K695" s="111"/>
      <c r="L695" s="111"/>
      <c r="M695" s="94"/>
      <c r="N695" s="94"/>
      <c r="O695" s="94"/>
      <c r="P695" s="94"/>
      <c r="Q695" s="94"/>
      <c r="R695" s="94"/>
      <c r="S695" s="94"/>
      <c r="T695" s="94"/>
      <c r="U695" s="94"/>
      <c r="V695" s="94"/>
      <c r="W695" s="94"/>
      <c r="X695" s="94"/>
      <c r="Y695" s="94"/>
      <c r="Z695" s="94"/>
      <c r="AA695" s="94"/>
      <c r="AB695" s="94"/>
      <c r="AC695" s="94"/>
      <c r="AD695" s="94"/>
      <c r="AE695" s="94"/>
    </row>
    <row r="696">
      <c r="A696" s="87"/>
      <c r="B696" s="37"/>
      <c r="C696" s="37"/>
      <c r="D696" s="162"/>
      <c r="E696" s="89"/>
      <c r="F696" s="72"/>
      <c r="G696" s="111"/>
      <c r="H696" s="111"/>
      <c r="I696" s="111"/>
      <c r="J696" s="111"/>
      <c r="K696" s="111"/>
      <c r="L696" s="111"/>
      <c r="M696" s="94"/>
      <c r="N696" s="94"/>
      <c r="O696" s="94"/>
      <c r="P696" s="94"/>
      <c r="Q696" s="94"/>
      <c r="R696" s="94"/>
      <c r="S696" s="94"/>
      <c r="T696" s="94"/>
      <c r="U696" s="94"/>
      <c r="V696" s="94"/>
      <c r="W696" s="94"/>
      <c r="X696" s="94"/>
      <c r="Y696" s="94"/>
      <c r="Z696" s="94"/>
      <c r="AA696" s="94"/>
      <c r="AB696" s="94"/>
      <c r="AC696" s="94"/>
      <c r="AD696" s="94"/>
      <c r="AE696" s="94"/>
    </row>
    <row r="697">
      <c r="A697" s="87"/>
      <c r="B697" s="37"/>
      <c r="C697" s="37"/>
      <c r="D697" s="162"/>
      <c r="E697" s="89"/>
      <c r="F697" s="72"/>
      <c r="G697" s="111"/>
      <c r="H697" s="111"/>
      <c r="I697" s="111"/>
      <c r="J697" s="111"/>
      <c r="K697" s="111"/>
      <c r="L697" s="111"/>
      <c r="M697" s="94"/>
      <c r="N697" s="94"/>
      <c r="O697" s="94"/>
      <c r="P697" s="94"/>
      <c r="Q697" s="94"/>
      <c r="R697" s="94"/>
      <c r="S697" s="94"/>
      <c r="T697" s="94"/>
      <c r="U697" s="94"/>
      <c r="V697" s="94"/>
      <c r="W697" s="94"/>
      <c r="X697" s="94"/>
      <c r="Y697" s="94"/>
      <c r="Z697" s="94"/>
      <c r="AA697" s="94"/>
      <c r="AB697" s="94"/>
      <c r="AC697" s="94"/>
      <c r="AD697" s="94"/>
      <c r="AE697" s="94"/>
    </row>
    <row r="698">
      <c r="A698" s="87"/>
      <c r="B698" s="37"/>
      <c r="C698" s="37"/>
      <c r="D698" s="162"/>
      <c r="E698" s="89"/>
      <c r="F698" s="72"/>
      <c r="G698" s="111"/>
      <c r="H698" s="111"/>
      <c r="I698" s="111"/>
      <c r="J698" s="111"/>
      <c r="K698" s="111"/>
      <c r="L698" s="111"/>
      <c r="M698" s="94"/>
      <c r="N698" s="94"/>
      <c r="O698" s="94"/>
      <c r="P698" s="94"/>
      <c r="Q698" s="94"/>
      <c r="R698" s="94"/>
      <c r="S698" s="94"/>
      <c r="T698" s="94"/>
      <c r="U698" s="94"/>
      <c r="V698" s="94"/>
      <c r="W698" s="94"/>
      <c r="X698" s="94"/>
      <c r="Y698" s="94"/>
      <c r="Z698" s="94"/>
      <c r="AA698" s="94"/>
      <c r="AB698" s="94"/>
      <c r="AC698" s="94"/>
      <c r="AD698" s="94"/>
      <c r="AE698" s="94"/>
    </row>
    <row r="699">
      <c r="A699" s="87"/>
      <c r="B699" s="37"/>
      <c r="C699" s="37"/>
      <c r="D699" s="162"/>
      <c r="E699" s="89"/>
      <c r="F699" s="72"/>
      <c r="G699" s="111"/>
      <c r="H699" s="111"/>
      <c r="I699" s="111"/>
      <c r="J699" s="111"/>
      <c r="K699" s="111"/>
      <c r="L699" s="111"/>
      <c r="M699" s="94"/>
      <c r="N699" s="94"/>
      <c r="O699" s="94"/>
      <c r="P699" s="94"/>
      <c r="Q699" s="94"/>
      <c r="R699" s="94"/>
      <c r="S699" s="94"/>
      <c r="T699" s="94"/>
      <c r="U699" s="94"/>
      <c r="V699" s="94"/>
      <c r="W699" s="94"/>
      <c r="X699" s="94"/>
      <c r="Y699" s="94"/>
      <c r="Z699" s="94"/>
      <c r="AA699" s="94"/>
      <c r="AB699" s="94"/>
      <c r="AC699" s="94"/>
      <c r="AD699" s="94"/>
      <c r="AE699" s="94"/>
    </row>
    <row r="700">
      <c r="A700" s="87"/>
      <c r="B700" s="37"/>
      <c r="C700" s="37"/>
      <c r="D700" s="162"/>
      <c r="E700" s="89"/>
      <c r="F700" s="72"/>
      <c r="G700" s="111"/>
      <c r="H700" s="111"/>
      <c r="I700" s="111"/>
      <c r="J700" s="111"/>
      <c r="K700" s="111"/>
      <c r="L700" s="111"/>
      <c r="M700" s="94"/>
      <c r="N700" s="94"/>
      <c r="O700" s="94"/>
      <c r="P700" s="94"/>
      <c r="Q700" s="94"/>
      <c r="R700" s="94"/>
      <c r="S700" s="94"/>
      <c r="T700" s="94"/>
      <c r="U700" s="94"/>
      <c r="V700" s="94"/>
      <c r="W700" s="94"/>
      <c r="X700" s="94"/>
      <c r="Y700" s="94"/>
      <c r="Z700" s="94"/>
      <c r="AA700" s="94"/>
      <c r="AB700" s="94"/>
      <c r="AC700" s="94"/>
      <c r="AD700" s="94"/>
      <c r="AE700" s="94"/>
    </row>
    <row r="701">
      <c r="A701" s="87"/>
      <c r="B701" s="37"/>
      <c r="C701" s="37"/>
      <c r="D701" s="162"/>
      <c r="E701" s="89"/>
      <c r="F701" s="72"/>
      <c r="G701" s="111"/>
      <c r="H701" s="111"/>
      <c r="I701" s="111"/>
      <c r="J701" s="111"/>
      <c r="K701" s="111"/>
      <c r="L701" s="111"/>
      <c r="M701" s="94"/>
      <c r="N701" s="94"/>
      <c r="O701" s="94"/>
      <c r="P701" s="94"/>
      <c r="Q701" s="94"/>
      <c r="R701" s="94"/>
      <c r="S701" s="94"/>
      <c r="T701" s="94"/>
      <c r="U701" s="94"/>
      <c r="V701" s="94"/>
      <c r="W701" s="94"/>
      <c r="X701" s="94"/>
      <c r="Y701" s="94"/>
      <c r="Z701" s="94"/>
      <c r="AA701" s="94"/>
      <c r="AB701" s="94"/>
      <c r="AC701" s="94"/>
      <c r="AD701" s="94"/>
      <c r="AE701" s="94"/>
    </row>
    <row r="702">
      <c r="A702" s="87"/>
      <c r="B702" s="37"/>
      <c r="C702" s="37"/>
      <c r="D702" s="162"/>
      <c r="E702" s="89"/>
      <c r="F702" s="72"/>
      <c r="G702" s="111"/>
      <c r="H702" s="111"/>
      <c r="I702" s="111"/>
      <c r="J702" s="111"/>
      <c r="K702" s="111"/>
      <c r="L702" s="111"/>
      <c r="M702" s="94"/>
      <c r="N702" s="94"/>
      <c r="O702" s="94"/>
      <c r="P702" s="94"/>
      <c r="Q702" s="94"/>
      <c r="R702" s="94"/>
      <c r="S702" s="94"/>
      <c r="T702" s="94"/>
      <c r="U702" s="94"/>
      <c r="V702" s="94"/>
      <c r="W702" s="94"/>
      <c r="X702" s="94"/>
      <c r="Y702" s="94"/>
      <c r="Z702" s="94"/>
      <c r="AA702" s="94"/>
      <c r="AB702" s="94"/>
      <c r="AC702" s="94"/>
      <c r="AD702" s="94"/>
      <c r="AE702" s="94"/>
    </row>
    <row r="703">
      <c r="A703" s="87"/>
      <c r="B703" s="37"/>
      <c r="C703" s="37"/>
      <c r="D703" s="162"/>
      <c r="E703" s="89"/>
      <c r="F703" s="72"/>
      <c r="G703" s="111"/>
      <c r="H703" s="111"/>
      <c r="I703" s="111"/>
      <c r="J703" s="111"/>
      <c r="K703" s="111"/>
      <c r="L703" s="111"/>
      <c r="M703" s="94"/>
      <c r="N703" s="94"/>
      <c r="O703" s="94"/>
      <c r="P703" s="94"/>
      <c r="Q703" s="94"/>
      <c r="R703" s="94"/>
      <c r="S703" s="94"/>
      <c r="T703" s="94"/>
      <c r="U703" s="94"/>
      <c r="V703" s="94"/>
      <c r="W703" s="94"/>
      <c r="X703" s="94"/>
      <c r="Y703" s="94"/>
      <c r="Z703" s="94"/>
      <c r="AA703" s="94"/>
      <c r="AB703" s="94"/>
      <c r="AC703" s="94"/>
      <c r="AD703" s="94"/>
      <c r="AE703" s="94"/>
    </row>
    <row r="704">
      <c r="A704" s="87"/>
      <c r="B704" s="37"/>
      <c r="C704" s="37"/>
      <c r="D704" s="162"/>
      <c r="E704" s="89"/>
      <c r="F704" s="72"/>
      <c r="G704" s="111"/>
      <c r="H704" s="111"/>
      <c r="I704" s="111"/>
      <c r="J704" s="111"/>
      <c r="K704" s="111"/>
      <c r="L704" s="111"/>
      <c r="M704" s="94"/>
      <c r="N704" s="94"/>
      <c r="O704" s="94"/>
      <c r="P704" s="94"/>
      <c r="Q704" s="94"/>
      <c r="R704" s="94"/>
      <c r="S704" s="94"/>
      <c r="T704" s="94"/>
      <c r="U704" s="94"/>
      <c r="V704" s="94"/>
      <c r="W704" s="94"/>
      <c r="X704" s="94"/>
      <c r="Y704" s="94"/>
      <c r="Z704" s="94"/>
      <c r="AA704" s="94"/>
      <c r="AB704" s="94"/>
      <c r="AC704" s="94"/>
      <c r="AD704" s="94"/>
      <c r="AE704" s="94"/>
    </row>
    <row r="705">
      <c r="A705" s="87"/>
      <c r="B705" s="37"/>
      <c r="C705" s="37"/>
      <c r="D705" s="162"/>
      <c r="E705" s="89"/>
      <c r="F705" s="72"/>
      <c r="G705" s="111"/>
      <c r="H705" s="111"/>
      <c r="I705" s="111"/>
      <c r="J705" s="111"/>
      <c r="K705" s="111"/>
      <c r="L705" s="111"/>
      <c r="M705" s="94"/>
      <c r="N705" s="94"/>
      <c r="O705" s="94"/>
      <c r="P705" s="94"/>
      <c r="Q705" s="94"/>
      <c r="R705" s="94"/>
      <c r="S705" s="94"/>
      <c r="T705" s="94"/>
      <c r="U705" s="94"/>
      <c r="V705" s="94"/>
      <c r="W705" s="94"/>
      <c r="X705" s="94"/>
      <c r="Y705" s="94"/>
      <c r="Z705" s="94"/>
      <c r="AA705" s="94"/>
      <c r="AB705" s="94"/>
      <c r="AC705" s="94"/>
      <c r="AD705" s="94"/>
      <c r="AE705" s="94"/>
    </row>
    <row r="706">
      <c r="A706" s="87"/>
      <c r="B706" s="37"/>
      <c r="C706" s="37"/>
      <c r="D706" s="162"/>
      <c r="E706" s="89"/>
      <c r="F706" s="72"/>
      <c r="G706" s="111"/>
      <c r="H706" s="111"/>
      <c r="I706" s="111"/>
      <c r="J706" s="111"/>
      <c r="K706" s="111"/>
      <c r="L706" s="111"/>
      <c r="M706" s="94"/>
      <c r="N706" s="94"/>
      <c r="O706" s="94"/>
      <c r="P706" s="94"/>
      <c r="Q706" s="94"/>
      <c r="R706" s="94"/>
      <c r="S706" s="94"/>
      <c r="T706" s="94"/>
      <c r="U706" s="94"/>
      <c r="V706" s="94"/>
      <c r="W706" s="94"/>
      <c r="X706" s="94"/>
      <c r="Y706" s="94"/>
      <c r="Z706" s="94"/>
      <c r="AA706" s="94"/>
      <c r="AB706" s="94"/>
      <c r="AC706" s="94"/>
      <c r="AD706" s="94"/>
      <c r="AE706" s="94"/>
    </row>
    <row r="707">
      <c r="A707" s="87"/>
      <c r="B707" s="37"/>
      <c r="C707" s="37"/>
      <c r="D707" s="162"/>
      <c r="E707" s="89"/>
      <c r="F707" s="72"/>
      <c r="G707" s="111"/>
      <c r="H707" s="111"/>
      <c r="I707" s="111"/>
      <c r="J707" s="111"/>
      <c r="K707" s="111"/>
      <c r="L707" s="111"/>
      <c r="M707" s="94"/>
      <c r="N707" s="94"/>
      <c r="O707" s="94"/>
      <c r="P707" s="94"/>
      <c r="Q707" s="94"/>
      <c r="R707" s="94"/>
      <c r="S707" s="94"/>
      <c r="T707" s="94"/>
      <c r="U707" s="94"/>
      <c r="V707" s="94"/>
      <c r="W707" s="94"/>
      <c r="X707" s="94"/>
      <c r="Y707" s="94"/>
      <c r="Z707" s="94"/>
      <c r="AA707" s="94"/>
      <c r="AB707" s="94"/>
      <c r="AC707" s="94"/>
      <c r="AD707" s="94"/>
      <c r="AE707" s="94"/>
    </row>
    <row r="708">
      <c r="A708" s="87"/>
      <c r="B708" s="37"/>
      <c r="C708" s="37"/>
      <c r="D708" s="162"/>
      <c r="E708" s="89"/>
      <c r="F708" s="72"/>
      <c r="G708" s="111"/>
      <c r="H708" s="111"/>
      <c r="I708" s="111"/>
      <c r="J708" s="111"/>
      <c r="K708" s="111"/>
      <c r="L708" s="111"/>
      <c r="M708" s="94"/>
      <c r="N708" s="94"/>
      <c r="O708" s="94"/>
      <c r="P708" s="94"/>
      <c r="Q708" s="94"/>
      <c r="R708" s="94"/>
      <c r="S708" s="94"/>
      <c r="T708" s="94"/>
      <c r="U708" s="94"/>
      <c r="V708" s="94"/>
      <c r="W708" s="94"/>
      <c r="X708" s="94"/>
      <c r="Y708" s="94"/>
      <c r="Z708" s="94"/>
      <c r="AA708" s="94"/>
      <c r="AB708" s="94"/>
      <c r="AC708" s="94"/>
      <c r="AD708" s="94"/>
      <c r="AE708" s="94"/>
    </row>
    <row r="709">
      <c r="A709" s="87"/>
      <c r="B709" s="37"/>
      <c r="C709" s="37"/>
      <c r="D709" s="162"/>
      <c r="E709" s="89"/>
      <c r="F709" s="72"/>
      <c r="G709" s="111"/>
      <c r="H709" s="111"/>
      <c r="I709" s="111"/>
      <c r="J709" s="111"/>
      <c r="K709" s="111"/>
      <c r="L709" s="111"/>
      <c r="M709" s="94"/>
      <c r="N709" s="94"/>
      <c r="O709" s="94"/>
      <c r="P709" s="94"/>
      <c r="Q709" s="94"/>
      <c r="R709" s="94"/>
      <c r="S709" s="94"/>
      <c r="T709" s="94"/>
      <c r="U709" s="94"/>
      <c r="V709" s="94"/>
      <c r="W709" s="94"/>
      <c r="X709" s="94"/>
      <c r="Y709" s="94"/>
      <c r="Z709" s="94"/>
      <c r="AA709" s="94"/>
      <c r="AB709" s="94"/>
      <c r="AC709" s="94"/>
      <c r="AD709" s="94"/>
      <c r="AE709" s="94"/>
    </row>
    <row r="710">
      <c r="A710" s="87"/>
      <c r="B710" s="37"/>
      <c r="C710" s="37"/>
      <c r="D710" s="162"/>
      <c r="E710" s="89"/>
      <c r="F710" s="72"/>
      <c r="G710" s="111"/>
      <c r="H710" s="111"/>
      <c r="I710" s="111"/>
      <c r="J710" s="111"/>
      <c r="K710" s="111"/>
      <c r="L710" s="111"/>
      <c r="M710" s="94"/>
      <c r="N710" s="94"/>
      <c r="O710" s="94"/>
      <c r="P710" s="94"/>
      <c r="Q710" s="94"/>
      <c r="R710" s="94"/>
      <c r="S710" s="94"/>
      <c r="T710" s="94"/>
      <c r="U710" s="94"/>
      <c r="V710" s="94"/>
      <c r="W710" s="94"/>
      <c r="X710" s="94"/>
      <c r="Y710" s="94"/>
      <c r="Z710" s="94"/>
      <c r="AA710" s="94"/>
      <c r="AB710" s="94"/>
      <c r="AC710" s="94"/>
      <c r="AD710" s="94"/>
      <c r="AE710" s="94"/>
    </row>
    <row r="711">
      <c r="A711" s="87"/>
      <c r="B711" s="37"/>
      <c r="C711" s="37"/>
      <c r="D711" s="162"/>
      <c r="E711" s="89"/>
      <c r="F711" s="72"/>
      <c r="G711" s="111"/>
      <c r="H711" s="111"/>
      <c r="I711" s="111"/>
      <c r="J711" s="111"/>
      <c r="K711" s="111"/>
      <c r="L711" s="111"/>
      <c r="M711" s="94"/>
      <c r="N711" s="94"/>
      <c r="O711" s="94"/>
      <c r="P711" s="94"/>
      <c r="Q711" s="94"/>
      <c r="R711" s="94"/>
      <c r="S711" s="94"/>
      <c r="T711" s="94"/>
      <c r="U711" s="94"/>
      <c r="V711" s="94"/>
      <c r="W711" s="94"/>
      <c r="X711" s="94"/>
      <c r="Y711" s="94"/>
      <c r="Z711" s="94"/>
      <c r="AA711" s="94"/>
      <c r="AB711" s="94"/>
      <c r="AC711" s="94"/>
      <c r="AD711" s="94"/>
      <c r="AE711" s="94"/>
    </row>
    <row r="712">
      <c r="A712" s="87"/>
      <c r="B712" s="37"/>
      <c r="C712" s="37"/>
      <c r="D712" s="162"/>
      <c r="E712" s="89"/>
      <c r="F712" s="72"/>
      <c r="G712" s="111"/>
      <c r="H712" s="111"/>
      <c r="I712" s="111"/>
      <c r="J712" s="111"/>
      <c r="K712" s="111"/>
      <c r="L712" s="111"/>
      <c r="M712" s="94"/>
      <c r="N712" s="94"/>
      <c r="O712" s="94"/>
      <c r="P712" s="94"/>
      <c r="Q712" s="94"/>
      <c r="R712" s="94"/>
      <c r="S712" s="94"/>
      <c r="T712" s="94"/>
      <c r="U712" s="94"/>
      <c r="V712" s="94"/>
      <c r="W712" s="94"/>
      <c r="X712" s="94"/>
      <c r="Y712" s="94"/>
      <c r="Z712" s="94"/>
      <c r="AA712" s="94"/>
      <c r="AB712" s="94"/>
      <c r="AC712" s="94"/>
      <c r="AD712" s="94"/>
      <c r="AE712" s="94"/>
    </row>
    <row r="713">
      <c r="A713" s="87"/>
      <c r="B713" s="37"/>
      <c r="C713" s="37"/>
      <c r="D713" s="162"/>
      <c r="E713" s="89"/>
      <c r="F713" s="72"/>
      <c r="G713" s="111"/>
      <c r="H713" s="111"/>
      <c r="I713" s="111"/>
      <c r="J713" s="111"/>
      <c r="K713" s="111"/>
      <c r="L713" s="111"/>
      <c r="M713" s="94"/>
      <c r="N713" s="94"/>
      <c r="O713" s="94"/>
      <c r="P713" s="94"/>
      <c r="Q713" s="94"/>
      <c r="R713" s="94"/>
      <c r="S713" s="94"/>
      <c r="T713" s="94"/>
      <c r="U713" s="94"/>
      <c r="V713" s="94"/>
      <c r="W713" s="94"/>
      <c r="X713" s="94"/>
      <c r="Y713" s="94"/>
      <c r="Z713" s="94"/>
      <c r="AA713" s="94"/>
      <c r="AB713" s="94"/>
      <c r="AC713" s="94"/>
      <c r="AD713" s="94"/>
      <c r="AE713" s="94"/>
    </row>
    <row r="714">
      <c r="A714" s="87"/>
      <c r="B714" s="37"/>
      <c r="C714" s="37"/>
      <c r="D714" s="162"/>
      <c r="E714" s="89"/>
      <c r="F714" s="72"/>
      <c r="G714" s="111"/>
      <c r="H714" s="111"/>
      <c r="I714" s="111"/>
      <c r="J714" s="111"/>
      <c r="K714" s="111"/>
      <c r="L714" s="111"/>
      <c r="M714" s="94"/>
      <c r="N714" s="94"/>
      <c r="O714" s="94"/>
      <c r="P714" s="94"/>
      <c r="Q714" s="94"/>
      <c r="R714" s="94"/>
      <c r="S714" s="94"/>
      <c r="T714" s="94"/>
      <c r="U714" s="94"/>
      <c r="V714" s="94"/>
      <c r="W714" s="94"/>
      <c r="X714" s="94"/>
      <c r="Y714" s="94"/>
      <c r="Z714" s="94"/>
      <c r="AA714" s="94"/>
      <c r="AB714" s="94"/>
      <c r="AC714" s="94"/>
      <c r="AD714" s="94"/>
      <c r="AE714" s="94"/>
    </row>
    <row r="715">
      <c r="A715" s="87"/>
      <c r="B715" s="37"/>
      <c r="C715" s="37"/>
      <c r="D715" s="162"/>
      <c r="E715" s="89"/>
      <c r="F715" s="72"/>
      <c r="G715" s="111"/>
      <c r="H715" s="111"/>
      <c r="I715" s="111"/>
      <c r="J715" s="111"/>
      <c r="K715" s="111"/>
      <c r="L715" s="111"/>
      <c r="M715" s="94"/>
      <c r="N715" s="94"/>
      <c r="O715" s="94"/>
      <c r="P715" s="94"/>
      <c r="Q715" s="94"/>
      <c r="R715" s="94"/>
      <c r="S715" s="94"/>
      <c r="T715" s="94"/>
      <c r="U715" s="94"/>
      <c r="V715" s="94"/>
      <c r="W715" s="94"/>
      <c r="X715" s="94"/>
      <c r="Y715" s="94"/>
      <c r="Z715" s="94"/>
      <c r="AA715" s="94"/>
      <c r="AB715" s="94"/>
      <c r="AC715" s="94"/>
      <c r="AD715" s="94"/>
      <c r="AE715" s="94"/>
    </row>
    <row r="716">
      <c r="A716" s="87"/>
      <c r="B716" s="37"/>
      <c r="C716" s="37"/>
      <c r="D716" s="162"/>
      <c r="E716" s="89"/>
      <c r="F716" s="72"/>
      <c r="G716" s="111"/>
      <c r="H716" s="111"/>
      <c r="I716" s="111"/>
      <c r="J716" s="111"/>
      <c r="K716" s="111"/>
      <c r="L716" s="111"/>
      <c r="M716" s="94"/>
      <c r="N716" s="94"/>
      <c r="O716" s="94"/>
      <c r="P716" s="94"/>
      <c r="Q716" s="94"/>
      <c r="R716" s="94"/>
      <c r="S716" s="94"/>
      <c r="T716" s="94"/>
      <c r="U716" s="94"/>
      <c r="V716" s="94"/>
      <c r="W716" s="94"/>
      <c r="X716" s="94"/>
      <c r="Y716" s="94"/>
      <c r="Z716" s="94"/>
      <c r="AA716" s="94"/>
      <c r="AB716" s="94"/>
      <c r="AC716" s="94"/>
      <c r="AD716" s="94"/>
      <c r="AE716" s="94"/>
    </row>
    <row r="717">
      <c r="A717" s="87"/>
      <c r="B717" s="37"/>
      <c r="C717" s="37"/>
      <c r="D717" s="162"/>
      <c r="E717" s="89"/>
      <c r="F717" s="72"/>
      <c r="G717" s="111"/>
      <c r="H717" s="111"/>
      <c r="I717" s="111"/>
      <c r="J717" s="111"/>
      <c r="K717" s="111"/>
      <c r="L717" s="111"/>
      <c r="M717" s="94"/>
      <c r="N717" s="94"/>
      <c r="O717" s="94"/>
      <c r="P717" s="94"/>
      <c r="Q717" s="94"/>
      <c r="R717" s="94"/>
      <c r="S717" s="94"/>
      <c r="T717" s="94"/>
      <c r="U717" s="94"/>
      <c r="V717" s="94"/>
      <c r="W717" s="94"/>
      <c r="X717" s="94"/>
      <c r="Y717" s="94"/>
      <c r="Z717" s="94"/>
      <c r="AA717" s="94"/>
      <c r="AB717" s="94"/>
      <c r="AC717" s="94"/>
      <c r="AD717" s="94"/>
      <c r="AE717" s="94"/>
    </row>
    <row r="718">
      <c r="A718" s="87"/>
      <c r="B718" s="37"/>
      <c r="C718" s="37"/>
      <c r="D718" s="162"/>
      <c r="E718" s="89"/>
      <c r="F718" s="72"/>
      <c r="G718" s="111"/>
      <c r="H718" s="111"/>
      <c r="I718" s="111"/>
      <c r="J718" s="111"/>
      <c r="K718" s="111"/>
      <c r="L718" s="111"/>
      <c r="M718" s="94"/>
      <c r="N718" s="94"/>
      <c r="O718" s="94"/>
      <c r="P718" s="94"/>
      <c r="Q718" s="94"/>
      <c r="R718" s="94"/>
      <c r="S718" s="94"/>
      <c r="T718" s="94"/>
      <c r="U718" s="94"/>
      <c r="V718" s="94"/>
      <c r="W718" s="94"/>
      <c r="X718" s="94"/>
      <c r="Y718" s="94"/>
      <c r="Z718" s="94"/>
      <c r="AA718" s="94"/>
      <c r="AB718" s="94"/>
      <c r="AC718" s="94"/>
      <c r="AD718" s="94"/>
      <c r="AE718" s="94"/>
    </row>
    <row r="719">
      <c r="A719" s="87"/>
      <c r="B719" s="37"/>
      <c r="C719" s="37"/>
      <c r="D719" s="162"/>
      <c r="E719" s="89"/>
      <c r="F719" s="72"/>
      <c r="G719" s="111"/>
      <c r="H719" s="111"/>
      <c r="I719" s="111"/>
      <c r="J719" s="111"/>
      <c r="K719" s="111"/>
      <c r="L719" s="111"/>
      <c r="M719" s="94"/>
      <c r="N719" s="94"/>
      <c r="O719" s="94"/>
      <c r="P719" s="94"/>
      <c r="Q719" s="94"/>
      <c r="R719" s="94"/>
      <c r="S719" s="94"/>
      <c r="T719" s="94"/>
      <c r="U719" s="94"/>
      <c r="V719" s="94"/>
      <c r="W719" s="94"/>
      <c r="X719" s="94"/>
      <c r="Y719" s="94"/>
      <c r="Z719" s="94"/>
      <c r="AA719" s="94"/>
      <c r="AB719" s="94"/>
      <c r="AC719" s="94"/>
      <c r="AD719" s="94"/>
      <c r="AE719" s="94"/>
    </row>
    <row r="720">
      <c r="A720" s="87"/>
      <c r="B720" s="37"/>
      <c r="C720" s="37"/>
      <c r="D720" s="162"/>
      <c r="E720" s="89"/>
      <c r="F720" s="72"/>
      <c r="G720" s="111"/>
      <c r="H720" s="111"/>
      <c r="I720" s="111"/>
      <c r="J720" s="111"/>
      <c r="K720" s="111"/>
      <c r="L720" s="111"/>
      <c r="M720" s="94"/>
      <c r="N720" s="94"/>
      <c r="O720" s="94"/>
      <c r="P720" s="94"/>
      <c r="Q720" s="94"/>
      <c r="R720" s="94"/>
      <c r="S720" s="94"/>
      <c r="T720" s="94"/>
      <c r="U720" s="94"/>
      <c r="V720" s="94"/>
      <c r="W720" s="94"/>
      <c r="X720" s="94"/>
      <c r="Y720" s="94"/>
      <c r="Z720" s="94"/>
      <c r="AA720" s="94"/>
      <c r="AB720" s="94"/>
      <c r="AC720" s="94"/>
      <c r="AD720" s="94"/>
      <c r="AE720" s="94"/>
    </row>
    <row r="721">
      <c r="A721" s="87"/>
      <c r="B721" s="37"/>
      <c r="C721" s="37"/>
      <c r="D721" s="162"/>
      <c r="E721" s="89"/>
      <c r="F721" s="72"/>
      <c r="G721" s="111"/>
      <c r="H721" s="111"/>
      <c r="I721" s="111"/>
      <c r="J721" s="111"/>
      <c r="K721" s="111"/>
      <c r="L721" s="111"/>
      <c r="M721" s="94"/>
      <c r="N721" s="94"/>
      <c r="O721" s="94"/>
      <c r="P721" s="94"/>
      <c r="Q721" s="94"/>
      <c r="R721" s="94"/>
      <c r="S721" s="94"/>
      <c r="T721" s="94"/>
      <c r="U721" s="94"/>
      <c r="V721" s="94"/>
      <c r="W721" s="94"/>
      <c r="X721" s="94"/>
      <c r="Y721" s="94"/>
      <c r="Z721" s="94"/>
      <c r="AA721" s="94"/>
      <c r="AB721" s="94"/>
      <c r="AC721" s="94"/>
      <c r="AD721" s="94"/>
      <c r="AE721" s="94"/>
    </row>
    <row r="722">
      <c r="A722" s="87"/>
      <c r="B722" s="37"/>
      <c r="C722" s="37"/>
      <c r="D722" s="162"/>
      <c r="E722" s="89"/>
      <c r="F722" s="72"/>
      <c r="G722" s="111"/>
      <c r="H722" s="111"/>
      <c r="I722" s="111"/>
      <c r="J722" s="111"/>
      <c r="K722" s="111"/>
      <c r="L722" s="111"/>
      <c r="M722" s="94"/>
      <c r="N722" s="94"/>
      <c r="O722" s="94"/>
      <c r="P722" s="94"/>
      <c r="Q722" s="94"/>
      <c r="R722" s="94"/>
      <c r="S722" s="94"/>
      <c r="T722" s="94"/>
      <c r="U722" s="94"/>
      <c r="V722" s="94"/>
      <c r="W722" s="94"/>
      <c r="X722" s="94"/>
      <c r="Y722" s="94"/>
      <c r="Z722" s="94"/>
      <c r="AA722" s="94"/>
      <c r="AB722" s="94"/>
      <c r="AC722" s="94"/>
      <c r="AD722" s="94"/>
      <c r="AE722" s="94"/>
    </row>
    <row r="723">
      <c r="A723" s="87"/>
      <c r="B723" s="37"/>
      <c r="C723" s="37"/>
      <c r="D723" s="162"/>
      <c r="E723" s="89"/>
      <c r="F723" s="72"/>
      <c r="G723" s="111"/>
      <c r="H723" s="111"/>
      <c r="I723" s="111"/>
      <c r="J723" s="111"/>
      <c r="K723" s="111"/>
      <c r="L723" s="111"/>
      <c r="M723" s="94"/>
      <c r="N723" s="94"/>
      <c r="O723" s="94"/>
      <c r="P723" s="94"/>
      <c r="Q723" s="94"/>
      <c r="R723" s="94"/>
      <c r="S723" s="94"/>
      <c r="T723" s="94"/>
      <c r="U723" s="94"/>
      <c r="V723" s="94"/>
      <c r="W723" s="94"/>
      <c r="X723" s="94"/>
      <c r="Y723" s="94"/>
      <c r="Z723" s="94"/>
      <c r="AA723" s="94"/>
      <c r="AB723" s="94"/>
      <c r="AC723" s="94"/>
      <c r="AD723" s="94"/>
      <c r="AE723" s="94"/>
    </row>
    <row r="724">
      <c r="A724" s="87"/>
      <c r="B724" s="37"/>
      <c r="C724" s="37"/>
      <c r="D724" s="162"/>
      <c r="E724" s="89"/>
      <c r="F724" s="72"/>
      <c r="G724" s="111"/>
      <c r="H724" s="111"/>
      <c r="I724" s="111"/>
      <c r="J724" s="111"/>
      <c r="K724" s="111"/>
      <c r="L724" s="111"/>
      <c r="M724" s="94"/>
      <c r="N724" s="94"/>
      <c r="O724" s="94"/>
      <c r="P724" s="94"/>
      <c r="Q724" s="94"/>
      <c r="R724" s="94"/>
      <c r="S724" s="94"/>
      <c r="T724" s="94"/>
      <c r="U724" s="94"/>
      <c r="V724" s="94"/>
      <c r="W724" s="94"/>
      <c r="X724" s="94"/>
      <c r="Y724" s="94"/>
      <c r="Z724" s="94"/>
      <c r="AA724" s="94"/>
      <c r="AB724" s="94"/>
      <c r="AC724" s="94"/>
      <c r="AD724" s="94"/>
      <c r="AE724" s="94"/>
    </row>
    <row r="725">
      <c r="A725" s="87"/>
      <c r="B725" s="37"/>
      <c r="C725" s="37"/>
      <c r="D725" s="162"/>
      <c r="E725" s="89"/>
      <c r="F725" s="72"/>
      <c r="G725" s="111"/>
      <c r="H725" s="111"/>
      <c r="I725" s="111"/>
      <c r="J725" s="111"/>
      <c r="K725" s="111"/>
      <c r="L725" s="111"/>
      <c r="M725" s="94"/>
      <c r="N725" s="94"/>
      <c r="O725" s="94"/>
      <c r="P725" s="94"/>
      <c r="Q725" s="94"/>
      <c r="R725" s="94"/>
      <c r="S725" s="94"/>
      <c r="T725" s="94"/>
      <c r="U725" s="94"/>
      <c r="V725" s="94"/>
      <c r="W725" s="94"/>
      <c r="X725" s="94"/>
      <c r="Y725" s="94"/>
      <c r="Z725" s="94"/>
      <c r="AA725" s="94"/>
      <c r="AB725" s="94"/>
      <c r="AC725" s="94"/>
      <c r="AD725" s="94"/>
      <c r="AE725" s="94"/>
    </row>
    <row r="726">
      <c r="A726" s="87"/>
      <c r="B726" s="37"/>
      <c r="C726" s="37"/>
      <c r="D726" s="162"/>
      <c r="E726" s="89"/>
      <c r="F726" s="72"/>
      <c r="G726" s="111"/>
      <c r="H726" s="111"/>
      <c r="I726" s="111"/>
      <c r="J726" s="111"/>
      <c r="K726" s="111"/>
      <c r="L726" s="111"/>
      <c r="M726" s="94"/>
      <c r="N726" s="94"/>
      <c r="O726" s="94"/>
      <c r="P726" s="94"/>
      <c r="Q726" s="94"/>
      <c r="R726" s="94"/>
      <c r="S726" s="94"/>
      <c r="T726" s="94"/>
      <c r="U726" s="94"/>
      <c r="V726" s="94"/>
      <c r="W726" s="94"/>
      <c r="X726" s="94"/>
      <c r="Y726" s="94"/>
      <c r="Z726" s="94"/>
      <c r="AA726" s="94"/>
      <c r="AB726" s="94"/>
      <c r="AC726" s="94"/>
      <c r="AD726" s="94"/>
      <c r="AE726" s="94"/>
    </row>
    <row r="727">
      <c r="A727" s="87"/>
      <c r="B727" s="37"/>
      <c r="C727" s="37"/>
      <c r="D727" s="162"/>
      <c r="E727" s="89"/>
      <c r="F727" s="72"/>
      <c r="G727" s="111"/>
      <c r="H727" s="111"/>
      <c r="I727" s="111"/>
      <c r="J727" s="111"/>
      <c r="K727" s="111"/>
      <c r="L727" s="111"/>
      <c r="M727" s="94"/>
      <c r="N727" s="94"/>
      <c r="O727" s="94"/>
      <c r="P727" s="94"/>
      <c r="Q727" s="94"/>
      <c r="R727" s="94"/>
      <c r="S727" s="94"/>
      <c r="T727" s="94"/>
      <c r="U727" s="94"/>
      <c r="V727" s="94"/>
      <c r="W727" s="94"/>
      <c r="X727" s="94"/>
      <c r="Y727" s="94"/>
      <c r="Z727" s="94"/>
      <c r="AA727" s="94"/>
      <c r="AB727" s="94"/>
      <c r="AC727" s="94"/>
      <c r="AD727" s="94"/>
      <c r="AE727" s="94"/>
    </row>
    <row r="728">
      <c r="A728" s="87"/>
      <c r="B728" s="37"/>
      <c r="C728" s="37"/>
      <c r="D728" s="162"/>
      <c r="E728" s="89"/>
      <c r="F728" s="72"/>
      <c r="G728" s="111"/>
      <c r="H728" s="111"/>
      <c r="I728" s="111"/>
      <c r="J728" s="111"/>
      <c r="K728" s="111"/>
      <c r="L728" s="111"/>
      <c r="M728" s="94"/>
      <c r="N728" s="94"/>
      <c r="O728" s="94"/>
      <c r="P728" s="94"/>
      <c r="Q728" s="94"/>
      <c r="R728" s="94"/>
      <c r="S728" s="94"/>
      <c r="T728" s="94"/>
      <c r="U728" s="94"/>
      <c r="V728" s="94"/>
      <c r="W728" s="94"/>
      <c r="X728" s="94"/>
      <c r="Y728" s="94"/>
      <c r="Z728" s="94"/>
      <c r="AA728" s="94"/>
      <c r="AB728" s="94"/>
      <c r="AC728" s="94"/>
      <c r="AD728" s="94"/>
      <c r="AE728" s="94"/>
    </row>
    <row r="729">
      <c r="A729" s="87"/>
      <c r="B729" s="37"/>
      <c r="C729" s="37"/>
      <c r="D729" s="162"/>
      <c r="E729" s="89"/>
      <c r="F729" s="72"/>
      <c r="G729" s="111"/>
      <c r="H729" s="111"/>
      <c r="I729" s="111"/>
      <c r="J729" s="111"/>
      <c r="K729" s="111"/>
      <c r="L729" s="111"/>
      <c r="M729" s="94"/>
      <c r="N729" s="94"/>
      <c r="O729" s="94"/>
      <c r="P729" s="94"/>
      <c r="Q729" s="94"/>
      <c r="R729" s="94"/>
      <c r="S729" s="94"/>
      <c r="T729" s="94"/>
      <c r="U729" s="94"/>
      <c r="V729" s="94"/>
      <c r="W729" s="94"/>
      <c r="X729" s="94"/>
      <c r="Y729" s="94"/>
      <c r="Z729" s="94"/>
      <c r="AA729" s="94"/>
      <c r="AB729" s="94"/>
      <c r="AC729" s="94"/>
      <c r="AD729" s="94"/>
      <c r="AE729" s="94"/>
    </row>
    <row r="730">
      <c r="A730" s="87"/>
      <c r="B730" s="37"/>
      <c r="C730" s="37"/>
      <c r="D730" s="162"/>
      <c r="E730" s="89"/>
      <c r="F730" s="72"/>
      <c r="G730" s="111"/>
      <c r="H730" s="111"/>
      <c r="I730" s="111"/>
      <c r="J730" s="111"/>
      <c r="K730" s="111"/>
      <c r="L730" s="111"/>
      <c r="M730" s="94"/>
      <c r="N730" s="94"/>
      <c r="O730" s="94"/>
      <c r="P730" s="94"/>
      <c r="Q730" s="94"/>
      <c r="R730" s="94"/>
      <c r="S730" s="94"/>
      <c r="T730" s="94"/>
      <c r="U730" s="94"/>
      <c r="V730" s="94"/>
      <c r="W730" s="94"/>
      <c r="X730" s="94"/>
      <c r="Y730" s="94"/>
      <c r="Z730" s="94"/>
      <c r="AA730" s="94"/>
      <c r="AB730" s="94"/>
      <c r="AC730" s="94"/>
      <c r="AD730" s="94"/>
      <c r="AE730" s="94"/>
    </row>
    <row r="731">
      <c r="A731" s="87"/>
      <c r="B731" s="37"/>
      <c r="C731" s="37"/>
      <c r="D731" s="162"/>
      <c r="E731" s="89"/>
      <c r="F731" s="72"/>
      <c r="G731" s="111"/>
      <c r="H731" s="111"/>
      <c r="I731" s="111"/>
      <c r="J731" s="111"/>
      <c r="K731" s="111"/>
      <c r="L731" s="111"/>
      <c r="M731" s="94"/>
      <c r="N731" s="94"/>
      <c r="O731" s="94"/>
      <c r="P731" s="94"/>
      <c r="Q731" s="94"/>
      <c r="R731" s="94"/>
      <c r="S731" s="94"/>
      <c r="T731" s="94"/>
      <c r="U731" s="94"/>
      <c r="V731" s="94"/>
      <c r="W731" s="94"/>
      <c r="X731" s="94"/>
      <c r="Y731" s="94"/>
      <c r="Z731" s="94"/>
      <c r="AA731" s="94"/>
      <c r="AB731" s="94"/>
      <c r="AC731" s="94"/>
      <c r="AD731" s="94"/>
      <c r="AE731" s="94"/>
    </row>
    <row r="732">
      <c r="A732" s="87"/>
      <c r="B732" s="37"/>
      <c r="C732" s="37"/>
      <c r="D732" s="162"/>
      <c r="E732" s="89"/>
      <c r="F732" s="72"/>
      <c r="G732" s="111"/>
      <c r="H732" s="111"/>
      <c r="I732" s="111"/>
      <c r="J732" s="111"/>
      <c r="K732" s="111"/>
      <c r="L732" s="111"/>
      <c r="M732" s="94"/>
      <c r="N732" s="94"/>
      <c r="O732" s="94"/>
      <c r="P732" s="94"/>
      <c r="Q732" s="94"/>
      <c r="R732" s="94"/>
      <c r="S732" s="94"/>
      <c r="T732" s="94"/>
      <c r="U732" s="94"/>
      <c r="V732" s="94"/>
      <c r="W732" s="94"/>
      <c r="X732" s="94"/>
      <c r="Y732" s="94"/>
      <c r="Z732" s="94"/>
      <c r="AA732" s="94"/>
      <c r="AB732" s="94"/>
      <c r="AC732" s="94"/>
      <c r="AD732" s="94"/>
      <c r="AE732" s="94"/>
    </row>
    <row r="733">
      <c r="A733" s="87"/>
      <c r="B733" s="37"/>
      <c r="C733" s="37"/>
      <c r="D733" s="162"/>
      <c r="E733" s="89"/>
      <c r="F733" s="72"/>
      <c r="G733" s="111"/>
      <c r="H733" s="111"/>
      <c r="I733" s="111"/>
      <c r="J733" s="111"/>
      <c r="K733" s="111"/>
      <c r="L733" s="111"/>
      <c r="M733" s="94"/>
      <c r="N733" s="94"/>
      <c r="O733" s="94"/>
      <c r="P733" s="94"/>
      <c r="Q733" s="94"/>
      <c r="R733" s="94"/>
      <c r="S733" s="94"/>
      <c r="T733" s="94"/>
      <c r="U733" s="94"/>
      <c r="V733" s="94"/>
      <c r="W733" s="94"/>
      <c r="X733" s="94"/>
      <c r="Y733" s="94"/>
      <c r="Z733" s="94"/>
      <c r="AA733" s="94"/>
      <c r="AB733" s="94"/>
      <c r="AC733" s="94"/>
      <c r="AD733" s="94"/>
      <c r="AE733" s="94"/>
    </row>
    <row r="734">
      <c r="A734" s="87"/>
      <c r="B734" s="37"/>
      <c r="C734" s="37"/>
      <c r="D734" s="162"/>
      <c r="E734" s="89"/>
      <c r="F734" s="72"/>
      <c r="G734" s="111"/>
      <c r="H734" s="111"/>
      <c r="I734" s="111"/>
      <c r="J734" s="111"/>
      <c r="K734" s="111"/>
      <c r="L734" s="111"/>
      <c r="M734" s="94"/>
      <c r="N734" s="94"/>
      <c r="O734" s="94"/>
      <c r="P734" s="94"/>
      <c r="Q734" s="94"/>
      <c r="R734" s="94"/>
      <c r="S734" s="94"/>
      <c r="T734" s="94"/>
      <c r="U734" s="94"/>
      <c r="V734" s="94"/>
      <c r="W734" s="94"/>
      <c r="X734" s="94"/>
      <c r="Y734" s="94"/>
      <c r="Z734" s="94"/>
      <c r="AA734" s="94"/>
      <c r="AB734" s="94"/>
      <c r="AC734" s="94"/>
      <c r="AD734" s="94"/>
      <c r="AE734" s="94"/>
    </row>
    <row r="735">
      <c r="A735" s="87"/>
      <c r="B735" s="37"/>
      <c r="C735" s="37"/>
      <c r="D735" s="162"/>
      <c r="E735" s="89"/>
      <c r="F735" s="72"/>
      <c r="G735" s="111"/>
      <c r="H735" s="111"/>
      <c r="I735" s="111"/>
      <c r="J735" s="111"/>
      <c r="K735" s="111"/>
      <c r="L735" s="111"/>
      <c r="M735" s="94"/>
      <c r="N735" s="94"/>
      <c r="O735" s="94"/>
      <c r="P735" s="94"/>
      <c r="Q735" s="94"/>
      <c r="R735" s="94"/>
      <c r="S735" s="94"/>
      <c r="T735" s="94"/>
      <c r="U735" s="94"/>
      <c r="V735" s="94"/>
      <c r="W735" s="94"/>
      <c r="X735" s="94"/>
      <c r="Y735" s="94"/>
      <c r="Z735" s="94"/>
      <c r="AA735" s="94"/>
      <c r="AB735" s="94"/>
      <c r="AC735" s="94"/>
      <c r="AD735" s="94"/>
      <c r="AE735" s="94"/>
    </row>
    <row r="736">
      <c r="A736" s="87"/>
      <c r="B736" s="37"/>
      <c r="C736" s="37"/>
      <c r="D736" s="162"/>
      <c r="E736" s="89"/>
      <c r="F736" s="72"/>
      <c r="G736" s="111"/>
      <c r="H736" s="111"/>
      <c r="I736" s="111"/>
      <c r="J736" s="111"/>
      <c r="K736" s="111"/>
      <c r="L736" s="111"/>
      <c r="M736" s="94"/>
      <c r="N736" s="94"/>
      <c r="O736" s="94"/>
      <c r="P736" s="94"/>
      <c r="Q736" s="94"/>
      <c r="R736" s="94"/>
      <c r="S736" s="94"/>
      <c r="T736" s="94"/>
      <c r="U736" s="94"/>
      <c r="V736" s="94"/>
      <c r="W736" s="94"/>
      <c r="X736" s="94"/>
      <c r="Y736" s="94"/>
      <c r="Z736" s="94"/>
      <c r="AA736" s="94"/>
      <c r="AB736" s="94"/>
      <c r="AC736" s="94"/>
      <c r="AD736" s="94"/>
      <c r="AE736" s="94"/>
    </row>
    <row r="737">
      <c r="A737" s="87"/>
      <c r="B737" s="37"/>
      <c r="C737" s="37"/>
      <c r="D737" s="162"/>
      <c r="E737" s="89"/>
      <c r="F737" s="72"/>
      <c r="G737" s="111"/>
      <c r="H737" s="111"/>
      <c r="I737" s="111"/>
      <c r="J737" s="111"/>
      <c r="K737" s="111"/>
      <c r="L737" s="111"/>
      <c r="M737" s="94"/>
      <c r="N737" s="94"/>
      <c r="O737" s="94"/>
      <c r="P737" s="94"/>
      <c r="Q737" s="94"/>
      <c r="R737" s="94"/>
      <c r="S737" s="94"/>
      <c r="T737" s="94"/>
      <c r="U737" s="94"/>
      <c r="V737" s="94"/>
      <c r="W737" s="94"/>
      <c r="X737" s="94"/>
      <c r="Y737" s="94"/>
      <c r="Z737" s="94"/>
      <c r="AA737" s="94"/>
      <c r="AB737" s="94"/>
      <c r="AC737" s="94"/>
      <c r="AD737" s="94"/>
      <c r="AE737" s="94"/>
    </row>
    <row r="738">
      <c r="A738" s="87"/>
      <c r="B738" s="37"/>
      <c r="C738" s="37"/>
      <c r="D738" s="162"/>
      <c r="E738" s="89"/>
      <c r="F738" s="72"/>
      <c r="G738" s="111"/>
      <c r="H738" s="111"/>
      <c r="I738" s="111"/>
      <c r="J738" s="111"/>
      <c r="K738" s="111"/>
      <c r="L738" s="111"/>
      <c r="M738" s="94"/>
      <c r="N738" s="94"/>
      <c r="O738" s="94"/>
      <c r="P738" s="94"/>
      <c r="Q738" s="94"/>
      <c r="R738" s="94"/>
      <c r="S738" s="94"/>
      <c r="T738" s="94"/>
      <c r="U738" s="94"/>
      <c r="V738" s="94"/>
      <c r="W738" s="94"/>
      <c r="X738" s="94"/>
      <c r="Y738" s="94"/>
      <c r="Z738" s="94"/>
      <c r="AA738" s="94"/>
      <c r="AB738" s="94"/>
      <c r="AC738" s="94"/>
      <c r="AD738" s="94"/>
      <c r="AE738" s="94"/>
    </row>
    <row r="739">
      <c r="A739" s="87"/>
      <c r="B739" s="37"/>
      <c r="C739" s="37"/>
      <c r="D739" s="162"/>
      <c r="E739" s="89"/>
      <c r="F739" s="72"/>
      <c r="G739" s="111"/>
      <c r="H739" s="111"/>
      <c r="I739" s="111"/>
      <c r="J739" s="111"/>
      <c r="K739" s="111"/>
      <c r="L739" s="111"/>
      <c r="M739" s="94"/>
      <c r="N739" s="94"/>
      <c r="O739" s="94"/>
      <c r="P739" s="94"/>
      <c r="Q739" s="94"/>
      <c r="R739" s="94"/>
      <c r="S739" s="94"/>
      <c r="T739" s="94"/>
      <c r="U739" s="94"/>
      <c r="V739" s="94"/>
      <c r="W739" s="94"/>
      <c r="X739" s="94"/>
      <c r="Y739" s="94"/>
      <c r="Z739" s="94"/>
      <c r="AA739" s="94"/>
      <c r="AB739" s="94"/>
      <c r="AC739" s="94"/>
      <c r="AD739" s="94"/>
      <c r="AE739" s="94"/>
    </row>
    <row r="740">
      <c r="A740" s="87"/>
      <c r="B740" s="37"/>
      <c r="C740" s="37"/>
      <c r="D740" s="162"/>
      <c r="E740" s="89"/>
      <c r="F740" s="72"/>
      <c r="G740" s="111"/>
      <c r="H740" s="111"/>
      <c r="I740" s="111"/>
      <c r="J740" s="111"/>
      <c r="K740" s="111"/>
      <c r="L740" s="111"/>
      <c r="M740" s="94"/>
      <c r="N740" s="94"/>
      <c r="O740" s="94"/>
      <c r="P740" s="94"/>
      <c r="Q740" s="94"/>
      <c r="R740" s="94"/>
      <c r="S740" s="94"/>
      <c r="T740" s="94"/>
      <c r="U740" s="94"/>
      <c r="V740" s="94"/>
      <c r="W740" s="94"/>
      <c r="X740" s="94"/>
      <c r="Y740" s="94"/>
      <c r="Z740" s="94"/>
      <c r="AA740" s="94"/>
      <c r="AB740" s="94"/>
      <c r="AC740" s="94"/>
      <c r="AD740" s="94"/>
      <c r="AE740" s="94"/>
    </row>
    <row r="741">
      <c r="A741" s="87"/>
      <c r="B741" s="37"/>
      <c r="C741" s="37"/>
      <c r="D741" s="162"/>
      <c r="E741" s="89"/>
      <c r="F741" s="72"/>
      <c r="G741" s="111"/>
      <c r="H741" s="111"/>
      <c r="I741" s="111"/>
      <c r="J741" s="111"/>
      <c r="K741" s="111"/>
      <c r="L741" s="111"/>
      <c r="M741" s="94"/>
      <c r="N741" s="94"/>
      <c r="O741" s="94"/>
      <c r="P741" s="94"/>
      <c r="Q741" s="94"/>
      <c r="R741" s="94"/>
      <c r="S741" s="94"/>
      <c r="T741" s="94"/>
      <c r="U741" s="94"/>
      <c r="V741" s="94"/>
      <c r="W741" s="94"/>
      <c r="X741" s="94"/>
      <c r="Y741" s="94"/>
      <c r="Z741" s="94"/>
      <c r="AA741" s="94"/>
      <c r="AB741" s="94"/>
      <c r="AC741" s="94"/>
      <c r="AD741" s="94"/>
      <c r="AE741" s="94"/>
    </row>
    <row r="742">
      <c r="A742" s="87"/>
      <c r="B742" s="37"/>
      <c r="C742" s="37"/>
      <c r="D742" s="162"/>
      <c r="E742" s="89"/>
      <c r="F742" s="72"/>
      <c r="G742" s="111"/>
      <c r="H742" s="111"/>
      <c r="I742" s="111"/>
      <c r="J742" s="111"/>
      <c r="K742" s="111"/>
      <c r="L742" s="111"/>
      <c r="M742" s="94"/>
      <c r="N742" s="94"/>
      <c r="O742" s="94"/>
      <c r="P742" s="94"/>
      <c r="Q742" s="94"/>
      <c r="R742" s="94"/>
      <c r="S742" s="94"/>
      <c r="T742" s="94"/>
      <c r="U742" s="94"/>
      <c r="V742" s="94"/>
      <c r="W742" s="94"/>
      <c r="X742" s="94"/>
      <c r="Y742" s="94"/>
      <c r="Z742" s="94"/>
      <c r="AA742" s="94"/>
      <c r="AB742" s="94"/>
      <c r="AC742" s="94"/>
      <c r="AD742" s="94"/>
      <c r="AE742" s="94"/>
    </row>
    <row r="743">
      <c r="A743" s="87"/>
      <c r="B743" s="37"/>
      <c r="C743" s="37"/>
      <c r="D743" s="162"/>
      <c r="E743" s="89"/>
      <c r="F743" s="72"/>
      <c r="G743" s="111"/>
      <c r="H743" s="111"/>
      <c r="I743" s="111"/>
      <c r="J743" s="111"/>
      <c r="K743" s="111"/>
      <c r="L743" s="111"/>
      <c r="M743" s="94"/>
      <c r="N743" s="94"/>
      <c r="O743" s="94"/>
      <c r="P743" s="94"/>
      <c r="Q743" s="94"/>
      <c r="R743" s="94"/>
      <c r="S743" s="94"/>
      <c r="T743" s="94"/>
      <c r="U743" s="94"/>
      <c r="V743" s="94"/>
      <c r="W743" s="94"/>
      <c r="X743" s="94"/>
      <c r="Y743" s="94"/>
      <c r="Z743" s="94"/>
      <c r="AA743" s="94"/>
      <c r="AB743" s="94"/>
      <c r="AC743" s="94"/>
      <c r="AD743" s="94"/>
      <c r="AE743" s="94"/>
    </row>
    <row r="744">
      <c r="A744" s="87"/>
      <c r="B744" s="37"/>
      <c r="C744" s="37"/>
      <c r="D744" s="162"/>
      <c r="E744" s="89"/>
      <c r="F744" s="72"/>
      <c r="G744" s="111"/>
      <c r="H744" s="111"/>
      <c r="I744" s="111"/>
      <c r="J744" s="111"/>
      <c r="K744" s="111"/>
      <c r="L744" s="111"/>
      <c r="M744" s="94"/>
      <c r="N744" s="94"/>
      <c r="O744" s="94"/>
      <c r="P744" s="94"/>
      <c r="Q744" s="94"/>
      <c r="R744" s="94"/>
      <c r="S744" s="94"/>
      <c r="T744" s="94"/>
      <c r="U744" s="94"/>
      <c r="V744" s="94"/>
      <c r="W744" s="94"/>
      <c r="X744" s="94"/>
      <c r="Y744" s="94"/>
      <c r="Z744" s="94"/>
      <c r="AA744" s="94"/>
      <c r="AB744" s="94"/>
      <c r="AC744" s="94"/>
      <c r="AD744" s="94"/>
      <c r="AE744" s="94"/>
    </row>
    <row r="745">
      <c r="A745" s="87"/>
      <c r="B745" s="37"/>
      <c r="C745" s="37"/>
      <c r="D745" s="162"/>
      <c r="E745" s="89"/>
      <c r="F745" s="72"/>
      <c r="G745" s="111"/>
      <c r="H745" s="111"/>
      <c r="I745" s="111"/>
      <c r="J745" s="111"/>
      <c r="K745" s="111"/>
      <c r="L745" s="111"/>
      <c r="M745" s="94"/>
      <c r="N745" s="94"/>
      <c r="O745" s="94"/>
      <c r="P745" s="94"/>
      <c r="Q745" s="94"/>
      <c r="R745" s="94"/>
      <c r="S745" s="94"/>
      <c r="T745" s="94"/>
      <c r="U745" s="94"/>
      <c r="V745" s="94"/>
      <c r="W745" s="94"/>
      <c r="X745" s="94"/>
      <c r="Y745" s="94"/>
      <c r="Z745" s="94"/>
      <c r="AA745" s="94"/>
      <c r="AB745" s="94"/>
      <c r="AC745" s="94"/>
      <c r="AD745" s="94"/>
      <c r="AE745" s="94"/>
    </row>
    <row r="746">
      <c r="A746" s="87"/>
      <c r="B746" s="37"/>
      <c r="C746" s="37"/>
      <c r="D746" s="162"/>
      <c r="E746" s="89"/>
      <c r="F746" s="72"/>
      <c r="G746" s="111"/>
      <c r="H746" s="111"/>
      <c r="I746" s="111"/>
      <c r="J746" s="111"/>
      <c r="K746" s="111"/>
      <c r="L746" s="111"/>
      <c r="M746" s="94"/>
      <c r="N746" s="94"/>
      <c r="O746" s="94"/>
      <c r="P746" s="94"/>
      <c r="Q746" s="94"/>
      <c r="R746" s="94"/>
      <c r="S746" s="94"/>
      <c r="T746" s="94"/>
      <c r="U746" s="94"/>
      <c r="V746" s="94"/>
      <c r="W746" s="94"/>
      <c r="X746" s="94"/>
      <c r="Y746" s="94"/>
      <c r="Z746" s="94"/>
      <c r="AA746" s="94"/>
      <c r="AB746" s="94"/>
      <c r="AC746" s="94"/>
      <c r="AD746" s="94"/>
      <c r="AE746" s="94"/>
    </row>
    <row r="747">
      <c r="A747" s="87"/>
      <c r="B747" s="37"/>
      <c r="C747" s="37"/>
      <c r="D747" s="162"/>
      <c r="E747" s="89"/>
      <c r="F747" s="72"/>
      <c r="G747" s="111"/>
      <c r="H747" s="111"/>
      <c r="I747" s="111"/>
      <c r="J747" s="111"/>
      <c r="K747" s="111"/>
      <c r="L747" s="111"/>
      <c r="M747" s="94"/>
      <c r="N747" s="94"/>
      <c r="O747" s="94"/>
      <c r="P747" s="94"/>
      <c r="Q747" s="94"/>
      <c r="R747" s="94"/>
      <c r="S747" s="94"/>
      <c r="T747" s="94"/>
      <c r="U747" s="94"/>
      <c r="V747" s="94"/>
      <c r="W747" s="94"/>
      <c r="X747" s="94"/>
      <c r="Y747" s="94"/>
      <c r="Z747" s="94"/>
      <c r="AA747" s="94"/>
      <c r="AB747" s="94"/>
      <c r="AC747" s="94"/>
      <c r="AD747" s="94"/>
      <c r="AE747" s="94"/>
    </row>
    <row r="748">
      <c r="A748" s="87"/>
      <c r="B748" s="37"/>
      <c r="C748" s="37"/>
      <c r="D748" s="162"/>
      <c r="E748" s="89"/>
      <c r="F748" s="72"/>
      <c r="G748" s="111"/>
      <c r="H748" s="111"/>
      <c r="I748" s="111"/>
      <c r="J748" s="111"/>
      <c r="K748" s="111"/>
      <c r="L748" s="111"/>
      <c r="M748" s="94"/>
      <c r="N748" s="94"/>
      <c r="O748" s="94"/>
      <c r="P748" s="94"/>
      <c r="Q748" s="94"/>
      <c r="R748" s="94"/>
      <c r="S748" s="94"/>
      <c r="T748" s="94"/>
      <c r="U748" s="94"/>
      <c r="V748" s="94"/>
      <c r="W748" s="94"/>
      <c r="X748" s="94"/>
      <c r="Y748" s="94"/>
      <c r="Z748" s="94"/>
      <c r="AA748" s="94"/>
      <c r="AB748" s="94"/>
      <c r="AC748" s="94"/>
      <c r="AD748" s="94"/>
      <c r="AE748" s="94"/>
    </row>
    <row r="749">
      <c r="A749" s="87"/>
      <c r="B749" s="37"/>
      <c r="C749" s="37"/>
      <c r="D749" s="162"/>
      <c r="E749" s="89"/>
      <c r="F749" s="72"/>
      <c r="G749" s="111"/>
      <c r="H749" s="111"/>
      <c r="I749" s="111"/>
      <c r="J749" s="111"/>
      <c r="K749" s="111"/>
      <c r="L749" s="111"/>
      <c r="M749" s="94"/>
      <c r="N749" s="94"/>
      <c r="O749" s="94"/>
      <c r="P749" s="94"/>
      <c r="Q749" s="94"/>
      <c r="R749" s="94"/>
      <c r="S749" s="94"/>
      <c r="T749" s="94"/>
      <c r="U749" s="94"/>
      <c r="V749" s="94"/>
      <c r="W749" s="94"/>
      <c r="X749" s="94"/>
      <c r="Y749" s="94"/>
      <c r="Z749" s="94"/>
      <c r="AA749" s="94"/>
      <c r="AB749" s="94"/>
      <c r="AC749" s="94"/>
      <c r="AD749" s="94"/>
      <c r="AE749" s="94"/>
    </row>
    <row r="750">
      <c r="A750" s="87"/>
      <c r="B750" s="37"/>
      <c r="C750" s="37"/>
      <c r="D750" s="162"/>
      <c r="E750" s="89"/>
      <c r="F750" s="72"/>
      <c r="G750" s="111"/>
      <c r="H750" s="111"/>
      <c r="I750" s="111"/>
      <c r="J750" s="111"/>
      <c r="K750" s="111"/>
      <c r="L750" s="111"/>
      <c r="M750" s="94"/>
      <c r="N750" s="94"/>
      <c r="O750" s="94"/>
      <c r="P750" s="94"/>
      <c r="Q750" s="94"/>
      <c r="R750" s="94"/>
      <c r="S750" s="94"/>
      <c r="T750" s="94"/>
      <c r="U750" s="94"/>
      <c r="V750" s="94"/>
      <c r="W750" s="94"/>
      <c r="X750" s="94"/>
      <c r="Y750" s="94"/>
      <c r="Z750" s="94"/>
      <c r="AA750" s="94"/>
      <c r="AB750" s="94"/>
      <c r="AC750" s="94"/>
      <c r="AD750" s="94"/>
      <c r="AE750" s="94"/>
    </row>
    <row r="751">
      <c r="A751" s="87"/>
      <c r="B751" s="37"/>
      <c r="C751" s="37"/>
      <c r="D751" s="162"/>
      <c r="E751" s="89"/>
      <c r="F751" s="72"/>
      <c r="G751" s="111"/>
      <c r="H751" s="111"/>
      <c r="I751" s="111"/>
      <c r="J751" s="111"/>
      <c r="K751" s="111"/>
      <c r="L751" s="111"/>
      <c r="M751" s="94"/>
      <c r="N751" s="94"/>
      <c r="O751" s="94"/>
      <c r="P751" s="94"/>
      <c r="Q751" s="94"/>
      <c r="R751" s="94"/>
      <c r="S751" s="94"/>
      <c r="T751" s="94"/>
      <c r="U751" s="94"/>
      <c r="V751" s="94"/>
      <c r="W751" s="94"/>
      <c r="X751" s="94"/>
      <c r="Y751" s="94"/>
      <c r="Z751" s="94"/>
      <c r="AA751" s="94"/>
      <c r="AB751" s="94"/>
      <c r="AC751" s="94"/>
      <c r="AD751" s="94"/>
      <c r="AE751" s="94"/>
    </row>
    <row r="752">
      <c r="A752" s="87"/>
      <c r="B752" s="37"/>
      <c r="C752" s="37"/>
      <c r="D752" s="162"/>
      <c r="E752" s="89"/>
      <c r="F752" s="72"/>
      <c r="G752" s="111"/>
      <c r="H752" s="111"/>
      <c r="I752" s="111"/>
      <c r="J752" s="111"/>
      <c r="K752" s="111"/>
      <c r="L752" s="111"/>
      <c r="M752" s="94"/>
      <c r="N752" s="94"/>
      <c r="O752" s="94"/>
      <c r="P752" s="94"/>
      <c r="Q752" s="94"/>
      <c r="R752" s="94"/>
      <c r="S752" s="94"/>
      <c r="T752" s="94"/>
      <c r="U752" s="94"/>
      <c r="V752" s="94"/>
      <c r="W752" s="94"/>
      <c r="X752" s="94"/>
      <c r="Y752" s="94"/>
      <c r="Z752" s="94"/>
      <c r="AA752" s="94"/>
      <c r="AB752" s="94"/>
      <c r="AC752" s="94"/>
      <c r="AD752" s="94"/>
      <c r="AE752" s="94"/>
    </row>
    <row r="753">
      <c r="A753" s="87"/>
      <c r="B753" s="37"/>
      <c r="C753" s="37"/>
      <c r="D753" s="162"/>
      <c r="E753" s="89"/>
      <c r="F753" s="72"/>
      <c r="G753" s="111"/>
      <c r="H753" s="111"/>
      <c r="I753" s="111"/>
      <c r="J753" s="111"/>
      <c r="K753" s="111"/>
      <c r="L753" s="111"/>
      <c r="M753" s="94"/>
      <c r="N753" s="94"/>
      <c r="O753" s="94"/>
      <c r="P753" s="94"/>
      <c r="Q753" s="94"/>
      <c r="R753" s="94"/>
      <c r="S753" s="94"/>
      <c r="T753" s="94"/>
      <c r="U753" s="94"/>
      <c r="V753" s="94"/>
      <c r="W753" s="94"/>
      <c r="X753" s="94"/>
      <c r="Y753" s="94"/>
      <c r="Z753" s="94"/>
      <c r="AA753" s="94"/>
      <c r="AB753" s="94"/>
      <c r="AC753" s="94"/>
      <c r="AD753" s="94"/>
      <c r="AE753" s="94"/>
    </row>
    <row r="754">
      <c r="A754" s="87"/>
      <c r="B754" s="37"/>
      <c r="C754" s="37"/>
      <c r="D754" s="162"/>
      <c r="E754" s="89"/>
      <c r="F754" s="72"/>
      <c r="G754" s="111"/>
      <c r="H754" s="111"/>
      <c r="I754" s="111"/>
      <c r="J754" s="111"/>
      <c r="K754" s="111"/>
      <c r="L754" s="111"/>
      <c r="M754" s="94"/>
      <c r="N754" s="94"/>
      <c r="O754" s="94"/>
      <c r="P754" s="94"/>
      <c r="Q754" s="94"/>
      <c r="R754" s="94"/>
      <c r="S754" s="94"/>
      <c r="T754" s="94"/>
      <c r="U754" s="94"/>
      <c r="V754" s="94"/>
      <c r="W754" s="94"/>
      <c r="X754" s="94"/>
      <c r="Y754" s="94"/>
      <c r="Z754" s="94"/>
      <c r="AA754" s="94"/>
      <c r="AB754" s="94"/>
      <c r="AC754" s="94"/>
      <c r="AD754" s="94"/>
      <c r="AE754" s="94"/>
    </row>
    <row r="755">
      <c r="A755" s="87"/>
      <c r="B755" s="37"/>
      <c r="C755" s="37"/>
      <c r="D755" s="162"/>
      <c r="E755" s="89"/>
      <c r="F755" s="72"/>
      <c r="G755" s="111"/>
      <c r="H755" s="111"/>
      <c r="I755" s="111"/>
      <c r="J755" s="111"/>
      <c r="K755" s="111"/>
      <c r="L755" s="111"/>
      <c r="M755" s="94"/>
      <c r="N755" s="94"/>
      <c r="O755" s="94"/>
      <c r="P755" s="94"/>
      <c r="Q755" s="94"/>
      <c r="R755" s="94"/>
      <c r="S755" s="94"/>
      <c r="T755" s="94"/>
      <c r="U755" s="94"/>
      <c r="V755" s="94"/>
      <c r="W755" s="94"/>
      <c r="X755" s="94"/>
      <c r="Y755" s="94"/>
      <c r="Z755" s="94"/>
      <c r="AA755" s="94"/>
      <c r="AB755" s="94"/>
      <c r="AC755" s="94"/>
      <c r="AD755" s="94"/>
      <c r="AE755" s="94"/>
    </row>
    <row r="756">
      <c r="A756" s="87"/>
      <c r="B756" s="37"/>
      <c r="C756" s="37"/>
      <c r="D756" s="162"/>
      <c r="E756" s="89"/>
      <c r="F756" s="72"/>
      <c r="G756" s="111"/>
      <c r="H756" s="111"/>
      <c r="I756" s="111"/>
      <c r="J756" s="111"/>
      <c r="K756" s="111"/>
      <c r="L756" s="111"/>
      <c r="M756" s="94"/>
      <c r="N756" s="94"/>
      <c r="O756" s="94"/>
      <c r="P756" s="94"/>
      <c r="Q756" s="94"/>
      <c r="R756" s="94"/>
      <c r="S756" s="94"/>
      <c r="T756" s="94"/>
      <c r="U756" s="94"/>
      <c r="V756" s="94"/>
      <c r="W756" s="94"/>
      <c r="X756" s="94"/>
      <c r="Y756" s="94"/>
      <c r="Z756" s="94"/>
      <c r="AA756" s="94"/>
      <c r="AB756" s="94"/>
      <c r="AC756" s="94"/>
      <c r="AD756" s="94"/>
      <c r="AE756" s="94"/>
    </row>
    <row r="757">
      <c r="A757" s="87"/>
      <c r="B757" s="37"/>
      <c r="C757" s="37"/>
      <c r="D757" s="162"/>
      <c r="E757" s="89"/>
      <c r="F757" s="72"/>
      <c r="G757" s="111"/>
      <c r="H757" s="111"/>
      <c r="I757" s="111"/>
      <c r="J757" s="111"/>
      <c r="K757" s="111"/>
      <c r="L757" s="111"/>
      <c r="M757" s="94"/>
      <c r="N757" s="94"/>
      <c r="O757" s="94"/>
      <c r="P757" s="94"/>
      <c r="Q757" s="94"/>
      <c r="R757" s="94"/>
      <c r="S757" s="94"/>
      <c r="T757" s="94"/>
      <c r="U757" s="94"/>
      <c r="V757" s="94"/>
      <c r="W757" s="94"/>
      <c r="X757" s="94"/>
      <c r="Y757" s="94"/>
      <c r="Z757" s="94"/>
      <c r="AA757" s="94"/>
      <c r="AB757" s="94"/>
      <c r="AC757" s="94"/>
      <c r="AD757" s="94"/>
      <c r="AE757" s="94"/>
    </row>
    <row r="758">
      <c r="A758" s="87"/>
      <c r="B758" s="37"/>
      <c r="C758" s="37"/>
      <c r="D758" s="162"/>
      <c r="E758" s="89"/>
      <c r="F758" s="72"/>
      <c r="G758" s="111"/>
      <c r="H758" s="111"/>
      <c r="I758" s="111"/>
      <c r="J758" s="111"/>
      <c r="K758" s="111"/>
      <c r="L758" s="111"/>
      <c r="M758" s="94"/>
      <c r="N758" s="94"/>
      <c r="O758" s="94"/>
      <c r="P758" s="94"/>
      <c r="Q758" s="94"/>
      <c r="R758" s="94"/>
      <c r="S758" s="94"/>
      <c r="T758" s="94"/>
      <c r="U758" s="94"/>
      <c r="V758" s="94"/>
      <c r="W758" s="94"/>
      <c r="X758" s="94"/>
      <c r="Y758" s="94"/>
      <c r="Z758" s="94"/>
      <c r="AA758" s="94"/>
      <c r="AB758" s="94"/>
      <c r="AC758" s="94"/>
      <c r="AD758" s="94"/>
      <c r="AE758" s="94"/>
    </row>
    <row r="759">
      <c r="A759" s="87"/>
      <c r="B759" s="37"/>
      <c r="C759" s="37"/>
      <c r="D759" s="162"/>
      <c r="E759" s="89"/>
      <c r="F759" s="72"/>
      <c r="G759" s="111"/>
      <c r="H759" s="111"/>
      <c r="I759" s="111"/>
      <c r="J759" s="111"/>
      <c r="K759" s="111"/>
      <c r="L759" s="111"/>
      <c r="M759" s="94"/>
      <c r="N759" s="94"/>
      <c r="O759" s="94"/>
      <c r="P759" s="94"/>
      <c r="Q759" s="94"/>
      <c r="R759" s="94"/>
      <c r="S759" s="94"/>
      <c r="T759" s="94"/>
      <c r="U759" s="94"/>
      <c r="V759" s="94"/>
      <c r="W759" s="94"/>
      <c r="X759" s="94"/>
      <c r="Y759" s="94"/>
      <c r="Z759" s="94"/>
      <c r="AA759" s="94"/>
      <c r="AB759" s="94"/>
      <c r="AC759" s="94"/>
      <c r="AD759" s="94"/>
      <c r="AE759" s="94"/>
    </row>
    <row r="760">
      <c r="A760" s="87"/>
      <c r="B760" s="37"/>
      <c r="C760" s="37"/>
      <c r="D760" s="162"/>
      <c r="E760" s="89"/>
      <c r="F760" s="72"/>
      <c r="G760" s="111"/>
      <c r="H760" s="111"/>
      <c r="I760" s="111"/>
      <c r="J760" s="111"/>
      <c r="K760" s="111"/>
      <c r="L760" s="111"/>
      <c r="M760" s="94"/>
      <c r="N760" s="94"/>
      <c r="O760" s="94"/>
      <c r="P760" s="94"/>
      <c r="Q760" s="94"/>
      <c r="R760" s="94"/>
      <c r="S760" s="94"/>
      <c r="T760" s="94"/>
      <c r="U760" s="94"/>
      <c r="V760" s="94"/>
      <c r="W760" s="94"/>
      <c r="X760" s="94"/>
      <c r="Y760" s="94"/>
      <c r="Z760" s="94"/>
      <c r="AA760" s="94"/>
      <c r="AB760" s="94"/>
      <c r="AC760" s="94"/>
      <c r="AD760" s="94"/>
      <c r="AE760" s="94"/>
    </row>
    <row r="761">
      <c r="A761" s="87"/>
      <c r="B761" s="37"/>
      <c r="C761" s="37"/>
      <c r="D761" s="162"/>
      <c r="E761" s="89"/>
      <c r="F761" s="72"/>
      <c r="G761" s="111"/>
      <c r="H761" s="111"/>
      <c r="I761" s="111"/>
      <c r="J761" s="111"/>
      <c r="K761" s="111"/>
      <c r="L761" s="111"/>
      <c r="M761" s="94"/>
      <c r="N761" s="94"/>
      <c r="O761" s="94"/>
      <c r="P761" s="94"/>
      <c r="Q761" s="94"/>
      <c r="R761" s="94"/>
      <c r="S761" s="94"/>
      <c r="T761" s="94"/>
      <c r="U761" s="94"/>
      <c r="V761" s="94"/>
      <c r="W761" s="94"/>
      <c r="X761" s="94"/>
      <c r="Y761" s="94"/>
      <c r="Z761" s="94"/>
      <c r="AA761" s="94"/>
      <c r="AB761" s="94"/>
      <c r="AC761" s="94"/>
      <c r="AD761" s="94"/>
      <c r="AE761" s="94"/>
    </row>
    <row r="762">
      <c r="A762" s="87"/>
      <c r="B762" s="37"/>
      <c r="C762" s="37"/>
      <c r="D762" s="162"/>
      <c r="E762" s="89"/>
      <c r="F762" s="72"/>
      <c r="G762" s="111"/>
      <c r="H762" s="111"/>
      <c r="I762" s="111"/>
      <c r="J762" s="111"/>
      <c r="K762" s="111"/>
      <c r="L762" s="111"/>
      <c r="M762" s="94"/>
      <c r="N762" s="94"/>
      <c r="O762" s="94"/>
      <c r="P762" s="94"/>
      <c r="Q762" s="94"/>
      <c r="R762" s="94"/>
      <c r="S762" s="94"/>
      <c r="T762" s="94"/>
      <c r="U762" s="94"/>
      <c r="V762" s="94"/>
      <c r="W762" s="94"/>
      <c r="X762" s="94"/>
      <c r="Y762" s="94"/>
      <c r="Z762" s="94"/>
      <c r="AA762" s="94"/>
      <c r="AB762" s="94"/>
      <c r="AC762" s="94"/>
      <c r="AD762" s="94"/>
      <c r="AE762" s="94"/>
    </row>
    <row r="763">
      <c r="A763" s="87"/>
      <c r="B763" s="37"/>
      <c r="C763" s="37"/>
      <c r="D763" s="162"/>
      <c r="E763" s="89"/>
      <c r="F763" s="72"/>
      <c r="G763" s="111"/>
      <c r="H763" s="111"/>
      <c r="I763" s="111"/>
      <c r="J763" s="111"/>
      <c r="K763" s="111"/>
      <c r="L763" s="111"/>
      <c r="M763" s="94"/>
      <c r="N763" s="94"/>
      <c r="O763" s="94"/>
      <c r="P763" s="94"/>
      <c r="Q763" s="94"/>
      <c r="R763" s="94"/>
      <c r="S763" s="94"/>
      <c r="T763" s="94"/>
      <c r="U763" s="94"/>
      <c r="V763" s="94"/>
      <c r="W763" s="94"/>
      <c r="X763" s="94"/>
      <c r="Y763" s="94"/>
      <c r="Z763" s="94"/>
      <c r="AA763" s="94"/>
      <c r="AB763" s="94"/>
      <c r="AC763" s="94"/>
      <c r="AD763" s="94"/>
      <c r="AE763" s="94"/>
    </row>
    <row r="764">
      <c r="A764" s="87"/>
      <c r="B764" s="37"/>
      <c r="C764" s="37"/>
      <c r="D764" s="162"/>
      <c r="E764" s="89"/>
      <c r="F764" s="72"/>
      <c r="G764" s="111"/>
      <c r="H764" s="111"/>
      <c r="I764" s="111"/>
      <c r="J764" s="111"/>
      <c r="K764" s="111"/>
      <c r="L764" s="111"/>
      <c r="M764" s="94"/>
      <c r="N764" s="94"/>
      <c r="O764" s="94"/>
      <c r="P764" s="94"/>
      <c r="Q764" s="94"/>
      <c r="R764" s="94"/>
      <c r="S764" s="94"/>
      <c r="T764" s="94"/>
      <c r="U764" s="94"/>
      <c r="V764" s="94"/>
      <c r="W764" s="94"/>
      <c r="X764" s="94"/>
      <c r="Y764" s="94"/>
      <c r="Z764" s="94"/>
      <c r="AA764" s="94"/>
      <c r="AB764" s="94"/>
      <c r="AC764" s="94"/>
      <c r="AD764" s="94"/>
      <c r="AE764" s="94"/>
    </row>
    <row r="765">
      <c r="A765" s="87"/>
      <c r="B765" s="37"/>
      <c r="C765" s="37"/>
      <c r="D765" s="162"/>
      <c r="E765" s="89"/>
      <c r="F765" s="72"/>
      <c r="G765" s="111"/>
      <c r="H765" s="111"/>
      <c r="I765" s="111"/>
      <c r="J765" s="111"/>
      <c r="K765" s="111"/>
      <c r="L765" s="111"/>
      <c r="M765" s="94"/>
      <c r="N765" s="94"/>
      <c r="O765" s="94"/>
      <c r="P765" s="94"/>
      <c r="Q765" s="94"/>
      <c r="R765" s="94"/>
      <c r="S765" s="94"/>
      <c r="T765" s="94"/>
      <c r="U765" s="94"/>
      <c r="V765" s="94"/>
      <c r="W765" s="94"/>
      <c r="X765" s="94"/>
      <c r="Y765" s="94"/>
      <c r="Z765" s="94"/>
      <c r="AA765" s="94"/>
      <c r="AB765" s="94"/>
      <c r="AC765" s="94"/>
      <c r="AD765" s="94"/>
      <c r="AE765" s="94"/>
    </row>
    <row r="766">
      <c r="A766" s="87"/>
      <c r="B766" s="37"/>
      <c r="C766" s="37"/>
      <c r="D766" s="162"/>
      <c r="E766" s="89"/>
      <c r="F766" s="72"/>
      <c r="G766" s="111"/>
      <c r="H766" s="111"/>
      <c r="I766" s="111"/>
      <c r="J766" s="111"/>
      <c r="K766" s="111"/>
      <c r="L766" s="111"/>
      <c r="M766" s="94"/>
      <c r="N766" s="94"/>
      <c r="O766" s="94"/>
      <c r="P766" s="94"/>
      <c r="Q766" s="94"/>
      <c r="R766" s="94"/>
      <c r="S766" s="94"/>
      <c r="T766" s="94"/>
      <c r="U766" s="94"/>
      <c r="V766" s="94"/>
      <c r="W766" s="94"/>
      <c r="X766" s="94"/>
      <c r="Y766" s="94"/>
      <c r="Z766" s="94"/>
      <c r="AA766" s="94"/>
      <c r="AB766" s="94"/>
      <c r="AC766" s="94"/>
      <c r="AD766" s="94"/>
      <c r="AE766" s="94"/>
    </row>
    <row r="767">
      <c r="A767" s="87"/>
      <c r="B767" s="37"/>
      <c r="C767" s="37"/>
      <c r="D767" s="162"/>
      <c r="E767" s="89"/>
      <c r="F767" s="72"/>
      <c r="G767" s="111"/>
      <c r="H767" s="111"/>
      <c r="I767" s="111"/>
      <c r="J767" s="111"/>
      <c r="K767" s="111"/>
      <c r="L767" s="111"/>
      <c r="M767" s="94"/>
      <c r="N767" s="94"/>
      <c r="O767" s="94"/>
      <c r="P767" s="94"/>
      <c r="Q767" s="94"/>
      <c r="R767" s="94"/>
      <c r="S767" s="94"/>
      <c r="T767" s="94"/>
      <c r="U767" s="94"/>
      <c r="V767" s="94"/>
      <c r="W767" s="94"/>
      <c r="X767" s="94"/>
      <c r="Y767" s="94"/>
      <c r="Z767" s="94"/>
      <c r="AA767" s="94"/>
      <c r="AB767" s="94"/>
      <c r="AC767" s="94"/>
      <c r="AD767" s="94"/>
      <c r="AE767" s="94"/>
    </row>
    <row r="768">
      <c r="A768" s="87"/>
      <c r="B768" s="37"/>
      <c r="C768" s="37"/>
      <c r="D768" s="162"/>
      <c r="E768" s="89"/>
      <c r="F768" s="72"/>
      <c r="G768" s="111"/>
      <c r="H768" s="111"/>
      <c r="I768" s="111"/>
      <c r="J768" s="111"/>
      <c r="K768" s="111"/>
      <c r="L768" s="111"/>
      <c r="M768" s="94"/>
      <c r="N768" s="94"/>
      <c r="O768" s="94"/>
      <c r="P768" s="94"/>
      <c r="Q768" s="94"/>
      <c r="R768" s="94"/>
      <c r="S768" s="94"/>
      <c r="T768" s="94"/>
      <c r="U768" s="94"/>
      <c r="V768" s="94"/>
      <c r="W768" s="94"/>
      <c r="X768" s="94"/>
      <c r="Y768" s="94"/>
      <c r="Z768" s="94"/>
      <c r="AA768" s="94"/>
      <c r="AB768" s="94"/>
      <c r="AC768" s="94"/>
      <c r="AD768" s="94"/>
      <c r="AE768" s="94"/>
    </row>
    <row r="769">
      <c r="A769" s="87"/>
      <c r="B769" s="37"/>
      <c r="C769" s="37"/>
      <c r="D769" s="162"/>
      <c r="E769" s="89"/>
      <c r="F769" s="72"/>
      <c r="G769" s="111"/>
      <c r="H769" s="111"/>
      <c r="I769" s="111"/>
      <c r="J769" s="111"/>
      <c r="K769" s="111"/>
      <c r="L769" s="111"/>
      <c r="M769" s="94"/>
      <c r="N769" s="94"/>
      <c r="O769" s="94"/>
      <c r="P769" s="94"/>
      <c r="Q769" s="94"/>
      <c r="R769" s="94"/>
      <c r="S769" s="94"/>
      <c r="T769" s="94"/>
      <c r="U769" s="94"/>
      <c r="V769" s="94"/>
      <c r="W769" s="94"/>
      <c r="X769" s="94"/>
      <c r="Y769" s="94"/>
      <c r="Z769" s="94"/>
      <c r="AA769" s="94"/>
      <c r="AB769" s="94"/>
      <c r="AC769" s="94"/>
      <c r="AD769" s="94"/>
      <c r="AE769" s="94"/>
    </row>
    <row r="770">
      <c r="A770" s="87"/>
      <c r="B770" s="37"/>
      <c r="C770" s="37"/>
      <c r="D770" s="162"/>
      <c r="E770" s="89"/>
      <c r="F770" s="72"/>
      <c r="G770" s="111"/>
      <c r="H770" s="111"/>
      <c r="I770" s="111"/>
      <c r="J770" s="111"/>
      <c r="K770" s="111"/>
      <c r="L770" s="111"/>
      <c r="M770" s="94"/>
      <c r="N770" s="94"/>
      <c r="O770" s="94"/>
      <c r="P770" s="94"/>
      <c r="Q770" s="94"/>
      <c r="R770" s="94"/>
      <c r="S770" s="94"/>
      <c r="T770" s="94"/>
      <c r="U770" s="94"/>
      <c r="V770" s="94"/>
      <c r="W770" s="94"/>
      <c r="X770" s="94"/>
      <c r="Y770" s="94"/>
      <c r="Z770" s="94"/>
      <c r="AA770" s="94"/>
      <c r="AB770" s="94"/>
      <c r="AC770" s="94"/>
      <c r="AD770" s="94"/>
      <c r="AE770" s="94"/>
    </row>
    <row r="771">
      <c r="A771" s="87"/>
      <c r="B771" s="37"/>
      <c r="C771" s="37"/>
      <c r="D771" s="162"/>
      <c r="E771" s="89"/>
      <c r="F771" s="72"/>
      <c r="G771" s="111"/>
      <c r="H771" s="111"/>
      <c r="I771" s="111"/>
      <c r="J771" s="111"/>
      <c r="K771" s="111"/>
      <c r="L771" s="111"/>
      <c r="M771" s="94"/>
      <c r="N771" s="94"/>
      <c r="O771" s="94"/>
      <c r="P771" s="94"/>
      <c r="Q771" s="94"/>
      <c r="R771" s="94"/>
      <c r="S771" s="94"/>
      <c r="T771" s="94"/>
      <c r="U771" s="94"/>
      <c r="V771" s="94"/>
      <c r="W771" s="94"/>
      <c r="X771" s="94"/>
      <c r="Y771" s="94"/>
      <c r="Z771" s="94"/>
      <c r="AA771" s="94"/>
      <c r="AB771" s="94"/>
      <c r="AC771" s="94"/>
      <c r="AD771" s="94"/>
      <c r="AE771" s="94"/>
    </row>
    <row r="772">
      <c r="A772" s="87"/>
      <c r="B772" s="37"/>
      <c r="C772" s="37"/>
      <c r="D772" s="162"/>
      <c r="E772" s="89"/>
      <c r="F772" s="72"/>
      <c r="G772" s="111"/>
      <c r="H772" s="111"/>
      <c r="I772" s="111"/>
      <c r="J772" s="111"/>
      <c r="K772" s="111"/>
      <c r="L772" s="111"/>
      <c r="M772" s="94"/>
      <c r="N772" s="94"/>
      <c r="O772" s="94"/>
      <c r="P772" s="94"/>
      <c r="Q772" s="94"/>
      <c r="R772" s="94"/>
      <c r="S772" s="94"/>
      <c r="T772" s="94"/>
      <c r="U772" s="94"/>
      <c r="V772" s="94"/>
      <c r="W772" s="94"/>
      <c r="X772" s="94"/>
      <c r="Y772" s="94"/>
      <c r="Z772" s="94"/>
      <c r="AA772" s="94"/>
      <c r="AB772" s="94"/>
      <c r="AC772" s="94"/>
      <c r="AD772" s="94"/>
      <c r="AE772" s="94"/>
    </row>
    <row r="773">
      <c r="A773" s="87"/>
      <c r="B773" s="37"/>
      <c r="C773" s="37"/>
      <c r="D773" s="162"/>
      <c r="E773" s="89"/>
      <c r="F773" s="72"/>
      <c r="G773" s="111"/>
      <c r="H773" s="111"/>
      <c r="I773" s="111"/>
      <c r="J773" s="111"/>
      <c r="K773" s="111"/>
      <c r="L773" s="111"/>
      <c r="M773" s="94"/>
      <c r="N773" s="94"/>
      <c r="O773" s="94"/>
      <c r="P773" s="94"/>
      <c r="Q773" s="94"/>
      <c r="R773" s="94"/>
      <c r="S773" s="94"/>
      <c r="T773" s="94"/>
      <c r="U773" s="94"/>
      <c r="V773" s="94"/>
      <c r="W773" s="94"/>
      <c r="X773" s="94"/>
      <c r="Y773" s="94"/>
      <c r="Z773" s="94"/>
      <c r="AA773" s="94"/>
      <c r="AB773" s="94"/>
      <c r="AC773" s="94"/>
      <c r="AD773" s="94"/>
      <c r="AE773" s="94"/>
    </row>
    <row r="774">
      <c r="A774" s="87"/>
      <c r="B774" s="37"/>
      <c r="C774" s="37"/>
      <c r="D774" s="162"/>
      <c r="E774" s="89"/>
      <c r="F774" s="72"/>
      <c r="G774" s="111"/>
      <c r="H774" s="111"/>
      <c r="I774" s="111"/>
      <c r="J774" s="111"/>
      <c r="K774" s="111"/>
      <c r="L774" s="111"/>
      <c r="M774" s="94"/>
      <c r="N774" s="94"/>
      <c r="O774" s="94"/>
      <c r="P774" s="94"/>
      <c r="Q774" s="94"/>
      <c r="R774" s="94"/>
      <c r="S774" s="94"/>
      <c r="T774" s="94"/>
      <c r="U774" s="94"/>
      <c r="V774" s="94"/>
      <c r="W774" s="94"/>
      <c r="X774" s="94"/>
      <c r="Y774" s="94"/>
      <c r="Z774" s="94"/>
      <c r="AA774" s="94"/>
      <c r="AB774" s="94"/>
      <c r="AC774" s="94"/>
      <c r="AD774" s="94"/>
      <c r="AE774" s="94"/>
    </row>
    <row r="775">
      <c r="A775" s="87"/>
      <c r="B775" s="37"/>
      <c r="C775" s="37"/>
      <c r="D775" s="162"/>
      <c r="E775" s="89"/>
      <c r="F775" s="72"/>
      <c r="G775" s="111"/>
      <c r="H775" s="111"/>
      <c r="I775" s="111"/>
      <c r="J775" s="111"/>
      <c r="K775" s="111"/>
      <c r="L775" s="111"/>
      <c r="M775" s="94"/>
      <c r="N775" s="94"/>
      <c r="O775" s="94"/>
      <c r="P775" s="94"/>
      <c r="Q775" s="94"/>
      <c r="R775" s="94"/>
      <c r="S775" s="94"/>
      <c r="T775" s="94"/>
      <c r="U775" s="94"/>
      <c r="V775" s="94"/>
      <c r="W775" s="94"/>
      <c r="X775" s="94"/>
      <c r="Y775" s="94"/>
      <c r="Z775" s="94"/>
      <c r="AA775" s="94"/>
      <c r="AB775" s="94"/>
      <c r="AC775" s="94"/>
      <c r="AD775" s="94"/>
      <c r="AE775" s="94"/>
    </row>
    <row r="776">
      <c r="A776" s="87"/>
      <c r="B776" s="37"/>
      <c r="C776" s="37"/>
      <c r="D776" s="162"/>
      <c r="E776" s="89"/>
      <c r="F776" s="72"/>
      <c r="G776" s="111"/>
      <c r="H776" s="111"/>
      <c r="I776" s="111"/>
      <c r="J776" s="111"/>
      <c r="K776" s="111"/>
      <c r="L776" s="111"/>
      <c r="M776" s="94"/>
      <c r="N776" s="94"/>
      <c r="O776" s="94"/>
      <c r="P776" s="94"/>
      <c r="Q776" s="94"/>
      <c r="R776" s="94"/>
      <c r="S776" s="94"/>
      <c r="T776" s="94"/>
      <c r="U776" s="94"/>
      <c r="V776" s="94"/>
      <c r="W776" s="94"/>
      <c r="X776" s="94"/>
      <c r="Y776" s="94"/>
      <c r="Z776" s="94"/>
      <c r="AA776" s="94"/>
      <c r="AB776" s="94"/>
      <c r="AC776" s="94"/>
      <c r="AD776" s="94"/>
      <c r="AE776" s="94"/>
    </row>
    <row r="777">
      <c r="A777" s="87"/>
      <c r="B777" s="37"/>
      <c r="C777" s="37"/>
      <c r="D777" s="162"/>
      <c r="E777" s="89"/>
      <c r="F777" s="72"/>
      <c r="G777" s="111"/>
      <c r="H777" s="111"/>
      <c r="I777" s="111"/>
      <c r="J777" s="111"/>
      <c r="K777" s="111"/>
      <c r="L777" s="111"/>
      <c r="M777" s="94"/>
      <c r="N777" s="94"/>
      <c r="O777" s="94"/>
      <c r="P777" s="94"/>
      <c r="Q777" s="94"/>
      <c r="R777" s="94"/>
      <c r="S777" s="94"/>
      <c r="T777" s="94"/>
      <c r="U777" s="94"/>
      <c r="V777" s="94"/>
      <c r="W777" s="94"/>
      <c r="X777" s="94"/>
      <c r="Y777" s="94"/>
      <c r="Z777" s="94"/>
      <c r="AA777" s="94"/>
      <c r="AB777" s="94"/>
      <c r="AC777" s="94"/>
      <c r="AD777" s="94"/>
      <c r="AE777" s="94"/>
    </row>
    <row r="778">
      <c r="A778" s="87"/>
      <c r="B778" s="37"/>
      <c r="C778" s="37"/>
      <c r="D778" s="162"/>
      <c r="E778" s="89"/>
      <c r="F778" s="72"/>
      <c r="G778" s="111"/>
      <c r="H778" s="111"/>
      <c r="I778" s="111"/>
      <c r="J778" s="111"/>
      <c r="K778" s="111"/>
      <c r="L778" s="111"/>
      <c r="M778" s="94"/>
      <c r="N778" s="94"/>
      <c r="O778" s="94"/>
      <c r="P778" s="94"/>
      <c r="Q778" s="94"/>
      <c r="R778" s="94"/>
      <c r="S778" s="94"/>
      <c r="T778" s="94"/>
      <c r="U778" s="94"/>
      <c r="V778" s="94"/>
      <c r="W778" s="94"/>
      <c r="X778" s="94"/>
      <c r="Y778" s="94"/>
      <c r="Z778" s="94"/>
      <c r="AA778" s="94"/>
      <c r="AB778" s="94"/>
      <c r="AC778" s="94"/>
      <c r="AD778" s="94"/>
      <c r="AE778" s="94"/>
    </row>
    <row r="779">
      <c r="A779" s="87"/>
      <c r="B779" s="37"/>
      <c r="C779" s="37"/>
      <c r="D779" s="162"/>
      <c r="E779" s="89"/>
      <c r="F779" s="72"/>
      <c r="G779" s="111"/>
      <c r="H779" s="111"/>
      <c r="I779" s="111"/>
      <c r="J779" s="111"/>
      <c r="K779" s="111"/>
      <c r="L779" s="111"/>
      <c r="M779" s="94"/>
      <c r="N779" s="94"/>
      <c r="O779" s="94"/>
      <c r="P779" s="94"/>
      <c r="Q779" s="94"/>
      <c r="R779" s="94"/>
      <c r="S779" s="94"/>
      <c r="T779" s="94"/>
      <c r="U779" s="94"/>
      <c r="V779" s="94"/>
      <c r="W779" s="94"/>
      <c r="X779" s="94"/>
      <c r="Y779" s="94"/>
      <c r="Z779" s="94"/>
      <c r="AA779" s="94"/>
      <c r="AB779" s="94"/>
      <c r="AC779" s="94"/>
      <c r="AD779" s="94"/>
      <c r="AE779" s="94"/>
    </row>
    <row r="780">
      <c r="A780" s="87"/>
      <c r="B780" s="37"/>
      <c r="C780" s="37"/>
      <c r="D780" s="162"/>
      <c r="E780" s="89"/>
      <c r="F780" s="72"/>
      <c r="G780" s="111"/>
      <c r="H780" s="111"/>
      <c r="I780" s="111"/>
      <c r="J780" s="111"/>
      <c r="K780" s="111"/>
      <c r="L780" s="111"/>
      <c r="M780" s="94"/>
      <c r="N780" s="94"/>
      <c r="O780" s="94"/>
      <c r="P780" s="94"/>
      <c r="Q780" s="94"/>
      <c r="R780" s="94"/>
      <c r="S780" s="94"/>
      <c r="T780" s="94"/>
      <c r="U780" s="94"/>
      <c r="V780" s="94"/>
      <c r="W780" s="94"/>
      <c r="X780" s="94"/>
      <c r="Y780" s="94"/>
      <c r="Z780" s="94"/>
      <c r="AA780" s="94"/>
      <c r="AB780" s="94"/>
      <c r="AC780" s="94"/>
      <c r="AD780" s="94"/>
      <c r="AE780" s="94"/>
    </row>
    <row r="781">
      <c r="A781" s="87"/>
      <c r="B781" s="37"/>
      <c r="C781" s="37"/>
      <c r="D781" s="162"/>
      <c r="E781" s="89"/>
      <c r="F781" s="72"/>
      <c r="G781" s="111"/>
      <c r="H781" s="111"/>
      <c r="I781" s="111"/>
      <c r="J781" s="111"/>
      <c r="K781" s="111"/>
      <c r="L781" s="111"/>
      <c r="M781" s="94"/>
      <c r="N781" s="94"/>
      <c r="O781" s="94"/>
      <c r="P781" s="94"/>
      <c r="Q781" s="94"/>
      <c r="R781" s="94"/>
      <c r="S781" s="94"/>
      <c r="T781" s="94"/>
      <c r="U781" s="94"/>
      <c r="V781" s="94"/>
      <c r="W781" s="94"/>
      <c r="X781" s="94"/>
      <c r="Y781" s="94"/>
      <c r="Z781" s="94"/>
      <c r="AA781" s="94"/>
      <c r="AB781" s="94"/>
      <c r="AC781" s="94"/>
      <c r="AD781" s="94"/>
      <c r="AE781" s="94"/>
    </row>
    <row r="782">
      <c r="A782" s="87"/>
      <c r="B782" s="37"/>
      <c r="C782" s="37"/>
      <c r="D782" s="162"/>
      <c r="E782" s="89"/>
      <c r="F782" s="72"/>
      <c r="G782" s="111"/>
      <c r="H782" s="111"/>
      <c r="I782" s="111"/>
      <c r="J782" s="111"/>
      <c r="K782" s="111"/>
      <c r="L782" s="111"/>
      <c r="M782" s="94"/>
      <c r="N782" s="94"/>
      <c r="O782" s="94"/>
      <c r="P782" s="94"/>
      <c r="Q782" s="94"/>
      <c r="R782" s="94"/>
      <c r="S782" s="94"/>
      <c r="T782" s="94"/>
      <c r="U782" s="94"/>
      <c r="V782" s="94"/>
      <c r="W782" s="94"/>
      <c r="X782" s="94"/>
      <c r="Y782" s="94"/>
      <c r="Z782" s="94"/>
      <c r="AA782" s="94"/>
      <c r="AB782" s="94"/>
      <c r="AC782" s="94"/>
      <c r="AD782" s="94"/>
      <c r="AE782" s="94"/>
    </row>
    <row r="783">
      <c r="A783" s="87"/>
      <c r="B783" s="37"/>
      <c r="C783" s="37"/>
      <c r="D783" s="162"/>
      <c r="E783" s="89"/>
      <c r="F783" s="72"/>
      <c r="G783" s="111"/>
      <c r="H783" s="111"/>
      <c r="I783" s="111"/>
      <c r="J783" s="111"/>
      <c r="K783" s="111"/>
      <c r="L783" s="111"/>
      <c r="M783" s="94"/>
      <c r="N783" s="94"/>
      <c r="O783" s="94"/>
      <c r="P783" s="94"/>
      <c r="Q783" s="94"/>
      <c r="R783" s="94"/>
      <c r="S783" s="94"/>
      <c r="T783" s="94"/>
      <c r="U783" s="94"/>
      <c r="V783" s="94"/>
      <c r="W783" s="94"/>
      <c r="X783" s="94"/>
      <c r="Y783" s="94"/>
      <c r="Z783" s="94"/>
      <c r="AA783" s="94"/>
      <c r="AB783" s="94"/>
      <c r="AC783" s="94"/>
      <c r="AD783" s="94"/>
      <c r="AE783" s="94"/>
    </row>
    <row r="784">
      <c r="A784" s="87"/>
      <c r="B784" s="37"/>
      <c r="C784" s="37"/>
      <c r="D784" s="162"/>
      <c r="E784" s="89"/>
      <c r="F784" s="72"/>
      <c r="G784" s="111"/>
      <c r="H784" s="111"/>
      <c r="I784" s="111"/>
      <c r="J784" s="111"/>
      <c r="K784" s="111"/>
      <c r="L784" s="111"/>
      <c r="M784" s="94"/>
      <c r="N784" s="94"/>
      <c r="O784" s="94"/>
      <c r="P784" s="94"/>
      <c r="Q784" s="94"/>
      <c r="R784" s="94"/>
      <c r="S784" s="94"/>
      <c r="T784" s="94"/>
      <c r="U784" s="94"/>
      <c r="V784" s="94"/>
      <c r="W784" s="94"/>
      <c r="X784" s="94"/>
      <c r="Y784" s="94"/>
      <c r="Z784" s="94"/>
      <c r="AA784" s="94"/>
      <c r="AB784" s="94"/>
      <c r="AC784" s="94"/>
      <c r="AD784" s="94"/>
      <c r="AE784" s="94"/>
    </row>
    <row r="785">
      <c r="A785" s="87"/>
      <c r="B785" s="37"/>
      <c r="C785" s="37"/>
      <c r="D785" s="162"/>
      <c r="E785" s="89"/>
      <c r="F785" s="72"/>
      <c r="G785" s="111"/>
      <c r="H785" s="111"/>
      <c r="I785" s="111"/>
      <c r="J785" s="111"/>
      <c r="K785" s="111"/>
      <c r="L785" s="111"/>
      <c r="M785" s="94"/>
      <c r="N785" s="94"/>
      <c r="O785" s="94"/>
      <c r="P785" s="94"/>
      <c r="Q785" s="94"/>
      <c r="R785" s="94"/>
      <c r="S785" s="94"/>
      <c r="T785" s="94"/>
      <c r="U785" s="94"/>
      <c r="V785" s="94"/>
      <c r="W785" s="94"/>
      <c r="X785" s="94"/>
      <c r="Y785" s="94"/>
      <c r="Z785" s="94"/>
      <c r="AA785" s="94"/>
      <c r="AB785" s="94"/>
      <c r="AC785" s="94"/>
      <c r="AD785" s="94"/>
      <c r="AE785" s="94"/>
    </row>
    <row r="786">
      <c r="A786" s="87"/>
      <c r="B786" s="37"/>
      <c r="C786" s="37"/>
      <c r="D786" s="162"/>
      <c r="E786" s="89"/>
      <c r="F786" s="72"/>
      <c r="G786" s="111"/>
      <c r="H786" s="111"/>
      <c r="I786" s="111"/>
      <c r="J786" s="111"/>
      <c r="K786" s="111"/>
      <c r="L786" s="111"/>
      <c r="M786" s="94"/>
      <c r="N786" s="94"/>
      <c r="O786" s="94"/>
      <c r="P786" s="94"/>
      <c r="Q786" s="94"/>
      <c r="R786" s="94"/>
      <c r="S786" s="94"/>
      <c r="T786" s="94"/>
      <c r="U786" s="94"/>
      <c r="V786" s="94"/>
      <c r="W786" s="94"/>
      <c r="X786" s="94"/>
      <c r="Y786" s="94"/>
      <c r="Z786" s="94"/>
      <c r="AA786" s="94"/>
      <c r="AB786" s="94"/>
      <c r="AC786" s="94"/>
      <c r="AD786" s="94"/>
      <c r="AE786" s="94"/>
    </row>
    <row r="787">
      <c r="A787" s="87"/>
      <c r="B787" s="37"/>
      <c r="C787" s="37"/>
      <c r="D787" s="162"/>
      <c r="E787" s="89"/>
      <c r="F787" s="72"/>
      <c r="G787" s="111"/>
      <c r="H787" s="111"/>
      <c r="I787" s="111"/>
      <c r="J787" s="111"/>
      <c r="K787" s="111"/>
      <c r="L787" s="111"/>
      <c r="M787" s="94"/>
      <c r="N787" s="94"/>
      <c r="O787" s="94"/>
      <c r="P787" s="94"/>
      <c r="Q787" s="94"/>
      <c r="R787" s="94"/>
      <c r="S787" s="94"/>
      <c r="T787" s="94"/>
      <c r="U787" s="94"/>
      <c r="V787" s="94"/>
      <c r="W787" s="94"/>
      <c r="X787" s="94"/>
      <c r="Y787" s="94"/>
      <c r="Z787" s="94"/>
      <c r="AA787" s="94"/>
      <c r="AB787" s="94"/>
      <c r="AC787" s="94"/>
      <c r="AD787" s="94"/>
      <c r="AE787" s="94"/>
    </row>
    <row r="788">
      <c r="A788" s="87"/>
      <c r="B788" s="37"/>
      <c r="C788" s="37"/>
      <c r="D788" s="162"/>
      <c r="E788" s="89"/>
      <c r="F788" s="72"/>
      <c r="G788" s="111"/>
      <c r="H788" s="111"/>
      <c r="I788" s="111"/>
      <c r="J788" s="111"/>
      <c r="K788" s="111"/>
      <c r="L788" s="111"/>
      <c r="M788" s="94"/>
      <c r="N788" s="94"/>
      <c r="O788" s="94"/>
      <c r="P788" s="94"/>
      <c r="Q788" s="94"/>
      <c r="R788" s="94"/>
      <c r="S788" s="94"/>
      <c r="T788" s="94"/>
      <c r="U788" s="94"/>
      <c r="V788" s="94"/>
      <c r="W788" s="94"/>
      <c r="X788" s="94"/>
      <c r="Y788" s="94"/>
      <c r="Z788" s="94"/>
      <c r="AA788" s="94"/>
      <c r="AB788" s="94"/>
      <c r="AC788" s="94"/>
      <c r="AD788" s="94"/>
      <c r="AE788" s="94"/>
    </row>
    <row r="789">
      <c r="A789" s="87"/>
      <c r="B789" s="37"/>
      <c r="C789" s="37"/>
      <c r="D789" s="162"/>
      <c r="E789" s="89"/>
      <c r="F789" s="72"/>
      <c r="G789" s="111"/>
      <c r="H789" s="111"/>
      <c r="I789" s="111"/>
      <c r="J789" s="111"/>
      <c r="K789" s="111"/>
      <c r="L789" s="111"/>
      <c r="M789" s="94"/>
      <c r="N789" s="94"/>
      <c r="O789" s="94"/>
      <c r="P789" s="94"/>
      <c r="Q789" s="94"/>
      <c r="R789" s="94"/>
      <c r="S789" s="94"/>
      <c r="T789" s="94"/>
      <c r="U789" s="94"/>
      <c r="V789" s="94"/>
      <c r="W789" s="94"/>
      <c r="X789" s="94"/>
      <c r="Y789" s="94"/>
      <c r="Z789" s="94"/>
      <c r="AA789" s="94"/>
      <c r="AB789" s="94"/>
      <c r="AC789" s="94"/>
      <c r="AD789" s="94"/>
      <c r="AE789" s="94"/>
    </row>
    <row r="790">
      <c r="A790" s="87"/>
      <c r="B790" s="37"/>
      <c r="C790" s="37"/>
      <c r="D790" s="162"/>
      <c r="E790" s="89"/>
      <c r="F790" s="72"/>
      <c r="G790" s="111"/>
      <c r="H790" s="111"/>
      <c r="I790" s="111"/>
      <c r="J790" s="111"/>
      <c r="K790" s="111"/>
      <c r="L790" s="111"/>
      <c r="M790" s="94"/>
      <c r="N790" s="94"/>
      <c r="O790" s="94"/>
      <c r="P790" s="94"/>
      <c r="Q790" s="94"/>
      <c r="R790" s="94"/>
      <c r="S790" s="94"/>
      <c r="T790" s="94"/>
      <c r="U790" s="94"/>
      <c r="V790" s="94"/>
      <c r="W790" s="94"/>
      <c r="X790" s="94"/>
      <c r="Y790" s="94"/>
      <c r="Z790" s="94"/>
      <c r="AA790" s="94"/>
      <c r="AB790" s="94"/>
      <c r="AC790" s="94"/>
      <c r="AD790" s="94"/>
      <c r="AE790" s="94"/>
    </row>
    <row r="791">
      <c r="A791" s="87"/>
      <c r="B791" s="37"/>
      <c r="C791" s="37"/>
      <c r="D791" s="162"/>
      <c r="E791" s="89"/>
      <c r="F791" s="72"/>
      <c r="G791" s="111"/>
      <c r="H791" s="111"/>
      <c r="I791" s="111"/>
      <c r="J791" s="111"/>
      <c r="K791" s="111"/>
      <c r="L791" s="111"/>
      <c r="M791" s="94"/>
      <c r="N791" s="94"/>
      <c r="O791" s="94"/>
      <c r="P791" s="94"/>
      <c r="Q791" s="94"/>
      <c r="R791" s="94"/>
      <c r="S791" s="94"/>
      <c r="T791" s="94"/>
      <c r="U791" s="94"/>
      <c r="V791" s="94"/>
      <c r="W791" s="94"/>
      <c r="X791" s="94"/>
      <c r="Y791" s="94"/>
      <c r="Z791" s="94"/>
      <c r="AA791" s="94"/>
      <c r="AB791" s="94"/>
      <c r="AC791" s="94"/>
      <c r="AD791" s="94"/>
      <c r="AE791" s="94"/>
    </row>
    <row r="792">
      <c r="A792" s="87"/>
      <c r="B792" s="37"/>
      <c r="C792" s="37"/>
      <c r="D792" s="162"/>
      <c r="E792" s="89"/>
      <c r="F792" s="72"/>
      <c r="G792" s="111"/>
      <c r="H792" s="111"/>
      <c r="I792" s="111"/>
      <c r="J792" s="111"/>
      <c r="K792" s="111"/>
      <c r="L792" s="111"/>
      <c r="M792" s="94"/>
      <c r="N792" s="94"/>
      <c r="O792" s="94"/>
      <c r="P792" s="94"/>
      <c r="Q792" s="94"/>
      <c r="R792" s="94"/>
      <c r="S792" s="94"/>
      <c r="T792" s="94"/>
      <c r="U792" s="94"/>
      <c r="V792" s="94"/>
      <c r="W792" s="94"/>
      <c r="X792" s="94"/>
      <c r="Y792" s="94"/>
      <c r="Z792" s="94"/>
      <c r="AA792" s="94"/>
      <c r="AB792" s="94"/>
      <c r="AC792" s="94"/>
      <c r="AD792" s="94"/>
      <c r="AE792" s="94"/>
    </row>
    <row r="793">
      <c r="A793" s="87"/>
      <c r="B793" s="37"/>
      <c r="C793" s="37"/>
      <c r="D793" s="162"/>
      <c r="E793" s="89"/>
      <c r="F793" s="72"/>
      <c r="G793" s="111"/>
      <c r="H793" s="111"/>
      <c r="I793" s="111"/>
      <c r="J793" s="111"/>
      <c r="K793" s="111"/>
      <c r="L793" s="111"/>
      <c r="M793" s="94"/>
      <c r="N793" s="94"/>
      <c r="O793" s="94"/>
      <c r="P793" s="94"/>
      <c r="Q793" s="94"/>
      <c r="R793" s="94"/>
      <c r="S793" s="94"/>
      <c r="T793" s="94"/>
      <c r="U793" s="94"/>
      <c r="V793" s="94"/>
      <c r="W793" s="94"/>
      <c r="X793" s="94"/>
      <c r="Y793" s="94"/>
      <c r="Z793" s="94"/>
      <c r="AA793" s="94"/>
      <c r="AB793" s="94"/>
      <c r="AC793" s="94"/>
      <c r="AD793" s="94"/>
      <c r="AE793" s="94"/>
    </row>
    <row r="794">
      <c r="A794" s="87"/>
      <c r="B794" s="37"/>
      <c r="C794" s="37"/>
      <c r="D794" s="162"/>
      <c r="E794" s="89"/>
      <c r="F794" s="72"/>
      <c r="G794" s="111"/>
      <c r="H794" s="111"/>
      <c r="I794" s="111"/>
      <c r="J794" s="111"/>
      <c r="K794" s="111"/>
      <c r="L794" s="111"/>
      <c r="M794" s="94"/>
      <c r="N794" s="94"/>
      <c r="O794" s="94"/>
      <c r="P794" s="94"/>
      <c r="Q794" s="94"/>
      <c r="R794" s="94"/>
      <c r="S794" s="94"/>
      <c r="T794" s="94"/>
      <c r="U794" s="94"/>
      <c r="V794" s="94"/>
      <c r="W794" s="94"/>
      <c r="X794" s="94"/>
      <c r="Y794" s="94"/>
      <c r="Z794" s="94"/>
      <c r="AA794" s="94"/>
      <c r="AB794" s="94"/>
      <c r="AC794" s="94"/>
      <c r="AD794" s="94"/>
      <c r="AE794" s="94"/>
    </row>
    <row r="795">
      <c r="A795" s="87"/>
      <c r="B795" s="37"/>
      <c r="C795" s="37"/>
      <c r="D795" s="162"/>
      <c r="E795" s="89"/>
      <c r="F795" s="72"/>
      <c r="G795" s="111"/>
      <c r="H795" s="111"/>
      <c r="I795" s="111"/>
      <c r="J795" s="111"/>
      <c r="K795" s="111"/>
      <c r="L795" s="111"/>
      <c r="M795" s="94"/>
      <c r="N795" s="94"/>
      <c r="O795" s="94"/>
      <c r="P795" s="94"/>
      <c r="Q795" s="94"/>
      <c r="R795" s="94"/>
      <c r="S795" s="94"/>
      <c r="T795" s="94"/>
      <c r="U795" s="94"/>
      <c r="V795" s="94"/>
      <c r="W795" s="94"/>
      <c r="X795" s="94"/>
      <c r="Y795" s="94"/>
      <c r="Z795" s="94"/>
      <c r="AA795" s="94"/>
      <c r="AB795" s="94"/>
      <c r="AC795" s="94"/>
      <c r="AD795" s="94"/>
      <c r="AE795" s="94"/>
    </row>
    <row r="796">
      <c r="A796" s="87"/>
      <c r="B796" s="37"/>
      <c r="C796" s="37"/>
      <c r="D796" s="162"/>
      <c r="E796" s="89"/>
      <c r="F796" s="72"/>
      <c r="G796" s="111"/>
      <c r="H796" s="111"/>
      <c r="I796" s="111"/>
      <c r="J796" s="111"/>
      <c r="K796" s="111"/>
      <c r="L796" s="111"/>
      <c r="M796" s="94"/>
      <c r="N796" s="94"/>
      <c r="O796" s="94"/>
      <c r="P796" s="94"/>
      <c r="Q796" s="94"/>
      <c r="R796" s="94"/>
      <c r="S796" s="94"/>
      <c r="T796" s="94"/>
      <c r="U796" s="94"/>
      <c r="V796" s="94"/>
      <c r="W796" s="94"/>
      <c r="X796" s="94"/>
      <c r="Y796" s="94"/>
      <c r="Z796" s="94"/>
      <c r="AA796" s="94"/>
      <c r="AB796" s="94"/>
      <c r="AC796" s="94"/>
      <c r="AD796" s="94"/>
      <c r="AE796" s="94"/>
    </row>
    <row r="797">
      <c r="A797" s="87"/>
      <c r="B797" s="37"/>
      <c r="C797" s="37"/>
      <c r="D797" s="162"/>
      <c r="E797" s="89"/>
      <c r="F797" s="72"/>
      <c r="G797" s="111"/>
      <c r="H797" s="111"/>
      <c r="I797" s="111"/>
      <c r="J797" s="111"/>
      <c r="K797" s="111"/>
      <c r="L797" s="111"/>
      <c r="M797" s="94"/>
      <c r="N797" s="94"/>
      <c r="O797" s="94"/>
      <c r="P797" s="94"/>
      <c r="Q797" s="94"/>
      <c r="R797" s="94"/>
      <c r="S797" s="94"/>
      <c r="T797" s="94"/>
      <c r="U797" s="94"/>
      <c r="V797" s="94"/>
      <c r="W797" s="94"/>
      <c r="X797" s="94"/>
      <c r="Y797" s="94"/>
      <c r="Z797" s="94"/>
      <c r="AA797" s="94"/>
      <c r="AB797" s="94"/>
      <c r="AC797" s="94"/>
      <c r="AD797" s="94"/>
      <c r="AE797" s="94"/>
    </row>
    <row r="798">
      <c r="A798" s="87"/>
      <c r="B798" s="37"/>
      <c r="C798" s="37"/>
      <c r="D798" s="162"/>
      <c r="E798" s="89"/>
      <c r="F798" s="72"/>
      <c r="G798" s="111"/>
      <c r="H798" s="111"/>
      <c r="I798" s="111"/>
      <c r="J798" s="111"/>
      <c r="K798" s="111"/>
      <c r="L798" s="111"/>
      <c r="M798" s="94"/>
      <c r="N798" s="94"/>
      <c r="O798" s="94"/>
      <c r="P798" s="94"/>
      <c r="Q798" s="94"/>
      <c r="R798" s="94"/>
      <c r="S798" s="94"/>
      <c r="T798" s="94"/>
      <c r="U798" s="94"/>
      <c r="V798" s="94"/>
      <c r="W798" s="94"/>
      <c r="X798" s="94"/>
      <c r="Y798" s="94"/>
      <c r="Z798" s="94"/>
      <c r="AA798" s="94"/>
      <c r="AB798" s="94"/>
      <c r="AC798" s="94"/>
      <c r="AD798" s="94"/>
      <c r="AE798" s="94"/>
    </row>
    <row r="799">
      <c r="A799" s="87"/>
      <c r="B799" s="37"/>
      <c r="C799" s="37"/>
      <c r="D799" s="162"/>
      <c r="E799" s="89"/>
      <c r="F799" s="72"/>
      <c r="G799" s="111"/>
      <c r="H799" s="111"/>
      <c r="I799" s="111"/>
      <c r="J799" s="111"/>
      <c r="K799" s="111"/>
      <c r="L799" s="111"/>
      <c r="M799" s="94"/>
      <c r="N799" s="94"/>
      <c r="O799" s="94"/>
      <c r="P799" s="94"/>
      <c r="Q799" s="94"/>
      <c r="R799" s="94"/>
      <c r="S799" s="94"/>
      <c r="T799" s="94"/>
      <c r="U799" s="94"/>
      <c r="V799" s="94"/>
      <c r="W799" s="94"/>
      <c r="X799" s="94"/>
      <c r="Y799" s="94"/>
      <c r="Z799" s="94"/>
      <c r="AA799" s="94"/>
      <c r="AB799" s="94"/>
      <c r="AC799" s="94"/>
      <c r="AD799" s="94"/>
      <c r="AE799" s="94"/>
    </row>
    <row r="800">
      <c r="A800" s="87"/>
      <c r="B800" s="37"/>
      <c r="C800" s="37"/>
      <c r="D800" s="162"/>
      <c r="E800" s="89"/>
      <c r="F800" s="72"/>
      <c r="G800" s="111"/>
      <c r="H800" s="111"/>
      <c r="I800" s="111"/>
      <c r="J800" s="111"/>
      <c r="K800" s="111"/>
      <c r="L800" s="111"/>
      <c r="M800" s="94"/>
      <c r="N800" s="94"/>
      <c r="O800" s="94"/>
      <c r="P800" s="94"/>
      <c r="Q800" s="94"/>
      <c r="R800" s="94"/>
      <c r="S800" s="94"/>
      <c r="T800" s="94"/>
      <c r="U800" s="94"/>
      <c r="V800" s="94"/>
      <c r="W800" s="94"/>
      <c r="X800" s="94"/>
      <c r="Y800" s="94"/>
      <c r="Z800" s="94"/>
      <c r="AA800" s="94"/>
      <c r="AB800" s="94"/>
      <c r="AC800" s="94"/>
      <c r="AD800" s="94"/>
      <c r="AE800" s="94"/>
    </row>
    <row r="801">
      <c r="A801" s="87"/>
      <c r="B801" s="37"/>
      <c r="C801" s="37"/>
      <c r="D801" s="162"/>
      <c r="E801" s="89"/>
      <c r="F801" s="72"/>
      <c r="G801" s="111"/>
      <c r="H801" s="111"/>
      <c r="I801" s="111"/>
      <c r="J801" s="111"/>
      <c r="K801" s="111"/>
      <c r="L801" s="111"/>
      <c r="M801" s="94"/>
      <c r="N801" s="94"/>
      <c r="O801" s="94"/>
      <c r="P801" s="94"/>
      <c r="Q801" s="94"/>
      <c r="R801" s="94"/>
      <c r="S801" s="94"/>
      <c r="T801" s="94"/>
      <c r="U801" s="94"/>
      <c r="V801" s="94"/>
      <c r="W801" s="94"/>
      <c r="X801" s="94"/>
      <c r="Y801" s="94"/>
      <c r="Z801" s="94"/>
      <c r="AA801" s="94"/>
      <c r="AB801" s="94"/>
      <c r="AC801" s="94"/>
      <c r="AD801" s="94"/>
      <c r="AE801" s="94"/>
    </row>
    <row r="802">
      <c r="A802" s="87"/>
      <c r="B802" s="37"/>
      <c r="C802" s="37"/>
      <c r="D802" s="162"/>
      <c r="E802" s="89"/>
      <c r="F802" s="72"/>
      <c r="G802" s="111"/>
      <c r="H802" s="111"/>
      <c r="I802" s="111"/>
      <c r="J802" s="111"/>
      <c r="K802" s="111"/>
      <c r="L802" s="111"/>
      <c r="M802" s="94"/>
      <c r="N802" s="94"/>
      <c r="O802" s="94"/>
      <c r="P802" s="94"/>
      <c r="Q802" s="94"/>
      <c r="R802" s="94"/>
      <c r="S802" s="94"/>
      <c r="T802" s="94"/>
      <c r="U802" s="94"/>
      <c r="V802" s="94"/>
      <c r="W802" s="94"/>
      <c r="X802" s="94"/>
      <c r="Y802" s="94"/>
      <c r="Z802" s="94"/>
      <c r="AA802" s="94"/>
      <c r="AB802" s="94"/>
      <c r="AC802" s="94"/>
      <c r="AD802" s="94"/>
      <c r="AE802" s="94"/>
    </row>
    <row r="803">
      <c r="A803" s="87"/>
      <c r="B803" s="37"/>
      <c r="C803" s="37"/>
      <c r="D803" s="162"/>
      <c r="E803" s="89"/>
      <c r="F803" s="72"/>
      <c r="G803" s="111"/>
      <c r="H803" s="111"/>
      <c r="I803" s="111"/>
      <c r="J803" s="111"/>
      <c r="K803" s="111"/>
      <c r="L803" s="111"/>
      <c r="M803" s="94"/>
      <c r="N803" s="94"/>
      <c r="O803" s="94"/>
      <c r="P803" s="94"/>
      <c r="Q803" s="94"/>
      <c r="R803" s="94"/>
      <c r="S803" s="94"/>
      <c r="T803" s="94"/>
      <c r="U803" s="94"/>
      <c r="V803" s="94"/>
      <c r="W803" s="94"/>
      <c r="X803" s="94"/>
      <c r="Y803" s="94"/>
      <c r="Z803" s="94"/>
      <c r="AA803" s="94"/>
      <c r="AB803" s="94"/>
      <c r="AC803" s="94"/>
      <c r="AD803" s="94"/>
      <c r="AE803" s="94"/>
    </row>
    <row r="804">
      <c r="A804" s="87"/>
      <c r="B804" s="37"/>
      <c r="C804" s="37"/>
      <c r="D804" s="162"/>
      <c r="E804" s="89"/>
      <c r="F804" s="72"/>
      <c r="G804" s="111"/>
      <c r="H804" s="111"/>
      <c r="I804" s="111"/>
      <c r="J804" s="111"/>
      <c r="K804" s="111"/>
      <c r="L804" s="111"/>
      <c r="M804" s="94"/>
      <c r="N804" s="94"/>
      <c r="O804" s="94"/>
      <c r="P804" s="94"/>
      <c r="Q804" s="94"/>
      <c r="R804" s="94"/>
      <c r="S804" s="94"/>
      <c r="T804" s="94"/>
      <c r="U804" s="94"/>
      <c r="V804" s="94"/>
      <c r="W804" s="94"/>
      <c r="X804" s="94"/>
      <c r="Y804" s="94"/>
      <c r="Z804" s="94"/>
      <c r="AA804" s="94"/>
      <c r="AB804" s="94"/>
      <c r="AC804" s="94"/>
      <c r="AD804" s="94"/>
      <c r="AE804" s="94"/>
    </row>
    <row r="805">
      <c r="A805" s="87"/>
      <c r="B805" s="37"/>
      <c r="C805" s="37"/>
      <c r="D805" s="162"/>
      <c r="E805" s="89"/>
      <c r="F805" s="72"/>
      <c r="G805" s="111"/>
      <c r="H805" s="111"/>
      <c r="I805" s="111"/>
      <c r="J805" s="111"/>
      <c r="K805" s="111"/>
      <c r="L805" s="111"/>
      <c r="M805" s="94"/>
      <c r="N805" s="94"/>
      <c r="O805" s="94"/>
      <c r="P805" s="94"/>
      <c r="Q805" s="94"/>
      <c r="R805" s="94"/>
      <c r="S805" s="94"/>
      <c r="T805" s="94"/>
      <c r="U805" s="94"/>
      <c r="V805" s="94"/>
      <c r="W805" s="94"/>
      <c r="X805" s="94"/>
      <c r="Y805" s="94"/>
      <c r="Z805" s="94"/>
      <c r="AA805" s="94"/>
      <c r="AB805" s="94"/>
      <c r="AC805" s="94"/>
      <c r="AD805" s="94"/>
      <c r="AE805" s="94"/>
    </row>
    <row r="806">
      <c r="A806" s="87"/>
      <c r="B806" s="37"/>
      <c r="C806" s="37"/>
      <c r="D806" s="162"/>
      <c r="E806" s="89"/>
      <c r="F806" s="72"/>
      <c r="G806" s="111"/>
      <c r="H806" s="111"/>
      <c r="I806" s="111"/>
      <c r="J806" s="111"/>
      <c r="K806" s="111"/>
      <c r="L806" s="111"/>
      <c r="M806" s="94"/>
      <c r="N806" s="94"/>
      <c r="O806" s="94"/>
      <c r="P806" s="94"/>
      <c r="Q806" s="94"/>
      <c r="R806" s="94"/>
      <c r="S806" s="94"/>
      <c r="T806" s="94"/>
      <c r="U806" s="94"/>
      <c r="V806" s="94"/>
      <c r="W806" s="94"/>
      <c r="X806" s="94"/>
      <c r="Y806" s="94"/>
      <c r="Z806" s="94"/>
      <c r="AA806" s="94"/>
      <c r="AB806" s="94"/>
      <c r="AC806" s="94"/>
      <c r="AD806" s="94"/>
      <c r="AE806" s="94"/>
    </row>
    <row r="807">
      <c r="A807" s="87"/>
      <c r="B807" s="37"/>
      <c r="C807" s="37"/>
      <c r="D807" s="162"/>
      <c r="E807" s="89"/>
      <c r="F807" s="72"/>
      <c r="G807" s="111"/>
      <c r="H807" s="111"/>
      <c r="I807" s="111"/>
      <c r="J807" s="111"/>
      <c r="K807" s="111"/>
      <c r="L807" s="111"/>
      <c r="M807" s="94"/>
      <c r="N807" s="94"/>
      <c r="O807" s="94"/>
      <c r="P807" s="94"/>
      <c r="Q807" s="94"/>
      <c r="R807" s="94"/>
      <c r="S807" s="94"/>
      <c r="T807" s="94"/>
      <c r="U807" s="94"/>
      <c r="V807" s="94"/>
      <c r="W807" s="94"/>
      <c r="X807" s="94"/>
      <c r="Y807" s="94"/>
      <c r="Z807" s="94"/>
      <c r="AA807" s="94"/>
      <c r="AB807" s="94"/>
      <c r="AC807" s="94"/>
      <c r="AD807" s="94"/>
      <c r="AE807" s="94"/>
    </row>
    <row r="808">
      <c r="A808" s="87"/>
      <c r="B808" s="37"/>
      <c r="C808" s="37"/>
      <c r="D808" s="162"/>
      <c r="E808" s="89"/>
      <c r="F808" s="72"/>
      <c r="G808" s="111"/>
      <c r="H808" s="111"/>
      <c r="I808" s="111"/>
      <c r="J808" s="111"/>
      <c r="K808" s="111"/>
      <c r="L808" s="111"/>
      <c r="M808" s="94"/>
      <c r="N808" s="94"/>
      <c r="O808" s="94"/>
      <c r="P808" s="94"/>
      <c r="Q808" s="94"/>
      <c r="R808" s="94"/>
      <c r="S808" s="94"/>
      <c r="T808" s="94"/>
      <c r="U808" s="94"/>
      <c r="V808" s="94"/>
      <c r="W808" s="94"/>
      <c r="X808" s="94"/>
      <c r="Y808" s="94"/>
      <c r="Z808" s="94"/>
      <c r="AA808" s="94"/>
      <c r="AB808" s="94"/>
      <c r="AC808" s="94"/>
      <c r="AD808" s="94"/>
      <c r="AE808" s="94"/>
    </row>
    <row r="809">
      <c r="A809" s="87"/>
      <c r="B809" s="37"/>
      <c r="C809" s="37"/>
      <c r="D809" s="162"/>
      <c r="E809" s="89"/>
      <c r="F809" s="72"/>
      <c r="G809" s="111"/>
      <c r="H809" s="111"/>
      <c r="I809" s="111"/>
      <c r="J809" s="111"/>
      <c r="K809" s="111"/>
      <c r="L809" s="111"/>
      <c r="M809" s="94"/>
      <c r="N809" s="94"/>
      <c r="O809" s="94"/>
      <c r="P809" s="94"/>
      <c r="Q809" s="94"/>
      <c r="R809" s="94"/>
      <c r="S809" s="94"/>
      <c r="T809" s="94"/>
      <c r="U809" s="94"/>
      <c r="V809" s="94"/>
      <c r="W809" s="94"/>
      <c r="X809" s="94"/>
      <c r="Y809" s="94"/>
      <c r="Z809" s="94"/>
      <c r="AA809" s="94"/>
      <c r="AB809" s="94"/>
      <c r="AC809" s="94"/>
      <c r="AD809" s="94"/>
      <c r="AE809" s="94"/>
    </row>
    <row r="810">
      <c r="A810" s="87"/>
      <c r="B810" s="37"/>
      <c r="C810" s="37"/>
      <c r="D810" s="162"/>
      <c r="E810" s="89"/>
      <c r="F810" s="72"/>
      <c r="G810" s="111"/>
      <c r="H810" s="111"/>
      <c r="I810" s="111"/>
      <c r="J810" s="111"/>
      <c r="K810" s="111"/>
      <c r="L810" s="111"/>
      <c r="M810" s="94"/>
      <c r="N810" s="94"/>
      <c r="O810" s="94"/>
      <c r="P810" s="94"/>
      <c r="Q810" s="94"/>
      <c r="R810" s="94"/>
      <c r="S810" s="94"/>
      <c r="T810" s="94"/>
      <c r="U810" s="94"/>
      <c r="V810" s="94"/>
      <c r="W810" s="94"/>
      <c r="X810" s="94"/>
      <c r="Y810" s="94"/>
      <c r="Z810" s="94"/>
      <c r="AA810" s="94"/>
      <c r="AB810" s="94"/>
      <c r="AC810" s="94"/>
      <c r="AD810" s="94"/>
      <c r="AE810" s="94"/>
    </row>
    <row r="811">
      <c r="A811" s="87"/>
      <c r="B811" s="37"/>
      <c r="C811" s="37"/>
      <c r="D811" s="162"/>
      <c r="E811" s="89"/>
      <c r="F811" s="72"/>
      <c r="G811" s="111"/>
      <c r="H811" s="111"/>
      <c r="I811" s="111"/>
      <c r="J811" s="111"/>
      <c r="K811" s="111"/>
      <c r="L811" s="111"/>
      <c r="M811" s="94"/>
      <c r="N811" s="94"/>
      <c r="O811" s="94"/>
      <c r="P811" s="94"/>
      <c r="Q811" s="94"/>
      <c r="R811" s="94"/>
      <c r="S811" s="94"/>
      <c r="T811" s="94"/>
      <c r="U811" s="94"/>
      <c r="V811" s="94"/>
      <c r="W811" s="94"/>
      <c r="X811" s="94"/>
      <c r="Y811" s="94"/>
      <c r="Z811" s="94"/>
      <c r="AA811" s="94"/>
      <c r="AB811" s="94"/>
      <c r="AC811" s="94"/>
      <c r="AD811" s="94"/>
      <c r="AE811" s="94"/>
    </row>
    <row r="812">
      <c r="A812" s="87"/>
      <c r="B812" s="37"/>
      <c r="C812" s="37"/>
      <c r="D812" s="162"/>
      <c r="E812" s="89"/>
      <c r="F812" s="72"/>
      <c r="G812" s="111"/>
      <c r="H812" s="111"/>
      <c r="I812" s="111"/>
      <c r="J812" s="111"/>
      <c r="K812" s="111"/>
      <c r="L812" s="111"/>
      <c r="M812" s="94"/>
      <c r="N812" s="94"/>
      <c r="O812" s="94"/>
      <c r="P812" s="94"/>
      <c r="Q812" s="94"/>
      <c r="R812" s="94"/>
      <c r="S812" s="94"/>
      <c r="T812" s="94"/>
      <c r="U812" s="94"/>
      <c r="V812" s="94"/>
      <c r="W812" s="94"/>
      <c r="X812" s="94"/>
      <c r="Y812" s="94"/>
      <c r="Z812" s="94"/>
      <c r="AA812" s="94"/>
      <c r="AB812" s="94"/>
      <c r="AC812" s="94"/>
      <c r="AD812" s="94"/>
      <c r="AE812" s="94"/>
    </row>
    <row r="813">
      <c r="A813" s="87"/>
      <c r="B813" s="37"/>
      <c r="C813" s="37"/>
      <c r="D813" s="162"/>
      <c r="E813" s="89"/>
      <c r="F813" s="72"/>
      <c r="G813" s="111"/>
      <c r="H813" s="111"/>
      <c r="I813" s="111"/>
      <c r="J813" s="111"/>
      <c r="K813" s="111"/>
      <c r="L813" s="111"/>
      <c r="M813" s="94"/>
      <c r="N813" s="94"/>
      <c r="O813" s="94"/>
      <c r="P813" s="94"/>
      <c r="Q813" s="94"/>
      <c r="R813" s="94"/>
      <c r="S813" s="94"/>
      <c r="T813" s="94"/>
      <c r="U813" s="94"/>
      <c r="V813" s="94"/>
      <c r="W813" s="94"/>
      <c r="X813" s="94"/>
      <c r="Y813" s="94"/>
      <c r="Z813" s="94"/>
      <c r="AA813" s="94"/>
      <c r="AB813" s="94"/>
      <c r="AC813" s="94"/>
      <c r="AD813" s="94"/>
      <c r="AE813" s="94"/>
    </row>
    <row r="814">
      <c r="A814" s="87"/>
      <c r="B814" s="37"/>
      <c r="C814" s="37"/>
      <c r="D814" s="162"/>
      <c r="E814" s="89"/>
      <c r="F814" s="72"/>
      <c r="G814" s="111"/>
      <c r="H814" s="111"/>
      <c r="I814" s="111"/>
      <c r="J814" s="111"/>
      <c r="K814" s="111"/>
      <c r="L814" s="111"/>
      <c r="M814" s="94"/>
      <c r="N814" s="94"/>
      <c r="O814" s="94"/>
      <c r="P814" s="94"/>
      <c r="Q814" s="94"/>
      <c r="R814" s="94"/>
      <c r="S814" s="94"/>
      <c r="T814" s="94"/>
      <c r="U814" s="94"/>
      <c r="V814" s="94"/>
      <c r="W814" s="94"/>
      <c r="X814" s="94"/>
      <c r="Y814" s="94"/>
      <c r="Z814" s="94"/>
      <c r="AA814" s="94"/>
      <c r="AB814" s="94"/>
      <c r="AC814" s="94"/>
      <c r="AD814" s="94"/>
      <c r="AE814" s="94"/>
    </row>
    <row r="815">
      <c r="A815" s="87"/>
      <c r="B815" s="37"/>
      <c r="C815" s="37"/>
      <c r="D815" s="162"/>
      <c r="E815" s="89"/>
      <c r="F815" s="72"/>
      <c r="G815" s="111"/>
      <c r="H815" s="111"/>
      <c r="I815" s="111"/>
      <c r="J815" s="111"/>
      <c r="K815" s="111"/>
      <c r="L815" s="111"/>
      <c r="M815" s="94"/>
      <c r="N815" s="94"/>
      <c r="O815" s="94"/>
      <c r="P815" s="94"/>
      <c r="Q815" s="94"/>
      <c r="R815" s="94"/>
      <c r="S815" s="94"/>
      <c r="T815" s="94"/>
      <c r="U815" s="94"/>
      <c r="V815" s="94"/>
      <c r="W815" s="94"/>
      <c r="X815" s="94"/>
      <c r="Y815" s="94"/>
      <c r="Z815" s="94"/>
      <c r="AA815" s="94"/>
      <c r="AB815" s="94"/>
      <c r="AC815" s="94"/>
      <c r="AD815" s="94"/>
      <c r="AE815" s="94"/>
    </row>
    <row r="816">
      <c r="A816" s="87"/>
      <c r="B816" s="37"/>
      <c r="C816" s="37"/>
      <c r="D816" s="162"/>
      <c r="E816" s="89"/>
      <c r="F816" s="72"/>
      <c r="G816" s="111"/>
      <c r="H816" s="111"/>
      <c r="I816" s="111"/>
      <c r="J816" s="111"/>
      <c r="K816" s="111"/>
      <c r="L816" s="111"/>
      <c r="M816" s="94"/>
      <c r="N816" s="94"/>
      <c r="O816" s="94"/>
      <c r="P816" s="94"/>
      <c r="Q816" s="94"/>
      <c r="R816" s="94"/>
      <c r="S816" s="94"/>
      <c r="T816" s="94"/>
      <c r="U816" s="94"/>
      <c r="V816" s="94"/>
      <c r="W816" s="94"/>
      <c r="X816" s="94"/>
      <c r="Y816" s="94"/>
      <c r="Z816" s="94"/>
      <c r="AA816" s="94"/>
      <c r="AB816" s="94"/>
      <c r="AC816" s="94"/>
      <c r="AD816" s="94"/>
      <c r="AE816" s="94"/>
    </row>
    <row r="817">
      <c r="A817" s="87"/>
      <c r="B817" s="37"/>
      <c r="C817" s="37"/>
      <c r="D817" s="162"/>
      <c r="E817" s="89"/>
      <c r="F817" s="72"/>
      <c r="G817" s="111"/>
      <c r="H817" s="111"/>
      <c r="I817" s="111"/>
      <c r="J817" s="111"/>
      <c r="K817" s="111"/>
      <c r="L817" s="111"/>
      <c r="M817" s="94"/>
      <c r="N817" s="94"/>
      <c r="O817" s="94"/>
      <c r="P817" s="94"/>
      <c r="Q817" s="94"/>
      <c r="R817" s="94"/>
      <c r="S817" s="94"/>
      <c r="T817" s="94"/>
      <c r="U817" s="94"/>
      <c r="V817" s="94"/>
      <c r="W817" s="94"/>
      <c r="X817" s="94"/>
      <c r="Y817" s="94"/>
      <c r="Z817" s="94"/>
      <c r="AA817" s="94"/>
      <c r="AB817" s="94"/>
      <c r="AC817" s="94"/>
      <c r="AD817" s="94"/>
      <c r="AE817" s="94"/>
    </row>
    <row r="818">
      <c r="A818" s="87"/>
      <c r="B818" s="37"/>
      <c r="C818" s="37"/>
      <c r="D818" s="162"/>
      <c r="E818" s="89"/>
      <c r="F818" s="72"/>
      <c r="G818" s="111"/>
      <c r="H818" s="111"/>
      <c r="I818" s="111"/>
      <c r="J818" s="111"/>
      <c r="K818" s="111"/>
      <c r="L818" s="111"/>
      <c r="M818" s="94"/>
      <c r="N818" s="94"/>
      <c r="O818" s="94"/>
      <c r="P818" s="94"/>
      <c r="Q818" s="94"/>
      <c r="R818" s="94"/>
      <c r="S818" s="94"/>
      <c r="T818" s="94"/>
      <c r="U818" s="94"/>
      <c r="V818" s="94"/>
      <c r="W818" s="94"/>
      <c r="X818" s="94"/>
      <c r="Y818" s="94"/>
      <c r="Z818" s="94"/>
      <c r="AA818" s="94"/>
      <c r="AB818" s="94"/>
      <c r="AC818" s="94"/>
      <c r="AD818" s="94"/>
      <c r="AE818" s="94"/>
    </row>
    <row r="819">
      <c r="A819" s="87"/>
      <c r="B819" s="37"/>
      <c r="C819" s="37"/>
      <c r="D819" s="162"/>
      <c r="E819" s="89"/>
      <c r="F819" s="72"/>
      <c r="G819" s="111"/>
      <c r="H819" s="111"/>
      <c r="I819" s="111"/>
      <c r="J819" s="111"/>
      <c r="K819" s="111"/>
      <c r="L819" s="111"/>
      <c r="M819" s="94"/>
      <c r="N819" s="94"/>
      <c r="O819" s="94"/>
      <c r="P819" s="94"/>
      <c r="Q819" s="94"/>
      <c r="R819" s="94"/>
      <c r="S819" s="94"/>
      <c r="T819" s="94"/>
      <c r="U819" s="94"/>
      <c r="V819" s="94"/>
      <c r="W819" s="94"/>
      <c r="X819" s="94"/>
      <c r="Y819" s="94"/>
      <c r="Z819" s="94"/>
      <c r="AA819" s="94"/>
      <c r="AB819" s="94"/>
      <c r="AC819" s="94"/>
      <c r="AD819" s="94"/>
      <c r="AE819" s="94"/>
    </row>
    <row r="820">
      <c r="A820" s="87"/>
      <c r="B820" s="37"/>
      <c r="C820" s="37"/>
      <c r="D820" s="162"/>
      <c r="E820" s="89"/>
      <c r="F820" s="72"/>
      <c r="G820" s="111"/>
      <c r="H820" s="111"/>
      <c r="I820" s="111"/>
      <c r="J820" s="111"/>
      <c r="K820" s="111"/>
      <c r="L820" s="111"/>
      <c r="M820" s="94"/>
      <c r="N820" s="94"/>
      <c r="O820" s="94"/>
      <c r="P820" s="94"/>
      <c r="Q820" s="94"/>
      <c r="R820" s="94"/>
      <c r="S820" s="94"/>
      <c r="T820" s="94"/>
      <c r="U820" s="94"/>
      <c r="V820" s="94"/>
      <c r="W820" s="94"/>
      <c r="X820" s="94"/>
      <c r="Y820" s="94"/>
      <c r="Z820" s="94"/>
      <c r="AA820" s="94"/>
      <c r="AB820" s="94"/>
      <c r="AC820" s="94"/>
      <c r="AD820" s="94"/>
      <c r="AE820" s="94"/>
    </row>
    <row r="821">
      <c r="A821" s="87"/>
      <c r="B821" s="37"/>
      <c r="C821" s="37"/>
      <c r="D821" s="162"/>
      <c r="E821" s="89"/>
      <c r="F821" s="72"/>
      <c r="G821" s="111"/>
      <c r="H821" s="111"/>
      <c r="I821" s="111"/>
      <c r="J821" s="111"/>
      <c r="K821" s="111"/>
      <c r="L821" s="111"/>
      <c r="M821" s="94"/>
      <c r="N821" s="94"/>
      <c r="O821" s="94"/>
      <c r="P821" s="94"/>
      <c r="Q821" s="94"/>
      <c r="R821" s="94"/>
      <c r="S821" s="94"/>
      <c r="T821" s="94"/>
      <c r="U821" s="94"/>
      <c r="V821" s="94"/>
      <c r="W821" s="94"/>
      <c r="X821" s="94"/>
      <c r="Y821" s="94"/>
      <c r="Z821" s="94"/>
      <c r="AA821" s="94"/>
      <c r="AB821" s="94"/>
      <c r="AC821" s="94"/>
      <c r="AD821" s="94"/>
      <c r="AE821" s="94"/>
    </row>
    <row r="822">
      <c r="A822" s="87"/>
      <c r="B822" s="37"/>
      <c r="C822" s="37"/>
      <c r="D822" s="162"/>
      <c r="E822" s="89"/>
      <c r="F822" s="72"/>
      <c r="G822" s="111"/>
      <c r="H822" s="111"/>
      <c r="I822" s="111"/>
      <c r="J822" s="111"/>
      <c r="K822" s="111"/>
      <c r="L822" s="111"/>
      <c r="M822" s="94"/>
      <c r="N822" s="94"/>
      <c r="O822" s="94"/>
      <c r="P822" s="94"/>
      <c r="Q822" s="94"/>
      <c r="R822" s="94"/>
      <c r="S822" s="94"/>
      <c r="T822" s="94"/>
      <c r="U822" s="94"/>
      <c r="V822" s="94"/>
      <c r="W822" s="94"/>
      <c r="X822" s="94"/>
      <c r="Y822" s="94"/>
      <c r="Z822" s="94"/>
      <c r="AA822" s="94"/>
      <c r="AB822" s="94"/>
      <c r="AC822" s="94"/>
      <c r="AD822" s="94"/>
      <c r="AE822" s="94"/>
    </row>
    <row r="823">
      <c r="A823" s="87"/>
      <c r="B823" s="37"/>
      <c r="C823" s="37"/>
      <c r="D823" s="162"/>
      <c r="E823" s="89"/>
      <c r="F823" s="72"/>
      <c r="G823" s="111"/>
      <c r="H823" s="111"/>
      <c r="I823" s="111"/>
      <c r="J823" s="111"/>
      <c r="K823" s="111"/>
      <c r="L823" s="111"/>
      <c r="M823" s="94"/>
      <c r="N823" s="94"/>
      <c r="O823" s="94"/>
      <c r="P823" s="94"/>
      <c r="Q823" s="94"/>
      <c r="R823" s="94"/>
      <c r="S823" s="94"/>
      <c r="T823" s="94"/>
      <c r="U823" s="94"/>
      <c r="V823" s="94"/>
      <c r="W823" s="94"/>
      <c r="X823" s="94"/>
      <c r="Y823" s="94"/>
      <c r="Z823" s="94"/>
      <c r="AA823" s="94"/>
      <c r="AB823" s="94"/>
      <c r="AC823" s="94"/>
      <c r="AD823" s="94"/>
      <c r="AE823" s="94"/>
    </row>
    <row r="824">
      <c r="A824" s="87"/>
      <c r="B824" s="37"/>
      <c r="C824" s="37"/>
      <c r="D824" s="162"/>
      <c r="E824" s="89"/>
      <c r="F824" s="72"/>
      <c r="G824" s="111"/>
      <c r="H824" s="111"/>
      <c r="I824" s="111"/>
      <c r="J824" s="111"/>
      <c r="K824" s="111"/>
      <c r="L824" s="111"/>
      <c r="M824" s="94"/>
      <c r="N824" s="94"/>
      <c r="O824" s="94"/>
      <c r="P824" s="94"/>
      <c r="Q824" s="94"/>
      <c r="R824" s="94"/>
      <c r="S824" s="94"/>
      <c r="T824" s="94"/>
      <c r="U824" s="94"/>
      <c r="V824" s="94"/>
      <c r="W824" s="94"/>
      <c r="X824" s="94"/>
      <c r="Y824" s="94"/>
      <c r="Z824" s="94"/>
      <c r="AA824" s="94"/>
      <c r="AB824" s="94"/>
      <c r="AC824" s="94"/>
      <c r="AD824" s="94"/>
      <c r="AE824" s="94"/>
    </row>
    <row r="825">
      <c r="A825" s="87"/>
      <c r="B825" s="37"/>
      <c r="C825" s="37"/>
      <c r="D825" s="162"/>
      <c r="E825" s="89"/>
      <c r="F825" s="72"/>
      <c r="G825" s="111"/>
      <c r="H825" s="111"/>
      <c r="I825" s="111"/>
      <c r="J825" s="111"/>
      <c r="K825" s="111"/>
      <c r="L825" s="111"/>
      <c r="M825" s="94"/>
      <c r="N825" s="94"/>
      <c r="O825" s="94"/>
      <c r="P825" s="94"/>
      <c r="Q825" s="94"/>
      <c r="R825" s="94"/>
      <c r="S825" s="94"/>
      <c r="T825" s="94"/>
      <c r="U825" s="94"/>
      <c r="V825" s="94"/>
      <c r="W825" s="94"/>
      <c r="X825" s="94"/>
      <c r="Y825" s="94"/>
      <c r="Z825" s="94"/>
      <c r="AA825" s="94"/>
      <c r="AB825" s="94"/>
      <c r="AC825" s="94"/>
      <c r="AD825" s="94"/>
      <c r="AE825" s="94"/>
    </row>
    <row r="826">
      <c r="A826" s="87"/>
      <c r="B826" s="37"/>
      <c r="C826" s="37"/>
      <c r="D826" s="162"/>
      <c r="E826" s="89"/>
      <c r="F826" s="72"/>
      <c r="G826" s="111"/>
      <c r="H826" s="111"/>
      <c r="I826" s="111"/>
      <c r="J826" s="111"/>
      <c r="K826" s="111"/>
      <c r="L826" s="111"/>
      <c r="M826" s="94"/>
      <c r="N826" s="94"/>
      <c r="O826" s="94"/>
      <c r="P826" s="94"/>
      <c r="Q826" s="94"/>
      <c r="R826" s="94"/>
      <c r="S826" s="94"/>
      <c r="T826" s="94"/>
      <c r="U826" s="94"/>
      <c r="V826" s="94"/>
      <c r="W826" s="94"/>
      <c r="X826" s="94"/>
      <c r="Y826" s="94"/>
      <c r="Z826" s="94"/>
      <c r="AA826" s="94"/>
      <c r="AB826" s="94"/>
      <c r="AC826" s="94"/>
      <c r="AD826" s="94"/>
      <c r="AE826" s="94"/>
    </row>
    <row r="827">
      <c r="A827" s="87"/>
      <c r="B827" s="37"/>
      <c r="C827" s="37"/>
      <c r="D827" s="162"/>
      <c r="E827" s="89"/>
      <c r="F827" s="72"/>
      <c r="G827" s="111"/>
      <c r="H827" s="111"/>
      <c r="I827" s="111"/>
      <c r="J827" s="111"/>
      <c r="K827" s="111"/>
      <c r="L827" s="111"/>
      <c r="M827" s="94"/>
      <c r="N827" s="94"/>
      <c r="O827" s="94"/>
      <c r="P827" s="94"/>
      <c r="Q827" s="94"/>
      <c r="R827" s="94"/>
      <c r="S827" s="94"/>
      <c r="T827" s="94"/>
      <c r="U827" s="94"/>
      <c r="V827" s="94"/>
      <c r="W827" s="94"/>
      <c r="X827" s="94"/>
      <c r="Y827" s="94"/>
      <c r="Z827" s="94"/>
      <c r="AA827" s="94"/>
      <c r="AB827" s="94"/>
      <c r="AC827" s="94"/>
      <c r="AD827" s="94"/>
      <c r="AE827" s="94"/>
    </row>
    <row r="828">
      <c r="A828" s="87"/>
      <c r="B828" s="37"/>
      <c r="C828" s="37"/>
      <c r="D828" s="162"/>
      <c r="E828" s="89"/>
      <c r="F828" s="72"/>
      <c r="G828" s="111"/>
      <c r="H828" s="111"/>
      <c r="I828" s="111"/>
      <c r="J828" s="111"/>
      <c r="K828" s="111"/>
      <c r="L828" s="111"/>
      <c r="M828" s="94"/>
      <c r="N828" s="94"/>
      <c r="O828" s="94"/>
      <c r="P828" s="94"/>
      <c r="Q828" s="94"/>
      <c r="R828" s="94"/>
      <c r="S828" s="94"/>
      <c r="T828" s="94"/>
      <c r="U828" s="94"/>
      <c r="V828" s="94"/>
      <c r="W828" s="94"/>
      <c r="X828" s="94"/>
      <c r="Y828" s="94"/>
      <c r="Z828" s="94"/>
      <c r="AA828" s="94"/>
      <c r="AB828" s="94"/>
      <c r="AC828" s="94"/>
      <c r="AD828" s="94"/>
      <c r="AE828" s="94"/>
    </row>
    <row r="829">
      <c r="A829" s="87"/>
      <c r="B829" s="37"/>
      <c r="C829" s="37"/>
      <c r="D829" s="162"/>
      <c r="E829" s="89"/>
      <c r="F829" s="72"/>
      <c r="G829" s="111"/>
      <c r="H829" s="111"/>
      <c r="I829" s="111"/>
      <c r="J829" s="111"/>
      <c r="K829" s="111"/>
      <c r="L829" s="111"/>
      <c r="M829" s="94"/>
      <c r="N829" s="94"/>
      <c r="O829" s="94"/>
      <c r="P829" s="94"/>
      <c r="Q829" s="94"/>
      <c r="R829" s="94"/>
      <c r="S829" s="94"/>
      <c r="T829" s="94"/>
      <c r="U829" s="94"/>
      <c r="V829" s="94"/>
      <c r="W829" s="94"/>
      <c r="X829" s="94"/>
      <c r="Y829" s="94"/>
      <c r="Z829" s="94"/>
      <c r="AA829" s="94"/>
      <c r="AB829" s="94"/>
      <c r="AC829" s="94"/>
      <c r="AD829" s="94"/>
      <c r="AE829" s="94"/>
    </row>
    <row r="830">
      <c r="A830" s="87"/>
      <c r="B830" s="37"/>
      <c r="C830" s="37"/>
      <c r="D830" s="162"/>
      <c r="E830" s="89"/>
      <c r="F830" s="72"/>
      <c r="G830" s="111"/>
      <c r="H830" s="111"/>
      <c r="I830" s="111"/>
      <c r="J830" s="111"/>
      <c r="K830" s="111"/>
      <c r="L830" s="111"/>
      <c r="M830" s="94"/>
      <c r="N830" s="94"/>
      <c r="O830" s="94"/>
      <c r="P830" s="94"/>
      <c r="Q830" s="94"/>
      <c r="R830" s="94"/>
      <c r="S830" s="94"/>
      <c r="T830" s="94"/>
      <c r="U830" s="94"/>
      <c r="V830" s="94"/>
      <c r="W830" s="94"/>
      <c r="X830" s="94"/>
      <c r="Y830" s="94"/>
      <c r="Z830" s="94"/>
      <c r="AA830" s="94"/>
      <c r="AB830" s="94"/>
      <c r="AC830" s="94"/>
      <c r="AD830" s="94"/>
      <c r="AE830" s="94"/>
    </row>
    <row r="831">
      <c r="A831" s="87"/>
      <c r="B831" s="37"/>
      <c r="C831" s="37"/>
      <c r="D831" s="162"/>
      <c r="E831" s="89"/>
      <c r="F831" s="72"/>
      <c r="G831" s="111"/>
      <c r="H831" s="111"/>
      <c r="I831" s="111"/>
      <c r="J831" s="111"/>
      <c r="K831" s="111"/>
      <c r="L831" s="111"/>
      <c r="M831" s="94"/>
      <c r="N831" s="94"/>
      <c r="O831" s="94"/>
      <c r="P831" s="94"/>
      <c r="Q831" s="94"/>
      <c r="R831" s="94"/>
      <c r="S831" s="94"/>
      <c r="T831" s="94"/>
      <c r="U831" s="94"/>
      <c r="V831" s="94"/>
      <c r="W831" s="94"/>
      <c r="X831" s="94"/>
      <c r="Y831" s="94"/>
      <c r="Z831" s="94"/>
      <c r="AA831" s="94"/>
      <c r="AB831" s="94"/>
      <c r="AC831" s="94"/>
      <c r="AD831" s="94"/>
      <c r="AE831" s="94"/>
    </row>
    <row r="832">
      <c r="A832" s="87"/>
      <c r="B832" s="37"/>
      <c r="C832" s="37"/>
      <c r="D832" s="162"/>
      <c r="E832" s="89"/>
      <c r="F832" s="72"/>
      <c r="G832" s="111"/>
      <c r="H832" s="111"/>
      <c r="I832" s="111"/>
      <c r="J832" s="111"/>
      <c r="K832" s="111"/>
      <c r="L832" s="111"/>
      <c r="M832" s="94"/>
      <c r="N832" s="94"/>
      <c r="O832" s="94"/>
      <c r="P832" s="94"/>
      <c r="Q832" s="94"/>
      <c r="R832" s="94"/>
      <c r="S832" s="94"/>
      <c r="T832" s="94"/>
      <c r="U832" s="94"/>
      <c r="V832" s="94"/>
      <c r="W832" s="94"/>
      <c r="X832" s="94"/>
      <c r="Y832" s="94"/>
      <c r="Z832" s="94"/>
      <c r="AA832" s="94"/>
      <c r="AB832" s="94"/>
      <c r="AC832" s="94"/>
      <c r="AD832" s="94"/>
      <c r="AE832" s="94"/>
    </row>
    <row r="833">
      <c r="A833" s="87"/>
      <c r="B833" s="37"/>
      <c r="C833" s="37"/>
      <c r="D833" s="162"/>
      <c r="E833" s="89"/>
      <c r="F833" s="72"/>
      <c r="G833" s="111"/>
      <c r="H833" s="111"/>
      <c r="I833" s="111"/>
      <c r="J833" s="111"/>
      <c r="K833" s="111"/>
      <c r="L833" s="111"/>
      <c r="M833" s="94"/>
      <c r="N833" s="94"/>
      <c r="O833" s="94"/>
      <c r="P833" s="94"/>
      <c r="Q833" s="94"/>
      <c r="R833" s="94"/>
      <c r="S833" s="94"/>
      <c r="T833" s="94"/>
      <c r="U833" s="94"/>
      <c r="V833" s="94"/>
      <c r="W833" s="94"/>
      <c r="X833" s="94"/>
      <c r="Y833" s="94"/>
      <c r="Z833" s="94"/>
      <c r="AA833" s="94"/>
      <c r="AB833" s="94"/>
      <c r="AC833" s="94"/>
      <c r="AD833" s="94"/>
      <c r="AE833" s="94"/>
    </row>
    <row r="834">
      <c r="A834" s="87"/>
      <c r="B834" s="37"/>
      <c r="C834" s="37"/>
      <c r="D834" s="162"/>
      <c r="E834" s="89"/>
      <c r="F834" s="72"/>
      <c r="G834" s="111"/>
      <c r="H834" s="111"/>
      <c r="I834" s="111"/>
      <c r="J834" s="111"/>
      <c r="K834" s="111"/>
      <c r="L834" s="111"/>
      <c r="M834" s="94"/>
      <c r="N834" s="94"/>
      <c r="O834" s="94"/>
      <c r="P834" s="94"/>
      <c r="Q834" s="94"/>
      <c r="R834" s="94"/>
      <c r="S834" s="94"/>
      <c r="T834" s="94"/>
      <c r="U834" s="94"/>
      <c r="V834" s="94"/>
      <c r="W834" s="94"/>
      <c r="X834" s="94"/>
      <c r="Y834" s="94"/>
      <c r="Z834" s="94"/>
      <c r="AA834" s="94"/>
      <c r="AB834" s="94"/>
      <c r="AC834" s="94"/>
      <c r="AD834" s="94"/>
      <c r="AE834" s="94"/>
    </row>
    <row r="835">
      <c r="A835" s="87"/>
      <c r="B835" s="37"/>
      <c r="C835" s="37"/>
      <c r="D835" s="162"/>
      <c r="E835" s="89"/>
      <c r="F835" s="72"/>
      <c r="G835" s="111"/>
      <c r="H835" s="111"/>
      <c r="I835" s="111"/>
      <c r="J835" s="111"/>
      <c r="K835" s="111"/>
      <c r="L835" s="111"/>
      <c r="M835" s="94"/>
      <c r="N835" s="94"/>
      <c r="O835" s="94"/>
      <c r="P835" s="94"/>
      <c r="Q835" s="94"/>
      <c r="R835" s="94"/>
      <c r="S835" s="94"/>
      <c r="T835" s="94"/>
      <c r="U835" s="94"/>
      <c r="V835" s="94"/>
      <c r="W835" s="94"/>
      <c r="X835" s="94"/>
      <c r="Y835" s="94"/>
      <c r="Z835" s="94"/>
      <c r="AA835" s="94"/>
      <c r="AB835" s="94"/>
      <c r="AC835" s="94"/>
      <c r="AD835" s="94"/>
      <c r="AE835" s="94"/>
    </row>
    <row r="836">
      <c r="A836" s="87"/>
      <c r="B836" s="37"/>
      <c r="C836" s="37"/>
      <c r="D836" s="162"/>
      <c r="E836" s="89"/>
      <c r="F836" s="72"/>
      <c r="G836" s="111"/>
      <c r="H836" s="111"/>
      <c r="I836" s="111"/>
      <c r="J836" s="111"/>
      <c r="K836" s="111"/>
      <c r="L836" s="111"/>
      <c r="M836" s="94"/>
      <c r="N836" s="94"/>
      <c r="O836" s="94"/>
      <c r="P836" s="94"/>
      <c r="Q836" s="94"/>
      <c r="R836" s="94"/>
      <c r="S836" s="94"/>
      <c r="T836" s="94"/>
      <c r="U836" s="94"/>
      <c r="V836" s="94"/>
      <c r="W836" s="94"/>
      <c r="X836" s="94"/>
      <c r="Y836" s="94"/>
      <c r="Z836" s="94"/>
      <c r="AA836" s="94"/>
      <c r="AB836" s="94"/>
      <c r="AC836" s="94"/>
      <c r="AD836" s="94"/>
      <c r="AE836" s="94"/>
    </row>
    <row r="837">
      <c r="A837" s="87"/>
      <c r="B837" s="37"/>
      <c r="C837" s="37"/>
      <c r="D837" s="162"/>
      <c r="E837" s="89"/>
      <c r="F837" s="72"/>
      <c r="G837" s="111"/>
      <c r="H837" s="111"/>
      <c r="I837" s="111"/>
      <c r="J837" s="111"/>
      <c r="K837" s="111"/>
      <c r="L837" s="111"/>
      <c r="M837" s="94"/>
      <c r="N837" s="94"/>
      <c r="O837" s="94"/>
      <c r="P837" s="94"/>
      <c r="Q837" s="94"/>
      <c r="R837" s="94"/>
      <c r="S837" s="94"/>
      <c r="T837" s="94"/>
      <c r="U837" s="94"/>
      <c r="V837" s="94"/>
      <c r="W837" s="94"/>
      <c r="X837" s="94"/>
      <c r="Y837" s="94"/>
      <c r="Z837" s="94"/>
      <c r="AA837" s="94"/>
      <c r="AB837" s="94"/>
      <c r="AC837" s="94"/>
      <c r="AD837" s="94"/>
      <c r="AE837" s="94"/>
    </row>
    <row r="838">
      <c r="A838" s="87"/>
      <c r="B838" s="37"/>
      <c r="C838" s="37"/>
      <c r="D838" s="162"/>
      <c r="E838" s="89"/>
      <c r="F838" s="72"/>
      <c r="G838" s="111"/>
      <c r="H838" s="111"/>
      <c r="I838" s="111"/>
      <c r="J838" s="111"/>
      <c r="K838" s="111"/>
      <c r="L838" s="111"/>
      <c r="M838" s="94"/>
      <c r="N838" s="94"/>
      <c r="O838" s="94"/>
      <c r="P838" s="94"/>
      <c r="Q838" s="94"/>
      <c r="R838" s="94"/>
      <c r="S838" s="94"/>
      <c r="T838" s="94"/>
      <c r="U838" s="94"/>
      <c r="V838" s="94"/>
      <c r="W838" s="94"/>
      <c r="X838" s="94"/>
      <c r="Y838" s="94"/>
      <c r="Z838" s="94"/>
      <c r="AA838" s="94"/>
      <c r="AB838" s="94"/>
      <c r="AC838" s="94"/>
      <c r="AD838" s="94"/>
      <c r="AE838" s="94"/>
    </row>
    <row r="839">
      <c r="A839" s="87"/>
      <c r="B839" s="37"/>
      <c r="C839" s="37"/>
      <c r="D839" s="162"/>
      <c r="E839" s="89"/>
      <c r="F839" s="72"/>
      <c r="G839" s="111"/>
      <c r="H839" s="111"/>
      <c r="I839" s="111"/>
      <c r="J839" s="111"/>
      <c r="K839" s="111"/>
      <c r="L839" s="111"/>
      <c r="M839" s="94"/>
      <c r="N839" s="94"/>
      <c r="O839" s="94"/>
      <c r="P839" s="94"/>
      <c r="Q839" s="94"/>
      <c r="R839" s="94"/>
      <c r="S839" s="94"/>
      <c r="T839" s="94"/>
      <c r="U839" s="94"/>
      <c r="V839" s="94"/>
      <c r="W839" s="94"/>
      <c r="X839" s="94"/>
      <c r="Y839" s="94"/>
      <c r="Z839" s="94"/>
      <c r="AA839" s="94"/>
      <c r="AB839" s="94"/>
      <c r="AC839" s="94"/>
      <c r="AD839" s="94"/>
      <c r="AE839" s="94"/>
    </row>
    <row r="840">
      <c r="A840" s="87"/>
      <c r="B840" s="37"/>
      <c r="C840" s="37"/>
      <c r="D840" s="162"/>
      <c r="E840" s="89"/>
      <c r="F840" s="72"/>
      <c r="G840" s="111"/>
      <c r="H840" s="111"/>
      <c r="I840" s="111"/>
      <c r="J840" s="111"/>
      <c r="K840" s="111"/>
      <c r="L840" s="111"/>
      <c r="M840" s="94"/>
      <c r="N840" s="94"/>
      <c r="O840" s="94"/>
      <c r="P840" s="94"/>
      <c r="Q840" s="94"/>
      <c r="R840" s="94"/>
      <c r="S840" s="94"/>
      <c r="T840" s="94"/>
      <c r="U840" s="94"/>
      <c r="V840" s="94"/>
      <c r="W840" s="94"/>
      <c r="X840" s="94"/>
      <c r="Y840" s="94"/>
      <c r="Z840" s="94"/>
      <c r="AA840" s="94"/>
      <c r="AB840" s="94"/>
      <c r="AC840" s="94"/>
      <c r="AD840" s="94"/>
      <c r="AE840" s="94"/>
    </row>
    <row r="841">
      <c r="A841" s="87"/>
      <c r="B841" s="37"/>
      <c r="C841" s="37"/>
      <c r="D841" s="162"/>
      <c r="E841" s="89"/>
      <c r="F841" s="72"/>
      <c r="G841" s="111"/>
      <c r="H841" s="111"/>
      <c r="I841" s="111"/>
      <c r="J841" s="111"/>
      <c r="K841" s="111"/>
      <c r="L841" s="111"/>
      <c r="M841" s="94"/>
      <c r="N841" s="94"/>
      <c r="O841" s="94"/>
      <c r="P841" s="94"/>
      <c r="Q841" s="94"/>
      <c r="R841" s="94"/>
      <c r="S841" s="94"/>
      <c r="T841" s="94"/>
      <c r="U841" s="94"/>
      <c r="V841" s="94"/>
      <c r="W841" s="94"/>
      <c r="X841" s="94"/>
      <c r="Y841" s="94"/>
      <c r="Z841" s="94"/>
      <c r="AA841" s="94"/>
      <c r="AB841" s="94"/>
      <c r="AC841" s="94"/>
      <c r="AD841" s="94"/>
      <c r="AE841" s="94"/>
    </row>
    <row r="842">
      <c r="A842" s="87"/>
      <c r="B842" s="37"/>
      <c r="C842" s="37"/>
      <c r="D842" s="162"/>
      <c r="E842" s="89"/>
      <c r="F842" s="72"/>
      <c r="G842" s="111"/>
      <c r="H842" s="111"/>
      <c r="I842" s="111"/>
      <c r="J842" s="111"/>
      <c r="K842" s="111"/>
      <c r="L842" s="111"/>
      <c r="M842" s="94"/>
      <c r="N842" s="94"/>
      <c r="O842" s="94"/>
      <c r="P842" s="94"/>
      <c r="Q842" s="94"/>
      <c r="R842" s="94"/>
      <c r="S842" s="94"/>
      <c r="T842" s="94"/>
      <c r="U842" s="94"/>
      <c r="V842" s="94"/>
      <c r="W842" s="94"/>
      <c r="X842" s="94"/>
      <c r="Y842" s="94"/>
      <c r="Z842" s="94"/>
      <c r="AA842" s="94"/>
      <c r="AB842" s="94"/>
      <c r="AC842" s="94"/>
      <c r="AD842" s="94"/>
      <c r="AE842" s="94"/>
    </row>
    <row r="843">
      <c r="A843" s="87"/>
      <c r="B843" s="37"/>
      <c r="C843" s="37"/>
      <c r="D843" s="162"/>
      <c r="E843" s="89"/>
      <c r="F843" s="72"/>
      <c r="G843" s="111"/>
      <c r="H843" s="111"/>
      <c r="I843" s="111"/>
      <c r="J843" s="111"/>
      <c r="K843" s="111"/>
      <c r="L843" s="111"/>
      <c r="M843" s="94"/>
      <c r="N843" s="94"/>
      <c r="O843" s="94"/>
      <c r="P843" s="94"/>
      <c r="Q843" s="94"/>
      <c r="R843" s="94"/>
      <c r="S843" s="94"/>
      <c r="T843" s="94"/>
      <c r="U843" s="94"/>
      <c r="V843" s="94"/>
      <c r="W843" s="94"/>
      <c r="X843" s="94"/>
      <c r="Y843" s="94"/>
      <c r="Z843" s="94"/>
      <c r="AA843" s="94"/>
      <c r="AB843" s="94"/>
      <c r="AC843" s="94"/>
      <c r="AD843" s="94"/>
      <c r="AE843" s="94"/>
    </row>
    <row r="844">
      <c r="A844" s="87"/>
      <c r="B844" s="37"/>
      <c r="C844" s="37"/>
      <c r="D844" s="162"/>
      <c r="E844" s="89"/>
      <c r="F844" s="72"/>
      <c r="G844" s="111"/>
      <c r="H844" s="111"/>
      <c r="I844" s="111"/>
      <c r="J844" s="111"/>
      <c r="K844" s="111"/>
      <c r="L844" s="111"/>
      <c r="M844" s="94"/>
      <c r="N844" s="94"/>
      <c r="O844" s="94"/>
      <c r="P844" s="94"/>
      <c r="Q844" s="94"/>
      <c r="R844" s="94"/>
      <c r="S844" s="94"/>
      <c r="T844" s="94"/>
      <c r="U844" s="94"/>
      <c r="V844" s="94"/>
      <c r="W844" s="94"/>
      <c r="X844" s="94"/>
      <c r="Y844" s="94"/>
      <c r="Z844" s="94"/>
      <c r="AA844" s="94"/>
      <c r="AB844" s="94"/>
      <c r="AC844" s="94"/>
      <c r="AD844" s="94"/>
      <c r="AE844" s="94"/>
    </row>
    <row r="845">
      <c r="A845" s="87"/>
      <c r="B845" s="37"/>
      <c r="C845" s="37"/>
      <c r="D845" s="162"/>
      <c r="E845" s="89"/>
      <c r="F845" s="72"/>
      <c r="G845" s="111"/>
      <c r="H845" s="111"/>
      <c r="I845" s="111"/>
      <c r="J845" s="111"/>
      <c r="K845" s="111"/>
      <c r="L845" s="111"/>
      <c r="M845" s="94"/>
      <c r="N845" s="94"/>
      <c r="O845" s="94"/>
      <c r="P845" s="94"/>
      <c r="Q845" s="94"/>
      <c r="R845" s="94"/>
      <c r="S845" s="94"/>
      <c r="T845" s="94"/>
      <c r="U845" s="94"/>
      <c r="V845" s="94"/>
      <c r="W845" s="94"/>
      <c r="X845" s="94"/>
      <c r="Y845" s="94"/>
      <c r="Z845" s="94"/>
      <c r="AA845" s="94"/>
      <c r="AB845" s="94"/>
      <c r="AC845" s="94"/>
      <c r="AD845" s="94"/>
      <c r="AE845" s="94"/>
    </row>
    <row r="846">
      <c r="A846" s="87"/>
      <c r="B846" s="37"/>
      <c r="C846" s="37"/>
      <c r="D846" s="162"/>
      <c r="E846" s="89"/>
      <c r="F846" s="72"/>
      <c r="G846" s="111"/>
      <c r="H846" s="111"/>
      <c r="I846" s="111"/>
      <c r="J846" s="111"/>
      <c r="K846" s="111"/>
      <c r="L846" s="111"/>
      <c r="M846" s="94"/>
      <c r="N846" s="94"/>
      <c r="O846" s="94"/>
      <c r="P846" s="94"/>
      <c r="Q846" s="94"/>
      <c r="R846" s="94"/>
      <c r="S846" s="94"/>
      <c r="T846" s="94"/>
      <c r="U846" s="94"/>
      <c r="V846" s="94"/>
      <c r="W846" s="94"/>
      <c r="X846" s="94"/>
      <c r="Y846" s="94"/>
      <c r="Z846" s="94"/>
      <c r="AA846" s="94"/>
      <c r="AB846" s="94"/>
      <c r="AC846" s="94"/>
      <c r="AD846" s="94"/>
      <c r="AE846" s="94"/>
    </row>
    <row r="847">
      <c r="A847" s="87"/>
      <c r="B847" s="37"/>
      <c r="C847" s="37"/>
      <c r="D847" s="162"/>
      <c r="E847" s="89"/>
      <c r="F847" s="72"/>
      <c r="G847" s="111"/>
      <c r="H847" s="111"/>
      <c r="I847" s="111"/>
      <c r="J847" s="111"/>
      <c r="K847" s="111"/>
      <c r="L847" s="111"/>
      <c r="M847" s="94"/>
      <c r="N847" s="94"/>
      <c r="O847" s="94"/>
      <c r="P847" s="94"/>
      <c r="Q847" s="94"/>
      <c r="R847" s="94"/>
      <c r="S847" s="94"/>
      <c r="T847" s="94"/>
      <c r="U847" s="94"/>
      <c r="V847" s="94"/>
      <c r="W847" s="94"/>
      <c r="X847" s="94"/>
      <c r="Y847" s="94"/>
      <c r="Z847" s="94"/>
      <c r="AA847" s="94"/>
      <c r="AB847" s="94"/>
      <c r="AC847" s="94"/>
      <c r="AD847" s="94"/>
      <c r="AE847" s="94"/>
    </row>
    <row r="848">
      <c r="A848" s="87"/>
      <c r="B848" s="37"/>
      <c r="C848" s="37"/>
      <c r="D848" s="162"/>
      <c r="E848" s="89"/>
      <c r="F848" s="72"/>
      <c r="G848" s="111"/>
      <c r="H848" s="111"/>
      <c r="I848" s="111"/>
      <c r="J848" s="111"/>
      <c r="K848" s="111"/>
      <c r="L848" s="111"/>
      <c r="M848" s="94"/>
      <c r="N848" s="94"/>
      <c r="O848" s="94"/>
      <c r="P848" s="94"/>
      <c r="Q848" s="94"/>
      <c r="R848" s="94"/>
      <c r="S848" s="94"/>
      <c r="T848" s="94"/>
      <c r="U848" s="94"/>
      <c r="V848" s="94"/>
      <c r="W848" s="94"/>
      <c r="X848" s="94"/>
      <c r="Y848" s="94"/>
      <c r="Z848" s="94"/>
      <c r="AA848" s="94"/>
      <c r="AB848" s="94"/>
      <c r="AC848" s="94"/>
      <c r="AD848" s="94"/>
      <c r="AE848" s="94"/>
    </row>
    <row r="849">
      <c r="A849" s="87"/>
      <c r="B849" s="37"/>
      <c r="C849" s="37"/>
      <c r="D849" s="162"/>
      <c r="E849" s="89"/>
      <c r="F849" s="72"/>
      <c r="G849" s="111"/>
      <c r="H849" s="111"/>
      <c r="I849" s="111"/>
      <c r="J849" s="111"/>
      <c r="K849" s="111"/>
      <c r="L849" s="111"/>
      <c r="M849" s="94"/>
      <c r="N849" s="94"/>
      <c r="O849" s="94"/>
      <c r="P849" s="94"/>
      <c r="Q849" s="94"/>
      <c r="R849" s="94"/>
      <c r="S849" s="94"/>
      <c r="T849" s="94"/>
      <c r="U849" s="94"/>
      <c r="V849" s="94"/>
      <c r="W849" s="94"/>
      <c r="X849" s="94"/>
      <c r="Y849" s="94"/>
      <c r="Z849" s="94"/>
      <c r="AA849" s="94"/>
      <c r="AB849" s="94"/>
      <c r="AC849" s="94"/>
      <c r="AD849" s="94"/>
      <c r="AE849" s="94"/>
    </row>
    <row r="850">
      <c r="A850" s="87"/>
      <c r="B850" s="37"/>
      <c r="C850" s="37"/>
      <c r="D850" s="162"/>
      <c r="E850" s="89"/>
      <c r="F850" s="72"/>
      <c r="G850" s="111"/>
      <c r="H850" s="111"/>
      <c r="I850" s="111"/>
      <c r="J850" s="111"/>
      <c r="K850" s="111"/>
      <c r="L850" s="111"/>
      <c r="M850" s="94"/>
      <c r="N850" s="94"/>
      <c r="O850" s="94"/>
      <c r="P850" s="94"/>
      <c r="Q850" s="94"/>
      <c r="R850" s="94"/>
      <c r="S850" s="94"/>
      <c r="T850" s="94"/>
      <c r="U850" s="94"/>
      <c r="V850" s="94"/>
      <c r="W850" s="94"/>
      <c r="X850" s="94"/>
      <c r="Y850" s="94"/>
      <c r="Z850" s="94"/>
      <c r="AA850" s="94"/>
      <c r="AB850" s="94"/>
      <c r="AC850" s="94"/>
      <c r="AD850" s="94"/>
      <c r="AE850" s="94"/>
    </row>
    <row r="851">
      <c r="A851" s="87"/>
      <c r="B851" s="37"/>
      <c r="C851" s="37"/>
      <c r="D851" s="162"/>
      <c r="E851" s="89"/>
      <c r="F851" s="72"/>
      <c r="G851" s="111"/>
      <c r="H851" s="111"/>
      <c r="I851" s="111"/>
      <c r="J851" s="111"/>
      <c r="K851" s="111"/>
      <c r="L851" s="111"/>
      <c r="M851" s="94"/>
      <c r="N851" s="94"/>
      <c r="O851" s="94"/>
      <c r="P851" s="94"/>
      <c r="Q851" s="94"/>
      <c r="R851" s="94"/>
      <c r="S851" s="94"/>
      <c r="T851" s="94"/>
      <c r="U851" s="94"/>
      <c r="V851" s="94"/>
      <c r="W851" s="94"/>
      <c r="X851" s="94"/>
      <c r="Y851" s="94"/>
      <c r="Z851" s="94"/>
      <c r="AA851" s="94"/>
      <c r="AB851" s="94"/>
      <c r="AC851" s="94"/>
      <c r="AD851" s="94"/>
      <c r="AE851" s="94"/>
    </row>
    <row r="852">
      <c r="A852" s="87"/>
      <c r="B852" s="37"/>
      <c r="C852" s="37"/>
      <c r="D852" s="162"/>
      <c r="E852" s="89"/>
      <c r="F852" s="72"/>
      <c r="G852" s="111"/>
      <c r="H852" s="111"/>
      <c r="I852" s="111"/>
      <c r="J852" s="111"/>
      <c r="K852" s="111"/>
      <c r="L852" s="111"/>
      <c r="M852" s="94"/>
      <c r="N852" s="94"/>
      <c r="O852" s="94"/>
      <c r="P852" s="94"/>
      <c r="Q852" s="94"/>
      <c r="R852" s="94"/>
      <c r="S852" s="94"/>
      <c r="T852" s="94"/>
      <c r="U852" s="94"/>
      <c r="V852" s="94"/>
      <c r="W852" s="94"/>
      <c r="X852" s="94"/>
      <c r="Y852" s="94"/>
      <c r="Z852" s="94"/>
      <c r="AA852" s="94"/>
      <c r="AB852" s="94"/>
      <c r="AC852" s="94"/>
      <c r="AD852" s="94"/>
      <c r="AE852" s="94"/>
    </row>
    <row r="853">
      <c r="A853" s="87"/>
      <c r="B853" s="37"/>
      <c r="C853" s="37"/>
      <c r="D853" s="162"/>
      <c r="E853" s="89"/>
      <c r="F853" s="72"/>
      <c r="G853" s="111"/>
      <c r="H853" s="111"/>
      <c r="I853" s="111"/>
      <c r="J853" s="111"/>
      <c r="K853" s="111"/>
      <c r="L853" s="111"/>
      <c r="M853" s="94"/>
      <c r="N853" s="94"/>
      <c r="O853" s="94"/>
      <c r="P853" s="94"/>
      <c r="Q853" s="94"/>
      <c r="R853" s="94"/>
      <c r="S853" s="94"/>
      <c r="T853" s="94"/>
      <c r="U853" s="94"/>
      <c r="V853" s="94"/>
      <c r="W853" s="94"/>
      <c r="X853" s="94"/>
      <c r="Y853" s="94"/>
      <c r="Z853" s="94"/>
      <c r="AA853" s="94"/>
      <c r="AB853" s="94"/>
      <c r="AC853" s="94"/>
      <c r="AD853" s="94"/>
      <c r="AE853" s="94"/>
    </row>
    <row r="854">
      <c r="A854" s="87"/>
      <c r="B854" s="37"/>
      <c r="C854" s="37"/>
      <c r="D854" s="162"/>
      <c r="E854" s="89"/>
      <c r="F854" s="72"/>
      <c r="G854" s="111"/>
      <c r="H854" s="111"/>
      <c r="I854" s="111"/>
      <c r="J854" s="111"/>
      <c r="K854" s="111"/>
      <c r="L854" s="111"/>
      <c r="M854" s="94"/>
      <c r="N854" s="94"/>
      <c r="O854" s="94"/>
      <c r="P854" s="94"/>
      <c r="Q854" s="94"/>
      <c r="R854" s="94"/>
      <c r="S854" s="94"/>
      <c r="T854" s="94"/>
      <c r="U854" s="94"/>
      <c r="V854" s="94"/>
      <c r="W854" s="94"/>
      <c r="X854" s="94"/>
      <c r="Y854" s="94"/>
      <c r="Z854" s="94"/>
      <c r="AA854" s="94"/>
      <c r="AB854" s="94"/>
      <c r="AC854" s="94"/>
      <c r="AD854" s="94"/>
      <c r="AE854" s="94"/>
    </row>
    <row r="855">
      <c r="A855" s="87"/>
      <c r="B855" s="37"/>
      <c r="C855" s="37"/>
      <c r="D855" s="162"/>
      <c r="E855" s="89"/>
      <c r="F855" s="72"/>
      <c r="G855" s="111"/>
      <c r="H855" s="111"/>
      <c r="I855" s="111"/>
      <c r="J855" s="111"/>
      <c r="K855" s="111"/>
      <c r="L855" s="111"/>
      <c r="M855" s="94"/>
      <c r="N855" s="94"/>
      <c r="O855" s="94"/>
      <c r="P855" s="94"/>
      <c r="Q855" s="94"/>
      <c r="R855" s="94"/>
      <c r="S855" s="94"/>
      <c r="T855" s="94"/>
      <c r="U855" s="94"/>
      <c r="V855" s="94"/>
      <c r="W855" s="94"/>
      <c r="X855" s="94"/>
      <c r="Y855" s="94"/>
      <c r="Z855" s="94"/>
      <c r="AA855" s="94"/>
      <c r="AB855" s="94"/>
      <c r="AC855" s="94"/>
      <c r="AD855" s="94"/>
      <c r="AE855" s="94"/>
    </row>
    <row r="856">
      <c r="A856" s="87"/>
      <c r="B856" s="37"/>
      <c r="C856" s="37"/>
      <c r="D856" s="162"/>
      <c r="E856" s="89"/>
      <c r="F856" s="72"/>
      <c r="G856" s="111"/>
      <c r="H856" s="111"/>
      <c r="I856" s="111"/>
      <c r="J856" s="111"/>
      <c r="K856" s="111"/>
      <c r="L856" s="111"/>
      <c r="M856" s="94"/>
      <c r="N856" s="94"/>
      <c r="O856" s="94"/>
      <c r="P856" s="94"/>
      <c r="Q856" s="94"/>
      <c r="R856" s="94"/>
      <c r="S856" s="94"/>
      <c r="T856" s="94"/>
      <c r="U856" s="94"/>
      <c r="V856" s="94"/>
      <c r="W856" s="94"/>
      <c r="X856" s="94"/>
      <c r="Y856" s="94"/>
      <c r="Z856" s="94"/>
      <c r="AA856" s="94"/>
      <c r="AB856" s="94"/>
      <c r="AC856" s="94"/>
      <c r="AD856" s="94"/>
      <c r="AE856" s="94"/>
    </row>
    <row r="857">
      <c r="A857" s="87"/>
      <c r="B857" s="37"/>
      <c r="C857" s="37"/>
      <c r="D857" s="162"/>
      <c r="E857" s="89"/>
      <c r="F857" s="72"/>
      <c r="G857" s="111"/>
      <c r="H857" s="111"/>
      <c r="I857" s="111"/>
      <c r="J857" s="111"/>
      <c r="K857" s="111"/>
      <c r="L857" s="111"/>
      <c r="M857" s="94"/>
      <c r="N857" s="94"/>
      <c r="O857" s="94"/>
      <c r="P857" s="94"/>
      <c r="Q857" s="94"/>
      <c r="R857" s="94"/>
      <c r="S857" s="94"/>
      <c r="T857" s="94"/>
      <c r="U857" s="94"/>
      <c r="V857" s="94"/>
      <c r="W857" s="94"/>
      <c r="X857" s="94"/>
      <c r="Y857" s="94"/>
      <c r="Z857" s="94"/>
      <c r="AA857" s="94"/>
      <c r="AB857" s="94"/>
      <c r="AC857" s="94"/>
      <c r="AD857" s="94"/>
      <c r="AE857" s="94"/>
    </row>
    <row r="858">
      <c r="A858" s="87"/>
      <c r="B858" s="37"/>
      <c r="C858" s="37"/>
      <c r="D858" s="162"/>
      <c r="E858" s="89"/>
      <c r="F858" s="72"/>
      <c r="G858" s="111"/>
      <c r="H858" s="111"/>
      <c r="I858" s="111"/>
      <c r="J858" s="111"/>
      <c r="K858" s="111"/>
      <c r="L858" s="111"/>
      <c r="M858" s="94"/>
      <c r="N858" s="94"/>
      <c r="O858" s="94"/>
      <c r="P858" s="94"/>
      <c r="Q858" s="94"/>
      <c r="R858" s="94"/>
      <c r="S858" s="94"/>
      <c r="T858" s="94"/>
      <c r="U858" s="94"/>
      <c r="V858" s="94"/>
      <c r="W858" s="94"/>
      <c r="X858" s="94"/>
      <c r="Y858" s="94"/>
      <c r="Z858" s="94"/>
      <c r="AA858" s="94"/>
      <c r="AB858" s="94"/>
      <c r="AC858" s="94"/>
      <c r="AD858" s="94"/>
      <c r="AE858" s="94"/>
    </row>
    <row r="859">
      <c r="A859" s="87"/>
      <c r="B859" s="37"/>
      <c r="C859" s="37"/>
      <c r="D859" s="162"/>
      <c r="E859" s="89"/>
      <c r="F859" s="72"/>
      <c r="G859" s="111"/>
      <c r="H859" s="111"/>
      <c r="I859" s="111"/>
      <c r="J859" s="111"/>
      <c r="K859" s="111"/>
      <c r="L859" s="111"/>
      <c r="M859" s="94"/>
      <c r="N859" s="94"/>
      <c r="O859" s="94"/>
      <c r="P859" s="94"/>
      <c r="Q859" s="94"/>
      <c r="R859" s="94"/>
      <c r="S859" s="94"/>
      <c r="T859" s="94"/>
      <c r="U859" s="94"/>
      <c r="V859" s="94"/>
      <c r="W859" s="94"/>
      <c r="X859" s="94"/>
      <c r="Y859" s="94"/>
      <c r="Z859" s="94"/>
      <c r="AA859" s="94"/>
      <c r="AB859" s="94"/>
      <c r="AC859" s="94"/>
      <c r="AD859" s="94"/>
      <c r="AE859" s="94"/>
    </row>
    <row r="860">
      <c r="A860" s="87"/>
      <c r="B860" s="37"/>
      <c r="C860" s="37"/>
      <c r="D860" s="162"/>
      <c r="E860" s="89"/>
      <c r="F860" s="72"/>
      <c r="G860" s="111"/>
      <c r="H860" s="111"/>
      <c r="I860" s="111"/>
      <c r="J860" s="111"/>
      <c r="K860" s="111"/>
      <c r="L860" s="111"/>
      <c r="M860" s="94"/>
      <c r="N860" s="94"/>
      <c r="O860" s="94"/>
      <c r="P860" s="94"/>
      <c r="Q860" s="94"/>
      <c r="R860" s="94"/>
      <c r="S860" s="94"/>
      <c r="T860" s="94"/>
      <c r="U860" s="94"/>
      <c r="V860" s="94"/>
      <c r="W860" s="94"/>
      <c r="X860" s="94"/>
      <c r="Y860" s="94"/>
      <c r="Z860" s="94"/>
      <c r="AA860" s="94"/>
      <c r="AB860" s="94"/>
      <c r="AC860" s="94"/>
      <c r="AD860" s="94"/>
      <c r="AE860" s="94"/>
    </row>
    <row r="861">
      <c r="A861" s="87"/>
      <c r="B861" s="37"/>
      <c r="C861" s="37"/>
      <c r="D861" s="162"/>
      <c r="E861" s="89"/>
      <c r="F861" s="72"/>
      <c r="G861" s="111"/>
      <c r="H861" s="111"/>
      <c r="I861" s="111"/>
      <c r="J861" s="111"/>
      <c r="K861" s="111"/>
      <c r="L861" s="111"/>
      <c r="M861" s="94"/>
      <c r="N861" s="94"/>
      <c r="O861" s="94"/>
      <c r="P861" s="94"/>
      <c r="Q861" s="94"/>
      <c r="R861" s="94"/>
      <c r="S861" s="94"/>
      <c r="T861" s="94"/>
      <c r="U861" s="94"/>
      <c r="V861" s="94"/>
      <c r="W861" s="94"/>
      <c r="X861" s="94"/>
      <c r="Y861" s="94"/>
      <c r="Z861" s="94"/>
      <c r="AA861" s="94"/>
      <c r="AB861" s="94"/>
      <c r="AC861" s="94"/>
      <c r="AD861" s="94"/>
      <c r="AE861" s="94"/>
    </row>
    <row r="862">
      <c r="A862" s="87"/>
      <c r="B862" s="37"/>
      <c r="C862" s="37"/>
      <c r="D862" s="162"/>
      <c r="E862" s="89"/>
      <c r="F862" s="72"/>
      <c r="G862" s="111"/>
      <c r="H862" s="111"/>
      <c r="I862" s="111"/>
      <c r="J862" s="111"/>
      <c r="K862" s="111"/>
      <c r="L862" s="111"/>
      <c r="M862" s="94"/>
      <c r="N862" s="94"/>
      <c r="O862" s="94"/>
      <c r="P862" s="94"/>
      <c r="Q862" s="94"/>
      <c r="R862" s="94"/>
      <c r="S862" s="94"/>
      <c r="T862" s="94"/>
      <c r="U862" s="94"/>
      <c r="V862" s="94"/>
      <c r="W862" s="94"/>
      <c r="X862" s="94"/>
      <c r="Y862" s="94"/>
      <c r="Z862" s="94"/>
      <c r="AA862" s="94"/>
      <c r="AB862" s="94"/>
      <c r="AC862" s="94"/>
      <c r="AD862" s="94"/>
      <c r="AE862" s="94"/>
    </row>
    <row r="863">
      <c r="A863" s="87"/>
      <c r="B863" s="37"/>
      <c r="C863" s="37"/>
      <c r="D863" s="162"/>
      <c r="E863" s="89"/>
      <c r="F863" s="72"/>
      <c r="G863" s="111"/>
      <c r="H863" s="111"/>
      <c r="I863" s="111"/>
      <c r="J863" s="111"/>
      <c r="K863" s="111"/>
      <c r="L863" s="111"/>
      <c r="M863" s="94"/>
      <c r="N863" s="94"/>
      <c r="O863" s="94"/>
      <c r="P863" s="94"/>
      <c r="Q863" s="94"/>
      <c r="R863" s="94"/>
      <c r="S863" s="94"/>
      <c r="T863" s="94"/>
      <c r="U863" s="94"/>
      <c r="V863" s="94"/>
      <c r="W863" s="94"/>
      <c r="X863" s="94"/>
      <c r="Y863" s="94"/>
      <c r="Z863" s="94"/>
      <c r="AA863" s="94"/>
      <c r="AB863" s="94"/>
      <c r="AC863" s="94"/>
      <c r="AD863" s="94"/>
      <c r="AE863" s="94"/>
    </row>
    <row r="864">
      <c r="A864" s="87"/>
      <c r="B864" s="37"/>
      <c r="C864" s="37"/>
      <c r="D864" s="162"/>
      <c r="E864" s="89"/>
      <c r="F864" s="72"/>
      <c r="G864" s="111"/>
      <c r="H864" s="111"/>
      <c r="I864" s="111"/>
      <c r="J864" s="111"/>
      <c r="K864" s="111"/>
      <c r="L864" s="111"/>
      <c r="M864" s="94"/>
      <c r="N864" s="94"/>
      <c r="O864" s="94"/>
      <c r="P864" s="94"/>
      <c r="Q864" s="94"/>
      <c r="R864" s="94"/>
      <c r="S864" s="94"/>
      <c r="T864" s="94"/>
      <c r="U864" s="94"/>
      <c r="V864" s="94"/>
      <c r="W864" s="94"/>
      <c r="X864" s="94"/>
      <c r="Y864" s="94"/>
      <c r="Z864" s="94"/>
      <c r="AA864" s="94"/>
      <c r="AB864" s="94"/>
      <c r="AC864" s="94"/>
      <c r="AD864" s="94"/>
      <c r="AE864" s="94"/>
    </row>
    <row r="865">
      <c r="A865" s="87"/>
      <c r="B865" s="37"/>
      <c r="C865" s="37"/>
      <c r="D865" s="162"/>
      <c r="E865" s="89"/>
      <c r="F865" s="72"/>
      <c r="G865" s="111"/>
      <c r="H865" s="111"/>
      <c r="I865" s="111"/>
      <c r="J865" s="111"/>
      <c r="K865" s="111"/>
      <c r="L865" s="111"/>
      <c r="M865" s="94"/>
      <c r="N865" s="94"/>
      <c r="O865" s="94"/>
      <c r="P865" s="94"/>
      <c r="Q865" s="94"/>
      <c r="R865" s="94"/>
      <c r="S865" s="94"/>
      <c r="T865" s="94"/>
      <c r="U865" s="94"/>
      <c r="V865" s="94"/>
      <c r="W865" s="94"/>
      <c r="X865" s="94"/>
      <c r="Y865" s="94"/>
      <c r="Z865" s="94"/>
      <c r="AA865" s="94"/>
      <c r="AB865" s="94"/>
      <c r="AC865" s="94"/>
      <c r="AD865" s="94"/>
      <c r="AE865" s="94"/>
    </row>
    <row r="866">
      <c r="A866" s="87"/>
      <c r="B866" s="37"/>
      <c r="C866" s="37"/>
      <c r="D866" s="162"/>
      <c r="E866" s="89"/>
      <c r="F866" s="72"/>
      <c r="G866" s="111"/>
      <c r="H866" s="111"/>
      <c r="I866" s="111"/>
      <c r="J866" s="111"/>
      <c r="K866" s="111"/>
      <c r="L866" s="111"/>
      <c r="M866" s="94"/>
      <c r="N866" s="94"/>
      <c r="O866" s="94"/>
      <c r="P866" s="94"/>
      <c r="Q866" s="94"/>
      <c r="R866" s="94"/>
      <c r="S866" s="94"/>
      <c r="T866" s="94"/>
      <c r="U866" s="94"/>
      <c r="V866" s="94"/>
      <c r="W866" s="94"/>
      <c r="X866" s="94"/>
      <c r="Y866" s="94"/>
      <c r="Z866" s="94"/>
      <c r="AA866" s="94"/>
      <c r="AB866" s="94"/>
      <c r="AC866" s="94"/>
      <c r="AD866" s="94"/>
      <c r="AE866" s="94"/>
    </row>
    <row r="867">
      <c r="A867" s="87"/>
      <c r="B867" s="37"/>
      <c r="C867" s="37"/>
      <c r="D867" s="162"/>
      <c r="E867" s="89"/>
      <c r="F867" s="72"/>
      <c r="G867" s="111"/>
      <c r="H867" s="111"/>
      <c r="I867" s="111"/>
      <c r="J867" s="111"/>
      <c r="K867" s="111"/>
      <c r="L867" s="111"/>
      <c r="M867" s="94"/>
      <c r="N867" s="94"/>
      <c r="O867" s="94"/>
      <c r="P867" s="94"/>
      <c r="Q867" s="94"/>
      <c r="R867" s="94"/>
      <c r="S867" s="94"/>
      <c r="T867" s="94"/>
      <c r="U867" s="94"/>
      <c r="V867" s="94"/>
      <c r="W867" s="94"/>
      <c r="X867" s="94"/>
      <c r="Y867" s="94"/>
      <c r="Z867" s="94"/>
      <c r="AA867" s="94"/>
      <c r="AB867" s="94"/>
      <c r="AC867" s="94"/>
      <c r="AD867" s="94"/>
      <c r="AE867" s="94"/>
    </row>
    <row r="868">
      <c r="A868" s="87"/>
      <c r="B868" s="37"/>
      <c r="C868" s="37"/>
      <c r="D868" s="162"/>
      <c r="E868" s="89"/>
      <c r="F868" s="72"/>
      <c r="G868" s="111"/>
      <c r="H868" s="111"/>
      <c r="I868" s="111"/>
      <c r="J868" s="111"/>
      <c r="K868" s="111"/>
      <c r="L868" s="111"/>
      <c r="M868" s="94"/>
      <c r="N868" s="94"/>
      <c r="O868" s="94"/>
      <c r="P868" s="94"/>
      <c r="Q868" s="94"/>
      <c r="R868" s="94"/>
      <c r="S868" s="94"/>
      <c r="T868" s="94"/>
      <c r="U868" s="94"/>
      <c r="V868" s="94"/>
      <c r="W868" s="94"/>
      <c r="X868" s="94"/>
      <c r="Y868" s="94"/>
      <c r="Z868" s="94"/>
      <c r="AA868" s="94"/>
      <c r="AB868" s="94"/>
      <c r="AC868" s="94"/>
      <c r="AD868" s="94"/>
      <c r="AE868" s="94"/>
    </row>
    <row r="869">
      <c r="A869" s="87"/>
      <c r="B869" s="37"/>
      <c r="C869" s="37"/>
      <c r="D869" s="162"/>
      <c r="E869" s="89"/>
      <c r="F869" s="72"/>
      <c r="G869" s="111"/>
      <c r="H869" s="111"/>
      <c r="I869" s="111"/>
      <c r="J869" s="111"/>
      <c r="K869" s="111"/>
      <c r="L869" s="111"/>
      <c r="M869" s="94"/>
      <c r="N869" s="94"/>
      <c r="O869" s="94"/>
      <c r="P869" s="94"/>
      <c r="Q869" s="94"/>
      <c r="R869" s="94"/>
      <c r="S869" s="94"/>
      <c r="T869" s="94"/>
      <c r="U869" s="94"/>
      <c r="V869" s="94"/>
      <c r="W869" s="94"/>
      <c r="X869" s="94"/>
      <c r="Y869" s="94"/>
      <c r="Z869" s="94"/>
      <c r="AA869" s="94"/>
      <c r="AB869" s="94"/>
      <c r="AC869" s="94"/>
      <c r="AD869" s="94"/>
      <c r="AE869" s="94"/>
    </row>
    <row r="870">
      <c r="A870" s="87"/>
      <c r="B870" s="37"/>
      <c r="C870" s="37"/>
      <c r="D870" s="162"/>
      <c r="E870" s="89"/>
      <c r="F870" s="72"/>
      <c r="G870" s="111"/>
      <c r="H870" s="111"/>
      <c r="I870" s="111"/>
      <c r="J870" s="111"/>
      <c r="K870" s="111"/>
      <c r="L870" s="111"/>
      <c r="M870" s="94"/>
      <c r="N870" s="94"/>
      <c r="O870" s="94"/>
      <c r="P870" s="94"/>
      <c r="Q870" s="94"/>
      <c r="R870" s="94"/>
      <c r="S870" s="94"/>
      <c r="T870" s="94"/>
      <c r="U870" s="94"/>
      <c r="V870" s="94"/>
      <c r="W870" s="94"/>
      <c r="X870" s="94"/>
      <c r="Y870" s="94"/>
      <c r="Z870" s="94"/>
      <c r="AA870" s="94"/>
      <c r="AB870" s="94"/>
      <c r="AC870" s="94"/>
      <c r="AD870" s="94"/>
      <c r="AE870" s="94"/>
    </row>
    <row r="871">
      <c r="A871" s="87"/>
      <c r="B871" s="37"/>
      <c r="C871" s="37"/>
      <c r="D871" s="162"/>
      <c r="E871" s="89"/>
      <c r="F871" s="72"/>
      <c r="G871" s="111"/>
      <c r="H871" s="111"/>
      <c r="I871" s="111"/>
      <c r="J871" s="111"/>
      <c r="K871" s="111"/>
      <c r="L871" s="111"/>
      <c r="M871" s="94"/>
      <c r="N871" s="94"/>
      <c r="O871" s="94"/>
      <c r="P871" s="94"/>
      <c r="Q871" s="94"/>
      <c r="R871" s="94"/>
      <c r="S871" s="94"/>
      <c r="T871" s="94"/>
      <c r="U871" s="94"/>
      <c r="V871" s="94"/>
      <c r="W871" s="94"/>
      <c r="X871" s="94"/>
      <c r="Y871" s="94"/>
      <c r="Z871" s="94"/>
      <c r="AA871" s="94"/>
      <c r="AB871" s="94"/>
      <c r="AC871" s="94"/>
      <c r="AD871" s="94"/>
      <c r="AE871" s="94"/>
    </row>
    <row r="872">
      <c r="A872" s="87"/>
      <c r="B872" s="37"/>
      <c r="C872" s="37"/>
      <c r="D872" s="162"/>
      <c r="E872" s="89"/>
      <c r="F872" s="72"/>
      <c r="G872" s="111"/>
      <c r="H872" s="111"/>
      <c r="I872" s="111"/>
      <c r="J872" s="111"/>
      <c r="K872" s="111"/>
      <c r="L872" s="111"/>
      <c r="M872" s="94"/>
      <c r="N872" s="94"/>
      <c r="O872" s="94"/>
      <c r="P872" s="94"/>
      <c r="Q872" s="94"/>
      <c r="R872" s="94"/>
      <c r="S872" s="94"/>
      <c r="T872" s="94"/>
      <c r="U872" s="94"/>
      <c r="V872" s="94"/>
      <c r="W872" s="94"/>
      <c r="X872" s="94"/>
      <c r="Y872" s="94"/>
      <c r="Z872" s="94"/>
      <c r="AA872" s="94"/>
      <c r="AB872" s="94"/>
      <c r="AC872" s="94"/>
      <c r="AD872" s="94"/>
      <c r="AE872" s="94"/>
    </row>
    <row r="873">
      <c r="A873" s="87"/>
      <c r="B873" s="37"/>
      <c r="C873" s="37"/>
      <c r="D873" s="162"/>
      <c r="E873" s="89"/>
      <c r="F873" s="72"/>
      <c r="G873" s="111"/>
      <c r="H873" s="111"/>
      <c r="I873" s="111"/>
      <c r="J873" s="111"/>
      <c r="K873" s="111"/>
      <c r="L873" s="111"/>
      <c r="M873" s="94"/>
      <c r="N873" s="94"/>
      <c r="O873" s="94"/>
      <c r="P873" s="94"/>
      <c r="Q873" s="94"/>
      <c r="R873" s="94"/>
      <c r="S873" s="94"/>
      <c r="T873" s="94"/>
      <c r="U873" s="94"/>
      <c r="V873" s="94"/>
      <c r="W873" s="94"/>
      <c r="X873" s="94"/>
      <c r="Y873" s="94"/>
      <c r="Z873" s="94"/>
      <c r="AA873" s="94"/>
      <c r="AB873" s="94"/>
      <c r="AC873" s="94"/>
      <c r="AD873" s="94"/>
      <c r="AE873" s="94"/>
    </row>
    <row r="874">
      <c r="A874" s="87"/>
      <c r="B874" s="37"/>
      <c r="C874" s="37"/>
      <c r="D874" s="162"/>
      <c r="E874" s="89"/>
      <c r="F874" s="72"/>
      <c r="G874" s="111"/>
      <c r="H874" s="111"/>
      <c r="I874" s="111"/>
      <c r="J874" s="111"/>
      <c r="K874" s="111"/>
      <c r="L874" s="111"/>
      <c r="M874" s="94"/>
      <c r="N874" s="94"/>
      <c r="O874" s="94"/>
      <c r="P874" s="94"/>
      <c r="Q874" s="94"/>
      <c r="R874" s="94"/>
      <c r="S874" s="94"/>
      <c r="T874" s="94"/>
      <c r="U874" s="94"/>
      <c r="V874" s="94"/>
      <c r="W874" s="94"/>
      <c r="X874" s="94"/>
      <c r="Y874" s="94"/>
      <c r="Z874" s="94"/>
      <c r="AA874" s="94"/>
      <c r="AB874" s="94"/>
      <c r="AC874" s="94"/>
      <c r="AD874" s="94"/>
      <c r="AE874" s="94"/>
    </row>
    <row r="875">
      <c r="A875" s="87"/>
      <c r="B875" s="37"/>
      <c r="C875" s="37"/>
      <c r="D875" s="162"/>
      <c r="E875" s="89"/>
      <c r="F875" s="72"/>
      <c r="G875" s="111"/>
      <c r="H875" s="111"/>
      <c r="I875" s="111"/>
      <c r="J875" s="111"/>
      <c r="K875" s="111"/>
      <c r="L875" s="111"/>
      <c r="M875" s="94"/>
      <c r="N875" s="94"/>
      <c r="O875" s="94"/>
      <c r="P875" s="94"/>
      <c r="Q875" s="94"/>
      <c r="R875" s="94"/>
      <c r="S875" s="94"/>
      <c r="T875" s="94"/>
      <c r="U875" s="94"/>
      <c r="V875" s="94"/>
      <c r="W875" s="94"/>
      <c r="X875" s="94"/>
      <c r="Y875" s="94"/>
      <c r="Z875" s="94"/>
      <c r="AA875" s="94"/>
      <c r="AB875" s="94"/>
      <c r="AC875" s="94"/>
      <c r="AD875" s="94"/>
      <c r="AE875" s="94"/>
    </row>
    <row r="876">
      <c r="A876" s="87"/>
      <c r="B876" s="37"/>
      <c r="C876" s="37"/>
      <c r="D876" s="162"/>
      <c r="E876" s="89"/>
      <c r="F876" s="72"/>
      <c r="G876" s="111"/>
      <c r="H876" s="111"/>
      <c r="I876" s="111"/>
      <c r="J876" s="111"/>
      <c r="K876" s="111"/>
      <c r="L876" s="111"/>
      <c r="M876" s="94"/>
      <c r="N876" s="94"/>
      <c r="O876" s="94"/>
      <c r="P876" s="94"/>
      <c r="Q876" s="94"/>
      <c r="R876" s="94"/>
      <c r="S876" s="94"/>
      <c r="T876" s="94"/>
      <c r="U876" s="94"/>
      <c r="V876" s="94"/>
      <c r="W876" s="94"/>
      <c r="X876" s="94"/>
      <c r="Y876" s="94"/>
      <c r="Z876" s="94"/>
      <c r="AA876" s="94"/>
      <c r="AB876" s="94"/>
      <c r="AC876" s="94"/>
      <c r="AD876" s="94"/>
      <c r="AE876" s="94"/>
    </row>
    <row r="877">
      <c r="A877" s="87"/>
      <c r="B877" s="37"/>
      <c r="C877" s="37"/>
      <c r="D877" s="162"/>
      <c r="E877" s="89"/>
      <c r="F877" s="72"/>
      <c r="G877" s="111"/>
      <c r="H877" s="111"/>
      <c r="I877" s="111"/>
      <c r="J877" s="111"/>
      <c r="K877" s="111"/>
      <c r="L877" s="111"/>
      <c r="M877" s="94"/>
      <c r="N877" s="94"/>
      <c r="O877" s="94"/>
      <c r="P877" s="94"/>
      <c r="Q877" s="94"/>
      <c r="R877" s="94"/>
      <c r="S877" s="94"/>
      <c r="T877" s="94"/>
      <c r="U877" s="94"/>
      <c r="V877" s="94"/>
      <c r="W877" s="94"/>
      <c r="X877" s="94"/>
      <c r="Y877" s="94"/>
      <c r="Z877" s="94"/>
      <c r="AA877" s="94"/>
      <c r="AB877" s="94"/>
      <c r="AC877" s="94"/>
      <c r="AD877" s="94"/>
      <c r="AE877" s="94"/>
    </row>
    <row r="878">
      <c r="A878" s="87"/>
      <c r="B878" s="37"/>
      <c r="C878" s="37"/>
      <c r="D878" s="162"/>
      <c r="E878" s="89"/>
      <c r="F878" s="72"/>
      <c r="G878" s="111"/>
      <c r="H878" s="111"/>
      <c r="I878" s="111"/>
      <c r="J878" s="111"/>
      <c r="K878" s="111"/>
      <c r="L878" s="111"/>
      <c r="M878" s="94"/>
      <c r="N878" s="94"/>
      <c r="O878" s="94"/>
      <c r="P878" s="94"/>
      <c r="Q878" s="94"/>
      <c r="R878" s="94"/>
      <c r="S878" s="94"/>
      <c r="T878" s="94"/>
      <c r="U878" s="94"/>
      <c r="V878" s="94"/>
      <c r="W878" s="94"/>
      <c r="X878" s="94"/>
      <c r="Y878" s="94"/>
      <c r="Z878" s="94"/>
      <c r="AA878" s="94"/>
      <c r="AB878" s="94"/>
      <c r="AC878" s="94"/>
      <c r="AD878" s="94"/>
      <c r="AE878" s="94"/>
    </row>
    <row r="879">
      <c r="A879" s="87"/>
      <c r="B879" s="37"/>
      <c r="C879" s="37"/>
      <c r="D879" s="162"/>
      <c r="E879" s="89"/>
      <c r="F879" s="72"/>
      <c r="G879" s="111"/>
      <c r="H879" s="111"/>
      <c r="I879" s="111"/>
      <c r="J879" s="111"/>
      <c r="K879" s="111"/>
      <c r="L879" s="111"/>
      <c r="M879" s="94"/>
      <c r="N879" s="94"/>
      <c r="O879" s="94"/>
      <c r="P879" s="94"/>
      <c r="Q879" s="94"/>
      <c r="R879" s="94"/>
      <c r="S879" s="94"/>
      <c r="T879" s="94"/>
      <c r="U879" s="94"/>
      <c r="V879" s="94"/>
      <c r="W879" s="94"/>
      <c r="X879" s="94"/>
      <c r="Y879" s="94"/>
      <c r="Z879" s="94"/>
      <c r="AA879" s="94"/>
      <c r="AB879" s="94"/>
      <c r="AC879" s="94"/>
      <c r="AD879" s="94"/>
      <c r="AE879" s="94"/>
    </row>
    <row r="880">
      <c r="A880" s="87"/>
      <c r="B880" s="37"/>
      <c r="C880" s="37"/>
      <c r="D880" s="162"/>
      <c r="E880" s="89"/>
      <c r="F880" s="72"/>
      <c r="G880" s="111"/>
      <c r="H880" s="111"/>
      <c r="I880" s="111"/>
      <c r="J880" s="111"/>
      <c r="K880" s="111"/>
      <c r="L880" s="111"/>
      <c r="M880" s="94"/>
      <c r="N880" s="94"/>
      <c r="O880" s="94"/>
      <c r="P880" s="94"/>
      <c r="Q880" s="94"/>
      <c r="R880" s="94"/>
      <c r="S880" s="94"/>
      <c r="T880" s="94"/>
      <c r="U880" s="94"/>
      <c r="V880" s="94"/>
      <c r="W880" s="94"/>
      <c r="X880" s="94"/>
      <c r="Y880" s="94"/>
      <c r="Z880" s="94"/>
      <c r="AA880" s="94"/>
      <c r="AB880" s="94"/>
      <c r="AC880" s="94"/>
      <c r="AD880" s="94"/>
      <c r="AE880" s="94"/>
    </row>
    <row r="881">
      <c r="A881" s="87"/>
      <c r="B881" s="37"/>
      <c r="C881" s="37"/>
      <c r="D881" s="162"/>
      <c r="E881" s="89"/>
      <c r="F881" s="72"/>
      <c r="G881" s="111"/>
      <c r="H881" s="111"/>
      <c r="I881" s="111"/>
      <c r="J881" s="111"/>
      <c r="K881" s="111"/>
      <c r="L881" s="111"/>
      <c r="M881" s="94"/>
      <c r="N881" s="94"/>
      <c r="O881" s="94"/>
      <c r="P881" s="94"/>
      <c r="Q881" s="94"/>
      <c r="R881" s="94"/>
      <c r="S881" s="94"/>
      <c r="T881" s="94"/>
      <c r="U881" s="94"/>
      <c r="V881" s="94"/>
      <c r="W881" s="94"/>
      <c r="X881" s="94"/>
      <c r="Y881" s="94"/>
      <c r="Z881" s="94"/>
      <c r="AA881" s="94"/>
      <c r="AB881" s="94"/>
      <c r="AC881" s="94"/>
      <c r="AD881" s="94"/>
      <c r="AE881" s="94"/>
    </row>
    <row r="882">
      <c r="A882" s="87"/>
      <c r="B882" s="37"/>
      <c r="C882" s="37"/>
      <c r="D882" s="162"/>
      <c r="E882" s="89"/>
      <c r="F882" s="72"/>
      <c r="G882" s="111"/>
      <c r="H882" s="111"/>
      <c r="I882" s="111"/>
      <c r="J882" s="111"/>
      <c r="K882" s="111"/>
      <c r="L882" s="111"/>
      <c r="M882" s="94"/>
      <c r="N882" s="94"/>
      <c r="O882" s="94"/>
      <c r="P882" s="94"/>
      <c r="Q882" s="94"/>
      <c r="R882" s="94"/>
      <c r="S882" s="94"/>
      <c r="T882" s="94"/>
      <c r="U882" s="94"/>
      <c r="V882" s="94"/>
      <c r="W882" s="94"/>
      <c r="X882" s="94"/>
      <c r="Y882" s="94"/>
      <c r="Z882" s="94"/>
      <c r="AA882" s="94"/>
      <c r="AB882" s="94"/>
      <c r="AC882" s="94"/>
      <c r="AD882" s="94"/>
      <c r="AE882" s="94"/>
    </row>
    <row r="883">
      <c r="A883" s="87"/>
      <c r="B883" s="37"/>
      <c r="C883" s="37"/>
      <c r="D883" s="162"/>
      <c r="E883" s="89"/>
      <c r="F883" s="72"/>
      <c r="G883" s="111"/>
      <c r="H883" s="111"/>
      <c r="I883" s="111"/>
      <c r="J883" s="111"/>
      <c r="K883" s="111"/>
      <c r="L883" s="111"/>
      <c r="M883" s="94"/>
      <c r="N883" s="94"/>
      <c r="O883" s="94"/>
      <c r="P883" s="94"/>
      <c r="Q883" s="94"/>
      <c r="R883" s="94"/>
      <c r="S883" s="94"/>
      <c r="T883" s="94"/>
      <c r="U883" s="94"/>
      <c r="V883" s="94"/>
      <c r="W883" s="94"/>
      <c r="X883" s="94"/>
      <c r="Y883" s="94"/>
      <c r="Z883" s="94"/>
      <c r="AA883" s="94"/>
      <c r="AB883" s="94"/>
      <c r="AC883" s="94"/>
      <c r="AD883" s="94"/>
      <c r="AE883" s="94"/>
    </row>
    <row r="884">
      <c r="A884" s="87"/>
      <c r="B884" s="37"/>
      <c r="C884" s="37"/>
      <c r="D884" s="162"/>
      <c r="E884" s="89"/>
      <c r="F884" s="72"/>
      <c r="G884" s="111"/>
      <c r="H884" s="111"/>
      <c r="I884" s="111"/>
      <c r="J884" s="111"/>
      <c r="K884" s="111"/>
      <c r="L884" s="111"/>
      <c r="M884" s="94"/>
      <c r="N884" s="94"/>
      <c r="O884" s="94"/>
      <c r="P884" s="94"/>
      <c r="Q884" s="94"/>
      <c r="R884" s="94"/>
      <c r="S884" s="94"/>
      <c r="T884" s="94"/>
      <c r="U884" s="94"/>
      <c r="V884" s="94"/>
      <c r="W884" s="94"/>
      <c r="X884" s="94"/>
      <c r="Y884" s="94"/>
      <c r="Z884" s="94"/>
      <c r="AA884" s="94"/>
      <c r="AB884" s="94"/>
      <c r="AC884" s="94"/>
      <c r="AD884" s="94"/>
      <c r="AE884" s="94"/>
    </row>
    <row r="885">
      <c r="A885" s="87"/>
      <c r="B885" s="37"/>
      <c r="C885" s="37"/>
      <c r="D885" s="162"/>
      <c r="E885" s="89"/>
      <c r="F885" s="72"/>
      <c r="G885" s="111"/>
      <c r="H885" s="111"/>
      <c r="I885" s="111"/>
      <c r="J885" s="111"/>
      <c r="K885" s="111"/>
      <c r="L885" s="111"/>
      <c r="M885" s="94"/>
      <c r="N885" s="94"/>
      <c r="O885" s="94"/>
      <c r="P885" s="94"/>
      <c r="Q885" s="94"/>
      <c r="R885" s="94"/>
      <c r="S885" s="94"/>
      <c r="T885" s="94"/>
      <c r="U885" s="94"/>
      <c r="V885" s="94"/>
      <c r="W885" s="94"/>
      <c r="X885" s="94"/>
      <c r="Y885" s="94"/>
      <c r="Z885" s="94"/>
      <c r="AA885" s="94"/>
      <c r="AB885" s="94"/>
      <c r="AC885" s="94"/>
      <c r="AD885" s="94"/>
      <c r="AE885" s="94"/>
    </row>
    <row r="886">
      <c r="A886" s="87"/>
      <c r="B886" s="37"/>
      <c r="C886" s="37"/>
      <c r="D886" s="162"/>
      <c r="E886" s="89"/>
      <c r="F886" s="72"/>
      <c r="G886" s="111"/>
      <c r="H886" s="111"/>
      <c r="I886" s="111"/>
      <c r="J886" s="111"/>
      <c r="K886" s="111"/>
      <c r="L886" s="111"/>
      <c r="M886" s="94"/>
      <c r="N886" s="94"/>
      <c r="O886" s="94"/>
      <c r="P886" s="94"/>
      <c r="Q886" s="94"/>
      <c r="R886" s="94"/>
      <c r="S886" s="94"/>
      <c r="T886" s="94"/>
      <c r="U886" s="94"/>
      <c r="V886" s="94"/>
      <c r="W886" s="94"/>
      <c r="X886" s="94"/>
      <c r="Y886" s="94"/>
      <c r="Z886" s="94"/>
      <c r="AA886" s="94"/>
      <c r="AB886" s="94"/>
      <c r="AC886" s="94"/>
      <c r="AD886" s="94"/>
      <c r="AE886" s="94"/>
    </row>
    <row r="887">
      <c r="A887" s="87"/>
      <c r="B887" s="37"/>
      <c r="C887" s="37"/>
      <c r="D887" s="162"/>
      <c r="E887" s="89"/>
      <c r="F887" s="72"/>
      <c r="G887" s="111"/>
      <c r="H887" s="111"/>
      <c r="I887" s="111"/>
      <c r="J887" s="111"/>
      <c r="K887" s="111"/>
      <c r="L887" s="111"/>
      <c r="M887" s="94"/>
      <c r="N887" s="94"/>
      <c r="O887" s="94"/>
      <c r="P887" s="94"/>
      <c r="Q887" s="94"/>
      <c r="R887" s="94"/>
      <c r="S887" s="94"/>
      <c r="T887" s="94"/>
      <c r="U887" s="94"/>
      <c r="V887" s="94"/>
      <c r="W887" s="94"/>
      <c r="X887" s="94"/>
      <c r="Y887" s="94"/>
      <c r="Z887" s="94"/>
      <c r="AA887" s="94"/>
      <c r="AB887" s="94"/>
      <c r="AC887" s="94"/>
      <c r="AD887" s="94"/>
      <c r="AE887" s="94"/>
    </row>
    <row r="888">
      <c r="A888" s="87"/>
      <c r="B888" s="37"/>
      <c r="C888" s="37"/>
      <c r="D888" s="162"/>
      <c r="E888" s="89"/>
      <c r="F888" s="72"/>
      <c r="G888" s="111"/>
      <c r="H888" s="111"/>
      <c r="I888" s="111"/>
      <c r="J888" s="111"/>
      <c r="K888" s="111"/>
      <c r="L888" s="111"/>
      <c r="M888" s="94"/>
      <c r="N888" s="94"/>
      <c r="O888" s="94"/>
      <c r="P888" s="94"/>
      <c r="Q888" s="94"/>
      <c r="R888" s="94"/>
      <c r="S888" s="94"/>
      <c r="T888" s="94"/>
      <c r="U888" s="94"/>
      <c r="V888" s="94"/>
      <c r="W888" s="94"/>
      <c r="X888" s="94"/>
      <c r="Y888" s="94"/>
      <c r="Z888" s="94"/>
      <c r="AA888" s="94"/>
      <c r="AB888" s="94"/>
      <c r="AC888" s="94"/>
      <c r="AD888" s="94"/>
      <c r="AE888" s="94"/>
    </row>
    <row r="889">
      <c r="A889" s="87"/>
      <c r="B889" s="37"/>
      <c r="C889" s="37"/>
      <c r="D889" s="162"/>
      <c r="E889" s="89"/>
      <c r="F889" s="72"/>
      <c r="G889" s="111"/>
      <c r="H889" s="111"/>
      <c r="I889" s="111"/>
      <c r="J889" s="111"/>
      <c r="K889" s="111"/>
      <c r="L889" s="111"/>
      <c r="M889" s="94"/>
      <c r="N889" s="94"/>
      <c r="O889" s="94"/>
      <c r="P889" s="94"/>
      <c r="Q889" s="94"/>
      <c r="R889" s="94"/>
      <c r="S889" s="94"/>
      <c r="T889" s="94"/>
      <c r="U889" s="94"/>
      <c r="V889" s="94"/>
      <c r="W889" s="94"/>
      <c r="X889" s="94"/>
      <c r="Y889" s="94"/>
      <c r="Z889" s="94"/>
      <c r="AA889" s="94"/>
      <c r="AB889" s="94"/>
      <c r="AC889" s="94"/>
      <c r="AD889" s="94"/>
      <c r="AE889" s="94"/>
    </row>
    <row r="890">
      <c r="A890" s="87"/>
      <c r="B890" s="37"/>
      <c r="C890" s="37"/>
      <c r="D890" s="162"/>
      <c r="E890" s="89"/>
      <c r="F890" s="72"/>
      <c r="G890" s="111"/>
      <c r="H890" s="111"/>
      <c r="I890" s="111"/>
      <c r="J890" s="111"/>
      <c r="K890" s="111"/>
      <c r="L890" s="111"/>
      <c r="M890" s="94"/>
      <c r="N890" s="94"/>
      <c r="O890" s="94"/>
      <c r="P890" s="94"/>
      <c r="Q890" s="94"/>
      <c r="R890" s="94"/>
      <c r="S890" s="94"/>
      <c r="T890" s="94"/>
      <c r="U890" s="94"/>
      <c r="V890" s="94"/>
      <c r="W890" s="94"/>
      <c r="X890" s="94"/>
      <c r="Y890" s="94"/>
      <c r="Z890" s="94"/>
      <c r="AA890" s="94"/>
      <c r="AB890" s="94"/>
      <c r="AC890" s="94"/>
      <c r="AD890" s="94"/>
      <c r="AE890" s="94"/>
    </row>
    <row r="891">
      <c r="A891" s="87"/>
      <c r="B891" s="37"/>
      <c r="C891" s="37"/>
      <c r="D891" s="162"/>
      <c r="E891" s="89"/>
      <c r="F891" s="72"/>
      <c r="G891" s="111"/>
      <c r="H891" s="111"/>
      <c r="I891" s="111"/>
      <c r="J891" s="111"/>
      <c r="K891" s="111"/>
      <c r="L891" s="111"/>
      <c r="M891" s="94"/>
      <c r="N891" s="94"/>
      <c r="O891" s="94"/>
      <c r="P891" s="94"/>
      <c r="Q891" s="94"/>
      <c r="R891" s="94"/>
      <c r="S891" s="94"/>
      <c r="T891" s="94"/>
      <c r="U891" s="94"/>
      <c r="V891" s="94"/>
      <c r="W891" s="94"/>
      <c r="X891" s="94"/>
      <c r="Y891" s="94"/>
      <c r="Z891" s="94"/>
      <c r="AA891" s="94"/>
      <c r="AB891" s="94"/>
      <c r="AC891" s="94"/>
      <c r="AD891" s="94"/>
      <c r="AE891" s="94"/>
    </row>
    <row r="892">
      <c r="A892" s="87"/>
      <c r="B892" s="37"/>
      <c r="C892" s="37"/>
      <c r="D892" s="162"/>
      <c r="E892" s="89"/>
      <c r="F892" s="72"/>
      <c r="G892" s="111"/>
      <c r="H892" s="111"/>
      <c r="I892" s="111"/>
      <c r="J892" s="111"/>
      <c r="K892" s="111"/>
      <c r="L892" s="111"/>
      <c r="M892" s="94"/>
      <c r="N892" s="94"/>
      <c r="O892" s="94"/>
      <c r="P892" s="94"/>
      <c r="Q892" s="94"/>
      <c r="R892" s="94"/>
      <c r="S892" s="94"/>
      <c r="T892" s="94"/>
      <c r="U892" s="94"/>
      <c r="V892" s="94"/>
      <c r="W892" s="94"/>
      <c r="X892" s="94"/>
      <c r="Y892" s="94"/>
      <c r="Z892" s="94"/>
      <c r="AA892" s="94"/>
      <c r="AB892" s="94"/>
      <c r="AC892" s="94"/>
      <c r="AD892" s="94"/>
      <c r="AE892" s="94"/>
    </row>
    <row r="893">
      <c r="A893" s="87"/>
      <c r="B893" s="37"/>
      <c r="C893" s="37"/>
      <c r="D893" s="162"/>
      <c r="E893" s="89"/>
      <c r="F893" s="72"/>
      <c r="G893" s="111"/>
      <c r="H893" s="111"/>
      <c r="I893" s="111"/>
      <c r="J893" s="111"/>
      <c r="K893" s="111"/>
      <c r="L893" s="111"/>
      <c r="M893" s="94"/>
      <c r="N893" s="94"/>
      <c r="O893" s="94"/>
      <c r="P893" s="94"/>
      <c r="Q893" s="94"/>
      <c r="R893" s="94"/>
      <c r="S893" s="94"/>
      <c r="T893" s="94"/>
      <c r="U893" s="94"/>
      <c r="V893" s="94"/>
      <c r="W893" s="94"/>
      <c r="X893" s="94"/>
      <c r="Y893" s="94"/>
      <c r="Z893" s="94"/>
      <c r="AA893" s="94"/>
      <c r="AB893" s="94"/>
      <c r="AC893" s="94"/>
      <c r="AD893" s="94"/>
      <c r="AE893" s="94"/>
    </row>
    <row r="894">
      <c r="A894" s="87"/>
      <c r="B894" s="37"/>
      <c r="C894" s="37"/>
      <c r="D894" s="162"/>
      <c r="E894" s="89"/>
      <c r="F894" s="72"/>
      <c r="G894" s="111"/>
      <c r="H894" s="111"/>
      <c r="I894" s="111"/>
      <c r="J894" s="111"/>
      <c r="K894" s="111"/>
      <c r="L894" s="111"/>
      <c r="M894" s="94"/>
      <c r="N894" s="94"/>
      <c r="O894" s="94"/>
      <c r="P894" s="94"/>
      <c r="Q894" s="94"/>
      <c r="R894" s="94"/>
      <c r="S894" s="94"/>
      <c r="T894" s="94"/>
      <c r="U894" s="94"/>
      <c r="V894" s="94"/>
      <c r="W894" s="94"/>
      <c r="X894" s="94"/>
      <c r="Y894" s="94"/>
      <c r="Z894" s="94"/>
      <c r="AA894" s="94"/>
      <c r="AB894" s="94"/>
      <c r="AC894" s="94"/>
      <c r="AD894" s="94"/>
      <c r="AE894" s="94"/>
    </row>
    <row r="895">
      <c r="A895" s="87"/>
      <c r="B895" s="37"/>
      <c r="C895" s="37"/>
      <c r="D895" s="162"/>
      <c r="E895" s="89"/>
      <c r="F895" s="72"/>
      <c r="G895" s="111"/>
      <c r="H895" s="111"/>
      <c r="I895" s="111"/>
      <c r="J895" s="111"/>
      <c r="K895" s="111"/>
      <c r="L895" s="111"/>
      <c r="M895" s="94"/>
      <c r="N895" s="94"/>
      <c r="O895" s="94"/>
      <c r="P895" s="94"/>
      <c r="Q895" s="94"/>
      <c r="R895" s="94"/>
      <c r="S895" s="94"/>
      <c r="T895" s="94"/>
      <c r="U895" s="94"/>
      <c r="V895" s="94"/>
      <c r="W895" s="94"/>
      <c r="X895" s="94"/>
      <c r="Y895" s="94"/>
      <c r="Z895" s="94"/>
      <c r="AA895" s="94"/>
      <c r="AB895" s="94"/>
      <c r="AC895" s="94"/>
      <c r="AD895" s="94"/>
      <c r="AE895" s="94"/>
    </row>
    <row r="896">
      <c r="A896" s="87"/>
      <c r="B896" s="37"/>
      <c r="C896" s="37"/>
      <c r="D896" s="162"/>
      <c r="E896" s="89"/>
      <c r="F896" s="72"/>
      <c r="G896" s="111"/>
      <c r="H896" s="111"/>
      <c r="I896" s="111"/>
      <c r="J896" s="111"/>
      <c r="K896" s="111"/>
      <c r="L896" s="111"/>
      <c r="M896" s="94"/>
      <c r="N896" s="94"/>
      <c r="O896" s="94"/>
      <c r="P896" s="94"/>
      <c r="Q896" s="94"/>
      <c r="R896" s="94"/>
      <c r="S896" s="94"/>
      <c r="T896" s="94"/>
      <c r="U896" s="94"/>
      <c r="V896" s="94"/>
      <c r="W896" s="94"/>
      <c r="X896" s="94"/>
      <c r="Y896" s="94"/>
      <c r="Z896" s="94"/>
      <c r="AA896" s="94"/>
      <c r="AB896" s="94"/>
      <c r="AC896" s="94"/>
      <c r="AD896" s="94"/>
      <c r="AE896" s="94"/>
    </row>
    <row r="897">
      <c r="A897" s="87"/>
      <c r="B897" s="37"/>
      <c r="C897" s="37"/>
      <c r="D897" s="162"/>
      <c r="E897" s="89"/>
      <c r="F897" s="72"/>
      <c r="G897" s="111"/>
      <c r="H897" s="111"/>
      <c r="I897" s="111"/>
      <c r="J897" s="111"/>
      <c r="K897" s="111"/>
      <c r="L897" s="111"/>
      <c r="M897" s="94"/>
      <c r="N897" s="94"/>
      <c r="O897" s="94"/>
      <c r="P897" s="94"/>
      <c r="Q897" s="94"/>
      <c r="R897" s="94"/>
      <c r="S897" s="94"/>
      <c r="T897" s="94"/>
      <c r="U897" s="94"/>
      <c r="V897" s="94"/>
      <c r="W897" s="94"/>
      <c r="X897" s="94"/>
      <c r="Y897" s="94"/>
      <c r="Z897" s="94"/>
      <c r="AA897" s="94"/>
      <c r="AB897" s="94"/>
      <c r="AC897" s="94"/>
      <c r="AD897" s="94"/>
      <c r="AE897" s="94"/>
    </row>
    <row r="898">
      <c r="A898" s="87"/>
      <c r="B898" s="37"/>
      <c r="C898" s="37"/>
      <c r="D898" s="162"/>
      <c r="E898" s="89"/>
      <c r="F898" s="72"/>
      <c r="G898" s="111"/>
      <c r="H898" s="111"/>
      <c r="I898" s="111"/>
      <c r="J898" s="111"/>
      <c r="K898" s="111"/>
      <c r="L898" s="111"/>
      <c r="M898" s="94"/>
      <c r="N898" s="94"/>
      <c r="O898" s="94"/>
      <c r="P898" s="94"/>
      <c r="Q898" s="94"/>
      <c r="R898" s="94"/>
      <c r="S898" s="94"/>
      <c r="T898" s="94"/>
      <c r="U898" s="94"/>
      <c r="V898" s="94"/>
      <c r="W898" s="94"/>
      <c r="X898" s="94"/>
      <c r="Y898" s="94"/>
      <c r="Z898" s="94"/>
      <c r="AA898" s="94"/>
      <c r="AB898" s="94"/>
      <c r="AC898" s="94"/>
      <c r="AD898" s="94"/>
      <c r="AE898" s="94"/>
    </row>
    <row r="899">
      <c r="A899" s="87"/>
      <c r="B899" s="37"/>
      <c r="C899" s="37"/>
      <c r="D899" s="162"/>
      <c r="E899" s="89"/>
      <c r="F899" s="72"/>
      <c r="G899" s="111"/>
      <c r="H899" s="111"/>
      <c r="I899" s="111"/>
      <c r="J899" s="111"/>
      <c r="K899" s="111"/>
      <c r="L899" s="111"/>
      <c r="M899" s="94"/>
      <c r="N899" s="94"/>
      <c r="O899" s="94"/>
      <c r="P899" s="94"/>
      <c r="Q899" s="94"/>
      <c r="R899" s="94"/>
      <c r="S899" s="94"/>
      <c r="T899" s="94"/>
      <c r="U899" s="94"/>
      <c r="V899" s="94"/>
      <c r="W899" s="94"/>
      <c r="X899" s="94"/>
      <c r="Y899" s="94"/>
      <c r="Z899" s="94"/>
      <c r="AA899" s="94"/>
      <c r="AB899" s="94"/>
      <c r="AC899" s="94"/>
      <c r="AD899" s="94"/>
      <c r="AE899" s="94"/>
    </row>
    <row r="900">
      <c r="A900" s="87"/>
      <c r="B900" s="37"/>
      <c r="C900" s="37"/>
      <c r="D900" s="162"/>
      <c r="E900" s="89"/>
      <c r="F900" s="72"/>
      <c r="G900" s="111"/>
      <c r="H900" s="111"/>
      <c r="I900" s="111"/>
      <c r="J900" s="111"/>
      <c r="K900" s="111"/>
      <c r="L900" s="111"/>
      <c r="M900" s="94"/>
      <c r="N900" s="94"/>
      <c r="O900" s="94"/>
      <c r="P900" s="94"/>
      <c r="Q900" s="94"/>
      <c r="R900" s="94"/>
      <c r="S900" s="94"/>
      <c r="T900" s="94"/>
      <c r="U900" s="94"/>
      <c r="V900" s="94"/>
      <c r="W900" s="94"/>
      <c r="X900" s="94"/>
      <c r="Y900" s="94"/>
      <c r="Z900" s="94"/>
      <c r="AA900" s="94"/>
      <c r="AB900" s="94"/>
      <c r="AC900" s="94"/>
      <c r="AD900" s="94"/>
      <c r="AE900" s="94"/>
    </row>
    <row r="901">
      <c r="A901" s="87"/>
      <c r="B901" s="37"/>
      <c r="C901" s="37"/>
      <c r="D901" s="162"/>
      <c r="E901" s="89"/>
      <c r="F901" s="72"/>
      <c r="G901" s="111"/>
      <c r="H901" s="111"/>
      <c r="I901" s="111"/>
      <c r="J901" s="111"/>
      <c r="K901" s="111"/>
      <c r="L901" s="111"/>
      <c r="M901" s="94"/>
      <c r="N901" s="94"/>
      <c r="O901" s="94"/>
      <c r="P901" s="94"/>
      <c r="Q901" s="94"/>
      <c r="R901" s="94"/>
      <c r="S901" s="94"/>
      <c r="T901" s="94"/>
      <c r="U901" s="94"/>
      <c r="V901" s="94"/>
      <c r="W901" s="94"/>
      <c r="X901" s="94"/>
      <c r="Y901" s="94"/>
      <c r="Z901" s="94"/>
      <c r="AA901" s="94"/>
      <c r="AB901" s="94"/>
      <c r="AC901" s="94"/>
      <c r="AD901" s="94"/>
      <c r="AE901" s="94"/>
    </row>
    <row r="902">
      <c r="A902" s="87"/>
      <c r="B902" s="37"/>
      <c r="C902" s="37"/>
      <c r="D902" s="162"/>
      <c r="E902" s="89"/>
      <c r="F902" s="72"/>
      <c r="G902" s="111"/>
      <c r="H902" s="111"/>
      <c r="I902" s="111"/>
      <c r="J902" s="111"/>
      <c r="K902" s="111"/>
      <c r="L902" s="111"/>
      <c r="M902" s="94"/>
      <c r="N902" s="94"/>
      <c r="O902" s="94"/>
      <c r="P902" s="94"/>
      <c r="Q902" s="94"/>
      <c r="R902" s="94"/>
      <c r="S902" s="94"/>
      <c r="T902" s="94"/>
      <c r="U902" s="94"/>
      <c r="V902" s="94"/>
      <c r="W902" s="94"/>
      <c r="X902" s="94"/>
      <c r="Y902" s="94"/>
      <c r="Z902" s="94"/>
      <c r="AA902" s="94"/>
      <c r="AB902" s="94"/>
      <c r="AC902" s="94"/>
      <c r="AD902" s="94"/>
      <c r="AE902" s="94"/>
    </row>
    <row r="903">
      <c r="A903" s="87"/>
      <c r="B903" s="37"/>
      <c r="C903" s="37"/>
      <c r="D903" s="162"/>
      <c r="E903" s="89"/>
      <c r="F903" s="72"/>
      <c r="G903" s="111"/>
      <c r="H903" s="111"/>
      <c r="I903" s="111"/>
      <c r="J903" s="111"/>
      <c r="K903" s="111"/>
      <c r="L903" s="111"/>
      <c r="M903" s="94"/>
      <c r="N903" s="94"/>
      <c r="O903" s="94"/>
      <c r="P903" s="94"/>
      <c r="Q903" s="94"/>
      <c r="R903" s="94"/>
      <c r="S903" s="94"/>
      <c r="T903" s="94"/>
      <c r="U903" s="94"/>
      <c r="V903" s="94"/>
      <c r="W903" s="94"/>
      <c r="X903" s="94"/>
      <c r="Y903" s="94"/>
      <c r="Z903" s="94"/>
      <c r="AA903" s="94"/>
      <c r="AB903" s="94"/>
      <c r="AC903" s="94"/>
      <c r="AD903" s="94"/>
      <c r="AE903" s="94"/>
    </row>
    <row r="904">
      <c r="A904" s="87"/>
      <c r="B904" s="37"/>
      <c r="C904" s="37"/>
      <c r="D904" s="162"/>
      <c r="E904" s="89"/>
      <c r="F904" s="72"/>
      <c r="G904" s="111"/>
      <c r="H904" s="111"/>
      <c r="I904" s="111"/>
      <c r="J904" s="111"/>
      <c r="K904" s="111"/>
      <c r="L904" s="111"/>
      <c r="M904" s="94"/>
      <c r="N904" s="94"/>
      <c r="O904" s="94"/>
      <c r="P904" s="94"/>
      <c r="Q904" s="94"/>
      <c r="R904" s="94"/>
      <c r="S904" s="94"/>
      <c r="T904" s="94"/>
      <c r="U904" s="94"/>
      <c r="V904" s="94"/>
      <c r="W904" s="94"/>
      <c r="X904" s="94"/>
      <c r="Y904" s="94"/>
      <c r="Z904" s="94"/>
      <c r="AA904" s="94"/>
      <c r="AB904" s="94"/>
      <c r="AC904" s="94"/>
      <c r="AD904" s="94"/>
      <c r="AE904" s="94"/>
    </row>
    <row r="905">
      <c r="A905" s="87"/>
      <c r="B905" s="37"/>
      <c r="C905" s="37"/>
      <c r="D905" s="162"/>
      <c r="E905" s="89"/>
      <c r="F905" s="72"/>
      <c r="G905" s="111"/>
      <c r="H905" s="111"/>
      <c r="I905" s="111"/>
      <c r="J905" s="111"/>
      <c r="K905" s="111"/>
      <c r="L905" s="111"/>
      <c r="M905" s="94"/>
      <c r="N905" s="94"/>
      <c r="O905" s="94"/>
      <c r="P905" s="94"/>
      <c r="Q905" s="94"/>
      <c r="R905" s="94"/>
      <c r="S905" s="94"/>
      <c r="T905" s="94"/>
      <c r="U905" s="94"/>
      <c r="V905" s="94"/>
      <c r="W905" s="94"/>
      <c r="X905" s="94"/>
      <c r="Y905" s="94"/>
      <c r="Z905" s="94"/>
      <c r="AA905" s="94"/>
      <c r="AB905" s="94"/>
      <c r="AC905" s="94"/>
      <c r="AD905" s="94"/>
      <c r="AE905" s="94"/>
    </row>
    <row r="906">
      <c r="A906" s="87"/>
      <c r="B906" s="37"/>
      <c r="C906" s="37"/>
      <c r="D906" s="162"/>
      <c r="E906" s="89"/>
      <c r="F906" s="72"/>
      <c r="G906" s="111"/>
      <c r="H906" s="111"/>
      <c r="I906" s="111"/>
      <c r="J906" s="111"/>
      <c r="K906" s="111"/>
      <c r="L906" s="111"/>
      <c r="M906" s="94"/>
      <c r="N906" s="94"/>
      <c r="O906" s="94"/>
      <c r="P906" s="94"/>
      <c r="Q906" s="94"/>
      <c r="R906" s="94"/>
      <c r="S906" s="94"/>
      <c r="T906" s="94"/>
      <c r="U906" s="94"/>
      <c r="V906" s="94"/>
      <c r="W906" s="94"/>
      <c r="X906" s="94"/>
      <c r="Y906" s="94"/>
      <c r="Z906" s="94"/>
      <c r="AA906" s="94"/>
      <c r="AB906" s="94"/>
      <c r="AC906" s="94"/>
      <c r="AD906" s="94"/>
      <c r="AE906" s="94"/>
    </row>
    <row r="907">
      <c r="A907" s="87"/>
      <c r="B907" s="37"/>
      <c r="C907" s="37"/>
      <c r="D907" s="162"/>
      <c r="E907" s="89"/>
      <c r="F907" s="72"/>
      <c r="G907" s="111"/>
      <c r="H907" s="111"/>
      <c r="I907" s="111"/>
      <c r="J907" s="111"/>
      <c r="K907" s="111"/>
      <c r="L907" s="111"/>
      <c r="M907" s="94"/>
      <c r="N907" s="94"/>
      <c r="O907" s="94"/>
      <c r="P907" s="94"/>
      <c r="Q907" s="94"/>
      <c r="R907" s="94"/>
      <c r="S907" s="94"/>
      <c r="T907" s="94"/>
      <c r="U907" s="94"/>
      <c r="V907" s="94"/>
      <c r="W907" s="94"/>
      <c r="X907" s="94"/>
      <c r="Y907" s="94"/>
      <c r="Z907" s="94"/>
      <c r="AA907" s="94"/>
      <c r="AB907" s="94"/>
      <c r="AC907" s="94"/>
      <c r="AD907" s="94"/>
      <c r="AE907" s="94"/>
    </row>
    <row r="908">
      <c r="A908" s="87"/>
      <c r="B908" s="37"/>
      <c r="C908" s="37"/>
      <c r="D908" s="162"/>
      <c r="E908" s="89"/>
      <c r="F908" s="72"/>
      <c r="G908" s="111"/>
      <c r="H908" s="111"/>
      <c r="I908" s="111"/>
      <c r="J908" s="111"/>
      <c r="K908" s="111"/>
      <c r="L908" s="111"/>
      <c r="M908" s="94"/>
      <c r="N908" s="94"/>
      <c r="O908" s="94"/>
      <c r="P908" s="94"/>
      <c r="Q908" s="94"/>
      <c r="R908" s="94"/>
      <c r="S908" s="94"/>
      <c r="T908" s="94"/>
      <c r="U908" s="94"/>
      <c r="V908" s="94"/>
      <c r="W908" s="94"/>
      <c r="X908" s="94"/>
      <c r="Y908" s="94"/>
      <c r="Z908" s="94"/>
      <c r="AA908" s="94"/>
      <c r="AB908" s="94"/>
      <c r="AC908" s="94"/>
      <c r="AD908" s="94"/>
      <c r="AE908" s="94"/>
    </row>
    <row r="909">
      <c r="A909" s="87"/>
      <c r="B909" s="37"/>
      <c r="C909" s="37"/>
      <c r="D909" s="162"/>
      <c r="E909" s="89"/>
      <c r="F909" s="72"/>
      <c r="G909" s="111"/>
      <c r="H909" s="111"/>
      <c r="I909" s="111"/>
      <c r="J909" s="111"/>
      <c r="K909" s="111"/>
      <c r="L909" s="111"/>
      <c r="M909" s="94"/>
      <c r="N909" s="94"/>
      <c r="O909" s="94"/>
      <c r="P909" s="94"/>
      <c r="Q909" s="94"/>
      <c r="R909" s="94"/>
      <c r="S909" s="94"/>
      <c r="T909" s="94"/>
      <c r="U909" s="94"/>
      <c r="V909" s="94"/>
      <c r="W909" s="94"/>
      <c r="X909" s="94"/>
      <c r="Y909" s="94"/>
      <c r="Z909" s="94"/>
      <c r="AA909" s="94"/>
      <c r="AB909" s="94"/>
      <c r="AC909" s="94"/>
      <c r="AD909" s="94"/>
      <c r="AE909" s="94"/>
    </row>
    <row r="910">
      <c r="A910" s="87"/>
      <c r="B910" s="37"/>
      <c r="C910" s="37"/>
      <c r="D910" s="162"/>
      <c r="E910" s="89"/>
      <c r="F910" s="72"/>
      <c r="G910" s="111"/>
      <c r="H910" s="111"/>
      <c r="I910" s="111"/>
      <c r="J910" s="111"/>
      <c r="K910" s="111"/>
      <c r="L910" s="111"/>
      <c r="M910" s="94"/>
      <c r="N910" s="94"/>
      <c r="O910" s="94"/>
      <c r="P910" s="94"/>
      <c r="Q910" s="94"/>
      <c r="R910" s="94"/>
      <c r="S910" s="94"/>
      <c r="T910" s="94"/>
      <c r="U910" s="94"/>
      <c r="V910" s="94"/>
      <c r="W910" s="94"/>
      <c r="X910" s="94"/>
      <c r="Y910" s="94"/>
      <c r="Z910" s="94"/>
      <c r="AA910" s="94"/>
      <c r="AB910" s="94"/>
      <c r="AC910" s="94"/>
      <c r="AD910" s="94"/>
      <c r="AE910" s="94"/>
    </row>
    <row r="911">
      <c r="A911" s="87"/>
      <c r="B911" s="37"/>
      <c r="C911" s="37"/>
      <c r="D911" s="162"/>
      <c r="E911" s="89"/>
      <c r="F911" s="72"/>
      <c r="G911" s="111"/>
      <c r="H911" s="111"/>
      <c r="I911" s="111"/>
      <c r="J911" s="111"/>
      <c r="K911" s="111"/>
      <c r="L911" s="111"/>
      <c r="M911" s="94"/>
      <c r="N911" s="94"/>
      <c r="O911" s="94"/>
      <c r="P911" s="94"/>
      <c r="Q911" s="94"/>
      <c r="R911" s="94"/>
      <c r="S911" s="94"/>
      <c r="T911" s="94"/>
      <c r="U911" s="94"/>
      <c r="V911" s="94"/>
      <c r="W911" s="94"/>
      <c r="X911" s="94"/>
      <c r="Y911" s="94"/>
      <c r="Z911" s="94"/>
      <c r="AA911" s="94"/>
      <c r="AB911" s="94"/>
      <c r="AC911" s="94"/>
      <c r="AD911" s="94"/>
      <c r="AE911" s="94"/>
    </row>
    <row r="912">
      <c r="A912" s="87"/>
      <c r="B912" s="37"/>
      <c r="C912" s="37"/>
      <c r="D912" s="162"/>
      <c r="E912" s="89"/>
      <c r="F912" s="72"/>
      <c r="G912" s="111"/>
      <c r="H912" s="111"/>
      <c r="I912" s="111"/>
      <c r="J912" s="111"/>
      <c r="K912" s="111"/>
      <c r="L912" s="111"/>
      <c r="M912" s="94"/>
      <c r="N912" s="94"/>
      <c r="O912" s="94"/>
      <c r="P912" s="94"/>
      <c r="Q912" s="94"/>
      <c r="R912" s="94"/>
      <c r="S912" s="94"/>
      <c r="T912" s="94"/>
      <c r="U912" s="94"/>
      <c r="V912" s="94"/>
      <c r="W912" s="94"/>
      <c r="X912" s="94"/>
      <c r="Y912" s="94"/>
      <c r="Z912" s="94"/>
      <c r="AA912" s="94"/>
      <c r="AB912" s="94"/>
      <c r="AC912" s="94"/>
      <c r="AD912" s="94"/>
      <c r="AE912" s="94"/>
    </row>
    <row r="913">
      <c r="A913" s="87"/>
      <c r="B913" s="37"/>
      <c r="C913" s="37"/>
      <c r="D913" s="162"/>
      <c r="E913" s="89"/>
      <c r="F913" s="72"/>
      <c r="G913" s="111"/>
      <c r="H913" s="111"/>
      <c r="I913" s="111"/>
      <c r="J913" s="111"/>
      <c r="K913" s="111"/>
      <c r="L913" s="111"/>
      <c r="M913" s="94"/>
      <c r="N913" s="94"/>
      <c r="O913" s="94"/>
      <c r="P913" s="94"/>
      <c r="Q913" s="94"/>
      <c r="R913" s="94"/>
      <c r="S913" s="94"/>
      <c r="T913" s="94"/>
      <c r="U913" s="94"/>
      <c r="V913" s="94"/>
      <c r="W913" s="94"/>
      <c r="X913" s="94"/>
      <c r="Y913" s="94"/>
      <c r="Z913" s="94"/>
      <c r="AA913" s="94"/>
      <c r="AB913" s="94"/>
      <c r="AC913" s="94"/>
      <c r="AD913" s="94"/>
      <c r="AE913" s="94"/>
    </row>
    <row r="914">
      <c r="A914" s="87"/>
      <c r="B914" s="37"/>
      <c r="C914" s="37"/>
      <c r="D914" s="162"/>
      <c r="E914" s="89"/>
      <c r="F914" s="72"/>
      <c r="G914" s="111"/>
      <c r="H914" s="111"/>
      <c r="I914" s="111"/>
      <c r="J914" s="111"/>
      <c r="K914" s="111"/>
      <c r="L914" s="111"/>
      <c r="M914" s="94"/>
      <c r="N914" s="94"/>
      <c r="O914" s="94"/>
      <c r="P914" s="94"/>
      <c r="Q914" s="94"/>
      <c r="R914" s="94"/>
      <c r="S914" s="94"/>
      <c r="T914" s="94"/>
      <c r="U914" s="94"/>
      <c r="V914" s="94"/>
      <c r="W914" s="94"/>
      <c r="X914" s="94"/>
      <c r="Y914" s="94"/>
      <c r="Z914" s="94"/>
      <c r="AA914" s="94"/>
      <c r="AB914" s="94"/>
      <c r="AC914" s="94"/>
      <c r="AD914" s="94"/>
      <c r="AE914" s="94"/>
    </row>
    <row r="915">
      <c r="A915" s="87"/>
      <c r="B915" s="37"/>
      <c r="C915" s="37"/>
      <c r="D915" s="162"/>
      <c r="E915" s="89"/>
      <c r="F915" s="72"/>
      <c r="G915" s="111"/>
      <c r="H915" s="111"/>
      <c r="I915" s="111"/>
      <c r="J915" s="111"/>
      <c r="K915" s="111"/>
      <c r="L915" s="111"/>
      <c r="M915" s="94"/>
      <c r="N915" s="94"/>
      <c r="O915" s="94"/>
      <c r="P915" s="94"/>
      <c r="Q915" s="94"/>
      <c r="R915" s="94"/>
      <c r="S915" s="94"/>
      <c r="T915" s="94"/>
      <c r="U915" s="94"/>
      <c r="V915" s="94"/>
      <c r="W915" s="94"/>
      <c r="X915" s="94"/>
      <c r="Y915" s="94"/>
      <c r="Z915" s="94"/>
      <c r="AA915" s="94"/>
      <c r="AB915" s="94"/>
      <c r="AC915" s="94"/>
      <c r="AD915" s="94"/>
      <c r="AE915" s="94"/>
    </row>
    <row r="916">
      <c r="A916" s="87"/>
      <c r="B916" s="37"/>
      <c r="C916" s="37"/>
      <c r="D916" s="162"/>
      <c r="E916" s="89"/>
      <c r="F916" s="72"/>
      <c r="G916" s="111"/>
      <c r="H916" s="111"/>
      <c r="I916" s="111"/>
      <c r="J916" s="111"/>
      <c r="K916" s="111"/>
      <c r="L916" s="111"/>
      <c r="M916" s="94"/>
      <c r="N916" s="94"/>
      <c r="O916" s="94"/>
      <c r="P916" s="94"/>
      <c r="Q916" s="94"/>
      <c r="R916" s="94"/>
      <c r="S916" s="94"/>
      <c r="T916" s="94"/>
      <c r="U916" s="94"/>
      <c r="V916" s="94"/>
      <c r="W916" s="94"/>
      <c r="X916" s="94"/>
      <c r="Y916" s="94"/>
      <c r="Z916" s="94"/>
      <c r="AA916" s="94"/>
      <c r="AB916" s="94"/>
      <c r="AC916" s="94"/>
      <c r="AD916" s="94"/>
      <c r="AE916" s="94"/>
    </row>
    <row r="917">
      <c r="A917" s="87"/>
      <c r="B917" s="37"/>
      <c r="C917" s="37"/>
      <c r="D917" s="162"/>
      <c r="E917" s="89"/>
      <c r="F917" s="72"/>
      <c r="G917" s="111"/>
      <c r="H917" s="111"/>
      <c r="I917" s="111"/>
      <c r="J917" s="111"/>
      <c r="K917" s="111"/>
      <c r="L917" s="111"/>
      <c r="M917" s="94"/>
      <c r="N917" s="94"/>
      <c r="O917" s="94"/>
      <c r="P917" s="94"/>
      <c r="Q917" s="94"/>
      <c r="R917" s="94"/>
      <c r="S917" s="94"/>
      <c r="T917" s="94"/>
      <c r="U917" s="94"/>
      <c r="V917" s="94"/>
      <c r="W917" s="94"/>
      <c r="X917" s="94"/>
      <c r="Y917" s="94"/>
      <c r="Z917" s="94"/>
      <c r="AA917" s="94"/>
      <c r="AB917" s="94"/>
      <c r="AC917" s="94"/>
      <c r="AD917" s="94"/>
      <c r="AE917" s="94"/>
    </row>
    <row r="918">
      <c r="A918" s="87"/>
      <c r="B918" s="37"/>
      <c r="C918" s="37"/>
      <c r="D918" s="162"/>
      <c r="E918" s="89"/>
      <c r="F918" s="72"/>
      <c r="G918" s="111"/>
      <c r="H918" s="111"/>
      <c r="I918" s="111"/>
      <c r="J918" s="111"/>
      <c r="K918" s="111"/>
      <c r="L918" s="111"/>
      <c r="M918" s="94"/>
      <c r="N918" s="94"/>
      <c r="O918" s="94"/>
      <c r="P918" s="94"/>
      <c r="Q918" s="94"/>
      <c r="R918" s="94"/>
      <c r="S918" s="94"/>
      <c r="T918" s="94"/>
      <c r="U918" s="94"/>
      <c r="V918" s="94"/>
      <c r="W918" s="94"/>
      <c r="X918" s="94"/>
      <c r="Y918" s="94"/>
      <c r="Z918" s="94"/>
      <c r="AA918" s="94"/>
      <c r="AB918" s="94"/>
      <c r="AC918" s="94"/>
      <c r="AD918" s="94"/>
      <c r="AE918" s="94"/>
    </row>
    <row r="919">
      <c r="A919" s="87"/>
      <c r="B919" s="37"/>
      <c r="C919" s="37"/>
      <c r="D919" s="162"/>
      <c r="E919" s="89"/>
      <c r="F919" s="72"/>
      <c r="G919" s="111"/>
      <c r="H919" s="111"/>
      <c r="I919" s="111"/>
      <c r="J919" s="111"/>
      <c r="K919" s="111"/>
      <c r="L919" s="111"/>
      <c r="M919" s="94"/>
      <c r="N919" s="94"/>
      <c r="O919" s="94"/>
      <c r="P919" s="94"/>
      <c r="Q919" s="94"/>
      <c r="R919" s="94"/>
      <c r="S919" s="94"/>
      <c r="T919" s="94"/>
      <c r="U919" s="94"/>
      <c r="V919" s="94"/>
      <c r="W919" s="94"/>
      <c r="X919" s="94"/>
      <c r="Y919" s="94"/>
      <c r="Z919" s="94"/>
      <c r="AA919" s="94"/>
      <c r="AB919" s="94"/>
      <c r="AC919" s="94"/>
      <c r="AD919" s="94"/>
      <c r="AE919" s="94"/>
    </row>
    <row r="920">
      <c r="A920" s="87"/>
      <c r="B920" s="37"/>
      <c r="C920" s="37"/>
      <c r="D920" s="162"/>
      <c r="E920" s="89"/>
      <c r="F920" s="72"/>
      <c r="G920" s="111"/>
      <c r="H920" s="111"/>
      <c r="I920" s="111"/>
      <c r="J920" s="111"/>
      <c r="K920" s="111"/>
      <c r="L920" s="111"/>
      <c r="M920" s="94"/>
      <c r="N920" s="94"/>
      <c r="O920" s="94"/>
      <c r="P920" s="94"/>
      <c r="Q920" s="94"/>
      <c r="R920" s="94"/>
      <c r="S920" s="94"/>
      <c r="T920" s="94"/>
      <c r="U920" s="94"/>
      <c r="V920" s="94"/>
      <c r="W920" s="94"/>
      <c r="X920" s="94"/>
      <c r="Y920" s="94"/>
      <c r="Z920" s="94"/>
      <c r="AA920" s="94"/>
      <c r="AB920" s="94"/>
      <c r="AC920" s="94"/>
      <c r="AD920" s="94"/>
      <c r="AE920" s="94"/>
    </row>
    <row r="921">
      <c r="A921" s="87"/>
      <c r="B921" s="37"/>
      <c r="C921" s="37"/>
      <c r="D921" s="162"/>
      <c r="E921" s="89"/>
      <c r="F921" s="72"/>
      <c r="G921" s="111"/>
      <c r="H921" s="111"/>
      <c r="I921" s="111"/>
      <c r="J921" s="111"/>
      <c r="K921" s="111"/>
      <c r="L921" s="111"/>
      <c r="M921" s="94"/>
      <c r="N921" s="94"/>
      <c r="O921" s="94"/>
      <c r="P921" s="94"/>
      <c r="Q921" s="94"/>
      <c r="R921" s="94"/>
      <c r="S921" s="94"/>
      <c r="T921" s="94"/>
      <c r="U921" s="94"/>
      <c r="V921" s="94"/>
      <c r="W921" s="94"/>
      <c r="X921" s="94"/>
      <c r="Y921" s="94"/>
      <c r="Z921" s="94"/>
      <c r="AA921" s="94"/>
      <c r="AB921" s="94"/>
      <c r="AC921" s="94"/>
      <c r="AD921" s="94"/>
      <c r="AE921" s="94"/>
    </row>
    <row r="922">
      <c r="A922" s="87"/>
      <c r="B922" s="37"/>
      <c r="C922" s="37"/>
      <c r="D922" s="162"/>
      <c r="E922" s="89"/>
      <c r="F922" s="72"/>
      <c r="G922" s="111"/>
      <c r="H922" s="111"/>
      <c r="I922" s="111"/>
      <c r="J922" s="111"/>
      <c r="K922" s="111"/>
      <c r="L922" s="111"/>
      <c r="M922" s="94"/>
      <c r="N922" s="94"/>
      <c r="O922" s="94"/>
      <c r="P922" s="94"/>
      <c r="Q922" s="94"/>
      <c r="R922" s="94"/>
      <c r="S922" s="94"/>
      <c r="T922" s="94"/>
      <c r="U922" s="94"/>
      <c r="V922" s="94"/>
      <c r="W922" s="94"/>
      <c r="X922" s="94"/>
      <c r="Y922" s="94"/>
      <c r="Z922" s="94"/>
      <c r="AA922" s="94"/>
      <c r="AB922" s="94"/>
      <c r="AC922" s="94"/>
      <c r="AD922" s="94"/>
      <c r="AE922" s="94"/>
    </row>
    <row r="923">
      <c r="A923" s="87"/>
      <c r="B923" s="37"/>
      <c r="C923" s="37"/>
      <c r="D923" s="162"/>
      <c r="E923" s="89"/>
      <c r="F923" s="72"/>
      <c r="G923" s="111"/>
      <c r="H923" s="111"/>
      <c r="I923" s="111"/>
      <c r="J923" s="111"/>
      <c r="K923" s="111"/>
      <c r="L923" s="111"/>
      <c r="M923" s="94"/>
      <c r="N923" s="94"/>
      <c r="O923" s="94"/>
      <c r="P923" s="94"/>
      <c r="Q923" s="94"/>
      <c r="R923" s="94"/>
      <c r="S923" s="94"/>
      <c r="T923" s="94"/>
      <c r="U923" s="94"/>
      <c r="V923" s="94"/>
      <c r="W923" s="94"/>
      <c r="X923" s="94"/>
      <c r="Y923" s="94"/>
      <c r="Z923" s="94"/>
      <c r="AA923" s="94"/>
      <c r="AB923" s="94"/>
      <c r="AC923" s="94"/>
      <c r="AD923" s="94"/>
      <c r="AE923" s="94"/>
    </row>
    <row r="924">
      <c r="A924" s="87"/>
      <c r="B924" s="37"/>
      <c r="C924" s="37"/>
      <c r="D924" s="162"/>
      <c r="E924" s="89"/>
      <c r="F924" s="72"/>
      <c r="G924" s="111"/>
      <c r="H924" s="111"/>
      <c r="I924" s="111"/>
      <c r="J924" s="111"/>
      <c r="K924" s="111"/>
      <c r="L924" s="111"/>
      <c r="M924" s="94"/>
      <c r="N924" s="94"/>
      <c r="O924" s="94"/>
      <c r="P924" s="94"/>
      <c r="Q924" s="94"/>
      <c r="R924" s="94"/>
      <c r="S924" s="94"/>
      <c r="T924" s="94"/>
      <c r="U924" s="94"/>
      <c r="V924" s="94"/>
      <c r="W924" s="94"/>
      <c r="X924" s="94"/>
      <c r="Y924" s="94"/>
      <c r="Z924" s="94"/>
      <c r="AA924" s="94"/>
      <c r="AB924" s="94"/>
      <c r="AC924" s="94"/>
      <c r="AD924" s="94"/>
      <c r="AE924" s="94"/>
    </row>
    <row r="925">
      <c r="A925" s="87"/>
      <c r="B925" s="37"/>
      <c r="C925" s="37"/>
      <c r="D925" s="162"/>
      <c r="E925" s="89"/>
      <c r="F925" s="72"/>
      <c r="G925" s="111"/>
      <c r="H925" s="111"/>
      <c r="I925" s="111"/>
      <c r="J925" s="111"/>
      <c r="K925" s="111"/>
      <c r="L925" s="111"/>
      <c r="M925" s="94"/>
      <c r="N925" s="94"/>
      <c r="O925" s="94"/>
      <c r="P925" s="94"/>
      <c r="Q925" s="94"/>
      <c r="R925" s="94"/>
      <c r="S925" s="94"/>
      <c r="T925" s="94"/>
      <c r="U925" s="94"/>
      <c r="V925" s="94"/>
      <c r="W925" s="94"/>
      <c r="X925" s="94"/>
      <c r="Y925" s="94"/>
      <c r="Z925" s="94"/>
      <c r="AA925" s="94"/>
      <c r="AB925" s="94"/>
      <c r="AC925" s="94"/>
      <c r="AD925" s="94"/>
      <c r="AE925" s="94"/>
    </row>
    <row r="926">
      <c r="A926" s="87"/>
      <c r="B926" s="37"/>
      <c r="C926" s="37"/>
      <c r="D926" s="162"/>
      <c r="E926" s="89"/>
      <c r="F926" s="72"/>
      <c r="G926" s="111"/>
      <c r="H926" s="111"/>
      <c r="I926" s="111"/>
      <c r="J926" s="111"/>
      <c r="K926" s="111"/>
      <c r="L926" s="111"/>
      <c r="M926" s="94"/>
      <c r="N926" s="94"/>
      <c r="O926" s="94"/>
      <c r="P926" s="94"/>
      <c r="Q926" s="94"/>
      <c r="R926" s="94"/>
      <c r="S926" s="94"/>
      <c r="T926" s="94"/>
      <c r="U926" s="94"/>
      <c r="V926" s="94"/>
      <c r="W926" s="94"/>
      <c r="X926" s="94"/>
      <c r="Y926" s="94"/>
      <c r="Z926" s="94"/>
      <c r="AA926" s="94"/>
      <c r="AB926" s="94"/>
      <c r="AC926" s="94"/>
      <c r="AD926" s="94"/>
      <c r="AE926" s="94"/>
    </row>
    <row r="927">
      <c r="A927" s="87"/>
      <c r="B927" s="37"/>
      <c r="C927" s="37"/>
      <c r="D927" s="162"/>
      <c r="E927" s="89"/>
      <c r="F927" s="72"/>
      <c r="G927" s="111"/>
      <c r="H927" s="111"/>
      <c r="I927" s="111"/>
      <c r="J927" s="111"/>
      <c r="K927" s="111"/>
      <c r="L927" s="111"/>
      <c r="M927" s="94"/>
      <c r="N927" s="94"/>
      <c r="O927" s="94"/>
      <c r="P927" s="94"/>
      <c r="Q927" s="94"/>
      <c r="R927" s="94"/>
      <c r="S927" s="94"/>
      <c r="T927" s="94"/>
      <c r="U927" s="94"/>
      <c r="V927" s="94"/>
      <c r="W927" s="94"/>
      <c r="X927" s="94"/>
      <c r="Y927" s="94"/>
      <c r="Z927" s="94"/>
      <c r="AA927" s="94"/>
      <c r="AB927" s="94"/>
      <c r="AC927" s="94"/>
      <c r="AD927" s="94"/>
      <c r="AE927" s="94"/>
    </row>
    <row r="928">
      <c r="A928" s="87"/>
      <c r="B928" s="37"/>
      <c r="C928" s="37"/>
      <c r="D928" s="162"/>
      <c r="E928" s="89"/>
      <c r="F928" s="72"/>
      <c r="G928" s="111"/>
      <c r="H928" s="111"/>
      <c r="I928" s="111"/>
      <c r="J928" s="111"/>
      <c r="K928" s="111"/>
      <c r="L928" s="111"/>
      <c r="M928" s="94"/>
      <c r="N928" s="94"/>
      <c r="O928" s="94"/>
      <c r="P928" s="94"/>
      <c r="Q928" s="94"/>
      <c r="R928" s="94"/>
      <c r="S928" s="94"/>
      <c r="T928" s="94"/>
      <c r="U928" s="94"/>
      <c r="V928" s="94"/>
      <c r="W928" s="94"/>
      <c r="X928" s="94"/>
      <c r="Y928" s="94"/>
      <c r="Z928" s="94"/>
      <c r="AA928" s="94"/>
      <c r="AB928" s="94"/>
      <c r="AC928" s="94"/>
      <c r="AD928" s="94"/>
      <c r="AE928" s="94"/>
    </row>
    <row r="929">
      <c r="A929" s="87"/>
      <c r="B929" s="37"/>
      <c r="C929" s="37"/>
      <c r="D929" s="162"/>
      <c r="E929" s="89"/>
      <c r="F929" s="72"/>
      <c r="G929" s="111"/>
      <c r="H929" s="111"/>
      <c r="I929" s="111"/>
      <c r="J929" s="111"/>
      <c r="K929" s="111"/>
      <c r="L929" s="111"/>
      <c r="M929" s="94"/>
      <c r="N929" s="94"/>
      <c r="O929" s="94"/>
      <c r="P929" s="94"/>
      <c r="Q929" s="94"/>
      <c r="R929" s="94"/>
      <c r="S929" s="94"/>
      <c r="T929" s="94"/>
      <c r="U929" s="94"/>
      <c r="V929" s="94"/>
      <c r="W929" s="94"/>
      <c r="X929" s="94"/>
      <c r="Y929" s="94"/>
      <c r="Z929" s="94"/>
      <c r="AA929" s="94"/>
      <c r="AB929" s="94"/>
      <c r="AC929" s="94"/>
      <c r="AD929" s="94"/>
      <c r="AE929" s="94"/>
    </row>
    <row r="930">
      <c r="A930" s="87"/>
      <c r="B930" s="37"/>
      <c r="C930" s="37"/>
      <c r="D930" s="162"/>
      <c r="E930" s="89"/>
      <c r="F930" s="72"/>
      <c r="G930" s="111"/>
      <c r="H930" s="111"/>
      <c r="I930" s="111"/>
      <c r="J930" s="111"/>
      <c r="K930" s="111"/>
      <c r="L930" s="111"/>
      <c r="M930" s="94"/>
      <c r="N930" s="94"/>
      <c r="O930" s="94"/>
      <c r="P930" s="94"/>
      <c r="Q930" s="94"/>
      <c r="R930" s="94"/>
      <c r="S930" s="94"/>
      <c r="T930" s="94"/>
      <c r="U930" s="94"/>
      <c r="V930" s="94"/>
      <c r="W930" s="94"/>
      <c r="X930" s="94"/>
      <c r="Y930" s="94"/>
      <c r="Z930" s="94"/>
      <c r="AA930" s="94"/>
      <c r="AB930" s="94"/>
      <c r="AC930" s="94"/>
      <c r="AD930" s="94"/>
      <c r="AE930" s="94"/>
    </row>
    <row r="931">
      <c r="A931" s="87"/>
      <c r="B931" s="37"/>
      <c r="C931" s="37"/>
      <c r="D931" s="162"/>
      <c r="E931" s="89"/>
      <c r="F931" s="72"/>
      <c r="G931" s="111"/>
      <c r="H931" s="111"/>
      <c r="I931" s="111"/>
      <c r="J931" s="111"/>
      <c r="K931" s="111"/>
      <c r="L931" s="111"/>
      <c r="M931" s="94"/>
      <c r="N931" s="94"/>
      <c r="O931" s="94"/>
      <c r="P931" s="94"/>
      <c r="Q931" s="94"/>
      <c r="R931" s="94"/>
      <c r="S931" s="94"/>
      <c r="T931" s="94"/>
      <c r="U931" s="94"/>
      <c r="V931" s="94"/>
      <c r="W931" s="94"/>
      <c r="X931" s="94"/>
      <c r="Y931" s="94"/>
      <c r="Z931" s="94"/>
      <c r="AA931" s="94"/>
      <c r="AB931" s="94"/>
      <c r="AC931" s="94"/>
      <c r="AD931" s="94"/>
      <c r="AE931" s="94"/>
    </row>
    <row r="932">
      <c r="A932" s="87"/>
      <c r="B932" s="37"/>
      <c r="C932" s="37"/>
      <c r="D932" s="162"/>
      <c r="E932" s="89"/>
      <c r="F932" s="72"/>
      <c r="G932" s="111"/>
      <c r="H932" s="111"/>
      <c r="I932" s="111"/>
      <c r="J932" s="111"/>
      <c r="K932" s="111"/>
      <c r="L932" s="111"/>
      <c r="M932" s="94"/>
      <c r="N932" s="94"/>
      <c r="O932" s="94"/>
      <c r="P932" s="94"/>
      <c r="Q932" s="94"/>
      <c r="R932" s="94"/>
      <c r="S932" s="94"/>
      <c r="T932" s="94"/>
      <c r="U932" s="94"/>
      <c r="V932" s="94"/>
      <c r="W932" s="94"/>
      <c r="X932" s="94"/>
      <c r="Y932" s="94"/>
      <c r="Z932" s="94"/>
      <c r="AA932" s="94"/>
      <c r="AB932" s="94"/>
      <c r="AC932" s="94"/>
      <c r="AD932" s="94"/>
      <c r="AE932" s="94"/>
    </row>
    <row r="933">
      <c r="A933" s="87"/>
      <c r="B933" s="37"/>
      <c r="C933" s="37"/>
      <c r="D933" s="162"/>
      <c r="E933" s="89"/>
      <c r="F933" s="72"/>
      <c r="G933" s="111"/>
      <c r="H933" s="111"/>
      <c r="I933" s="111"/>
      <c r="J933" s="111"/>
      <c r="K933" s="111"/>
      <c r="L933" s="111"/>
      <c r="M933" s="94"/>
      <c r="N933" s="94"/>
      <c r="O933" s="94"/>
      <c r="P933" s="94"/>
      <c r="Q933" s="94"/>
      <c r="R933" s="94"/>
      <c r="S933" s="94"/>
      <c r="T933" s="94"/>
      <c r="U933" s="94"/>
      <c r="V933" s="94"/>
      <c r="W933" s="94"/>
      <c r="X933" s="94"/>
      <c r="Y933" s="94"/>
      <c r="Z933" s="94"/>
      <c r="AA933" s="94"/>
      <c r="AB933" s="94"/>
      <c r="AC933" s="94"/>
      <c r="AD933" s="94"/>
      <c r="AE933" s="94"/>
    </row>
    <row r="934">
      <c r="A934" s="87"/>
      <c r="B934" s="37"/>
      <c r="C934" s="37"/>
      <c r="D934" s="162"/>
      <c r="E934" s="89"/>
      <c r="F934" s="72"/>
      <c r="G934" s="111"/>
      <c r="H934" s="111"/>
      <c r="I934" s="111"/>
      <c r="J934" s="111"/>
      <c r="K934" s="111"/>
      <c r="L934" s="111"/>
      <c r="M934" s="94"/>
      <c r="N934" s="94"/>
      <c r="O934" s="94"/>
      <c r="P934" s="94"/>
      <c r="Q934" s="94"/>
      <c r="R934" s="94"/>
      <c r="S934" s="94"/>
      <c r="T934" s="94"/>
      <c r="U934" s="94"/>
      <c r="V934" s="94"/>
      <c r="W934" s="94"/>
      <c r="X934" s="94"/>
      <c r="Y934" s="94"/>
      <c r="Z934" s="94"/>
      <c r="AA934" s="94"/>
      <c r="AB934" s="94"/>
      <c r="AC934" s="94"/>
      <c r="AD934" s="94"/>
      <c r="AE934" s="94"/>
    </row>
    <row r="935">
      <c r="A935" s="87"/>
      <c r="B935" s="37"/>
      <c r="C935" s="37"/>
      <c r="D935" s="162"/>
      <c r="E935" s="89"/>
      <c r="F935" s="72"/>
      <c r="G935" s="111"/>
      <c r="H935" s="111"/>
      <c r="I935" s="111"/>
      <c r="J935" s="111"/>
      <c r="K935" s="111"/>
      <c r="L935" s="111"/>
      <c r="M935" s="94"/>
      <c r="N935" s="94"/>
      <c r="O935" s="94"/>
      <c r="P935" s="94"/>
      <c r="Q935" s="94"/>
      <c r="R935" s="94"/>
      <c r="S935" s="94"/>
      <c r="T935" s="94"/>
      <c r="U935" s="94"/>
      <c r="V935" s="94"/>
      <c r="W935" s="94"/>
      <c r="X935" s="94"/>
      <c r="Y935" s="94"/>
      <c r="Z935" s="94"/>
      <c r="AA935" s="94"/>
      <c r="AB935" s="94"/>
      <c r="AC935" s="94"/>
      <c r="AD935" s="94"/>
      <c r="AE935" s="94"/>
    </row>
    <row r="936">
      <c r="A936" s="87"/>
      <c r="B936" s="37"/>
      <c r="C936" s="37"/>
      <c r="D936" s="162"/>
      <c r="E936" s="89"/>
      <c r="F936" s="72"/>
      <c r="G936" s="111"/>
      <c r="H936" s="111"/>
      <c r="I936" s="111"/>
      <c r="J936" s="111"/>
      <c r="K936" s="111"/>
      <c r="L936" s="111"/>
      <c r="M936" s="94"/>
      <c r="N936" s="94"/>
      <c r="O936" s="94"/>
      <c r="P936" s="94"/>
      <c r="Q936" s="94"/>
      <c r="R936" s="94"/>
      <c r="S936" s="94"/>
      <c r="T936" s="94"/>
      <c r="U936" s="94"/>
      <c r="V936" s="94"/>
      <c r="W936" s="94"/>
      <c r="X936" s="94"/>
      <c r="Y936" s="94"/>
      <c r="Z936" s="94"/>
      <c r="AA936" s="94"/>
      <c r="AB936" s="94"/>
      <c r="AC936" s="94"/>
      <c r="AD936" s="94"/>
      <c r="AE936" s="94"/>
    </row>
    <row r="937">
      <c r="A937" s="87"/>
      <c r="B937" s="37"/>
      <c r="C937" s="37"/>
      <c r="D937" s="162"/>
      <c r="E937" s="89"/>
      <c r="F937" s="72"/>
      <c r="G937" s="111"/>
      <c r="H937" s="111"/>
      <c r="I937" s="111"/>
      <c r="J937" s="111"/>
      <c r="K937" s="111"/>
      <c r="L937" s="111"/>
      <c r="M937" s="94"/>
      <c r="N937" s="94"/>
      <c r="O937" s="94"/>
      <c r="P937" s="94"/>
      <c r="Q937" s="94"/>
      <c r="R937" s="94"/>
      <c r="S937" s="94"/>
      <c r="T937" s="94"/>
      <c r="U937" s="94"/>
      <c r="V937" s="94"/>
      <c r="W937" s="94"/>
      <c r="X937" s="94"/>
      <c r="Y937" s="94"/>
      <c r="Z937" s="94"/>
      <c r="AA937" s="94"/>
      <c r="AB937" s="94"/>
      <c r="AC937" s="94"/>
      <c r="AD937" s="94"/>
      <c r="AE937" s="94"/>
    </row>
    <row r="938">
      <c r="A938" s="87"/>
      <c r="B938" s="37"/>
      <c r="C938" s="37"/>
      <c r="D938" s="162"/>
      <c r="E938" s="89"/>
      <c r="F938" s="72"/>
      <c r="G938" s="111"/>
      <c r="H938" s="111"/>
      <c r="I938" s="111"/>
      <c r="J938" s="111"/>
      <c r="K938" s="111"/>
      <c r="L938" s="111"/>
      <c r="M938" s="94"/>
      <c r="N938" s="94"/>
      <c r="O938" s="94"/>
      <c r="P938" s="94"/>
      <c r="Q938" s="94"/>
      <c r="R938" s="94"/>
      <c r="S938" s="94"/>
      <c r="T938" s="94"/>
      <c r="U938" s="94"/>
      <c r="V938" s="94"/>
      <c r="W938" s="94"/>
      <c r="X938" s="94"/>
      <c r="Y938" s="94"/>
      <c r="Z938" s="94"/>
      <c r="AA938" s="94"/>
      <c r="AB938" s="94"/>
      <c r="AC938" s="94"/>
      <c r="AD938" s="94"/>
      <c r="AE938" s="94"/>
    </row>
    <row r="939">
      <c r="A939" s="87"/>
      <c r="B939" s="37"/>
      <c r="C939" s="37"/>
      <c r="D939" s="162"/>
      <c r="E939" s="89"/>
      <c r="F939" s="72"/>
      <c r="G939" s="111"/>
      <c r="H939" s="111"/>
      <c r="I939" s="111"/>
      <c r="J939" s="111"/>
      <c r="K939" s="111"/>
      <c r="L939" s="111"/>
      <c r="M939" s="94"/>
      <c r="N939" s="94"/>
      <c r="O939" s="94"/>
      <c r="P939" s="94"/>
      <c r="Q939" s="94"/>
      <c r="R939" s="94"/>
      <c r="S939" s="94"/>
      <c r="T939" s="94"/>
      <c r="U939" s="94"/>
      <c r="V939" s="94"/>
      <c r="W939" s="94"/>
      <c r="X939" s="94"/>
      <c r="Y939" s="94"/>
      <c r="Z939" s="94"/>
      <c r="AA939" s="94"/>
      <c r="AB939" s="94"/>
      <c r="AC939" s="94"/>
      <c r="AD939" s="94"/>
      <c r="AE939" s="94"/>
    </row>
    <row r="940">
      <c r="A940" s="87"/>
      <c r="B940" s="37"/>
      <c r="C940" s="37"/>
      <c r="D940" s="162"/>
      <c r="E940" s="89"/>
      <c r="F940" s="72"/>
      <c r="G940" s="111"/>
      <c r="H940" s="111"/>
      <c r="I940" s="111"/>
      <c r="J940" s="111"/>
      <c r="K940" s="111"/>
      <c r="L940" s="111"/>
      <c r="M940" s="94"/>
      <c r="N940" s="94"/>
      <c r="O940" s="94"/>
      <c r="P940" s="94"/>
      <c r="Q940" s="94"/>
      <c r="R940" s="94"/>
      <c r="S940" s="94"/>
      <c r="T940" s="94"/>
      <c r="U940" s="94"/>
      <c r="V940" s="94"/>
      <c r="W940" s="94"/>
      <c r="X940" s="94"/>
      <c r="Y940" s="94"/>
      <c r="Z940" s="94"/>
      <c r="AA940" s="94"/>
      <c r="AB940" s="94"/>
      <c r="AC940" s="94"/>
      <c r="AD940" s="94"/>
      <c r="AE940" s="94"/>
    </row>
    <row r="941">
      <c r="A941" s="87"/>
      <c r="B941" s="37"/>
      <c r="C941" s="37"/>
      <c r="D941" s="162"/>
      <c r="E941" s="89"/>
      <c r="F941" s="72"/>
      <c r="G941" s="111"/>
      <c r="H941" s="111"/>
      <c r="I941" s="111"/>
      <c r="J941" s="111"/>
      <c r="K941" s="111"/>
      <c r="L941" s="111"/>
      <c r="M941" s="94"/>
      <c r="N941" s="94"/>
      <c r="O941" s="94"/>
      <c r="P941" s="94"/>
      <c r="Q941" s="94"/>
      <c r="R941" s="94"/>
      <c r="S941" s="94"/>
      <c r="T941" s="94"/>
      <c r="U941" s="94"/>
      <c r="V941" s="94"/>
      <c r="W941" s="94"/>
      <c r="X941" s="94"/>
      <c r="Y941" s="94"/>
      <c r="Z941" s="94"/>
      <c r="AA941" s="94"/>
      <c r="AB941" s="94"/>
      <c r="AC941" s="94"/>
      <c r="AD941" s="94"/>
      <c r="AE941" s="94"/>
    </row>
    <row r="942">
      <c r="A942" s="87"/>
      <c r="B942" s="37"/>
      <c r="C942" s="37"/>
      <c r="D942" s="162"/>
      <c r="E942" s="89"/>
      <c r="F942" s="72"/>
      <c r="G942" s="111"/>
      <c r="H942" s="111"/>
      <c r="I942" s="111"/>
      <c r="J942" s="111"/>
      <c r="K942" s="111"/>
      <c r="L942" s="111"/>
      <c r="M942" s="94"/>
      <c r="N942" s="94"/>
      <c r="O942" s="94"/>
      <c r="P942" s="94"/>
      <c r="Q942" s="94"/>
      <c r="R942" s="94"/>
      <c r="S942" s="94"/>
      <c r="T942" s="94"/>
      <c r="U942" s="94"/>
      <c r="V942" s="94"/>
      <c r="W942" s="94"/>
      <c r="X942" s="94"/>
      <c r="Y942" s="94"/>
      <c r="Z942" s="94"/>
      <c r="AA942" s="94"/>
      <c r="AB942" s="94"/>
      <c r="AC942" s="94"/>
      <c r="AD942" s="94"/>
      <c r="AE942" s="94"/>
    </row>
    <row r="943">
      <c r="A943" s="87"/>
      <c r="B943" s="37"/>
      <c r="C943" s="37"/>
      <c r="D943" s="162"/>
      <c r="E943" s="89"/>
      <c r="F943" s="72"/>
      <c r="G943" s="111"/>
      <c r="H943" s="111"/>
      <c r="I943" s="111"/>
      <c r="J943" s="111"/>
      <c r="K943" s="111"/>
      <c r="L943" s="111"/>
      <c r="M943" s="94"/>
      <c r="N943" s="94"/>
      <c r="O943" s="94"/>
      <c r="P943" s="94"/>
      <c r="Q943" s="94"/>
      <c r="R943" s="94"/>
      <c r="S943" s="94"/>
      <c r="T943" s="94"/>
      <c r="U943" s="94"/>
      <c r="V943" s="94"/>
      <c r="W943" s="94"/>
      <c r="X943" s="94"/>
      <c r="Y943" s="94"/>
      <c r="Z943" s="94"/>
      <c r="AA943" s="94"/>
      <c r="AB943" s="94"/>
      <c r="AC943" s="94"/>
      <c r="AD943" s="94"/>
      <c r="AE943" s="94"/>
    </row>
    <row r="944">
      <c r="A944" s="87"/>
      <c r="B944" s="37"/>
      <c r="C944" s="37"/>
      <c r="D944" s="162"/>
      <c r="E944" s="89"/>
      <c r="F944" s="72"/>
      <c r="G944" s="111"/>
      <c r="H944" s="111"/>
      <c r="I944" s="111"/>
      <c r="J944" s="111"/>
      <c r="K944" s="111"/>
      <c r="L944" s="111"/>
      <c r="M944" s="94"/>
      <c r="N944" s="94"/>
      <c r="O944" s="94"/>
      <c r="P944" s="94"/>
      <c r="Q944" s="94"/>
      <c r="R944" s="94"/>
      <c r="S944" s="94"/>
      <c r="T944" s="94"/>
      <c r="U944" s="94"/>
      <c r="V944" s="94"/>
      <c r="W944" s="94"/>
      <c r="X944" s="94"/>
      <c r="Y944" s="94"/>
      <c r="Z944" s="94"/>
      <c r="AA944" s="94"/>
      <c r="AB944" s="94"/>
      <c r="AC944" s="94"/>
      <c r="AD944" s="94"/>
      <c r="AE944" s="94"/>
    </row>
    <row r="945">
      <c r="A945" s="87"/>
      <c r="B945" s="37"/>
      <c r="C945" s="37"/>
      <c r="D945" s="162"/>
      <c r="E945" s="89"/>
      <c r="F945" s="72"/>
      <c r="G945" s="111"/>
      <c r="H945" s="111"/>
      <c r="I945" s="111"/>
      <c r="J945" s="111"/>
      <c r="K945" s="111"/>
      <c r="L945" s="111"/>
      <c r="M945" s="94"/>
      <c r="N945" s="94"/>
      <c r="O945" s="94"/>
      <c r="P945" s="94"/>
      <c r="Q945" s="94"/>
      <c r="R945" s="94"/>
      <c r="S945" s="94"/>
      <c r="T945" s="94"/>
      <c r="U945" s="94"/>
      <c r="V945" s="94"/>
      <c r="W945" s="94"/>
      <c r="X945" s="94"/>
      <c r="Y945" s="94"/>
      <c r="Z945" s="94"/>
      <c r="AA945" s="94"/>
      <c r="AB945" s="94"/>
      <c r="AC945" s="94"/>
      <c r="AD945" s="94"/>
      <c r="AE945" s="94"/>
    </row>
    <row r="946">
      <c r="A946" s="87"/>
      <c r="B946" s="37"/>
      <c r="C946" s="37"/>
      <c r="D946" s="162"/>
      <c r="E946" s="89"/>
      <c r="F946" s="72"/>
      <c r="G946" s="111"/>
      <c r="H946" s="111"/>
      <c r="I946" s="111"/>
      <c r="J946" s="111"/>
      <c r="K946" s="111"/>
      <c r="L946" s="111"/>
      <c r="M946" s="94"/>
      <c r="N946" s="94"/>
      <c r="O946" s="94"/>
      <c r="P946" s="94"/>
      <c r="Q946" s="94"/>
      <c r="R946" s="94"/>
      <c r="S946" s="94"/>
      <c r="T946" s="94"/>
      <c r="U946" s="94"/>
      <c r="V946" s="94"/>
      <c r="W946" s="94"/>
      <c r="X946" s="94"/>
      <c r="Y946" s="94"/>
      <c r="Z946" s="94"/>
      <c r="AA946" s="94"/>
      <c r="AB946" s="94"/>
      <c r="AC946" s="94"/>
      <c r="AD946" s="94"/>
      <c r="AE946" s="94"/>
    </row>
    <row r="947">
      <c r="A947" s="87"/>
      <c r="B947" s="37"/>
      <c r="C947" s="37"/>
      <c r="D947" s="162"/>
      <c r="E947" s="89"/>
      <c r="F947" s="72"/>
      <c r="G947" s="111"/>
      <c r="H947" s="111"/>
      <c r="I947" s="111"/>
      <c r="J947" s="111"/>
      <c r="K947" s="111"/>
      <c r="L947" s="111"/>
      <c r="M947" s="94"/>
      <c r="N947" s="94"/>
      <c r="O947" s="94"/>
      <c r="P947" s="94"/>
      <c r="Q947" s="94"/>
      <c r="R947" s="94"/>
      <c r="S947" s="94"/>
      <c r="T947" s="94"/>
      <c r="U947" s="94"/>
      <c r="V947" s="94"/>
      <c r="W947" s="94"/>
      <c r="X947" s="94"/>
      <c r="Y947" s="94"/>
      <c r="Z947" s="94"/>
      <c r="AA947" s="94"/>
      <c r="AB947" s="94"/>
      <c r="AC947" s="94"/>
      <c r="AD947" s="94"/>
      <c r="AE947" s="94"/>
    </row>
    <row r="948">
      <c r="A948" s="87"/>
      <c r="B948" s="37"/>
      <c r="C948" s="37"/>
      <c r="D948" s="162"/>
      <c r="E948" s="89"/>
      <c r="F948" s="72"/>
      <c r="G948" s="111"/>
      <c r="H948" s="111"/>
      <c r="I948" s="111"/>
      <c r="J948" s="111"/>
      <c r="K948" s="111"/>
      <c r="L948" s="111"/>
      <c r="M948" s="94"/>
      <c r="N948" s="94"/>
      <c r="O948" s="94"/>
      <c r="P948" s="94"/>
      <c r="Q948" s="94"/>
      <c r="R948" s="94"/>
      <c r="S948" s="94"/>
      <c r="T948" s="94"/>
      <c r="U948" s="94"/>
      <c r="V948" s="94"/>
      <c r="W948" s="94"/>
      <c r="X948" s="94"/>
      <c r="Y948" s="94"/>
      <c r="Z948" s="94"/>
      <c r="AA948" s="94"/>
      <c r="AB948" s="94"/>
      <c r="AC948" s="94"/>
      <c r="AD948" s="94"/>
      <c r="AE948" s="94"/>
    </row>
    <row r="949">
      <c r="A949" s="87"/>
      <c r="B949" s="37"/>
      <c r="C949" s="37"/>
      <c r="D949" s="162"/>
      <c r="E949" s="89"/>
      <c r="F949" s="72"/>
      <c r="G949" s="111"/>
      <c r="H949" s="111"/>
      <c r="I949" s="111"/>
      <c r="J949" s="111"/>
      <c r="K949" s="111"/>
      <c r="L949" s="111"/>
      <c r="M949" s="94"/>
      <c r="N949" s="94"/>
      <c r="O949" s="94"/>
      <c r="P949" s="94"/>
      <c r="Q949" s="94"/>
      <c r="R949" s="94"/>
      <c r="S949" s="94"/>
      <c r="T949" s="94"/>
      <c r="U949" s="94"/>
      <c r="V949" s="94"/>
      <c r="W949" s="94"/>
      <c r="X949" s="94"/>
      <c r="Y949" s="94"/>
      <c r="Z949" s="94"/>
      <c r="AA949" s="94"/>
      <c r="AB949" s="94"/>
      <c r="AC949" s="94"/>
      <c r="AD949" s="94"/>
      <c r="AE949" s="94"/>
    </row>
    <row r="950">
      <c r="A950" s="87"/>
      <c r="B950" s="37"/>
      <c r="C950" s="37"/>
      <c r="D950" s="162"/>
      <c r="E950" s="89"/>
      <c r="F950" s="72"/>
      <c r="G950" s="111"/>
      <c r="H950" s="111"/>
      <c r="I950" s="111"/>
      <c r="J950" s="111"/>
      <c r="K950" s="111"/>
      <c r="L950" s="111"/>
      <c r="M950" s="94"/>
      <c r="N950" s="94"/>
      <c r="O950" s="94"/>
      <c r="P950" s="94"/>
      <c r="Q950" s="94"/>
      <c r="R950" s="94"/>
      <c r="S950" s="94"/>
      <c r="T950" s="94"/>
      <c r="U950" s="94"/>
      <c r="V950" s="94"/>
      <c r="W950" s="94"/>
      <c r="X950" s="94"/>
      <c r="Y950" s="94"/>
      <c r="Z950" s="94"/>
      <c r="AA950" s="94"/>
      <c r="AB950" s="94"/>
      <c r="AC950" s="94"/>
      <c r="AD950" s="94"/>
      <c r="AE950" s="94"/>
    </row>
    <row r="951">
      <c r="A951" s="87"/>
      <c r="B951" s="37"/>
      <c r="C951" s="37"/>
      <c r="D951" s="162"/>
      <c r="E951" s="89"/>
      <c r="F951" s="72"/>
      <c r="G951" s="111"/>
      <c r="H951" s="111"/>
      <c r="I951" s="111"/>
      <c r="J951" s="111"/>
      <c r="K951" s="111"/>
      <c r="L951" s="111"/>
      <c r="M951" s="94"/>
      <c r="N951" s="94"/>
      <c r="O951" s="94"/>
      <c r="P951" s="94"/>
      <c r="Q951" s="94"/>
      <c r="R951" s="94"/>
      <c r="S951" s="94"/>
      <c r="T951" s="94"/>
      <c r="U951" s="94"/>
      <c r="V951" s="94"/>
      <c r="W951" s="94"/>
      <c r="X951" s="94"/>
      <c r="Y951" s="94"/>
      <c r="Z951" s="94"/>
      <c r="AA951" s="94"/>
      <c r="AB951" s="94"/>
      <c r="AC951" s="94"/>
      <c r="AD951" s="94"/>
      <c r="AE951" s="94"/>
    </row>
    <row r="952">
      <c r="A952" s="87"/>
      <c r="B952" s="37"/>
      <c r="C952" s="37"/>
      <c r="D952" s="162"/>
      <c r="E952" s="89"/>
      <c r="F952" s="72"/>
      <c r="G952" s="111"/>
      <c r="H952" s="111"/>
      <c r="I952" s="111"/>
      <c r="J952" s="111"/>
      <c r="K952" s="111"/>
      <c r="L952" s="111"/>
      <c r="M952" s="94"/>
      <c r="N952" s="94"/>
      <c r="O952" s="94"/>
      <c r="P952" s="94"/>
      <c r="Q952" s="94"/>
      <c r="R952" s="94"/>
      <c r="S952" s="94"/>
      <c r="T952" s="94"/>
      <c r="U952" s="94"/>
      <c r="V952" s="94"/>
      <c r="W952" s="94"/>
      <c r="X952" s="94"/>
      <c r="Y952" s="94"/>
      <c r="Z952" s="94"/>
      <c r="AA952" s="94"/>
      <c r="AB952" s="94"/>
      <c r="AC952" s="94"/>
      <c r="AD952" s="94"/>
      <c r="AE952" s="94"/>
    </row>
    <row r="953">
      <c r="A953" s="87"/>
      <c r="B953" s="37"/>
      <c r="C953" s="37"/>
      <c r="D953" s="162"/>
      <c r="E953" s="89"/>
      <c r="F953" s="72"/>
      <c r="G953" s="111"/>
      <c r="H953" s="111"/>
      <c r="I953" s="111"/>
      <c r="J953" s="111"/>
      <c r="K953" s="111"/>
      <c r="L953" s="111"/>
      <c r="M953" s="94"/>
      <c r="N953" s="94"/>
      <c r="O953" s="94"/>
      <c r="P953" s="94"/>
      <c r="Q953" s="94"/>
      <c r="R953" s="94"/>
      <c r="S953" s="94"/>
      <c r="T953" s="94"/>
      <c r="U953" s="94"/>
      <c r="V953" s="94"/>
      <c r="W953" s="94"/>
      <c r="X953" s="94"/>
      <c r="Y953" s="94"/>
      <c r="Z953" s="94"/>
      <c r="AA953" s="94"/>
      <c r="AB953" s="94"/>
      <c r="AC953" s="94"/>
      <c r="AD953" s="94"/>
      <c r="AE953" s="94"/>
    </row>
    <row r="954">
      <c r="A954" s="87"/>
      <c r="B954" s="37"/>
      <c r="C954" s="37"/>
      <c r="D954" s="162"/>
      <c r="E954" s="89"/>
      <c r="F954" s="72"/>
      <c r="G954" s="111"/>
      <c r="H954" s="111"/>
      <c r="I954" s="111"/>
      <c r="J954" s="111"/>
      <c r="K954" s="111"/>
      <c r="L954" s="111"/>
      <c r="M954" s="94"/>
      <c r="N954" s="94"/>
      <c r="O954" s="94"/>
      <c r="P954" s="94"/>
      <c r="Q954" s="94"/>
      <c r="R954" s="94"/>
      <c r="S954" s="94"/>
      <c r="T954" s="94"/>
      <c r="U954" s="94"/>
      <c r="V954" s="94"/>
      <c r="W954" s="94"/>
      <c r="X954" s="94"/>
      <c r="Y954" s="94"/>
      <c r="Z954" s="94"/>
      <c r="AA954" s="94"/>
      <c r="AB954" s="94"/>
      <c r="AC954" s="94"/>
      <c r="AD954" s="94"/>
      <c r="AE954" s="94"/>
    </row>
    <row r="955">
      <c r="A955" s="87"/>
      <c r="B955" s="37"/>
      <c r="C955" s="37"/>
      <c r="D955" s="162"/>
      <c r="E955" s="89"/>
      <c r="F955" s="72"/>
      <c r="G955" s="111"/>
      <c r="H955" s="111"/>
      <c r="I955" s="111"/>
      <c r="J955" s="111"/>
      <c r="K955" s="111"/>
      <c r="L955" s="111"/>
      <c r="M955" s="94"/>
      <c r="N955" s="94"/>
      <c r="O955" s="94"/>
      <c r="P955" s="94"/>
      <c r="Q955" s="94"/>
      <c r="R955" s="94"/>
      <c r="S955" s="94"/>
      <c r="T955" s="94"/>
      <c r="U955" s="94"/>
      <c r="V955" s="94"/>
      <c r="W955" s="94"/>
      <c r="X955" s="94"/>
      <c r="Y955" s="94"/>
      <c r="Z955" s="94"/>
      <c r="AA955" s="94"/>
      <c r="AB955" s="94"/>
      <c r="AC955" s="94"/>
      <c r="AD955" s="94"/>
      <c r="AE955" s="94"/>
    </row>
    <row r="956">
      <c r="A956" s="87"/>
      <c r="B956" s="37"/>
      <c r="C956" s="37"/>
      <c r="D956" s="162"/>
      <c r="E956" s="89"/>
      <c r="F956" s="72"/>
      <c r="G956" s="111"/>
      <c r="H956" s="111"/>
      <c r="I956" s="111"/>
      <c r="J956" s="111"/>
      <c r="K956" s="111"/>
      <c r="L956" s="111"/>
      <c r="M956" s="94"/>
      <c r="N956" s="94"/>
      <c r="O956" s="94"/>
      <c r="P956" s="94"/>
      <c r="Q956" s="94"/>
      <c r="R956" s="94"/>
      <c r="S956" s="94"/>
      <c r="T956" s="94"/>
      <c r="U956" s="94"/>
      <c r="V956" s="94"/>
      <c r="W956" s="94"/>
      <c r="X956" s="94"/>
      <c r="Y956" s="94"/>
      <c r="Z956" s="94"/>
      <c r="AA956" s="94"/>
      <c r="AB956" s="94"/>
      <c r="AC956" s="94"/>
      <c r="AD956" s="94"/>
      <c r="AE956" s="94"/>
    </row>
    <row r="957">
      <c r="A957" s="87"/>
      <c r="B957" s="37"/>
      <c r="C957" s="37"/>
      <c r="D957" s="162"/>
      <c r="E957" s="89"/>
      <c r="F957" s="72"/>
      <c r="G957" s="111"/>
      <c r="H957" s="111"/>
      <c r="I957" s="111"/>
      <c r="J957" s="111"/>
      <c r="K957" s="111"/>
      <c r="L957" s="111"/>
      <c r="M957" s="94"/>
      <c r="N957" s="94"/>
      <c r="O957" s="94"/>
      <c r="P957" s="94"/>
      <c r="Q957" s="94"/>
      <c r="R957" s="94"/>
      <c r="S957" s="94"/>
      <c r="T957" s="94"/>
      <c r="U957" s="94"/>
      <c r="V957" s="94"/>
      <c r="W957" s="94"/>
      <c r="X957" s="94"/>
      <c r="Y957" s="94"/>
      <c r="Z957" s="94"/>
      <c r="AA957" s="94"/>
      <c r="AB957" s="94"/>
      <c r="AC957" s="94"/>
      <c r="AD957" s="94"/>
      <c r="AE957" s="94"/>
    </row>
    <row r="958">
      <c r="A958" s="87"/>
      <c r="B958" s="37"/>
      <c r="C958" s="37"/>
      <c r="D958" s="162"/>
      <c r="E958" s="89"/>
      <c r="F958" s="72"/>
      <c r="G958" s="111"/>
      <c r="H958" s="111"/>
      <c r="I958" s="111"/>
      <c r="J958" s="111"/>
      <c r="K958" s="111"/>
      <c r="L958" s="111"/>
      <c r="M958" s="94"/>
      <c r="N958" s="94"/>
      <c r="O958" s="94"/>
      <c r="P958" s="94"/>
      <c r="Q958" s="94"/>
      <c r="R958" s="94"/>
      <c r="S958" s="94"/>
      <c r="T958" s="94"/>
      <c r="U958" s="94"/>
      <c r="V958" s="94"/>
      <c r="W958" s="94"/>
      <c r="X958" s="94"/>
      <c r="Y958" s="94"/>
      <c r="Z958" s="94"/>
      <c r="AA958" s="94"/>
      <c r="AB958" s="94"/>
      <c r="AC958" s="94"/>
      <c r="AD958" s="94"/>
      <c r="AE958" s="94"/>
    </row>
    <row r="959">
      <c r="A959" s="87"/>
      <c r="B959" s="37"/>
      <c r="C959" s="37"/>
      <c r="D959" s="162"/>
      <c r="E959" s="89"/>
      <c r="F959" s="72"/>
      <c r="G959" s="111"/>
      <c r="H959" s="111"/>
      <c r="I959" s="111"/>
      <c r="J959" s="111"/>
      <c r="K959" s="111"/>
      <c r="L959" s="111"/>
      <c r="M959" s="94"/>
      <c r="N959" s="94"/>
      <c r="O959" s="94"/>
      <c r="P959" s="94"/>
      <c r="Q959" s="94"/>
      <c r="R959" s="94"/>
      <c r="S959" s="94"/>
      <c r="T959" s="94"/>
      <c r="U959" s="94"/>
      <c r="V959" s="94"/>
      <c r="W959" s="94"/>
      <c r="X959" s="94"/>
      <c r="Y959" s="94"/>
      <c r="Z959" s="94"/>
      <c r="AA959" s="94"/>
      <c r="AB959" s="94"/>
      <c r="AC959" s="94"/>
      <c r="AD959" s="94"/>
      <c r="AE959" s="94"/>
    </row>
    <row r="960">
      <c r="A960" s="87"/>
      <c r="B960" s="37"/>
      <c r="C960" s="37"/>
      <c r="D960" s="162"/>
      <c r="E960" s="89"/>
      <c r="F960" s="72"/>
      <c r="G960" s="111"/>
      <c r="H960" s="111"/>
      <c r="I960" s="111"/>
      <c r="J960" s="111"/>
      <c r="K960" s="111"/>
      <c r="L960" s="111"/>
      <c r="M960" s="94"/>
      <c r="N960" s="94"/>
      <c r="O960" s="94"/>
      <c r="P960" s="94"/>
      <c r="Q960" s="94"/>
      <c r="R960" s="94"/>
      <c r="S960" s="94"/>
      <c r="T960" s="94"/>
      <c r="U960" s="94"/>
      <c r="V960" s="94"/>
      <c r="W960" s="94"/>
      <c r="X960" s="94"/>
      <c r="Y960" s="94"/>
      <c r="Z960" s="94"/>
      <c r="AA960" s="94"/>
      <c r="AB960" s="94"/>
      <c r="AC960" s="94"/>
      <c r="AD960" s="94"/>
      <c r="AE960" s="94"/>
    </row>
    <row r="961">
      <c r="A961" s="87"/>
      <c r="B961" s="37"/>
      <c r="C961" s="37"/>
      <c r="D961" s="162"/>
      <c r="E961" s="89"/>
      <c r="F961" s="72"/>
      <c r="G961" s="111"/>
      <c r="H961" s="111"/>
      <c r="I961" s="111"/>
      <c r="J961" s="111"/>
      <c r="K961" s="111"/>
      <c r="L961" s="111"/>
      <c r="M961" s="94"/>
      <c r="N961" s="94"/>
      <c r="O961" s="94"/>
      <c r="P961" s="94"/>
      <c r="Q961" s="94"/>
      <c r="R961" s="94"/>
      <c r="S961" s="94"/>
      <c r="T961" s="94"/>
      <c r="U961" s="94"/>
      <c r="V961" s="94"/>
      <c r="W961" s="94"/>
      <c r="X961" s="94"/>
      <c r="Y961" s="94"/>
      <c r="Z961" s="94"/>
      <c r="AA961" s="94"/>
      <c r="AB961" s="94"/>
      <c r="AC961" s="94"/>
      <c r="AD961" s="94"/>
      <c r="AE961" s="94"/>
    </row>
    <row r="962">
      <c r="A962" s="87"/>
      <c r="B962" s="37"/>
      <c r="C962" s="37"/>
      <c r="D962" s="162"/>
      <c r="E962" s="89"/>
      <c r="F962" s="72"/>
      <c r="G962" s="111"/>
      <c r="H962" s="111"/>
      <c r="I962" s="111"/>
      <c r="J962" s="111"/>
      <c r="K962" s="111"/>
      <c r="L962" s="111"/>
      <c r="M962" s="94"/>
      <c r="N962" s="94"/>
      <c r="O962" s="94"/>
      <c r="P962" s="94"/>
      <c r="Q962" s="94"/>
      <c r="R962" s="94"/>
      <c r="S962" s="94"/>
      <c r="T962" s="94"/>
      <c r="U962" s="94"/>
      <c r="V962" s="94"/>
      <c r="W962" s="94"/>
      <c r="X962" s="94"/>
      <c r="Y962" s="94"/>
      <c r="Z962" s="94"/>
      <c r="AA962" s="94"/>
      <c r="AB962" s="94"/>
      <c r="AC962" s="94"/>
      <c r="AD962" s="94"/>
      <c r="AE962" s="94"/>
    </row>
    <row r="963">
      <c r="A963" s="87"/>
      <c r="B963" s="37"/>
      <c r="C963" s="37"/>
      <c r="D963" s="162"/>
      <c r="E963" s="89"/>
      <c r="F963" s="72"/>
      <c r="G963" s="111"/>
      <c r="H963" s="111"/>
      <c r="I963" s="111"/>
      <c r="J963" s="111"/>
      <c r="K963" s="111"/>
      <c r="L963" s="111"/>
      <c r="M963" s="94"/>
      <c r="N963" s="94"/>
      <c r="O963" s="94"/>
      <c r="P963" s="94"/>
      <c r="Q963" s="94"/>
      <c r="R963" s="94"/>
      <c r="S963" s="94"/>
      <c r="T963" s="94"/>
      <c r="U963" s="94"/>
      <c r="V963" s="94"/>
      <c r="W963" s="94"/>
      <c r="X963" s="94"/>
      <c r="Y963" s="94"/>
      <c r="Z963" s="94"/>
      <c r="AA963" s="94"/>
      <c r="AB963" s="94"/>
      <c r="AC963" s="94"/>
      <c r="AD963" s="94"/>
      <c r="AE963" s="94"/>
    </row>
    <row r="964">
      <c r="A964" s="87"/>
      <c r="B964" s="37"/>
      <c r="C964" s="37"/>
      <c r="D964" s="162"/>
      <c r="E964" s="89"/>
      <c r="F964" s="72"/>
      <c r="G964" s="111"/>
      <c r="H964" s="111"/>
      <c r="I964" s="111"/>
      <c r="J964" s="111"/>
      <c r="K964" s="111"/>
      <c r="L964" s="111"/>
      <c r="M964" s="94"/>
      <c r="N964" s="94"/>
      <c r="O964" s="94"/>
      <c r="P964" s="94"/>
      <c r="Q964" s="94"/>
      <c r="R964" s="94"/>
      <c r="S964" s="94"/>
      <c r="T964" s="94"/>
      <c r="U964" s="94"/>
      <c r="V964" s="94"/>
      <c r="W964" s="94"/>
      <c r="X964" s="94"/>
      <c r="Y964" s="94"/>
      <c r="Z964" s="94"/>
      <c r="AA964" s="94"/>
      <c r="AB964" s="94"/>
      <c r="AC964" s="94"/>
      <c r="AD964" s="94"/>
      <c r="AE964" s="94"/>
    </row>
    <row r="965">
      <c r="A965" s="87"/>
      <c r="B965" s="37"/>
      <c r="C965" s="37"/>
      <c r="D965" s="162"/>
      <c r="E965" s="89"/>
      <c r="F965" s="72"/>
      <c r="G965" s="111"/>
      <c r="H965" s="111"/>
      <c r="I965" s="111"/>
      <c r="J965" s="111"/>
      <c r="K965" s="111"/>
      <c r="L965" s="111"/>
      <c r="M965" s="94"/>
      <c r="N965" s="94"/>
      <c r="O965" s="94"/>
      <c r="P965" s="94"/>
      <c r="Q965" s="94"/>
      <c r="R965" s="94"/>
      <c r="S965" s="94"/>
      <c r="T965" s="94"/>
      <c r="U965" s="94"/>
      <c r="V965" s="94"/>
      <c r="W965" s="94"/>
      <c r="X965" s="94"/>
      <c r="Y965" s="94"/>
      <c r="Z965" s="94"/>
      <c r="AA965" s="94"/>
      <c r="AB965" s="94"/>
      <c r="AC965" s="94"/>
      <c r="AD965" s="94"/>
      <c r="AE965" s="94"/>
    </row>
    <row r="966">
      <c r="A966" s="87"/>
      <c r="B966" s="37"/>
      <c r="C966" s="37"/>
      <c r="D966" s="162"/>
      <c r="E966" s="89"/>
      <c r="F966" s="72"/>
      <c r="G966" s="111"/>
      <c r="H966" s="111"/>
      <c r="I966" s="111"/>
      <c r="J966" s="111"/>
      <c r="K966" s="111"/>
      <c r="L966" s="111"/>
      <c r="M966" s="94"/>
      <c r="N966" s="94"/>
      <c r="O966" s="94"/>
      <c r="P966" s="94"/>
      <c r="Q966" s="94"/>
      <c r="R966" s="94"/>
      <c r="S966" s="94"/>
      <c r="T966" s="94"/>
      <c r="U966" s="94"/>
      <c r="V966" s="94"/>
      <c r="W966" s="94"/>
      <c r="X966" s="94"/>
      <c r="Y966" s="94"/>
      <c r="Z966" s="94"/>
      <c r="AA966" s="94"/>
      <c r="AB966" s="94"/>
      <c r="AC966" s="94"/>
      <c r="AD966" s="94"/>
      <c r="AE966" s="94"/>
    </row>
    <row r="967">
      <c r="A967" s="87"/>
      <c r="B967" s="37"/>
      <c r="C967" s="37"/>
      <c r="D967" s="162"/>
      <c r="E967" s="89"/>
      <c r="F967" s="72"/>
      <c r="G967" s="111"/>
      <c r="H967" s="111"/>
      <c r="I967" s="111"/>
      <c r="J967" s="111"/>
      <c r="K967" s="111"/>
      <c r="L967" s="111"/>
      <c r="M967" s="94"/>
      <c r="N967" s="94"/>
      <c r="O967" s="94"/>
      <c r="P967" s="94"/>
      <c r="Q967" s="94"/>
      <c r="R967" s="94"/>
      <c r="S967" s="94"/>
      <c r="T967" s="94"/>
      <c r="U967" s="94"/>
      <c r="V967" s="94"/>
      <c r="W967" s="94"/>
      <c r="X967" s="94"/>
      <c r="Y967" s="94"/>
      <c r="Z967" s="94"/>
      <c r="AA967" s="94"/>
      <c r="AB967" s="94"/>
      <c r="AC967" s="94"/>
      <c r="AD967" s="94"/>
      <c r="AE967" s="94"/>
    </row>
    <row r="968">
      <c r="A968" s="87"/>
      <c r="B968" s="37"/>
      <c r="C968" s="37"/>
      <c r="D968" s="162"/>
      <c r="E968" s="89"/>
      <c r="F968" s="72"/>
      <c r="G968" s="111"/>
      <c r="H968" s="111"/>
      <c r="I968" s="111"/>
      <c r="J968" s="111"/>
      <c r="K968" s="111"/>
      <c r="L968" s="111"/>
      <c r="M968" s="94"/>
      <c r="N968" s="94"/>
      <c r="O968" s="94"/>
      <c r="P968" s="94"/>
      <c r="Q968" s="94"/>
      <c r="R968" s="94"/>
      <c r="S968" s="94"/>
      <c r="T968" s="94"/>
      <c r="U968" s="94"/>
      <c r="V968" s="94"/>
      <c r="W968" s="94"/>
      <c r="X968" s="94"/>
      <c r="Y968" s="94"/>
      <c r="Z968" s="94"/>
      <c r="AA968" s="94"/>
      <c r="AB968" s="94"/>
      <c r="AC968" s="94"/>
      <c r="AD968" s="94"/>
      <c r="AE968" s="94"/>
    </row>
    <row r="969">
      <c r="A969" s="87"/>
      <c r="B969" s="37"/>
      <c r="C969" s="37"/>
      <c r="D969" s="162"/>
      <c r="E969" s="89"/>
      <c r="F969" s="72"/>
      <c r="G969" s="111"/>
      <c r="H969" s="111"/>
      <c r="I969" s="111"/>
      <c r="J969" s="111"/>
      <c r="K969" s="111"/>
      <c r="L969" s="111"/>
      <c r="M969" s="94"/>
      <c r="N969" s="94"/>
      <c r="O969" s="94"/>
      <c r="P969" s="94"/>
      <c r="Q969" s="94"/>
      <c r="R969" s="94"/>
      <c r="S969" s="94"/>
      <c r="T969" s="94"/>
      <c r="U969" s="94"/>
      <c r="V969" s="94"/>
      <c r="W969" s="94"/>
      <c r="X969" s="94"/>
      <c r="Y969" s="94"/>
      <c r="Z969" s="94"/>
      <c r="AA969" s="94"/>
      <c r="AB969" s="94"/>
      <c r="AC969" s="94"/>
      <c r="AD969" s="94"/>
      <c r="AE969" s="94"/>
    </row>
    <row r="970">
      <c r="A970" s="87"/>
      <c r="B970" s="37"/>
      <c r="C970" s="37"/>
      <c r="D970" s="162"/>
      <c r="E970" s="89"/>
      <c r="F970" s="72"/>
      <c r="G970" s="111"/>
      <c r="H970" s="111"/>
      <c r="I970" s="111"/>
      <c r="J970" s="111"/>
      <c r="K970" s="111"/>
      <c r="L970" s="111"/>
      <c r="M970" s="94"/>
      <c r="N970" s="94"/>
      <c r="O970" s="94"/>
      <c r="P970" s="94"/>
      <c r="Q970" s="94"/>
      <c r="R970" s="94"/>
      <c r="S970" s="94"/>
      <c r="T970" s="94"/>
      <c r="U970" s="94"/>
      <c r="V970" s="94"/>
      <c r="W970" s="94"/>
      <c r="X970" s="94"/>
      <c r="Y970" s="94"/>
      <c r="Z970" s="94"/>
      <c r="AA970" s="94"/>
      <c r="AB970" s="94"/>
      <c r="AC970" s="94"/>
      <c r="AD970" s="94"/>
      <c r="AE970" s="94"/>
    </row>
    <row r="971">
      <c r="A971" s="87"/>
      <c r="B971" s="37"/>
      <c r="C971" s="37"/>
      <c r="D971" s="162"/>
      <c r="E971" s="89"/>
      <c r="F971" s="72"/>
      <c r="G971" s="111"/>
      <c r="H971" s="111"/>
      <c r="I971" s="111"/>
      <c r="J971" s="111"/>
      <c r="K971" s="111"/>
      <c r="L971" s="111"/>
      <c r="M971" s="94"/>
      <c r="N971" s="94"/>
      <c r="O971" s="94"/>
      <c r="P971" s="94"/>
      <c r="Q971" s="94"/>
      <c r="R971" s="94"/>
      <c r="S971" s="94"/>
      <c r="T971" s="94"/>
      <c r="U971" s="94"/>
      <c r="V971" s="94"/>
      <c r="W971" s="94"/>
      <c r="X971" s="94"/>
      <c r="Y971" s="94"/>
      <c r="Z971" s="94"/>
      <c r="AA971" s="94"/>
      <c r="AB971" s="94"/>
      <c r="AC971" s="94"/>
      <c r="AD971" s="94"/>
      <c r="AE971" s="94"/>
    </row>
    <row r="972">
      <c r="A972" s="87"/>
      <c r="B972" s="37"/>
      <c r="C972" s="37"/>
      <c r="D972" s="162"/>
      <c r="E972" s="89"/>
      <c r="F972" s="72"/>
      <c r="G972" s="111"/>
      <c r="H972" s="111"/>
      <c r="I972" s="111"/>
      <c r="J972" s="111"/>
      <c r="K972" s="111"/>
      <c r="L972" s="111"/>
      <c r="M972" s="94"/>
      <c r="N972" s="94"/>
      <c r="O972" s="94"/>
      <c r="P972" s="94"/>
      <c r="Q972" s="94"/>
      <c r="R972" s="94"/>
      <c r="S972" s="94"/>
      <c r="T972" s="94"/>
      <c r="U972" s="94"/>
      <c r="V972" s="94"/>
      <c r="W972" s="94"/>
      <c r="X972" s="94"/>
      <c r="Y972" s="94"/>
      <c r="Z972" s="94"/>
      <c r="AA972" s="94"/>
      <c r="AB972" s="94"/>
      <c r="AC972" s="94"/>
      <c r="AD972" s="94"/>
      <c r="AE972" s="94"/>
    </row>
    <row r="973">
      <c r="A973" s="87"/>
      <c r="B973" s="37"/>
      <c r="C973" s="37"/>
      <c r="D973" s="162"/>
      <c r="E973" s="89"/>
      <c r="F973" s="72"/>
      <c r="G973" s="111"/>
      <c r="H973" s="111"/>
      <c r="I973" s="111"/>
      <c r="J973" s="111"/>
      <c r="K973" s="111"/>
      <c r="L973" s="111"/>
      <c r="M973" s="94"/>
      <c r="N973" s="94"/>
      <c r="O973" s="94"/>
      <c r="P973" s="94"/>
      <c r="Q973" s="94"/>
      <c r="R973" s="94"/>
      <c r="S973" s="94"/>
      <c r="T973" s="94"/>
      <c r="U973" s="94"/>
      <c r="V973" s="94"/>
      <c r="W973" s="94"/>
      <c r="X973" s="94"/>
      <c r="Y973" s="94"/>
      <c r="Z973" s="94"/>
      <c r="AA973" s="94"/>
      <c r="AB973" s="94"/>
      <c r="AC973" s="94"/>
      <c r="AD973" s="94"/>
      <c r="AE973" s="94"/>
    </row>
    <row r="974">
      <c r="A974" s="87"/>
      <c r="B974" s="37"/>
      <c r="C974" s="37"/>
      <c r="D974" s="162"/>
      <c r="E974" s="89"/>
      <c r="F974" s="72"/>
      <c r="G974" s="111"/>
      <c r="H974" s="111"/>
      <c r="I974" s="111"/>
      <c r="J974" s="111"/>
      <c r="K974" s="111"/>
      <c r="L974" s="111"/>
      <c r="M974" s="94"/>
      <c r="N974" s="94"/>
      <c r="O974" s="94"/>
      <c r="P974" s="94"/>
      <c r="Q974" s="94"/>
      <c r="R974" s="94"/>
      <c r="S974" s="94"/>
      <c r="T974" s="94"/>
      <c r="U974" s="94"/>
      <c r="V974" s="94"/>
      <c r="W974" s="94"/>
      <c r="X974" s="94"/>
      <c r="Y974" s="94"/>
      <c r="Z974" s="94"/>
      <c r="AA974" s="94"/>
      <c r="AB974" s="94"/>
      <c r="AC974" s="94"/>
      <c r="AD974" s="94"/>
      <c r="AE974" s="94"/>
    </row>
    <row r="975">
      <c r="A975" s="87"/>
      <c r="B975" s="37"/>
      <c r="C975" s="37"/>
      <c r="D975" s="162"/>
      <c r="E975" s="89"/>
      <c r="F975" s="72"/>
      <c r="G975" s="111"/>
      <c r="H975" s="111"/>
      <c r="I975" s="111"/>
      <c r="J975" s="111"/>
      <c r="K975" s="111"/>
      <c r="L975" s="111"/>
      <c r="M975" s="94"/>
      <c r="N975" s="94"/>
      <c r="O975" s="94"/>
      <c r="P975" s="94"/>
      <c r="Q975" s="94"/>
      <c r="R975" s="94"/>
      <c r="S975" s="94"/>
      <c r="T975" s="94"/>
      <c r="U975" s="94"/>
      <c r="V975" s="94"/>
      <c r="W975" s="94"/>
      <c r="X975" s="94"/>
      <c r="Y975" s="94"/>
      <c r="Z975" s="94"/>
      <c r="AA975" s="94"/>
      <c r="AB975" s="94"/>
      <c r="AC975" s="94"/>
      <c r="AD975" s="94"/>
      <c r="AE975" s="94"/>
    </row>
    <row r="976">
      <c r="A976" s="87"/>
      <c r="B976" s="37"/>
      <c r="C976" s="37"/>
      <c r="D976" s="162"/>
      <c r="E976" s="89"/>
      <c r="F976" s="72"/>
      <c r="G976" s="111"/>
      <c r="H976" s="111"/>
      <c r="I976" s="111"/>
      <c r="J976" s="111"/>
      <c r="K976" s="111"/>
      <c r="L976" s="111"/>
      <c r="M976" s="94"/>
      <c r="N976" s="94"/>
      <c r="O976" s="94"/>
      <c r="P976" s="94"/>
      <c r="Q976" s="94"/>
      <c r="R976" s="94"/>
      <c r="S976" s="94"/>
      <c r="T976" s="94"/>
      <c r="U976" s="94"/>
      <c r="V976" s="94"/>
      <c r="W976" s="94"/>
      <c r="X976" s="94"/>
      <c r="Y976" s="94"/>
      <c r="Z976" s="94"/>
      <c r="AA976" s="94"/>
      <c r="AB976" s="94"/>
      <c r="AC976" s="94"/>
      <c r="AD976" s="94"/>
      <c r="AE976" s="94"/>
    </row>
    <row r="977">
      <c r="A977" s="87"/>
      <c r="B977" s="37"/>
      <c r="C977" s="37"/>
      <c r="D977" s="162"/>
      <c r="E977" s="89"/>
      <c r="F977" s="72"/>
      <c r="G977" s="111"/>
      <c r="H977" s="111"/>
      <c r="I977" s="111"/>
      <c r="J977" s="111"/>
      <c r="K977" s="111"/>
      <c r="L977" s="111"/>
      <c r="M977" s="94"/>
      <c r="N977" s="94"/>
      <c r="O977" s="94"/>
      <c r="P977" s="94"/>
      <c r="Q977" s="94"/>
      <c r="R977" s="94"/>
      <c r="S977" s="94"/>
      <c r="T977" s="94"/>
      <c r="U977" s="94"/>
      <c r="V977" s="94"/>
      <c r="W977" s="94"/>
      <c r="X977" s="94"/>
      <c r="Y977" s="94"/>
      <c r="Z977" s="94"/>
      <c r="AA977" s="94"/>
      <c r="AB977" s="94"/>
      <c r="AC977" s="94"/>
      <c r="AD977" s="94"/>
      <c r="AE977" s="94"/>
    </row>
    <row r="978">
      <c r="A978" s="87"/>
      <c r="B978" s="37"/>
      <c r="C978" s="37"/>
      <c r="D978" s="162"/>
      <c r="E978" s="89"/>
      <c r="F978" s="72"/>
      <c r="G978" s="111"/>
      <c r="H978" s="111"/>
      <c r="I978" s="111"/>
      <c r="J978" s="111"/>
      <c r="K978" s="111"/>
      <c r="L978" s="111"/>
      <c r="M978" s="94"/>
      <c r="N978" s="94"/>
      <c r="O978" s="94"/>
      <c r="P978" s="94"/>
      <c r="Q978" s="94"/>
      <c r="R978" s="94"/>
      <c r="S978" s="94"/>
      <c r="T978" s="94"/>
      <c r="U978" s="94"/>
      <c r="V978" s="94"/>
      <c r="W978" s="94"/>
      <c r="X978" s="94"/>
      <c r="Y978" s="94"/>
      <c r="Z978" s="94"/>
      <c r="AA978" s="94"/>
      <c r="AB978" s="94"/>
      <c r="AC978" s="94"/>
      <c r="AD978" s="94"/>
      <c r="AE978" s="94"/>
    </row>
    <row r="979">
      <c r="A979" s="87"/>
      <c r="B979" s="37"/>
      <c r="C979" s="37"/>
      <c r="D979" s="162"/>
      <c r="E979" s="89"/>
      <c r="F979" s="72"/>
      <c r="G979" s="111"/>
      <c r="H979" s="111"/>
      <c r="I979" s="111"/>
      <c r="J979" s="111"/>
      <c r="K979" s="111"/>
      <c r="L979" s="111"/>
      <c r="M979" s="94"/>
      <c r="N979" s="94"/>
      <c r="O979" s="94"/>
      <c r="P979" s="94"/>
      <c r="Q979" s="94"/>
      <c r="R979" s="94"/>
      <c r="S979" s="94"/>
      <c r="T979" s="94"/>
      <c r="U979" s="94"/>
      <c r="V979" s="94"/>
      <c r="W979" s="94"/>
      <c r="X979" s="94"/>
      <c r="Y979" s="94"/>
      <c r="Z979" s="94"/>
      <c r="AA979" s="94"/>
      <c r="AB979" s="94"/>
      <c r="AC979" s="94"/>
      <c r="AD979" s="94"/>
      <c r="AE979" s="94"/>
    </row>
    <row r="980">
      <c r="A980" s="87"/>
      <c r="B980" s="37"/>
      <c r="C980" s="37"/>
      <c r="D980" s="162"/>
      <c r="E980" s="89"/>
      <c r="F980" s="72"/>
      <c r="G980" s="111"/>
      <c r="H980" s="111"/>
      <c r="I980" s="111"/>
      <c r="J980" s="111"/>
      <c r="K980" s="111"/>
      <c r="L980" s="111"/>
      <c r="M980" s="94"/>
      <c r="N980" s="94"/>
      <c r="O980" s="94"/>
      <c r="P980" s="94"/>
      <c r="Q980" s="94"/>
      <c r="R980" s="94"/>
      <c r="S980" s="94"/>
      <c r="T980" s="94"/>
      <c r="U980" s="94"/>
      <c r="V980" s="94"/>
      <c r="W980" s="94"/>
      <c r="X980" s="94"/>
      <c r="Y980" s="94"/>
      <c r="Z980" s="94"/>
      <c r="AA980" s="94"/>
      <c r="AB980" s="94"/>
      <c r="AC980" s="94"/>
      <c r="AD980" s="94"/>
      <c r="AE980" s="94"/>
    </row>
    <row r="981">
      <c r="A981" s="87"/>
      <c r="B981" s="37"/>
      <c r="C981" s="37"/>
      <c r="D981" s="162"/>
      <c r="E981" s="89"/>
      <c r="F981" s="72"/>
      <c r="G981" s="111"/>
      <c r="H981" s="111"/>
      <c r="I981" s="111"/>
      <c r="J981" s="111"/>
      <c r="K981" s="111"/>
      <c r="L981" s="111"/>
      <c r="M981" s="94"/>
      <c r="N981" s="94"/>
      <c r="O981" s="94"/>
      <c r="P981" s="94"/>
      <c r="Q981" s="94"/>
      <c r="R981" s="94"/>
      <c r="S981" s="94"/>
      <c r="T981" s="94"/>
      <c r="U981" s="94"/>
      <c r="V981" s="94"/>
      <c r="W981" s="94"/>
      <c r="X981" s="94"/>
      <c r="Y981" s="94"/>
      <c r="Z981" s="94"/>
      <c r="AA981" s="94"/>
      <c r="AB981" s="94"/>
      <c r="AC981" s="94"/>
      <c r="AD981" s="94"/>
      <c r="AE981" s="94"/>
    </row>
    <row r="982">
      <c r="A982" s="87"/>
      <c r="B982" s="37"/>
      <c r="C982" s="37"/>
      <c r="D982" s="162"/>
      <c r="E982" s="89"/>
      <c r="F982" s="72"/>
      <c r="G982" s="111"/>
      <c r="H982" s="111"/>
      <c r="I982" s="111"/>
      <c r="J982" s="111"/>
      <c r="K982" s="111"/>
      <c r="L982" s="111"/>
      <c r="M982" s="94"/>
      <c r="N982" s="94"/>
      <c r="O982" s="94"/>
      <c r="P982" s="94"/>
      <c r="Q982" s="94"/>
      <c r="R982" s="94"/>
      <c r="S982" s="94"/>
      <c r="T982" s="94"/>
      <c r="U982" s="94"/>
      <c r="V982" s="94"/>
      <c r="W982" s="94"/>
      <c r="X982" s="94"/>
      <c r="Y982" s="94"/>
      <c r="Z982" s="94"/>
      <c r="AA982" s="94"/>
      <c r="AB982" s="94"/>
      <c r="AC982" s="94"/>
      <c r="AD982" s="94"/>
      <c r="AE982" s="94"/>
    </row>
    <row r="983">
      <c r="A983" s="87"/>
      <c r="B983" s="37"/>
      <c r="C983" s="37"/>
      <c r="D983" s="162"/>
      <c r="E983" s="89"/>
      <c r="F983" s="72"/>
      <c r="G983" s="111"/>
      <c r="H983" s="111"/>
      <c r="I983" s="111"/>
      <c r="J983" s="111"/>
      <c r="K983" s="111"/>
      <c r="L983" s="111"/>
      <c r="M983" s="94"/>
      <c r="N983" s="94"/>
      <c r="O983" s="94"/>
      <c r="P983" s="94"/>
      <c r="Q983" s="94"/>
      <c r="R983" s="94"/>
      <c r="S983" s="94"/>
      <c r="T983" s="94"/>
      <c r="U983" s="94"/>
      <c r="V983" s="94"/>
      <c r="W983" s="94"/>
      <c r="X983" s="94"/>
      <c r="Y983" s="94"/>
      <c r="Z983" s="94"/>
      <c r="AA983" s="94"/>
      <c r="AB983" s="94"/>
      <c r="AC983" s="94"/>
      <c r="AD983" s="94"/>
      <c r="AE983" s="94"/>
    </row>
    <row r="984">
      <c r="A984" s="87"/>
      <c r="B984" s="37"/>
      <c r="C984" s="37"/>
      <c r="D984" s="162"/>
      <c r="E984" s="89"/>
      <c r="F984" s="72"/>
      <c r="G984" s="111"/>
      <c r="H984" s="111"/>
      <c r="I984" s="111"/>
      <c r="J984" s="111"/>
      <c r="K984" s="111"/>
      <c r="L984" s="111"/>
      <c r="M984" s="94"/>
      <c r="N984" s="94"/>
      <c r="O984" s="94"/>
      <c r="P984" s="94"/>
      <c r="Q984" s="94"/>
      <c r="R984" s="94"/>
      <c r="S984" s="94"/>
      <c r="T984" s="94"/>
      <c r="U984" s="94"/>
      <c r="V984" s="94"/>
      <c r="W984" s="94"/>
      <c r="X984" s="94"/>
      <c r="Y984" s="94"/>
      <c r="Z984" s="94"/>
      <c r="AA984" s="94"/>
      <c r="AB984" s="94"/>
      <c r="AC984" s="94"/>
      <c r="AD984" s="94"/>
      <c r="AE984" s="94"/>
    </row>
    <row r="985">
      <c r="A985" s="87"/>
      <c r="B985" s="37"/>
      <c r="C985" s="37"/>
      <c r="D985" s="162"/>
      <c r="E985" s="89"/>
      <c r="F985" s="72"/>
      <c r="G985" s="111"/>
      <c r="H985" s="111"/>
      <c r="I985" s="111"/>
      <c r="J985" s="111"/>
      <c r="K985" s="111"/>
      <c r="L985" s="111"/>
      <c r="M985" s="94"/>
      <c r="N985" s="94"/>
      <c r="O985" s="94"/>
      <c r="P985" s="94"/>
      <c r="Q985" s="94"/>
      <c r="R985" s="94"/>
      <c r="S985" s="94"/>
      <c r="T985" s="94"/>
      <c r="U985" s="94"/>
      <c r="V985" s="94"/>
      <c r="W985" s="94"/>
      <c r="X985" s="94"/>
      <c r="Y985" s="94"/>
      <c r="Z985" s="94"/>
      <c r="AA985" s="94"/>
      <c r="AB985" s="94"/>
      <c r="AC985" s="94"/>
      <c r="AD985" s="94"/>
      <c r="AE985" s="94"/>
    </row>
    <row r="986">
      <c r="A986" s="87"/>
      <c r="B986" s="37"/>
      <c r="C986" s="37"/>
      <c r="D986" s="162"/>
      <c r="E986" s="89"/>
      <c r="F986" s="72"/>
      <c r="G986" s="111"/>
      <c r="H986" s="111"/>
      <c r="I986" s="111"/>
      <c r="J986" s="111"/>
      <c r="K986" s="111"/>
      <c r="L986" s="111"/>
      <c r="M986" s="94"/>
      <c r="N986" s="94"/>
      <c r="O986" s="94"/>
      <c r="P986" s="94"/>
      <c r="Q986" s="94"/>
      <c r="R986" s="94"/>
      <c r="S986" s="94"/>
      <c r="T986" s="94"/>
      <c r="U986" s="94"/>
      <c r="V986" s="94"/>
      <c r="W986" s="94"/>
      <c r="X986" s="94"/>
      <c r="Y986" s="94"/>
      <c r="Z986" s="94"/>
      <c r="AA986" s="94"/>
      <c r="AB986" s="94"/>
      <c r="AC986" s="94"/>
      <c r="AD986" s="94"/>
      <c r="AE986" s="94"/>
    </row>
    <row r="987">
      <c r="A987" s="87"/>
      <c r="B987" s="37"/>
      <c r="C987" s="37"/>
      <c r="D987" s="162"/>
      <c r="E987" s="89"/>
      <c r="F987" s="72"/>
      <c r="G987" s="111"/>
      <c r="H987" s="111"/>
      <c r="I987" s="111"/>
      <c r="J987" s="111"/>
      <c r="K987" s="111"/>
      <c r="L987" s="111"/>
      <c r="M987" s="94"/>
      <c r="N987" s="94"/>
      <c r="O987" s="94"/>
      <c r="P987" s="94"/>
      <c r="Q987" s="94"/>
      <c r="R987" s="94"/>
      <c r="S987" s="94"/>
      <c r="T987" s="94"/>
      <c r="U987" s="94"/>
      <c r="V987" s="94"/>
      <c r="W987" s="94"/>
      <c r="X987" s="94"/>
      <c r="Y987" s="94"/>
      <c r="Z987" s="94"/>
      <c r="AA987" s="94"/>
      <c r="AB987" s="94"/>
      <c r="AC987" s="94"/>
      <c r="AD987" s="94"/>
      <c r="AE987" s="94"/>
    </row>
    <row r="988">
      <c r="A988" s="87"/>
      <c r="B988" s="37"/>
      <c r="C988" s="37"/>
      <c r="D988" s="162"/>
      <c r="E988" s="89"/>
      <c r="F988" s="72"/>
      <c r="G988" s="111"/>
      <c r="H988" s="111"/>
      <c r="I988" s="111"/>
      <c r="J988" s="111"/>
      <c r="K988" s="111"/>
      <c r="L988" s="111"/>
      <c r="M988" s="94"/>
      <c r="N988" s="94"/>
      <c r="O988" s="94"/>
      <c r="P988" s="94"/>
      <c r="Q988" s="94"/>
      <c r="R988" s="94"/>
      <c r="S988" s="94"/>
      <c r="T988" s="94"/>
      <c r="U988" s="94"/>
      <c r="V988" s="94"/>
      <c r="W988" s="94"/>
      <c r="X988" s="94"/>
      <c r="Y988" s="94"/>
      <c r="Z988" s="94"/>
      <c r="AA988" s="94"/>
      <c r="AB988" s="94"/>
      <c r="AC988" s="94"/>
      <c r="AD988" s="94"/>
      <c r="AE988" s="94"/>
    </row>
    <row r="989">
      <c r="A989" s="87"/>
      <c r="B989" s="37"/>
      <c r="C989" s="37"/>
      <c r="D989" s="162"/>
      <c r="E989" s="89"/>
      <c r="F989" s="72"/>
      <c r="G989" s="111"/>
      <c r="H989" s="111"/>
      <c r="I989" s="111"/>
      <c r="J989" s="111"/>
      <c r="K989" s="111"/>
      <c r="L989" s="111"/>
      <c r="M989" s="94"/>
      <c r="N989" s="94"/>
      <c r="O989" s="94"/>
      <c r="P989" s="94"/>
      <c r="Q989" s="94"/>
      <c r="R989" s="94"/>
      <c r="S989" s="94"/>
      <c r="T989" s="94"/>
      <c r="U989" s="94"/>
      <c r="V989" s="94"/>
      <c r="W989" s="94"/>
      <c r="X989" s="94"/>
      <c r="Y989" s="94"/>
      <c r="Z989" s="94"/>
      <c r="AA989" s="94"/>
      <c r="AB989" s="94"/>
      <c r="AC989" s="94"/>
      <c r="AD989" s="94"/>
      <c r="AE989" s="94"/>
    </row>
    <row r="990">
      <c r="A990" s="87"/>
      <c r="B990" s="37"/>
      <c r="C990" s="37"/>
      <c r="D990" s="162"/>
      <c r="E990" s="89"/>
      <c r="F990" s="72"/>
      <c r="G990" s="111"/>
      <c r="H990" s="111"/>
      <c r="I990" s="111"/>
      <c r="J990" s="111"/>
      <c r="K990" s="111"/>
      <c r="L990" s="111"/>
      <c r="M990" s="94"/>
      <c r="N990" s="94"/>
      <c r="O990" s="94"/>
      <c r="P990" s="94"/>
      <c r="Q990" s="94"/>
      <c r="R990" s="94"/>
      <c r="S990" s="94"/>
      <c r="T990" s="94"/>
      <c r="U990" s="94"/>
      <c r="V990" s="94"/>
      <c r="W990" s="94"/>
      <c r="X990" s="94"/>
      <c r="Y990" s="94"/>
      <c r="Z990" s="94"/>
      <c r="AA990" s="94"/>
      <c r="AB990" s="94"/>
      <c r="AC990" s="94"/>
      <c r="AD990" s="94"/>
      <c r="AE990" s="94"/>
    </row>
    <row r="991">
      <c r="A991" s="87"/>
      <c r="B991" s="37"/>
      <c r="C991" s="37"/>
      <c r="D991" s="162"/>
      <c r="E991" s="89"/>
      <c r="F991" s="72"/>
      <c r="G991" s="111"/>
      <c r="H991" s="111"/>
      <c r="I991" s="111"/>
      <c r="J991" s="111"/>
      <c r="K991" s="111"/>
      <c r="L991" s="111"/>
      <c r="M991" s="94"/>
      <c r="N991" s="94"/>
      <c r="O991" s="94"/>
      <c r="P991" s="94"/>
      <c r="Q991" s="94"/>
      <c r="R991" s="94"/>
      <c r="S991" s="94"/>
      <c r="T991" s="94"/>
      <c r="U991" s="94"/>
      <c r="V991" s="94"/>
      <c r="W991" s="94"/>
      <c r="X991" s="94"/>
      <c r="Y991" s="94"/>
      <c r="Z991" s="94"/>
      <c r="AA991" s="94"/>
      <c r="AB991" s="94"/>
      <c r="AC991" s="94"/>
      <c r="AD991" s="94"/>
      <c r="AE991" s="94"/>
    </row>
    <row r="992">
      <c r="A992" s="87"/>
      <c r="B992" s="37"/>
      <c r="C992" s="37"/>
      <c r="D992" s="162"/>
      <c r="E992" s="89"/>
      <c r="F992" s="72"/>
      <c r="G992" s="111"/>
      <c r="H992" s="111"/>
      <c r="I992" s="111"/>
      <c r="J992" s="111"/>
      <c r="K992" s="111"/>
      <c r="L992" s="111"/>
      <c r="M992" s="94"/>
      <c r="N992" s="94"/>
      <c r="O992" s="94"/>
      <c r="P992" s="94"/>
      <c r="Q992" s="94"/>
      <c r="R992" s="94"/>
      <c r="S992" s="94"/>
      <c r="T992" s="94"/>
      <c r="U992" s="94"/>
      <c r="V992" s="94"/>
      <c r="W992" s="94"/>
      <c r="X992" s="94"/>
      <c r="Y992" s="94"/>
      <c r="Z992" s="94"/>
      <c r="AA992" s="94"/>
      <c r="AB992" s="94"/>
      <c r="AC992" s="94"/>
      <c r="AD992" s="94"/>
      <c r="AE992" s="94"/>
    </row>
    <row r="993">
      <c r="A993" s="87"/>
      <c r="B993" s="37"/>
      <c r="C993" s="37"/>
      <c r="D993" s="162"/>
      <c r="E993" s="89"/>
      <c r="F993" s="72"/>
      <c r="G993" s="111"/>
      <c r="H993" s="111"/>
      <c r="I993" s="111"/>
      <c r="J993" s="111"/>
      <c r="K993" s="111"/>
      <c r="L993" s="111"/>
      <c r="M993" s="94"/>
      <c r="N993" s="94"/>
      <c r="O993" s="94"/>
      <c r="P993" s="94"/>
      <c r="Q993" s="94"/>
      <c r="R993" s="94"/>
      <c r="S993" s="94"/>
      <c r="T993" s="94"/>
      <c r="U993" s="94"/>
      <c r="V993" s="94"/>
      <c r="W993" s="94"/>
      <c r="X993" s="94"/>
      <c r="Y993" s="94"/>
      <c r="Z993" s="94"/>
      <c r="AA993" s="94"/>
      <c r="AB993" s="94"/>
      <c r="AC993" s="94"/>
      <c r="AD993" s="94"/>
      <c r="AE993" s="94"/>
    </row>
    <row r="994">
      <c r="A994" s="87"/>
      <c r="B994" s="37"/>
      <c r="C994" s="37"/>
      <c r="D994" s="162"/>
      <c r="E994" s="89"/>
      <c r="F994" s="72"/>
      <c r="G994" s="111"/>
      <c r="H994" s="111"/>
      <c r="I994" s="111"/>
      <c r="J994" s="111"/>
      <c r="K994" s="111"/>
      <c r="L994" s="111"/>
      <c r="M994" s="94"/>
      <c r="N994" s="94"/>
      <c r="O994" s="94"/>
      <c r="P994" s="94"/>
      <c r="Q994" s="94"/>
      <c r="R994" s="94"/>
      <c r="S994" s="94"/>
      <c r="T994" s="94"/>
      <c r="U994" s="94"/>
      <c r="V994" s="94"/>
      <c r="W994" s="94"/>
      <c r="X994" s="94"/>
      <c r="Y994" s="94"/>
      <c r="Z994" s="94"/>
      <c r="AA994" s="94"/>
      <c r="AB994" s="94"/>
      <c r="AC994" s="94"/>
      <c r="AD994" s="94"/>
      <c r="AE994" s="94"/>
    </row>
    <row r="995">
      <c r="A995" s="87"/>
      <c r="B995" s="37"/>
      <c r="C995" s="37"/>
      <c r="D995" s="162"/>
      <c r="E995" s="89"/>
      <c r="F995" s="72"/>
      <c r="G995" s="111"/>
      <c r="H995" s="111"/>
      <c r="I995" s="111"/>
      <c r="J995" s="111"/>
      <c r="K995" s="111"/>
      <c r="L995" s="111"/>
      <c r="M995" s="94"/>
      <c r="N995" s="94"/>
      <c r="O995" s="94"/>
      <c r="P995" s="94"/>
      <c r="Q995" s="94"/>
      <c r="R995" s="94"/>
      <c r="S995" s="94"/>
      <c r="T995" s="94"/>
      <c r="U995" s="94"/>
      <c r="V995" s="94"/>
      <c r="W995" s="94"/>
      <c r="X995" s="94"/>
      <c r="Y995" s="94"/>
      <c r="Z995" s="94"/>
      <c r="AA995" s="94"/>
      <c r="AB995" s="94"/>
      <c r="AC995" s="94"/>
      <c r="AD995" s="94"/>
      <c r="AE995" s="94"/>
    </row>
    <row r="996">
      <c r="A996" s="87"/>
      <c r="B996" s="37"/>
      <c r="C996" s="37"/>
      <c r="D996" s="162"/>
      <c r="E996" s="89"/>
      <c r="F996" s="72"/>
      <c r="G996" s="111"/>
      <c r="H996" s="111"/>
      <c r="I996" s="111"/>
      <c r="J996" s="111"/>
      <c r="K996" s="111"/>
      <c r="L996" s="111"/>
      <c r="M996" s="94"/>
      <c r="N996" s="94"/>
      <c r="O996" s="94"/>
      <c r="P996" s="94"/>
      <c r="Q996" s="94"/>
      <c r="R996" s="94"/>
      <c r="S996" s="94"/>
      <c r="T996" s="94"/>
      <c r="U996" s="94"/>
      <c r="V996" s="94"/>
      <c r="W996" s="94"/>
      <c r="X996" s="94"/>
      <c r="Y996" s="94"/>
      <c r="Z996" s="94"/>
      <c r="AA996" s="94"/>
      <c r="AB996" s="94"/>
      <c r="AC996" s="94"/>
      <c r="AD996" s="94"/>
      <c r="AE996" s="94"/>
    </row>
    <row r="997">
      <c r="A997" s="87"/>
      <c r="B997" s="37"/>
      <c r="C997" s="37"/>
      <c r="D997" s="162"/>
      <c r="E997" s="89"/>
      <c r="F997" s="72"/>
      <c r="G997" s="111"/>
      <c r="H997" s="111"/>
      <c r="I997" s="111"/>
      <c r="J997" s="111"/>
      <c r="K997" s="111"/>
      <c r="L997" s="111"/>
      <c r="M997" s="94"/>
      <c r="N997" s="94"/>
      <c r="O997" s="94"/>
      <c r="P997" s="94"/>
      <c r="Q997" s="94"/>
      <c r="R997" s="94"/>
      <c r="S997" s="94"/>
      <c r="T997" s="94"/>
      <c r="U997" s="94"/>
      <c r="V997" s="94"/>
      <c r="W997" s="94"/>
      <c r="X997" s="94"/>
      <c r="Y997" s="94"/>
      <c r="Z997" s="94"/>
      <c r="AA997" s="94"/>
      <c r="AB997" s="94"/>
      <c r="AC997" s="94"/>
      <c r="AD997" s="94"/>
      <c r="AE997" s="94"/>
    </row>
    <row r="998">
      <c r="A998" s="87"/>
      <c r="B998" s="37"/>
      <c r="C998" s="37"/>
      <c r="D998" s="162"/>
      <c r="E998" s="89"/>
      <c r="F998" s="72"/>
      <c r="G998" s="111"/>
      <c r="H998" s="111"/>
      <c r="I998" s="111"/>
      <c r="J998" s="111"/>
      <c r="K998" s="111"/>
      <c r="L998" s="111"/>
      <c r="M998" s="94"/>
      <c r="N998" s="94"/>
      <c r="O998" s="94"/>
      <c r="P998" s="94"/>
      <c r="Q998" s="94"/>
      <c r="R998" s="94"/>
      <c r="S998" s="94"/>
      <c r="T998" s="94"/>
      <c r="U998" s="94"/>
      <c r="V998" s="94"/>
      <c r="W998" s="94"/>
      <c r="X998" s="94"/>
      <c r="Y998" s="94"/>
      <c r="Z998" s="94"/>
      <c r="AA998" s="94"/>
      <c r="AB998" s="94"/>
      <c r="AC998" s="94"/>
      <c r="AD998" s="94"/>
      <c r="AE998" s="94"/>
    </row>
    <row r="999">
      <c r="A999" s="87"/>
      <c r="B999" s="37"/>
      <c r="C999" s="37"/>
      <c r="D999" s="162"/>
      <c r="E999" s="89"/>
      <c r="F999" s="72"/>
      <c r="G999" s="111"/>
      <c r="H999" s="111"/>
      <c r="I999" s="111"/>
      <c r="J999" s="111"/>
      <c r="K999" s="111"/>
      <c r="L999" s="111"/>
      <c r="M999" s="94"/>
      <c r="N999" s="94"/>
      <c r="O999" s="94"/>
      <c r="P999" s="94"/>
      <c r="Q999" s="94"/>
      <c r="R999" s="94"/>
      <c r="S999" s="94"/>
      <c r="T999" s="94"/>
      <c r="U999" s="94"/>
      <c r="V999" s="94"/>
      <c r="W999" s="94"/>
      <c r="X999" s="94"/>
      <c r="Y999" s="94"/>
      <c r="Z999" s="94"/>
      <c r="AA999" s="94"/>
      <c r="AB999" s="94"/>
      <c r="AC999" s="94"/>
      <c r="AD999" s="94"/>
      <c r="AE999" s="94"/>
    </row>
    <row r="1000">
      <c r="A1000" s="87"/>
      <c r="B1000" s="37"/>
      <c r="C1000" s="37"/>
      <c r="D1000" s="162"/>
      <c r="E1000" s="89"/>
      <c r="F1000" s="72"/>
      <c r="G1000" s="111"/>
      <c r="H1000" s="111"/>
      <c r="I1000" s="111"/>
      <c r="J1000" s="111"/>
      <c r="K1000" s="111"/>
      <c r="L1000" s="111"/>
      <c r="M1000" s="94"/>
      <c r="N1000" s="94"/>
      <c r="O1000" s="94"/>
      <c r="P1000" s="94"/>
      <c r="Q1000" s="94"/>
      <c r="R1000" s="94"/>
      <c r="S1000" s="94"/>
      <c r="T1000" s="94"/>
      <c r="U1000" s="94"/>
      <c r="V1000" s="94"/>
      <c r="W1000" s="94"/>
      <c r="X1000" s="94"/>
      <c r="Y1000" s="94"/>
      <c r="Z1000" s="94"/>
      <c r="AA1000" s="94"/>
      <c r="AB1000" s="94"/>
      <c r="AC1000" s="94"/>
      <c r="AD1000" s="94"/>
      <c r="AE1000" s="94"/>
    </row>
    <row r="1001">
      <c r="A1001" s="87"/>
      <c r="B1001" s="37"/>
      <c r="C1001" s="37"/>
      <c r="D1001" s="162"/>
      <c r="E1001" s="89"/>
      <c r="F1001" s="72"/>
      <c r="G1001" s="111"/>
      <c r="H1001" s="111"/>
      <c r="I1001" s="111"/>
      <c r="J1001" s="111"/>
      <c r="K1001" s="111"/>
      <c r="L1001" s="111"/>
      <c r="M1001" s="94"/>
      <c r="N1001" s="94"/>
      <c r="O1001" s="94"/>
      <c r="P1001" s="94"/>
      <c r="Q1001" s="94"/>
      <c r="R1001" s="94"/>
      <c r="S1001" s="94"/>
      <c r="T1001" s="94"/>
      <c r="U1001" s="94"/>
      <c r="V1001" s="94"/>
      <c r="W1001" s="94"/>
      <c r="X1001" s="94"/>
      <c r="Y1001" s="94"/>
      <c r="Z1001" s="94"/>
      <c r="AA1001" s="94"/>
      <c r="AB1001" s="94"/>
      <c r="AC1001" s="94"/>
      <c r="AD1001" s="94"/>
      <c r="AE1001" s="94"/>
    </row>
    <row r="1002">
      <c r="A1002" s="87"/>
      <c r="B1002" s="37"/>
      <c r="C1002" s="37"/>
      <c r="D1002" s="162"/>
      <c r="E1002" s="89"/>
      <c r="F1002" s="72"/>
      <c r="G1002" s="111"/>
      <c r="H1002" s="111"/>
      <c r="I1002" s="111"/>
      <c r="J1002" s="111"/>
      <c r="K1002" s="111"/>
      <c r="L1002" s="111"/>
      <c r="M1002" s="94"/>
      <c r="N1002" s="94"/>
      <c r="O1002" s="94"/>
      <c r="P1002" s="94"/>
      <c r="Q1002" s="94"/>
      <c r="R1002" s="94"/>
      <c r="S1002" s="94"/>
      <c r="T1002" s="94"/>
      <c r="U1002" s="94"/>
      <c r="V1002" s="94"/>
      <c r="W1002" s="94"/>
      <c r="X1002" s="94"/>
      <c r="Y1002" s="94"/>
      <c r="Z1002" s="94"/>
      <c r="AA1002" s="94"/>
      <c r="AB1002" s="94"/>
      <c r="AC1002" s="94"/>
      <c r="AD1002" s="94"/>
      <c r="AE1002" s="94"/>
    </row>
    <row r="1003">
      <c r="A1003" s="87"/>
      <c r="B1003" s="37"/>
      <c r="C1003" s="37"/>
      <c r="D1003" s="162"/>
      <c r="E1003" s="89"/>
      <c r="F1003" s="72"/>
      <c r="G1003" s="111"/>
      <c r="H1003" s="111"/>
      <c r="I1003" s="111"/>
      <c r="J1003" s="111"/>
      <c r="K1003" s="111"/>
      <c r="L1003" s="111"/>
      <c r="M1003" s="94"/>
      <c r="N1003" s="94"/>
      <c r="O1003" s="94"/>
      <c r="P1003" s="94"/>
      <c r="Q1003" s="94"/>
      <c r="R1003" s="94"/>
      <c r="S1003" s="94"/>
      <c r="T1003" s="94"/>
      <c r="U1003" s="94"/>
      <c r="V1003" s="94"/>
      <c r="W1003" s="94"/>
      <c r="X1003" s="94"/>
      <c r="Y1003" s="94"/>
      <c r="Z1003" s="94"/>
      <c r="AA1003" s="94"/>
      <c r="AB1003" s="94"/>
      <c r="AC1003" s="94"/>
      <c r="AD1003" s="94"/>
      <c r="AE1003" s="94"/>
    </row>
    <row r="1004">
      <c r="A1004" s="87"/>
      <c r="B1004" s="37"/>
      <c r="C1004" s="37"/>
      <c r="D1004" s="162"/>
      <c r="E1004" s="89"/>
      <c r="F1004" s="72"/>
      <c r="G1004" s="111"/>
      <c r="H1004" s="111"/>
      <c r="I1004" s="111"/>
      <c r="J1004" s="111"/>
      <c r="K1004" s="111"/>
      <c r="L1004" s="111"/>
      <c r="M1004" s="94"/>
      <c r="N1004" s="94"/>
      <c r="O1004" s="94"/>
      <c r="P1004" s="94"/>
      <c r="Q1004" s="94"/>
      <c r="R1004" s="94"/>
      <c r="S1004" s="94"/>
      <c r="T1004" s="94"/>
      <c r="U1004" s="94"/>
      <c r="V1004" s="94"/>
      <c r="W1004" s="94"/>
      <c r="X1004" s="94"/>
      <c r="Y1004" s="94"/>
      <c r="Z1004" s="94"/>
      <c r="AA1004" s="94"/>
      <c r="AB1004" s="94"/>
      <c r="AC1004" s="94"/>
      <c r="AD1004" s="94"/>
      <c r="AE1004" s="94"/>
    </row>
    <row r="1005">
      <c r="A1005" s="87"/>
      <c r="B1005" s="37"/>
      <c r="C1005" s="37"/>
      <c r="D1005" s="162"/>
      <c r="E1005" s="89"/>
      <c r="F1005" s="72"/>
      <c r="G1005" s="111"/>
      <c r="H1005" s="111"/>
      <c r="I1005" s="111"/>
      <c r="J1005" s="111"/>
      <c r="K1005" s="111"/>
      <c r="L1005" s="111"/>
      <c r="M1005" s="94"/>
      <c r="N1005" s="94"/>
      <c r="O1005" s="94"/>
      <c r="P1005" s="94"/>
      <c r="Q1005" s="94"/>
      <c r="R1005" s="94"/>
      <c r="S1005" s="94"/>
      <c r="T1005" s="94"/>
      <c r="U1005" s="94"/>
      <c r="V1005" s="94"/>
      <c r="W1005" s="94"/>
      <c r="X1005" s="94"/>
      <c r="Y1005" s="94"/>
      <c r="Z1005" s="94"/>
      <c r="AA1005" s="94"/>
      <c r="AB1005" s="94"/>
      <c r="AC1005" s="94"/>
      <c r="AD1005" s="94"/>
      <c r="AE1005" s="94"/>
    </row>
    <row r="1006">
      <c r="A1006" s="87"/>
      <c r="B1006" s="37"/>
      <c r="C1006" s="37"/>
      <c r="D1006" s="162"/>
      <c r="E1006" s="89"/>
      <c r="F1006" s="72"/>
      <c r="G1006" s="111"/>
      <c r="H1006" s="111"/>
      <c r="I1006" s="111"/>
      <c r="J1006" s="111"/>
      <c r="K1006" s="111"/>
      <c r="L1006" s="111"/>
      <c r="M1006" s="94"/>
      <c r="N1006" s="94"/>
      <c r="O1006" s="94"/>
      <c r="P1006" s="94"/>
      <c r="Q1006" s="94"/>
      <c r="R1006" s="94"/>
      <c r="S1006" s="94"/>
      <c r="T1006" s="94"/>
      <c r="U1006" s="94"/>
      <c r="V1006" s="94"/>
      <c r="W1006" s="94"/>
      <c r="X1006" s="94"/>
      <c r="Y1006" s="94"/>
      <c r="Z1006" s="94"/>
      <c r="AA1006" s="94"/>
      <c r="AB1006" s="94"/>
      <c r="AC1006" s="94"/>
      <c r="AD1006" s="94"/>
      <c r="AE1006" s="94"/>
    </row>
    <row r="1007">
      <c r="A1007" s="87"/>
      <c r="B1007" s="37"/>
      <c r="C1007" s="37"/>
      <c r="D1007" s="162"/>
      <c r="E1007" s="89"/>
      <c r="F1007" s="72"/>
      <c r="G1007" s="111"/>
      <c r="H1007" s="111"/>
      <c r="I1007" s="111"/>
      <c r="J1007" s="111"/>
      <c r="K1007" s="111"/>
      <c r="L1007" s="111"/>
      <c r="M1007" s="94"/>
      <c r="N1007" s="94"/>
      <c r="O1007" s="94"/>
      <c r="P1007" s="94"/>
      <c r="Q1007" s="94"/>
      <c r="R1007" s="94"/>
      <c r="S1007" s="94"/>
      <c r="T1007" s="94"/>
      <c r="U1007" s="94"/>
      <c r="V1007" s="94"/>
      <c r="W1007" s="94"/>
      <c r="X1007" s="94"/>
      <c r="Y1007" s="94"/>
      <c r="Z1007" s="94"/>
      <c r="AA1007" s="94"/>
      <c r="AB1007" s="94"/>
      <c r="AC1007" s="94"/>
      <c r="AD1007" s="94"/>
      <c r="AE1007" s="94"/>
    </row>
    <row r="1008">
      <c r="A1008" s="87"/>
      <c r="B1008" s="37"/>
      <c r="C1008" s="37"/>
      <c r="D1008" s="162"/>
      <c r="E1008" s="89"/>
      <c r="F1008" s="72"/>
      <c r="G1008" s="111"/>
      <c r="H1008" s="111"/>
      <c r="I1008" s="111"/>
      <c r="J1008" s="111"/>
      <c r="K1008" s="111"/>
      <c r="L1008" s="111"/>
      <c r="M1008" s="94"/>
      <c r="N1008" s="94"/>
      <c r="O1008" s="94"/>
      <c r="P1008" s="94"/>
      <c r="Q1008" s="94"/>
      <c r="R1008" s="94"/>
      <c r="S1008" s="94"/>
      <c r="T1008" s="94"/>
      <c r="U1008" s="94"/>
      <c r="V1008" s="94"/>
      <c r="W1008" s="94"/>
      <c r="X1008" s="94"/>
      <c r="Y1008" s="94"/>
      <c r="Z1008" s="94"/>
      <c r="AA1008" s="94"/>
      <c r="AB1008" s="94"/>
      <c r="AC1008" s="94"/>
      <c r="AD1008" s="94"/>
      <c r="AE1008" s="94"/>
    </row>
    <row r="1009">
      <c r="A1009" s="87"/>
      <c r="B1009" s="37"/>
      <c r="C1009" s="37"/>
      <c r="D1009" s="162"/>
      <c r="E1009" s="89"/>
      <c r="F1009" s="72"/>
      <c r="G1009" s="111"/>
      <c r="H1009" s="111"/>
      <c r="I1009" s="111"/>
      <c r="J1009" s="111"/>
      <c r="K1009" s="111"/>
      <c r="L1009" s="111"/>
      <c r="M1009" s="94"/>
      <c r="N1009" s="94"/>
      <c r="O1009" s="94"/>
      <c r="P1009" s="94"/>
      <c r="Q1009" s="94"/>
      <c r="R1009" s="94"/>
      <c r="S1009" s="94"/>
      <c r="T1009" s="94"/>
      <c r="U1009" s="94"/>
      <c r="V1009" s="94"/>
      <c r="W1009" s="94"/>
      <c r="X1009" s="94"/>
      <c r="Y1009" s="94"/>
      <c r="Z1009" s="94"/>
      <c r="AA1009" s="94"/>
      <c r="AB1009" s="94"/>
      <c r="AC1009" s="94"/>
      <c r="AD1009" s="94"/>
      <c r="AE1009" s="94"/>
    </row>
    <row r="1010">
      <c r="A1010" s="87"/>
      <c r="B1010" s="37"/>
      <c r="C1010" s="37"/>
      <c r="D1010" s="162"/>
      <c r="E1010" s="89"/>
      <c r="F1010" s="72"/>
      <c r="G1010" s="111"/>
      <c r="H1010" s="111"/>
      <c r="I1010" s="111"/>
      <c r="J1010" s="111"/>
      <c r="K1010" s="111"/>
      <c r="L1010" s="111"/>
      <c r="M1010" s="94"/>
      <c r="N1010" s="94"/>
      <c r="O1010" s="94"/>
      <c r="P1010" s="94"/>
      <c r="Q1010" s="94"/>
      <c r="R1010" s="94"/>
      <c r="S1010" s="94"/>
      <c r="T1010" s="94"/>
      <c r="U1010" s="94"/>
      <c r="V1010" s="94"/>
      <c r="W1010" s="94"/>
      <c r="X1010" s="94"/>
      <c r="Y1010" s="94"/>
      <c r="Z1010" s="94"/>
      <c r="AA1010" s="94"/>
      <c r="AB1010" s="94"/>
      <c r="AC1010" s="94"/>
      <c r="AD1010" s="94"/>
      <c r="AE1010" s="94"/>
    </row>
    <row r="1011">
      <c r="A1011" s="87"/>
      <c r="B1011" s="37"/>
      <c r="C1011" s="37"/>
      <c r="D1011" s="162"/>
      <c r="E1011" s="89"/>
      <c r="F1011" s="72"/>
      <c r="G1011" s="111"/>
      <c r="H1011" s="111"/>
      <c r="I1011" s="111"/>
      <c r="J1011" s="111"/>
      <c r="K1011" s="111"/>
      <c r="L1011" s="111"/>
      <c r="M1011" s="94"/>
      <c r="N1011" s="94"/>
      <c r="O1011" s="94"/>
      <c r="P1011" s="94"/>
      <c r="Q1011" s="94"/>
      <c r="R1011" s="94"/>
      <c r="S1011" s="94"/>
      <c r="T1011" s="94"/>
      <c r="U1011" s="94"/>
      <c r="V1011" s="94"/>
      <c r="W1011" s="94"/>
      <c r="X1011" s="94"/>
      <c r="Y1011" s="94"/>
      <c r="Z1011" s="94"/>
      <c r="AA1011" s="94"/>
      <c r="AB1011" s="94"/>
      <c r="AC1011" s="94"/>
      <c r="AD1011" s="94"/>
      <c r="AE1011" s="94"/>
    </row>
    <row r="1012">
      <c r="A1012" s="87"/>
      <c r="B1012" s="37"/>
      <c r="C1012" s="37"/>
      <c r="D1012" s="162"/>
      <c r="E1012" s="89"/>
      <c r="F1012" s="72"/>
      <c r="G1012" s="111"/>
      <c r="H1012" s="111"/>
      <c r="I1012" s="111"/>
      <c r="J1012" s="111"/>
      <c r="K1012" s="111"/>
      <c r="L1012" s="111"/>
      <c r="M1012" s="94"/>
      <c r="N1012" s="94"/>
      <c r="O1012" s="94"/>
      <c r="P1012" s="94"/>
      <c r="Q1012" s="94"/>
      <c r="R1012" s="94"/>
      <c r="S1012" s="94"/>
      <c r="T1012" s="94"/>
      <c r="U1012" s="94"/>
      <c r="V1012" s="94"/>
      <c r="W1012" s="94"/>
      <c r="X1012" s="94"/>
      <c r="Y1012" s="94"/>
      <c r="Z1012" s="94"/>
      <c r="AA1012" s="94"/>
      <c r="AB1012" s="94"/>
      <c r="AC1012" s="94"/>
      <c r="AD1012" s="94"/>
      <c r="AE1012" s="94"/>
    </row>
    <row r="1013">
      <c r="A1013" s="87"/>
      <c r="B1013" s="37"/>
      <c r="C1013" s="37"/>
      <c r="D1013" s="162"/>
      <c r="E1013" s="89"/>
      <c r="F1013" s="72"/>
      <c r="G1013" s="111"/>
      <c r="H1013" s="111"/>
      <c r="I1013" s="111"/>
      <c r="J1013" s="111"/>
      <c r="K1013" s="111"/>
      <c r="L1013" s="111"/>
      <c r="M1013" s="94"/>
      <c r="N1013" s="94"/>
      <c r="O1013" s="94"/>
      <c r="P1013" s="94"/>
      <c r="Q1013" s="94"/>
      <c r="R1013" s="94"/>
      <c r="S1013" s="94"/>
      <c r="T1013" s="94"/>
      <c r="U1013" s="94"/>
      <c r="V1013" s="94"/>
      <c r="W1013" s="94"/>
      <c r="X1013" s="94"/>
      <c r="Y1013" s="94"/>
      <c r="Z1013" s="94"/>
      <c r="AA1013" s="94"/>
      <c r="AB1013" s="94"/>
      <c r="AC1013" s="94"/>
      <c r="AD1013" s="94"/>
      <c r="AE1013" s="94"/>
    </row>
    <row r="1014">
      <c r="A1014" s="87"/>
      <c r="B1014" s="37"/>
      <c r="C1014" s="37"/>
      <c r="D1014" s="162"/>
      <c r="E1014" s="89"/>
      <c r="F1014" s="72"/>
      <c r="G1014" s="111"/>
      <c r="H1014" s="111"/>
      <c r="I1014" s="111"/>
      <c r="J1014" s="111"/>
      <c r="K1014" s="111"/>
      <c r="L1014" s="111"/>
      <c r="M1014" s="94"/>
      <c r="N1014" s="94"/>
      <c r="O1014" s="94"/>
      <c r="P1014" s="94"/>
      <c r="Q1014" s="94"/>
      <c r="R1014" s="94"/>
      <c r="S1014" s="94"/>
      <c r="T1014" s="94"/>
      <c r="U1014" s="94"/>
      <c r="V1014" s="94"/>
      <c r="W1014" s="94"/>
      <c r="X1014" s="94"/>
      <c r="Y1014" s="94"/>
      <c r="Z1014" s="94"/>
      <c r="AA1014" s="94"/>
      <c r="AB1014" s="94"/>
      <c r="AC1014" s="94"/>
      <c r="AD1014" s="94"/>
      <c r="AE1014" s="94"/>
    </row>
    <row r="1015">
      <c r="A1015" s="87"/>
      <c r="B1015" s="37"/>
      <c r="C1015" s="37"/>
      <c r="D1015" s="162"/>
      <c r="E1015" s="89"/>
      <c r="F1015" s="72"/>
      <c r="G1015" s="111"/>
      <c r="H1015" s="111"/>
      <c r="I1015" s="111"/>
      <c r="J1015" s="111"/>
      <c r="K1015" s="111"/>
      <c r="L1015" s="111"/>
      <c r="M1015" s="94"/>
      <c r="N1015" s="94"/>
      <c r="O1015" s="94"/>
      <c r="P1015" s="94"/>
      <c r="Q1015" s="94"/>
      <c r="R1015" s="94"/>
      <c r="S1015" s="94"/>
      <c r="T1015" s="94"/>
      <c r="U1015" s="94"/>
      <c r="V1015" s="94"/>
      <c r="W1015" s="94"/>
      <c r="X1015" s="94"/>
      <c r="Y1015" s="94"/>
      <c r="Z1015" s="94"/>
      <c r="AA1015" s="94"/>
      <c r="AB1015" s="94"/>
      <c r="AC1015" s="94"/>
      <c r="AD1015" s="94"/>
      <c r="AE1015" s="94"/>
    </row>
    <row r="1016">
      <c r="A1016" s="87"/>
      <c r="B1016" s="37"/>
      <c r="C1016" s="37"/>
      <c r="D1016" s="162"/>
      <c r="E1016" s="89"/>
      <c r="F1016" s="72"/>
      <c r="G1016" s="111"/>
      <c r="H1016" s="111"/>
      <c r="I1016" s="111"/>
      <c r="J1016" s="111"/>
      <c r="K1016" s="111"/>
      <c r="L1016" s="111"/>
      <c r="M1016" s="94"/>
      <c r="N1016" s="94"/>
      <c r="O1016" s="94"/>
      <c r="P1016" s="94"/>
      <c r="Q1016" s="94"/>
      <c r="R1016" s="94"/>
      <c r="S1016" s="94"/>
      <c r="T1016" s="94"/>
      <c r="U1016" s="94"/>
      <c r="V1016" s="94"/>
      <c r="W1016" s="94"/>
      <c r="X1016" s="94"/>
      <c r="Y1016" s="94"/>
      <c r="Z1016" s="94"/>
      <c r="AA1016" s="94"/>
      <c r="AB1016" s="94"/>
      <c r="AC1016" s="94"/>
      <c r="AD1016" s="94"/>
      <c r="AE1016" s="94"/>
    </row>
    <row r="1017">
      <c r="A1017" s="87"/>
      <c r="B1017" s="37"/>
      <c r="C1017" s="37"/>
      <c r="D1017" s="162"/>
      <c r="E1017" s="89"/>
      <c r="F1017" s="72"/>
      <c r="G1017" s="111"/>
      <c r="H1017" s="111"/>
      <c r="I1017" s="111"/>
      <c r="J1017" s="111"/>
      <c r="K1017" s="111"/>
      <c r="L1017" s="111"/>
      <c r="M1017" s="94"/>
      <c r="N1017" s="94"/>
      <c r="O1017" s="94"/>
      <c r="P1017" s="94"/>
      <c r="Q1017" s="94"/>
      <c r="R1017" s="94"/>
      <c r="S1017" s="94"/>
      <c r="T1017" s="94"/>
      <c r="U1017" s="94"/>
      <c r="V1017" s="94"/>
      <c r="W1017" s="94"/>
      <c r="X1017" s="94"/>
      <c r="Y1017" s="94"/>
      <c r="Z1017" s="94"/>
      <c r="AA1017" s="94"/>
      <c r="AB1017" s="94"/>
      <c r="AC1017" s="94"/>
      <c r="AD1017" s="94"/>
      <c r="AE1017" s="94"/>
    </row>
    <row r="1018">
      <c r="A1018" s="87"/>
      <c r="B1018" s="37"/>
      <c r="C1018" s="37"/>
      <c r="D1018" s="162"/>
      <c r="E1018" s="89"/>
      <c r="F1018" s="72"/>
      <c r="G1018" s="111"/>
      <c r="H1018" s="111"/>
      <c r="I1018" s="111"/>
      <c r="J1018" s="111"/>
      <c r="K1018" s="111"/>
      <c r="L1018" s="111"/>
      <c r="M1018" s="94"/>
      <c r="N1018" s="94"/>
      <c r="O1018" s="94"/>
      <c r="P1018" s="94"/>
      <c r="Q1018" s="94"/>
      <c r="R1018" s="94"/>
      <c r="S1018" s="94"/>
      <c r="T1018" s="94"/>
      <c r="U1018" s="94"/>
      <c r="V1018" s="94"/>
      <c r="W1018" s="94"/>
      <c r="X1018" s="94"/>
      <c r="Y1018" s="94"/>
      <c r="Z1018" s="94"/>
      <c r="AA1018" s="94"/>
      <c r="AB1018" s="94"/>
      <c r="AC1018" s="94"/>
      <c r="AD1018" s="94"/>
      <c r="AE1018" s="94"/>
    </row>
    <row r="1019">
      <c r="A1019" s="87"/>
      <c r="B1019" s="37"/>
      <c r="C1019" s="37"/>
      <c r="D1019" s="162"/>
      <c r="E1019" s="89"/>
      <c r="F1019" s="72"/>
      <c r="G1019" s="111"/>
      <c r="H1019" s="111"/>
      <c r="I1019" s="111"/>
      <c r="J1019" s="111"/>
      <c r="K1019" s="111"/>
      <c r="L1019" s="111"/>
      <c r="M1019" s="94"/>
      <c r="N1019" s="94"/>
      <c r="O1019" s="94"/>
      <c r="P1019" s="94"/>
      <c r="Q1019" s="94"/>
      <c r="R1019" s="94"/>
      <c r="S1019" s="94"/>
      <c r="T1019" s="94"/>
      <c r="U1019" s="94"/>
      <c r="V1019" s="94"/>
      <c r="W1019" s="94"/>
      <c r="X1019" s="94"/>
      <c r="Y1019" s="94"/>
      <c r="Z1019" s="94"/>
      <c r="AA1019" s="94"/>
      <c r="AB1019" s="94"/>
      <c r="AC1019" s="94"/>
      <c r="AD1019" s="94"/>
      <c r="AE1019" s="94"/>
    </row>
    <row r="1020">
      <c r="A1020" s="87"/>
      <c r="B1020" s="37"/>
      <c r="C1020" s="37"/>
      <c r="D1020" s="162"/>
      <c r="E1020" s="89"/>
      <c r="F1020" s="72"/>
      <c r="G1020" s="111"/>
      <c r="H1020" s="111"/>
      <c r="I1020" s="111"/>
      <c r="J1020" s="111"/>
      <c r="K1020" s="111"/>
      <c r="L1020" s="111"/>
      <c r="M1020" s="94"/>
      <c r="N1020" s="94"/>
      <c r="O1020" s="94"/>
      <c r="P1020" s="94"/>
      <c r="Q1020" s="94"/>
      <c r="R1020" s="94"/>
      <c r="S1020" s="94"/>
      <c r="T1020" s="94"/>
      <c r="U1020" s="94"/>
      <c r="V1020" s="94"/>
      <c r="W1020" s="94"/>
      <c r="X1020" s="94"/>
      <c r="Y1020" s="94"/>
      <c r="Z1020" s="94"/>
      <c r="AA1020" s="94"/>
      <c r="AB1020" s="94"/>
      <c r="AC1020" s="94"/>
      <c r="AD1020" s="94"/>
      <c r="AE1020" s="94"/>
    </row>
    <row r="1021">
      <c r="A1021" s="87"/>
      <c r="B1021" s="37"/>
      <c r="C1021" s="37"/>
      <c r="D1021" s="162"/>
      <c r="E1021" s="89"/>
      <c r="F1021" s="72"/>
      <c r="G1021" s="111"/>
      <c r="H1021" s="111"/>
      <c r="I1021" s="111"/>
      <c r="J1021" s="111"/>
      <c r="K1021" s="111"/>
      <c r="L1021" s="111"/>
      <c r="M1021" s="94"/>
      <c r="N1021" s="94"/>
      <c r="O1021" s="94"/>
      <c r="P1021" s="94"/>
      <c r="Q1021" s="94"/>
      <c r="R1021" s="94"/>
      <c r="S1021" s="94"/>
      <c r="T1021" s="94"/>
      <c r="U1021" s="94"/>
      <c r="V1021" s="94"/>
      <c r="W1021" s="94"/>
      <c r="X1021" s="94"/>
      <c r="Y1021" s="94"/>
      <c r="Z1021" s="94"/>
      <c r="AA1021" s="94"/>
      <c r="AB1021" s="94"/>
      <c r="AC1021" s="94"/>
      <c r="AD1021" s="94"/>
      <c r="AE1021" s="94"/>
    </row>
    <row r="1022">
      <c r="A1022" s="87"/>
      <c r="B1022" s="37"/>
      <c r="C1022" s="37"/>
      <c r="D1022" s="162"/>
      <c r="E1022" s="89"/>
      <c r="F1022" s="72"/>
      <c r="G1022" s="111"/>
      <c r="H1022" s="111"/>
      <c r="I1022" s="111"/>
      <c r="J1022" s="111"/>
      <c r="K1022" s="111"/>
      <c r="L1022" s="111"/>
      <c r="M1022" s="94"/>
      <c r="N1022" s="94"/>
      <c r="O1022" s="94"/>
      <c r="P1022" s="94"/>
      <c r="Q1022" s="94"/>
      <c r="R1022" s="94"/>
      <c r="S1022" s="94"/>
      <c r="T1022" s="94"/>
      <c r="U1022" s="94"/>
      <c r="V1022" s="94"/>
      <c r="W1022" s="94"/>
      <c r="X1022" s="94"/>
      <c r="Y1022" s="94"/>
      <c r="Z1022" s="94"/>
      <c r="AA1022" s="94"/>
      <c r="AB1022" s="94"/>
      <c r="AC1022" s="94"/>
      <c r="AD1022" s="94"/>
      <c r="AE1022" s="94"/>
    </row>
    <row r="1023">
      <c r="A1023" s="87"/>
      <c r="B1023" s="37"/>
      <c r="C1023" s="37"/>
      <c r="D1023" s="162"/>
      <c r="E1023" s="89"/>
      <c r="F1023" s="72"/>
      <c r="G1023" s="111"/>
      <c r="H1023" s="111"/>
      <c r="I1023" s="111"/>
      <c r="J1023" s="111"/>
      <c r="K1023" s="111"/>
      <c r="L1023" s="111"/>
      <c r="M1023" s="94"/>
      <c r="N1023" s="94"/>
      <c r="O1023" s="94"/>
      <c r="P1023" s="94"/>
      <c r="Q1023" s="94"/>
      <c r="R1023" s="94"/>
      <c r="S1023" s="94"/>
      <c r="T1023" s="94"/>
      <c r="U1023" s="94"/>
      <c r="V1023" s="94"/>
      <c r="W1023" s="94"/>
      <c r="X1023" s="94"/>
      <c r="Y1023" s="94"/>
      <c r="Z1023" s="94"/>
      <c r="AA1023" s="94"/>
      <c r="AB1023" s="94"/>
      <c r="AC1023" s="94"/>
      <c r="AD1023" s="94"/>
      <c r="AE1023" s="94"/>
    </row>
    <row r="1024">
      <c r="A1024" s="87"/>
      <c r="B1024" s="37"/>
      <c r="C1024" s="37"/>
      <c r="D1024" s="162"/>
      <c r="E1024" s="89"/>
      <c r="F1024" s="72"/>
      <c r="G1024" s="111"/>
      <c r="H1024" s="111"/>
      <c r="I1024" s="111"/>
      <c r="J1024" s="111"/>
      <c r="K1024" s="111"/>
      <c r="L1024" s="111"/>
      <c r="M1024" s="94"/>
      <c r="N1024" s="94"/>
      <c r="O1024" s="94"/>
      <c r="P1024" s="94"/>
      <c r="Q1024" s="94"/>
      <c r="R1024" s="94"/>
      <c r="S1024" s="94"/>
      <c r="T1024" s="94"/>
      <c r="U1024" s="94"/>
      <c r="V1024" s="94"/>
      <c r="W1024" s="94"/>
      <c r="X1024" s="94"/>
      <c r="Y1024" s="94"/>
      <c r="Z1024" s="94"/>
      <c r="AA1024" s="94"/>
      <c r="AB1024" s="94"/>
      <c r="AC1024" s="94"/>
      <c r="AD1024" s="94"/>
      <c r="AE1024" s="94"/>
    </row>
    <row r="1025">
      <c r="A1025" s="87"/>
      <c r="B1025" s="37"/>
      <c r="C1025" s="37"/>
      <c r="D1025" s="162"/>
      <c r="E1025" s="89"/>
      <c r="F1025" s="72"/>
      <c r="G1025" s="111"/>
      <c r="H1025" s="111"/>
      <c r="I1025" s="111"/>
      <c r="J1025" s="111"/>
      <c r="K1025" s="111"/>
      <c r="L1025" s="111"/>
      <c r="M1025" s="94"/>
      <c r="N1025" s="94"/>
      <c r="O1025" s="94"/>
      <c r="P1025" s="94"/>
      <c r="Q1025" s="94"/>
      <c r="R1025" s="94"/>
      <c r="S1025" s="94"/>
      <c r="T1025" s="94"/>
      <c r="U1025" s="94"/>
      <c r="V1025" s="94"/>
      <c r="W1025" s="94"/>
      <c r="X1025" s="94"/>
      <c r="Y1025" s="94"/>
      <c r="Z1025" s="94"/>
      <c r="AA1025" s="94"/>
      <c r="AB1025" s="94"/>
      <c r="AC1025" s="94"/>
      <c r="AD1025" s="94"/>
      <c r="AE1025" s="94"/>
    </row>
    <row r="1026">
      <c r="A1026" s="87"/>
      <c r="B1026" s="37"/>
      <c r="C1026" s="37"/>
      <c r="D1026" s="162"/>
      <c r="E1026" s="89"/>
      <c r="F1026" s="72"/>
      <c r="G1026" s="111"/>
      <c r="H1026" s="111"/>
      <c r="I1026" s="111"/>
      <c r="J1026" s="111"/>
      <c r="K1026" s="111"/>
      <c r="L1026" s="111"/>
      <c r="M1026" s="94"/>
      <c r="N1026" s="94"/>
      <c r="O1026" s="94"/>
      <c r="P1026" s="94"/>
      <c r="Q1026" s="94"/>
      <c r="R1026" s="94"/>
      <c r="S1026" s="94"/>
      <c r="T1026" s="94"/>
      <c r="U1026" s="94"/>
      <c r="V1026" s="94"/>
      <c r="W1026" s="94"/>
      <c r="X1026" s="94"/>
      <c r="Y1026" s="94"/>
      <c r="Z1026" s="94"/>
      <c r="AA1026" s="94"/>
      <c r="AB1026" s="94"/>
      <c r="AC1026" s="94"/>
      <c r="AD1026" s="94"/>
      <c r="AE1026" s="94"/>
    </row>
    <row r="1027">
      <c r="A1027" s="87"/>
      <c r="B1027" s="37"/>
      <c r="C1027" s="37"/>
      <c r="D1027" s="162"/>
      <c r="E1027" s="89"/>
      <c r="F1027" s="72"/>
      <c r="G1027" s="111"/>
      <c r="H1027" s="111"/>
      <c r="I1027" s="111"/>
      <c r="J1027" s="111"/>
      <c r="K1027" s="111"/>
      <c r="L1027" s="111"/>
      <c r="M1027" s="94"/>
      <c r="N1027" s="94"/>
      <c r="O1027" s="94"/>
      <c r="P1027" s="94"/>
      <c r="Q1027" s="94"/>
      <c r="R1027" s="94"/>
      <c r="S1027" s="94"/>
      <c r="T1027" s="94"/>
      <c r="U1027" s="94"/>
      <c r="V1027" s="94"/>
      <c r="W1027" s="94"/>
      <c r="X1027" s="94"/>
      <c r="Y1027" s="94"/>
      <c r="Z1027" s="94"/>
      <c r="AA1027" s="94"/>
      <c r="AB1027" s="94"/>
      <c r="AC1027" s="94"/>
      <c r="AD1027" s="94"/>
      <c r="AE1027" s="94"/>
    </row>
    <row r="1028">
      <c r="A1028" s="87"/>
      <c r="B1028" s="37"/>
      <c r="C1028" s="37"/>
      <c r="D1028" s="162"/>
      <c r="E1028" s="89"/>
      <c r="F1028" s="72"/>
      <c r="G1028" s="111"/>
      <c r="H1028" s="111"/>
      <c r="I1028" s="111"/>
      <c r="J1028" s="111"/>
      <c r="K1028" s="111"/>
      <c r="L1028" s="111"/>
      <c r="M1028" s="94"/>
      <c r="N1028" s="94"/>
      <c r="O1028" s="94"/>
      <c r="P1028" s="94"/>
      <c r="Q1028" s="94"/>
      <c r="R1028" s="94"/>
      <c r="S1028" s="94"/>
      <c r="T1028" s="94"/>
      <c r="U1028" s="94"/>
      <c r="V1028" s="94"/>
      <c r="W1028" s="94"/>
      <c r="X1028" s="94"/>
      <c r="Y1028" s="94"/>
      <c r="Z1028" s="94"/>
      <c r="AA1028" s="94"/>
      <c r="AB1028" s="94"/>
      <c r="AC1028" s="94"/>
      <c r="AD1028" s="94"/>
      <c r="AE1028" s="94"/>
    </row>
    <row r="1029">
      <c r="A1029" s="87"/>
      <c r="B1029" s="37"/>
      <c r="C1029" s="37"/>
      <c r="D1029" s="162"/>
      <c r="E1029" s="89"/>
      <c r="F1029" s="72"/>
      <c r="G1029" s="111"/>
      <c r="H1029" s="111"/>
      <c r="I1029" s="111"/>
      <c r="J1029" s="111"/>
      <c r="K1029" s="111"/>
      <c r="L1029" s="111"/>
      <c r="M1029" s="94"/>
      <c r="N1029" s="94"/>
      <c r="O1029" s="94"/>
      <c r="P1029" s="94"/>
      <c r="Q1029" s="94"/>
      <c r="R1029" s="94"/>
      <c r="S1029" s="94"/>
      <c r="T1029" s="94"/>
      <c r="U1029" s="94"/>
      <c r="V1029" s="94"/>
      <c r="W1029" s="94"/>
      <c r="X1029" s="94"/>
      <c r="Y1029" s="94"/>
      <c r="Z1029" s="94"/>
      <c r="AA1029" s="94"/>
      <c r="AB1029" s="94"/>
      <c r="AC1029" s="94"/>
      <c r="AD1029" s="94"/>
      <c r="AE1029" s="94"/>
    </row>
    <row r="1030">
      <c r="A1030" s="87"/>
      <c r="B1030" s="37"/>
      <c r="C1030" s="37"/>
      <c r="D1030" s="162"/>
      <c r="E1030" s="89"/>
      <c r="F1030" s="72"/>
      <c r="G1030" s="111"/>
      <c r="H1030" s="111"/>
      <c r="I1030" s="111"/>
      <c r="J1030" s="111"/>
      <c r="K1030" s="111"/>
      <c r="L1030" s="111"/>
      <c r="M1030" s="94"/>
      <c r="N1030" s="94"/>
      <c r="O1030" s="94"/>
      <c r="P1030" s="94"/>
      <c r="Q1030" s="94"/>
      <c r="R1030" s="94"/>
      <c r="S1030" s="94"/>
      <c r="T1030" s="94"/>
      <c r="U1030" s="94"/>
      <c r="V1030" s="94"/>
      <c r="W1030" s="94"/>
      <c r="X1030" s="94"/>
      <c r="Y1030" s="94"/>
      <c r="Z1030" s="94"/>
      <c r="AA1030" s="94"/>
      <c r="AB1030" s="94"/>
      <c r="AC1030" s="94"/>
      <c r="AD1030" s="94"/>
      <c r="AE1030" s="94"/>
    </row>
    <row r="1031">
      <c r="A1031" s="87"/>
      <c r="B1031" s="37"/>
      <c r="C1031" s="37"/>
      <c r="D1031" s="162"/>
      <c r="E1031" s="89"/>
      <c r="F1031" s="72"/>
      <c r="G1031" s="111"/>
      <c r="H1031" s="111"/>
      <c r="I1031" s="111"/>
      <c r="J1031" s="111"/>
      <c r="K1031" s="111"/>
      <c r="L1031" s="111"/>
      <c r="M1031" s="94"/>
      <c r="N1031" s="94"/>
      <c r="O1031" s="94"/>
      <c r="P1031" s="94"/>
      <c r="Q1031" s="94"/>
      <c r="R1031" s="94"/>
      <c r="S1031" s="94"/>
      <c r="T1031" s="94"/>
      <c r="U1031" s="94"/>
      <c r="V1031" s="94"/>
      <c r="W1031" s="94"/>
      <c r="X1031" s="94"/>
      <c r="Y1031" s="94"/>
      <c r="Z1031" s="94"/>
      <c r="AA1031" s="94"/>
      <c r="AB1031" s="94"/>
      <c r="AC1031" s="94"/>
      <c r="AD1031" s="94"/>
      <c r="AE1031" s="94"/>
    </row>
    <row r="1032">
      <c r="A1032" s="87"/>
      <c r="B1032" s="37"/>
      <c r="C1032" s="37"/>
      <c r="D1032" s="162"/>
      <c r="E1032" s="89"/>
      <c r="F1032" s="72"/>
      <c r="G1032" s="111"/>
      <c r="H1032" s="111"/>
      <c r="I1032" s="111"/>
      <c r="J1032" s="111"/>
      <c r="K1032" s="111"/>
      <c r="L1032" s="111"/>
      <c r="M1032" s="94"/>
      <c r="N1032" s="94"/>
      <c r="O1032" s="94"/>
      <c r="P1032" s="94"/>
      <c r="Q1032" s="94"/>
      <c r="R1032" s="94"/>
      <c r="S1032" s="94"/>
      <c r="T1032" s="94"/>
      <c r="U1032" s="94"/>
      <c r="V1032" s="94"/>
      <c r="W1032" s="94"/>
      <c r="X1032" s="94"/>
      <c r="Y1032" s="94"/>
      <c r="Z1032" s="94"/>
      <c r="AA1032" s="94"/>
      <c r="AB1032" s="94"/>
      <c r="AC1032" s="94"/>
      <c r="AD1032" s="94"/>
      <c r="AE1032" s="94"/>
    </row>
    <row r="1033">
      <c r="A1033" s="87"/>
      <c r="B1033" s="37"/>
      <c r="C1033" s="37"/>
      <c r="D1033" s="162"/>
      <c r="E1033" s="89"/>
      <c r="F1033" s="72"/>
      <c r="G1033" s="111"/>
      <c r="H1033" s="111"/>
      <c r="I1033" s="111"/>
      <c r="J1033" s="111"/>
      <c r="K1033" s="111"/>
      <c r="L1033" s="111"/>
      <c r="M1033" s="94"/>
      <c r="N1033" s="94"/>
      <c r="O1033" s="94"/>
      <c r="P1033" s="94"/>
      <c r="Q1033" s="94"/>
      <c r="R1033" s="94"/>
      <c r="S1033" s="94"/>
      <c r="T1033" s="94"/>
      <c r="U1033" s="94"/>
      <c r="V1033" s="94"/>
      <c r="W1033" s="94"/>
      <c r="X1033" s="94"/>
      <c r="Y1033" s="94"/>
      <c r="Z1033" s="94"/>
      <c r="AA1033" s="94"/>
      <c r="AB1033" s="94"/>
      <c r="AC1033" s="94"/>
      <c r="AD1033" s="94"/>
      <c r="AE1033" s="94"/>
    </row>
    <row r="1034">
      <c r="A1034" s="87"/>
      <c r="B1034" s="37"/>
      <c r="C1034" s="37"/>
      <c r="D1034" s="162"/>
      <c r="E1034" s="89"/>
      <c r="F1034" s="72"/>
      <c r="G1034" s="111"/>
      <c r="H1034" s="111"/>
      <c r="I1034" s="111"/>
      <c r="J1034" s="111"/>
      <c r="K1034" s="111"/>
      <c r="L1034" s="111"/>
      <c r="M1034" s="94"/>
      <c r="N1034" s="94"/>
      <c r="O1034" s="94"/>
      <c r="P1034" s="94"/>
      <c r="Q1034" s="94"/>
      <c r="R1034" s="94"/>
      <c r="S1034" s="94"/>
      <c r="T1034" s="94"/>
      <c r="U1034" s="94"/>
      <c r="V1034" s="94"/>
      <c r="W1034" s="94"/>
      <c r="X1034" s="94"/>
      <c r="Y1034" s="94"/>
      <c r="Z1034" s="94"/>
      <c r="AA1034" s="94"/>
      <c r="AB1034" s="94"/>
      <c r="AC1034" s="94"/>
      <c r="AD1034" s="94"/>
      <c r="AE1034" s="94"/>
    </row>
    <row r="1035">
      <c r="A1035" s="87"/>
      <c r="B1035" s="37"/>
      <c r="C1035" s="37"/>
      <c r="D1035" s="162"/>
      <c r="E1035" s="89"/>
      <c r="F1035" s="72"/>
      <c r="G1035" s="111"/>
      <c r="H1035" s="111"/>
      <c r="I1035" s="111"/>
      <c r="J1035" s="111"/>
      <c r="K1035" s="111"/>
      <c r="L1035" s="111"/>
      <c r="M1035" s="94"/>
      <c r="N1035" s="94"/>
      <c r="O1035" s="94"/>
      <c r="P1035" s="94"/>
      <c r="Q1035" s="94"/>
      <c r="R1035" s="94"/>
      <c r="S1035" s="94"/>
      <c r="T1035" s="94"/>
      <c r="U1035" s="94"/>
      <c r="V1035" s="94"/>
      <c r="W1035" s="94"/>
      <c r="X1035" s="94"/>
      <c r="Y1035" s="94"/>
      <c r="Z1035" s="94"/>
      <c r="AA1035" s="94"/>
      <c r="AB1035" s="94"/>
      <c r="AC1035" s="94"/>
      <c r="AD1035" s="94"/>
      <c r="AE1035" s="94"/>
    </row>
    <row r="1036">
      <c r="A1036" s="87"/>
      <c r="B1036" s="37"/>
      <c r="C1036" s="37"/>
      <c r="D1036" s="162"/>
      <c r="E1036" s="89"/>
      <c r="F1036" s="72"/>
      <c r="G1036" s="111"/>
      <c r="H1036" s="111"/>
      <c r="I1036" s="111"/>
      <c r="J1036" s="111"/>
      <c r="K1036" s="111"/>
      <c r="L1036" s="111"/>
      <c r="M1036" s="94"/>
      <c r="N1036" s="94"/>
      <c r="O1036" s="94"/>
      <c r="P1036" s="94"/>
      <c r="Q1036" s="94"/>
      <c r="R1036" s="94"/>
      <c r="S1036" s="94"/>
      <c r="T1036" s="94"/>
      <c r="U1036" s="94"/>
      <c r="V1036" s="94"/>
      <c r="W1036" s="94"/>
      <c r="X1036" s="94"/>
      <c r="Y1036" s="94"/>
      <c r="Z1036" s="94"/>
      <c r="AA1036" s="94"/>
      <c r="AB1036" s="94"/>
      <c r="AC1036" s="94"/>
      <c r="AD1036" s="94"/>
      <c r="AE1036" s="94"/>
    </row>
    <row r="1037">
      <c r="A1037" s="87"/>
      <c r="B1037" s="37"/>
      <c r="C1037" s="37"/>
      <c r="D1037" s="162"/>
      <c r="E1037" s="89"/>
      <c r="F1037" s="72"/>
      <c r="G1037" s="111"/>
      <c r="H1037" s="111"/>
      <c r="I1037" s="111"/>
      <c r="J1037" s="111"/>
      <c r="K1037" s="111"/>
      <c r="L1037" s="111"/>
      <c r="M1037" s="94"/>
      <c r="N1037" s="94"/>
      <c r="O1037" s="94"/>
      <c r="P1037" s="94"/>
      <c r="Q1037" s="94"/>
      <c r="R1037" s="94"/>
      <c r="S1037" s="94"/>
      <c r="T1037" s="94"/>
      <c r="U1037" s="94"/>
      <c r="V1037" s="94"/>
      <c r="W1037" s="94"/>
      <c r="X1037" s="94"/>
      <c r="Y1037" s="94"/>
      <c r="Z1037" s="94"/>
      <c r="AA1037" s="94"/>
      <c r="AB1037" s="94"/>
      <c r="AC1037" s="94"/>
      <c r="AD1037" s="94"/>
      <c r="AE1037" s="94"/>
    </row>
    <row r="1038">
      <c r="A1038" s="87"/>
      <c r="B1038" s="37"/>
      <c r="C1038" s="37"/>
      <c r="D1038" s="162"/>
      <c r="E1038" s="89"/>
      <c r="F1038" s="72"/>
      <c r="G1038" s="111"/>
      <c r="H1038" s="111"/>
      <c r="I1038" s="111"/>
      <c r="J1038" s="111"/>
      <c r="K1038" s="111"/>
      <c r="L1038" s="111"/>
      <c r="M1038" s="94"/>
      <c r="N1038" s="94"/>
      <c r="O1038" s="94"/>
      <c r="P1038" s="94"/>
      <c r="Q1038" s="94"/>
      <c r="R1038" s="94"/>
      <c r="S1038" s="94"/>
      <c r="T1038" s="94"/>
      <c r="U1038" s="94"/>
      <c r="V1038" s="94"/>
      <c r="W1038" s="94"/>
      <c r="X1038" s="94"/>
      <c r="Y1038" s="94"/>
      <c r="Z1038" s="94"/>
      <c r="AA1038" s="94"/>
      <c r="AB1038" s="94"/>
      <c r="AC1038" s="94"/>
      <c r="AD1038" s="94"/>
      <c r="AE1038" s="94"/>
    </row>
    <row r="1039">
      <c r="A1039" s="87"/>
      <c r="B1039" s="37"/>
      <c r="C1039" s="37"/>
      <c r="D1039" s="162"/>
      <c r="E1039" s="89"/>
      <c r="F1039" s="72"/>
      <c r="G1039" s="111"/>
      <c r="H1039" s="111"/>
      <c r="I1039" s="111"/>
      <c r="J1039" s="111"/>
      <c r="K1039" s="111"/>
      <c r="L1039" s="111"/>
      <c r="M1039" s="94"/>
      <c r="N1039" s="94"/>
      <c r="O1039" s="94"/>
      <c r="P1039" s="94"/>
      <c r="Q1039" s="94"/>
      <c r="R1039" s="94"/>
      <c r="S1039" s="94"/>
      <c r="T1039" s="94"/>
      <c r="U1039" s="94"/>
      <c r="V1039" s="94"/>
      <c r="W1039" s="94"/>
      <c r="X1039" s="94"/>
      <c r="Y1039" s="94"/>
      <c r="Z1039" s="94"/>
      <c r="AA1039" s="94"/>
      <c r="AB1039" s="94"/>
      <c r="AC1039" s="94"/>
      <c r="AD1039" s="94"/>
      <c r="AE1039" s="94"/>
    </row>
    <row r="1040">
      <c r="A1040" s="87"/>
      <c r="B1040" s="37"/>
      <c r="C1040" s="37"/>
      <c r="D1040" s="162"/>
      <c r="E1040" s="89"/>
      <c r="F1040" s="72"/>
      <c r="G1040" s="111"/>
      <c r="H1040" s="111"/>
      <c r="I1040" s="111"/>
      <c r="J1040" s="111"/>
      <c r="K1040" s="111"/>
      <c r="L1040" s="111"/>
      <c r="M1040" s="94"/>
      <c r="N1040" s="94"/>
      <c r="O1040" s="94"/>
      <c r="P1040" s="94"/>
      <c r="Q1040" s="94"/>
      <c r="R1040" s="94"/>
      <c r="S1040" s="94"/>
      <c r="T1040" s="94"/>
      <c r="U1040" s="94"/>
      <c r="V1040" s="94"/>
      <c r="W1040" s="94"/>
      <c r="X1040" s="94"/>
      <c r="Y1040" s="94"/>
      <c r="Z1040" s="94"/>
      <c r="AA1040" s="94"/>
      <c r="AB1040" s="94"/>
      <c r="AC1040" s="94"/>
      <c r="AD1040" s="94"/>
      <c r="AE1040" s="94"/>
    </row>
    <row r="1041">
      <c r="A1041" s="87"/>
      <c r="B1041" s="37"/>
      <c r="C1041" s="37"/>
      <c r="D1041" s="162"/>
      <c r="E1041" s="89"/>
      <c r="F1041" s="72"/>
      <c r="G1041" s="111"/>
      <c r="H1041" s="111"/>
      <c r="I1041" s="111"/>
      <c r="J1041" s="111"/>
      <c r="K1041" s="111"/>
      <c r="L1041" s="111"/>
      <c r="M1041" s="94"/>
      <c r="N1041" s="94"/>
      <c r="O1041" s="94"/>
      <c r="P1041" s="94"/>
      <c r="Q1041" s="94"/>
      <c r="R1041" s="94"/>
      <c r="S1041" s="94"/>
      <c r="T1041" s="94"/>
      <c r="U1041" s="94"/>
      <c r="V1041" s="94"/>
      <c r="W1041" s="94"/>
      <c r="X1041" s="94"/>
      <c r="Y1041" s="94"/>
      <c r="Z1041" s="94"/>
      <c r="AA1041" s="94"/>
      <c r="AB1041" s="94"/>
      <c r="AC1041" s="94"/>
      <c r="AD1041" s="94"/>
      <c r="AE1041" s="94"/>
    </row>
    <row r="1042">
      <c r="A1042" s="87"/>
      <c r="B1042" s="37"/>
      <c r="C1042" s="37"/>
      <c r="D1042" s="162"/>
      <c r="E1042" s="89"/>
      <c r="F1042" s="72"/>
      <c r="G1042" s="111"/>
      <c r="H1042" s="111"/>
      <c r="I1042" s="111"/>
      <c r="J1042" s="111"/>
      <c r="K1042" s="111"/>
      <c r="L1042" s="111"/>
      <c r="M1042" s="94"/>
      <c r="N1042" s="94"/>
      <c r="O1042" s="94"/>
      <c r="P1042" s="94"/>
      <c r="Q1042" s="94"/>
      <c r="R1042" s="94"/>
      <c r="S1042" s="94"/>
      <c r="T1042" s="94"/>
      <c r="U1042" s="94"/>
      <c r="V1042" s="94"/>
      <c r="W1042" s="94"/>
      <c r="X1042" s="94"/>
      <c r="Y1042" s="94"/>
      <c r="Z1042" s="94"/>
      <c r="AA1042" s="94"/>
      <c r="AB1042" s="94"/>
      <c r="AC1042" s="94"/>
      <c r="AD1042" s="94"/>
      <c r="AE1042" s="94"/>
    </row>
    <row r="1043">
      <c r="A1043" s="87"/>
      <c r="B1043" s="37"/>
      <c r="C1043" s="37"/>
      <c r="D1043" s="162"/>
      <c r="E1043" s="89"/>
      <c r="F1043" s="72"/>
      <c r="G1043" s="111"/>
      <c r="H1043" s="111"/>
      <c r="I1043" s="111"/>
      <c r="J1043" s="111"/>
      <c r="K1043" s="111"/>
      <c r="L1043" s="111"/>
      <c r="M1043" s="94"/>
      <c r="N1043" s="94"/>
      <c r="O1043" s="94"/>
      <c r="P1043" s="94"/>
      <c r="Q1043" s="94"/>
      <c r="R1043" s="94"/>
      <c r="S1043" s="94"/>
      <c r="T1043" s="94"/>
      <c r="U1043" s="94"/>
      <c r="V1043" s="94"/>
      <c r="W1043" s="94"/>
      <c r="X1043" s="94"/>
      <c r="Y1043" s="94"/>
      <c r="Z1043" s="94"/>
      <c r="AA1043" s="94"/>
      <c r="AB1043" s="94"/>
      <c r="AC1043" s="94"/>
      <c r="AD1043" s="94"/>
      <c r="AE1043" s="94"/>
    </row>
    <row r="1044">
      <c r="A1044" s="87"/>
      <c r="B1044" s="37"/>
      <c r="C1044" s="37"/>
      <c r="D1044" s="162"/>
      <c r="E1044" s="89"/>
      <c r="F1044" s="72"/>
      <c r="G1044" s="111"/>
      <c r="H1044" s="111"/>
      <c r="I1044" s="111"/>
      <c r="J1044" s="111"/>
      <c r="K1044" s="111"/>
      <c r="L1044" s="111"/>
      <c r="M1044" s="94"/>
      <c r="N1044" s="94"/>
      <c r="O1044" s="94"/>
      <c r="P1044" s="94"/>
      <c r="Q1044" s="94"/>
      <c r="R1044" s="94"/>
      <c r="S1044" s="94"/>
      <c r="T1044" s="94"/>
      <c r="U1044" s="94"/>
      <c r="V1044" s="94"/>
      <c r="W1044" s="94"/>
      <c r="X1044" s="94"/>
      <c r="Y1044" s="94"/>
      <c r="Z1044" s="94"/>
      <c r="AA1044" s="94"/>
      <c r="AB1044" s="94"/>
      <c r="AC1044" s="94"/>
      <c r="AD1044" s="94"/>
      <c r="AE1044" s="94"/>
    </row>
    <row r="1045">
      <c r="A1045" s="87"/>
      <c r="B1045" s="37"/>
      <c r="C1045" s="37"/>
      <c r="D1045" s="162"/>
      <c r="E1045" s="89"/>
      <c r="F1045" s="72"/>
      <c r="G1045" s="111"/>
      <c r="H1045" s="111"/>
      <c r="I1045" s="111"/>
      <c r="J1045" s="111"/>
      <c r="K1045" s="111"/>
      <c r="L1045" s="111"/>
      <c r="M1045" s="94"/>
      <c r="N1045" s="94"/>
      <c r="O1045" s="94"/>
      <c r="P1045" s="94"/>
      <c r="Q1045" s="94"/>
      <c r="R1045" s="94"/>
      <c r="S1045" s="94"/>
      <c r="T1045" s="94"/>
      <c r="U1045" s="94"/>
      <c r="V1045" s="94"/>
      <c r="W1045" s="94"/>
      <c r="X1045" s="94"/>
      <c r="Y1045" s="94"/>
      <c r="Z1045" s="94"/>
      <c r="AA1045" s="94"/>
      <c r="AB1045" s="94"/>
      <c r="AC1045" s="94"/>
      <c r="AD1045" s="94"/>
      <c r="AE1045" s="94"/>
    </row>
    <row r="1046">
      <c r="A1046" s="87"/>
      <c r="B1046" s="37"/>
      <c r="C1046" s="37"/>
      <c r="D1046" s="162"/>
      <c r="E1046" s="89"/>
      <c r="F1046" s="72"/>
      <c r="G1046" s="111"/>
      <c r="H1046" s="111"/>
      <c r="I1046" s="111"/>
      <c r="J1046" s="111"/>
      <c r="K1046" s="111"/>
      <c r="L1046" s="111"/>
      <c r="M1046" s="94"/>
      <c r="N1046" s="94"/>
      <c r="O1046" s="94"/>
      <c r="P1046" s="94"/>
      <c r="Q1046" s="94"/>
      <c r="R1046" s="94"/>
      <c r="S1046" s="94"/>
      <c r="T1046" s="94"/>
      <c r="U1046" s="94"/>
      <c r="V1046" s="94"/>
      <c r="W1046" s="94"/>
      <c r="X1046" s="94"/>
      <c r="Y1046" s="94"/>
      <c r="Z1046" s="94"/>
      <c r="AA1046" s="94"/>
      <c r="AB1046" s="94"/>
      <c r="AC1046" s="94"/>
      <c r="AD1046" s="94"/>
      <c r="AE1046" s="94"/>
    </row>
    <row r="1047">
      <c r="A1047" s="87"/>
      <c r="B1047" s="37"/>
      <c r="C1047" s="37"/>
      <c r="D1047" s="162"/>
      <c r="E1047" s="89"/>
      <c r="F1047" s="72"/>
      <c r="G1047" s="111"/>
      <c r="H1047" s="111"/>
      <c r="I1047" s="111"/>
      <c r="J1047" s="111"/>
      <c r="K1047" s="111"/>
      <c r="L1047" s="111"/>
      <c r="M1047" s="94"/>
      <c r="N1047" s="94"/>
      <c r="O1047" s="94"/>
      <c r="P1047" s="94"/>
      <c r="Q1047" s="94"/>
      <c r="R1047" s="94"/>
      <c r="S1047" s="94"/>
      <c r="T1047" s="94"/>
      <c r="U1047" s="94"/>
      <c r="V1047" s="94"/>
      <c r="W1047" s="94"/>
      <c r="X1047" s="94"/>
      <c r="Y1047" s="94"/>
      <c r="Z1047" s="94"/>
      <c r="AA1047" s="94"/>
      <c r="AB1047" s="94"/>
      <c r="AC1047" s="94"/>
      <c r="AD1047" s="94"/>
      <c r="AE1047" s="94"/>
    </row>
    <row r="1048">
      <c r="A1048" s="87"/>
      <c r="B1048" s="37"/>
      <c r="C1048" s="37"/>
      <c r="D1048" s="162"/>
      <c r="E1048" s="89"/>
      <c r="F1048" s="72"/>
      <c r="G1048" s="111"/>
      <c r="H1048" s="111"/>
      <c r="I1048" s="111"/>
      <c r="J1048" s="111"/>
      <c r="K1048" s="111"/>
      <c r="L1048" s="111"/>
      <c r="M1048" s="94"/>
      <c r="N1048" s="94"/>
      <c r="O1048" s="94"/>
      <c r="P1048" s="94"/>
      <c r="Q1048" s="94"/>
      <c r="R1048" s="94"/>
      <c r="S1048" s="94"/>
      <c r="T1048" s="94"/>
      <c r="U1048" s="94"/>
      <c r="V1048" s="94"/>
      <c r="W1048" s="94"/>
      <c r="X1048" s="94"/>
      <c r="Y1048" s="94"/>
      <c r="Z1048" s="94"/>
      <c r="AA1048" s="94"/>
      <c r="AB1048" s="94"/>
      <c r="AC1048" s="94"/>
      <c r="AD1048" s="94"/>
      <c r="AE1048" s="94"/>
    </row>
    <row r="1049">
      <c r="A1049" s="87"/>
      <c r="B1049" s="37"/>
      <c r="C1049" s="37"/>
      <c r="D1049" s="162"/>
      <c r="E1049" s="89"/>
      <c r="F1049" s="72"/>
      <c r="G1049" s="111"/>
      <c r="H1049" s="111"/>
      <c r="I1049" s="111"/>
      <c r="J1049" s="111"/>
      <c r="K1049" s="111"/>
      <c r="L1049" s="111"/>
      <c r="M1049" s="94"/>
      <c r="N1049" s="94"/>
      <c r="O1049" s="94"/>
      <c r="P1049" s="94"/>
      <c r="Q1049" s="94"/>
      <c r="R1049" s="94"/>
      <c r="S1049" s="94"/>
      <c r="T1049" s="94"/>
      <c r="U1049" s="94"/>
      <c r="V1049" s="94"/>
      <c r="W1049" s="94"/>
      <c r="X1049" s="94"/>
      <c r="Y1049" s="94"/>
      <c r="Z1049" s="94"/>
      <c r="AA1049" s="94"/>
      <c r="AB1049" s="94"/>
      <c r="AC1049" s="94"/>
      <c r="AD1049" s="94"/>
      <c r="AE1049" s="94"/>
    </row>
    <row r="1050">
      <c r="A1050" s="87"/>
      <c r="B1050" s="37"/>
      <c r="C1050" s="37"/>
      <c r="D1050" s="162"/>
      <c r="E1050" s="89"/>
      <c r="F1050" s="72"/>
      <c r="G1050" s="111"/>
      <c r="H1050" s="111"/>
      <c r="I1050" s="111"/>
      <c r="J1050" s="111"/>
      <c r="K1050" s="111"/>
      <c r="L1050" s="111"/>
      <c r="M1050" s="94"/>
      <c r="N1050" s="94"/>
      <c r="O1050" s="94"/>
      <c r="P1050" s="94"/>
      <c r="Q1050" s="94"/>
      <c r="R1050" s="94"/>
      <c r="S1050" s="94"/>
      <c r="T1050" s="94"/>
      <c r="U1050" s="94"/>
      <c r="V1050" s="94"/>
      <c r="W1050" s="94"/>
      <c r="X1050" s="94"/>
      <c r="Y1050" s="94"/>
      <c r="Z1050" s="94"/>
      <c r="AA1050" s="94"/>
      <c r="AB1050" s="94"/>
      <c r="AC1050" s="94"/>
      <c r="AD1050" s="94"/>
      <c r="AE1050" s="94"/>
    </row>
    <row r="1051">
      <c r="A1051" s="87"/>
      <c r="B1051" s="37"/>
      <c r="C1051" s="37"/>
      <c r="D1051" s="162"/>
      <c r="E1051" s="89"/>
      <c r="F1051" s="72"/>
      <c r="G1051" s="111"/>
      <c r="H1051" s="111"/>
      <c r="I1051" s="111"/>
      <c r="J1051" s="111"/>
      <c r="K1051" s="111"/>
      <c r="L1051" s="111"/>
      <c r="M1051" s="94"/>
      <c r="N1051" s="94"/>
      <c r="O1051" s="94"/>
      <c r="P1051" s="94"/>
      <c r="Q1051" s="94"/>
      <c r="R1051" s="94"/>
      <c r="S1051" s="94"/>
      <c r="T1051" s="94"/>
      <c r="U1051" s="94"/>
      <c r="V1051" s="94"/>
      <c r="W1051" s="94"/>
      <c r="X1051" s="94"/>
      <c r="Y1051" s="94"/>
      <c r="Z1051" s="94"/>
      <c r="AA1051" s="94"/>
      <c r="AB1051" s="94"/>
      <c r="AC1051" s="94"/>
      <c r="AD1051" s="94"/>
      <c r="AE1051" s="94"/>
    </row>
    <row r="1052">
      <c r="A1052" s="87"/>
      <c r="B1052" s="37"/>
      <c r="C1052" s="37"/>
      <c r="D1052" s="162"/>
      <c r="E1052" s="89"/>
      <c r="F1052" s="72"/>
      <c r="G1052" s="111"/>
      <c r="H1052" s="111"/>
      <c r="I1052" s="111"/>
      <c r="J1052" s="111"/>
      <c r="K1052" s="111"/>
      <c r="L1052" s="111"/>
      <c r="M1052" s="94"/>
      <c r="N1052" s="94"/>
      <c r="O1052" s="94"/>
      <c r="P1052" s="94"/>
      <c r="Q1052" s="94"/>
      <c r="R1052" s="94"/>
      <c r="S1052" s="94"/>
      <c r="T1052" s="94"/>
      <c r="U1052" s="94"/>
      <c r="V1052" s="94"/>
      <c r="W1052" s="94"/>
      <c r="X1052" s="94"/>
      <c r="Y1052" s="94"/>
      <c r="Z1052" s="94"/>
      <c r="AA1052" s="94"/>
      <c r="AB1052" s="94"/>
      <c r="AC1052" s="94"/>
      <c r="AD1052" s="94"/>
      <c r="AE1052" s="94"/>
    </row>
    <row r="1053">
      <c r="A1053" s="87"/>
      <c r="B1053" s="37"/>
      <c r="C1053" s="37"/>
      <c r="D1053" s="162"/>
      <c r="E1053" s="89"/>
      <c r="F1053" s="72"/>
      <c r="G1053" s="111"/>
      <c r="H1053" s="111"/>
      <c r="I1053" s="111"/>
      <c r="J1053" s="111"/>
      <c r="K1053" s="111"/>
      <c r="L1053" s="111"/>
      <c r="M1053" s="94"/>
      <c r="N1053" s="94"/>
      <c r="O1053" s="94"/>
      <c r="P1053" s="94"/>
      <c r="Q1053" s="94"/>
      <c r="R1053" s="94"/>
      <c r="S1053" s="94"/>
      <c r="T1053" s="94"/>
      <c r="U1053" s="94"/>
      <c r="V1053" s="94"/>
      <c r="W1053" s="94"/>
      <c r="X1053" s="94"/>
      <c r="Y1053" s="94"/>
      <c r="Z1053" s="94"/>
      <c r="AA1053" s="94"/>
      <c r="AB1053" s="94"/>
      <c r="AC1053" s="94"/>
      <c r="AD1053" s="94"/>
      <c r="AE1053" s="94"/>
    </row>
    <row r="1054">
      <c r="A1054" s="87"/>
      <c r="B1054" s="37"/>
      <c r="C1054" s="37"/>
      <c r="D1054" s="162"/>
      <c r="E1054" s="89"/>
      <c r="F1054" s="72"/>
      <c r="G1054" s="111"/>
      <c r="H1054" s="111"/>
      <c r="I1054" s="111"/>
      <c r="J1054" s="111"/>
      <c r="K1054" s="111"/>
      <c r="L1054" s="111"/>
      <c r="M1054" s="94"/>
      <c r="N1054" s="94"/>
      <c r="O1054" s="94"/>
      <c r="P1054" s="94"/>
      <c r="Q1054" s="94"/>
      <c r="R1054" s="94"/>
      <c r="S1054" s="94"/>
      <c r="T1054" s="94"/>
      <c r="U1054" s="94"/>
      <c r="V1054" s="94"/>
      <c r="W1054" s="94"/>
      <c r="X1054" s="94"/>
      <c r="Y1054" s="94"/>
      <c r="Z1054" s="94"/>
      <c r="AA1054" s="94"/>
      <c r="AB1054" s="94"/>
      <c r="AC1054" s="94"/>
      <c r="AD1054" s="94"/>
      <c r="AE1054" s="94"/>
    </row>
    <row r="1055">
      <c r="A1055" s="87"/>
      <c r="B1055" s="37"/>
      <c r="C1055" s="37"/>
      <c r="D1055" s="162"/>
      <c r="E1055" s="89"/>
      <c r="F1055" s="72"/>
      <c r="G1055" s="111"/>
      <c r="H1055" s="111"/>
      <c r="I1055" s="111"/>
      <c r="J1055" s="111"/>
      <c r="K1055" s="111"/>
      <c r="L1055" s="111"/>
      <c r="M1055" s="94"/>
      <c r="N1055" s="94"/>
      <c r="O1055" s="94"/>
      <c r="P1055" s="94"/>
      <c r="Q1055" s="94"/>
      <c r="R1055" s="94"/>
      <c r="S1055" s="94"/>
      <c r="T1055" s="94"/>
      <c r="U1055" s="94"/>
      <c r="V1055" s="94"/>
      <c r="W1055" s="94"/>
      <c r="X1055" s="94"/>
      <c r="Y1055" s="94"/>
      <c r="Z1055" s="94"/>
      <c r="AA1055" s="94"/>
      <c r="AB1055" s="94"/>
      <c r="AC1055" s="94"/>
      <c r="AD1055" s="94"/>
      <c r="AE1055" s="94"/>
    </row>
    <row r="1056">
      <c r="A1056" s="87"/>
      <c r="B1056" s="37"/>
      <c r="C1056" s="37"/>
      <c r="D1056" s="162"/>
      <c r="E1056" s="89"/>
      <c r="F1056" s="72"/>
      <c r="G1056" s="111"/>
      <c r="H1056" s="111"/>
      <c r="I1056" s="111"/>
      <c r="J1056" s="111"/>
      <c r="K1056" s="111"/>
      <c r="L1056" s="111"/>
      <c r="M1056" s="94"/>
      <c r="N1056" s="94"/>
      <c r="O1056" s="94"/>
      <c r="P1056" s="94"/>
      <c r="Q1056" s="94"/>
      <c r="R1056" s="94"/>
      <c r="S1056" s="94"/>
      <c r="T1056" s="94"/>
      <c r="U1056" s="94"/>
      <c r="V1056" s="94"/>
      <c r="W1056" s="94"/>
      <c r="X1056" s="94"/>
      <c r="Y1056" s="94"/>
      <c r="Z1056" s="94"/>
      <c r="AA1056" s="94"/>
      <c r="AB1056" s="94"/>
      <c r="AC1056" s="94"/>
      <c r="AD1056" s="94"/>
      <c r="AE1056" s="94"/>
    </row>
    <row r="1057">
      <c r="A1057" s="87"/>
      <c r="B1057" s="37"/>
      <c r="C1057" s="37"/>
      <c r="D1057" s="162"/>
      <c r="E1057" s="89"/>
      <c r="F1057" s="72"/>
      <c r="G1057" s="111"/>
      <c r="H1057" s="111"/>
      <c r="I1057" s="111"/>
      <c r="J1057" s="111"/>
      <c r="K1057" s="111"/>
      <c r="L1057" s="111"/>
      <c r="M1057" s="94"/>
      <c r="N1057" s="94"/>
      <c r="O1057" s="94"/>
      <c r="P1057" s="94"/>
      <c r="Q1057" s="94"/>
      <c r="R1057" s="94"/>
      <c r="S1057" s="94"/>
      <c r="T1057" s="94"/>
      <c r="U1057" s="94"/>
      <c r="V1057" s="94"/>
      <c r="W1057" s="94"/>
      <c r="X1057" s="94"/>
      <c r="Y1057" s="94"/>
      <c r="Z1057" s="94"/>
      <c r="AA1057" s="94"/>
      <c r="AB1057" s="94"/>
      <c r="AC1057" s="94"/>
      <c r="AD1057" s="94"/>
      <c r="AE1057" s="94"/>
    </row>
    <row r="1058">
      <c r="A1058" s="87"/>
      <c r="B1058" s="37"/>
      <c r="C1058" s="37"/>
      <c r="D1058" s="162"/>
      <c r="E1058" s="89"/>
      <c r="F1058" s="72"/>
      <c r="G1058" s="111"/>
      <c r="H1058" s="111"/>
      <c r="I1058" s="111"/>
      <c r="J1058" s="111"/>
      <c r="K1058" s="111"/>
      <c r="L1058" s="111"/>
      <c r="M1058" s="94"/>
      <c r="N1058" s="94"/>
      <c r="O1058" s="94"/>
      <c r="P1058" s="94"/>
      <c r="Q1058" s="94"/>
      <c r="R1058" s="94"/>
      <c r="S1058" s="94"/>
      <c r="T1058" s="94"/>
      <c r="U1058" s="94"/>
      <c r="V1058" s="94"/>
      <c r="W1058" s="94"/>
      <c r="X1058" s="94"/>
      <c r="Y1058" s="94"/>
      <c r="Z1058" s="94"/>
      <c r="AA1058" s="94"/>
      <c r="AB1058" s="94"/>
      <c r="AC1058" s="94"/>
      <c r="AD1058" s="94"/>
      <c r="AE1058" s="94"/>
    </row>
    <row r="1059">
      <c r="A1059" s="87"/>
      <c r="B1059" s="37"/>
      <c r="C1059" s="37"/>
      <c r="D1059" s="162"/>
      <c r="E1059" s="89"/>
      <c r="F1059" s="72"/>
      <c r="G1059" s="111"/>
      <c r="H1059" s="111"/>
      <c r="I1059" s="111"/>
      <c r="J1059" s="111"/>
      <c r="K1059" s="111"/>
      <c r="L1059" s="111"/>
      <c r="M1059" s="94"/>
      <c r="N1059" s="94"/>
      <c r="O1059" s="94"/>
      <c r="P1059" s="94"/>
      <c r="Q1059" s="94"/>
      <c r="R1059" s="94"/>
      <c r="S1059" s="94"/>
      <c r="T1059" s="94"/>
      <c r="U1059" s="94"/>
      <c r="V1059" s="94"/>
      <c r="W1059" s="94"/>
      <c r="X1059" s="94"/>
      <c r="Y1059" s="94"/>
      <c r="Z1059" s="94"/>
      <c r="AA1059" s="94"/>
      <c r="AB1059" s="94"/>
      <c r="AC1059" s="94"/>
      <c r="AD1059" s="94"/>
      <c r="AE1059" s="94"/>
    </row>
    <row r="1060">
      <c r="A1060" s="87"/>
      <c r="B1060" s="37"/>
      <c r="C1060" s="37"/>
      <c r="D1060" s="162"/>
      <c r="E1060" s="89"/>
      <c r="F1060" s="72"/>
      <c r="G1060" s="111"/>
      <c r="H1060" s="111"/>
      <c r="I1060" s="111"/>
      <c r="J1060" s="111"/>
      <c r="K1060" s="111"/>
      <c r="L1060" s="111"/>
      <c r="M1060" s="94"/>
      <c r="N1060" s="94"/>
      <c r="O1060" s="94"/>
      <c r="P1060" s="94"/>
      <c r="Q1060" s="94"/>
      <c r="R1060" s="94"/>
      <c r="S1060" s="94"/>
      <c r="T1060" s="94"/>
      <c r="U1060" s="94"/>
      <c r="V1060" s="94"/>
      <c r="W1060" s="94"/>
      <c r="X1060" s="94"/>
      <c r="Y1060" s="94"/>
      <c r="Z1060" s="94"/>
      <c r="AA1060" s="94"/>
      <c r="AB1060" s="94"/>
      <c r="AC1060" s="94"/>
      <c r="AD1060" s="94"/>
      <c r="AE1060" s="94"/>
    </row>
    <row r="1061">
      <c r="A1061" s="87"/>
      <c r="B1061" s="37"/>
      <c r="C1061" s="37"/>
      <c r="D1061" s="162"/>
      <c r="E1061" s="89"/>
      <c r="F1061" s="72"/>
      <c r="G1061" s="111"/>
      <c r="H1061" s="111"/>
      <c r="I1061" s="111"/>
      <c r="J1061" s="111"/>
      <c r="K1061" s="111"/>
      <c r="L1061" s="111"/>
      <c r="M1061" s="94"/>
      <c r="N1061" s="94"/>
      <c r="O1061" s="94"/>
      <c r="P1061" s="94"/>
      <c r="Q1061" s="94"/>
      <c r="R1061" s="94"/>
      <c r="S1061" s="94"/>
      <c r="T1061" s="94"/>
      <c r="U1061" s="94"/>
      <c r="V1061" s="94"/>
      <c r="W1061" s="94"/>
      <c r="X1061" s="94"/>
      <c r="Y1061" s="94"/>
      <c r="Z1061" s="94"/>
      <c r="AA1061" s="94"/>
      <c r="AB1061" s="94"/>
      <c r="AC1061" s="94"/>
      <c r="AD1061" s="94"/>
      <c r="AE1061" s="94"/>
    </row>
    <row r="1062">
      <c r="A1062" s="87"/>
      <c r="B1062" s="37"/>
      <c r="C1062" s="37"/>
      <c r="D1062" s="162"/>
      <c r="E1062" s="89"/>
      <c r="F1062" s="72"/>
      <c r="G1062" s="111"/>
      <c r="H1062" s="111"/>
      <c r="I1062" s="111"/>
      <c r="J1062" s="111"/>
      <c r="K1062" s="111"/>
      <c r="L1062" s="111"/>
      <c r="M1062" s="94"/>
      <c r="N1062" s="94"/>
      <c r="O1062" s="94"/>
      <c r="P1062" s="94"/>
      <c r="Q1062" s="94"/>
      <c r="R1062" s="94"/>
      <c r="S1062" s="94"/>
      <c r="T1062" s="94"/>
      <c r="U1062" s="94"/>
      <c r="V1062" s="94"/>
      <c r="W1062" s="94"/>
      <c r="X1062" s="94"/>
      <c r="Y1062" s="94"/>
      <c r="Z1062" s="94"/>
      <c r="AA1062" s="94"/>
      <c r="AB1062" s="94"/>
      <c r="AC1062" s="94"/>
      <c r="AD1062" s="94"/>
      <c r="AE1062" s="94"/>
    </row>
    <row r="1063">
      <c r="A1063" s="87"/>
      <c r="B1063" s="37"/>
      <c r="C1063" s="37"/>
      <c r="D1063" s="162"/>
      <c r="E1063" s="89"/>
      <c r="F1063" s="72"/>
      <c r="G1063" s="111"/>
      <c r="H1063" s="111"/>
      <c r="I1063" s="111"/>
      <c r="J1063" s="111"/>
      <c r="K1063" s="111"/>
      <c r="L1063" s="111"/>
      <c r="M1063" s="94"/>
      <c r="N1063" s="94"/>
      <c r="O1063" s="94"/>
      <c r="P1063" s="94"/>
      <c r="Q1063" s="94"/>
      <c r="R1063" s="94"/>
      <c r="S1063" s="94"/>
      <c r="T1063" s="94"/>
      <c r="U1063" s="94"/>
      <c r="V1063" s="94"/>
      <c r="W1063" s="94"/>
      <c r="X1063" s="94"/>
      <c r="Y1063" s="94"/>
      <c r="Z1063" s="94"/>
      <c r="AA1063" s="94"/>
      <c r="AB1063" s="94"/>
      <c r="AC1063" s="94"/>
      <c r="AD1063" s="94"/>
      <c r="AE1063" s="94"/>
    </row>
    <row r="1064">
      <c r="A1064" s="87"/>
      <c r="B1064" s="37"/>
      <c r="C1064" s="37"/>
      <c r="D1064" s="162"/>
      <c r="E1064" s="89"/>
      <c r="F1064" s="72"/>
      <c r="G1064" s="111"/>
      <c r="H1064" s="111"/>
      <c r="I1064" s="111"/>
      <c r="J1064" s="111"/>
      <c r="K1064" s="111"/>
      <c r="L1064" s="111"/>
      <c r="M1064" s="94"/>
      <c r="N1064" s="94"/>
      <c r="O1064" s="94"/>
      <c r="P1064" s="94"/>
      <c r="Q1064" s="94"/>
      <c r="R1064" s="94"/>
      <c r="S1064" s="94"/>
      <c r="T1064" s="94"/>
      <c r="U1064" s="94"/>
      <c r="V1064" s="94"/>
      <c r="W1064" s="94"/>
      <c r="X1064" s="94"/>
      <c r="Y1064" s="94"/>
      <c r="Z1064" s="94"/>
      <c r="AA1064" s="94"/>
      <c r="AB1064" s="94"/>
      <c r="AC1064" s="94"/>
      <c r="AD1064" s="94"/>
      <c r="AE1064" s="94"/>
    </row>
    <row r="1065">
      <c r="A1065" s="87"/>
      <c r="B1065" s="37"/>
      <c r="C1065" s="37"/>
      <c r="D1065" s="162"/>
      <c r="E1065" s="89"/>
      <c r="F1065" s="72"/>
      <c r="G1065" s="111"/>
      <c r="H1065" s="111"/>
      <c r="I1065" s="111"/>
      <c r="J1065" s="111"/>
      <c r="K1065" s="111"/>
      <c r="L1065" s="111"/>
      <c r="M1065" s="94"/>
      <c r="N1065" s="94"/>
      <c r="O1065" s="94"/>
      <c r="P1065" s="94"/>
      <c r="Q1065" s="94"/>
      <c r="R1065" s="94"/>
      <c r="S1065" s="94"/>
      <c r="T1065" s="94"/>
      <c r="U1065" s="94"/>
      <c r="V1065" s="94"/>
      <c r="W1065" s="94"/>
      <c r="X1065" s="94"/>
      <c r="Y1065" s="94"/>
      <c r="Z1065" s="94"/>
      <c r="AA1065" s="94"/>
      <c r="AB1065" s="94"/>
      <c r="AC1065" s="94"/>
      <c r="AD1065" s="94"/>
      <c r="AE1065" s="94"/>
    </row>
    <row r="1066">
      <c r="A1066" s="87"/>
      <c r="B1066" s="37"/>
      <c r="C1066" s="37"/>
      <c r="D1066" s="162"/>
      <c r="E1066" s="89"/>
      <c r="F1066" s="72"/>
      <c r="G1066" s="111"/>
      <c r="H1066" s="111"/>
      <c r="I1066" s="111"/>
      <c r="J1066" s="111"/>
      <c r="K1066" s="111"/>
      <c r="L1066" s="111"/>
      <c r="M1066" s="94"/>
      <c r="N1066" s="94"/>
      <c r="O1066" s="94"/>
      <c r="P1066" s="94"/>
      <c r="Q1066" s="94"/>
      <c r="R1066" s="94"/>
      <c r="S1066" s="94"/>
      <c r="T1066" s="94"/>
      <c r="U1066" s="94"/>
      <c r="V1066" s="94"/>
      <c r="W1066" s="94"/>
      <c r="X1066" s="94"/>
      <c r="Y1066" s="94"/>
      <c r="Z1066" s="94"/>
      <c r="AA1066" s="94"/>
      <c r="AB1066" s="94"/>
      <c r="AC1066" s="94"/>
      <c r="AD1066" s="94"/>
      <c r="AE1066" s="94"/>
    </row>
    <row r="1067">
      <c r="A1067" s="87"/>
      <c r="B1067" s="37"/>
      <c r="C1067" s="37"/>
      <c r="D1067" s="162"/>
      <c r="E1067" s="89"/>
      <c r="F1067" s="72"/>
      <c r="G1067" s="111"/>
      <c r="H1067" s="111"/>
      <c r="I1067" s="111"/>
      <c r="J1067" s="111"/>
      <c r="K1067" s="111"/>
      <c r="L1067" s="111"/>
      <c r="M1067" s="94"/>
      <c r="N1067" s="94"/>
      <c r="O1067" s="94"/>
      <c r="P1067" s="94"/>
      <c r="Q1067" s="94"/>
      <c r="R1067" s="94"/>
      <c r="S1067" s="94"/>
      <c r="T1067" s="94"/>
      <c r="U1067" s="94"/>
      <c r="V1067" s="94"/>
      <c r="W1067" s="94"/>
      <c r="X1067" s="94"/>
      <c r="Y1067" s="94"/>
      <c r="Z1067" s="94"/>
      <c r="AA1067" s="94"/>
      <c r="AB1067" s="94"/>
      <c r="AC1067" s="94"/>
      <c r="AD1067" s="94"/>
      <c r="AE1067" s="94"/>
    </row>
    <row r="1068">
      <c r="A1068" s="87"/>
      <c r="B1068" s="37"/>
      <c r="C1068" s="37"/>
      <c r="D1068" s="162"/>
      <c r="E1068" s="89"/>
      <c r="F1068" s="72"/>
      <c r="G1068" s="111"/>
      <c r="H1068" s="111"/>
      <c r="I1068" s="111"/>
      <c r="J1068" s="111"/>
      <c r="K1068" s="111"/>
      <c r="L1068" s="111"/>
      <c r="M1068" s="94"/>
      <c r="N1068" s="94"/>
      <c r="O1068" s="94"/>
      <c r="P1068" s="94"/>
      <c r="Q1068" s="94"/>
      <c r="R1068" s="94"/>
      <c r="S1068" s="94"/>
      <c r="T1068" s="94"/>
      <c r="U1068" s="94"/>
      <c r="V1068" s="94"/>
      <c r="W1068" s="94"/>
      <c r="X1068" s="94"/>
      <c r="Y1068" s="94"/>
      <c r="Z1068" s="94"/>
      <c r="AA1068" s="94"/>
      <c r="AB1068" s="94"/>
      <c r="AC1068" s="94"/>
      <c r="AD1068" s="94"/>
      <c r="AE1068" s="94"/>
    </row>
    <row r="1069">
      <c r="A1069" s="87"/>
      <c r="B1069" s="37"/>
      <c r="C1069" s="37"/>
      <c r="D1069" s="162"/>
      <c r="E1069" s="89"/>
      <c r="F1069" s="72"/>
      <c r="G1069" s="111"/>
      <c r="H1069" s="111"/>
      <c r="I1069" s="111"/>
      <c r="J1069" s="111"/>
      <c r="K1069" s="111"/>
      <c r="L1069" s="111"/>
      <c r="M1069" s="94"/>
      <c r="N1069" s="94"/>
      <c r="O1069" s="94"/>
      <c r="P1069" s="94"/>
      <c r="Q1069" s="94"/>
      <c r="R1069" s="94"/>
      <c r="S1069" s="94"/>
      <c r="T1069" s="94"/>
      <c r="U1069" s="94"/>
      <c r="V1069" s="94"/>
      <c r="W1069" s="94"/>
      <c r="X1069" s="94"/>
      <c r="Y1069" s="94"/>
      <c r="Z1069" s="94"/>
      <c r="AA1069" s="94"/>
      <c r="AB1069" s="94"/>
      <c r="AC1069" s="94"/>
      <c r="AD1069" s="94"/>
      <c r="AE1069" s="94"/>
    </row>
    <row r="1070">
      <c r="A1070" s="87"/>
      <c r="B1070" s="37"/>
      <c r="C1070" s="37"/>
      <c r="D1070" s="162"/>
      <c r="E1070" s="89"/>
      <c r="F1070" s="72"/>
      <c r="G1070" s="111"/>
      <c r="H1070" s="111"/>
      <c r="I1070" s="111"/>
      <c r="J1070" s="111"/>
      <c r="K1070" s="111"/>
      <c r="L1070" s="111"/>
      <c r="M1070" s="94"/>
      <c r="N1070" s="94"/>
      <c r="O1070" s="94"/>
      <c r="P1070" s="94"/>
      <c r="Q1070" s="94"/>
      <c r="R1070" s="94"/>
      <c r="S1070" s="94"/>
      <c r="T1070" s="94"/>
      <c r="U1070" s="94"/>
      <c r="V1070" s="94"/>
      <c r="W1070" s="94"/>
      <c r="X1070" s="94"/>
      <c r="Y1070" s="94"/>
      <c r="Z1070" s="94"/>
      <c r="AA1070" s="94"/>
      <c r="AB1070" s="94"/>
      <c r="AC1070" s="94"/>
      <c r="AD1070" s="94"/>
      <c r="AE1070" s="94"/>
    </row>
    <row r="1071">
      <c r="A1071" s="87"/>
      <c r="B1071" s="37"/>
      <c r="C1071" s="37"/>
      <c r="D1071" s="162"/>
      <c r="E1071" s="89"/>
      <c r="F1071" s="72"/>
      <c r="G1071" s="111"/>
      <c r="H1071" s="111"/>
      <c r="I1071" s="111"/>
      <c r="J1071" s="111"/>
      <c r="K1071" s="111"/>
      <c r="L1071" s="111"/>
      <c r="M1071" s="94"/>
      <c r="N1071" s="94"/>
      <c r="O1071" s="94"/>
      <c r="P1071" s="94"/>
      <c r="Q1071" s="94"/>
      <c r="R1071" s="94"/>
      <c r="S1071" s="94"/>
      <c r="T1071" s="94"/>
      <c r="U1071" s="94"/>
      <c r="V1071" s="94"/>
      <c r="W1071" s="94"/>
      <c r="X1071" s="94"/>
      <c r="Y1071" s="94"/>
      <c r="Z1071" s="94"/>
      <c r="AA1071" s="94"/>
      <c r="AB1071" s="94"/>
      <c r="AC1071" s="94"/>
      <c r="AD1071" s="94"/>
      <c r="AE1071" s="94"/>
    </row>
    <row r="1072">
      <c r="A1072" s="87"/>
      <c r="B1072" s="37"/>
      <c r="C1072" s="37"/>
      <c r="D1072" s="162"/>
      <c r="E1072" s="89"/>
      <c r="F1072" s="72"/>
      <c r="G1072" s="111"/>
      <c r="H1072" s="111"/>
      <c r="I1072" s="111"/>
      <c r="J1072" s="111"/>
      <c r="K1072" s="111"/>
      <c r="L1072" s="111"/>
      <c r="M1072" s="94"/>
      <c r="N1072" s="94"/>
      <c r="O1072" s="94"/>
      <c r="P1072" s="94"/>
      <c r="Q1072" s="94"/>
      <c r="R1072" s="94"/>
      <c r="S1072" s="94"/>
      <c r="T1072" s="94"/>
      <c r="U1072" s="94"/>
      <c r="V1072" s="94"/>
      <c r="W1072" s="94"/>
      <c r="X1072" s="94"/>
      <c r="Y1072" s="94"/>
      <c r="Z1072" s="94"/>
      <c r="AA1072" s="94"/>
      <c r="AB1072" s="94"/>
      <c r="AC1072" s="94"/>
      <c r="AD1072" s="94"/>
      <c r="AE1072" s="94"/>
    </row>
    <row r="1073">
      <c r="A1073" s="87"/>
      <c r="B1073" s="37"/>
      <c r="C1073" s="37"/>
      <c r="D1073" s="162"/>
      <c r="E1073" s="89"/>
      <c r="F1073" s="72"/>
      <c r="G1073" s="111"/>
      <c r="H1073" s="111"/>
      <c r="I1073" s="111"/>
      <c r="J1073" s="111"/>
      <c r="K1073" s="111"/>
      <c r="L1073" s="111"/>
      <c r="M1073" s="94"/>
      <c r="N1073" s="94"/>
      <c r="O1073" s="94"/>
      <c r="P1073" s="94"/>
      <c r="Q1073" s="94"/>
      <c r="R1073" s="94"/>
      <c r="S1073" s="94"/>
      <c r="T1073" s="94"/>
      <c r="U1073" s="94"/>
      <c r="V1073" s="94"/>
      <c r="W1073" s="94"/>
      <c r="X1073" s="94"/>
      <c r="Y1073" s="94"/>
      <c r="Z1073" s="94"/>
      <c r="AA1073" s="94"/>
      <c r="AB1073" s="94"/>
      <c r="AC1073" s="94"/>
      <c r="AD1073" s="94"/>
      <c r="AE1073" s="94"/>
    </row>
    <row r="1074">
      <c r="A1074" s="87"/>
      <c r="B1074" s="37"/>
      <c r="C1074" s="37"/>
      <c r="D1074" s="162"/>
      <c r="E1074" s="89"/>
      <c r="F1074" s="72"/>
      <c r="G1074" s="111"/>
      <c r="H1074" s="111"/>
      <c r="I1074" s="111"/>
      <c r="J1074" s="111"/>
      <c r="K1074" s="111"/>
      <c r="L1074" s="111"/>
      <c r="M1074" s="94"/>
      <c r="N1074" s="94"/>
      <c r="O1074" s="94"/>
      <c r="P1074" s="94"/>
      <c r="Q1074" s="94"/>
      <c r="R1074" s="94"/>
      <c r="S1074" s="94"/>
      <c r="T1074" s="94"/>
      <c r="U1074" s="94"/>
      <c r="V1074" s="94"/>
      <c r="W1074" s="94"/>
      <c r="X1074" s="94"/>
      <c r="Y1074" s="94"/>
      <c r="Z1074" s="94"/>
      <c r="AA1074" s="94"/>
      <c r="AB1074" s="94"/>
      <c r="AC1074" s="94"/>
      <c r="AD1074" s="94"/>
      <c r="AE1074" s="94"/>
    </row>
    <row r="1075">
      <c r="A1075" s="87"/>
      <c r="B1075" s="37"/>
      <c r="C1075" s="37"/>
      <c r="D1075" s="162"/>
      <c r="E1075" s="89"/>
      <c r="F1075" s="72"/>
      <c r="G1075" s="111"/>
      <c r="H1075" s="111"/>
      <c r="I1075" s="111"/>
      <c r="J1075" s="111"/>
      <c r="K1075" s="111"/>
      <c r="L1075" s="111"/>
      <c r="M1075" s="94"/>
      <c r="N1075" s="94"/>
      <c r="O1075" s="94"/>
      <c r="P1075" s="94"/>
      <c r="Q1075" s="94"/>
      <c r="R1075" s="94"/>
      <c r="S1075" s="94"/>
      <c r="T1075" s="94"/>
      <c r="U1075" s="94"/>
      <c r="V1075" s="94"/>
      <c r="W1075" s="94"/>
      <c r="X1075" s="94"/>
      <c r="Y1075" s="94"/>
      <c r="Z1075" s="94"/>
      <c r="AA1075" s="94"/>
      <c r="AB1075" s="94"/>
      <c r="AC1075" s="94"/>
      <c r="AD1075" s="94"/>
      <c r="AE1075" s="94"/>
    </row>
    <row r="1076">
      <c r="A1076" s="87"/>
      <c r="B1076" s="37"/>
      <c r="C1076" s="37"/>
      <c r="D1076" s="162"/>
      <c r="E1076" s="89"/>
      <c r="F1076" s="72"/>
      <c r="G1076" s="111"/>
      <c r="H1076" s="111"/>
      <c r="I1076" s="111"/>
      <c r="J1076" s="111"/>
      <c r="K1076" s="111"/>
      <c r="L1076" s="111"/>
      <c r="M1076" s="94"/>
      <c r="N1076" s="94"/>
      <c r="O1076" s="94"/>
      <c r="P1076" s="94"/>
      <c r="Q1076" s="94"/>
      <c r="R1076" s="94"/>
      <c r="S1076" s="94"/>
      <c r="T1076" s="94"/>
      <c r="U1076" s="94"/>
      <c r="V1076" s="94"/>
      <c r="W1076" s="94"/>
      <c r="X1076" s="94"/>
      <c r="Y1076" s="94"/>
      <c r="Z1076" s="94"/>
      <c r="AA1076" s="94"/>
      <c r="AB1076" s="94"/>
      <c r="AC1076" s="94"/>
      <c r="AD1076" s="94"/>
      <c r="AE1076" s="94"/>
    </row>
    <row r="1077">
      <c r="A1077" s="87"/>
      <c r="B1077" s="37"/>
      <c r="C1077" s="37"/>
      <c r="D1077" s="162"/>
      <c r="E1077" s="89"/>
      <c r="F1077" s="72"/>
      <c r="G1077" s="111"/>
      <c r="H1077" s="111"/>
      <c r="I1077" s="111"/>
      <c r="J1077" s="111"/>
      <c r="K1077" s="111"/>
      <c r="L1077" s="111"/>
      <c r="M1077" s="94"/>
      <c r="N1077" s="94"/>
      <c r="O1077" s="94"/>
      <c r="P1077" s="94"/>
      <c r="Q1077" s="94"/>
      <c r="R1077" s="94"/>
      <c r="S1077" s="94"/>
      <c r="T1077" s="94"/>
      <c r="U1077" s="94"/>
      <c r="V1077" s="94"/>
      <c r="W1077" s="94"/>
      <c r="X1077" s="94"/>
      <c r="Y1077" s="94"/>
      <c r="Z1077" s="94"/>
      <c r="AA1077" s="94"/>
      <c r="AB1077" s="94"/>
      <c r="AC1077" s="94"/>
      <c r="AD1077" s="94"/>
      <c r="AE1077" s="94"/>
    </row>
    <row r="1078">
      <c r="A1078" s="87"/>
      <c r="B1078" s="37"/>
      <c r="C1078" s="37"/>
      <c r="D1078" s="162"/>
      <c r="E1078" s="89"/>
      <c r="F1078" s="72"/>
      <c r="G1078" s="111"/>
      <c r="H1078" s="111"/>
      <c r="I1078" s="111"/>
      <c r="J1078" s="111"/>
      <c r="K1078" s="111"/>
      <c r="L1078" s="111"/>
      <c r="M1078" s="94"/>
      <c r="N1078" s="94"/>
      <c r="O1078" s="94"/>
      <c r="P1078" s="94"/>
      <c r="Q1078" s="94"/>
      <c r="R1078" s="94"/>
      <c r="S1078" s="94"/>
      <c r="T1078" s="94"/>
      <c r="U1078" s="94"/>
      <c r="V1078" s="94"/>
      <c r="W1078" s="94"/>
      <c r="X1078" s="94"/>
      <c r="Y1078" s="94"/>
      <c r="Z1078" s="94"/>
      <c r="AA1078" s="94"/>
      <c r="AB1078" s="94"/>
      <c r="AC1078" s="94"/>
      <c r="AD1078" s="94"/>
      <c r="AE1078" s="94"/>
    </row>
    <row r="1079">
      <c r="A1079" s="87"/>
      <c r="B1079" s="37"/>
      <c r="C1079" s="37"/>
      <c r="D1079" s="162"/>
      <c r="E1079" s="89"/>
      <c r="F1079" s="72"/>
      <c r="G1079" s="111"/>
      <c r="H1079" s="111"/>
      <c r="I1079" s="111"/>
      <c r="J1079" s="111"/>
      <c r="K1079" s="111"/>
      <c r="L1079" s="111"/>
      <c r="M1079" s="94"/>
      <c r="N1079" s="94"/>
      <c r="O1079" s="94"/>
      <c r="P1079" s="94"/>
      <c r="Q1079" s="94"/>
      <c r="R1079" s="94"/>
      <c r="S1079" s="94"/>
      <c r="T1079" s="94"/>
      <c r="U1079" s="94"/>
      <c r="V1079" s="94"/>
      <c r="W1079" s="94"/>
      <c r="X1079" s="94"/>
      <c r="Y1079" s="94"/>
      <c r="Z1079" s="94"/>
      <c r="AA1079" s="94"/>
      <c r="AB1079" s="94"/>
      <c r="AC1079" s="94"/>
      <c r="AD1079" s="94"/>
      <c r="AE1079" s="94"/>
    </row>
    <row r="1080">
      <c r="A1080" s="87"/>
      <c r="B1080" s="37"/>
      <c r="C1080" s="37"/>
      <c r="D1080" s="162"/>
      <c r="E1080" s="89"/>
      <c r="F1080" s="72"/>
      <c r="G1080" s="111"/>
      <c r="H1080" s="111"/>
      <c r="I1080" s="111"/>
      <c r="J1080" s="111"/>
      <c r="K1080" s="111"/>
      <c r="L1080" s="111"/>
      <c r="M1080" s="94"/>
      <c r="N1080" s="94"/>
      <c r="O1080" s="94"/>
      <c r="P1080" s="94"/>
      <c r="Q1080" s="94"/>
      <c r="R1080" s="94"/>
      <c r="S1080" s="94"/>
      <c r="T1080" s="94"/>
      <c r="U1080" s="94"/>
      <c r="V1080" s="94"/>
      <c r="W1080" s="94"/>
      <c r="X1080" s="94"/>
      <c r="Y1080" s="94"/>
      <c r="Z1080" s="94"/>
      <c r="AA1080" s="94"/>
      <c r="AB1080" s="94"/>
      <c r="AC1080" s="94"/>
      <c r="AD1080" s="94"/>
      <c r="AE1080" s="94"/>
    </row>
    <row r="1081">
      <c r="A1081" s="87"/>
      <c r="B1081" s="37"/>
      <c r="C1081" s="37"/>
      <c r="D1081" s="162"/>
      <c r="E1081" s="89"/>
      <c r="F1081" s="72"/>
      <c r="G1081" s="111"/>
      <c r="H1081" s="111"/>
      <c r="I1081" s="111"/>
      <c r="J1081" s="111"/>
      <c r="K1081" s="111"/>
      <c r="L1081" s="111"/>
      <c r="M1081" s="94"/>
      <c r="N1081" s="94"/>
      <c r="O1081" s="94"/>
      <c r="P1081" s="94"/>
      <c r="Q1081" s="94"/>
      <c r="R1081" s="94"/>
      <c r="S1081" s="94"/>
      <c r="T1081" s="94"/>
      <c r="U1081" s="94"/>
      <c r="V1081" s="94"/>
      <c r="W1081" s="94"/>
      <c r="X1081" s="94"/>
      <c r="Y1081" s="94"/>
      <c r="Z1081" s="94"/>
      <c r="AA1081" s="94"/>
      <c r="AB1081" s="94"/>
      <c r="AC1081" s="94"/>
      <c r="AD1081" s="94"/>
      <c r="AE1081" s="94"/>
    </row>
    <row r="1082">
      <c r="A1082" s="87"/>
      <c r="B1082" s="37"/>
      <c r="C1082" s="37"/>
      <c r="D1082" s="162"/>
      <c r="E1082" s="89"/>
      <c r="F1082" s="72"/>
      <c r="G1082" s="111"/>
      <c r="H1082" s="111"/>
      <c r="I1082" s="111"/>
      <c r="J1082" s="111"/>
      <c r="K1082" s="111"/>
      <c r="L1082" s="111"/>
      <c r="M1082" s="94"/>
      <c r="N1082" s="94"/>
      <c r="O1082" s="94"/>
      <c r="P1082" s="94"/>
      <c r="Q1082" s="94"/>
      <c r="R1082" s="94"/>
      <c r="S1082" s="94"/>
      <c r="T1082" s="94"/>
      <c r="U1082" s="94"/>
      <c r="V1082" s="94"/>
      <c r="W1082" s="94"/>
      <c r="X1082" s="94"/>
      <c r="Y1082" s="94"/>
      <c r="Z1082" s="94"/>
      <c r="AA1082" s="94"/>
      <c r="AB1082" s="94"/>
      <c r="AC1082" s="94"/>
      <c r="AD1082" s="94"/>
      <c r="AE1082" s="94"/>
    </row>
    <row r="1083">
      <c r="A1083" s="87"/>
      <c r="B1083" s="37"/>
      <c r="C1083" s="37"/>
      <c r="D1083" s="162"/>
      <c r="E1083" s="89"/>
      <c r="F1083" s="72"/>
      <c r="G1083" s="111"/>
      <c r="H1083" s="111"/>
      <c r="I1083" s="111"/>
      <c r="J1083" s="111"/>
      <c r="K1083" s="111"/>
      <c r="L1083" s="111"/>
      <c r="M1083" s="94"/>
      <c r="N1083" s="94"/>
      <c r="O1083" s="94"/>
      <c r="P1083" s="94"/>
      <c r="Q1083" s="94"/>
      <c r="R1083" s="94"/>
      <c r="S1083" s="94"/>
      <c r="T1083" s="94"/>
      <c r="U1083" s="94"/>
      <c r="V1083" s="94"/>
      <c r="W1083" s="94"/>
      <c r="X1083" s="94"/>
      <c r="Y1083" s="94"/>
      <c r="Z1083" s="94"/>
      <c r="AA1083" s="94"/>
      <c r="AB1083" s="94"/>
      <c r="AC1083" s="94"/>
      <c r="AD1083" s="94"/>
      <c r="AE1083" s="94"/>
    </row>
    <row r="1084">
      <c r="A1084" s="87"/>
      <c r="B1084" s="37"/>
      <c r="C1084" s="37"/>
      <c r="D1084" s="162"/>
      <c r="E1084" s="89"/>
      <c r="F1084" s="72"/>
      <c r="G1084" s="111"/>
      <c r="H1084" s="111"/>
      <c r="I1084" s="111"/>
      <c r="J1084" s="111"/>
      <c r="K1084" s="111"/>
      <c r="L1084" s="111"/>
      <c r="M1084" s="94"/>
      <c r="N1084" s="94"/>
      <c r="O1084" s="94"/>
      <c r="P1084" s="94"/>
      <c r="Q1084" s="94"/>
      <c r="R1084" s="94"/>
      <c r="S1084" s="94"/>
      <c r="T1084" s="94"/>
      <c r="U1084" s="94"/>
      <c r="V1084" s="94"/>
      <c r="W1084" s="94"/>
      <c r="X1084" s="94"/>
      <c r="Y1084" s="94"/>
      <c r="Z1084" s="94"/>
      <c r="AA1084" s="94"/>
      <c r="AB1084" s="94"/>
      <c r="AC1084" s="94"/>
      <c r="AD1084" s="94"/>
      <c r="AE1084" s="94"/>
    </row>
    <row r="1085">
      <c r="A1085" s="87"/>
      <c r="B1085" s="37"/>
      <c r="C1085" s="37"/>
      <c r="D1085" s="162"/>
      <c r="E1085" s="89"/>
      <c r="F1085" s="72"/>
      <c r="G1085" s="111"/>
      <c r="H1085" s="111"/>
      <c r="I1085" s="111"/>
      <c r="J1085" s="111"/>
      <c r="K1085" s="111"/>
      <c r="L1085" s="111"/>
      <c r="M1085" s="94"/>
      <c r="N1085" s="94"/>
      <c r="O1085" s="94"/>
      <c r="P1085" s="94"/>
      <c r="Q1085" s="94"/>
      <c r="R1085" s="94"/>
      <c r="S1085" s="94"/>
      <c r="T1085" s="94"/>
      <c r="U1085" s="94"/>
      <c r="V1085" s="94"/>
      <c r="W1085" s="94"/>
      <c r="X1085" s="94"/>
      <c r="Y1085" s="94"/>
      <c r="Z1085" s="94"/>
      <c r="AA1085" s="94"/>
      <c r="AB1085" s="94"/>
      <c r="AC1085" s="94"/>
      <c r="AD1085" s="94"/>
      <c r="AE1085" s="94"/>
    </row>
    <row r="1086">
      <c r="A1086" s="87"/>
      <c r="B1086" s="37"/>
      <c r="C1086" s="37"/>
      <c r="D1086" s="162"/>
      <c r="E1086" s="89"/>
      <c r="F1086" s="72"/>
      <c r="G1086" s="111"/>
      <c r="H1086" s="111"/>
      <c r="I1086" s="111"/>
      <c r="J1086" s="111"/>
      <c r="K1086" s="111"/>
      <c r="L1086" s="111"/>
      <c r="M1086" s="94"/>
      <c r="N1086" s="94"/>
      <c r="O1086" s="94"/>
      <c r="P1086" s="94"/>
      <c r="Q1086" s="94"/>
      <c r="R1086" s="94"/>
      <c r="S1086" s="94"/>
      <c r="T1086" s="94"/>
      <c r="U1086" s="94"/>
      <c r="V1086" s="94"/>
      <c r="W1086" s="94"/>
      <c r="X1086" s="94"/>
      <c r="Y1086" s="94"/>
      <c r="Z1086" s="94"/>
      <c r="AA1086" s="94"/>
      <c r="AB1086" s="94"/>
      <c r="AC1086" s="94"/>
      <c r="AD1086" s="94"/>
      <c r="AE1086" s="94"/>
    </row>
    <row r="1087">
      <c r="A1087" s="87"/>
      <c r="B1087" s="37"/>
      <c r="C1087" s="37"/>
      <c r="D1087" s="162"/>
      <c r="E1087" s="89"/>
      <c r="F1087" s="72"/>
      <c r="G1087" s="111"/>
      <c r="H1087" s="111"/>
      <c r="I1087" s="111"/>
      <c r="J1087" s="111"/>
      <c r="K1087" s="111"/>
      <c r="L1087" s="111"/>
      <c r="M1087" s="94"/>
      <c r="N1087" s="94"/>
      <c r="O1087" s="94"/>
      <c r="P1087" s="94"/>
      <c r="Q1087" s="94"/>
      <c r="R1087" s="94"/>
      <c r="S1087" s="94"/>
      <c r="T1087" s="94"/>
      <c r="U1087" s="94"/>
      <c r="V1087" s="94"/>
      <c r="W1087" s="94"/>
      <c r="X1087" s="94"/>
      <c r="Y1087" s="94"/>
      <c r="Z1087" s="94"/>
      <c r="AA1087" s="94"/>
      <c r="AB1087" s="94"/>
      <c r="AC1087" s="94"/>
      <c r="AD1087" s="94"/>
      <c r="AE1087" s="94"/>
    </row>
    <row r="1088">
      <c r="A1088" s="87"/>
      <c r="B1088" s="37"/>
      <c r="C1088" s="37"/>
      <c r="D1088" s="162"/>
      <c r="E1088" s="89"/>
      <c r="F1088" s="72"/>
      <c r="G1088" s="111"/>
      <c r="H1088" s="111"/>
      <c r="I1088" s="111"/>
      <c r="J1088" s="111"/>
      <c r="K1088" s="111"/>
      <c r="L1088" s="111"/>
      <c r="M1088" s="94"/>
      <c r="N1088" s="94"/>
      <c r="O1088" s="94"/>
      <c r="P1088" s="94"/>
      <c r="Q1088" s="94"/>
      <c r="R1088" s="94"/>
      <c r="S1088" s="94"/>
      <c r="T1088" s="94"/>
      <c r="U1088" s="94"/>
      <c r="V1088" s="94"/>
      <c r="W1088" s="94"/>
      <c r="X1088" s="94"/>
      <c r="Y1088" s="94"/>
      <c r="Z1088" s="94"/>
      <c r="AA1088" s="94"/>
      <c r="AB1088" s="94"/>
      <c r="AC1088" s="94"/>
      <c r="AD1088" s="94"/>
      <c r="AE1088" s="94"/>
    </row>
    <row r="1089">
      <c r="A1089" s="87"/>
      <c r="B1089" s="37"/>
      <c r="C1089" s="37"/>
      <c r="D1089" s="162"/>
      <c r="E1089" s="89"/>
      <c r="F1089" s="72"/>
      <c r="G1089" s="111"/>
      <c r="H1089" s="111"/>
      <c r="I1089" s="111"/>
      <c r="J1089" s="111"/>
      <c r="K1089" s="111"/>
      <c r="L1089" s="111"/>
      <c r="M1089" s="94"/>
      <c r="N1089" s="94"/>
      <c r="O1089" s="94"/>
      <c r="P1089" s="94"/>
      <c r="Q1089" s="94"/>
      <c r="R1089" s="94"/>
      <c r="S1089" s="94"/>
      <c r="T1089" s="94"/>
      <c r="U1089" s="94"/>
      <c r="V1089" s="94"/>
      <c r="W1089" s="94"/>
      <c r="X1089" s="94"/>
      <c r="Y1089" s="94"/>
      <c r="Z1089" s="94"/>
      <c r="AA1089" s="94"/>
      <c r="AB1089" s="94"/>
      <c r="AC1089" s="94"/>
      <c r="AD1089" s="94"/>
      <c r="AE1089" s="94"/>
    </row>
    <row r="1090">
      <c r="A1090" s="87"/>
      <c r="B1090" s="37"/>
      <c r="C1090" s="37"/>
      <c r="D1090" s="162"/>
      <c r="E1090" s="89"/>
      <c r="F1090" s="72"/>
      <c r="G1090" s="111"/>
      <c r="H1090" s="111"/>
      <c r="I1090" s="111"/>
      <c r="J1090" s="111"/>
      <c r="K1090" s="111"/>
      <c r="L1090" s="111"/>
      <c r="M1090" s="94"/>
      <c r="N1090" s="94"/>
      <c r="O1090" s="94"/>
      <c r="P1090" s="94"/>
      <c r="Q1090" s="94"/>
      <c r="R1090" s="94"/>
      <c r="S1090" s="94"/>
      <c r="T1090" s="94"/>
      <c r="U1090" s="94"/>
      <c r="V1090" s="94"/>
      <c r="W1090" s="94"/>
      <c r="X1090" s="94"/>
      <c r="Y1090" s="94"/>
      <c r="Z1090" s="94"/>
      <c r="AA1090" s="94"/>
      <c r="AB1090" s="94"/>
      <c r="AC1090" s="94"/>
      <c r="AD1090" s="94"/>
      <c r="AE1090" s="94"/>
    </row>
    <row r="1091">
      <c r="A1091" s="87"/>
      <c r="B1091" s="37"/>
      <c r="C1091" s="37"/>
      <c r="D1091" s="162"/>
      <c r="E1091" s="89"/>
      <c r="F1091" s="72"/>
      <c r="G1091" s="111"/>
      <c r="H1091" s="111"/>
      <c r="I1091" s="111"/>
      <c r="J1091" s="111"/>
      <c r="K1091" s="111"/>
      <c r="L1091" s="111"/>
      <c r="M1091" s="94"/>
      <c r="N1091" s="94"/>
      <c r="O1091" s="94"/>
      <c r="P1091" s="94"/>
      <c r="Q1091" s="94"/>
      <c r="R1091" s="94"/>
      <c r="S1091" s="94"/>
      <c r="T1091" s="94"/>
      <c r="U1091" s="94"/>
      <c r="V1091" s="94"/>
      <c r="W1091" s="94"/>
      <c r="X1091" s="94"/>
      <c r="Y1091" s="94"/>
      <c r="Z1091" s="94"/>
      <c r="AA1091" s="94"/>
      <c r="AB1091" s="94"/>
      <c r="AC1091" s="94"/>
      <c r="AD1091" s="94"/>
      <c r="AE1091" s="94"/>
    </row>
    <row r="1092">
      <c r="A1092" s="87"/>
      <c r="B1092" s="37"/>
      <c r="C1092" s="37"/>
      <c r="D1092" s="162"/>
      <c r="E1092" s="89"/>
      <c r="F1092" s="72"/>
      <c r="G1092" s="111"/>
      <c r="H1092" s="111"/>
      <c r="I1092" s="111"/>
      <c r="J1092" s="111"/>
      <c r="K1092" s="111"/>
      <c r="L1092" s="111"/>
      <c r="M1092" s="94"/>
      <c r="N1092" s="94"/>
      <c r="O1092" s="94"/>
      <c r="P1092" s="94"/>
      <c r="Q1092" s="94"/>
      <c r="R1092" s="94"/>
      <c r="S1092" s="94"/>
      <c r="T1092" s="94"/>
      <c r="U1092" s="94"/>
      <c r="V1092" s="94"/>
      <c r="W1092" s="94"/>
      <c r="X1092" s="94"/>
      <c r="Y1092" s="94"/>
      <c r="Z1092" s="94"/>
      <c r="AA1092" s="94"/>
      <c r="AB1092" s="94"/>
      <c r="AC1092" s="94"/>
      <c r="AD1092" s="94"/>
      <c r="AE1092" s="94"/>
    </row>
    <row r="1093">
      <c r="A1093" s="87"/>
      <c r="B1093" s="37"/>
      <c r="C1093" s="37"/>
      <c r="D1093" s="162"/>
      <c r="E1093" s="89"/>
      <c r="F1093" s="72"/>
      <c r="G1093" s="111"/>
      <c r="H1093" s="111"/>
      <c r="I1093" s="111"/>
      <c r="J1093" s="111"/>
      <c r="K1093" s="111"/>
      <c r="L1093" s="111"/>
      <c r="M1093" s="94"/>
      <c r="N1093" s="94"/>
      <c r="O1093" s="94"/>
      <c r="P1093" s="94"/>
      <c r="Q1093" s="94"/>
      <c r="R1093" s="94"/>
      <c r="S1093" s="94"/>
      <c r="T1093" s="94"/>
      <c r="U1093" s="94"/>
      <c r="V1093" s="94"/>
      <c r="W1093" s="94"/>
      <c r="X1093" s="94"/>
      <c r="Y1093" s="94"/>
      <c r="Z1093" s="94"/>
      <c r="AA1093" s="94"/>
      <c r="AB1093" s="94"/>
      <c r="AC1093" s="94"/>
      <c r="AD1093" s="94"/>
      <c r="AE1093" s="94"/>
    </row>
    <row r="1094">
      <c r="A1094" s="87"/>
      <c r="B1094" s="37"/>
      <c r="C1094" s="37"/>
      <c r="D1094" s="162"/>
      <c r="E1094" s="89"/>
      <c r="F1094" s="72"/>
      <c r="G1094" s="111"/>
      <c r="H1094" s="111"/>
      <c r="I1094" s="111"/>
      <c r="J1094" s="111"/>
      <c r="K1094" s="111"/>
      <c r="L1094" s="111"/>
      <c r="M1094" s="94"/>
      <c r="N1094" s="94"/>
      <c r="O1094" s="94"/>
      <c r="P1094" s="94"/>
      <c r="Q1094" s="94"/>
      <c r="R1094" s="94"/>
      <c r="S1094" s="94"/>
      <c r="T1094" s="94"/>
      <c r="U1094" s="94"/>
      <c r="V1094" s="94"/>
      <c r="W1094" s="94"/>
      <c r="X1094" s="94"/>
      <c r="Y1094" s="94"/>
      <c r="Z1094" s="94"/>
      <c r="AA1094" s="94"/>
      <c r="AB1094" s="94"/>
      <c r="AC1094" s="94"/>
      <c r="AD1094" s="94"/>
      <c r="AE1094" s="94"/>
    </row>
    <row r="1095">
      <c r="A1095" s="87"/>
      <c r="B1095" s="37"/>
      <c r="C1095" s="37"/>
      <c r="D1095" s="162"/>
      <c r="E1095" s="89"/>
      <c r="F1095" s="72"/>
      <c r="G1095" s="111"/>
      <c r="H1095" s="111"/>
      <c r="I1095" s="111"/>
      <c r="J1095" s="111"/>
      <c r="K1095" s="111"/>
      <c r="L1095" s="111"/>
      <c r="M1095" s="94"/>
      <c r="N1095" s="94"/>
      <c r="O1095" s="94"/>
      <c r="P1095" s="94"/>
      <c r="Q1095" s="94"/>
      <c r="R1095" s="94"/>
      <c r="S1095" s="94"/>
      <c r="T1095" s="94"/>
      <c r="U1095" s="94"/>
      <c r="V1095" s="94"/>
      <c r="W1095" s="94"/>
      <c r="X1095" s="94"/>
      <c r="Y1095" s="94"/>
      <c r="Z1095" s="94"/>
      <c r="AA1095" s="94"/>
      <c r="AB1095" s="94"/>
      <c r="AC1095" s="94"/>
      <c r="AD1095" s="94"/>
      <c r="AE1095" s="94"/>
    </row>
    <row r="1096">
      <c r="A1096" s="87"/>
      <c r="B1096" s="37"/>
      <c r="C1096" s="37"/>
      <c r="D1096" s="162"/>
      <c r="E1096" s="89"/>
      <c r="F1096" s="72"/>
      <c r="G1096" s="111"/>
      <c r="H1096" s="111"/>
      <c r="I1096" s="111"/>
      <c r="J1096" s="111"/>
      <c r="K1096" s="111"/>
      <c r="L1096" s="111"/>
      <c r="M1096" s="94"/>
      <c r="N1096" s="94"/>
      <c r="O1096" s="94"/>
      <c r="P1096" s="94"/>
      <c r="Q1096" s="94"/>
      <c r="R1096" s="94"/>
      <c r="S1096" s="94"/>
      <c r="T1096" s="94"/>
      <c r="U1096" s="94"/>
      <c r="V1096" s="94"/>
      <c r="W1096" s="94"/>
      <c r="X1096" s="94"/>
      <c r="Y1096" s="94"/>
      <c r="Z1096" s="94"/>
      <c r="AA1096" s="94"/>
      <c r="AB1096" s="94"/>
      <c r="AC1096" s="94"/>
      <c r="AD1096" s="94"/>
      <c r="AE1096" s="94"/>
    </row>
    <row r="1097">
      <c r="A1097" s="87"/>
      <c r="B1097" s="37"/>
      <c r="C1097" s="37"/>
      <c r="D1097" s="162"/>
      <c r="E1097" s="89"/>
      <c r="F1097" s="72"/>
      <c r="G1097" s="111"/>
      <c r="H1097" s="111"/>
      <c r="I1097" s="111"/>
      <c r="J1097" s="111"/>
      <c r="K1097" s="111"/>
      <c r="L1097" s="111"/>
      <c r="M1097" s="94"/>
      <c r="N1097" s="94"/>
      <c r="O1097" s="94"/>
      <c r="P1097" s="94"/>
      <c r="Q1097" s="94"/>
      <c r="R1097" s="94"/>
      <c r="S1097" s="94"/>
      <c r="T1097" s="94"/>
      <c r="U1097" s="94"/>
      <c r="V1097" s="94"/>
      <c r="W1097" s="94"/>
      <c r="X1097" s="94"/>
      <c r="Y1097" s="94"/>
      <c r="Z1097" s="94"/>
      <c r="AA1097" s="94"/>
      <c r="AB1097" s="94"/>
      <c r="AC1097" s="94"/>
      <c r="AD1097" s="94"/>
      <c r="AE1097" s="94"/>
    </row>
    <row r="1098">
      <c r="A1098" s="87"/>
      <c r="B1098" s="37"/>
      <c r="C1098" s="37"/>
      <c r="D1098" s="162"/>
      <c r="E1098" s="89"/>
      <c r="F1098" s="72"/>
      <c r="G1098" s="111"/>
      <c r="H1098" s="111"/>
      <c r="I1098" s="111"/>
      <c r="J1098" s="111"/>
      <c r="K1098" s="111"/>
      <c r="L1098" s="111"/>
      <c r="M1098" s="94"/>
      <c r="N1098" s="94"/>
      <c r="O1098" s="94"/>
      <c r="P1098" s="94"/>
      <c r="Q1098" s="94"/>
      <c r="R1098" s="94"/>
      <c r="S1098" s="94"/>
      <c r="T1098" s="94"/>
      <c r="U1098" s="94"/>
      <c r="V1098" s="94"/>
      <c r="W1098" s="94"/>
      <c r="X1098" s="94"/>
      <c r="Y1098" s="94"/>
      <c r="Z1098" s="94"/>
      <c r="AA1098" s="94"/>
      <c r="AB1098" s="94"/>
      <c r="AC1098" s="94"/>
      <c r="AD1098" s="94"/>
      <c r="AE1098" s="94"/>
    </row>
    <row r="1099">
      <c r="A1099" s="87"/>
      <c r="B1099" s="37"/>
      <c r="C1099" s="37"/>
      <c r="D1099" s="162"/>
      <c r="E1099" s="89"/>
      <c r="F1099" s="72"/>
      <c r="G1099" s="111"/>
      <c r="H1099" s="111"/>
      <c r="I1099" s="111"/>
      <c r="J1099" s="111"/>
      <c r="K1099" s="111"/>
      <c r="L1099" s="111"/>
      <c r="M1099" s="94"/>
      <c r="N1099" s="94"/>
      <c r="O1099" s="94"/>
      <c r="P1099" s="94"/>
      <c r="Q1099" s="94"/>
      <c r="R1099" s="94"/>
      <c r="S1099" s="94"/>
      <c r="T1099" s="94"/>
      <c r="U1099" s="94"/>
      <c r="V1099" s="94"/>
      <c r="W1099" s="94"/>
      <c r="X1099" s="94"/>
      <c r="Y1099" s="94"/>
      <c r="Z1099" s="94"/>
      <c r="AA1099" s="94"/>
      <c r="AB1099" s="94"/>
      <c r="AC1099" s="94"/>
      <c r="AD1099" s="94"/>
      <c r="AE1099" s="94"/>
    </row>
    <row r="1100">
      <c r="A1100" s="87"/>
      <c r="B1100" s="37"/>
      <c r="C1100" s="37"/>
      <c r="D1100" s="162"/>
      <c r="E1100" s="89"/>
      <c r="F1100" s="72"/>
      <c r="G1100" s="111"/>
      <c r="H1100" s="111"/>
      <c r="I1100" s="111"/>
      <c r="J1100" s="111"/>
      <c r="K1100" s="111"/>
      <c r="L1100" s="111"/>
      <c r="M1100" s="94"/>
      <c r="N1100" s="94"/>
      <c r="O1100" s="94"/>
      <c r="P1100" s="94"/>
      <c r="Q1100" s="94"/>
      <c r="R1100" s="94"/>
      <c r="S1100" s="94"/>
      <c r="T1100" s="94"/>
      <c r="U1100" s="94"/>
      <c r="V1100" s="94"/>
      <c r="W1100" s="94"/>
      <c r="X1100" s="94"/>
      <c r="Y1100" s="94"/>
      <c r="Z1100" s="94"/>
      <c r="AA1100" s="94"/>
      <c r="AB1100" s="94"/>
      <c r="AC1100" s="94"/>
      <c r="AD1100" s="94"/>
      <c r="AE1100" s="94"/>
    </row>
    <row r="1101">
      <c r="A1101" s="87"/>
      <c r="B1101" s="37"/>
      <c r="C1101" s="37"/>
      <c r="D1101" s="162"/>
      <c r="E1101" s="89"/>
      <c r="F1101" s="72"/>
      <c r="G1101" s="111"/>
      <c r="H1101" s="111"/>
      <c r="I1101" s="111"/>
      <c r="J1101" s="111"/>
      <c r="K1101" s="111"/>
      <c r="L1101" s="111"/>
      <c r="M1101" s="94"/>
      <c r="N1101" s="94"/>
      <c r="O1101" s="94"/>
      <c r="P1101" s="94"/>
      <c r="Q1101" s="94"/>
      <c r="R1101" s="94"/>
      <c r="S1101" s="94"/>
      <c r="T1101" s="94"/>
      <c r="U1101" s="94"/>
      <c r="V1101" s="94"/>
      <c r="W1101" s="94"/>
      <c r="X1101" s="94"/>
      <c r="Y1101" s="94"/>
      <c r="Z1101" s="94"/>
      <c r="AA1101" s="94"/>
      <c r="AB1101" s="94"/>
      <c r="AC1101" s="94"/>
      <c r="AD1101" s="94"/>
      <c r="AE1101" s="94"/>
    </row>
    <row r="1102">
      <c r="A1102" s="87"/>
      <c r="B1102" s="37"/>
      <c r="C1102" s="37"/>
      <c r="D1102" s="162"/>
      <c r="E1102" s="89"/>
      <c r="F1102" s="72"/>
      <c r="G1102" s="111"/>
      <c r="H1102" s="111"/>
      <c r="I1102" s="111"/>
      <c r="J1102" s="111"/>
      <c r="K1102" s="111"/>
      <c r="L1102" s="111"/>
      <c r="M1102" s="94"/>
      <c r="N1102" s="94"/>
      <c r="O1102" s="94"/>
      <c r="P1102" s="94"/>
      <c r="Q1102" s="94"/>
      <c r="R1102" s="94"/>
      <c r="S1102" s="94"/>
      <c r="T1102" s="94"/>
      <c r="U1102" s="94"/>
      <c r="V1102" s="94"/>
      <c r="W1102" s="94"/>
      <c r="X1102" s="94"/>
      <c r="Y1102" s="94"/>
      <c r="Z1102" s="94"/>
      <c r="AA1102" s="94"/>
      <c r="AB1102" s="94"/>
      <c r="AC1102" s="94"/>
      <c r="AD1102" s="94"/>
      <c r="AE1102" s="94"/>
    </row>
    <row r="1103">
      <c r="A1103" s="87"/>
      <c r="B1103" s="37"/>
      <c r="C1103" s="37"/>
      <c r="D1103" s="162"/>
      <c r="E1103" s="89"/>
      <c r="F1103" s="72"/>
      <c r="G1103" s="111"/>
      <c r="H1103" s="111"/>
      <c r="I1103" s="111"/>
      <c r="J1103" s="111"/>
      <c r="K1103" s="111"/>
      <c r="L1103" s="111"/>
      <c r="M1103" s="94"/>
      <c r="N1103" s="94"/>
      <c r="O1103" s="94"/>
      <c r="P1103" s="94"/>
      <c r="Q1103" s="94"/>
      <c r="R1103" s="94"/>
      <c r="S1103" s="94"/>
      <c r="T1103" s="94"/>
      <c r="U1103" s="94"/>
      <c r="V1103" s="94"/>
      <c r="W1103" s="94"/>
      <c r="X1103" s="94"/>
      <c r="Y1103" s="94"/>
      <c r="Z1103" s="94"/>
      <c r="AA1103" s="94"/>
      <c r="AB1103" s="94"/>
      <c r="AC1103" s="94"/>
      <c r="AD1103" s="94"/>
      <c r="AE1103" s="94"/>
    </row>
    <row r="1104">
      <c r="A1104" s="87"/>
      <c r="B1104" s="37"/>
      <c r="C1104" s="37"/>
      <c r="D1104" s="162"/>
      <c r="E1104" s="89"/>
      <c r="F1104" s="72"/>
      <c r="G1104" s="111"/>
      <c r="H1104" s="111"/>
      <c r="I1104" s="111"/>
      <c r="J1104" s="111"/>
      <c r="K1104" s="111"/>
      <c r="L1104" s="111"/>
      <c r="M1104" s="94"/>
      <c r="N1104" s="94"/>
      <c r="O1104" s="94"/>
      <c r="P1104" s="94"/>
      <c r="Q1104" s="94"/>
      <c r="R1104" s="94"/>
      <c r="S1104" s="94"/>
      <c r="T1104" s="94"/>
      <c r="U1104" s="94"/>
      <c r="V1104" s="94"/>
      <c r="W1104" s="94"/>
      <c r="X1104" s="94"/>
      <c r="Y1104" s="94"/>
      <c r="Z1104" s="94"/>
      <c r="AA1104" s="94"/>
      <c r="AB1104" s="94"/>
      <c r="AC1104" s="94"/>
      <c r="AD1104" s="94"/>
      <c r="AE1104" s="94"/>
    </row>
    <row r="1105">
      <c r="A1105" s="87"/>
      <c r="B1105" s="37"/>
      <c r="C1105" s="37"/>
      <c r="D1105" s="162"/>
      <c r="E1105" s="89"/>
      <c r="F1105" s="72"/>
      <c r="G1105" s="111"/>
      <c r="H1105" s="111"/>
      <c r="I1105" s="111"/>
      <c r="J1105" s="111"/>
      <c r="K1105" s="111"/>
      <c r="L1105" s="111"/>
      <c r="M1105" s="94"/>
      <c r="N1105" s="94"/>
      <c r="O1105" s="94"/>
      <c r="P1105" s="94"/>
      <c r="Q1105" s="94"/>
      <c r="R1105" s="94"/>
      <c r="S1105" s="94"/>
      <c r="T1105" s="94"/>
      <c r="U1105" s="94"/>
      <c r="V1105" s="94"/>
      <c r="W1105" s="94"/>
      <c r="X1105" s="94"/>
      <c r="Y1105" s="94"/>
      <c r="Z1105" s="94"/>
      <c r="AA1105" s="94"/>
      <c r="AB1105" s="94"/>
      <c r="AC1105" s="94"/>
      <c r="AD1105" s="94"/>
      <c r="AE1105" s="94"/>
    </row>
    <row r="1106">
      <c r="A1106" s="87"/>
      <c r="B1106" s="37"/>
      <c r="C1106" s="37"/>
      <c r="D1106" s="162"/>
      <c r="E1106" s="89"/>
      <c r="F1106" s="72"/>
      <c r="G1106" s="111"/>
      <c r="H1106" s="111"/>
      <c r="I1106" s="111"/>
      <c r="J1106" s="111"/>
      <c r="K1106" s="111"/>
      <c r="L1106" s="111"/>
      <c r="M1106" s="94"/>
      <c r="N1106" s="94"/>
      <c r="O1106" s="94"/>
      <c r="P1106" s="94"/>
      <c r="Q1106" s="94"/>
      <c r="R1106" s="94"/>
      <c r="S1106" s="94"/>
      <c r="T1106" s="94"/>
      <c r="U1106" s="94"/>
      <c r="V1106" s="94"/>
      <c r="W1106" s="94"/>
      <c r="X1106" s="94"/>
      <c r="Y1106" s="94"/>
      <c r="Z1106" s="94"/>
      <c r="AA1106" s="94"/>
      <c r="AB1106" s="94"/>
      <c r="AC1106" s="94"/>
      <c r="AD1106" s="94"/>
      <c r="AE1106" s="94"/>
    </row>
    <row r="1107">
      <c r="A1107" s="87"/>
      <c r="B1107" s="37"/>
      <c r="C1107" s="37"/>
      <c r="D1107" s="162"/>
      <c r="E1107" s="89"/>
      <c r="F1107" s="72"/>
      <c r="G1107" s="111"/>
      <c r="H1107" s="111"/>
      <c r="I1107" s="111"/>
      <c r="J1107" s="111"/>
      <c r="K1107" s="111"/>
      <c r="L1107" s="111"/>
      <c r="M1107" s="94"/>
      <c r="N1107" s="94"/>
      <c r="O1107" s="94"/>
      <c r="P1107" s="94"/>
      <c r="Q1107" s="94"/>
      <c r="R1107" s="94"/>
      <c r="S1107" s="94"/>
      <c r="T1107" s="94"/>
      <c r="U1107" s="94"/>
      <c r="V1107" s="94"/>
      <c r="W1107" s="94"/>
      <c r="X1107" s="94"/>
      <c r="Y1107" s="94"/>
      <c r="Z1107" s="94"/>
      <c r="AA1107" s="94"/>
      <c r="AB1107" s="94"/>
      <c r="AC1107" s="94"/>
      <c r="AD1107" s="94"/>
      <c r="AE1107" s="94"/>
    </row>
    <row r="1108">
      <c r="A1108" s="87"/>
      <c r="B1108" s="37"/>
      <c r="C1108" s="37"/>
      <c r="D1108" s="162"/>
      <c r="E1108" s="89"/>
      <c r="F1108" s="72"/>
      <c r="G1108" s="111"/>
      <c r="H1108" s="111"/>
      <c r="I1108" s="111"/>
      <c r="J1108" s="111"/>
      <c r="K1108" s="111"/>
      <c r="L1108" s="111"/>
      <c r="M1108" s="94"/>
      <c r="N1108" s="94"/>
      <c r="O1108" s="94"/>
      <c r="P1108" s="94"/>
      <c r="Q1108" s="94"/>
      <c r="R1108" s="94"/>
      <c r="S1108" s="94"/>
      <c r="T1108" s="94"/>
      <c r="U1108" s="94"/>
      <c r="V1108" s="94"/>
      <c r="W1108" s="94"/>
      <c r="X1108" s="94"/>
      <c r="Y1108" s="94"/>
      <c r="Z1108" s="94"/>
      <c r="AA1108" s="94"/>
      <c r="AB1108" s="94"/>
      <c r="AC1108" s="94"/>
      <c r="AD1108" s="94"/>
      <c r="AE1108" s="94"/>
    </row>
    <row r="1109">
      <c r="A1109" s="87"/>
      <c r="B1109" s="37"/>
      <c r="C1109" s="37"/>
      <c r="D1109" s="162"/>
      <c r="E1109" s="89"/>
      <c r="F1109" s="72"/>
      <c r="G1109" s="111"/>
      <c r="H1109" s="111"/>
      <c r="I1109" s="111"/>
      <c r="J1109" s="111"/>
      <c r="K1109" s="111"/>
      <c r="L1109" s="111"/>
      <c r="M1109" s="94"/>
      <c r="N1109" s="94"/>
      <c r="O1109" s="94"/>
      <c r="P1109" s="94"/>
      <c r="Q1109" s="94"/>
      <c r="R1109" s="94"/>
      <c r="S1109" s="94"/>
      <c r="T1109" s="94"/>
      <c r="U1109" s="94"/>
      <c r="V1109" s="94"/>
      <c r="W1109" s="94"/>
      <c r="X1109" s="94"/>
      <c r="Y1109" s="94"/>
      <c r="Z1109" s="94"/>
      <c r="AA1109" s="94"/>
      <c r="AB1109" s="94"/>
      <c r="AC1109" s="94"/>
      <c r="AD1109" s="94"/>
      <c r="AE1109" s="94"/>
    </row>
    <row r="1110">
      <c r="A1110" s="87"/>
      <c r="B1110" s="37"/>
      <c r="C1110" s="37"/>
      <c r="D1110" s="162"/>
      <c r="E1110" s="89"/>
      <c r="F1110" s="72"/>
      <c r="G1110" s="111"/>
      <c r="H1110" s="111"/>
      <c r="I1110" s="111"/>
      <c r="J1110" s="111"/>
      <c r="K1110" s="111"/>
      <c r="L1110" s="111"/>
      <c r="M1110" s="94"/>
      <c r="N1110" s="94"/>
      <c r="O1110" s="94"/>
      <c r="P1110" s="94"/>
      <c r="Q1110" s="94"/>
      <c r="R1110" s="94"/>
      <c r="S1110" s="94"/>
      <c r="T1110" s="94"/>
      <c r="U1110" s="94"/>
      <c r="V1110" s="94"/>
      <c r="W1110" s="94"/>
      <c r="X1110" s="94"/>
      <c r="Y1110" s="94"/>
      <c r="Z1110" s="94"/>
      <c r="AA1110" s="94"/>
      <c r="AB1110" s="94"/>
      <c r="AC1110" s="94"/>
      <c r="AD1110" s="94"/>
      <c r="AE1110" s="94"/>
    </row>
    <row r="1111">
      <c r="A1111" s="87"/>
      <c r="B1111" s="37"/>
      <c r="C1111" s="37"/>
      <c r="D1111" s="162"/>
      <c r="E1111" s="89"/>
      <c r="F1111" s="72"/>
      <c r="G1111" s="111"/>
      <c r="H1111" s="111"/>
      <c r="I1111" s="111"/>
      <c r="J1111" s="111"/>
      <c r="K1111" s="111"/>
      <c r="L1111" s="111"/>
      <c r="M1111" s="94"/>
      <c r="N1111" s="94"/>
      <c r="O1111" s="94"/>
      <c r="P1111" s="94"/>
      <c r="Q1111" s="94"/>
      <c r="R1111" s="94"/>
      <c r="S1111" s="94"/>
      <c r="T1111" s="94"/>
      <c r="U1111" s="94"/>
      <c r="V1111" s="94"/>
      <c r="W1111" s="94"/>
      <c r="X1111" s="94"/>
      <c r="Y1111" s="94"/>
      <c r="Z1111" s="94"/>
      <c r="AA1111" s="94"/>
      <c r="AB1111" s="94"/>
      <c r="AC1111" s="94"/>
      <c r="AD1111" s="94"/>
      <c r="AE1111" s="94"/>
    </row>
    <row r="1112">
      <c r="A1112" s="87"/>
      <c r="B1112" s="37"/>
      <c r="C1112" s="37"/>
      <c r="D1112" s="162"/>
      <c r="E1112" s="89"/>
      <c r="F1112" s="72"/>
      <c r="G1112" s="111"/>
      <c r="H1112" s="111"/>
      <c r="I1112" s="111"/>
      <c r="J1112" s="111"/>
      <c r="K1112" s="111"/>
      <c r="L1112" s="111"/>
      <c r="M1112" s="94"/>
      <c r="N1112" s="94"/>
      <c r="O1112" s="94"/>
      <c r="P1112" s="94"/>
      <c r="Q1112" s="94"/>
      <c r="R1112" s="94"/>
      <c r="S1112" s="94"/>
      <c r="T1112" s="94"/>
      <c r="U1112" s="94"/>
      <c r="V1112" s="94"/>
      <c r="W1112" s="94"/>
      <c r="X1112" s="94"/>
      <c r="Y1112" s="94"/>
      <c r="Z1112" s="94"/>
      <c r="AA1112" s="94"/>
      <c r="AB1112" s="94"/>
      <c r="AC1112" s="94"/>
      <c r="AD1112" s="94"/>
      <c r="AE1112" s="94"/>
    </row>
    <row r="1113">
      <c r="A1113" s="87"/>
      <c r="B1113" s="37"/>
      <c r="C1113" s="37"/>
      <c r="D1113" s="162"/>
      <c r="E1113" s="89"/>
      <c r="F1113" s="72"/>
      <c r="G1113" s="111"/>
      <c r="H1113" s="111"/>
      <c r="I1113" s="111"/>
      <c r="J1113" s="111"/>
      <c r="K1113" s="111"/>
      <c r="L1113" s="111"/>
      <c r="M1113" s="94"/>
      <c r="N1113" s="94"/>
      <c r="O1113" s="94"/>
      <c r="P1113" s="94"/>
      <c r="Q1113" s="94"/>
      <c r="R1113" s="94"/>
      <c r="S1113" s="94"/>
      <c r="T1113" s="94"/>
      <c r="U1113" s="94"/>
      <c r="V1113" s="94"/>
      <c r="W1113" s="94"/>
      <c r="X1113" s="94"/>
      <c r="Y1113" s="94"/>
      <c r="Z1113" s="94"/>
      <c r="AA1113" s="94"/>
      <c r="AB1113" s="94"/>
      <c r="AC1113" s="94"/>
      <c r="AD1113" s="94"/>
      <c r="AE1113" s="94"/>
    </row>
    <row r="1114">
      <c r="A1114" s="87"/>
      <c r="B1114" s="37"/>
      <c r="C1114" s="37"/>
      <c r="D1114" s="162"/>
      <c r="E1114" s="89"/>
      <c r="F1114" s="72"/>
      <c r="G1114" s="111"/>
      <c r="H1114" s="111"/>
      <c r="I1114" s="111"/>
      <c r="J1114" s="111"/>
      <c r="K1114" s="111"/>
      <c r="L1114" s="111"/>
      <c r="M1114" s="94"/>
      <c r="N1114" s="94"/>
      <c r="O1114" s="94"/>
      <c r="P1114" s="94"/>
      <c r="Q1114" s="94"/>
      <c r="R1114" s="94"/>
      <c r="S1114" s="94"/>
      <c r="T1114" s="94"/>
      <c r="U1114" s="94"/>
      <c r="V1114" s="94"/>
      <c r="W1114" s="94"/>
      <c r="X1114" s="94"/>
      <c r="Y1114" s="94"/>
      <c r="Z1114" s="94"/>
      <c r="AA1114" s="94"/>
      <c r="AB1114" s="94"/>
      <c r="AC1114" s="94"/>
      <c r="AD1114" s="94"/>
      <c r="AE1114" s="94"/>
    </row>
    <row r="1115">
      <c r="A1115" s="87"/>
      <c r="B1115" s="37"/>
      <c r="C1115" s="37"/>
      <c r="D1115" s="162"/>
      <c r="E1115" s="89"/>
      <c r="F1115" s="72"/>
      <c r="G1115" s="111"/>
      <c r="H1115" s="111"/>
      <c r="I1115" s="111"/>
      <c r="J1115" s="111"/>
      <c r="K1115" s="111"/>
      <c r="L1115" s="111"/>
      <c r="M1115" s="94"/>
      <c r="N1115" s="94"/>
      <c r="O1115" s="94"/>
      <c r="P1115" s="94"/>
      <c r="Q1115" s="94"/>
      <c r="R1115" s="94"/>
      <c r="S1115" s="94"/>
      <c r="T1115" s="94"/>
      <c r="U1115" s="94"/>
      <c r="V1115" s="94"/>
      <c r="W1115" s="94"/>
      <c r="X1115" s="94"/>
      <c r="Y1115" s="94"/>
      <c r="Z1115" s="94"/>
      <c r="AA1115" s="94"/>
      <c r="AB1115" s="94"/>
      <c r="AC1115" s="94"/>
      <c r="AD1115" s="94"/>
      <c r="AE1115" s="94"/>
    </row>
    <row r="1116">
      <c r="A1116" s="87"/>
      <c r="B1116" s="37"/>
      <c r="C1116" s="37"/>
      <c r="D1116" s="162"/>
      <c r="E1116" s="89"/>
      <c r="F1116" s="72"/>
      <c r="G1116" s="111"/>
      <c r="H1116" s="111"/>
      <c r="I1116" s="111"/>
      <c r="J1116" s="111"/>
      <c r="K1116" s="111"/>
      <c r="L1116" s="111"/>
      <c r="M1116" s="94"/>
      <c r="N1116" s="94"/>
      <c r="O1116" s="94"/>
      <c r="P1116" s="94"/>
      <c r="Q1116" s="94"/>
      <c r="R1116" s="94"/>
      <c r="S1116" s="94"/>
      <c r="T1116" s="94"/>
      <c r="U1116" s="94"/>
      <c r="V1116" s="94"/>
      <c r="W1116" s="94"/>
      <c r="X1116" s="94"/>
      <c r="Y1116" s="94"/>
      <c r="Z1116" s="94"/>
      <c r="AA1116" s="94"/>
      <c r="AB1116" s="94"/>
      <c r="AC1116" s="94"/>
      <c r="AD1116" s="94"/>
      <c r="AE1116" s="94"/>
    </row>
    <row r="1117">
      <c r="A1117" s="87"/>
      <c r="B1117" s="37"/>
      <c r="C1117" s="37"/>
      <c r="D1117" s="162"/>
      <c r="E1117" s="89"/>
      <c r="F1117" s="72"/>
      <c r="G1117" s="111"/>
      <c r="H1117" s="111"/>
      <c r="I1117" s="111"/>
      <c r="J1117" s="111"/>
      <c r="K1117" s="111"/>
      <c r="L1117" s="111"/>
      <c r="M1117" s="94"/>
      <c r="N1117" s="94"/>
      <c r="O1117" s="94"/>
      <c r="P1117" s="94"/>
      <c r="Q1117" s="94"/>
      <c r="R1117" s="94"/>
      <c r="S1117" s="94"/>
      <c r="T1117" s="94"/>
      <c r="U1117" s="94"/>
      <c r="V1117" s="94"/>
      <c r="W1117" s="94"/>
      <c r="X1117" s="94"/>
      <c r="Y1117" s="94"/>
      <c r="Z1117" s="94"/>
      <c r="AA1117" s="94"/>
      <c r="AB1117" s="94"/>
      <c r="AC1117" s="94"/>
      <c r="AD1117" s="94"/>
      <c r="AE1117" s="94"/>
    </row>
    <row r="1118">
      <c r="A1118" s="87"/>
      <c r="B1118" s="37"/>
      <c r="C1118" s="37"/>
      <c r="D1118" s="162"/>
      <c r="E1118" s="89"/>
      <c r="F1118" s="72"/>
      <c r="G1118" s="111"/>
      <c r="H1118" s="111"/>
      <c r="I1118" s="111"/>
      <c r="J1118" s="111"/>
      <c r="K1118" s="111"/>
      <c r="L1118" s="111"/>
      <c r="M1118" s="94"/>
      <c r="N1118" s="94"/>
      <c r="O1118" s="94"/>
      <c r="P1118" s="94"/>
      <c r="Q1118" s="94"/>
      <c r="R1118" s="94"/>
      <c r="S1118" s="94"/>
      <c r="T1118" s="94"/>
      <c r="U1118" s="94"/>
      <c r="V1118" s="94"/>
      <c r="W1118" s="94"/>
      <c r="X1118" s="94"/>
      <c r="Y1118" s="94"/>
      <c r="Z1118" s="94"/>
      <c r="AA1118" s="94"/>
      <c r="AB1118" s="94"/>
      <c r="AC1118" s="94"/>
      <c r="AD1118" s="94"/>
      <c r="AE1118" s="94"/>
    </row>
    <row r="1119">
      <c r="A1119" s="87"/>
      <c r="B1119" s="37"/>
      <c r="C1119" s="37"/>
      <c r="D1119" s="162"/>
      <c r="E1119" s="89"/>
      <c r="F1119" s="72"/>
      <c r="G1119" s="111"/>
      <c r="H1119" s="111"/>
      <c r="I1119" s="111"/>
      <c r="J1119" s="111"/>
      <c r="K1119" s="111"/>
      <c r="L1119" s="111"/>
      <c r="M1119" s="94"/>
      <c r="N1119" s="94"/>
      <c r="O1119" s="94"/>
      <c r="P1119" s="94"/>
      <c r="Q1119" s="94"/>
      <c r="R1119" s="94"/>
      <c r="S1119" s="94"/>
      <c r="T1119" s="94"/>
      <c r="U1119" s="94"/>
      <c r="V1119" s="94"/>
      <c r="W1119" s="94"/>
      <c r="X1119" s="94"/>
      <c r="Y1119" s="94"/>
      <c r="Z1119" s="94"/>
      <c r="AA1119" s="94"/>
      <c r="AB1119" s="94"/>
      <c r="AC1119" s="94"/>
      <c r="AD1119" s="94"/>
      <c r="AE1119" s="94"/>
    </row>
    <row r="1120">
      <c r="A1120" s="87"/>
      <c r="B1120" s="37"/>
      <c r="C1120" s="37"/>
      <c r="D1120" s="162"/>
      <c r="E1120" s="89"/>
      <c r="F1120" s="72"/>
      <c r="G1120" s="111"/>
      <c r="H1120" s="111"/>
      <c r="I1120" s="111"/>
      <c r="J1120" s="111"/>
      <c r="K1120" s="111"/>
      <c r="L1120" s="111"/>
      <c r="M1120" s="94"/>
      <c r="N1120" s="94"/>
      <c r="O1120" s="94"/>
      <c r="P1120" s="94"/>
      <c r="Q1120" s="94"/>
      <c r="R1120" s="94"/>
      <c r="S1120" s="94"/>
      <c r="T1120" s="94"/>
      <c r="U1120" s="94"/>
      <c r="V1120" s="94"/>
      <c r="W1120" s="94"/>
      <c r="X1120" s="94"/>
      <c r="Y1120" s="94"/>
      <c r="Z1120" s="94"/>
      <c r="AA1120" s="94"/>
      <c r="AB1120" s="94"/>
      <c r="AC1120" s="94"/>
      <c r="AD1120" s="94"/>
      <c r="AE1120" s="94"/>
    </row>
    <row r="1121">
      <c r="A1121" s="87"/>
      <c r="B1121" s="37"/>
      <c r="C1121" s="37"/>
      <c r="D1121" s="162"/>
      <c r="E1121" s="89"/>
      <c r="F1121" s="72"/>
      <c r="G1121" s="111"/>
      <c r="H1121" s="111"/>
      <c r="I1121" s="111"/>
      <c r="J1121" s="111"/>
      <c r="K1121" s="111"/>
      <c r="L1121" s="111"/>
      <c r="M1121" s="94"/>
      <c r="N1121" s="94"/>
      <c r="O1121" s="94"/>
      <c r="P1121" s="94"/>
      <c r="Q1121" s="94"/>
      <c r="R1121" s="94"/>
      <c r="S1121" s="94"/>
      <c r="T1121" s="94"/>
      <c r="U1121" s="94"/>
      <c r="V1121" s="94"/>
      <c r="W1121" s="94"/>
      <c r="X1121" s="94"/>
      <c r="Y1121" s="94"/>
      <c r="Z1121" s="94"/>
      <c r="AA1121" s="94"/>
      <c r="AB1121" s="94"/>
      <c r="AC1121" s="94"/>
      <c r="AD1121" s="94"/>
      <c r="AE1121" s="94"/>
    </row>
    <row r="1122">
      <c r="A1122" s="87"/>
      <c r="B1122" s="37"/>
      <c r="C1122" s="37"/>
      <c r="D1122" s="162"/>
      <c r="E1122" s="89"/>
      <c r="F1122" s="72"/>
      <c r="G1122" s="111"/>
      <c r="H1122" s="111"/>
      <c r="I1122" s="111"/>
      <c r="J1122" s="111"/>
      <c r="K1122" s="111"/>
      <c r="L1122" s="111"/>
      <c r="M1122" s="94"/>
      <c r="N1122" s="94"/>
      <c r="O1122" s="94"/>
      <c r="P1122" s="94"/>
      <c r="Q1122" s="94"/>
      <c r="R1122" s="94"/>
      <c r="S1122" s="94"/>
      <c r="T1122" s="94"/>
      <c r="U1122" s="94"/>
      <c r="V1122" s="94"/>
      <c r="W1122" s="94"/>
      <c r="X1122" s="94"/>
      <c r="Y1122" s="94"/>
      <c r="Z1122" s="94"/>
      <c r="AA1122" s="94"/>
      <c r="AB1122" s="94"/>
      <c r="AC1122" s="94"/>
      <c r="AD1122" s="94"/>
      <c r="AE1122" s="94"/>
    </row>
    <row r="1123">
      <c r="A1123" s="87"/>
      <c r="B1123" s="37"/>
      <c r="C1123" s="37"/>
      <c r="D1123" s="162"/>
      <c r="E1123" s="89"/>
      <c r="F1123" s="72"/>
      <c r="G1123" s="111"/>
      <c r="H1123" s="111"/>
      <c r="I1123" s="111"/>
      <c r="J1123" s="111"/>
      <c r="K1123" s="111"/>
      <c r="L1123" s="111"/>
      <c r="M1123" s="94"/>
      <c r="N1123" s="94"/>
      <c r="O1123" s="94"/>
      <c r="P1123" s="94"/>
      <c r="Q1123" s="94"/>
      <c r="R1123" s="94"/>
      <c r="S1123" s="94"/>
      <c r="T1123" s="94"/>
      <c r="U1123" s="94"/>
      <c r="V1123" s="94"/>
      <c r="W1123" s="94"/>
      <c r="X1123" s="94"/>
      <c r="Y1123" s="94"/>
      <c r="Z1123" s="94"/>
      <c r="AA1123" s="94"/>
      <c r="AB1123" s="94"/>
      <c r="AC1123" s="94"/>
      <c r="AD1123" s="94"/>
      <c r="AE1123" s="94"/>
    </row>
    <row r="1124">
      <c r="A1124" s="87"/>
      <c r="B1124" s="37"/>
      <c r="C1124" s="37"/>
      <c r="D1124" s="162"/>
      <c r="E1124" s="89"/>
      <c r="F1124" s="72"/>
      <c r="G1124" s="111"/>
      <c r="H1124" s="111"/>
      <c r="I1124" s="111"/>
      <c r="J1124" s="111"/>
      <c r="K1124" s="111"/>
      <c r="L1124" s="111"/>
      <c r="M1124" s="94"/>
      <c r="N1124" s="94"/>
      <c r="O1124" s="94"/>
      <c r="P1124" s="94"/>
      <c r="Q1124" s="94"/>
      <c r="R1124" s="94"/>
      <c r="S1124" s="94"/>
      <c r="T1124" s="94"/>
      <c r="U1124" s="94"/>
      <c r="V1124" s="94"/>
      <c r="W1124" s="94"/>
      <c r="X1124" s="94"/>
      <c r="Y1124" s="94"/>
      <c r="Z1124" s="94"/>
      <c r="AA1124" s="94"/>
      <c r="AB1124" s="94"/>
      <c r="AC1124" s="94"/>
      <c r="AD1124" s="94"/>
      <c r="AE1124" s="94"/>
    </row>
    <row r="1125">
      <c r="A1125" s="87"/>
      <c r="B1125" s="37"/>
      <c r="C1125" s="37"/>
      <c r="D1125" s="162"/>
      <c r="E1125" s="89"/>
      <c r="F1125" s="72"/>
      <c r="G1125" s="111"/>
      <c r="H1125" s="111"/>
      <c r="I1125" s="111"/>
      <c r="J1125" s="111"/>
      <c r="K1125" s="111"/>
      <c r="L1125" s="111"/>
      <c r="M1125" s="94"/>
      <c r="N1125" s="94"/>
      <c r="O1125" s="94"/>
      <c r="P1125" s="94"/>
      <c r="Q1125" s="94"/>
      <c r="R1125" s="94"/>
      <c r="S1125" s="94"/>
      <c r="T1125" s="94"/>
      <c r="U1125" s="94"/>
      <c r="V1125" s="94"/>
      <c r="W1125" s="94"/>
      <c r="X1125" s="94"/>
      <c r="Y1125" s="94"/>
      <c r="Z1125" s="94"/>
      <c r="AA1125" s="94"/>
      <c r="AB1125" s="94"/>
      <c r="AC1125" s="94"/>
      <c r="AD1125" s="94"/>
      <c r="AE1125" s="94"/>
    </row>
    <row r="1126">
      <c r="A1126" s="87"/>
      <c r="B1126" s="37"/>
      <c r="C1126" s="37"/>
      <c r="D1126" s="162"/>
      <c r="E1126" s="89"/>
      <c r="F1126" s="72"/>
      <c r="G1126" s="111"/>
      <c r="H1126" s="111"/>
      <c r="I1126" s="111"/>
      <c r="J1126" s="111"/>
      <c r="K1126" s="111"/>
      <c r="L1126" s="111"/>
      <c r="M1126" s="94"/>
      <c r="N1126" s="94"/>
      <c r="O1126" s="94"/>
      <c r="P1126" s="94"/>
      <c r="Q1126" s="94"/>
      <c r="R1126" s="94"/>
      <c r="S1126" s="94"/>
      <c r="T1126" s="94"/>
      <c r="U1126" s="94"/>
      <c r="V1126" s="94"/>
      <c r="W1126" s="94"/>
      <c r="X1126" s="94"/>
      <c r="Y1126" s="94"/>
      <c r="Z1126" s="94"/>
      <c r="AA1126" s="94"/>
      <c r="AB1126" s="94"/>
      <c r="AC1126" s="94"/>
      <c r="AD1126" s="94"/>
      <c r="AE1126" s="94"/>
    </row>
    <row r="1127">
      <c r="A1127" s="87"/>
      <c r="B1127" s="37"/>
      <c r="C1127" s="37"/>
      <c r="D1127" s="162"/>
      <c r="E1127" s="89"/>
      <c r="F1127" s="72"/>
      <c r="G1127" s="111"/>
      <c r="H1127" s="111"/>
      <c r="I1127" s="111"/>
      <c r="J1127" s="111"/>
      <c r="K1127" s="111"/>
      <c r="L1127" s="111"/>
      <c r="M1127" s="94"/>
      <c r="N1127" s="94"/>
      <c r="O1127" s="94"/>
      <c r="P1127" s="94"/>
      <c r="Q1127" s="94"/>
      <c r="R1127" s="94"/>
      <c r="S1127" s="94"/>
      <c r="T1127" s="94"/>
      <c r="U1127" s="94"/>
      <c r="V1127" s="94"/>
      <c r="W1127" s="94"/>
      <c r="X1127" s="94"/>
      <c r="Y1127" s="94"/>
      <c r="Z1127" s="94"/>
      <c r="AA1127" s="94"/>
      <c r="AB1127" s="94"/>
      <c r="AC1127" s="94"/>
      <c r="AD1127" s="94"/>
      <c r="AE1127" s="94"/>
    </row>
    <row r="1128">
      <c r="A1128" s="87"/>
      <c r="B1128" s="37"/>
      <c r="C1128" s="37"/>
      <c r="D1128" s="162"/>
      <c r="E1128" s="89"/>
      <c r="F1128" s="72"/>
      <c r="G1128" s="111"/>
      <c r="H1128" s="111"/>
      <c r="I1128" s="111"/>
      <c r="J1128" s="111"/>
      <c r="K1128" s="111"/>
      <c r="L1128" s="111"/>
      <c r="M1128" s="94"/>
      <c r="N1128" s="94"/>
      <c r="O1128" s="94"/>
      <c r="P1128" s="94"/>
      <c r="Q1128" s="94"/>
      <c r="R1128" s="94"/>
      <c r="S1128" s="94"/>
      <c r="T1128" s="94"/>
      <c r="U1128" s="94"/>
      <c r="V1128" s="94"/>
      <c r="W1128" s="94"/>
      <c r="X1128" s="94"/>
      <c r="Y1128" s="94"/>
      <c r="Z1128" s="94"/>
      <c r="AA1128" s="94"/>
      <c r="AB1128" s="94"/>
      <c r="AC1128" s="94"/>
      <c r="AD1128" s="94"/>
      <c r="AE1128" s="94"/>
    </row>
    <row r="1129">
      <c r="A1129" s="87"/>
      <c r="B1129" s="37"/>
      <c r="C1129" s="37"/>
      <c r="D1129" s="162"/>
      <c r="E1129" s="89"/>
      <c r="F1129" s="72"/>
      <c r="G1129" s="111"/>
      <c r="H1129" s="111"/>
      <c r="I1129" s="111"/>
      <c r="J1129" s="111"/>
      <c r="K1129" s="111"/>
      <c r="L1129" s="111"/>
      <c r="M1129" s="94"/>
      <c r="N1129" s="94"/>
      <c r="O1129" s="94"/>
      <c r="P1129" s="94"/>
      <c r="Q1129" s="94"/>
      <c r="R1129" s="94"/>
      <c r="S1129" s="94"/>
      <c r="T1129" s="94"/>
      <c r="U1129" s="94"/>
      <c r="V1129" s="94"/>
      <c r="W1129" s="94"/>
      <c r="X1129" s="94"/>
      <c r="Y1129" s="94"/>
      <c r="Z1129" s="94"/>
      <c r="AA1129" s="94"/>
      <c r="AB1129" s="94"/>
      <c r="AC1129" s="94"/>
      <c r="AD1129" s="94"/>
      <c r="AE1129" s="94"/>
    </row>
    <row r="1130">
      <c r="A1130" s="87"/>
      <c r="B1130" s="37"/>
      <c r="C1130" s="37"/>
      <c r="D1130" s="162"/>
      <c r="E1130" s="89"/>
      <c r="F1130" s="72"/>
      <c r="G1130" s="111"/>
      <c r="H1130" s="111"/>
      <c r="I1130" s="111"/>
      <c r="J1130" s="111"/>
      <c r="K1130" s="111"/>
      <c r="L1130" s="111"/>
      <c r="M1130" s="94"/>
      <c r="N1130" s="94"/>
      <c r="O1130" s="94"/>
      <c r="P1130" s="94"/>
      <c r="Q1130" s="94"/>
      <c r="R1130" s="94"/>
      <c r="S1130" s="94"/>
      <c r="T1130" s="94"/>
      <c r="U1130" s="94"/>
      <c r="V1130" s="94"/>
      <c r="W1130" s="94"/>
      <c r="X1130" s="94"/>
      <c r="Y1130" s="94"/>
      <c r="Z1130" s="94"/>
      <c r="AA1130" s="94"/>
      <c r="AB1130" s="94"/>
      <c r="AC1130" s="94"/>
      <c r="AD1130" s="94"/>
      <c r="AE1130" s="94"/>
    </row>
    <row r="1131">
      <c r="A1131" s="87"/>
      <c r="B1131" s="37"/>
      <c r="C1131" s="37"/>
      <c r="D1131" s="162"/>
      <c r="E1131" s="89"/>
      <c r="F1131" s="72"/>
      <c r="G1131" s="111"/>
      <c r="H1131" s="111"/>
      <c r="I1131" s="111"/>
      <c r="J1131" s="111"/>
      <c r="K1131" s="111"/>
      <c r="L1131" s="111"/>
      <c r="M1131" s="94"/>
      <c r="N1131" s="94"/>
      <c r="O1131" s="94"/>
      <c r="P1131" s="94"/>
      <c r="Q1131" s="94"/>
      <c r="R1131" s="94"/>
      <c r="S1131" s="94"/>
      <c r="T1131" s="94"/>
      <c r="U1131" s="94"/>
      <c r="V1131" s="94"/>
      <c r="W1131" s="94"/>
      <c r="X1131" s="94"/>
      <c r="Y1131" s="94"/>
      <c r="Z1131" s="94"/>
      <c r="AA1131" s="94"/>
      <c r="AB1131" s="94"/>
      <c r="AC1131" s="94"/>
      <c r="AD1131" s="94"/>
      <c r="AE1131" s="94"/>
    </row>
    <row r="1132">
      <c r="A1132" s="87"/>
      <c r="B1132" s="37"/>
      <c r="C1132" s="37"/>
      <c r="D1132" s="162"/>
      <c r="E1132" s="89"/>
      <c r="F1132" s="72"/>
      <c r="G1132" s="111"/>
      <c r="H1132" s="111"/>
      <c r="I1132" s="111"/>
      <c r="J1132" s="111"/>
      <c r="K1132" s="111"/>
      <c r="L1132" s="111"/>
      <c r="M1132" s="94"/>
      <c r="N1132" s="94"/>
      <c r="O1132" s="94"/>
      <c r="P1132" s="94"/>
      <c r="Q1132" s="94"/>
      <c r="R1132" s="94"/>
      <c r="S1132" s="94"/>
      <c r="T1132" s="94"/>
      <c r="U1132" s="94"/>
      <c r="V1132" s="94"/>
      <c r="W1132" s="94"/>
      <c r="X1132" s="94"/>
      <c r="Y1132" s="94"/>
      <c r="Z1132" s="94"/>
      <c r="AA1132" s="94"/>
      <c r="AB1132" s="94"/>
      <c r="AC1132" s="94"/>
      <c r="AD1132" s="94"/>
      <c r="AE1132" s="94"/>
    </row>
    <row r="1133">
      <c r="A1133" s="87"/>
      <c r="B1133" s="37"/>
      <c r="C1133" s="37"/>
      <c r="D1133" s="162"/>
      <c r="E1133" s="89"/>
      <c r="F1133" s="72"/>
      <c r="G1133" s="111"/>
      <c r="H1133" s="111"/>
      <c r="I1133" s="111"/>
      <c r="J1133" s="111"/>
      <c r="K1133" s="111"/>
      <c r="L1133" s="111"/>
      <c r="M1133" s="94"/>
      <c r="N1133" s="94"/>
      <c r="O1133" s="94"/>
      <c r="P1133" s="94"/>
      <c r="Q1133" s="94"/>
      <c r="R1133" s="94"/>
      <c r="S1133" s="94"/>
      <c r="T1133" s="94"/>
      <c r="U1133" s="94"/>
      <c r="V1133" s="94"/>
      <c r="W1133" s="94"/>
      <c r="X1133" s="94"/>
      <c r="Y1133" s="94"/>
      <c r="Z1133" s="94"/>
      <c r="AA1133" s="94"/>
      <c r="AB1133" s="94"/>
      <c r="AC1133" s="94"/>
      <c r="AD1133" s="94"/>
      <c r="AE1133" s="94"/>
    </row>
    <row r="1134">
      <c r="A1134" s="87"/>
      <c r="B1134" s="37"/>
      <c r="C1134" s="37"/>
      <c r="D1134" s="162"/>
      <c r="E1134" s="89"/>
      <c r="F1134" s="72"/>
      <c r="G1134" s="111"/>
      <c r="H1134" s="111"/>
      <c r="I1134" s="111"/>
      <c r="J1134" s="111"/>
      <c r="K1134" s="111"/>
      <c r="L1134" s="111"/>
      <c r="M1134" s="94"/>
      <c r="N1134" s="94"/>
      <c r="O1134" s="94"/>
      <c r="P1134" s="94"/>
      <c r="Q1134" s="94"/>
      <c r="R1134" s="94"/>
      <c r="S1134" s="94"/>
      <c r="T1134" s="94"/>
      <c r="U1134" s="94"/>
      <c r="V1134" s="94"/>
      <c r="W1134" s="94"/>
      <c r="X1134" s="94"/>
      <c r="Y1134" s="94"/>
      <c r="Z1134" s="94"/>
      <c r="AA1134" s="94"/>
      <c r="AB1134" s="94"/>
      <c r="AC1134" s="94"/>
      <c r="AD1134" s="94"/>
      <c r="AE1134" s="94"/>
    </row>
    <row r="1135">
      <c r="A1135" s="87"/>
      <c r="B1135" s="37"/>
      <c r="C1135" s="37"/>
      <c r="D1135" s="162"/>
      <c r="E1135" s="89"/>
      <c r="F1135" s="72"/>
      <c r="G1135" s="111"/>
      <c r="H1135" s="111"/>
      <c r="I1135" s="111"/>
      <c r="J1135" s="111"/>
      <c r="K1135" s="111"/>
      <c r="L1135" s="111"/>
      <c r="M1135" s="94"/>
      <c r="N1135" s="94"/>
      <c r="O1135" s="94"/>
      <c r="P1135" s="94"/>
      <c r="Q1135" s="94"/>
      <c r="R1135" s="94"/>
      <c r="S1135" s="94"/>
      <c r="T1135" s="94"/>
      <c r="U1135" s="94"/>
      <c r="V1135" s="94"/>
      <c r="W1135" s="94"/>
      <c r="X1135" s="94"/>
      <c r="Y1135" s="94"/>
      <c r="Z1135" s="94"/>
      <c r="AA1135" s="94"/>
      <c r="AB1135" s="94"/>
      <c r="AC1135" s="94"/>
      <c r="AD1135" s="94"/>
      <c r="AE1135" s="94"/>
    </row>
    <row r="1136">
      <c r="A1136" s="87"/>
      <c r="B1136" s="37"/>
      <c r="C1136" s="37"/>
      <c r="D1136" s="162"/>
      <c r="E1136" s="89"/>
      <c r="F1136" s="72"/>
      <c r="G1136" s="111"/>
      <c r="H1136" s="111"/>
      <c r="I1136" s="111"/>
      <c r="J1136" s="111"/>
      <c r="K1136" s="111"/>
      <c r="L1136" s="111"/>
      <c r="M1136" s="94"/>
      <c r="N1136" s="94"/>
      <c r="O1136" s="94"/>
      <c r="P1136" s="94"/>
      <c r="Q1136" s="94"/>
      <c r="R1136" s="94"/>
      <c r="S1136" s="94"/>
      <c r="T1136" s="94"/>
      <c r="U1136" s="94"/>
      <c r="V1136" s="94"/>
      <c r="W1136" s="94"/>
      <c r="X1136" s="94"/>
      <c r="Y1136" s="94"/>
      <c r="Z1136" s="94"/>
      <c r="AA1136" s="94"/>
      <c r="AB1136" s="94"/>
      <c r="AC1136" s="94"/>
      <c r="AD1136" s="94"/>
      <c r="AE1136" s="94"/>
    </row>
    <row r="1137">
      <c r="A1137" s="87"/>
      <c r="B1137" s="37"/>
      <c r="C1137" s="37"/>
      <c r="D1137" s="162"/>
      <c r="E1137" s="89"/>
      <c r="F1137" s="72"/>
      <c r="G1137" s="111"/>
      <c r="H1137" s="111"/>
      <c r="I1137" s="111"/>
      <c r="J1137" s="111"/>
      <c r="K1137" s="111"/>
      <c r="L1137" s="111"/>
      <c r="M1137" s="94"/>
      <c r="N1137" s="94"/>
      <c r="O1137" s="94"/>
      <c r="P1137" s="94"/>
      <c r="Q1137" s="94"/>
      <c r="R1137" s="94"/>
      <c r="S1137" s="94"/>
      <c r="T1137" s="94"/>
      <c r="U1137" s="94"/>
      <c r="V1137" s="94"/>
      <c r="W1137" s="94"/>
      <c r="X1137" s="94"/>
      <c r="Y1137" s="94"/>
      <c r="Z1137" s="94"/>
      <c r="AA1137" s="94"/>
      <c r="AB1137" s="94"/>
      <c r="AC1137" s="94"/>
      <c r="AD1137" s="94"/>
      <c r="AE1137" s="94"/>
    </row>
    <row r="1138">
      <c r="A1138" s="87"/>
      <c r="B1138" s="37"/>
      <c r="C1138" s="37"/>
      <c r="D1138" s="162"/>
      <c r="E1138" s="89"/>
      <c r="F1138" s="72"/>
      <c r="G1138" s="111"/>
      <c r="H1138" s="111"/>
      <c r="I1138" s="111"/>
      <c r="J1138" s="111"/>
      <c r="K1138" s="111"/>
      <c r="L1138" s="111"/>
      <c r="M1138" s="94"/>
      <c r="N1138" s="94"/>
      <c r="O1138" s="94"/>
      <c r="P1138" s="94"/>
      <c r="Q1138" s="94"/>
      <c r="R1138" s="94"/>
      <c r="S1138" s="94"/>
      <c r="T1138" s="94"/>
      <c r="U1138" s="94"/>
      <c r="V1138" s="94"/>
      <c r="W1138" s="94"/>
      <c r="X1138" s="94"/>
      <c r="Y1138" s="94"/>
      <c r="Z1138" s="94"/>
      <c r="AA1138" s="94"/>
      <c r="AB1138" s="94"/>
      <c r="AC1138" s="94"/>
      <c r="AD1138" s="94"/>
      <c r="AE1138" s="94"/>
    </row>
    <row r="1139">
      <c r="A1139" s="87"/>
      <c r="B1139" s="37"/>
      <c r="C1139" s="37"/>
      <c r="D1139" s="162"/>
      <c r="E1139" s="89"/>
      <c r="F1139" s="72"/>
      <c r="G1139" s="111"/>
      <c r="H1139" s="111"/>
      <c r="I1139" s="111"/>
      <c r="J1139" s="111"/>
      <c r="K1139" s="111"/>
      <c r="L1139" s="111"/>
      <c r="M1139" s="94"/>
      <c r="N1139" s="94"/>
      <c r="O1139" s="94"/>
      <c r="P1139" s="94"/>
      <c r="Q1139" s="94"/>
      <c r="R1139" s="94"/>
      <c r="S1139" s="94"/>
      <c r="T1139" s="94"/>
      <c r="U1139" s="94"/>
      <c r="V1139" s="94"/>
      <c r="W1139" s="94"/>
      <c r="X1139" s="94"/>
      <c r="Y1139" s="94"/>
      <c r="Z1139" s="94"/>
      <c r="AA1139" s="94"/>
      <c r="AB1139" s="94"/>
      <c r="AC1139" s="94"/>
      <c r="AD1139" s="94"/>
      <c r="AE1139" s="94"/>
    </row>
    <row r="1140">
      <c r="A1140" s="87"/>
      <c r="B1140" s="37"/>
      <c r="C1140" s="37"/>
      <c r="D1140" s="162"/>
      <c r="E1140" s="89"/>
      <c r="F1140" s="72"/>
      <c r="G1140" s="111"/>
      <c r="H1140" s="111"/>
      <c r="I1140" s="111"/>
      <c r="J1140" s="111"/>
      <c r="K1140" s="111"/>
      <c r="L1140" s="111"/>
      <c r="M1140" s="94"/>
      <c r="N1140" s="94"/>
      <c r="O1140" s="94"/>
      <c r="P1140" s="94"/>
      <c r="Q1140" s="94"/>
      <c r="R1140" s="94"/>
      <c r="S1140" s="94"/>
      <c r="T1140" s="94"/>
      <c r="U1140" s="94"/>
      <c r="V1140" s="94"/>
      <c r="W1140" s="94"/>
      <c r="X1140" s="94"/>
      <c r="Y1140" s="94"/>
      <c r="Z1140" s="94"/>
      <c r="AA1140" s="94"/>
      <c r="AB1140" s="94"/>
      <c r="AC1140" s="94"/>
      <c r="AD1140" s="94"/>
      <c r="AE1140" s="94"/>
    </row>
    <row r="1141">
      <c r="A1141" s="87"/>
      <c r="B1141" s="37"/>
      <c r="C1141" s="37"/>
      <c r="D1141" s="162"/>
      <c r="E1141" s="89"/>
      <c r="F1141" s="72"/>
      <c r="G1141" s="111"/>
      <c r="H1141" s="111"/>
      <c r="I1141" s="111"/>
      <c r="J1141" s="111"/>
      <c r="K1141" s="111"/>
      <c r="L1141" s="111"/>
      <c r="M1141" s="94"/>
      <c r="N1141" s="94"/>
      <c r="O1141" s="94"/>
      <c r="P1141" s="94"/>
      <c r="Q1141" s="94"/>
      <c r="R1141" s="94"/>
      <c r="S1141" s="94"/>
      <c r="T1141" s="94"/>
      <c r="U1141" s="94"/>
      <c r="V1141" s="94"/>
      <c r="W1141" s="94"/>
      <c r="X1141" s="94"/>
      <c r="Y1141" s="94"/>
      <c r="Z1141" s="94"/>
      <c r="AA1141" s="94"/>
      <c r="AB1141" s="94"/>
      <c r="AC1141" s="94"/>
      <c r="AD1141" s="94"/>
      <c r="AE1141" s="94"/>
    </row>
    <row r="1142">
      <c r="A1142" s="87"/>
      <c r="B1142" s="37"/>
      <c r="C1142" s="37"/>
      <c r="D1142" s="162"/>
      <c r="E1142" s="89"/>
      <c r="F1142" s="72"/>
      <c r="G1142" s="111"/>
      <c r="H1142" s="111"/>
      <c r="I1142" s="111"/>
      <c r="J1142" s="111"/>
      <c r="K1142" s="111"/>
      <c r="L1142" s="111"/>
      <c r="M1142" s="94"/>
      <c r="N1142" s="94"/>
      <c r="O1142" s="94"/>
      <c r="P1142" s="94"/>
      <c r="Q1142" s="94"/>
      <c r="R1142" s="94"/>
      <c r="S1142" s="94"/>
      <c r="T1142" s="94"/>
      <c r="U1142" s="94"/>
      <c r="V1142" s="94"/>
      <c r="W1142" s="94"/>
      <c r="X1142" s="94"/>
      <c r="Y1142" s="94"/>
      <c r="Z1142" s="94"/>
      <c r="AA1142" s="94"/>
      <c r="AB1142" s="94"/>
      <c r="AC1142" s="94"/>
      <c r="AD1142" s="94"/>
      <c r="AE1142" s="94"/>
    </row>
    <row r="1143">
      <c r="A1143" s="87"/>
      <c r="B1143" s="37"/>
      <c r="C1143" s="37"/>
      <c r="D1143" s="162"/>
      <c r="E1143" s="89"/>
      <c r="F1143" s="72"/>
      <c r="G1143" s="111"/>
      <c r="H1143" s="111"/>
      <c r="I1143" s="111"/>
      <c r="J1143" s="111"/>
      <c r="K1143" s="111"/>
      <c r="L1143" s="111"/>
      <c r="M1143" s="94"/>
      <c r="N1143" s="94"/>
      <c r="O1143" s="94"/>
      <c r="P1143" s="94"/>
      <c r="Q1143" s="94"/>
      <c r="R1143" s="94"/>
      <c r="S1143" s="94"/>
      <c r="T1143" s="94"/>
      <c r="U1143" s="94"/>
      <c r="V1143" s="94"/>
      <c r="W1143" s="94"/>
      <c r="X1143" s="94"/>
      <c r="Y1143" s="94"/>
      <c r="Z1143" s="94"/>
      <c r="AA1143" s="94"/>
      <c r="AB1143" s="94"/>
      <c r="AC1143" s="94"/>
      <c r="AD1143" s="94"/>
      <c r="AE1143" s="94"/>
    </row>
    <row r="1144">
      <c r="A1144" s="87"/>
      <c r="B1144" s="37"/>
      <c r="C1144" s="37"/>
      <c r="D1144" s="162"/>
      <c r="E1144" s="89"/>
      <c r="F1144" s="72"/>
      <c r="G1144" s="111"/>
      <c r="H1144" s="111"/>
      <c r="I1144" s="111"/>
      <c r="J1144" s="111"/>
      <c r="K1144" s="111"/>
      <c r="L1144" s="111"/>
      <c r="M1144" s="94"/>
      <c r="N1144" s="94"/>
      <c r="O1144" s="94"/>
      <c r="P1144" s="94"/>
      <c r="Q1144" s="94"/>
      <c r="R1144" s="94"/>
      <c r="S1144" s="94"/>
      <c r="T1144" s="94"/>
      <c r="U1144" s="94"/>
      <c r="V1144" s="94"/>
      <c r="W1144" s="94"/>
      <c r="X1144" s="94"/>
      <c r="Y1144" s="94"/>
      <c r="Z1144" s="94"/>
      <c r="AA1144" s="94"/>
      <c r="AB1144" s="94"/>
      <c r="AC1144" s="94"/>
      <c r="AD1144" s="94"/>
      <c r="AE1144" s="94"/>
    </row>
    <row r="1145">
      <c r="A1145" s="87"/>
      <c r="B1145" s="37"/>
      <c r="C1145" s="37"/>
      <c r="D1145" s="162"/>
      <c r="E1145" s="89"/>
      <c r="F1145" s="72"/>
      <c r="G1145" s="111"/>
      <c r="H1145" s="111"/>
      <c r="I1145" s="111"/>
      <c r="J1145" s="111"/>
      <c r="K1145" s="111"/>
      <c r="L1145" s="111"/>
      <c r="M1145" s="94"/>
      <c r="N1145" s="94"/>
      <c r="O1145" s="94"/>
      <c r="P1145" s="94"/>
      <c r="Q1145" s="94"/>
      <c r="R1145" s="94"/>
      <c r="S1145" s="94"/>
      <c r="T1145" s="94"/>
      <c r="U1145" s="94"/>
      <c r="V1145" s="94"/>
      <c r="W1145" s="94"/>
      <c r="X1145" s="94"/>
      <c r="Y1145" s="94"/>
      <c r="Z1145" s="94"/>
      <c r="AA1145" s="94"/>
      <c r="AB1145" s="94"/>
      <c r="AC1145" s="94"/>
      <c r="AD1145" s="94"/>
      <c r="AE1145" s="94"/>
    </row>
    <row r="1146">
      <c r="A1146" s="87"/>
      <c r="B1146" s="37"/>
      <c r="C1146" s="37"/>
      <c r="D1146" s="162"/>
      <c r="E1146" s="89"/>
      <c r="F1146" s="72"/>
      <c r="G1146" s="111"/>
      <c r="H1146" s="111"/>
      <c r="I1146" s="111"/>
      <c r="J1146" s="111"/>
      <c r="K1146" s="111"/>
      <c r="L1146" s="111"/>
      <c r="M1146" s="94"/>
      <c r="N1146" s="94"/>
      <c r="O1146" s="94"/>
      <c r="P1146" s="94"/>
      <c r="Q1146" s="94"/>
      <c r="R1146" s="94"/>
      <c r="S1146" s="94"/>
      <c r="T1146" s="94"/>
      <c r="U1146" s="94"/>
      <c r="V1146" s="94"/>
      <c r="W1146" s="94"/>
      <c r="X1146" s="94"/>
      <c r="Y1146" s="94"/>
      <c r="Z1146" s="94"/>
      <c r="AA1146" s="94"/>
      <c r="AB1146" s="94"/>
      <c r="AC1146" s="94"/>
      <c r="AD1146" s="94"/>
      <c r="AE1146" s="94"/>
    </row>
    <row r="1147">
      <c r="A1147" s="87"/>
      <c r="B1147" s="37"/>
      <c r="C1147" s="37"/>
      <c r="D1147" s="162"/>
      <c r="E1147" s="89"/>
      <c r="F1147" s="72"/>
      <c r="G1147" s="111"/>
      <c r="H1147" s="111"/>
      <c r="I1147" s="111"/>
      <c r="J1147" s="111"/>
      <c r="K1147" s="111"/>
      <c r="L1147" s="111"/>
      <c r="M1147" s="94"/>
      <c r="N1147" s="94"/>
      <c r="O1147" s="94"/>
      <c r="P1147" s="94"/>
      <c r="Q1147" s="94"/>
      <c r="R1147" s="94"/>
      <c r="S1147" s="94"/>
      <c r="T1147" s="94"/>
      <c r="U1147" s="94"/>
      <c r="V1147" s="94"/>
      <c r="W1147" s="94"/>
      <c r="X1147" s="94"/>
      <c r="Y1147" s="94"/>
      <c r="Z1147" s="94"/>
      <c r="AA1147" s="94"/>
      <c r="AB1147" s="94"/>
      <c r="AC1147" s="94"/>
      <c r="AD1147" s="94"/>
      <c r="AE1147" s="94"/>
    </row>
    <row r="1148">
      <c r="A1148" s="87"/>
      <c r="B1148" s="37"/>
      <c r="C1148" s="37"/>
      <c r="D1148" s="162"/>
      <c r="E1148" s="89"/>
      <c r="F1148" s="72"/>
      <c r="G1148" s="111"/>
      <c r="H1148" s="111"/>
      <c r="I1148" s="111"/>
      <c r="J1148" s="111"/>
      <c r="K1148" s="111"/>
      <c r="L1148" s="111"/>
      <c r="M1148" s="94"/>
      <c r="N1148" s="94"/>
      <c r="O1148" s="94"/>
      <c r="P1148" s="94"/>
      <c r="Q1148" s="94"/>
      <c r="R1148" s="94"/>
      <c r="S1148" s="94"/>
      <c r="T1148" s="94"/>
      <c r="U1148" s="94"/>
      <c r="V1148" s="94"/>
      <c r="W1148" s="94"/>
      <c r="X1148" s="94"/>
      <c r="Y1148" s="94"/>
      <c r="Z1148" s="94"/>
      <c r="AA1148" s="94"/>
      <c r="AB1148" s="94"/>
      <c r="AC1148" s="94"/>
      <c r="AD1148" s="94"/>
      <c r="AE1148" s="94"/>
    </row>
    <row r="1149">
      <c r="A1149" s="87"/>
      <c r="B1149" s="37"/>
      <c r="C1149" s="37"/>
      <c r="D1149" s="162"/>
      <c r="E1149" s="89"/>
      <c r="F1149" s="72"/>
      <c r="G1149" s="111"/>
      <c r="H1149" s="111"/>
      <c r="I1149" s="111"/>
      <c r="J1149" s="111"/>
      <c r="K1149" s="111"/>
      <c r="L1149" s="111"/>
      <c r="M1149" s="94"/>
      <c r="N1149" s="94"/>
      <c r="O1149" s="94"/>
      <c r="P1149" s="94"/>
      <c r="Q1149" s="94"/>
      <c r="R1149" s="94"/>
      <c r="S1149" s="94"/>
      <c r="T1149" s="94"/>
      <c r="U1149" s="94"/>
      <c r="V1149" s="94"/>
      <c r="W1149" s="94"/>
      <c r="X1149" s="94"/>
      <c r="Y1149" s="94"/>
      <c r="Z1149" s="94"/>
      <c r="AA1149" s="94"/>
      <c r="AB1149" s="94"/>
      <c r="AC1149" s="94"/>
      <c r="AD1149" s="94"/>
      <c r="AE1149" s="94"/>
    </row>
    <row r="1150">
      <c r="A1150" s="87"/>
      <c r="B1150" s="37"/>
      <c r="C1150" s="37"/>
      <c r="D1150" s="162"/>
      <c r="E1150" s="89"/>
      <c r="F1150" s="72"/>
      <c r="G1150" s="111"/>
      <c r="H1150" s="111"/>
      <c r="I1150" s="111"/>
      <c r="J1150" s="111"/>
      <c r="K1150" s="111"/>
      <c r="L1150" s="111"/>
      <c r="M1150" s="94"/>
      <c r="N1150" s="94"/>
      <c r="O1150" s="94"/>
      <c r="P1150" s="94"/>
      <c r="Q1150" s="94"/>
      <c r="R1150" s="94"/>
      <c r="S1150" s="94"/>
      <c r="T1150" s="94"/>
      <c r="U1150" s="94"/>
      <c r="V1150" s="94"/>
      <c r="W1150" s="94"/>
      <c r="X1150" s="94"/>
      <c r="Y1150" s="94"/>
      <c r="Z1150" s="94"/>
      <c r="AA1150" s="94"/>
      <c r="AB1150" s="94"/>
      <c r="AC1150" s="94"/>
      <c r="AD1150" s="94"/>
      <c r="AE1150" s="94"/>
    </row>
    <row r="1151">
      <c r="A1151" s="87"/>
      <c r="B1151" s="37"/>
      <c r="C1151" s="37"/>
      <c r="D1151" s="162"/>
      <c r="E1151" s="89"/>
      <c r="F1151" s="72"/>
      <c r="G1151" s="111"/>
      <c r="H1151" s="111"/>
      <c r="I1151" s="111"/>
      <c r="J1151" s="111"/>
      <c r="K1151" s="111"/>
      <c r="L1151" s="111"/>
      <c r="M1151" s="94"/>
      <c r="N1151" s="94"/>
      <c r="O1151" s="94"/>
      <c r="P1151" s="94"/>
      <c r="Q1151" s="94"/>
      <c r="R1151" s="94"/>
      <c r="S1151" s="94"/>
      <c r="T1151" s="94"/>
      <c r="U1151" s="94"/>
      <c r="V1151" s="94"/>
      <c r="W1151" s="94"/>
      <c r="X1151" s="94"/>
      <c r="Y1151" s="94"/>
      <c r="Z1151" s="94"/>
      <c r="AA1151" s="94"/>
      <c r="AB1151" s="94"/>
      <c r="AC1151" s="94"/>
      <c r="AD1151" s="94"/>
      <c r="AE1151" s="94"/>
    </row>
    <row r="1152">
      <c r="A1152" s="87"/>
      <c r="B1152" s="37"/>
      <c r="C1152" s="37"/>
      <c r="D1152" s="162"/>
      <c r="E1152" s="89"/>
      <c r="F1152" s="72"/>
      <c r="G1152" s="111"/>
      <c r="H1152" s="111"/>
      <c r="I1152" s="111"/>
      <c r="J1152" s="111"/>
      <c r="K1152" s="111"/>
      <c r="L1152" s="111"/>
      <c r="M1152" s="94"/>
      <c r="N1152" s="94"/>
      <c r="O1152" s="94"/>
      <c r="P1152" s="94"/>
      <c r="Q1152" s="94"/>
      <c r="R1152" s="94"/>
      <c r="S1152" s="94"/>
      <c r="T1152" s="94"/>
      <c r="U1152" s="94"/>
      <c r="V1152" s="94"/>
      <c r="W1152" s="94"/>
      <c r="X1152" s="94"/>
      <c r="Y1152" s="94"/>
      <c r="Z1152" s="94"/>
      <c r="AA1152" s="94"/>
      <c r="AB1152" s="94"/>
      <c r="AC1152" s="94"/>
      <c r="AD1152" s="94"/>
      <c r="AE1152" s="94"/>
    </row>
    <row r="1153">
      <c r="A1153" s="87"/>
      <c r="B1153" s="37"/>
      <c r="C1153" s="37"/>
      <c r="D1153" s="162"/>
      <c r="E1153" s="89"/>
      <c r="F1153" s="72"/>
      <c r="G1153" s="111"/>
      <c r="H1153" s="111"/>
      <c r="I1153" s="111"/>
      <c r="J1153" s="111"/>
      <c r="K1153" s="111"/>
      <c r="L1153" s="111"/>
      <c r="M1153" s="94"/>
      <c r="N1153" s="94"/>
      <c r="O1153" s="94"/>
      <c r="P1153" s="94"/>
      <c r="Q1153" s="94"/>
      <c r="R1153" s="94"/>
      <c r="S1153" s="94"/>
      <c r="T1153" s="94"/>
      <c r="U1153" s="94"/>
      <c r="V1153" s="94"/>
      <c r="W1153" s="94"/>
      <c r="X1153" s="94"/>
      <c r="Y1153" s="94"/>
      <c r="Z1153" s="94"/>
      <c r="AA1153" s="94"/>
      <c r="AB1153" s="94"/>
      <c r="AC1153" s="94"/>
      <c r="AD1153" s="94"/>
      <c r="AE1153" s="94"/>
    </row>
    <row r="1154">
      <c r="A1154" s="87"/>
      <c r="B1154" s="37"/>
      <c r="C1154" s="37"/>
      <c r="D1154" s="162"/>
      <c r="E1154" s="89"/>
      <c r="F1154" s="72"/>
      <c r="G1154" s="111"/>
      <c r="H1154" s="111"/>
      <c r="I1154" s="111"/>
      <c r="J1154" s="111"/>
      <c r="K1154" s="111"/>
      <c r="L1154" s="111"/>
      <c r="M1154" s="94"/>
      <c r="N1154" s="94"/>
      <c r="O1154" s="94"/>
      <c r="P1154" s="94"/>
      <c r="Q1154" s="94"/>
      <c r="R1154" s="94"/>
      <c r="S1154" s="94"/>
      <c r="T1154" s="94"/>
      <c r="U1154" s="94"/>
      <c r="V1154" s="94"/>
      <c r="W1154" s="94"/>
      <c r="X1154" s="94"/>
      <c r="Y1154" s="94"/>
      <c r="Z1154" s="94"/>
      <c r="AA1154" s="94"/>
      <c r="AB1154" s="94"/>
      <c r="AC1154" s="94"/>
      <c r="AD1154" s="94"/>
      <c r="AE1154" s="94"/>
    </row>
    <row r="1155">
      <c r="A1155" s="87"/>
      <c r="B1155" s="37"/>
      <c r="C1155" s="37"/>
      <c r="D1155" s="162"/>
      <c r="E1155" s="89"/>
      <c r="F1155" s="72"/>
      <c r="G1155" s="111"/>
      <c r="H1155" s="111"/>
      <c r="I1155" s="111"/>
      <c r="J1155" s="111"/>
      <c r="K1155" s="111"/>
      <c r="L1155" s="111"/>
      <c r="M1155" s="94"/>
      <c r="N1155" s="94"/>
      <c r="O1155" s="94"/>
      <c r="P1155" s="94"/>
      <c r="Q1155" s="94"/>
      <c r="R1155" s="94"/>
      <c r="S1155" s="94"/>
      <c r="T1155" s="94"/>
      <c r="U1155" s="94"/>
      <c r="V1155" s="94"/>
      <c r="W1155" s="94"/>
      <c r="X1155" s="94"/>
      <c r="Y1155" s="94"/>
      <c r="Z1155" s="94"/>
      <c r="AA1155" s="94"/>
      <c r="AB1155" s="94"/>
      <c r="AC1155" s="94"/>
      <c r="AD1155" s="94"/>
      <c r="AE1155" s="94"/>
    </row>
    <row r="1156">
      <c r="A1156" s="87"/>
      <c r="B1156" s="37"/>
      <c r="C1156" s="37"/>
      <c r="D1156" s="162"/>
      <c r="E1156" s="89"/>
      <c r="F1156" s="72"/>
      <c r="G1156" s="111"/>
      <c r="H1156" s="111"/>
      <c r="I1156" s="111"/>
      <c r="J1156" s="111"/>
      <c r="K1156" s="111"/>
      <c r="L1156" s="111"/>
      <c r="M1156" s="94"/>
      <c r="N1156" s="94"/>
      <c r="O1156" s="94"/>
      <c r="P1156" s="94"/>
      <c r="Q1156" s="94"/>
      <c r="R1156" s="94"/>
      <c r="S1156" s="94"/>
      <c r="T1156" s="94"/>
      <c r="U1156" s="94"/>
      <c r="V1156" s="94"/>
      <c r="W1156" s="94"/>
      <c r="X1156" s="94"/>
      <c r="Y1156" s="94"/>
      <c r="Z1156" s="94"/>
      <c r="AA1156" s="94"/>
      <c r="AB1156" s="94"/>
      <c r="AC1156" s="94"/>
      <c r="AD1156" s="94"/>
      <c r="AE1156" s="94"/>
    </row>
    <row r="1157">
      <c r="A1157" s="87"/>
      <c r="B1157" s="37"/>
      <c r="C1157" s="37"/>
      <c r="D1157" s="162"/>
      <c r="E1157" s="89"/>
      <c r="F1157" s="72"/>
      <c r="G1157" s="111"/>
      <c r="H1157" s="111"/>
      <c r="I1157" s="111"/>
      <c r="J1157" s="111"/>
      <c r="K1157" s="111"/>
      <c r="L1157" s="111"/>
      <c r="M1157" s="94"/>
      <c r="N1157" s="94"/>
      <c r="O1157" s="94"/>
      <c r="P1157" s="94"/>
      <c r="Q1157" s="94"/>
      <c r="R1157" s="94"/>
      <c r="S1157" s="94"/>
      <c r="T1157" s="94"/>
      <c r="U1157" s="94"/>
      <c r="V1157" s="94"/>
      <c r="W1157" s="94"/>
      <c r="X1157" s="94"/>
      <c r="Y1157" s="94"/>
      <c r="Z1157" s="94"/>
      <c r="AA1157" s="94"/>
      <c r="AB1157" s="94"/>
      <c r="AC1157" s="94"/>
      <c r="AD1157" s="94"/>
      <c r="AE1157" s="94"/>
    </row>
    <row r="1158">
      <c r="A1158" s="87"/>
      <c r="B1158" s="37"/>
      <c r="C1158" s="37"/>
      <c r="D1158" s="162"/>
      <c r="E1158" s="89"/>
      <c r="F1158" s="72"/>
      <c r="G1158" s="111"/>
      <c r="H1158" s="111"/>
      <c r="I1158" s="111"/>
      <c r="J1158" s="111"/>
      <c r="K1158" s="111"/>
      <c r="L1158" s="111"/>
      <c r="M1158" s="94"/>
      <c r="N1158" s="94"/>
      <c r="O1158" s="94"/>
      <c r="P1158" s="94"/>
      <c r="Q1158" s="94"/>
      <c r="R1158" s="94"/>
      <c r="S1158" s="94"/>
      <c r="T1158" s="94"/>
      <c r="U1158" s="94"/>
      <c r="V1158" s="94"/>
      <c r="W1158" s="94"/>
      <c r="X1158" s="94"/>
      <c r="Y1158" s="94"/>
      <c r="Z1158" s="94"/>
      <c r="AA1158" s="94"/>
      <c r="AB1158" s="94"/>
      <c r="AC1158" s="94"/>
      <c r="AD1158" s="94"/>
      <c r="AE1158" s="94"/>
    </row>
    <row r="1159">
      <c r="A1159" s="87"/>
      <c r="B1159" s="37"/>
      <c r="C1159" s="37"/>
      <c r="D1159" s="162"/>
      <c r="E1159" s="89"/>
      <c r="F1159" s="72"/>
      <c r="G1159" s="111"/>
      <c r="H1159" s="111"/>
      <c r="I1159" s="111"/>
      <c r="J1159" s="111"/>
      <c r="K1159" s="111"/>
      <c r="L1159" s="111"/>
      <c r="M1159" s="94"/>
      <c r="N1159" s="94"/>
      <c r="O1159" s="94"/>
      <c r="P1159" s="94"/>
      <c r="Q1159" s="94"/>
      <c r="R1159" s="94"/>
      <c r="S1159" s="94"/>
      <c r="T1159" s="94"/>
      <c r="U1159" s="94"/>
      <c r="V1159" s="94"/>
      <c r="W1159" s="94"/>
      <c r="X1159" s="94"/>
      <c r="Y1159" s="94"/>
      <c r="Z1159" s="94"/>
      <c r="AA1159" s="94"/>
      <c r="AB1159" s="94"/>
      <c r="AC1159" s="94"/>
      <c r="AD1159" s="94"/>
      <c r="AE1159" s="94"/>
    </row>
    <row r="1160">
      <c r="A1160" s="87"/>
      <c r="B1160" s="37"/>
      <c r="C1160" s="37"/>
      <c r="D1160" s="162"/>
      <c r="E1160" s="89"/>
      <c r="F1160" s="72"/>
      <c r="G1160" s="111"/>
      <c r="H1160" s="111"/>
      <c r="I1160" s="111"/>
      <c r="J1160" s="111"/>
      <c r="K1160" s="111"/>
      <c r="L1160" s="111"/>
      <c r="M1160" s="94"/>
      <c r="N1160" s="94"/>
      <c r="O1160" s="94"/>
      <c r="P1160" s="94"/>
      <c r="Q1160" s="94"/>
      <c r="R1160" s="94"/>
      <c r="S1160" s="94"/>
      <c r="T1160" s="94"/>
      <c r="U1160" s="94"/>
      <c r="V1160" s="94"/>
      <c r="W1160" s="94"/>
      <c r="X1160" s="94"/>
      <c r="Y1160" s="94"/>
      <c r="Z1160" s="94"/>
      <c r="AA1160" s="94"/>
      <c r="AB1160" s="94"/>
      <c r="AC1160" s="94"/>
      <c r="AD1160" s="94"/>
      <c r="AE1160" s="94"/>
    </row>
    <row r="1161">
      <c r="A1161" s="87"/>
      <c r="B1161" s="37"/>
      <c r="C1161" s="37"/>
      <c r="D1161" s="162"/>
      <c r="E1161" s="89"/>
      <c r="F1161" s="72"/>
      <c r="G1161" s="111"/>
      <c r="H1161" s="111"/>
      <c r="I1161" s="111"/>
      <c r="J1161" s="111"/>
      <c r="K1161" s="111"/>
      <c r="L1161" s="111"/>
      <c r="M1161" s="94"/>
      <c r="N1161" s="94"/>
      <c r="O1161" s="94"/>
      <c r="P1161" s="94"/>
      <c r="Q1161" s="94"/>
      <c r="R1161" s="94"/>
      <c r="S1161" s="94"/>
      <c r="T1161" s="94"/>
      <c r="U1161" s="94"/>
      <c r="V1161" s="94"/>
      <c r="W1161" s="94"/>
      <c r="X1161" s="94"/>
      <c r="Y1161" s="94"/>
      <c r="Z1161" s="94"/>
      <c r="AA1161" s="94"/>
      <c r="AB1161" s="94"/>
      <c r="AC1161" s="94"/>
      <c r="AD1161" s="94"/>
      <c r="AE1161" s="94"/>
    </row>
    <row r="1162">
      <c r="A1162" s="87"/>
      <c r="B1162" s="37"/>
      <c r="C1162" s="37"/>
      <c r="D1162" s="162"/>
      <c r="E1162" s="89"/>
      <c r="F1162" s="72"/>
      <c r="G1162" s="111"/>
      <c r="H1162" s="111"/>
      <c r="I1162" s="111"/>
      <c r="J1162" s="111"/>
      <c r="K1162" s="111"/>
      <c r="L1162" s="111"/>
      <c r="M1162" s="94"/>
      <c r="N1162" s="94"/>
      <c r="O1162" s="94"/>
      <c r="P1162" s="94"/>
      <c r="Q1162" s="94"/>
      <c r="R1162" s="94"/>
      <c r="S1162" s="94"/>
      <c r="T1162" s="94"/>
      <c r="U1162" s="94"/>
      <c r="V1162" s="94"/>
      <c r="W1162" s="94"/>
      <c r="X1162" s="94"/>
      <c r="Y1162" s="94"/>
      <c r="Z1162" s="94"/>
      <c r="AA1162" s="94"/>
      <c r="AB1162" s="94"/>
      <c r="AC1162" s="94"/>
      <c r="AD1162" s="94"/>
      <c r="AE1162" s="94"/>
    </row>
    <row r="1163">
      <c r="A1163" s="87"/>
      <c r="B1163" s="37"/>
      <c r="C1163" s="37"/>
      <c r="D1163" s="162"/>
      <c r="E1163" s="89"/>
      <c r="F1163" s="72"/>
      <c r="G1163" s="111"/>
      <c r="H1163" s="111"/>
      <c r="I1163" s="111"/>
      <c r="J1163" s="111"/>
      <c r="K1163" s="111"/>
      <c r="L1163" s="111"/>
      <c r="M1163" s="94"/>
      <c r="N1163" s="94"/>
      <c r="O1163" s="94"/>
      <c r="P1163" s="94"/>
      <c r="Q1163" s="94"/>
      <c r="R1163" s="94"/>
      <c r="S1163" s="94"/>
      <c r="T1163" s="94"/>
      <c r="U1163" s="94"/>
      <c r="V1163" s="94"/>
      <c r="W1163" s="94"/>
      <c r="X1163" s="94"/>
      <c r="Y1163" s="94"/>
      <c r="Z1163" s="94"/>
      <c r="AA1163" s="94"/>
      <c r="AB1163" s="94"/>
      <c r="AC1163" s="94"/>
      <c r="AD1163" s="94"/>
      <c r="AE1163" s="94"/>
    </row>
    <row r="1164">
      <c r="A1164" s="87"/>
      <c r="B1164" s="37"/>
      <c r="C1164" s="37"/>
      <c r="D1164" s="162"/>
      <c r="E1164" s="89"/>
      <c r="F1164" s="72"/>
      <c r="G1164" s="111"/>
      <c r="H1164" s="111"/>
      <c r="I1164" s="111"/>
      <c r="J1164" s="111"/>
      <c r="K1164" s="111"/>
      <c r="L1164" s="111"/>
      <c r="M1164" s="94"/>
      <c r="N1164" s="94"/>
      <c r="O1164" s="94"/>
      <c r="P1164" s="94"/>
      <c r="Q1164" s="94"/>
      <c r="R1164" s="94"/>
      <c r="S1164" s="94"/>
      <c r="T1164" s="94"/>
      <c r="U1164" s="94"/>
      <c r="V1164" s="94"/>
      <c r="W1164" s="94"/>
      <c r="X1164" s="94"/>
      <c r="Y1164" s="94"/>
      <c r="Z1164" s="94"/>
      <c r="AA1164" s="94"/>
      <c r="AB1164" s="94"/>
      <c r="AC1164" s="94"/>
      <c r="AD1164" s="94"/>
      <c r="AE1164" s="94"/>
    </row>
    <row r="1165">
      <c r="A1165" s="87"/>
      <c r="B1165" s="37"/>
      <c r="C1165" s="37"/>
      <c r="D1165" s="162"/>
      <c r="E1165" s="89"/>
      <c r="F1165" s="72"/>
      <c r="G1165" s="111"/>
      <c r="H1165" s="111"/>
      <c r="I1165" s="111"/>
      <c r="J1165" s="111"/>
      <c r="K1165" s="111"/>
      <c r="L1165" s="111"/>
      <c r="M1165" s="94"/>
      <c r="N1165" s="94"/>
      <c r="O1165" s="94"/>
      <c r="P1165" s="94"/>
      <c r="Q1165" s="94"/>
      <c r="R1165" s="94"/>
      <c r="S1165" s="94"/>
      <c r="T1165" s="94"/>
      <c r="U1165" s="94"/>
      <c r="V1165" s="94"/>
      <c r="W1165" s="94"/>
      <c r="X1165" s="94"/>
      <c r="Y1165" s="94"/>
      <c r="Z1165" s="94"/>
      <c r="AA1165" s="94"/>
      <c r="AB1165" s="94"/>
      <c r="AC1165" s="94"/>
      <c r="AD1165" s="94"/>
      <c r="AE1165" s="94"/>
    </row>
    <row r="1166">
      <c r="A1166" s="87"/>
      <c r="B1166" s="37"/>
      <c r="C1166" s="37"/>
      <c r="D1166" s="162"/>
      <c r="E1166" s="89"/>
      <c r="F1166" s="72"/>
      <c r="G1166" s="111"/>
      <c r="H1166" s="111"/>
      <c r="I1166" s="111"/>
      <c r="J1166" s="111"/>
      <c r="K1166" s="111"/>
      <c r="L1166" s="111"/>
      <c r="M1166" s="94"/>
      <c r="N1166" s="94"/>
      <c r="O1166" s="94"/>
      <c r="P1166" s="94"/>
      <c r="Q1166" s="94"/>
      <c r="R1166" s="94"/>
      <c r="S1166" s="94"/>
      <c r="T1166" s="94"/>
      <c r="U1166" s="94"/>
      <c r="V1166" s="94"/>
      <c r="W1166" s="94"/>
      <c r="X1166" s="94"/>
      <c r="Y1166" s="94"/>
      <c r="Z1166" s="94"/>
      <c r="AA1166" s="94"/>
      <c r="AB1166" s="94"/>
      <c r="AC1166" s="94"/>
      <c r="AD1166" s="94"/>
      <c r="AE1166" s="94"/>
    </row>
    <row r="1167">
      <c r="A1167" s="87"/>
      <c r="B1167" s="37"/>
      <c r="C1167" s="37"/>
      <c r="D1167" s="162"/>
      <c r="E1167" s="89"/>
      <c r="F1167" s="72"/>
      <c r="G1167" s="111"/>
      <c r="H1167" s="111"/>
      <c r="I1167" s="111"/>
      <c r="J1167" s="111"/>
      <c r="K1167" s="111"/>
      <c r="L1167" s="111"/>
      <c r="M1167" s="94"/>
      <c r="N1167" s="94"/>
      <c r="O1167" s="94"/>
      <c r="P1167" s="94"/>
      <c r="Q1167" s="94"/>
      <c r="R1167" s="94"/>
      <c r="S1167" s="94"/>
      <c r="T1167" s="94"/>
      <c r="U1167" s="94"/>
      <c r="V1167" s="94"/>
      <c r="W1167" s="94"/>
      <c r="X1167" s="94"/>
      <c r="Y1167" s="94"/>
      <c r="Z1167" s="94"/>
      <c r="AA1167" s="94"/>
      <c r="AB1167" s="94"/>
      <c r="AC1167" s="94"/>
      <c r="AD1167" s="94"/>
      <c r="AE1167" s="94"/>
    </row>
    <row r="1168">
      <c r="A1168" s="87"/>
      <c r="B1168" s="37"/>
      <c r="C1168" s="37"/>
      <c r="D1168" s="162"/>
      <c r="E1168" s="89"/>
      <c r="F1168" s="72"/>
      <c r="G1168" s="111"/>
      <c r="H1168" s="111"/>
      <c r="I1168" s="111"/>
      <c r="J1168" s="111"/>
      <c r="K1168" s="111"/>
      <c r="L1168" s="111"/>
      <c r="M1168" s="94"/>
      <c r="N1168" s="94"/>
      <c r="O1168" s="94"/>
      <c r="P1168" s="94"/>
      <c r="Q1168" s="94"/>
      <c r="R1168" s="94"/>
      <c r="S1168" s="94"/>
      <c r="T1168" s="94"/>
      <c r="U1168" s="94"/>
      <c r="V1168" s="94"/>
      <c r="W1168" s="94"/>
      <c r="X1168" s="94"/>
      <c r="Y1168" s="94"/>
      <c r="Z1168" s="94"/>
      <c r="AA1168" s="94"/>
      <c r="AB1168" s="94"/>
      <c r="AC1168" s="94"/>
      <c r="AD1168" s="94"/>
      <c r="AE1168" s="94"/>
    </row>
    <row r="1169">
      <c r="A1169" s="87"/>
      <c r="B1169" s="37"/>
      <c r="C1169" s="37"/>
      <c r="D1169" s="162"/>
      <c r="E1169" s="89"/>
      <c r="F1169" s="72"/>
      <c r="G1169" s="111"/>
      <c r="H1169" s="111"/>
      <c r="I1169" s="111"/>
      <c r="J1169" s="111"/>
      <c r="K1169" s="111"/>
      <c r="L1169" s="111"/>
      <c r="M1169" s="94"/>
      <c r="N1169" s="94"/>
      <c r="O1169" s="94"/>
      <c r="P1169" s="94"/>
      <c r="Q1169" s="94"/>
      <c r="R1169" s="94"/>
      <c r="S1169" s="94"/>
      <c r="T1169" s="94"/>
      <c r="U1169" s="94"/>
      <c r="V1169" s="94"/>
      <c r="W1169" s="94"/>
      <c r="X1169" s="94"/>
      <c r="Y1169" s="94"/>
      <c r="Z1169" s="94"/>
      <c r="AA1169" s="94"/>
      <c r="AB1169" s="94"/>
      <c r="AC1169" s="94"/>
      <c r="AD1169" s="94"/>
      <c r="AE1169" s="94"/>
    </row>
    <row r="1170">
      <c r="A1170" s="87"/>
      <c r="B1170" s="37"/>
      <c r="C1170" s="37"/>
      <c r="D1170" s="162"/>
      <c r="E1170" s="89"/>
      <c r="F1170" s="72"/>
      <c r="G1170" s="111"/>
      <c r="H1170" s="111"/>
      <c r="I1170" s="111"/>
      <c r="J1170" s="111"/>
      <c r="K1170" s="111"/>
      <c r="L1170" s="111"/>
      <c r="M1170" s="94"/>
      <c r="N1170" s="94"/>
      <c r="O1170" s="94"/>
      <c r="P1170" s="94"/>
      <c r="Q1170" s="94"/>
      <c r="R1170" s="94"/>
      <c r="S1170" s="94"/>
      <c r="T1170" s="94"/>
      <c r="U1170" s="94"/>
      <c r="V1170" s="94"/>
      <c r="W1170" s="94"/>
      <c r="X1170" s="94"/>
      <c r="Y1170" s="94"/>
      <c r="Z1170" s="94"/>
      <c r="AA1170" s="94"/>
      <c r="AB1170" s="94"/>
      <c r="AC1170" s="94"/>
      <c r="AD1170" s="94"/>
      <c r="AE1170" s="94"/>
    </row>
    <row r="1171">
      <c r="A1171" s="87"/>
      <c r="B1171" s="37"/>
      <c r="C1171" s="37"/>
      <c r="D1171" s="162"/>
      <c r="E1171" s="89"/>
      <c r="F1171" s="72"/>
      <c r="G1171" s="111"/>
      <c r="H1171" s="111"/>
      <c r="I1171" s="111"/>
      <c r="J1171" s="111"/>
      <c r="K1171" s="111"/>
      <c r="L1171" s="111"/>
      <c r="M1171" s="94"/>
      <c r="N1171" s="94"/>
      <c r="O1171" s="94"/>
      <c r="P1171" s="94"/>
      <c r="Q1171" s="94"/>
      <c r="R1171" s="94"/>
      <c r="S1171" s="94"/>
      <c r="T1171" s="94"/>
      <c r="U1171" s="94"/>
      <c r="V1171" s="94"/>
      <c r="W1171" s="94"/>
      <c r="X1171" s="94"/>
      <c r="Y1171" s="94"/>
      <c r="Z1171" s="94"/>
      <c r="AA1171" s="94"/>
      <c r="AB1171" s="94"/>
      <c r="AC1171" s="94"/>
      <c r="AD1171" s="94"/>
      <c r="AE1171" s="94"/>
    </row>
    <row r="1172">
      <c r="A1172" s="87"/>
      <c r="B1172" s="37"/>
      <c r="C1172" s="37"/>
      <c r="D1172" s="162"/>
      <c r="E1172" s="89"/>
      <c r="F1172" s="72"/>
      <c r="G1172" s="111"/>
      <c r="H1172" s="111"/>
      <c r="I1172" s="111"/>
      <c r="J1172" s="111"/>
      <c r="K1172" s="111"/>
      <c r="L1172" s="111"/>
      <c r="M1172" s="94"/>
      <c r="N1172" s="94"/>
      <c r="O1172" s="94"/>
      <c r="P1172" s="94"/>
      <c r="Q1172" s="94"/>
      <c r="R1172" s="94"/>
      <c r="S1172" s="94"/>
      <c r="T1172" s="94"/>
      <c r="U1172" s="94"/>
      <c r="V1172" s="94"/>
      <c r="W1172" s="94"/>
      <c r="X1172" s="94"/>
      <c r="Y1172" s="94"/>
      <c r="Z1172" s="94"/>
      <c r="AA1172" s="94"/>
      <c r="AB1172" s="94"/>
      <c r="AC1172" s="94"/>
      <c r="AD1172" s="94"/>
      <c r="AE1172" s="94"/>
    </row>
    <row r="1173">
      <c r="A1173" s="87"/>
      <c r="B1173" s="37"/>
      <c r="C1173" s="37"/>
      <c r="D1173" s="162"/>
      <c r="E1173" s="89"/>
      <c r="F1173" s="72"/>
      <c r="G1173" s="111"/>
      <c r="H1173" s="111"/>
      <c r="I1173" s="111"/>
      <c r="J1173" s="111"/>
      <c r="K1173" s="111"/>
      <c r="L1173" s="111"/>
      <c r="M1173" s="94"/>
      <c r="N1173" s="94"/>
      <c r="O1173" s="94"/>
      <c r="P1173" s="94"/>
      <c r="Q1173" s="94"/>
      <c r="R1173" s="94"/>
      <c r="S1173" s="94"/>
      <c r="T1173" s="94"/>
      <c r="U1173" s="94"/>
      <c r="V1173" s="94"/>
      <c r="W1173" s="94"/>
      <c r="X1173" s="94"/>
      <c r="Y1173" s="94"/>
      <c r="Z1173" s="94"/>
      <c r="AA1173" s="94"/>
      <c r="AB1173" s="94"/>
      <c r="AC1173" s="94"/>
      <c r="AD1173" s="94"/>
      <c r="AE1173" s="94"/>
    </row>
    <row r="1174">
      <c r="A1174" s="87"/>
      <c r="B1174" s="37"/>
      <c r="C1174" s="37"/>
      <c r="D1174" s="162"/>
      <c r="E1174" s="89"/>
      <c r="F1174" s="72"/>
      <c r="G1174" s="111"/>
      <c r="H1174" s="111"/>
      <c r="I1174" s="111"/>
      <c r="J1174" s="111"/>
      <c r="K1174" s="111"/>
      <c r="L1174" s="111"/>
      <c r="M1174" s="94"/>
      <c r="N1174" s="94"/>
      <c r="O1174" s="94"/>
      <c r="P1174" s="94"/>
      <c r="Q1174" s="94"/>
      <c r="R1174" s="94"/>
      <c r="S1174" s="94"/>
      <c r="T1174" s="94"/>
      <c r="U1174" s="94"/>
      <c r="V1174" s="94"/>
      <c r="W1174" s="94"/>
      <c r="X1174" s="94"/>
      <c r="Y1174" s="94"/>
      <c r="Z1174" s="94"/>
      <c r="AA1174" s="94"/>
      <c r="AB1174" s="94"/>
      <c r="AC1174" s="94"/>
      <c r="AD1174" s="94"/>
      <c r="AE1174" s="94"/>
    </row>
    <row r="1175">
      <c r="A1175" s="87"/>
      <c r="B1175" s="37"/>
      <c r="C1175" s="37"/>
      <c r="D1175" s="162"/>
      <c r="E1175" s="89"/>
      <c r="F1175" s="72"/>
      <c r="G1175" s="111"/>
      <c r="H1175" s="111"/>
      <c r="I1175" s="111"/>
      <c r="J1175" s="111"/>
      <c r="K1175" s="111"/>
      <c r="L1175" s="111"/>
      <c r="M1175" s="94"/>
      <c r="N1175" s="94"/>
      <c r="O1175" s="94"/>
      <c r="P1175" s="94"/>
      <c r="Q1175" s="94"/>
      <c r="R1175" s="94"/>
      <c r="S1175" s="94"/>
      <c r="T1175" s="94"/>
      <c r="U1175" s="94"/>
      <c r="V1175" s="94"/>
      <c r="W1175" s="94"/>
      <c r="X1175" s="94"/>
      <c r="Y1175" s="94"/>
      <c r="Z1175" s="94"/>
      <c r="AA1175" s="94"/>
      <c r="AB1175" s="94"/>
      <c r="AC1175" s="94"/>
      <c r="AD1175" s="94"/>
      <c r="AE1175" s="94"/>
    </row>
    <row r="1176">
      <c r="A1176" s="87"/>
      <c r="B1176" s="37"/>
      <c r="C1176" s="37"/>
      <c r="D1176" s="162"/>
      <c r="E1176" s="89"/>
      <c r="F1176" s="72"/>
      <c r="G1176" s="111"/>
      <c r="H1176" s="111"/>
      <c r="I1176" s="111"/>
      <c r="J1176" s="111"/>
      <c r="K1176" s="111"/>
      <c r="L1176" s="111"/>
      <c r="M1176" s="94"/>
      <c r="N1176" s="94"/>
      <c r="O1176" s="94"/>
      <c r="P1176" s="94"/>
      <c r="Q1176" s="94"/>
      <c r="R1176" s="94"/>
      <c r="S1176" s="94"/>
      <c r="T1176" s="94"/>
      <c r="U1176" s="94"/>
      <c r="V1176" s="94"/>
      <c r="W1176" s="94"/>
      <c r="X1176" s="94"/>
      <c r="Y1176" s="94"/>
      <c r="Z1176" s="94"/>
      <c r="AA1176" s="94"/>
      <c r="AB1176" s="94"/>
      <c r="AC1176" s="94"/>
      <c r="AD1176" s="94"/>
      <c r="AE1176" s="94"/>
    </row>
    <row r="1177">
      <c r="A1177" s="87"/>
      <c r="B1177" s="37"/>
      <c r="C1177" s="37"/>
      <c r="D1177" s="162"/>
      <c r="E1177" s="89"/>
      <c r="F1177" s="72"/>
      <c r="G1177" s="111"/>
      <c r="H1177" s="111"/>
      <c r="I1177" s="111"/>
      <c r="J1177" s="111"/>
      <c r="K1177" s="111"/>
      <c r="L1177" s="111"/>
      <c r="M1177" s="94"/>
      <c r="N1177" s="94"/>
      <c r="O1177" s="94"/>
      <c r="P1177" s="94"/>
      <c r="Q1177" s="94"/>
      <c r="R1177" s="94"/>
      <c r="S1177" s="94"/>
      <c r="T1177" s="94"/>
      <c r="U1177" s="94"/>
      <c r="V1177" s="94"/>
      <c r="W1177" s="94"/>
      <c r="X1177" s="94"/>
      <c r="Y1177" s="94"/>
      <c r="Z1177" s="94"/>
      <c r="AA1177" s="94"/>
      <c r="AB1177" s="94"/>
      <c r="AC1177" s="94"/>
      <c r="AD1177" s="94"/>
      <c r="AE1177" s="94"/>
    </row>
    <row r="1178">
      <c r="A1178" s="87"/>
      <c r="B1178" s="37"/>
      <c r="C1178" s="37"/>
      <c r="D1178" s="162"/>
      <c r="E1178" s="89"/>
      <c r="F1178" s="72"/>
      <c r="G1178" s="111"/>
      <c r="H1178" s="111"/>
      <c r="I1178" s="111"/>
      <c r="J1178" s="111"/>
      <c r="K1178" s="111"/>
      <c r="L1178" s="111"/>
      <c r="M1178" s="94"/>
      <c r="N1178" s="94"/>
      <c r="O1178" s="94"/>
      <c r="P1178" s="94"/>
      <c r="Q1178" s="94"/>
      <c r="R1178" s="94"/>
      <c r="S1178" s="94"/>
      <c r="T1178" s="94"/>
      <c r="U1178" s="94"/>
      <c r="V1178" s="94"/>
      <c r="W1178" s="94"/>
      <c r="X1178" s="94"/>
      <c r="Y1178" s="94"/>
      <c r="Z1178" s="94"/>
      <c r="AA1178" s="94"/>
      <c r="AB1178" s="94"/>
      <c r="AC1178" s="94"/>
      <c r="AD1178" s="94"/>
      <c r="AE1178" s="94"/>
    </row>
    <row r="1179">
      <c r="A1179" s="87"/>
      <c r="B1179" s="37"/>
      <c r="C1179" s="37"/>
      <c r="D1179" s="162"/>
      <c r="E1179" s="89"/>
      <c r="F1179" s="72"/>
      <c r="G1179" s="111"/>
      <c r="H1179" s="111"/>
      <c r="I1179" s="111"/>
      <c r="J1179" s="111"/>
      <c r="K1179" s="111"/>
      <c r="L1179" s="111"/>
      <c r="M1179" s="94"/>
      <c r="N1179" s="94"/>
      <c r="O1179" s="94"/>
      <c r="P1179" s="94"/>
      <c r="Q1179" s="94"/>
      <c r="R1179" s="94"/>
      <c r="S1179" s="94"/>
      <c r="T1179" s="94"/>
      <c r="U1179" s="94"/>
      <c r="V1179" s="94"/>
      <c r="W1179" s="94"/>
      <c r="X1179" s="94"/>
      <c r="Y1179" s="94"/>
      <c r="Z1179" s="94"/>
      <c r="AA1179" s="94"/>
      <c r="AB1179" s="94"/>
      <c r="AC1179" s="94"/>
      <c r="AD1179" s="94"/>
      <c r="AE1179" s="94"/>
    </row>
    <row r="1180">
      <c r="A1180" s="87"/>
      <c r="B1180" s="37"/>
      <c r="C1180" s="37"/>
      <c r="D1180" s="162"/>
      <c r="E1180" s="89"/>
      <c r="F1180" s="72"/>
      <c r="G1180" s="111"/>
      <c r="H1180" s="111"/>
      <c r="I1180" s="111"/>
      <c r="J1180" s="111"/>
      <c r="K1180" s="111"/>
      <c r="L1180" s="111"/>
      <c r="M1180" s="94"/>
      <c r="N1180" s="94"/>
      <c r="O1180" s="94"/>
      <c r="P1180" s="94"/>
      <c r="Q1180" s="94"/>
      <c r="R1180" s="94"/>
      <c r="S1180" s="94"/>
      <c r="T1180" s="94"/>
      <c r="U1180" s="94"/>
      <c r="V1180" s="94"/>
      <c r="W1180" s="94"/>
      <c r="X1180" s="94"/>
      <c r="Y1180" s="94"/>
      <c r="Z1180" s="94"/>
      <c r="AA1180" s="94"/>
      <c r="AB1180" s="94"/>
      <c r="AC1180" s="94"/>
      <c r="AD1180" s="94"/>
      <c r="AE1180" s="94"/>
    </row>
    <row r="1181">
      <c r="A1181" s="87"/>
      <c r="B1181" s="37"/>
      <c r="C1181" s="37"/>
      <c r="D1181" s="162"/>
      <c r="E1181" s="89"/>
      <c r="F1181" s="72"/>
      <c r="G1181" s="111"/>
      <c r="H1181" s="111"/>
      <c r="I1181" s="111"/>
      <c r="J1181" s="111"/>
      <c r="K1181" s="111"/>
      <c r="L1181" s="111"/>
      <c r="M1181" s="94"/>
      <c r="N1181" s="94"/>
      <c r="O1181" s="94"/>
      <c r="P1181" s="94"/>
      <c r="Q1181" s="94"/>
      <c r="R1181" s="94"/>
      <c r="S1181" s="94"/>
      <c r="T1181" s="94"/>
      <c r="U1181" s="94"/>
      <c r="V1181" s="94"/>
      <c r="W1181" s="94"/>
      <c r="X1181" s="94"/>
      <c r="Y1181" s="94"/>
      <c r="Z1181" s="94"/>
      <c r="AA1181" s="94"/>
      <c r="AB1181" s="94"/>
      <c r="AC1181" s="94"/>
      <c r="AD1181" s="94"/>
      <c r="AE1181" s="94"/>
    </row>
    <row r="1182">
      <c r="A1182" s="87"/>
      <c r="B1182" s="37"/>
      <c r="C1182" s="37"/>
      <c r="D1182" s="162"/>
      <c r="E1182" s="89"/>
      <c r="F1182" s="72"/>
      <c r="G1182" s="111"/>
      <c r="H1182" s="111"/>
      <c r="I1182" s="111"/>
      <c r="J1182" s="111"/>
      <c r="K1182" s="111"/>
      <c r="L1182" s="111"/>
      <c r="M1182" s="94"/>
      <c r="N1182" s="94"/>
      <c r="O1182" s="94"/>
      <c r="P1182" s="94"/>
      <c r="Q1182" s="94"/>
      <c r="R1182" s="94"/>
      <c r="S1182" s="94"/>
      <c r="T1182" s="94"/>
      <c r="U1182" s="94"/>
      <c r="V1182" s="94"/>
      <c r="W1182" s="94"/>
      <c r="X1182" s="94"/>
      <c r="Y1182" s="94"/>
      <c r="Z1182" s="94"/>
      <c r="AA1182" s="94"/>
      <c r="AB1182" s="94"/>
      <c r="AC1182" s="94"/>
      <c r="AD1182" s="94"/>
      <c r="AE1182" s="94"/>
    </row>
    <row r="1183">
      <c r="A1183" s="87"/>
      <c r="B1183" s="37"/>
      <c r="C1183" s="37"/>
      <c r="D1183" s="162"/>
      <c r="E1183" s="89"/>
      <c r="F1183" s="72"/>
      <c r="G1183" s="111"/>
      <c r="H1183" s="111"/>
      <c r="I1183" s="111"/>
      <c r="J1183" s="111"/>
      <c r="K1183" s="111"/>
      <c r="L1183" s="111"/>
      <c r="M1183" s="94"/>
      <c r="N1183" s="94"/>
      <c r="O1183" s="94"/>
      <c r="P1183" s="94"/>
      <c r="Q1183" s="94"/>
      <c r="R1183" s="94"/>
      <c r="S1183" s="94"/>
      <c r="T1183" s="94"/>
      <c r="U1183" s="94"/>
      <c r="V1183" s="94"/>
      <c r="W1183" s="94"/>
      <c r="X1183" s="94"/>
      <c r="Y1183" s="94"/>
      <c r="Z1183" s="94"/>
      <c r="AA1183" s="94"/>
      <c r="AB1183" s="94"/>
      <c r="AC1183" s="94"/>
      <c r="AD1183" s="94"/>
      <c r="AE1183" s="94"/>
    </row>
    <row r="1184">
      <c r="A1184" s="87"/>
      <c r="B1184" s="37"/>
      <c r="C1184" s="37"/>
      <c r="D1184" s="162"/>
      <c r="E1184" s="89"/>
      <c r="F1184" s="72"/>
      <c r="G1184" s="111"/>
      <c r="H1184" s="111"/>
      <c r="I1184" s="111"/>
      <c r="J1184" s="111"/>
      <c r="K1184" s="111"/>
      <c r="L1184" s="111"/>
      <c r="M1184" s="94"/>
      <c r="N1184" s="94"/>
      <c r="O1184" s="94"/>
      <c r="P1184" s="94"/>
      <c r="Q1184" s="94"/>
      <c r="R1184" s="94"/>
      <c r="S1184" s="94"/>
      <c r="T1184" s="94"/>
      <c r="U1184" s="94"/>
      <c r="V1184" s="94"/>
      <c r="W1184" s="94"/>
      <c r="X1184" s="94"/>
      <c r="Y1184" s="94"/>
      <c r="Z1184" s="94"/>
      <c r="AA1184" s="94"/>
      <c r="AB1184" s="94"/>
      <c r="AC1184" s="94"/>
      <c r="AD1184" s="94"/>
      <c r="AE1184" s="94"/>
    </row>
    <row r="1185">
      <c r="A1185" s="87"/>
      <c r="B1185" s="37"/>
      <c r="C1185" s="37"/>
      <c r="D1185" s="162"/>
      <c r="E1185" s="89"/>
      <c r="F1185" s="72"/>
      <c r="G1185" s="111"/>
      <c r="H1185" s="111"/>
      <c r="I1185" s="111"/>
      <c r="J1185" s="111"/>
      <c r="K1185" s="111"/>
      <c r="L1185" s="111"/>
      <c r="M1185" s="94"/>
      <c r="N1185" s="94"/>
      <c r="O1185" s="94"/>
      <c r="P1185" s="94"/>
      <c r="Q1185" s="94"/>
      <c r="R1185" s="94"/>
      <c r="S1185" s="94"/>
      <c r="T1185" s="94"/>
      <c r="U1185" s="94"/>
      <c r="V1185" s="94"/>
      <c r="W1185" s="94"/>
      <c r="X1185" s="94"/>
      <c r="Y1185" s="94"/>
      <c r="Z1185" s="94"/>
      <c r="AA1185" s="94"/>
      <c r="AB1185" s="94"/>
      <c r="AC1185" s="94"/>
      <c r="AD1185" s="94"/>
      <c r="AE1185" s="94"/>
    </row>
    <row r="1186">
      <c r="A1186" s="87"/>
      <c r="B1186" s="37"/>
      <c r="C1186" s="37"/>
      <c r="D1186" s="162"/>
      <c r="E1186" s="89"/>
      <c r="F1186" s="72"/>
      <c r="G1186" s="111"/>
      <c r="H1186" s="111"/>
      <c r="I1186" s="111"/>
      <c r="J1186" s="111"/>
      <c r="K1186" s="111"/>
      <c r="L1186" s="111"/>
      <c r="M1186" s="94"/>
      <c r="N1186" s="94"/>
      <c r="O1186" s="94"/>
      <c r="P1186" s="94"/>
      <c r="Q1186" s="94"/>
      <c r="R1186" s="94"/>
      <c r="S1186" s="94"/>
      <c r="T1186" s="94"/>
      <c r="U1186" s="94"/>
      <c r="V1186" s="94"/>
      <c r="W1186" s="94"/>
      <c r="X1186" s="94"/>
      <c r="Y1186" s="94"/>
      <c r="Z1186" s="94"/>
      <c r="AA1186" s="94"/>
      <c r="AB1186" s="94"/>
      <c r="AC1186" s="94"/>
      <c r="AD1186" s="94"/>
      <c r="AE1186" s="94"/>
    </row>
    <row r="1187">
      <c r="A1187" s="87"/>
      <c r="B1187" s="37"/>
      <c r="C1187" s="37"/>
      <c r="D1187" s="162"/>
      <c r="E1187" s="89"/>
      <c r="F1187" s="72"/>
      <c r="G1187" s="111"/>
      <c r="H1187" s="111"/>
      <c r="I1187" s="111"/>
      <c r="J1187" s="111"/>
      <c r="K1187" s="111"/>
      <c r="L1187" s="111"/>
      <c r="M1187" s="94"/>
      <c r="N1187" s="94"/>
      <c r="O1187" s="94"/>
      <c r="P1187" s="94"/>
      <c r="Q1187" s="94"/>
      <c r="R1187" s="94"/>
      <c r="S1187" s="94"/>
      <c r="T1187" s="94"/>
      <c r="U1187" s="94"/>
      <c r="V1187" s="94"/>
      <c r="W1187" s="94"/>
      <c r="X1187" s="94"/>
      <c r="Y1187" s="94"/>
      <c r="Z1187" s="94"/>
      <c r="AA1187" s="94"/>
      <c r="AB1187" s="94"/>
      <c r="AC1187" s="94"/>
      <c r="AD1187" s="94"/>
      <c r="AE1187" s="94"/>
    </row>
    <row r="1188">
      <c r="A1188" s="87"/>
      <c r="B1188" s="37"/>
      <c r="C1188" s="37"/>
      <c r="D1188" s="162"/>
      <c r="E1188" s="89"/>
      <c r="F1188" s="72"/>
      <c r="G1188" s="111"/>
      <c r="H1188" s="111"/>
      <c r="I1188" s="111"/>
      <c r="J1188" s="111"/>
      <c r="K1188" s="111"/>
      <c r="L1188" s="111"/>
      <c r="M1188" s="94"/>
      <c r="N1188" s="94"/>
      <c r="O1188" s="94"/>
      <c r="P1188" s="94"/>
      <c r="Q1188" s="94"/>
      <c r="R1188" s="94"/>
      <c r="S1188" s="94"/>
      <c r="T1188" s="94"/>
      <c r="U1188" s="94"/>
      <c r="V1188" s="94"/>
      <c r="W1188" s="94"/>
      <c r="X1188" s="94"/>
      <c r="Y1188" s="94"/>
      <c r="Z1188" s="94"/>
      <c r="AA1188" s="94"/>
      <c r="AB1188" s="94"/>
      <c r="AC1188" s="94"/>
      <c r="AD1188" s="94"/>
      <c r="AE1188" s="94"/>
    </row>
    <row r="1189">
      <c r="A1189" s="87"/>
      <c r="B1189" s="37"/>
      <c r="C1189" s="37"/>
      <c r="D1189" s="162"/>
      <c r="E1189" s="89"/>
      <c r="F1189" s="72"/>
      <c r="G1189" s="111"/>
      <c r="H1189" s="111"/>
      <c r="I1189" s="111"/>
      <c r="J1189" s="111"/>
      <c r="K1189" s="111"/>
      <c r="L1189" s="111"/>
      <c r="M1189" s="94"/>
      <c r="N1189" s="94"/>
      <c r="O1189" s="94"/>
      <c r="P1189" s="94"/>
      <c r="Q1189" s="94"/>
      <c r="R1189" s="94"/>
      <c r="S1189" s="94"/>
      <c r="T1189" s="94"/>
      <c r="U1189" s="94"/>
      <c r="V1189" s="94"/>
      <c r="W1189" s="94"/>
      <c r="X1189" s="94"/>
      <c r="Y1189" s="94"/>
      <c r="Z1189" s="94"/>
      <c r="AA1189" s="94"/>
      <c r="AB1189" s="94"/>
      <c r="AC1189" s="94"/>
      <c r="AD1189" s="94"/>
      <c r="AE1189" s="94"/>
    </row>
    <row r="1190">
      <c r="A1190" s="87"/>
      <c r="B1190" s="37"/>
      <c r="C1190" s="37"/>
      <c r="D1190" s="162"/>
      <c r="E1190" s="89"/>
      <c r="F1190" s="72"/>
      <c r="G1190" s="111"/>
      <c r="H1190" s="111"/>
      <c r="I1190" s="111"/>
      <c r="J1190" s="111"/>
      <c r="K1190" s="111"/>
      <c r="L1190" s="111"/>
      <c r="M1190" s="94"/>
      <c r="N1190" s="94"/>
      <c r="O1190" s="94"/>
      <c r="P1190" s="94"/>
      <c r="Q1190" s="94"/>
      <c r="R1190" s="94"/>
      <c r="S1190" s="94"/>
      <c r="T1190" s="94"/>
      <c r="U1190" s="94"/>
      <c r="V1190" s="94"/>
      <c r="W1190" s="94"/>
      <c r="X1190" s="94"/>
      <c r="Y1190" s="94"/>
      <c r="Z1190" s="94"/>
      <c r="AA1190" s="94"/>
      <c r="AB1190" s="94"/>
      <c r="AC1190" s="94"/>
      <c r="AD1190" s="94"/>
      <c r="AE1190" s="94"/>
    </row>
    <row r="1191">
      <c r="A1191" s="87"/>
      <c r="B1191" s="37"/>
      <c r="C1191" s="37"/>
      <c r="D1191" s="162"/>
      <c r="E1191" s="89"/>
      <c r="F1191" s="72"/>
      <c r="G1191" s="111"/>
      <c r="H1191" s="111"/>
      <c r="I1191" s="111"/>
      <c r="J1191" s="111"/>
      <c r="K1191" s="111"/>
      <c r="L1191" s="111"/>
      <c r="M1191" s="94"/>
      <c r="N1191" s="94"/>
      <c r="O1191" s="94"/>
      <c r="P1191" s="94"/>
      <c r="Q1191" s="94"/>
      <c r="R1191" s="94"/>
      <c r="S1191" s="94"/>
      <c r="T1191" s="94"/>
      <c r="U1191" s="94"/>
      <c r="V1191" s="94"/>
      <c r="W1191" s="94"/>
      <c r="X1191" s="94"/>
      <c r="Y1191" s="94"/>
      <c r="Z1191" s="94"/>
      <c r="AA1191" s="94"/>
      <c r="AB1191" s="94"/>
      <c r="AC1191" s="94"/>
      <c r="AD1191" s="94"/>
      <c r="AE1191" s="94"/>
    </row>
    <row r="1192">
      <c r="A1192" s="87"/>
      <c r="B1192" s="37"/>
      <c r="C1192" s="37"/>
      <c r="D1192" s="162"/>
      <c r="E1192" s="89"/>
      <c r="F1192" s="72"/>
      <c r="G1192" s="111"/>
      <c r="H1192" s="111"/>
      <c r="I1192" s="111"/>
      <c r="J1192" s="111"/>
      <c r="K1192" s="111"/>
      <c r="L1192" s="111"/>
      <c r="M1192" s="94"/>
      <c r="N1192" s="94"/>
      <c r="O1192" s="94"/>
      <c r="P1192" s="94"/>
      <c r="Q1192" s="94"/>
      <c r="R1192" s="94"/>
      <c r="S1192" s="94"/>
      <c r="T1192" s="94"/>
      <c r="U1192" s="94"/>
      <c r="V1192" s="94"/>
      <c r="W1192" s="94"/>
      <c r="X1192" s="94"/>
      <c r="Y1192" s="94"/>
      <c r="Z1192" s="94"/>
      <c r="AA1192" s="94"/>
      <c r="AB1192" s="94"/>
      <c r="AC1192" s="94"/>
      <c r="AD1192" s="94"/>
      <c r="AE1192" s="94"/>
    </row>
    <row r="1193">
      <c r="A1193" s="87"/>
      <c r="B1193" s="37"/>
      <c r="C1193" s="37"/>
      <c r="D1193" s="162"/>
      <c r="E1193" s="89"/>
      <c r="F1193" s="72"/>
      <c r="G1193" s="111"/>
      <c r="H1193" s="111"/>
      <c r="I1193" s="111"/>
      <c r="J1193" s="111"/>
      <c r="K1193" s="111"/>
      <c r="L1193" s="111"/>
      <c r="M1193" s="94"/>
      <c r="N1193" s="94"/>
      <c r="O1193" s="94"/>
      <c r="P1193" s="94"/>
      <c r="Q1193" s="94"/>
      <c r="R1193" s="94"/>
      <c r="S1193" s="94"/>
      <c r="T1193" s="94"/>
      <c r="U1193" s="94"/>
      <c r="V1193" s="94"/>
      <c r="W1193" s="94"/>
      <c r="X1193" s="94"/>
      <c r="Y1193" s="94"/>
      <c r="Z1193" s="94"/>
      <c r="AA1193" s="94"/>
      <c r="AB1193" s="94"/>
      <c r="AC1193" s="94"/>
      <c r="AD1193" s="94"/>
      <c r="AE1193" s="94"/>
    </row>
    <row r="1194">
      <c r="A1194" s="87"/>
      <c r="B1194" s="37"/>
      <c r="C1194" s="37"/>
      <c r="D1194" s="162"/>
      <c r="E1194" s="89"/>
      <c r="F1194" s="72"/>
      <c r="G1194" s="111"/>
      <c r="H1194" s="111"/>
      <c r="I1194" s="111"/>
      <c r="J1194" s="111"/>
      <c r="K1194" s="111"/>
      <c r="L1194" s="111"/>
      <c r="M1194" s="94"/>
      <c r="N1194" s="94"/>
      <c r="O1194" s="94"/>
      <c r="P1194" s="94"/>
      <c r="Q1194" s="94"/>
      <c r="R1194" s="94"/>
      <c r="S1194" s="94"/>
      <c r="T1194" s="94"/>
      <c r="U1194" s="94"/>
      <c r="V1194" s="94"/>
      <c r="W1194" s="94"/>
      <c r="X1194" s="94"/>
      <c r="Y1194" s="94"/>
      <c r="Z1194" s="94"/>
      <c r="AA1194" s="94"/>
      <c r="AB1194" s="94"/>
      <c r="AC1194" s="94"/>
      <c r="AD1194" s="94"/>
      <c r="AE1194" s="94"/>
    </row>
    <row r="1195">
      <c r="A1195" s="87"/>
      <c r="B1195" s="37"/>
      <c r="C1195" s="37"/>
      <c r="D1195" s="162"/>
      <c r="E1195" s="89"/>
      <c r="F1195" s="72"/>
      <c r="G1195" s="111"/>
      <c r="H1195" s="111"/>
      <c r="I1195" s="111"/>
      <c r="J1195" s="111"/>
      <c r="K1195" s="111"/>
      <c r="L1195" s="111"/>
      <c r="M1195" s="94"/>
      <c r="N1195" s="94"/>
      <c r="O1195" s="94"/>
      <c r="P1195" s="94"/>
      <c r="Q1195" s="94"/>
      <c r="R1195" s="94"/>
      <c r="S1195" s="94"/>
      <c r="T1195" s="94"/>
      <c r="U1195" s="94"/>
      <c r="V1195" s="94"/>
      <c r="W1195" s="94"/>
      <c r="X1195" s="94"/>
      <c r="Y1195" s="94"/>
      <c r="Z1195" s="94"/>
      <c r="AA1195" s="94"/>
      <c r="AB1195" s="94"/>
      <c r="AC1195" s="94"/>
      <c r="AD1195" s="94"/>
      <c r="AE1195" s="94"/>
    </row>
    <row r="1196">
      <c r="A1196" s="87"/>
      <c r="B1196" s="37"/>
      <c r="C1196" s="37"/>
      <c r="D1196" s="162"/>
      <c r="E1196" s="89"/>
      <c r="F1196" s="72"/>
      <c r="G1196" s="111"/>
      <c r="H1196" s="111"/>
      <c r="I1196" s="111"/>
      <c r="J1196" s="111"/>
      <c r="K1196" s="111"/>
      <c r="L1196" s="111"/>
      <c r="M1196" s="94"/>
      <c r="N1196" s="94"/>
      <c r="O1196" s="94"/>
      <c r="P1196" s="94"/>
      <c r="Q1196" s="94"/>
      <c r="R1196" s="94"/>
      <c r="S1196" s="94"/>
      <c r="T1196" s="94"/>
      <c r="U1196" s="94"/>
      <c r="V1196" s="94"/>
      <c r="W1196" s="94"/>
      <c r="X1196" s="94"/>
      <c r="Y1196" s="94"/>
      <c r="Z1196" s="94"/>
      <c r="AA1196" s="94"/>
      <c r="AB1196" s="94"/>
      <c r="AC1196" s="94"/>
      <c r="AD1196" s="94"/>
      <c r="AE1196" s="94"/>
    </row>
    <row r="1197">
      <c r="A1197" s="87"/>
      <c r="B1197" s="37"/>
      <c r="C1197" s="37"/>
      <c r="D1197" s="162"/>
      <c r="E1197" s="89"/>
      <c r="F1197" s="72"/>
      <c r="G1197" s="111"/>
      <c r="H1197" s="111"/>
      <c r="I1197" s="111"/>
      <c r="J1197" s="111"/>
      <c r="K1197" s="111"/>
      <c r="L1197" s="111"/>
      <c r="M1197" s="94"/>
      <c r="N1197" s="94"/>
      <c r="O1197" s="94"/>
      <c r="P1197" s="94"/>
      <c r="Q1197" s="94"/>
      <c r="R1197" s="94"/>
      <c r="S1197" s="94"/>
      <c r="T1197" s="94"/>
      <c r="U1197" s="94"/>
      <c r="V1197" s="94"/>
      <c r="W1197" s="94"/>
      <c r="X1197" s="94"/>
      <c r="Y1197" s="94"/>
      <c r="Z1197" s="94"/>
      <c r="AA1197" s="94"/>
      <c r="AB1197" s="94"/>
      <c r="AC1197" s="94"/>
      <c r="AD1197" s="94"/>
      <c r="AE1197" s="94"/>
    </row>
    <row r="1198">
      <c r="A1198" s="87"/>
      <c r="B1198" s="37"/>
      <c r="C1198" s="37"/>
      <c r="D1198" s="162"/>
      <c r="E1198" s="89"/>
      <c r="F1198" s="72"/>
      <c r="G1198" s="111"/>
      <c r="H1198" s="111"/>
      <c r="I1198" s="111"/>
      <c r="J1198" s="111"/>
      <c r="K1198" s="111"/>
      <c r="L1198" s="111"/>
      <c r="M1198" s="94"/>
      <c r="N1198" s="94"/>
      <c r="O1198" s="94"/>
      <c r="P1198" s="94"/>
      <c r="Q1198" s="94"/>
      <c r="R1198" s="94"/>
      <c r="S1198" s="94"/>
      <c r="T1198" s="94"/>
      <c r="U1198" s="94"/>
      <c r="V1198" s="94"/>
      <c r="W1198" s="94"/>
      <c r="X1198" s="94"/>
      <c r="Y1198" s="94"/>
      <c r="Z1198" s="94"/>
      <c r="AA1198" s="94"/>
      <c r="AB1198" s="94"/>
      <c r="AC1198" s="94"/>
      <c r="AD1198" s="94"/>
      <c r="AE1198" s="94"/>
    </row>
    <row r="1199">
      <c r="A1199" s="87"/>
      <c r="B1199" s="37"/>
      <c r="C1199" s="37"/>
      <c r="D1199" s="162"/>
      <c r="E1199" s="89"/>
      <c r="F1199" s="72"/>
      <c r="G1199" s="111"/>
      <c r="H1199" s="111"/>
      <c r="I1199" s="111"/>
      <c r="J1199" s="111"/>
      <c r="K1199" s="111"/>
      <c r="L1199" s="111"/>
      <c r="M1199" s="94"/>
      <c r="N1199" s="94"/>
      <c r="O1199" s="94"/>
      <c r="P1199" s="94"/>
      <c r="Q1199" s="94"/>
      <c r="R1199" s="94"/>
      <c r="S1199" s="94"/>
      <c r="T1199" s="94"/>
      <c r="U1199" s="94"/>
      <c r="V1199" s="94"/>
      <c r="W1199" s="94"/>
      <c r="X1199" s="94"/>
      <c r="Y1199" s="94"/>
      <c r="Z1199" s="94"/>
      <c r="AA1199" s="94"/>
      <c r="AB1199" s="94"/>
      <c r="AC1199" s="94"/>
      <c r="AD1199" s="94"/>
      <c r="AE1199" s="94"/>
    </row>
    <row r="1200">
      <c r="A1200" s="87"/>
      <c r="B1200" s="37"/>
      <c r="C1200" s="37"/>
      <c r="D1200" s="162"/>
      <c r="E1200" s="89"/>
      <c r="F1200" s="72"/>
      <c r="G1200" s="111"/>
      <c r="H1200" s="111"/>
      <c r="I1200" s="111"/>
      <c r="J1200" s="111"/>
      <c r="K1200" s="111"/>
      <c r="L1200" s="111"/>
      <c r="M1200" s="94"/>
      <c r="N1200" s="94"/>
      <c r="O1200" s="94"/>
      <c r="P1200" s="94"/>
      <c r="Q1200" s="94"/>
      <c r="R1200" s="94"/>
      <c r="S1200" s="94"/>
      <c r="T1200" s="94"/>
      <c r="U1200" s="94"/>
      <c r="V1200" s="94"/>
      <c r="W1200" s="94"/>
      <c r="X1200" s="94"/>
      <c r="Y1200" s="94"/>
      <c r="Z1200" s="94"/>
      <c r="AA1200" s="94"/>
      <c r="AB1200" s="94"/>
      <c r="AC1200" s="94"/>
      <c r="AD1200" s="94"/>
      <c r="AE1200" s="94"/>
    </row>
    <row r="1201">
      <c r="A1201" s="87"/>
      <c r="B1201" s="37"/>
      <c r="C1201" s="37"/>
      <c r="D1201" s="162"/>
      <c r="E1201" s="89"/>
      <c r="F1201" s="72"/>
      <c r="G1201" s="111"/>
      <c r="H1201" s="111"/>
      <c r="I1201" s="111"/>
      <c r="J1201" s="111"/>
      <c r="K1201" s="111"/>
      <c r="L1201" s="111"/>
      <c r="M1201" s="94"/>
      <c r="N1201" s="94"/>
      <c r="O1201" s="94"/>
      <c r="P1201" s="94"/>
      <c r="Q1201" s="94"/>
      <c r="R1201" s="94"/>
      <c r="S1201" s="94"/>
      <c r="T1201" s="94"/>
      <c r="U1201" s="94"/>
      <c r="V1201" s="94"/>
      <c r="W1201" s="94"/>
      <c r="X1201" s="94"/>
      <c r="Y1201" s="94"/>
      <c r="Z1201" s="94"/>
      <c r="AA1201" s="94"/>
      <c r="AB1201" s="94"/>
      <c r="AC1201" s="94"/>
      <c r="AD1201" s="94"/>
      <c r="AE1201" s="94"/>
    </row>
    <row r="1202">
      <c r="A1202" s="87"/>
      <c r="B1202" s="37"/>
      <c r="C1202" s="37"/>
      <c r="D1202" s="162"/>
      <c r="E1202" s="89"/>
      <c r="F1202" s="72"/>
      <c r="G1202" s="111"/>
      <c r="H1202" s="111"/>
      <c r="I1202" s="111"/>
      <c r="J1202" s="111"/>
      <c r="K1202" s="111"/>
      <c r="L1202" s="111"/>
      <c r="M1202" s="94"/>
      <c r="N1202" s="94"/>
      <c r="O1202" s="94"/>
      <c r="P1202" s="94"/>
      <c r="Q1202" s="94"/>
      <c r="R1202" s="94"/>
      <c r="S1202" s="94"/>
      <c r="T1202" s="94"/>
      <c r="U1202" s="94"/>
      <c r="V1202" s="94"/>
      <c r="W1202" s="94"/>
      <c r="X1202" s="94"/>
      <c r="Y1202" s="94"/>
      <c r="Z1202" s="94"/>
      <c r="AA1202" s="94"/>
      <c r="AB1202" s="94"/>
      <c r="AC1202" s="94"/>
      <c r="AD1202" s="94"/>
      <c r="AE1202" s="94"/>
    </row>
    <row r="1203">
      <c r="A1203" s="87"/>
      <c r="B1203" s="37"/>
      <c r="C1203" s="37"/>
      <c r="D1203" s="162"/>
      <c r="E1203" s="89"/>
      <c r="F1203" s="72"/>
      <c r="G1203" s="111"/>
      <c r="H1203" s="111"/>
      <c r="I1203" s="111"/>
      <c r="J1203" s="111"/>
      <c r="K1203" s="111"/>
      <c r="L1203" s="111"/>
      <c r="M1203" s="94"/>
      <c r="N1203" s="94"/>
      <c r="O1203" s="94"/>
      <c r="P1203" s="94"/>
      <c r="Q1203" s="94"/>
      <c r="R1203" s="94"/>
      <c r="S1203" s="94"/>
      <c r="T1203" s="94"/>
      <c r="U1203" s="94"/>
      <c r="V1203" s="94"/>
      <c r="W1203" s="94"/>
      <c r="X1203" s="94"/>
      <c r="Y1203" s="94"/>
      <c r="Z1203" s="94"/>
      <c r="AA1203" s="94"/>
      <c r="AB1203" s="94"/>
      <c r="AC1203" s="94"/>
      <c r="AD1203" s="94"/>
      <c r="AE1203" s="94"/>
    </row>
    <row r="1204">
      <c r="A1204" s="87"/>
      <c r="B1204" s="37"/>
      <c r="C1204" s="37"/>
      <c r="D1204" s="162"/>
      <c r="E1204" s="89"/>
      <c r="F1204" s="72"/>
      <c r="G1204" s="111"/>
      <c r="H1204" s="111"/>
      <c r="I1204" s="111"/>
      <c r="J1204" s="111"/>
      <c r="K1204" s="111"/>
      <c r="L1204" s="111"/>
      <c r="M1204" s="94"/>
      <c r="N1204" s="94"/>
      <c r="O1204" s="94"/>
      <c r="P1204" s="94"/>
      <c r="Q1204" s="94"/>
      <c r="R1204" s="94"/>
      <c r="S1204" s="94"/>
      <c r="T1204" s="94"/>
      <c r="U1204" s="94"/>
      <c r="V1204" s="94"/>
      <c r="W1204" s="94"/>
      <c r="X1204" s="94"/>
      <c r="Y1204" s="94"/>
      <c r="Z1204" s="94"/>
      <c r="AA1204" s="94"/>
      <c r="AB1204" s="94"/>
      <c r="AC1204" s="94"/>
      <c r="AD1204" s="94"/>
      <c r="AE1204" s="94"/>
    </row>
    <row r="1205">
      <c r="A1205" s="87"/>
      <c r="B1205" s="37"/>
      <c r="C1205" s="37"/>
      <c r="D1205" s="162"/>
      <c r="E1205" s="89"/>
      <c r="F1205" s="72"/>
      <c r="G1205" s="111"/>
      <c r="H1205" s="111"/>
      <c r="I1205" s="111"/>
      <c r="J1205" s="111"/>
      <c r="K1205" s="111"/>
      <c r="L1205" s="111"/>
      <c r="M1205" s="94"/>
      <c r="N1205" s="94"/>
      <c r="O1205" s="94"/>
      <c r="P1205" s="94"/>
      <c r="Q1205" s="94"/>
      <c r="R1205" s="94"/>
      <c r="S1205" s="94"/>
      <c r="T1205" s="94"/>
      <c r="U1205" s="94"/>
      <c r="V1205" s="94"/>
      <c r="W1205" s="94"/>
      <c r="X1205" s="94"/>
      <c r="Y1205" s="94"/>
      <c r="Z1205" s="94"/>
      <c r="AA1205" s="94"/>
      <c r="AB1205" s="94"/>
      <c r="AC1205" s="94"/>
      <c r="AD1205" s="94"/>
      <c r="AE1205" s="94"/>
    </row>
    <row r="1206">
      <c r="A1206" s="87"/>
      <c r="B1206" s="37"/>
      <c r="C1206" s="37"/>
      <c r="D1206" s="162"/>
      <c r="E1206" s="89"/>
      <c r="F1206" s="72"/>
      <c r="G1206" s="111"/>
      <c r="H1206" s="111"/>
      <c r="I1206" s="111"/>
      <c r="J1206" s="111"/>
      <c r="K1206" s="111"/>
      <c r="L1206" s="111"/>
      <c r="M1206" s="94"/>
      <c r="N1206" s="94"/>
      <c r="O1206" s="94"/>
      <c r="P1206" s="94"/>
      <c r="Q1206" s="94"/>
      <c r="R1206" s="94"/>
      <c r="S1206" s="94"/>
      <c r="T1206" s="94"/>
      <c r="U1206" s="94"/>
      <c r="V1206" s="94"/>
      <c r="W1206" s="94"/>
      <c r="X1206" s="94"/>
      <c r="Y1206" s="94"/>
      <c r="Z1206" s="94"/>
      <c r="AA1206" s="94"/>
      <c r="AB1206" s="94"/>
      <c r="AC1206" s="94"/>
      <c r="AD1206" s="94"/>
      <c r="AE1206" s="94"/>
    </row>
    <row r="1207">
      <c r="A1207" s="87"/>
      <c r="B1207" s="37"/>
      <c r="C1207" s="37"/>
      <c r="D1207" s="162"/>
      <c r="E1207" s="89"/>
      <c r="F1207" s="72"/>
      <c r="G1207" s="111"/>
      <c r="H1207" s="111"/>
      <c r="I1207" s="111"/>
      <c r="J1207" s="111"/>
      <c r="K1207" s="111"/>
      <c r="L1207" s="111"/>
      <c r="M1207" s="94"/>
      <c r="N1207" s="94"/>
      <c r="O1207" s="94"/>
      <c r="P1207" s="94"/>
      <c r="Q1207" s="94"/>
      <c r="R1207" s="94"/>
      <c r="S1207" s="94"/>
      <c r="T1207" s="94"/>
      <c r="U1207" s="94"/>
      <c r="V1207" s="94"/>
      <c r="W1207" s="94"/>
      <c r="X1207" s="94"/>
      <c r="Y1207" s="94"/>
      <c r="Z1207" s="94"/>
      <c r="AA1207" s="94"/>
      <c r="AB1207" s="94"/>
      <c r="AC1207" s="94"/>
      <c r="AD1207" s="94"/>
      <c r="AE1207" s="94"/>
    </row>
    <row r="1208">
      <c r="A1208" s="87"/>
      <c r="B1208" s="37"/>
      <c r="C1208" s="37"/>
      <c r="D1208" s="162"/>
      <c r="E1208" s="89"/>
      <c r="F1208" s="72"/>
      <c r="G1208" s="111"/>
      <c r="H1208" s="111"/>
      <c r="I1208" s="111"/>
      <c r="J1208" s="111"/>
      <c r="K1208" s="111"/>
      <c r="L1208" s="111"/>
      <c r="M1208" s="94"/>
      <c r="N1208" s="94"/>
      <c r="O1208" s="94"/>
      <c r="P1208" s="94"/>
      <c r="Q1208" s="94"/>
      <c r="R1208" s="94"/>
      <c r="S1208" s="94"/>
      <c r="T1208" s="94"/>
      <c r="U1208" s="94"/>
      <c r="V1208" s="94"/>
      <c r="W1208" s="94"/>
      <c r="X1208" s="94"/>
      <c r="Y1208" s="94"/>
      <c r="Z1208" s="94"/>
      <c r="AA1208" s="94"/>
      <c r="AB1208" s="94"/>
      <c r="AC1208" s="94"/>
      <c r="AD1208" s="94"/>
      <c r="AE1208" s="94"/>
    </row>
    <row r="1209">
      <c r="A1209" s="87"/>
      <c r="B1209" s="37"/>
      <c r="C1209" s="37"/>
      <c r="D1209" s="162"/>
      <c r="E1209" s="89"/>
      <c r="F1209" s="72"/>
      <c r="G1209" s="111"/>
      <c r="H1209" s="111"/>
      <c r="I1209" s="111"/>
      <c r="J1209" s="111"/>
      <c r="K1209" s="111"/>
      <c r="L1209" s="111"/>
      <c r="M1209" s="94"/>
      <c r="N1209" s="94"/>
      <c r="O1209" s="94"/>
      <c r="P1209" s="94"/>
      <c r="Q1209" s="94"/>
      <c r="R1209" s="94"/>
      <c r="S1209" s="94"/>
      <c r="T1209" s="94"/>
      <c r="U1209" s="94"/>
      <c r="V1209" s="94"/>
      <c r="W1209" s="94"/>
      <c r="X1209" s="94"/>
      <c r="Y1209" s="94"/>
      <c r="Z1209" s="94"/>
      <c r="AA1209" s="94"/>
      <c r="AB1209" s="94"/>
      <c r="AC1209" s="94"/>
      <c r="AD1209" s="94"/>
      <c r="AE1209" s="94"/>
    </row>
    <row r="1210">
      <c r="A1210" s="87"/>
      <c r="B1210" s="37"/>
      <c r="C1210" s="37"/>
      <c r="D1210" s="162"/>
      <c r="E1210" s="89"/>
      <c r="F1210" s="72"/>
      <c r="G1210" s="111"/>
      <c r="H1210" s="111"/>
      <c r="I1210" s="111"/>
      <c r="J1210" s="111"/>
      <c r="K1210" s="111"/>
      <c r="L1210" s="111"/>
      <c r="M1210" s="94"/>
      <c r="N1210" s="94"/>
      <c r="O1210" s="94"/>
      <c r="P1210" s="94"/>
      <c r="Q1210" s="94"/>
      <c r="R1210" s="94"/>
      <c r="S1210" s="94"/>
      <c r="T1210" s="94"/>
      <c r="U1210" s="94"/>
      <c r="V1210" s="94"/>
      <c r="W1210" s="94"/>
      <c r="X1210" s="94"/>
      <c r="Y1210" s="94"/>
      <c r="Z1210" s="94"/>
      <c r="AA1210" s="94"/>
      <c r="AB1210" s="94"/>
      <c r="AC1210" s="94"/>
      <c r="AD1210" s="94"/>
      <c r="AE1210" s="94"/>
    </row>
    <row r="1211">
      <c r="A1211" s="87"/>
      <c r="B1211" s="37"/>
      <c r="C1211" s="37"/>
      <c r="D1211" s="162"/>
      <c r="E1211" s="89"/>
      <c r="F1211" s="72"/>
      <c r="G1211" s="111"/>
      <c r="H1211" s="111"/>
      <c r="I1211" s="111"/>
      <c r="J1211" s="111"/>
      <c r="K1211" s="111"/>
      <c r="L1211" s="111"/>
      <c r="M1211" s="94"/>
      <c r="N1211" s="94"/>
      <c r="O1211" s="94"/>
      <c r="P1211" s="94"/>
      <c r="Q1211" s="94"/>
      <c r="R1211" s="94"/>
      <c r="S1211" s="94"/>
      <c r="T1211" s="94"/>
      <c r="U1211" s="94"/>
      <c r="V1211" s="94"/>
      <c r="W1211" s="94"/>
      <c r="X1211" s="94"/>
      <c r="Y1211" s="94"/>
      <c r="Z1211" s="94"/>
      <c r="AA1211" s="94"/>
      <c r="AB1211" s="94"/>
      <c r="AC1211" s="94"/>
      <c r="AD1211" s="94"/>
      <c r="AE1211" s="94"/>
    </row>
    <row r="1212">
      <c r="A1212" s="87"/>
      <c r="B1212" s="37"/>
      <c r="C1212" s="37"/>
      <c r="D1212" s="162"/>
      <c r="E1212" s="89"/>
      <c r="F1212" s="72"/>
      <c r="G1212" s="111"/>
      <c r="H1212" s="111"/>
      <c r="I1212" s="111"/>
      <c r="J1212" s="111"/>
      <c r="K1212" s="111"/>
      <c r="L1212" s="111"/>
      <c r="M1212" s="94"/>
      <c r="N1212" s="94"/>
      <c r="O1212" s="94"/>
      <c r="P1212" s="94"/>
      <c r="Q1212" s="94"/>
      <c r="R1212" s="94"/>
      <c r="S1212" s="94"/>
      <c r="T1212" s="94"/>
      <c r="U1212" s="94"/>
      <c r="V1212" s="94"/>
      <c r="W1212" s="94"/>
      <c r="X1212" s="94"/>
      <c r="Y1212" s="94"/>
      <c r="Z1212" s="94"/>
      <c r="AA1212" s="94"/>
      <c r="AB1212" s="94"/>
      <c r="AC1212" s="94"/>
      <c r="AD1212" s="94"/>
      <c r="AE1212" s="94"/>
    </row>
    <row r="1213">
      <c r="A1213" s="87"/>
      <c r="B1213" s="37"/>
      <c r="C1213" s="37"/>
      <c r="D1213" s="162"/>
      <c r="E1213" s="89"/>
      <c r="F1213" s="72"/>
      <c r="G1213" s="111"/>
      <c r="H1213" s="111"/>
      <c r="I1213" s="111"/>
      <c r="J1213" s="111"/>
      <c r="K1213" s="111"/>
      <c r="L1213" s="111"/>
      <c r="M1213" s="94"/>
      <c r="N1213" s="94"/>
      <c r="O1213" s="94"/>
      <c r="P1213" s="94"/>
      <c r="Q1213" s="94"/>
      <c r="R1213" s="94"/>
      <c r="S1213" s="94"/>
      <c r="T1213" s="94"/>
      <c r="U1213" s="94"/>
      <c r="V1213" s="94"/>
      <c r="W1213" s="94"/>
      <c r="X1213" s="94"/>
      <c r="Y1213" s="94"/>
      <c r="Z1213" s="94"/>
      <c r="AA1213" s="94"/>
      <c r="AB1213" s="94"/>
      <c r="AC1213" s="94"/>
      <c r="AD1213" s="94"/>
      <c r="AE1213" s="94"/>
    </row>
    <row r="1214">
      <c r="A1214" s="87"/>
      <c r="B1214" s="37"/>
      <c r="C1214" s="37"/>
      <c r="D1214" s="162"/>
      <c r="E1214" s="89"/>
      <c r="F1214" s="72"/>
      <c r="G1214" s="111"/>
      <c r="H1214" s="111"/>
      <c r="I1214" s="111"/>
      <c r="J1214" s="111"/>
      <c r="K1214" s="111"/>
      <c r="L1214" s="111"/>
      <c r="M1214" s="94"/>
      <c r="N1214" s="94"/>
      <c r="O1214" s="94"/>
      <c r="P1214" s="94"/>
      <c r="Q1214" s="94"/>
      <c r="R1214" s="94"/>
      <c r="S1214" s="94"/>
      <c r="T1214" s="94"/>
      <c r="U1214" s="94"/>
      <c r="V1214" s="94"/>
      <c r="W1214" s="94"/>
      <c r="X1214" s="94"/>
      <c r="Y1214" s="94"/>
      <c r="Z1214" s="94"/>
      <c r="AA1214" s="94"/>
      <c r="AB1214" s="94"/>
      <c r="AC1214" s="94"/>
      <c r="AD1214" s="94"/>
      <c r="AE1214" s="94"/>
    </row>
    <row r="1215">
      <c r="A1215" s="87"/>
      <c r="B1215" s="37"/>
      <c r="C1215" s="37"/>
      <c r="D1215" s="162"/>
      <c r="E1215" s="89"/>
      <c r="F1215" s="72"/>
      <c r="G1215" s="111"/>
      <c r="H1215" s="111"/>
      <c r="I1215" s="111"/>
      <c r="J1215" s="111"/>
      <c r="K1215" s="111"/>
      <c r="L1215" s="111"/>
      <c r="M1215" s="94"/>
      <c r="N1215" s="94"/>
      <c r="O1215" s="94"/>
      <c r="P1215" s="94"/>
      <c r="Q1215" s="94"/>
      <c r="R1215" s="94"/>
      <c r="S1215" s="94"/>
      <c r="T1215" s="94"/>
      <c r="U1215" s="94"/>
      <c r="V1215" s="94"/>
      <c r="W1215" s="94"/>
      <c r="X1215" s="94"/>
      <c r="Y1215" s="94"/>
      <c r="Z1215" s="94"/>
      <c r="AA1215" s="94"/>
      <c r="AB1215" s="94"/>
      <c r="AC1215" s="94"/>
      <c r="AD1215" s="94"/>
      <c r="AE1215" s="94"/>
    </row>
    <row r="1216">
      <c r="A1216" s="87"/>
      <c r="B1216" s="37"/>
      <c r="C1216" s="37"/>
      <c r="D1216" s="162"/>
      <c r="E1216" s="89"/>
      <c r="F1216" s="72"/>
      <c r="G1216" s="111"/>
      <c r="H1216" s="111"/>
      <c r="I1216" s="111"/>
      <c r="J1216" s="111"/>
      <c r="K1216" s="111"/>
      <c r="L1216" s="111"/>
      <c r="M1216" s="94"/>
      <c r="N1216" s="94"/>
      <c r="O1216" s="94"/>
      <c r="P1216" s="94"/>
      <c r="Q1216" s="94"/>
      <c r="R1216" s="94"/>
      <c r="S1216" s="94"/>
      <c r="T1216" s="94"/>
      <c r="U1216" s="94"/>
      <c r="V1216" s="94"/>
      <c r="W1216" s="94"/>
      <c r="X1216" s="94"/>
      <c r="Y1216" s="94"/>
      <c r="Z1216" s="94"/>
      <c r="AA1216" s="94"/>
      <c r="AB1216" s="94"/>
      <c r="AC1216" s="94"/>
      <c r="AD1216" s="94"/>
      <c r="AE1216" s="94"/>
    </row>
    <row r="1217">
      <c r="A1217" s="87"/>
      <c r="B1217" s="37"/>
      <c r="C1217" s="37"/>
      <c r="D1217" s="162"/>
      <c r="E1217" s="89"/>
      <c r="F1217" s="72"/>
      <c r="G1217" s="111"/>
      <c r="H1217" s="111"/>
      <c r="I1217" s="111"/>
      <c r="J1217" s="111"/>
      <c r="K1217" s="111"/>
      <c r="L1217" s="111"/>
      <c r="M1217" s="94"/>
      <c r="N1217" s="94"/>
      <c r="O1217" s="94"/>
      <c r="P1217" s="94"/>
      <c r="Q1217" s="94"/>
      <c r="R1217" s="94"/>
      <c r="S1217" s="94"/>
      <c r="T1217" s="94"/>
      <c r="U1217" s="94"/>
      <c r="V1217" s="94"/>
      <c r="W1217" s="94"/>
      <c r="X1217" s="94"/>
      <c r="Y1217" s="94"/>
      <c r="Z1217" s="94"/>
      <c r="AA1217" s="94"/>
      <c r="AB1217" s="94"/>
      <c r="AC1217" s="94"/>
      <c r="AD1217" s="94"/>
      <c r="AE1217" s="94"/>
    </row>
    <row r="1218">
      <c r="A1218" s="87"/>
      <c r="B1218" s="37"/>
      <c r="C1218" s="37"/>
      <c r="D1218" s="162"/>
      <c r="E1218" s="89"/>
      <c r="F1218" s="72"/>
      <c r="G1218" s="111"/>
      <c r="H1218" s="111"/>
      <c r="I1218" s="111"/>
      <c r="J1218" s="111"/>
      <c r="K1218" s="111"/>
      <c r="L1218" s="111"/>
      <c r="M1218" s="94"/>
      <c r="N1218" s="94"/>
      <c r="O1218" s="94"/>
      <c r="P1218" s="94"/>
      <c r="Q1218" s="94"/>
      <c r="R1218" s="94"/>
      <c r="S1218" s="94"/>
      <c r="T1218" s="94"/>
      <c r="U1218" s="94"/>
      <c r="V1218" s="94"/>
      <c r="W1218" s="94"/>
      <c r="X1218" s="94"/>
      <c r="Y1218" s="94"/>
      <c r="Z1218" s="94"/>
      <c r="AA1218" s="94"/>
      <c r="AB1218" s="94"/>
      <c r="AC1218" s="94"/>
      <c r="AD1218" s="94"/>
      <c r="AE1218" s="94"/>
    </row>
    <row r="1219">
      <c r="A1219" s="87"/>
      <c r="B1219" s="37"/>
      <c r="C1219" s="37"/>
      <c r="D1219" s="162"/>
      <c r="E1219" s="89"/>
      <c r="F1219" s="72"/>
      <c r="G1219" s="111"/>
      <c r="H1219" s="111"/>
      <c r="I1219" s="111"/>
      <c r="J1219" s="111"/>
      <c r="K1219" s="111"/>
      <c r="L1219" s="111"/>
      <c r="M1219" s="94"/>
      <c r="N1219" s="94"/>
      <c r="O1219" s="94"/>
      <c r="P1219" s="94"/>
      <c r="Q1219" s="94"/>
      <c r="R1219" s="94"/>
      <c r="S1219" s="94"/>
      <c r="T1219" s="94"/>
      <c r="U1219" s="94"/>
      <c r="V1219" s="94"/>
      <c r="W1219" s="94"/>
      <c r="X1219" s="94"/>
      <c r="Y1219" s="94"/>
      <c r="Z1219" s="94"/>
      <c r="AA1219" s="94"/>
      <c r="AB1219" s="94"/>
      <c r="AC1219" s="94"/>
      <c r="AD1219" s="94"/>
      <c r="AE1219" s="94"/>
    </row>
    <row r="1220">
      <c r="A1220" s="87"/>
      <c r="B1220" s="37"/>
      <c r="C1220" s="37"/>
      <c r="D1220" s="162"/>
      <c r="E1220" s="89"/>
      <c r="F1220" s="72"/>
      <c r="G1220" s="111"/>
      <c r="H1220" s="111"/>
      <c r="I1220" s="111"/>
      <c r="J1220" s="111"/>
      <c r="K1220" s="111"/>
      <c r="L1220" s="111"/>
      <c r="M1220" s="94"/>
      <c r="N1220" s="94"/>
      <c r="O1220" s="94"/>
      <c r="P1220" s="94"/>
      <c r="Q1220" s="94"/>
      <c r="R1220" s="94"/>
      <c r="S1220" s="94"/>
      <c r="T1220" s="94"/>
      <c r="U1220" s="94"/>
      <c r="V1220" s="94"/>
      <c r="W1220" s="94"/>
      <c r="X1220" s="94"/>
      <c r="Y1220" s="94"/>
      <c r="Z1220" s="94"/>
      <c r="AA1220" s="94"/>
      <c r="AB1220" s="94"/>
      <c r="AC1220" s="94"/>
      <c r="AD1220" s="94"/>
      <c r="AE1220" s="94"/>
    </row>
    <row r="1221">
      <c r="A1221" s="87"/>
      <c r="B1221" s="37"/>
      <c r="C1221" s="37"/>
      <c r="D1221" s="162"/>
      <c r="E1221" s="89"/>
      <c r="F1221" s="72"/>
      <c r="G1221" s="111"/>
      <c r="H1221" s="111"/>
      <c r="I1221" s="111"/>
      <c r="J1221" s="111"/>
      <c r="K1221" s="111"/>
      <c r="L1221" s="111"/>
      <c r="M1221" s="94"/>
      <c r="N1221" s="94"/>
      <c r="O1221" s="94"/>
      <c r="P1221" s="94"/>
      <c r="Q1221" s="94"/>
      <c r="R1221" s="94"/>
      <c r="S1221" s="94"/>
      <c r="T1221" s="94"/>
      <c r="U1221" s="94"/>
      <c r="V1221" s="94"/>
      <c r="W1221" s="94"/>
      <c r="X1221" s="94"/>
      <c r="Y1221" s="94"/>
      <c r="Z1221" s="94"/>
      <c r="AA1221" s="94"/>
      <c r="AB1221" s="94"/>
      <c r="AC1221" s="94"/>
      <c r="AD1221" s="94"/>
      <c r="AE1221" s="94"/>
    </row>
    <row r="1222">
      <c r="A1222" s="87"/>
      <c r="B1222" s="37"/>
      <c r="C1222" s="37"/>
      <c r="D1222" s="162"/>
      <c r="E1222" s="89"/>
      <c r="F1222" s="72"/>
      <c r="G1222" s="111"/>
      <c r="H1222" s="111"/>
      <c r="I1222" s="111"/>
      <c r="J1222" s="111"/>
      <c r="K1222" s="111"/>
      <c r="L1222" s="111"/>
      <c r="M1222" s="94"/>
      <c r="N1222" s="94"/>
      <c r="O1222" s="94"/>
      <c r="P1222" s="94"/>
      <c r="Q1222" s="94"/>
      <c r="R1222" s="94"/>
      <c r="S1222" s="94"/>
      <c r="T1222" s="94"/>
      <c r="U1222" s="94"/>
      <c r="V1222" s="94"/>
      <c r="W1222" s="94"/>
      <c r="X1222" s="94"/>
      <c r="Y1222" s="94"/>
      <c r="Z1222" s="94"/>
      <c r="AA1222" s="94"/>
      <c r="AB1222" s="94"/>
      <c r="AC1222" s="94"/>
      <c r="AD1222" s="94"/>
      <c r="AE1222" s="94"/>
    </row>
    <row r="1223">
      <c r="A1223" s="87"/>
      <c r="B1223" s="37"/>
      <c r="C1223" s="37"/>
      <c r="D1223" s="162"/>
      <c r="E1223" s="89"/>
      <c r="F1223" s="72"/>
      <c r="G1223" s="111"/>
      <c r="H1223" s="111"/>
      <c r="I1223" s="111"/>
      <c r="J1223" s="111"/>
      <c r="K1223" s="111"/>
      <c r="L1223" s="111"/>
      <c r="M1223" s="94"/>
      <c r="N1223" s="94"/>
      <c r="O1223" s="94"/>
      <c r="P1223" s="94"/>
      <c r="Q1223" s="94"/>
      <c r="R1223" s="94"/>
      <c r="S1223" s="94"/>
      <c r="T1223" s="94"/>
      <c r="U1223" s="94"/>
      <c r="V1223" s="94"/>
      <c r="W1223" s="94"/>
      <c r="X1223" s="94"/>
      <c r="Y1223" s="94"/>
      <c r="Z1223" s="94"/>
      <c r="AA1223" s="94"/>
      <c r="AB1223" s="94"/>
      <c r="AC1223" s="94"/>
      <c r="AD1223" s="94"/>
      <c r="AE1223" s="94"/>
    </row>
    <row r="1224">
      <c r="A1224" s="87"/>
      <c r="B1224" s="37"/>
      <c r="C1224" s="37"/>
      <c r="D1224" s="162"/>
      <c r="E1224" s="89"/>
      <c r="F1224" s="72"/>
      <c r="G1224" s="111"/>
      <c r="H1224" s="111"/>
      <c r="I1224" s="111"/>
      <c r="J1224" s="111"/>
      <c r="K1224" s="111"/>
      <c r="L1224" s="111"/>
      <c r="M1224" s="94"/>
      <c r="N1224" s="94"/>
      <c r="O1224" s="94"/>
      <c r="P1224" s="94"/>
      <c r="Q1224" s="94"/>
      <c r="R1224" s="94"/>
      <c r="S1224" s="94"/>
      <c r="T1224" s="94"/>
      <c r="U1224" s="94"/>
      <c r="V1224" s="94"/>
      <c r="W1224" s="94"/>
      <c r="X1224" s="94"/>
      <c r="Y1224" s="94"/>
      <c r="Z1224" s="94"/>
      <c r="AA1224" s="94"/>
      <c r="AB1224" s="94"/>
      <c r="AC1224" s="94"/>
      <c r="AD1224" s="94"/>
      <c r="AE1224" s="94"/>
    </row>
    <row r="1225">
      <c r="A1225" s="87"/>
      <c r="B1225" s="37"/>
      <c r="C1225" s="37"/>
      <c r="D1225" s="162"/>
      <c r="E1225" s="89"/>
      <c r="F1225" s="72"/>
      <c r="G1225" s="111"/>
      <c r="H1225" s="111"/>
      <c r="I1225" s="111"/>
      <c r="J1225" s="111"/>
      <c r="K1225" s="111"/>
      <c r="L1225" s="111"/>
      <c r="M1225" s="94"/>
      <c r="N1225" s="94"/>
      <c r="O1225" s="94"/>
      <c r="P1225" s="94"/>
      <c r="Q1225" s="94"/>
      <c r="R1225" s="94"/>
      <c r="S1225" s="94"/>
      <c r="T1225" s="94"/>
      <c r="U1225" s="94"/>
      <c r="V1225" s="94"/>
      <c r="W1225" s="94"/>
      <c r="X1225" s="94"/>
      <c r="Y1225" s="94"/>
      <c r="Z1225" s="94"/>
      <c r="AA1225" s="94"/>
      <c r="AB1225" s="94"/>
      <c r="AC1225" s="94"/>
      <c r="AD1225" s="94"/>
      <c r="AE1225" s="94"/>
    </row>
    <row r="1226">
      <c r="A1226" s="87"/>
      <c r="B1226" s="37"/>
      <c r="C1226" s="37"/>
      <c r="D1226" s="162"/>
      <c r="E1226" s="89"/>
      <c r="F1226" s="72"/>
      <c r="G1226" s="111"/>
      <c r="H1226" s="111"/>
      <c r="I1226" s="111"/>
      <c r="J1226" s="111"/>
      <c r="K1226" s="111"/>
      <c r="L1226" s="111"/>
      <c r="M1226" s="94"/>
      <c r="N1226" s="94"/>
      <c r="O1226" s="94"/>
      <c r="P1226" s="94"/>
      <c r="Q1226" s="94"/>
      <c r="R1226" s="94"/>
      <c r="S1226" s="94"/>
      <c r="T1226" s="94"/>
      <c r="U1226" s="94"/>
      <c r="V1226" s="94"/>
      <c r="W1226" s="94"/>
      <c r="X1226" s="94"/>
      <c r="Y1226" s="94"/>
      <c r="Z1226" s="94"/>
      <c r="AA1226" s="94"/>
      <c r="AB1226" s="94"/>
      <c r="AC1226" s="94"/>
      <c r="AD1226" s="94"/>
      <c r="AE1226" s="94"/>
    </row>
    <row r="1227">
      <c r="A1227" s="87"/>
      <c r="B1227" s="37"/>
      <c r="C1227" s="37"/>
      <c r="D1227" s="162"/>
      <c r="E1227" s="89"/>
      <c r="F1227" s="72"/>
      <c r="G1227" s="111"/>
      <c r="H1227" s="111"/>
      <c r="I1227" s="111"/>
      <c r="J1227" s="111"/>
      <c r="K1227" s="111"/>
      <c r="L1227" s="111"/>
      <c r="M1227" s="94"/>
      <c r="N1227" s="94"/>
      <c r="O1227" s="94"/>
      <c r="P1227" s="94"/>
      <c r="Q1227" s="94"/>
      <c r="R1227" s="94"/>
      <c r="S1227" s="94"/>
      <c r="T1227" s="94"/>
      <c r="U1227" s="94"/>
      <c r="V1227" s="94"/>
      <c r="W1227" s="94"/>
      <c r="X1227" s="94"/>
      <c r="Y1227" s="94"/>
      <c r="Z1227" s="94"/>
      <c r="AA1227" s="94"/>
      <c r="AB1227" s="94"/>
      <c r="AC1227" s="94"/>
      <c r="AD1227" s="94"/>
      <c r="AE1227" s="94"/>
    </row>
    <row r="1228">
      <c r="A1228" s="87"/>
      <c r="B1228" s="37"/>
      <c r="C1228" s="37"/>
      <c r="D1228" s="162"/>
      <c r="E1228" s="89"/>
      <c r="F1228" s="72"/>
      <c r="G1228" s="111"/>
      <c r="H1228" s="111"/>
      <c r="I1228" s="111"/>
      <c r="J1228" s="111"/>
      <c r="K1228" s="111"/>
      <c r="L1228" s="111"/>
      <c r="M1228" s="94"/>
      <c r="N1228" s="94"/>
      <c r="O1228" s="94"/>
      <c r="P1228" s="94"/>
      <c r="Q1228" s="94"/>
      <c r="R1228" s="94"/>
      <c r="S1228" s="94"/>
      <c r="T1228" s="94"/>
      <c r="U1228" s="94"/>
      <c r="V1228" s="94"/>
      <c r="W1228" s="94"/>
      <c r="X1228" s="94"/>
      <c r="Y1228" s="94"/>
      <c r="Z1228" s="94"/>
      <c r="AA1228" s="94"/>
      <c r="AB1228" s="94"/>
      <c r="AC1228" s="94"/>
      <c r="AD1228" s="94"/>
      <c r="AE1228" s="94"/>
    </row>
    <row r="1229">
      <c r="A1229" s="87"/>
      <c r="B1229" s="37"/>
      <c r="C1229" s="37"/>
      <c r="D1229" s="162"/>
      <c r="E1229" s="89"/>
      <c r="F1229" s="72"/>
      <c r="G1229" s="111"/>
      <c r="H1229" s="111"/>
      <c r="I1229" s="111"/>
      <c r="J1229" s="111"/>
      <c r="K1229" s="111"/>
      <c r="L1229" s="111"/>
      <c r="M1229" s="94"/>
      <c r="N1229" s="94"/>
      <c r="O1229" s="94"/>
      <c r="P1229" s="94"/>
      <c r="Q1229" s="94"/>
      <c r="R1229" s="94"/>
      <c r="S1229" s="94"/>
      <c r="T1229" s="94"/>
      <c r="U1229" s="94"/>
      <c r="V1229" s="94"/>
      <c r="W1229" s="94"/>
      <c r="X1229" s="94"/>
      <c r="Y1229" s="94"/>
      <c r="Z1229" s="94"/>
      <c r="AA1229" s="94"/>
      <c r="AB1229" s="94"/>
      <c r="AC1229" s="94"/>
      <c r="AD1229" s="94"/>
      <c r="AE1229" s="94"/>
    </row>
    <row r="1230">
      <c r="A1230" s="87"/>
      <c r="B1230" s="37"/>
      <c r="C1230" s="37"/>
      <c r="D1230" s="162"/>
      <c r="E1230" s="89"/>
      <c r="F1230" s="72"/>
      <c r="G1230" s="111"/>
      <c r="H1230" s="111"/>
      <c r="I1230" s="111"/>
      <c r="J1230" s="111"/>
      <c r="K1230" s="111"/>
      <c r="L1230" s="111"/>
      <c r="M1230" s="94"/>
      <c r="N1230" s="94"/>
      <c r="O1230" s="94"/>
      <c r="P1230" s="94"/>
      <c r="Q1230" s="94"/>
      <c r="R1230" s="94"/>
      <c r="S1230" s="94"/>
      <c r="T1230" s="94"/>
      <c r="U1230" s="94"/>
      <c r="V1230" s="94"/>
      <c r="W1230" s="94"/>
      <c r="X1230" s="94"/>
      <c r="Y1230" s="94"/>
      <c r="Z1230" s="94"/>
      <c r="AA1230" s="94"/>
      <c r="AB1230" s="94"/>
      <c r="AC1230" s="94"/>
      <c r="AD1230" s="94"/>
      <c r="AE1230" s="94"/>
    </row>
    <row r="1231">
      <c r="A1231" s="87"/>
      <c r="B1231" s="37"/>
      <c r="C1231" s="37"/>
      <c r="D1231" s="162"/>
      <c r="E1231" s="89"/>
      <c r="F1231" s="72"/>
      <c r="G1231" s="111"/>
      <c r="H1231" s="111"/>
      <c r="I1231" s="111"/>
      <c r="J1231" s="111"/>
      <c r="K1231" s="111"/>
      <c r="L1231" s="111"/>
      <c r="M1231" s="94"/>
      <c r="N1231" s="94"/>
      <c r="O1231" s="94"/>
      <c r="P1231" s="94"/>
      <c r="Q1231" s="94"/>
      <c r="R1231" s="94"/>
      <c r="S1231" s="94"/>
      <c r="T1231" s="94"/>
      <c r="U1231" s="94"/>
      <c r="V1231" s="94"/>
      <c r="W1231" s="94"/>
      <c r="X1231" s="94"/>
      <c r="Y1231" s="94"/>
      <c r="Z1231" s="94"/>
      <c r="AA1231" s="94"/>
      <c r="AB1231" s="94"/>
      <c r="AC1231" s="94"/>
      <c r="AD1231" s="94"/>
      <c r="AE1231" s="94"/>
    </row>
    <row r="1232">
      <c r="A1232" s="87"/>
      <c r="B1232" s="37"/>
      <c r="C1232" s="37"/>
      <c r="D1232" s="162"/>
      <c r="E1232" s="89"/>
      <c r="F1232" s="72"/>
      <c r="G1232" s="111"/>
      <c r="H1232" s="111"/>
      <c r="I1232" s="111"/>
      <c r="J1232" s="111"/>
      <c r="K1232" s="111"/>
      <c r="L1232" s="111"/>
      <c r="M1232" s="94"/>
      <c r="N1232" s="94"/>
      <c r="O1232" s="94"/>
      <c r="P1232" s="94"/>
      <c r="Q1232" s="94"/>
      <c r="R1232" s="94"/>
      <c r="S1232" s="94"/>
      <c r="T1232" s="94"/>
      <c r="U1232" s="94"/>
      <c r="V1232" s="94"/>
      <c r="W1232" s="94"/>
      <c r="X1232" s="94"/>
      <c r="Y1232" s="94"/>
      <c r="Z1232" s="94"/>
      <c r="AA1232" s="94"/>
      <c r="AB1232" s="94"/>
      <c r="AC1232" s="94"/>
      <c r="AD1232" s="94"/>
      <c r="AE1232" s="94"/>
    </row>
    <row r="1233">
      <c r="A1233" s="87"/>
      <c r="B1233" s="37"/>
      <c r="C1233" s="37"/>
      <c r="D1233" s="162"/>
      <c r="E1233" s="89"/>
      <c r="F1233" s="72"/>
      <c r="G1233" s="111"/>
      <c r="H1233" s="111"/>
      <c r="I1233" s="111"/>
      <c r="J1233" s="111"/>
      <c r="K1233" s="111"/>
      <c r="L1233" s="111"/>
      <c r="M1233" s="94"/>
      <c r="N1233" s="94"/>
      <c r="O1233" s="94"/>
      <c r="P1233" s="94"/>
      <c r="Q1233" s="94"/>
      <c r="R1233" s="94"/>
      <c r="S1233" s="94"/>
      <c r="T1233" s="94"/>
      <c r="U1233" s="94"/>
      <c r="V1233" s="94"/>
      <c r="W1233" s="94"/>
      <c r="X1233" s="94"/>
      <c r="Y1233" s="94"/>
      <c r="Z1233" s="94"/>
      <c r="AA1233" s="94"/>
      <c r="AB1233" s="94"/>
      <c r="AC1233" s="94"/>
      <c r="AD1233" s="94"/>
      <c r="AE1233" s="94"/>
    </row>
    <row r="1234">
      <c r="A1234" s="87"/>
      <c r="B1234" s="37"/>
      <c r="C1234" s="37"/>
      <c r="D1234" s="162"/>
      <c r="E1234" s="89"/>
      <c r="F1234" s="72"/>
      <c r="G1234" s="111"/>
      <c r="H1234" s="111"/>
      <c r="I1234" s="111"/>
      <c r="J1234" s="111"/>
      <c r="K1234" s="111"/>
      <c r="L1234" s="111"/>
      <c r="M1234" s="94"/>
      <c r="N1234" s="94"/>
      <c r="O1234" s="94"/>
      <c r="P1234" s="94"/>
      <c r="Q1234" s="94"/>
      <c r="R1234" s="94"/>
      <c r="S1234" s="94"/>
      <c r="T1234" s="94"/>
      <c r="U1234" s="94"/>
      <c r="V1234" s="94"/>
      <c r="W1234" s="94"/>
      <c r="X1234" s="94"/>
      <c r="Y1234" s="94"/>
      <c r="Z1234" s="94"/>
      <c r="AA1234" s="94"/>
      <c r="AB1234" s="94"/>
      <c r="AC1234" s="94"/>
      <c r="AD1234" s="94"/>
      <c r="AE1234" s="94"/>
    </row>
    <row r="1235">
      <c r="A1235" s="87"/>
      <c r="B1235" s="37"/>
      <c r="C1235" s="37"/>
      <c r="D1235" s="162"/>
      <c r="E1235" s="89"/>
      <c r="F1235" s="72"/>
      <c r="G1235" s="111"/>
      <c r="H1235" s="111"/>
      <c r="I1235" s="111"/>
      <c r="J1235" s="111"/>
      <c r="K1235" s="111"/>
      <c r="L1235" s="111"/>
      <c r="M1235" s="94"/>
      <c r="N1235" s="94"/>
      <c r="O1235" s="94"/>
      <c r="P1235" s="94"/>
      <c r="Q1235" s="94"/>
      <c r="R1235" s="94"/>
      <c r="S1235" s="94"/>
      <c r="T1235" s="94"/>
      <c r="U1235" s="94"/>
      <c r="V1235" s="94"/>
      <c r="W1235" s="94"/>
      <c r="X1235" s="94"/>
      <c r="Y1235" s="94"/>
      <c r="Z1235" s="94"/>
      <c r="AA1235" s="94"/>
      <c r="AB1235" s="94"/>
      <c r="AC1235" s="94"/>
      <c r="AD1235" s="94"/>
      <c r="AE1235" s="94"/>
    </row>
    <row r="1236">
      <c r="A1236" s="87"/>
      <c r="B1236" s="37"/>
      <c r="C1236" s="37"/>
      <c r="D1236" s="162"/>
      <c r="E1236" s="89"/>
      <c r="F1236" s="72"/>
      <c r="G1236" s="111"/>
      <c r="H1236" s="111"/>
      <c r="I1236" s="111"/>
      <c r="J1236" s="111"/>
      <c r="K1236" s="111"/>
      <c r="L1236" s="111"/>
      <c r="M1236" s="94"/>
      <c r="N1236" s="94"/>
      <c r="O1236" s="94"/>
      <c r="P1236" s="94"/>
      <c r="Q1236" s="94"/>
      <c r="R1236" s="94"/>
      <c r="S1236" s="94"/>
      <c r="T1236" s="94"/>
      <c r="U1236" s="94"/>
      <c r="V1236" s="94"/>
      <c r="W1236" s="94"/>
      <c r="X1236" s="94"/>
      <c r="Y1236" s="94"/>
      <c r="Z1236" s="94"/>
      <c r="AA1236" s="94"/>
      <c r="AB1236" s="94"/>
      <c r="AC1236" s="94"/>
      <c r="AD1236" s="94"/>
      <c r="AE1236" s="94"/>
    </row>
    <row r="1237">
      <c r="A1237" s="87"/>
      <c r="B1237" s="37"/>
      <c r="C1237" s="37"/>
      <c r="D1237" s="162"/>
      <c r="E1237" s="89"/>
      <c r="F1237" s="72"/>
      <c r="G1237" s="111"/>
      <c r="H1237" s="111"/>
      <c r="I1237" s="111"/>
      <c r="J1237" s="111"/>
      <c r="K1237" s="111"/>
      <c r="L1237" s="111"/>
      <c r="M1237" s="94"/>
      <c r="N1237" s="94"/>
      <c r="O1237" s="94"/>
      <c r="P1237" s="94"/>
      <c r="Q1237" s="94"/>
      <c r="R1237" s="94"/>
      <c r="S1237" s="94"/>
      <c r="T1237" s="94"/>
      <c r="U1237" s="94"/>
      <c r="V1237" s="94"/>
      <c r="W1237" s="94"/>
      <c r="X1237" s="94"/>
      <c r="Y1237" s="94"/>
      <c r="Z1237" s="94"/>
      <c r="AA1237" s="94"/>
      <c r="AB1237" s="94"/>
      <c r="AC1237" s="94"/>
      <c r="AD1237" s="94"/>
      <c r="AE1237" s="94"/>
    </row>
    <row r="1238">
      <c r="A1238" s="87"/>
      <c r="B1238" s="37"/>
      <c r="C1238" s="37"/>
      <c r="D1238" s="162"/>
      <c r="E1238" s="89"/>
      <c r="F1238" s="72"/>
      <c r="G1238" s="111"/>
      <c r="H1238" s="111"/>
      <c r="I1238" s="111"/>
      <c r="J1238" s="111"/>
      <c r="K1238" s="111"/>
      <c r="L1238" s="111"/>
      <c r="M1238" s="94"/>
      <c r="N1238" s="94"/>
      <c r="O1238" s="94"/>
      <c r="P1238" s="94"/>
      <c r="Q1238" s="94"/>
      <c r="R1238" s="94"/>
      <c r="S1238" s="94"/>
      <c r="T1238" s="94"/>
      <c r="U1238" s="94"/>
      <c r="V1238" s="94"/>
      <c r="W1238" s="94"/>
      <c r="X1238" s="94"/>
      <c r="Y1238" s="94"/>
      <c r="Z1238" s="94"/>
      <c r="AA1238" s="94"/>
      <c r="AB1238" s="94"/>
      <c r="AC1238" s="94"/>
      <c r="AD1238" s="94"/>
      <c r="AE1238" s="94"/>
    </row>
    <row r="1239">
      <c r="A1239" s="87"/>
      <c r="B1239" s="37"/>
      <c r="C1239" s="37"/>
      <c r="D1239" s="162"/>
      <c r="E1239" s="89"/>
      <c r="F1239" s="72"/>
      <c r="G1239" s="111"/>
      <c r="H1239" s="111"/>
      <c r="I1239" s="111"/>
      <c r="J1239" s="111"/>
      <c r="K1239" s="111"/>
      <c r="L1239" s="111"/>
      <c r="M1239" s="94"/>
      <c r="N1239" s="94"/>
      <c r="O1239" s="94"/>
      <c r="P1239" s="94"/>
      <c r="Q1239" s="94"/>
      <c r="R1239" s="94"/>
      <c r="S1239" s="94"/>
      <c r="T1239" s="94"/>
      <c r="U1239" s="94"/>
      <c r="V1239" s="94"/>
      <c r="W1239" s="94"/>
      <c r="X1239" s="94"/>
      <c r="Y1239" s="94"/>
      <c r="Z1239" s="94"/>
      <c r="AA1239" s="94"/>
      <c r="AB1239" s="94"/>
      <c r="AC1239" s="94"/>
      <c r="AD1239" s="94"/>
      <c r="AE1239" s="94"/>
    </row>
    <row r="1240">
      <c r="A1240" s="87"/>
      <c r="B1240" s="37"/>
      <c r="C1240" s="37"/>
      <c r="D1240" s="162"/>
      <c r="E1240" s="89"/>
      <c r="F1240" s="72"/>
      <c r="G1240" s="111"/>
      <c r="H1240" s="111"/>
      <c r="I1240" s="111"/>
      <c r="J1240" s="111"/>
      <c r="K1240" s="111"/>
      <c r="L1240" s="111"/>
      <c r="M1240" s="94"/>
      <c r="N1240" s="94"/>
      <c r="O1240" s="94"/>
      <c r="P1240" s="94"/>
      <c r="Q1240" s="94"/>
      <c r="R1240" s="94"/>
      <c r="S1240" s="94"/>
      <c r="T1240" s="94"/>
      <c r="U1240" s="94"/>
      <c r="V1240" s="94"/>
      <c r="W1240" s="94"/>
      <c r="X1240" s="94"/>
      <c r="Y1240" s="94"/>
      <c r="Z1240" s="94"/>
      <c r="AA1240" s="94"/>
      <c r="AB1240" s="94"/>
      <c r="AC1240" s="94"/>
      <c r="AD1240" s="94"/>
      <c r="AE1240" s="94"/>
    </row>
    <row r="1241">
      <c r="A1241" s="87"/>
      <c r="B1241" s="37"/>
      <c r="C1241" s="37"/>
      <c r="D1241" s="162"/>
      <c r="E1241" s="89"/>
      <c r="F1241" s="72"/>
      <c r="G1241" s="111"/>
      <c r="H1241" s="111"/>
      <c r="I1241" s="111"/>
      <c r="J1241" s="111"/>
      <c r="K1241" s="111"/>
      <c r="L1241" s="111"/>
      <c r="M1241" s="94"/>
      <c r="N1241" s="94"/>
      <c r="O1241" s="94"/>
      <c r="P1241" s="94"/>
      <c r="Q1241" s="94"/>
      <c r="R1241" s="94"/>
      <c r="S1241" s="94"/>
      <c r="T1241" s="94"/>
      <c r="U1241" s="94"/>
      <c r="V1241" s="94"/>
      <c r="W1241" s="94"/>
      <c r="X1241" s="94"/>
      <c r="Y1241" s="94"/>
      <c r="Z1241" s="94"/>
      <c r="AA1241" s="94"/>
      <c r="AB1241" s="94"/>
      <c r="AC1241" s="94"/>
      <c r="AD1241" s="94"/>
      <c r="AE1241" s="94"/>
    </row>
    <row r="1242">
      <c r="A1242" s="87"/>
      <c r="B1242" s="37"/>
      <c r="C1242" s="37"/>
      <c r="D1242" s="162"/>
      <c r="E1242" s="89"/>
      <c r="F1242" s="72"/>
      <c r="G1242" s="111"/>
      <c r="H1242" s="111"/>
      <c r="I1242" s="111"/>
      <c r="J1242" s="111"/>
      <c r="K1242" s="111"/>
      <c r="L1242" s="111"/>
      <c r="M1242" s="94"/>
      <c r="N1242" s="94"/>
      <c r="O1242" s="94"/>
      <c r="P1242" s="94"/>
      <c r="Q1242" s="94"/>
      <c r="R1242" s="94"/>
      <c r="S1242" s="94"/>
      <c r="T1242" s="94"/>
      <c r="U1242" s="94"/>
      <c r="V1242" s="94"/>
      <c r="W1242" s="94"/>
      <c r="X1242" s="94"/>
      <c r="Y1242" s="94"/>
      <c r="Z1242" s="94"/>
      <c r="AA1242" s="94"/>
      <c r="AB1242" s="94"/>
      <c r="AC1242" s="94"/>
      <c r="AD1242" s="94"/>
      <c r="AE1242" s="94"/>
    </row>
    <row r="1243">
      <c r="A1243" s="87"/>
      <c r="B1243" s="37"/>
      <c r="C1243" s="37"/>
      <c r="D1243" s="162"/>
      <c r="E1243" s="89"/>
      <c r="F1243" s="72"/>
      <c r="G1243" s="111"/>
      <c r="H1243" s="111"/>
      <c r="I1243" s="111"/>
      <c r="J1243" s="111"/>
      <c r="K1243" s="111"/>
      <c r="L1243" s="111"/>
      <c r="M1243" s="94"/>
      <c r="N1243" s="94"/>
      <c r="O1243" s="94"/>
      <c r="P1243" s="94"/>
      <c r="Q1243" s="94"/>
      <c r="R1243" s="94"/>
      <c r="S1243" s="94"/>
      <c r="T1243" s="94"/>
      <c r="U1243" s="94"/>
      <c r="V1243" s="94"/>
      <c r="W1243" s="94"/>
      <c r="X1243" s="94"/>
      <c r="Y1243" s="94"/>
      <c r="Z1243" s="94"/>
      <c r="AA1243" s="94"/>
      <c r="AB1243" s="94"/>
      <c r="AC1243" s="94"/>
      <c r="AD1243" s="94"/>
      <c r="AE1243" s="94"/>
    </row>
    <row r="1244">
      <c r="A1244" s="87"/>
      <c r="B1244" s="37"/>
      <c r="C1244" s="37"/>
      <c r="D1244" s="162"/>
      <c r="E1244" s="89"/>
      <c r="F1244" s="72"/>
      <c r="G1244" s="111"/>
      <c r="H1244" s="111"/>
      <c r="I1244" s="111"/>
      <c r="J1244" s="111"/>
      <c r="K1244" s="111"/>
      <c r="L1244" s="111"/>
      <c r="M1244" s="94"/>
      <c r="N1244" s="94"/>
      <c r="O1244" s="94"/>
      <c r="P1244" s="94"/>
      <c r="Q1244" s="94"/>
      <c r="R1244" s="94"/>
      <c r="S1244" s="94"/>
      <c r="T1244" s="94"/>
      <c r="U1244" s="94"/>
      <c r="V1244" s="94"/>
      <c r="W1244" s="94"/>
      <c r="X1244" s="94"/>
      <c r="Y1244" s="94"/>
      <c r="Z1244" s="94"/>
      <c r="AA1244" s="94"/>
      <c r="AB1244" s="94"/>
      <c r="AC1244" s="94"/>
      <c r="AD1244" s="94"/>
      <c r="AE1244" s="94"/>
    </row>
    <row r="1245">
      <c r="A1245" s="87"/>
      <c r="B1245" s="37"/>
      <c r="C1245" s="37"/>
      <c r="D1245" s="162"/>
      <c r="E1245" s="89"/>
      <c r="F1245" s="72"/>
      <c r="G1245" s="111"/>
      <c r="H1245" s="111"/>
      <c r="I1245" s="111"/>
      <c r="J1245" s="111"/>
      <c r="K1245" s="111"/>
      <c r="L1245" s="111"/>
      <c r="M1245" s="94"/>
      <c r="N1245" s="94"/>
      <c r="O1245" s="94"/>
      <c r="P1245" s="94"/>
      <c r="Q1245" s="94"/>
      <c r="R1245" s="94"/>
      <c r="S1245" s="94"/>
      <c r="T1245" s="94"/>
      <c r="U1245" s="94"/>
      <c r="V1245" s="94"/>
      <c r="W1245" s="94"/>
      <c r="X1245" s="94"/>
      <c r="Y1245" s="94"/>
      <c r="Z1245" s="94"/>
      <c r="AA1245" s="94"/>
      <c r="AB1245" s="94"/>
      <c r="AC1245" s="94"/>
      <c r="AD1245" s="94"/>
      <c r="AE1245" s="94"/>
    </row>
    <row r="1246">
      <c r="A1246" s="87"/>
      <c r="B1246" s="37"/>
      <c r="C1246" s="37"/>
      <c r="D1246" s="162"/>
      <c r="E1246" s="89"/>
      <c r="F1246" s="72"/>
      <c r="G1246" s="111"/>
      <c r="H1246" s="111"/>
      <c r="I1246" s="111"/>
      <c r="J1246" s="111"/>
      <c r="K1246" s="111"/>
      <c r="L1246" s="111"/>
      <c r="M1246" s="94"/>
      <c r="N1246" s="94"/>
      <c r="O1246" s="94"/>
      <c r="P1246" s="94"/>
      <c r="Q1246" s="94"/>
      <c r="R1246" s="94"/>
      <c r="S1246" s="94"/>
      <c r="T1246" s="94"/>
      <c r="U1246" s="94"/>
      <c r="V1246" s="94"/>
      <c r="W1246" s="94"/>
      <c r="X1246" s="94"/>
      <c r="Y1246" s="94"/>
      <c r="Z1246" s="94"/>
      <c r="AA1246" s="94"/>
      <c r="AB1246" s="94"/>
      <c r="AC1246" s="94"/>
      <c r="AD1246" s="94"/>
      <c r="AE1246" s="94"/>
    </row>
    <row r="1247">
      <c r="A1247" s="87"/>
      <c r="B1247" s="37"/>
      <c r="C1247" s="37"/>
      <c r="D1247" s="162"/>
      <c r="E1247" s="89"/>
      <c r="F1247" s="72"/>
      <c r="G1247" s="111"/>
      <c r="H1247" s="111"/>
      <c r="I1247" s="111"/>
      <c r="J1247" s="111"/>
      <c r="K1247" s="111"/>
      <c r="L1247" s="111"/>
      <c r="M1247" s="94"/>
      <c r="N1247" s="94"/>
      <c r="O1247" s="94"/>
      <c r="P1247" s="94"/>
      <c r="Q1247" s="94"/>
      <c r="R1247" s="94"/>
      <c r="S1247" s="94"/>
      <c r="T1247" s="94"/>
      <c r="U1247" s="94"/>
      <c r="V1247" s="94"/>
      <c r="W1247" s="94"/>
      <c r="X1247" s="94"/>
      <c r="Y1247" s="94"/>
      <c r="Z1247" s="94"/>
      <c r="AA1247" s="94"/>
      <c r="AB1247" s="94"/>
      <c r="AC1247" s="94"/>
      <c r="AD1247" s="94"/>
      <c r="AE1247" s="94"/>
    </row>
    <row r="1248">
      <c r="A1248" s="87"/>
      <c r="B1248" s="37"/>
      <c r="C1248" s="37"/>
      <c r="D1248" s="162"/>
      <c r="E1248" s="89"/>
      <c r="F1248" s="72"/>
      <c r="G1248" s="111"/>
      <c r="H1248" s="111"/>
      <c r="I1248" s="111"/>
      <c r="J1248" s="111"/>
      <c r="K1248" s="111"/>
      <c r="L1248" s="111"/>
      <c r="M1248" s="94"/>
      <c r="N1248" s="94"/>
      <c r="O1248" s="94"/>
      <c r="P1248" s="94"/>
      <c r="Q1248" s="94"/>
      <c r="R1248" s="94"/>
      <c r="S1248" s="94"/>
      <c r="T1248" s="94"/>
      <c r="U1248" s="94"/>
      <c r="V1248" s="94"/>
      <c r="W1248" s="94"/>
      <c r="X1248" s="94"/>
      <c r="Y1248" s="94"/>
      <c r="Z1248" s="94"/>
      <c r="AA1248" s="94"/>
      <c r="AB1248" s="94"/>
      <c r="AC1248" s="94"/>
      <c r="AD1248" s="94"/>
      <c r="AE1248" s="94"/>
    </row>
    <row r="1249">
      <c r="A1249" s="87"/>
      <c r="B1249" s="37"/>
      <c r="C1249" s="37"/>
      <c r="D1249" s="162"/>
      <c r="E1249" s="89"/>
      <c r="F1249" s="72"/>
      <c r="G1249" s="111"/>
      <c r="H1249" s="111"/>
      <c r="I1249" s="111"/>
      <c r="J1249" s="111"/>
      <c r="K1249" s="111"/>
      <c r="L1249" s="111"/>
      <c r="M1249" s="94"/>
      <c r="N1249" s="94"/>
      <c r="O1249" s="94"/>
      <c r="P1249" s="94"/>
      <c r="Q1249" s="94"/>
      <c r="R1249" s="94"/>
      <c r="S1249" s="94"/>
      <c r="T1249" s="94"/>
      <c r="U1249" s="94"/>
      <c r="V1249" s="94"/>
      <c r="W1249" s="94"/>
      <c r="X1249" s="94"/>
      <c r="Y1249" s="94"/>
      <c r="Z1249" s="94"/>
      <c r="AA1249" s="94"/>
      <c r="AB1249" s="94"/>
      <c r="AC1249" s="94"/>
      <c r="AD1249" s="94"/>
      <c r="AE1249" s="94"/>
    </row>
    <row r="1250">
      <c r="A1250" s="87"/>
      <c r="B1250" s="37"/>
      <c r="C1250" s="37"/>
      <c r="D1250" s="162"/>
      <c r="E1250" s="89"/>
      <c r="F1250" s="72"/>
      <c r="G1250" s="111"/>
      <c r="H1250" s="111"/>
      <c r="I1250" s="111"/>
      <c r="J1250" s="111"/>
      <c r="K1250" s="111"/>
      <c r="L1250" s="111"/>
      <c r="M1250" s="94"/>
      <c r="N1250" s="94"/>
      <c r="O1250" s="94"/>
      <c r="P1250" s="94"/>
      <c r="Q1250" s="94"/>
      <c r="R1250" s="94"/>
      <c r="S1250" s="94"/>
      <c r="T1250" s="94"/>
      <c r="U1250" s="94"/>
      <c r="V1250" s="94"/>
      <c r="W1250" s="94"/>
      <c r="X1250" s="94"/>
      <c r="Y1250" s="94"/>
      <c r="Z1250" s="94"/>
      <c r="AA1250" s="94"/>
      <c r="AB1250" s="94"/>
      <c r="AC1250" s="94"/>
      <c r="AD1250" s="94"/>
      <c r="AE1250" s="94"/>
    </row>
    <row r="1251">
      <c r="A1251" s="87"/>
      <c r="B1251" s="37"/>
      <c r="C1251" s="37"/>
      <c r="D1251" s="162"/>
      <c r="E1251" s="89"/>
      <c r="F1251" s="72"/>
      <c r="G1251" s="111"/>
      <c r="H1251" s="111"/>
      <c r="I1251" s="111"/>
      <c r="J1251" s="111"/>
      <c r="K1251" s="111"/>
      <c r="L1251" s="111"/>
      <c r="M1251" s="94"/>
      <c r="N1251" s="94"/>
      <c r="O1251" s="94"/>
      <c r="P1251" s="94"/>
      <c r="Q1251" s="94"/>
      <c r="R1251" s="94"/>
      <c r="S1251" s="94"/>
      <c r="T1251" s="94"/>
      <c r="U1251" s="94"/>
      <c r="V1251" s="94"/>
      <c r="W1251" s="94"/>
      <c r="X1251" s="94"/>
      <c r="Y1251" s="94"/>
      <c r="Z1251" s="94"/>
      <c r="AA1251" s="94"/>
      <c r="AB1251" s="94"/>
      <c r="AC1251" s="94"/>
      <c r="AD1251" s="94"/>
      <c r="AE1251" s="94"/>
    </row>
    <row r="1252">
      <c r="A1252" s="87"/>
      <c r="B1252" s="37"/>
      <c r="C1252" s="37"/>
      <c r="D1252" s="162"/>
      <c r="E1252" s="89"/>
      <c r="F1252" s="72"/>
      <c r="G1252" s="111"/>
      <c r="H1252" s="111"/>
      <c r="I1252" s="111"/>
      <c r="J1252" s="111"/>
      <c r="K1252" s="111"/>
      <c r="L1252" s="111"/>
      <c r="M1252" s="94"/>
      <c r="N1252" s="94"/>
      <c r="O1252" s="94"/>
      <c r="P1252" s="94"/>
      <c r="Q1252" s="94"/>
      <c r="R1252" s="94"/>
      <c r="S1252" s="94"/>
      <c r="T1252" s="94"/>
      <c r="U1252" s="94"/>
      <c r="V1252" s="94"/>
      <c r="W1252" s="94"/>
      <c r="X1252" s="94"/>
      <c r="Y1252" s="94"/>
      <c r="Z1252" s="94"/>
      <c r="AA1252" s="94"/>
      <c r="AB1252" s="94"/>
      <c r="AC1252" s="94"/>
      <c r="AD1252" s="94"/>
      <c r="AE1252" s="94"/>
    </row>
    <row r="1253">
      <c r="A1253" s="87"/>
      <c r="B1253" s="37"/>
      <c r="C1253" s="37"/>
      <c r="D1253" s="162"/>
      <c r="E1253" s="89"/>
      <c r="F1253" s="72"/>
      <c r="G1253" s="111"/>
      <c r="H1253" s="111"/>
      <c r="I1253" s="111"/>
      <c r="J1253" s="111"/>
      <c r="K1253" s="111"/>
      <c r="L1253" s="111"/>
      <c r="M1253" s="94"/>
      <c r="N1253" s="94"/>
      <c r="O1253" s="94"/>
      <c r="P1253" s="94"/>
      <c r="Q1253" s="94"/>
      <c r="R1253" s="94"/>
      <c r="S1253" s="94"/>
      <c r="T1253" s="94"/>
      <c r="U1253" s="94"/>
      <c r="V1253" s="94"/>
      <c r="W1253" s="94"/>
      <c r="X1253" s="94"/>
      <c r="Y1253" s="94"/>
      <c r="Z1253" s="94"/>
      <c r="AA1253" s="94"/>
      <c r="AB1253" s="94"/>
      <c r="AC1253" s="94"/>
      <c r="AD1253" s="94"/>
      <c r="AE1253" s="94"/>
    </row>
    <row r="1254">
      <c r="A1254" s="87"/>
      <c r="B1254" s="37"/>
      <c r="C1254" s="37"/>
      <c r="D1254" s="162"/>
      <c r="E1254" s="89"/>
      <c r="F1254" s="72"/>
      <c r="G1254" s="111"/>
      <c r="H1254" s="111"/>
      <c r="I1254" s="111"/>
      <c r="J1254" s="111"/>
      <c r="K1254" s="111"/>
      <c r="L1254" s="111"/>
      <c r="M1254" s="94"/>
      <c r="N1254" s="94"/>
      <c r="O1254" s="94"/>
      <c r="P1254" s="94"/>
      <c r="Q1254" s="94"/>
      <c r="R1254" s="94"/>
      <c r="S1254" s="94"/>
      <c r="T1254" s="94"/>
      <c r="U1254" s="94"/>
      <c r="V1254" s="94"/>
      <c r="W1254" s="94"/>
      <c r="X1254" s="94"/>
      <c r="Y1254" s="94"/>
      <c r="Z1254" s="94"/>
      <c r="AA1254" s="94"/>
      <c r="AB1254" s="94"/>
      <c r="AC1254" s="94"/>
      <c r="AD1254" s="94"/>
      <c r="AE1254" s="94"/>
    </row>
    <row r="1255">
      <c r="A1255" s="87"/>
      <c r="B1255" s="37"/>
      <c r="C1255" s="37"/>
      <c r="D1255" s="162"/>
      <c r="E1255" s="89"/>
      <c r="F1255" s="72"/>
      <c r="G1255" s="111"/>
      <c r="H1255" s="111"/>
      <c r="I1255" s="111"/>
      <c r="J1255" s="111"/>
      <c r="K1255" s="111"/>
      <c r="L1255" s="111"/>
      <c r="M1255" s="94"/>
      <c r="N1255" s="94"/>
      <c r="O1255" s="94"/>
      <c r="P1255" s="94"/>
      <c r="Q1255" s="94"/>
      <c r="R1255" s="94"/>
      <c r="S1255" s="94"/>
      <c r="T1255" s="94"/>
      <c r="U1255" s="94"/>
      <c r="V1255" s="94"/>
      <c r="W1255" s="94"/>
      <c r="X1255" s="94"/>
      <c r="Y1255" s="94"/>
      <c r="Z1255" s="94"/>
      <c r="AA1255" s="94"/>
      <c r="AB1255" s="94"/>
      <c r="AC1255" s="94"/>
      <c r="AD1255" s="94"/>
      <c r="AE1255" s="94"/>
    </row>
    <row r="1256">
      <c r="A1256" s="87"/>
      <c r="B1256" s="37"/>
      <c r="C1256" s="37"/>
      <c r="D1256" s="162"/>
      <c r="E1256" s="89"/>
      <c r="F1256" s="72"/>
      <c r="G1256" s="111"/>
      <c r="H1256" s="111"/>
      <c r="I1256" s="111"/>
      <c r="J1256" s="111"/>
      <c r="K1256" s="111"/>
      <c r="L1256" s="111"/>
      <c r="M1256" s="94"/>
      <c r="N1256" s="94"/>
      <c r="O1256" s="94"/>
      <c r="P1256" s="94"/>
      <c r="Q1256" s="94"/>
      <c r="R1256" s="94"/>
      <c r="S1256" s="94"/>
      <c r="T1256" s="94"/>
      <c r="U1256" s="94"/>
      <c r="V1256" s="94"/>
      <c r="W1256" s="94"/>
      <c r="X1256" s="94"/>
      <c r="Y1256" s="94"/>
      <c r="Z1256" s="94"/>
      <c r="AA1256" s="94"/>
      <c r="AB1256" s="94"/>
      <c r="AC1256" s="94"/>
      <c r="AD1256" s="94"/>
      <c r="AE1256" s="94"/>
    </row>
    <row r="1257">
      <c r="A1257" s="87"/>
      <c r="B1257" s="37"/>
      <c r="C1257" s="37"/>
      <c r="D1257" s="162"/>
      <c r="E1257" s="89"/>
      <c r="F1257" s="72"/>
      <c r="G1257" s="111"/>
      <c r="H1257" s="111"/>
      <c r="I1257" s="111"/>
      <c r="J1257" s="111"/>
      <c r="K1257" s="111"/>
      <c r="L1257" s="111"/>
      <c r="M1257" s="94"/>
      <c r="N1257" s="94"/>
      <c r="O1257" s="94"/>
      <c r="P1257" s="94"/>
      <c r="Q1257" s="94"/>
      <c r="R1257" s="94"/>
      <c r="S1257" s="94"/>
      <c r="T1257" s="94"/>
      <c r="U1257" s="94"/>
      <c r="V1257" s="94"/>
      <c r="W1257" s="94"/>
      <c r="X1257" s="94"/>
      <c r="Y1257" s="94"/>
      <c r="Z1257" s="94"/>
      <c r="AA1257" s="94"/>
      <c r="AB1257" s="94"/>
      <c r="AC1257" s="94"/>
      <c r="AD1257" s="94"/>
      <c r="AE1257" s="94"/>
    </row>
    <row r="1258">
      <c r="A1258" s="87"/>
      <c r="B1258" s="37"/>
      <c r="C1258" s="37"/>
      <c r="D1258" s="162"/>
      <c r="E1258" s="89"/>
      <c r="F1258" s="72"/>
      <c r="G1258" s="111"/>
      <c r="H1258" s="111"/>
      <c r="I1258" s="111"/>
      <c r="J1258" s="111"/>
      <c r="K1258" s="111"/>
      <c r="L1258" s="111"/>
      <c r="M1258" s="94"/>
      <c r="N1258" s="94"/>
      <c r="O1258" s="94"/>
      <c r="P1258" s="94"/>
      <c r="Q1258" s="94"/>
      <c r="R1258" s="94"/>
      <c r="S1258" s="94"/>
      <c r="T1258" s="94"/>
      <c r="U1258" s="94"/>
      <c r="V1258" s="94"/>
      <c r="W1258" s="94"/>
      <c r="X1258" s="94"/>
      <c r="Y1258" s="94"/>
      <c r="Z1258" s="94"/>
      <c r="AA1258" s="94"/>
      <c r="AB1258" s="94"/>
      <c r="AC1258" s="94"/>
      <c r="AD1258" s="94"/>
      <c r="AE1258" s="94"/>
    </row>
    <row r="1259">
      <c r="A1259" s="87"/>
      <c r="B1259" s="37"/>
      <c r="C1259" s="37"/>
      <c r="D1259" s="162"/>
      <c r="E1259" s="89"/>
      <c r="F1259" s="72"/>
      <c r="G1259" s="111"/>
      <c r="H1259" s="111"/>
      <c r="I1259" s="111"/>
      <c r="J1259" s="111"/>
      <c r="K1259" s="111"/>
      <c r="L1259" s="111"/>
      <c r="M1259" s="94"/>
      <c r="N1259" s="94"/>
      <c r="O1259" s="94"/>
      <c r="P1259" s="94"/>
      <c r="Q1259" s="94"/>
      <c r="R1259" s="94"/>
      <c r="S1259" s="94"/>
      <c r="T1259" s="94"/>
      <c r="U1259" s="94"/>
      <c r="V1259" s="94"/>
      <c r="W1259" s="94"/>
      <c r="X1259" s="94"/>
      <c r="Y1259" s="94"/>
      <c r="Z1259" s="94"/>
      <c r="AA1259" s="94"/>
      <c r="AB1259" s="94"/>
      <c r="AC1259" s="94"/>
      <c r="AD1259" s="94"/>
      <c r="AE1259" s="94"/>
    </row>
    <row r="1260">
      <c r="A1260" s="87"/>
      <c r="B1260" s="37"/>
      <c r="C1260" s="37"/>
      <c r="D1260" s="162"/>
      <c r="E1260" s="89"/>
      <c r="F1260" s="72"/>
      <c r="G1260" s="111"/>
      <c r="H1260" s="111"/>
      <c r="I1260" s="111"/>
      <c r="J1260" s="111"/>
      <c r="K1260" s="111"/>
      <c r="L1260" s="111"/>
      <c r="M1260" s="94"/>
      <c r="N1260" s="94"/>
      <c r="O1260" s="94"/>
      <c r="P1260" s="94"/>
      <c r="Q1260" s="94"/>
      <c r="R1260" s="94"/>
      <c r="S1260" s="94"/>
      <c r="T1260" s="94"/>
      <c r="U1260" s="94"/>
      <c r="V1260" s="94"/>
      <c r="W1260" s="94"/>
      <c r="X1260" s="94"/>
      <c r="Y1260" s="94"/>
      <c r="Z1260" s="94"/>
      <c r="AA1260" s="94"/>
      <c r="AB1260" s="94"/>
      <c r="AC1260" s="94"/>
      <c r="AD1260" s="94"/>
      <c r="AE1260" s="94"/>
    </row>
    <row r="1261">
      <c r="A1261" s="87"/>
      <c r="B1261" s="37"/>
      <c r="C1261" s="37"/>
      <c r="D1261" s="162"/>
      <c r="E1261" s="89"/>
      <c r="F1261" s="72"/>
      <c r="G1261" s="111"/>
      <c r="H1261" s="111"/>
      <c r="I1261" s="111"/>
      <c r="J1261" s="111"/>
      <c r="K1261" s="111"/>
      <c r="L1261" s="111"/>
      <c r="M1261" s="94"/>
      <c r="N1261" s="94"/>
      <c r="O1261" s="94"/>
      <c r="P1261" s="94"/>
      <c r="Q1261" s="94"/>
      <c r="R1261" s="94"/>
      <c r="S1261" s="94"/>
      <c r="T1261" s="94"/>
      <c r="U1261" s="94"/>
      <c r="V1261" s="94"/>
      <c r="W1261" s="94"/>
      <c r="X1261" s="94"/>
      <c r="Y1261" s="94"/>
      <c r="Z1261" s="94"/>
      <c r="AA1261" s="94"/>
      <c r="AB1261" s="94"/>
      <c r="AC1261" s="94"/>
      <c r="AD1261" s="94"/>
      <c r="AE1261" s="94"/>
    </row>
    <row r="1262">
      <c r="A1262" s="87"/>
      <c r="B1262" s="37"/>
      <c r="C1262" s="37"/>
      <c r="D1262" s="162"/>
      <c r="E1262" s="89"/>
      <c r="F1262" s="72"/>
      <c r="G1262" s="111"/>
      <c r="H1262" s="111"/>
      <c r="I1262" s="111"/>
      <c r="J1262" s="111"/>
      <c r="K1262" s="111"/>
      <c r="L1262" s="111"/>
      <c r="M1262" s="94"/>
      <c r="N1262" s="94"/>
      <c r="O1262" s="94"/>
      <c r="P1262" s="94"/>
      <c r="Q1262" s="94"/>
      <c r="R1262" s="94"/>
      <c r="S1262" s="94"/>
      <c r="T1262" s="94"/>
      <c r="U1262" s="94"/>
      <c r="V1262" s="94"/>
      <c r="W1262" s="94"/>
      <c r="X1262" s="94"/>
      <c r="Y1262" s="94"/>
      <c r="Z1262" s="94"/>
      <c r="AA1262" s="94"/>
      <c r="AB1262" s="94"/>
      <c r="AC1262" s="94"/>
      <c r="AD1262" s="94"/>
      <c r="AE1262" s="94"/>
    </row>
    <row r="1263">
      <c r="A1263" s="87"/>
      <c r="B1263" s="37"/>
      <c r="C1263" s="37"/>
      <c r="D1263" s="162"/>
      <c r="E1263" s="89"/>
      <c r="F1263" s="72"/>
      <c r="G1263" s="111"/>
      <c r="H1263" s="111"/>
      <c r="I1263" s="111"/>
      <c r="J1263" s="111"/>
      <c r="K1263" s="111"/>
      <c r="L1263" s="111"/>
      <c r="M1263" s="94"/>
      <c r="N1263" s="94"/>
      <c r="O1263" s="94"/>
      <c r="P1263" s="94"/>
      <c r="Q1263" s="94"/>
      <c r="R1263" s="94"/>
      <c r="S1263" s="94"/>
      <c r="T1263" s="94"/>
      <c r="U1263" s="94"/>
      <c r="V1263" s="94"/>
      <c r="W1263" s="94"/>
      <c r="X1263" s="94"/>
      <c r="Y1263" s="94"/>
      <c r="Z1263" s="94"/>
      <c r="AA1263" s="94"/>
      <c r="AB1263" s="94"/>
      <c r="AC1263" s="94"/>
      <c r="AD1263" s="94"/>
      <c r="AE1263" s="94"/>
    </row>
    <row r="1264">
      <c r="A1264" s="87"/>
      <c r="B1264" s="37"/>
      <c r="C1264" s="37"/>
      <c r="D1264" s="162"/>
      <c r="E1264" s="89"/>
      <c r="F1264" s="72"/>
      <c r="G1264" s="111"/>
      <c r="H1264" s="111"/>
      <c r="I1264" s="111"/>
      <c r="J1264" s="111"/>
      <c r="K1264" s="111"/>
      <c r="L1264" s="111"/>
      <c r="M1264" s="94"/>
      <c r="N1264" s="94"/>
      <c r="O1264" s="94"/>
      <c r="P1264" s="94"/>
      <c r="Q1264" s="94"/>
      <c r="R1264" s="94"/>
      <c r="S1264" s="94"/>
      <c r="T1264" s="94"/>
      <c r="U1264" s="94"/>
      <c r="V1264" s="94"/>
      <c r="W1264" s="94"/>
      <c r="X1264" s="94"/>
      <c r="Y1264" s="94"/>
      <c r="Z1264" s="94"/>
      <c r="AA1264" s="94"/>
      <c r="AB1264" s="94"/>
      <c r="AC1264" s="94"/>
      <c r="AD1264" s="94"/>
      <c r="AE1264" s="94"/>
    </row>
    <row r="1265">
      <c r="A1265" s="87"/>
      <c r="B1265" s="37"/>
      <c r="C1265" s="37"/>
      <c r="D1265" s="162"/>
      <c r="E1265" s="89"/>
      <c r="F1265" s="72"/>
      <c r="G1265" s="111"/>
      <c r="H1265" s="111"/>
      <c r="I1265" s="111"/>
      <c r="J1265" s="111"/>
      <c r="K1265" s="111"/>
      <c r="L1265" s="111"/>
      <c r="M1265" s="94"/>
      <c r="N1265" s="94"/>
      <c r="O1265" s="94"/>
      <c r="P1265" s="94"/>
      <c r="Q1265" s="94"/>
      <c r="R1265" s="94"/>
      <c r="S1265" s="94"/>
      <c r="T1265" s="94"/>
      <c r="U1265" s="94"/>
      <c r="V1265" s="94"/>
      <c r="W1265" s="94"/>
      <c r="X1265" s="94"/>
      <c r="Y1265" s="94"/>
      <c r="Z1265" s="94"/>
      <c r="AA1265" s="94"/>
      <c r="AB1265" s="94"/>
      <c r="AC1265" s="94"/>
      <c r="AD1265" s="94"/>
      <c r="AE1265" s="94"/>
    </row>
    <row r="1266">
      <c r="A1266" s="87"/>
      <c r="B1266" s="37"/>
      <c r="C1266" s="37"/>
      <c r="D1266" s="162"/>
      <c r="E1266" s="89"/>
      <c r="F1266" s="72"/>
      <c r="G1266" s="111"/>
      <c r="H1266" s="111"/>
      <c r="I1266" s="111"/>
      <c r="J1266" s="111"/>
      <c r="K1266" s="111"/>
      <c r="L1266" s="111"/>
      <c r="M1266" s="94"/>
      <c r="N1266" s="94"/>
      <c r="O1266" s="94"/>
      <c r="P1266" s="94"/>
      <c r="Q1266" s="94"/>
      <c r="R1266" s="94"/>
      <c r="S1266" s="94"/>
      <c r="T1266" s="94"/>
      <c r="U1266" s="94"/>
      <c r="V1266" s="94"/>
      <c r="W1266" s="94"/>
      <c r="X1266" s="94"/>
      <c r="Y1266" s="94"/>
      <c r="Z1266" s="94"/>
      <c r="AA1266" s="94"/>
      <c r="AB1266" s="94"/>
      <c r="AC1266" s="94"/>
      <c r="AD1266" s="94"/>
      <c r="AE1266" s="94"/>
    </row>
    <row r="1267">
      <c r="A1267" s="87"/>
      <c r="B1267" s="37"/>
      <c r="C1267" s="37"/>
      <c r="D1267" s="162"/>
      <c r="E1267" s="89"/>
      <c r="F1267" s="72"/>
      <c r="G1267" s="111"/>
      <c r="H1267" s="111"/>
      <c r="I1267" s="111"/>
      <c r="J1267" s="111"/>
      <c r="K1267" s="111"/>
      <c r="L1267" s="111"/>
      <c r="M1267" s="94"/>
      <c r="N1267" s="94"/>
      <c r="O1267" s="94"/>
      <c r="P1267" s="94"/>
      <c r="Q1267" s="94"/>
      <c r="R1267" s="94"/>
      <c r="S1267" s="94"/>
      <c r="T1267" s="94"/>
      <c r="U1267" s="94"/>
      <c r="V1267" s="94"/>
      <c r="W1267" s="94"/>
      <c r="X1267" s="94"/>
      <c r="Y1267" s="94"/>
      <c r="Z1267" s="94"/>
      <c r="AA1267" s="94"/>
      <c r="AB1267" s="94"/>
      <c r="AC1267" s="94"/>
      <c r="AD1267" s="94"/>
      <c r="AE1267" s="94"/>
    </row>
    <row r="1268">
      <c r="A1268" s="87"/>
      <c r="B1268" s="37"/>
      <c r="C1268" s="37"/>
      <c r="D1268" s="162"/>
      <c r="E1268" s="89"/>
      <c r="F1268" s="72"/>
      <c r="G1268" s="111"/>
      <c r="H1268" s="111"/>
      <c r="I1268" s="111"/>
      <c r="J1268" s="111"/>
      <c r="K1268" s="111"/>
      <c r="L1268" s="111"/>
      <c r="M1268" s="94"/>
      <c r="N1268" s="94"/>
      <c r="O1268" s="94"/>
      <c r="P1268" s="94"/>
      <c r="Q1268" s="94"/>
      <c r="R1268" s="94"/>
      <c r="S1268" s="94"/>
      <c r="T1268" s="94"/>
      <c r="U1268" s="94"/>
      <c r="V1268" s="94"/>
      <c r="W1268" s="94"/>
      <c r="X1268" s="94"/>
      <c r="Y1268" s="94"/>
      <c r="Z1268" s="94"/>
      <c r="AA1268" s="94"/>
      <c r="AB1268" s="94"/>
      <c r="AC1268" s="94"/>
      <c r="AD1268" s="94"/>
      <c r="AE1268" s="94"/>
    </row>
    <row r="1269">
      <c r="A1269" s="87"/>
      <c r="B1269" s="37"/>
      <c r="C1269" s="37"/>
      <c r="D1269" s="162"/>
      <c r="E1269" s="89"/>
      <c r="F1269" s="72"/>
      <c r="G1269" s="111"/>
      <c r="H1269" s="111"/>
      <c r="I1269" s="111"/>
      <c r="J1269" s="111"/>
      <c r="K1269" s="111"/>
      <c r="L1269" s="111"/>
      <c r="M1269" s="94"/>
      <c r="N1269" s="94"/>
      <c r="O1269" s="94"/>
      <c r="P1269" s="94"/>
      <c r="Q1269" s="94"/>
      <c r="R1269" s="94"/>
      <c r="S1269" s="94"/>
      <c r="T1269" s="94"/>
      <c r="U1269" s="94"/>
      <c r="V1269" s="94"/>
      <c r="W1269" s="94"/>
      <c r="X1269" s="94"/>
      <c r="Y1269" s="94"/>
      <c r="Z1269" s="94"/>
      <c r="AA1269" s="94"/>
      <c r="AB1269" s="94"/>
      <c r="AC1269" s="94"/>
      <c r="AD1269" s="94"/>
      <c r="AE1269" s="94"/>
    </row>
    <row r="1270">
      <c r="A1270" s="87"/>
      <c r="B1270" s="37"/>
      <c r="C1270" s="37"/>
      <c r="D1270" s="162"/>
      <c r="E1270" s="89"/>
      <c r="F1270" s="72"/>
      <c r="G1270" s="111"/>
      <c r="H1270" s="111"/>
      <c r="I1270" s="111"/>
      <c r="J1270" s="111"/>
      <c r="K1270" s="111"/>
      <c r="L1270" s="111"/>
      <c r="M1270" s="94"/>
      <c r="N1270" s="94"/>
      <c r="O1270" s="94"/>
      <c r="P1270" s="94"/>
      <c r="Q1270" s="94"/>
      <c r="R1270" s="94"/>
      <c r="S1270" s="94"/>
      <c r="T1270" s="94"/>
      <c r="U1270" s="94"/>
      <c r="V1270" s="94"/>
      <c r="W1270" s="94"/>
      <c r="X1270" s="94"/>
      <c r="Y1270" s="94"/>
      <c r="Z1270" s="94"/>
      <c r="AA1270" s="94"/>
      <c r="AB1270" s="94"/>
      <c r="AC1270" s="94"/>
      <c r="AD1270" s="94"/>
      <c r="AE1270" s="94"/>
    </row>
    <row r="1271">
      <c r="A1271" s="87"/>
      <c r="B1271" s="37"/>
      <c r="C1271" s="37"/>
      <c r="D1271" s="162"/>
      <c r="E1271" s="89"/>
      <c r="F1271" s="72"/>
      <c r="G1271" s="111"/>
      <c r="H1271" s="111"/>
      <c r="I1271" s="111"/>
      <c r="J1271" s="111"/>
      <c r="K1271" s="111"/>
      <c r="L1271" s="111"/>
      <c r="M1271" s="94"/>
      <c r="N1271" s="94"/>
      <c r="O1271" s="94"/>
      <c r="P1271" s="94"/>
      <c r="Q1271" s="94"/>
      <c r="R1271" s="94"/>
      <c r="S1271" s="94"/>
      <c r="T1271" s="94"/>
      <c r="U1271" s="94"/>
      <c r="V1271" s="94"/>
      <c r="W1271" s="94"/>
      <c r="X1271" s="94"/>
      <c r="Y1271" s="94"/>
      <c r="Z1271" s="94"/>
      <c r="AA1271" s="94"/>
      <c r="AB1271" s="94"/>
      <c r="AC1271" s="94"/>
      <c r="AD1271" s="94"/>
      <c r="AE1271" s="94"/>
    </row>
    <row r="1272">
      <c r="A1272" s="87"/>
      <c r="B1272" s="37"/>
      <c r="C1272" s="37"/>
      <c r="D1272" s="162"/>
      <c r="E1272" s="89"/>
      <c r="F1272" s="72"/>
      <c r="G1272" s="111"/>
      <c r="H1272" s="111"/>
      <c r="I1272" s="111"/>
      <c r="J1272" s="111"/>
      <c r="K1272" s="111"/>
      <c r="L1272" s="111"/>
      <c r="M1272" s="94"/>
      <c r="N1272" s="94"/>
      <c r="O1272" s="94"/>
      <c r="P1272" s="94"/>
      <c r="Q1272" s="94"/>
      <c r="R1272" s="94"/>
      <c r="S1272" s="94"/>
      <c r="T1272" s="94"/>
      <c r="U1272" s="94"/>
      <c r="V1272" s="94"/>
      <c r="W1272" s="94"/>
      <c r="X1272" s="94"/>
      <c r="Y1272" s="94"/>
      <c r="Z1272" s="94"/>
      <c r="AA1272" s="94"/>
      <c r="AB1272" s="94"/>
      <c r="AC1272" s="94"/>
      <c r="AD1272" s="94"/>
      <c r="AE1272" s="94"/>
    </row>
    <row r="1273">
      <c r="A1273" s="87"/>
      <c r="B1273" s="37"/>
      <c r="C1273" s="37"/>
      <c r="D1273" s="162"/>
      <c r="E1273" s="89"/>
      <c r="F1273" s="72"/>
      <c r="G1273" s="111"/>
      <c r="H1273" s="111"/>
      <c r="I1273" s="111"/>
      <c r="J1273" s="111"/>
      <c r="K1273" s="111"/>
      <c r="L1273" s="111"/>
      <c r="M1273" s="94"/>
      <c r="N1273" s="94"/>
      <c r="O1273" s="94"/>
      <c r="P1273" s="94"/>
      <c r="Q1273" s="94"/>
      <c r="R1273" s="94"/>
      <c r="S1273" s="94"/>
      <c r="T1273" s="94"/>
      <c r="U1273" s="94"/>
      <c r="V1273" s="94"/>
      <c r="W1273" s="94"/>
      <c r="X1273" s="94"/>
      <c r="Y1273" s="94"/>
      <c r="Z1273" s="94"/>
      <c r="AA1273" s="94"/>
      <c r="AB1273" s="94"/>
      <c r="AC1273" s="94"/>
      <c r="AD1273" s="94"/>
      <c r="AE1273" s="94"/>
    </row>
    <row r="1274">
      <c r="A1274" s="87"/>
      <c r="B1274" s="37"/>
      <c r="C1274" s="37"/>
      <c r="D1274" s="162"/>
      <c r="E1274" s="89"/>
      <c r="F1274" s="72"/>
      <c r="G1274" s="111"/>
      <c r="H1274" s="111"/>
      <c r="I1274" s="111"/>
      <c r="J1274" s="111"/>
      <c r="K1274" s="111"/>
      <c r="L1274" s="111"/>
      <c r="M1274" s="94"/>
      <c r="N1274" s="94"/>
      <c r="O1274" s="94"/>
      <c r="P1274" s="94"/>
      <c r="Q1274" s="94"/>
      <c r="R1274" s="94"/>
      <c r="S1274" s="94"/>
      <c r="T1274" s="94"/>
      <c r="U1274" s="94"/>
      <c r="V1274" s="94"/>
      <c r="W1274" s="94"/>
      <c r="X1274" s="94"/>
      <c r="Y1274" s="94"/>
      <c r="Z1274" s="94"/>
      <c r="AA1274" s="94"/>
      <c r="AB1274" s="94"/>
      <c r="AC1274" s="94"/>
      <c r="AD1274" s="94"/>
      <c r="AE1274" s="94"/>
    </row>
    <row r="1275">
      <c r="A1275" s="87"/>
      <c r="B1275" s="37"/>
      <c r="C1275" s="37"/>
      <c r="D1275" s="162"/>
      <c r="E1275" s="89"/>
      <c r="F1275" s="72"/>
      <c r="G1275" s="111"/>
      <c r="H1275" s="111"/>
      <c r="I1275" s="111"/>
      <c r="J1275" s="111"/>
      <c r="K1275" s="111"/>
      <c r="L1275" s="111"/>
      <c r="M1275" s="94"/>
      <c r="N1275" s="94"/>
      <c r="O1275" s="94"/>
      <c r="P1275" s="94"/>
      <c r="Q1275" s="94"/>
      <c r="R1275" s="94"/>
      <c r="S1275" s="94"/>
      <c r="T1275" s="94"/>
      <c r="U1275" s="94"/>
      <c r="V1275" s="94"/>
      <c r="W1275" s="94"/>
      <c r="X1275" s="94"/>
      <c r="Y1275" s="94"/>
      <c r="Z1275" s="94"/>
      <c r="AA1275" s="94"/>
      <c r="AB1275" s="94"/>
      <c r="AC1275" s="94"/>
      <c r="AD1275" s="94"/>
      <c r="AE1275" s="94"/>
    </row>
    <row r="1276">
      <c r="A1276" s="87"/>
      <c r="B1276" s="37"/>
      <c r="C1276" s="37"/>
      <c r="D1276" s="162"/>
      <c r="E1276" s="89"/>
      <c r="F1276" s="72"/>
      <c r="G1276" s="111"/>
      <c r="H1276" s="111"/>
      <c r="I1276" s="111"/>
      <c r="J1276" s="111"/>
      <c r="K1276" s="111"/>
      <c r="L1276" s="111"/>
      <c r="M1276" s="94"/>
      <c r="N1276" s="94"/>
      <c r="O1276" s="94"/>
      <c r="P1276" s="94"/>
      <c r="Q1276" s="94"/>
      <c r="R1276" s="94"/>
      <c r="S1276" s="94"/>
      <c r="T1276" s="94"/>
      <c r="U1276" s="94"/>
      <c r="V1276" s="94"/>
      <c r="W1276" s="94"/>
      <c r="X1276" s="94"/>
      <c r="Y1276" s="94"/>
      <c r="Z1276" s="94"/>
      <c r="AA1276" s="94"/>
      <c r="AB1276" s="94"/>
      <c r="AC1276" s="94"/>
      <c r="AD1276" s="94"/>
      <c r="AE1276" s="94"/>
    </row>
    <row r="1277">
      <c r="A1277" s="87"/>
      <c r="B1277" s="37"/>
      <c r="C1277" s="37"/>
      <c r="D1277" s="162"/>
      <c r="E1277" s="89"/>
      <c r="F1277" s="72"/>
      <c r="G1277" s="111"/>
      <c r="H1277" s="111"/>
      <c r="I1277" s="111"/>
      <c r="J1277" s="111"/>
      <c r="K1277" s="111"/>
      <c r="L1277" s="111"/>
      <c r="M1277" s="94"/>
      <c r="N1277" s="94"/>
      <c r="O1277" s="94"/>
      <c r="P1277" s="94"/>
      <c r="Q1277" s="94"/>
      <c r="R1277" s="94"/>
      <c r="S1277" s="94"/>
      <c r="T1277" s="94"/>
      <c r="U1277" s="94"/>
      <c r="V1277" s="94"/>
      <c r="W1277" s="94"/>
      <c r="X1277" s="94"/>
      <c r="Y1277" s="94"/>
      <c r="Z1277" s="94"/>
      <c r="AA1277" s="94"/>
      <c r="AB1277" s="94"/>
      <c r="AC1277" s="94"/>
      <c r="AD1277" s="94"/>
      <c r="AE1277" s="94"/>
    </row>
    <row r="1278">
      <c r="A1278" s="87"/>
      <c r="B1278" s="37"/>
      <c r="C1278" s="37"/>
      <c r="D1278" s="162"/>
      <c r="E1278" s="89"/>
      <c r="F1278" s="72"/>
      <c r="G1278" s="111"/>
      <c r="H1278" s="111"/>
      <c r="I1278" s="111"/>
      <c r="J1278" s="111"/>
      <c r="K1278" s="111"/>
      <c r="L1278" s="111"/>
      <c r="M1278" s="94"/>
      <c r="N1278" s="94"/>
      <c r="O1278" s="94"/>
      <c r="P1278" s="94"/>
      <c r="Q1278" s="94"/>
      <c r="R1278" s="94"/>
      <c r="S1278" s="94"/>
      <c r="T1278" s="94"/>
      <c r="U1278" s="94"/>
      <c r="V1278" s="94"/>
      <c r="W1278" s="94"/>
      <c r="X1278" s="94"/>
      <c r="Y1278" s="94"/>
      <c r="Z1278" s="94"/>
      <c r="AA1278" s="94"/>
      <c r="AB1278" s="94"/>
      <c r="AC1278" s="94"/>
      <c r="AD1278" s="94"/>
      <c r="AE1278" s="94"/>
    </row>
    <row r="1279">
      <c r="A1279" s="87"/>
      <c r="B1279" s="37"/>
      <c r="C1279" s="37"/>
      <c r="D1279" s="162"/>
      <c r="E1279" s="89"/>
      <c r="F1279" s="72"/>
      <c r="G1279" s="111"/>
      <c r="H1279" s="111"/>
      <c r="I1279" s="111"/>
      <c r="J1279" s="111"/>
      <c r="K1279" s="111"/>
      <c r="L1279" s="111"/>
      <c r="M1279" s="94"/>
      <c r="N1279" s="94"/>
      <c r="O1279" s="94"/>
      <c r="P1279" s="94"/>
      <c r="Q1279" s="94"/>
      <c r="R1279" s="94"/>
      <c r="S1279" s="94"/>
      <c r="T1279" s="94"/>
      <c r="U1279" s="94"/>
      <c r="V1279" s="94"/>
      <c r="W1279" s="94"/>
      <c r="X1279" s="94"/>
      <c r="Y1279" s="94"/>
      <c r="Z1279" s="94"/>
      <c r="AA1279" s="94"/>
      <c r="AB1279" s="94"/>
      <c r="AC1279" s="94"/>
      <c r="AD1279" s="94"/>
      <c r="AE1279" s="94"/>
    </row>
    <row r="1280">
      <c r="A1280" s="87"/>
      <c r="B1280" s="37"/>
      <c r="C1280" s="37"/>
      <c r="D1280" s="162"/>
      <c r="E1280" s="89"/>
      <c r="F1280" s="72"/>
      <c r="G1280" s="111"/>
      <c r="H1280" s="111"/>
      <c r="I1280" s="111"/>
      <c r="J1280" s="111"/>
      <c r="K1280" s="111"/>
      <c r="L1280" s="111"/>
      <c r="M1280" s="94"/>
      <c r="N1280" s="94"/>
      <c r="O1280" s="94"/>
      <c r="P1280" s="94"/>
      <c r="Q1280" s="94"/>
      <c r="R1280" s="94"/>
      <c r="S1280" s="94"/>
      <c r="T1280" s="94"/>
      <c r="U1280" s="94"/>
      <c r="V1280" s="94"/>
      <c r="W1280" s="94"/>
      <c r="X1280" s="94"/>
      <c r="Y1280" s="94"/>
      <c r="Z1280" s="94"/>
      <c r="AA1280" s="94"/>
      <c r="AB1280" s="94"/>
      <c r="AC1280" s="94"/>
      <c r="AD1280" s="94"/>
      <c r="AE1280" s="94"/>
    </row>
    <row r="1281">
      <c r="A1281" s="87"/>
      <c r="B1281" s="37"/>
      <c r="C1281" s="37"/>
      <c r="D1281" s="162"/>
      <c r="E1281" s="89"/>
      <c r="F1281" s="72"/>
      <c r="G1281" s="111"/>
      <c r="H1281" s="111"/>
      <c r="I1281" s="111"/>
      <c r="J1281" s="111"/>
      <c r="K1281" s="111"/>
      <c r="L1281" s="111"/>
      <c r="M1281" s="94"/>
      <c r="N1281" s="94"/>
      <c r="O1281" s="94"/>
      <c r="P1281" s="94"/>
      <c r="Q1281" s="94"/>
      <c r="R1281" s="94"/>
      <c r="S1281" s="94"/>
      <c r="T1281" s="94"/>
      <c r="U1281" s="94"/>
      <c r="V1281" s="94"/>
      <c r="W1281" s="94"/>
      <c r="X1281" s="94"/>
      <c r="Y1281" s="94"/>
      <c r="Z1281" s="94"/>
      <c r="AA1281" s="94"/>
      <c r="AB1281" s="94"/>
      <c r="AC1281" s="94"/>
      <c r="AD1281" s="94"/>
      <c r="AE1281" s="94"/>
    </row>
    <row r="1282">
      <c r="A1282" s="87"/>
      <c r="B1282" s="37"/>
      <c r="C1282" s="37"/>
      <c r="D1282" s="162"/>
      <c r="E1282" s="89"/>
      <c r="F1282" s="72"/>
      <c r="G1282" s="111"/>
      <c r="H1282" s="111"/>
      <c r="I1282" s="111"/>
      <c r="J1282" s="111"/>
      <c r="K1282" s="111"/>
      <c r="L1282" s="111"/>
      <c r="M1282" s="94"/>
      <c r="N1282" s="94"/>
      <c r="O1282" s="94"/>
      <c r="P1282" s="94"/>
      <c r="Q1282" s="94"/>
      <c r="R1282" s="94"/>
      <c r="S1282" s="94"/>
      <c r="T1282" s="94"/>
      <c r="U1282" s="94"/>
      <c r="V1282" s="94"/>
      <c r="W1282" s="94"/>
      <c r="X1282" s="94"/>
      <c r="Y1282" s="94"/>
      <c r="Z1282" s="94"/>
      <c r="AA1282" s="94"/>
      <c r="AB1282" s="94"/>
      <c r="AC1282" s="94"/>
      <c r="AD1282" s="94"/>
      <c r="AE1282" s="94"/>
    </row>
    <row r="1283">
      <c r="A1283" s="87"/>
      <c r="B1283" s="37"/>
      <c r="C1283" s="37"/>
      <c r="D1283" s="162"/>
      <c r="E1283" s="89"/>
      <c r="F1283" s="72"/>
      <c r="G1283" s="111"/>
      <c r="H1283" s="111"/>
      <c r="I1283" s="111"/>
      <c r="J1283" s="111"/>
      <c r="K1283" s="111"/>
      <c r="L1283" s="111"/>
      <c r="M1283" s="94"/>
      <c r="N1283" s="94"/>
      <c r="O1283" s="94"/>
      <c r="P1283" s="94"/>
      <c r="Q1283" s="94"/>
      <c r="R1283" s="94"/>
      <c r="S1283" s="94"/>
      <c r="T1283" s="94"/>
      <c r="U1283" s="94"/>
      <c r="V1283" s="94"/>
      <c r="W1283" s="94"/>
      <c r="X1283" s="94"/>
      <c r="Y1283" s="94"/>
      <c r="Z1283" s="94"/>
      <c r="AA1283" s="94"/>
      <c r="AB1283" s="94"/>
      <c r="AC1283" s="94"/>
      <c r="AD1283" s="94"/>
      <c r="AE1283" s="94"/>
    </row>
    <row r="1284">
      <c r="A1284" s="87"/>
      <c r="B1284" s="37"/>
      <c r="C1284" s="37"/>
      <c r="D1284" s="162"/>
      <c r="E1284" s="89"/>
      <c r="F1284" s="72"/>
      <c r="G1284" s="111"/>
      <c r="H1284" s="111"/>
      <c r="I1284" s="111"/>
      <c r="J1284" s="111"/>
      <c r="K1284" s="111"/>
      <c r="L1284" s="111"/>
      <c r="M1284" s="94"/>
      <c r="N1284" s="94"/>
      <c r="O1284" s="94"/>
      <c r="P1284" s="94"/>
      <c r="Q1284" s="94"/>
      <c r="R1284" s="94"/>
      <c r="S1284" s="94"/>
      <c r="T1284" s="94"/>
      <c r="U1284" s="94"/>
      <c r="V1284" s="94"/>
      <c r="W1284" s="94"/>
      <c r="X1284" s="94"/>
      <c r="Y1284" s="94"/>
      <c r="Z1284" s="94"/>
      <c r="AA1284" s="94"/>
      <c r="AB1284" s="94"/>
      <c r="AC1284" s="94"/>
      <c r="AD1284" s="94"/>
      <c r="AE1284" s="94"/>
    </row>
    <row r="1285">
      <c r="A1285" s="87"/>
      <c r="B1285" s="37"/>
      <c r="C1285" s="37"/>
      <c r="D1285" s="162"/>
      <c r="E1285" s="89"/>
      <c r="F1285" s="72"/>
      <c r="G1285" s="111"/>
      <c r="H1285" s="111"/>
      <c r="I1285" s="111"/>
      <c r="J1285" s="111"/>
      <c r="K1285" s="111"/>
      <c r="L1285" s="111"/>
      <c r="M1285" s="94"/>
      <c r="N1285" s="94"/>
      <c r="O1285" s="94"/>
      <c r="P1285" s="94"/>
      <c r="Q1285" s="94"/>
      <c r="R1285" s="94"/>
      <c r="S1285" s="94"/>
      <c r="T1285" s="94"/>
      <c r="U1285" s="94"/>
      <c r="V1285" s="94"/>
      <c r="W1285" s="94"/>
      <c r="X1285" s="94"/>
      <c r="Y1285" s="94"/>
      <c r="Z1285" s="94"/>
      <c r="AA1285" s="94"/>
      <c r="AB1285" s="94"/>
      <c r="AC1285" s="94"/>
      <c r="AD1285" s="94"/>
      <c r="AE1285" s="94"/>
    </row>
    <row r="1286">
      <c r="A1286" s="87"/>
      <c r="B1286" s="37"/>
      <c r="C1286" s="37"/>
      <c r="D1286" s="162"/>
      <c r="E1286" s="89"/>
      <c r="F1286" s="72"/>
      <c r="G1286" s="111"/>
      <c r="H1286" s="111"/>
      <c r="I1286" s="111"/>
      <c r="J1286" s="111"/>
      <c r="K1286" s="111"/>
      <c r="L1286" s="111"/>
      <c r="M1286" s="94"/>
      <c r="N1286" s="94"/>
      <c r="O1286" s="94"/>
      <c r="P1286" s="94"/>
      <c r="Q1286" s="94"/>
      <c r="R1286" s="94"/>
      <c r="S1286" s="94"/>
      <c r="T1286" s="94"/>
      <c r="U1286" s="94"/>
      <c r="V1286" s="94"/>
      <c r="W1286" s="94"/>
      <c r="X1286" s="94"/>
      <c r="Y1286" s="94"/>
      <c r="Z1286" s="94"/>
      <c r="AA1286" s="94"/>
      <c r="AB1286" s="94"/>
      <c r="AC1286" s="94"/>
      <c r="AD1286" s="94"/>
      <c r="AE1286" s="94"/>
    </row>
    <row r="1287">
      <c r="A1287" s="87"/>
      <c r="B1287" s="37"/>
      <c r="C1287" s="37"/>
      <c r="D1287" s="162"/>
      <c r="E1287" s="89"/>
      <c r="F1287" s="72"/>
      <c r="G1287" s="111"/>
      <c r="H1287" s="111"/>
      <c r="I1287" s="111"/>
      <c r="J1287" s="111"/>
      <c r="K1287" s="111"/>
      <c r="L1287" s="111"/>
      <c r="M1287" s="94"/>
      <c r="N1287" s="94"/>
      <c r="O1287" s="94"/>
      <c r="P1287" s="94"/>
      <c r="Q1287" s="94"/>
      <c r="R1287" s="94"/>
      <c r="S1287" s="94"/>
      <c r="T1287" s="94"/>
      <c r="U1287" s="94"/>
      <c r="V1287" s="94"/>
      <c r="W1287" s="94"/>
      <c r="X1287" s="94"/>
      <c r="Y1287" s="94"/>
      <c r="Z1287" s="94"/>
      <c r="AA1287" s="94"/>
      <c r="AB1287" s="94"/>
      <c r="AC1287" s="94"/>
      <c r="AD1287" s="94"/>
      <c r="AE1287" s="94"/>
    </row>
    <row r="1288">
      <c r="A1288" s="87"/>
      <c r="B1288" s="37"/>
      <c r="C1288" s="37"/>
      <c r="D1288" s="162"/>
      <c r="E1288" s="89"/>
      <c r="F1288" s="72"/>
      <c r="G1288" s="111"/>
      <c r="H1288" s="111"/>
      <c r="I1288" s="111"/>
      <c r="J1288" s="111"/>
      <c r="K1288" s="111"/>
      <c r="L1288" s="111"/>
      <c r="M1288" s="94"/>
      <c r="N1288" s="94"/>
      <c r="O1288" s="94"/>
      <c r="P1288" s="94"/>
      <c r="Q1288" s="94"/>
      <c r="R1288" s="94"/>
      <c r="S1288" s="94"/>
      <c r="T1288" s="94"/>
      <c r="U1288" s="94"/>
      <c r="V1288" s="94"/>
      <c r="W1288" s="94"/>
      <c r="X1288" s="94"/>
      <c r="Y1288" s="94"/>
      <c r="Z1288" s="94"/>
      <c r="AA1288" s="94"/>
      <c r="AB1288" s="94"/>
      <c r="AC1288" s="94"/>
      <c r="AD1288" s="94"/>
      <c r="AE1288" s="94"/>
    </row>
    <row r="1289">
      <c r="A1289" s="87"/>
      <c r="B1289" s="37"/>
      <c r="C1289" s="37"/>
      <c r="D1289" s="162"/>
      <c r="E1289" s="89"/>
      <c r="F1289" s="72"/>
      <c r="G1289" s="111"/>
      <c r="H1289" s="111"/>
      <c r="I1289" s="111"/>
      <c r="J1289" s="111"/>
      <c r="K1289" s="111"/>
      <c r="L1289" s="111"/>
      <c r="M1289" s="94"/>
      <c r="N1289" s="94"/>
      <c r="O1289" s="94"/>
      <c r="P1289" s="94"/>
      <c r="Q1289" s="94"/>
      <c r="R1289" s="94"/>
      <c r="S1289" s="94"/>
      <c r="T1289" s="94"/>
      <c r="U1289" s="94"/>
      <c r="V1289" s="94"/>
      <c r="W1289" s="94"/>
      <c r="X1289" s="94"/>
      <c r="Y1289" s="94"/>
      <c r="Z1289" s="94"/>
      <c r="AA1289" s="94"/>
      <c r="AB1289" s="94"/>
      <c r="AC1289" s="94"/>
      <c r="AD1289" s="94"/>
      <c r="AE1289" s="94"/>
    </row>
    <row r="1290">
      <c r="A1290" s="87"/>
      <c r="B1290" s="37"/>
      <c r="C1290" s="37"/>
      <c r="D1290" s="162"/>
      <c r="E1290" s="89"/>
      <c r="F1290" s="72"/>
      <c r="G1290" s="111"/>
      <c r="H1290" s="111"/>
      <c r="I1290" s="111"/>
      <c r="J1290" s="111"/>
      <c r="K1290" s="111"/>
      <c r="L1290" s="111"/>
      <c r="M1290" s="94"/>
      <c r="N1290" s="94"/>
      <c r="O1290" s="94"/>
      <c r="P1290" s="94"/>
      <c r="Q1290" s="94"/>
      <c r="R1290" s="94"/>
      <c r="S1290" s="94"/>
      <c r="T1290" s="94"/>
      <c r="U1290" s="94"/>
      <c r="V1290" s="94"/>
      <c r="W1290" s="94"/>
      <c r="X1290" s="94"/>
      <c r="Y1290" s="94"/>
      <c r="Z1290" s="94"/>
      <c r="AA1290" s="94"/>
      <c r="AB1290" s="94"/>
      <c r="AC1290" s="94"/>
      <c r="AD1290" s="94"/>
      <c r="AE1290" s="94"/>
    </row>
    <row r="1291">
      <c r="A1291" s="87"/>
      <c r="B1291" s="37"/>
      <c r="C1291" s="37"/>
      <c r="D1291" s="162"/>
      <c r="E1291" s="89"/>
      <c r="F1291" s="72"/>
      <c r="G1291" s="111"/>
      <c r="H1291" s="111"/>
      <c r="I1291" s="111"/>
      <c r="J1291" s="111"/>
      <c r="K1291" s="111"/>
      <c r="L1291" s="111"/>
      <c r="M1291" s="94"/>
      <c r="N1291" s="94"/>
      <c r="O1291" s="94"/>
      <c r="P1291" s="94"/>
      <c r="Q1291" s="94"/>
      <c r="R1291" s="94"/>
      <c r="S1291" s="94"/>
      <c r="T1291" s="94"/>
      <c r="U1291" s="94"/>
      <c r="V1291" s="94"/>
      <c r="W1291" s="94"/>
      <c r="X1291" s="94"/>
      <c r="Y1291" s="94"/>
      <c r="Z1291" s="94"/>
      <c r="AA1291" s="94"/>
      <c r="AB1291" s="94"/>
      <c r="AC1291" s="94"/>
      <c r="AD1291" s="94"/>
      <c r="AE1291" s="94"/>
    </row>
    <row r="1292">
      <c r="A1292" s="87"/>
      <c r="B1292" s="37"/>
      <c r="C1292" s="37"/>
      <c r="D1292" s="162"/>
      <c r="E1292" s="89"/>
      <c r="F1292" s="72"/>
      <c r="G1292" s="111"/>
      <c r="H1292" s="111"/>
      <c r="I1292" s="111"/>
      <c r="J1292" s="111"/>
      <c r="K1292" s="111"/>
      <c r="L1292" s="111"/>
      <c r="M1292" s="94"/>
      <c r="N1292" s="94"/>
      <c r="O1292" s="94"/>
      <c r="P1292" s="94"/>
      <c r="Q1292" s="94"/>
      <c r="R1292" s="94"/>
      <c r="S1292" s="94"/>
      <c r="T1292" s="94"/>
      <c r="U1292" s="94"/>
      <c r="V1292" s="94"/>
      <c r="W1292" s="94"/>
      <c r="X1292" s="94"/>
      <c r="Y1292" s="94"/>
      <c r="Z1292" s="94"/>
      <c r="AA1292" s="94"/>
      <c r="AB1292" s="94"/>
      <c r="AC1292" s="94"/>
      <c r="AD1292" s="94"/>
      <c r="AE1292" s="94"/>
    </row>
    <row r="1293">
      <c r="A1293" s="87"/>
      <c r="B1293" s="37"/>
      <c r="C1293" s="37"/>
      <c r="D1293" s="162"/>
      <c r="E1293" s="89"/>
      <c r="F1293" s="72"/>
      <c r="G1293" s="111"/>
      <c r="H1293" s="111"/>
      <c r="I1293" s="111"/>
      <c r="J1293" s="111"/>
      <c r="K1293" s="111"/>
      <c r="L1293" s="111"/>
      <c r="M1293" s="94"/>
      <c r="N1293" s="94"/>
      <c r="O1293" s="94"/>
      <c r="P1293" s="94"/>
      <c r="Q1293" s="94"/>
      <c r="R1293" s="94"/>
      <c r="S1293" s="94"/>
      <c r="T1293" s="94"/>
      <c r="U1293" s="94"/>
      <c r="V1293" s="94"/>
      <c r="W1293" s="94"/>
      <c r="X1293" s="94"/>
      <c r="Y1293" s="94"/>
      <c r="Z1293" s="94"/>
      <c r="AA1293" s="94"/>
      <c r="AB1293" s="94"/>
      <c r="AC1293" s="94"/>
      <c r="AD1293" s="94"/>
      <c r="AE1293" s="94"/>
    </row>
    <row r="1294">
      <c r="A1294" s="87"/>
      <c r="B1294" s="37"/>
      <c r="C1294" s="37"/>
      <c r="D1294" s="162"/>
      <c r="E1294" s="89"/>
      <c r="F1294" s="72"/>
      <c r="G1294" s="111"/>
      <c r="H1294" s="111"/>
      <c r="I1294" s="111"/>
      <c r="J1294" s="111"/>
      <c r="K1294" s="111"/>
      <c r="L1294" s="111"/>
      <c r="M1294" s="94"/>
      <c r="N1294" s="94"/>
      <c r="O1294" s="94"/>
      <c r="P1294" s="94"/>
      <c r="Q1294" s="94"/>
      <c r="R1294" s="94"/>
      <c r="S1294" s="94"/>
      <c r="T1294" s="94"/>
      <c r="U1294" s="94"/>
      <c r="V1294" s="94"/>
      <c r="W1294" s="94"/>
      <c r="X1294" s="94"/>
      <c r="Y1294" s="94"/>
      <c r="Z1294" s="94"/>
      <c r="AA1294" s="94"/>
      <c r="AB1294" s="94"/>
      <c r="AC1294" s="94"/>
      <c r="AD1294" s="94"/>
      <c r="AE1294" s="94"/>
    </row>
    <row r="1295">
      <c r="A1295" s="87"/>
      <c r="B1295" s="37"/>
      <c r="C1295" s="37"/>
      <c r="D1295" s="162"/>
      <c r="E1295" s="89"/>
      <c r="F1295" s="72"/>
      <c r="G1295" s="111"/>
      <c r="H1295" s="111"/>
      <c r="I1295" s="111"/>
      <c r="J1295" s="111"/>
      <c r="K1295" s="111"/>
      <c r="L1295" s="111"/>
      <c r="M1295" s="94"/>
      <c r="N1295" s="94"/>
      <c r="O1295" s="94"/>
      <c r="P1295" s="94"/>
      <c r="Q1295" s="94"/>
      <c r="R1295" s="94"/>
      <c r="S1295" s="94"/>
      <c r="T1295" s="94"/>
      <c r="U1295" s="94"/>
      <c r="V1295" s="94"/>
      <c r="W1295" s="94"/>
      <c r="X1295" s="94"/>
      <c r="Y1295" s="94"/>
      <c r="Z1295" s="94"/>
      <c r="AA1295" s="94"/>
      <c r="AB1295" s="94"/>
      <c r="AC1295" s="94"/>
      <c r="AD1295" s="94"/>
      <c r="AE1295" s="94"/>
    </row>
    <row r="1296">
      <c r="A1296" s="87"/>
      <c r="B1296" s="37"/>
      <c r="C1296" s="37"/>
      <c r="D1296" s="162"/>
      <c r="E1296" s="89"/>
      <c r="F1296" s="72"/>
      <c r="G1296" s="111"/>
      <c r="H1296" s="111"/>
      <c r="I1296" s="111"/>
      <c r="J1296" s="111"/>
      <c r="K1296" s="111"/>
      <c r="L1296" s="111"/>
      <c r="M1296" s="94"/>
      <c r="N1296" s="94"/>
      <c r="O1296" s="94"/>
      <c r="P1296" s="94"/>
      <c r="Q1296" s="94"/>
      <c r="R1296" s="94"/>
      <c r="S1296" s="94"/>
      <c r="T1296" s="94"/>
      <c r="U1296" s="94"/>
      <c r="V1296" s="94"/>
      <c r="W1296" s="94"/>
      <c r="X1296" s="94"/>
      <c r="Y1296" s="94"/>
      <c r="Z1296" s="94"/>
      <c r="AA1296" s="94"/>
      <c r="AB1296" s="94"/>
      <c r="AC1296" s="94"/>
      <c r="AD1296" s="94"/>
      <c r="AE1296" s="94"/>
    </row>
    <row r="1297">
      <c r="A1297" s="87"/>
      <c r="B1297" s="37"/>
      <c r="C1297" s="37"/>
      <c r="D1297" s="162"/>
      <c r="E1297" s="89"/>
      <c r="F1297" s="72"/>
      <c r="G1297" s="111"/>
      <c r="H1297" s="111"/>
      <c r="I1297" s="111"/>
      <c r="J1297" s="111"/>
      <c r="K1297" s="111"/>
      <c r="L1297" s="111"/>
      <c r="M1297" s="94"/>
      <c r="N1297" s="94"/>
      <c r="O1297" s="94"/>
      <c r="P1297" s="94"/>
      <c r="Q1297" s="94"/>
      <c r="R1297" s="94"/>
      <c r="S1297" s="94"/>
      <c r="T1297" s="94"/>
      <c r="U1297" s="94"/>
      <c r="V1297" s="94"/>
      <c r="W1297" s="94"/>
      <c r="X1297" s="94"/>
      <c r="Y1297" s="94"/>
      <c r="Z1297" s="94"/>
      <c r="AA1297" s="94"/>
      <c r="AB1297" s="94"/>
      <c r="AC1297" s="94"/>
      <c r="AD1297" s="94"/>
      <c r="AE1297" s="94"/>
    </row>
    <row r="1298">
      <c r="A1298" s="87"/>
      <c r="B1298" s="37"/>
      <c r="C1298" s="37"/>
      <c r="D1298" s="162"/>
      <c r="E1298" s="89"/>
      <c r="F1298" s="72"/>
      <c r="G1298" s="111"/>
      <c r="H1298" s="111"/>
      <c r="I1298" s="111"/>
      <c r="J1298" s="111"/>
      <c r="K1298" s="111"/>
      <c r="L1298" s="111"/>
      <c r="M1298" s="94"/>
      <c r="N1298" s="94"/>
      <c r="O1298" s="94"/>
      <c r="P1298" s="94"/>
      <c r="Q1298" s="94"/>
      <c r="R1298" s="94"/>
      <c r="S1298" s="94"/>
      <c r="T1298" s="94"/>
      <c r="U1298" s="94"/>
      <c r="V1298" s="94"/>
      <c r="W1298" s="94"/>
      <c r="X1298" s="94"/>
      <c r="Y1298" s="94"/>
      <c r="Z1298" s="94"/>
      <c r="AA1298" s="94"/>
      <c r="AB1298" s="94"/>
      <c r="AC1298" s="94"/>
      <c r="AD1298" s="94"/>
      <c r="AE1298" s="94"/>
    </row>
    <row r="1299">
      <c r="A1299" s="87"/>
      <c r="B1299" s="37"/>
      <c r="C1299" s="37"/>
      <c r="D1299" s="162"/>
      <c r="E1299" s="89"/>
      <c r="F1299" s="72"/>
      <c r="G1299" s="111"/>
      <c r="H1299" s="111"/>
      <c r="I1299" s="111"/>
      <c r="J1299" s="111"/>
      <c r="K1299" s="111"/>
      <c r="L1299" s="111"/>
      <c r="M1299" s="94"/>
      <c r="N1299" s="94"/>
      <c r="O1299" s="94"/>
      <c r="P1299" s="94"/>
      <c r="Q1299" s="94"/>
      <c r="R1299" s="94"/>
      <c r="S1299" s="94"/>
      <c r="T1299" s="94"/>
      <c r="U1299" s="94"/>
      <c r="V1299" s="94"/>
      <c r="W1299" s="94"/>
      <c r="X1299" s="94"/>
      <c r="Y1299" s="94"/>
      <c r="Z1299" s="94"/>
      <c r="AA1299" s="94"/>
      <c r="AB1299" s="94"/>
      <c r="AC1299" s="94"/>
      <c r="AD1299" s="94"/>
      <c r="AE1299" s="94"/>
    </row>
    <row r="1300">
      <c r="A1300" s="87"/>
      <c r="B1300" s="37"/>
      <c r="C1300" s="37"/>
      <c r="D1300" s="162"/>
      <c r="E1300" s="89"/>
      <c r="F1300" s="72"/>
      <c r="G1300" s="111"/>
      <c r="H1300" s="111"/>
      <c r="I1300" s="111"/>
      <c r="J1300" s="111"/>
      <c r="K1300" s="111"/>
      <c r="L1300" s="111"/>
      <c r="M1300" s="94"/>
      <c r="N1300" s="94"/>
      <c r="O1300" s="94"/>
      <c r="P1300" s="94"/>
      <c r="Q1300" s="94"/>
      <c r="R1300" s="94"/>
      <c r="S1300" s="94"/>
      <c r="T1300" s="94"/>
      <c r="U1300" s="94"/>
      <c r="V1300" s="94"/>
      <c r="W1300" s="94"/>
      <c r="X1300" s="94"/>
      <c r="Y1300" s="94"/>
      <c r="Z1300" s="94"/>
      <c r="AA1300" s="94"/>
      <c r="AB1300" s="94"/>
      <c r="AC1300" s="94"/>
      <c r="AD1300" s="94"/>
      <c r="AE1300" s="94"/>
    </row>
    <row r="1301">
      <c r="A1301" s="87"/>
      <c r="B1301" s="37"/>
      <c r="C1301" s="37"/>
      <c r="D1301" s="162"/>
      <c r="E1301" s="89"/>
      <c r="F1301" s="72"/>
      <c r="G1301" s="111"/>
      <c r="H1301" s="111"/>
      <c r="I1301" s="111"/>
      <c r="J1301" s="111"/>
      <c r="K1301" s="111"/>
      <c r="L1301" s="111"/>
      <c r="M1301" s="94"/>
      <c r="N1301" s="94"/>
      <c r="O1301" s="94"/>
      <c r="P1301" s="94"/>
      <c r="Q1301" s="94"/>
      <c r="R1301" s="94"/>
      <c r="S1301" s="94"/>
      <c r="T1301" s="94"/>
      <c r="U1301" s="94"/>
      <c r="V1301" s="94"/>
      <c r="W1301" s="94"/>
      <c r="X1301" s="94"/>
      <c r="Y1301" s="94"/>
      <c r="Z1301" s="94"/>
      <c r="AA1301" s="94"/>
      <c r="AB1301" s="94"/>
      <c r="AC1301" s="94"/>
      <c r="AD1301" s="94"/>
      <c r="AE1301" s="94"/>
    </row>
    <row r="1302">
      <c r="A1302" s="87"/>
      <c r="B1302" s="37"/>
      <c r="C1302" s="37"/>
      <c r="D1302" s="162"/>
      <c r="E1302" s="89"/>
      <c r="F1302" s="72"/>
      <c r="G1302" s="111"/>
      <c r="H1302" s="111"/>
      <c r="I1302" s="111"/>
      <c r="J1302" s="111"/>
      <c r="K1302" s="111"/>
      <c r="L1302" s="111"/>
      <c r="M1302" s="94"/>
      <c r="N1302" s="94"/>
      <c r="O1302" s="94"/>
      <c r="P1302" s="94"/>
      <c r="Q1302" s="94"/>
      <c r="R1302" s="94"/>
      <c r="S1302" s="94"/>
      <c r="T1302" s="94"/>
      <c r="U1302" s="94"/>
      <c r="V1302" s="94"/>
      <c r="W1302" s="94"/>
      <c r="X1302" s="94"/>
      <c r="Y1302" s="94"/>
      <c r="Z1302" s="94"/>
      <c r="AA1302" s="94"/>
      <c r="AB1302" s="94"/>
      <c r="AC1302" s="94"/>
      <c r="AD1302" s="94"/>
      <c r="AE1302" s="94"/>
    </row>
    <row r="1303">
      <c r="A1303" s="87"/>
      <c r="B1303" s="37"/>
      <c r="C1303" s="37"/>
      <c r="D1303" s="162"/>
      <c r="E1303" s="89"/>
      <c r="F1303" s="72"/>
      <c r="G1303" s="111"/>
      <c r="H1303" s="111"/>
      <c r="I1303" s="111"/>
      <c r="J1303" s="111"/>
      <c r="K1303" s="111"/>
      <c r="L1303" s="111"/>
      <c r="M1303" s="94"/>
      <c r="N1303" s="94"/>
      <c r="O1303" s="94"/>
      <c r="P1303" s="94"/>
      <c r="Q1303" s="94"/>
      <c r="R1303" s="94"/>
      <c r="S1303" s="94"/>
      <c r="T1303" s="94"/>
      <c r="U1303" s="94"/>
      <c r="V1303" s="94"/>
      <c r="W1303" s="94"/>
      <c r="X1303" s="94"/>
      <c r="Y1303" s="94"/>
      <c r="Z1303" s="94"/>
      <c r="AA1303" s="94"/>
      <c r="AB1303" s="94"/>
      <c r="AC1303" s="94"/>
      <c r="AD1303" s="94"/>
      <c r="AE1303" s="94"/>
    </row>
    <row r="1304">
      <c r="A1304" s="87"/>
      <c r="B1304" s="37"/>
      <c r="C1304" s="37"/>
      <c r="D1304" s="162"/>
      <c r="E1304" s="89"/>
      <c r="F1304" s="72"/>
      <c r="G1304" s="111"/>
      <c r="H1304" s="111"/>
      <c r="I1304" s="111"/>
      <c r="J1304" s="111"/>
      <c r="K1304" s="111"/>
      <c r="L1304" s="111"/>
      <c r="M1304" s="94"/>
      <c r="N1304" s="94"/>
      <c r="O1304" s="94"/>
      <c r="P1304" s="94"/>
      <c r="Q1304" s="94"/>
      <c r="R1304" s="94"/>
      <c r="S1304" s="94"/>
      <c r="T1304" s="94"/>
      <c r="U1304" s="94"/>
      <c r="V1304" s="94"/>
      <c r="W1304" s="94"/>
      <c r="X1304" s="94"/>
      <c r="Y1304" s="94"/>
      <c r="Z1304" s="94"/>
      <c r="AA1304" s="94"/>
      <c r="AB1304" s="94"/>
      <c r="AC1304" s="94"/>
      <c r="AD1304" s="94"/>
      <c r="AE1304" s="94"/>
    </row>
    <row r="1305">
      <c r="A1305" s="87"/>
      <c r="B1305" s="37"/>
      <c r="C1305" s="37"/>
      <c r="D1305" s="162"/>
      <c r="E1305" s="89"/>
      <c r="F1305" s="72"/>
      <c r="G1305" s="111"/>
      <c r="H1305" s="111"/>
      <c r="I1305" s="111"/>
      <c r="J1305" s="111"/>
      <c r="K1305" s="111"/>
      <c r="L1305" s="111"/>
      <c r="M1305" s="94"/>
      <c r="N1305" s="94"/>
      <c r="O1305" s="94"/>
      <c r="P1305" s="94"/>
      <c r="Q1305" s="94"/>
      <c r="R1305" s="94"/>
      <c r="S1305" s="94"/>
      <c r="T1305" s="94"/>
      <c r="U1305" s="94"/>
      <c r="V1305" s="94"/>
      <c r="W1305" s="94"/>
      <c r="X1305" s="94"/>
      <c r="Y1305" s="94"/>
      <c r="Z1305" s="94"/>
      <c r="AA1305" s="94"/>
      <c r="AB1305" s="94"/>
      <c r="AC1305" s="94"/>
      <c r="AD1305" s="94"/>
      <c r="AE1305" s="94"/>
    </row>
    <row r="1306">
      <c r="A1306" s="87"/>
      <c r="B1306" s="37"/>
      <c r="C1306" s="37"/>
      <c r="D1306" s="162"/>
      <c r="E1306" s="89"/>
      <c r="F1306" s="72"/>
      <c r="G1306" s="111"/>
      <c r="H1306" s="111"/>
      <c r="I1306" s="111"/>
      <c r="J1306" s="111"/>
      <c r="K1306" s="111"/>
      <c r="L1306" s="111"/>
      <c r="M1306" s="94"/>
      <c r="N1306" s="94"/>
      <c r="O1306" s="94"/>
      <c r="P1306" s="94"/>
      <c r="Q1306" s="94"/>
      <c r="R1306" s="94"/>
      <c r="S1306" s="94"/>
      <c r="T1306" s="94"/>
      <c r="U1306" s="94"/>
      <c r="V1306" s="94"/>
      <c r="W1306" s="94"/>
      <c r="X1306" s="94"/>
      <c r="Y1306" s="94"/>
      <c r="Z1306" s="94"/>
      <c r="AA1306" s="94"/>
      <c r="AB1306" s="94"/>
      <c r="AC1306" s="94"/>
      <c r="AD1306" s="94"/>
      <c r="AE1306" s="94"/>
    </row>
    <row r="1307">
      <c r="A1307" s="87"/>
      <c r="B1307" s="37"/>
      <c r="C1307" s="37"/>
      <c r="D1307" s="162"/>
      <c r="E1307" s="89"/>
      <c r="F1307" s="72"/>
      <c r="G1307" s="111"/>
      <c r="H1307" s="111"/>
      <c r="I1307" s="111"/>
      <c r="J1307" s="111"/>
      <c r="K1307" s="111"/>
      <c r="L1307" s="111"/>
      <c r="M1307" s="94"/>
      <c r="N1307" s="94"/>
      <c r="O1307" s="94"/>
      <c r="P1307" s="94"/>
      <c r="Q1307" s="94"/>
      <c r="R1307" s="94"/>
      <c r="S1307" s="94"/>
      <c r="T1307" s="94"/>
      <c r="U1307" s="94"/>
      <c r="V1307" s="94"/>
      <c r="W1307" s="94"/>
      <c r="X1307" s="94"/>
      <c r="Y1307" s="94"/>
      <c r="Z1307" s="94"/>
      <c r="AA1307" s="94"/>
      <c r="AB1307" s="94"/>
      <c r="AC1307" s="94"/>
      <c r="AD1307" s="94"/>
      <c r="AE1307" s="94"/>
    </row>
    <row r="1308">
      <c r="A1308" s="87"/>
      <c r="B1308" s="37"/>
      <c r="C1308" s="37"/>
      <c r="D1308" s="162"/>
      <c r="E1308" s="89"/>
      <c r="F1308" s="72"/>
      <c r="G1308" s="111"/>
      <c r="H1308" s="111"/>
      <c r="I1308" s="111"/>
      <c r="J1308" s="111"/>
      <c r="K1308" s="111"/>
      <c r="L1308" s="111"/>
      <c r="M1308" s="94"/>
      <c r="N1308" s="94"/>
      <c r="O1308" s="94"/>
      <c r="P1308" s="94"/>
      <c r="Q1308" s="94"/>
      <c r="R1308" s="94"/>
      <c r="S1308" s="94"/>
      <c r="T1308" s="94"/>
      <c r="U1308" s="94"/>
      <c r="V1308" s="94"/>
      <c r="W1308" s="94"/>
      <c r="X1308" s="94"/>
      <c r="Y1308" s="94"/>
      <c r="Z1308" s="94"/>
      <c r="AA1308" s="94"/>
      <c r="AB1308" s="94"/>
      <c r="AC1308" s="94"/>
      <c r="AD1308" s="94"/>
      <c r="AE1308" s="94"/>
    </row>
    <row r="1309">
      <c r="A1309" s="87"/>
      <c r="B1309" s="37"/>
      <c r="C1309" s="37"/>
      <c r="D1309" s="162"/>
      <c r="E1309" s="89"/>
      <c r="F1309" s="72"/>
      <c r="G1309" s="111"/>
      <c r="H1309" s="111"/>
      <c r="I1309" s="111"/>
      <c r="J1309" s="111"/>
      <c r="K1309" s="111"/>
      <c r="L1309" s="111"/>
      <c r="M1309" s="94"/>
      <c r="N1309" s="94"/>
      <c r="O1309" s="94"/>
      <c r="P1309" s="94"/>
      <c r="Q1309" s="94"/>
      <c r="R1309" s="94"/>
      <c r="S1309" s="94"/>
      <c r="T1309" s="94"/>
      <c r="U1309" s="94"/>
      <c r="V1309" s="94"/>
      <c r="W1309" s="94"/>
      <c r="X1309" s="94"/>
      <c r="Y1309" s="94"/>
      <c r="Z1309" s="94"/>
      <c r="AA1309" s="94"/>
      <c r="AB1309" s="94"/>
      <c r="AC1309" s="94"/>
      <c r="AD1309" s="94"/>
      <c r="AE1309" s="94"/>
    </row>
    <row r="1310">
      <c r="A1310" s="87"/>
      <c r="B1310" s="37"/>
      <c r="C1310" s="37"/>
      <c r="D1310" s="162"/>
      <c r="E1310" s="89"/>
      <c r="F1310" s="72"/>
      <c r="G1310" s="111"/>
      <c r="H1310" s="111"/>
      <c r="I1310" s="111"/>
      <c r="J1310" s="111"/>
      <c r="K1310" s="111"/>
      <c r="L1310" s="111"/>
      <c r="M1310" s="94"/>
      <c r="N1310" s="94"/>
      <c r="O1310" s="94"/>
      <c r="P1310" s="94"/>
      <c r="Q1310" s="94"/>
      <c r="R1310" s="94"/>
      <c r="S1310" s="94"/>
      <c r="T1310" s="94"/>
      <c r="U1310" s="94"/>
      <c r="V1310" s="94"/>
      <c r="W1310" s="94"/>
      <c r="X1310" s="94"/>
      <c r="Y1310" s="94"/>
      <c r="Z1310" s="94"/>
      <c r="AA1310" s="94"/>
      <c r="AB1310" s="94"/>
      <c r="AC1310" s="94"/>
      <c r="AD1310" s="94"/>
      <c r="AE1310" s="94"/>
    </row>
    <row r="1311">
      <c r="A1311" s="87"/>
      <c r="B1311" s="37"/>
      <c r="C1311" s="37"/>
      <c r="D1311" s="162"/>
      <c r="E1311" s="89"/>
      <c r="F1311" s="72"/>
      <c r="G1311" s="111"/>
      <c r="H1311" s="111"/>
      <c r="I1311" s="111"/>
      <c r="J1311" s="111"/>
      <c r="K1311" s="111"/>
      <c r="L1311" s="111"/>
      <c r="M1311" s="94"/>
      <c r="N1311" s="94"/>
      <c r="O1311" s="94"/>
      <c r="P1311" s="94"/>
      <c r="Q1311" s="94"/>
      <c r="R1311" s="94"/>
      <c r="S1311" s="94"/>
      <c r="T1311" s="94"/>
      <c r="U1311" s="94"/>
      <c r="V1311" s="94"/>
      <c r="W1311" s="94"/>
      <c r="X1311" s="94"/>
      <c r="Y1311" s="94"/>
      <c r="Z1311" s="94"/>
      <c r="AA1311" s="94"/>
      <c r="AB1311" s="94"/>
      <c r="AC1311" s="94"/>
      <c r="AD1311" s="94"/>
      <c r="AE1311" s="94"/>
    </row>
    <row r="1312">
      <c r="A1312" s="87"/>
      <c r="B1312" s="37"/>
      <c r="C1312" s="37"/>
      <c r="D1312" s="162"/>
      <c r="E1312" s="89"/>
      <c r="F1312" s="72"/>
      <c r="G1312" s="111"/>
      <c r="H1312" s="111"/>
      <c r="I1312" s="111"/>
      <c r="J1312" s="111"/>
      <c r="K1312" s="111"/>
      <c r="L1312" s="111"/>
      <c r="M1312" s="94"/>
      <c r="N1312" s="94"/>
      <c r="O1312" s="94"/>
      <c r="P1312" s="94"/>
      <c r="Q1312" s="94"/>
      <c r="R1312" s="94"/>
      <c r="S1312" s="94"/>
      <c r="T1312" s="94"/>
      <c r="U1312" s="94"/>
      <c r="V1312" s="94"/>
      <c r="W1312" s="94"/>
      <c r="X1312" s="94"/>
      <c r="Y1312" s="94"/>
      <c r="Z1312" s="94"/>
      <c r="AA1312" s="94"/>
      <c r="AB1312" s="94"/>
      <c r="AC1312" s="94"/>
      <c r="AD1312" s="94"/>
      <c r="AE1312" s="94"/>
    </row>
    <row r="1313">
      <c r="A1313" s="87"/>
      <c r="B1313" s="37"/>
      <c r="C1313" s="37"/>
      <c r="D1313" s="162"/>
      <c r="E1313" s="89"/>
      <c r="F1313" s="72"/>
      <c r="G1313" s="111"/>
      <c r="H1313" s="111"/>
      <c r="I1313" s="111"/>
      <c r="J1313" s="111"/>
      <c r="K1313" s="111"/>
      <c r="L1313" s="111"/>
      <c r="M1313" s="94"/>
      <c r="N1313" s="94"/>
      <c r="O1313" s="94"/>
      <c r="P1313" s="94"/>
      <c r="Q1313" s="94"/>
      <c r="R1313" s="94"/>
      <c r="S1313" s="94"/>
      <c r="T1313" s="94"/>
      <c r="U1313" s="94"/>
      <c r="V1313" s="94"/>
      <c r="W1313" s="94"/>
      <c r="X1313" s="94"/>
      <c r="Y1313" s="94"/>
      <c r="Z1313" s="94"/>
      <c r="AA1313" s="94"/>
      <c r="AB1313" s="94"/>
      <c r="AC1313" s="94"/>
      <c r="AD1313" s="94"/>
      <c r="AE1313" s="94"/>
    </row>
    <row r="1314">
      <c r="A1314" s="87"/>
      <c r="B1314" s="37"/>
      <c r="C1314" s="37"/>
      <c r="D1314" s="162"/>
      <c r="E1314" s="89"/>
      <c r="F1314" s="72"/>
      <c r="G1314" s="111"/>
      <c r="H1314" s="111"/>
      <c r="I1314" s="111"/>
      <c r="J1314" s="111"/>
      <c r="K1314" s="111"/>
      <c r="L1314" s="111"/>
      <c r="M1314" s="94"/>
      <c r="N1314" s="94"/>
      <c r="O1314" s="94"/>
      <c r="P1314" s="94"/>
      <c r="Q1314" s="94"/>
      <c r="R1314" s="94"/>
      <c r="S1314" s="94"/>
      <c r="T1314" s="94"/>
      <c r="U1314" s="94"/>
      <c r="V1314" s="94"/>
      <c r="W1314" s="94"/>
      <c r="X1314" s="94"/>
      <c r="Y1314" s="94"/>
      <c r="Z1314" s="94"/>
      <c r="AA1314" s="94"/>
      <c r="AB1314" s="94"/>
      <c r="AC1314" s="94"/>
      <c r="AD1314" s="94"/>
      <c r="AE1314" s="94"/>
    </row>
    <row r="1315">
      <c r="A1315" s="87"/>
      <c r="B1315" s="37"/>
      <c r="C1315" s="37"/>
      <c r="D1315" s="162"/>
      <c r="E1315" s="89"/>
      <c r="F1315" s="72"/>
      <c r="G1315" s="111"/>
      <c r="H1315" s="111"/>
      <c r="I1315" s="111"/>
      <c r="J1315" s="111"/>
      <c r="K1315" s="111"/>
      <c r="L1315" s="111"/>
      <c r="M1315" s="94"/>
      <c r="N1315" s="94"/>
      <c r="O1315" s="94"/>
      <c r="P1315" s="94"/>
      <c r="Q1315" s="94"/>
      <c r="R1315" s="94"/>
      <c r="S1315" s="94"/>
      <c r="T1315" s="94"/>
      <c r="U1315" s="94"/>
      <c r="V1315" s="94"/>
      <c r="W1315" s="94"/>
      <c r="X1315" s="94"/>
      <c r="Y1315" s="94"/>
      <c r="Z1315" s="94"/>
      <c r="AA1315" s="94"/>
      <c r="AB1315" s="94"/>
      <c r="AC1315" s="94"/>
      <c r="AD1315" s="94"/>
      <c r="AE1315" s="94"/>
    </row>
    <row r="1316">
      <c r="A1316" s="87"/>
      <c r="B1316" s="37"/>
      <c r="C1316" s="37"/>
      <c r="D1316" s="162"/>
      <c r="E1316" s="89"/>
      <c r="F1316" s="72"/>
      <c r="G1316" s="111"/>
      <c r="H1316" s="111"/>
      <c r="I1316" s="111"/>
      <c r="J1316" s="111"/>
      <c r="K1316" s="111"/>
      <c r="L1316" s="111"/>
      <c r="M1316" s="94"/>
      <c r="N1316" s="94"/>
      <c r="O1316" s="94"/>
      <c r="P1316" s="94"/>
      <c r="Q1316" s="94"/>
      <c r="R1316" s="94"/>
      <c r="S1316" s="94"/>
      <c r="T1316" s="94"/>
      <c r="U1316" s="94"/>
      <c r="V1316" s="94"/>
      <c r="W1316" s="94"/>
      <c r="X1316" s="94"/>
      <c r="Y1316" s="94"/>
      <c r="Z1316" s="94"/>
      <c r="AA1316" s="94"/>
      <c r="AB1316" s="94"/>
      <c r="AC1316" s="94"/>
      <c r="AD1316" s="94"/>
      <c r="AE1316" s="94"/>
    </row>
    <row r="1317">
      <c r="A1317" s="87"/>
      <c r="B1317" s="37"/>
      <c r="C1317" s="37"/>
      <c r="D1317" s="162"/>
      <c r="E1317" s="89"/>
      <c r="F1317" s="72"/>
      <c r="G1317" s="111"/>
      <c r="H1317" s="111"/>
      <c r="I1317" s="111"/>
      <c r="J1317" s="111"/>
      <c r="K1317" s="111"/>
      <c r="L1317" s="111"/>
      <c r="M1317" s="94"/>
      <c r="N1317" s="94"/>
      <c r="O1317" s="94"/>
      <c r="P1317" s="94"/>
      <c r="Q1317" s="94"/>
      <c r="R1317" s="94"/>
      <c r="S1317" s="94"/>
      <c r="T1317" s="94"/>
      <c r="U1317" s="94"/>
      <c r="V1317" s="94"/>
      <c r="W1317" s="94"/>
      <c r="X1317" s="94"/>
      <c r="Y1317" s="94"/>
      <c r="Z1317" s="94"/>
      <c r="AA1317" s="94"/>
      <c r="AB1317" s="94"/>
      <c r="AC1317" s="94"/>
      <c r="AD1317" s="94"/>
      <c r="AE1317" s="94"/>
    </row>
    <row r="1318">
      <c r="A1318" s="87"/>
      <c r="B1318" s="37"/>
      <c r="C1318" s="37"/>
      <c r="D1318" s="162"/>
      <c r="E1318" s="89"/>
      <c r="F1318" s="72"/>
      <c r="G1318" s="111"/>
      <c r="H1318" s="111"/>
      <c r="I1318" s="111"/>
      <c r="J1318" s="111"/>
      <c r="K1318" s="111"/>
      <c r="L1318" s="111"/>
      <c r="M1318" s="94"/>
      <c r="N1318" s="94"/>
      <c r="O1318" s="94"/>
      <c r="P1318" s="94"/>
      <c r="Q1318" s="94"/>
      <c r="R1318" s="94"/>
      <c r="S1318" s="94"/>
      <c r="T1318" s="94"/>
      <c r="U1318" s="94"/>
      <c r="V1318" s="94"/>
      <c r="W1318" s="94"/>
      <c r="X1318" s="94"/>
      <c r="Y1318" s="94"/>
      <c r="Z1318" s="94"/>
      <c r="AA1318" s="94"/>
      <c r="AB1318" s="94"/>
      <c r="AC1318" s="94"/>
      <c r="AD1318" s="94"/>
      <c r="AE1318" s="94"/>
    </row>
    <row r="1319">
      <c r="A1319" s="87"/>
      <c r="B1319" s="37"/>
      <c r="C1319" s="37"/>
      <c r="D1319" s="162"/>
      <c r="E1319" s="89"/>
      <c r="F1319" s="72"/>
      <c r="G1319" s="111"/>
      <c r="H1319" s="111"/>
      <c r="I1319" s="111"/>
      <c r="J1319" s="111"/>
      <c r="K1319" s="111"/>
      <c r="L1319" s="111"/>
      <c r="M1319" s="94"/>
      <c r="N1319" s="94"/>
      <c r="O1319" s="94"/>
      <c r="P1319" s="94"/>
      <c r="Q1319" s="94"/>
      <c r="R1319" s="94"/>
      <c r="S1319" s="94"/>
      <c r="T1319" s="94"/>
      <c r="U1319" s="94"/>
      <c r="V1319" s="94"/>
      <c r="W1319" s="94"/>
      <c r="X1319" s="94"/>
      <c r="Y1319" s="94"/>
      <c r="Z1319" s="94"/>
      <c r="AA1319" s="94"/>
      <c r="AB1319" s="94"/>
      <c r="AC1319" s="94"/>
      <c r="AD1319" s="94"/>
      <c r="AE1319" s="94"/>
    </row>
    <row r="1320">
      <c r="A1320" s="87"/>
      <c r="B1320" s="37"/>
      <c r="C1320" s="37"/>
      <c r="D1320" s="162"/>
      <c r="E1320" s="89"/>
      <c r="F1320" s="72"/>
      <c r="G1320" s="111"/>
      <c r="H1320" s="111"/>
      <c r="I1320" s="111"/>
      <c r="J1320" s="111"/>
      <c r="K1320" s="111"/>
      <c r="L1320" s="111"/>
      <c r="M1320" s="94"/>
      <c r="N1320" s="94"/>
      <c r="O1320" s="94"/>
      <c r="P1320" s="94"/>
      <c r="Q1320" s="94"/>
      <c r="R1320" s="94"/>
      <c r="S1320" s="94"/>
      <c r="T1320" s="94"/>
      <c r="U1320" s="94"/>
      <c r="V1320" s="94"/>
      <c r="W1320" s="94"/>
      <c r="X1320" s="94"/>
      <c r="Y1320" s="94"/>
      <c r="Z1320" s="94"/>
      <c r="AA1320" s="94"/>
      <c r="AB1320" s="94"/>
      <c r="AC1320" s="94"/>
      <c r="AD1320" s="94"/>
      <c r="AE1320" s="94"/>
    </row>
    <row r="1321">
      <c r="A1321" s="87"/>
      <c r="B1321" s="37"/>
      <c r="C1321" s="37"/>
      <c r="D1321" s="162"/>
      <c r="E1321" s="89"/>
      <c r="F1321" s="72"/>
      <c r="G1321" s="111"/>
      <c r="H1321" s="111"/>
      <c r="I1321" s="111"/>
      <c r="J1321" s="111"/>
      <c r="K1321" s="111"/>
      <c r="L1321" s="111"/>
      <c r="M1321" s="94"/>
      <c r="N1321" s="94"/>
      <c r="O1321" s="94"/>
      <c r="P1321" s="94"/>
      <c r="Q1321" s="94"/>
      <c r="R1321" s="94"/>
      <c r="S1321" s="94"/>
      <c r="T1321" s="94"/>
      <c r="U1321" s="94"/>
      <c r="V1321" s="94"/>
      <c r="W1321" s="94"/>
      <c r="X1321" s="94"/>
      <c r="Y1321" s="94"/>
      <c r="Z1321" s="94"/>
      <c r="AA1321" s="94"/>
      <c r="AB1321" s="94"/>
      <c r="AC1321" s="94"/>
      <c r="AD1321" s="94"/>
      <c r="AE1321" s="94"/>
    </row>
    <row r="1322">
      <c r="A1322" s="87"/>
      <c r="B1322" s="37"/>
      <c r="C1322" s="37"/>
      <c r="D1322" s="162"/>
      <c r="E1322" s="89"/>
      <c r="F1322" s="72"/>
      <c r="G1322" s="111"/>
      <c r="H1322" s="111"/>
      <c r="I1322" s="111"/>
      <c r="J1322" s="111"/>
      <c r="K1322" s="111"/>
      <c r="L1322" s="111"/>
      <c r="M1322" s="94"/>
      <c r="N1322" s="94"/>
      <c r="O1322" s="94"/>
      <c r="P1322" s="94"/>
      <c r="Q1322" s="94"/>
      <c r="R1322" s="94"/>
      <c r="S1322" s="94"/>
      <c r="T1322" s="94"/>
      <c r="U1322" s="94"/>
      <c r="V1322" s="94"/>
      <c r="W1322" s="94"/>
      <c r="X1322" s="94"/>
      <c r="Y1322" s="94"/>
      <c r="Z1322" s="94"/>
      <c r="AA1322" s="94"/>
      <c r="AB1322" s="94"/>
      <c r="AC1322" s="94"/>
      <c r="AD1322" s="94"/>
      <c r="AE1322" s="94"/>
    </row>
    <row r="1323">
      <c r="A1323" s="87"/>
      <c r="B1323" s="37"/>
      <c r="C1323" s="37"/>
      <c r="D1323" s="162"/>
      <c r="E1323" s="89"/>
      <c r="F1323" s="72"/>
      <c r="G1323" s="111"/>
      <c r="H1323" s="111"/>
      <c r="I1323" s="111"/>
      <c r="J1323" s="111"/>
      <c r="K1323" s="111"/>
      <c r="L1323" s="111"/>
      <c r="M1323" s="94"/>
      <c r="N1323" s="94"/>
      <c r="O1323" s="94"/>
      <c r="P1323" s="94"/>
      <c r="Q1323" s="94"/>
      <c r="R1323" s="94"/>
      <c r="S1323" s="94"/>
      <c r="T1323" s="94"/>
      <c r="U1323" s="94"/>
      <c r="V1323" s="94"/>
      <c r="W1323" s="94"/>
      <c r="X1323" s="94"/>
      <c r="Y1323" s="94"/>
      <c r="Z1323" s="94"/>
      <c r="AA1323" s="94"/>
      <c r="AB1323" s="94"/>
      <c r="AC1323" s="94"/>
      <c r="AD1323" s="94"/>
      <c r="AE1323" s="94"/>
    </row>
    <row r="1324">
      <c r="A1324" s="87"/>
      <c r="B1324" s="37"/>
      <c r="C1324" s="37"/>
      <c r="D1324" s="162"/>
      <c r="E1324" s="89"/>
      <c r="F1324" s="72"/>
      <c r="G1324" s="111"/>
      <c r="H1324" s="111"/>
      <c r="I1324" s="111"/>
      <c r="J1324" s="111"/>
      <c r="K1324" s="111"/>
      <c r="L1324" s="111"/>
      <c r="M1324" s="94"/>
      <c r="N1324" s="94"/>
      <c r="O1324" s="94"/>
      <c r="P1324" s="94"/>
      <c r="Q1324" s="94"/>
      <c r="R1324" s="94"/>
      <c r="S1324" s="94"/>
      <c r="T1324" s="94"/>
      <c r="U1324" s="94"/>
      <c r="V1324" s="94"/>
      <c r="W1324" s="94"/>
      <c r="X1324" s="94"/>
      <c r="Y1324" s="94"/>
      <c r="Z1324" s="94"/>
      <c r="AA1324" s="94"/>
      <c r="AB1324" s="94"/>
      <c r="AC1324" s="94"/>
      <c r="AD1324" s="94"/>
      <c r="AE1324" s="94"/>
    </row>
    <row r="1325">
      <c r="A1325" s="87"/>
      <c r="B1325" s="37"/>
      <c r="C1325" s="37"/>
      <c r="D1325" s="162"/>
      <c r="E1325" s="89"/>
      <c r="F1325" s="72"/>
      <c r="G1325" s="111"/>
      <c r="H1325" s="111"/>
      <c r="I1325" s="111"/>
      <c r="J1325" s="111"/>
      <c r="K1325" s="111"/>
      <c r="L1325" s="111"/>
      <c r="M1325" s="94"/>
      <c r="N1325" s="94"/>
      <c r="O1325" s="94"/>
      <c r="P1325" s="94"/>
      <c r="Q1325" s="94"/>
      <c r="R1325" s="94"/>
      <c r="S1325" s="94"/>
      <c r="T1325" s="94"/>
      <c r="U1325" s="94"/>
      <c r="V1325" s="94"/>
      <c r="W1325" s="94"/>
      <c r="X1325" s="94"/>
      <c r="Y1325" s="94"/>
      <c r="Z1325" s="94"/>
      <c r="AA1325" s="94"/>
      <c r="AB1325" s="94"/>
      <c r="AC1325" s="94"/>
      <c r="AD1325" s="94"/>
      <c r="AE1325" s="94"/>
    </row>
    <row r="1326">
      <c r="A1326" s="87"/>
      <c r="B1326" s="37"/>
      <c r="C1326" s="37"/>
      <c r="D1326" s="162"/>
      <c r="E1326" s="89"/>
      <c r="F1326" s="72"/>
      <c r="G1326" s="111"/>
      <c r="H1326" s="111"/>
      <c r="I1326" s="111"/>
      <c r="J1326" s="111"/>
      <c r="K1326" s="111"/>
      <c r="L1326" s="111"/>
      <c r="M1326" s="94"/>
      <c r="N1326" s="94"/>
      <c r="O1326" s="94"/>
      <c r="P1326" s="94"/>
      <c r="Q1326" s="94"/>
      <c r="R1326" s="94"/>
      <c r="S1326" s="94"/>
      <c r="T1326" s="94"/>
      <c r="U1326" s="94"/>
      <c r="V1326" s="94"/>
      <c r="W1326" s="94"/>
      <c r="X1326" s="94"/>
      <c r="Y1326" s="94"/>
      <c r="Z1326" s="94"/>
      <c r="AA1326" s="94"/>
      <c r="AB1326" s="94"/>
      <c r="AC1326" s="94"/>
      <c r="AD1326" s="94"/>
      <c r="AE1326" s="94"/>
    </row>
    <row r="1327">
      <c r="A1327" s="87"/>
      <c r="B1327" s="37"/>
      <c r="C1327" s="37"/>
      <c r="D1327" s="162"/>
      <c r="E1327" s="89"/>
      <c r="F1327" s="72"/>
      <c r="G1327" s="111"/>
      <c r="H1327" s="111"/>
      <c r="I1327" s="111"/>
      <c r="J1327" s="111"/>
      <c r="K1327" s="111"/>
      <c r="L1327" s="111"/>
      <c r="M1327" s="94"/>
      <c r="N1327" s="94"/>
      <c r="O1327" s="94"/>
      <c r="P1327" s="94"/>
      <c r="Q1327" s="94"/>
      <c r="R1327" s="94"/>
      <c r="S1327" s="94"/>
      <c r="T1327" s="94"/>
      <c r="U1327" s="94"/>
      <c r="V1327" s="94"/>
      <c r="W1327" s="94"/>
      <c r="X1327" s="94"/>
      <c r="Y1327" s="94"/>
      <c r="Z1327" s="94"/>
      <c r="AA1327" s="94"/>
      <c r="AB1327" s="94"/>
      <c r="AC1327" s="94"/>
      <c r="AD1327" s="94"/>
      <c r="AE1327" s="94"/>
    </row>
    <row r="1328">
      <c r="A1328" s="87"/>
      <c r="B1328" s="37"/>
      <c r="C1328" s="37"/>
      <c r="D1328" s="162"/>
      <c r="E1328" s="89"/>
      <c r="F1328" s="72"/>
      <c r="G1328" s="111"/>
      <c r="H1328" s="111"/>
      <c r="I1328" s="111"/>
      <c r="J1328" s="111"/>
      <c r="K1328" s="111"/>
      <c r="L1328" s="111"/>
      <c r="M1328" s="94"/>
      <c r="N1328" s="94"/>
      <c r="O1328" s="94"/>
      <c r="P1328" s="94"/>
      <c r="Q1328" s="94"/>
      <c r="R1328" s="94"/>
      <c r="S1328" s="94"/>
      <c r="T1328" s="94"/>
      <c r="U1328" s="94"/>
      <c r="V1328" s="94"/>
      <c r="W1328" s="94"/>
      <c r="X1328" s="94"/>
      <c r="Y1328" s="94"/>
      <c r="Z1328" s="94"/>
      <c r="AA1328" s="94"/>
      <c r="AB1328" s="94"/>
      <c r="AC1328" s="94"/>
      <c r="AD1328" s="94"/>
      <c r="AE1328" s="94"/>
    </row>
    <row r="1329">
      <c r="A1329" s="87"/>
      <c r="B1329" s="37"/>
      <c r="C1329" s="37"/>
      <c r="D1329" s="162"/>
      <c r="E1329" s="89"/>
      <c r="F1329" s="72"/>
      <c r="G1329" s="111"/>
      <c r="H1329" s="111"/>
      <c r="I1329" s="111"/>
      <c r="J1329" s="111"/>
      <c r="K1329" s="111"/>
      <c r="L1329" s="111"/>
      <c r="M1329" s="94"/>
      <c r="N1329" s="94"/>
      <c r="O1329" s="94"/>
      <c r="P1329" s="94"/>
      <c r="Q1329" s="94"/>
      <c r="R1329" s="94"/>
      <c r="S1329" s="94"/>
      <c r="T1329" s="94"/>
      <c r="U1329" s="94"/>
      <c r="V1329" s="94"/>
      <c r="W1329" s="94"/>
      <c r="X1329" s="94"/>
      <c r="Y1329" s="94"/>
      <c r="Z1329" s="94"/>
      <c r="AA1329" s="94"/>
      <c r="AB1329" s="94"/>
      <c r="AC1329" s="94"/>
      <c r="AD1329" s="94"/>
      <c r="AE1329" s="94"/>
    </row>
    <row r="1330">
      <c r="A1330" s="87"/>
      <c r="B1330" s="37"/>
      <c r="C1330" s="37"/>
      <c r="D1330" s="162"/>
      <c r="E1330" s="89"/>
      <c r="F1330" s="72"/>
      <c r="G1330" s="111"/>
      <c r="H1330" s="111"/>
      <c r="I1330" s="111"/>
      <c r="J1330" s="111"/>
      <c r="K1330" s="111"/>
      <c r="L1330" s="111"/>
      <c r="M1330" s="94"/>
      <c r="N1330" s="94"/>
      <c r="O1330" s="94"/>
      <c r="P1330" s="94"/>
      <c r="Q1330" s="94"/>
      <c r="R1330" s="94"/>
      <c r="S1330" s="94"/>
      <c r="T1330" s="94"/>
      <c r="U1330" s="94"/>
      <c r="V1330" s="94"/>
      <c r="W1330" s="94"/>
      <c r="X1330" s="94"/>
      <c r="Y1330" s="94"/>
      <c r="Z1330" s="94"/>
      <c r="AA1330" s="94"/>
      <c r="AB1330" s="94"/>
      <c r="AC1330" s="94"/>
      <c r="AD1330" s="94"/>
      <c r="AE1330" s="94"/>
    </row>
    <row r="1331">
      <c r="A1331" s="87"/>
      <c r="B1331" s="37"/>
      <c r="C1331" s="37"/>
      <c r="D1331" s="162"/>
      <c r="E1331" s="89"/>
      <c r="F1331" s="72"/>
      <c r="G1331" s="111"/>
      <c r="H1331" s="111"/>
      <c r="I1331" s="111"/>
      <c r="J1331" s="111"/>
      <c r="K1331" s="111"/>
      <c r="L1331" s="111"/>
      <c r="M1331" s="94"/>
      <c r="N1331" s="94"/>
      <c r="O1331" s="94"/>
      <c r="P1331" s="94"/>
      <c r="Q1331" s="94"/>
      <c r="R1331" s="94"/>
      <c r="S1331" s="94"/>
      <c r="T1331" s="94"/>
      <c r="U1331" s="94"/>
      <c r="V1331" s="94"/>
      <c r="W1331" s="94"/>
      <c r="X1331" s="94"/>
      <c r="Y1331" s="94"/>
      <c r="Z1331" s="94"/>
      <c r="AA1331" s="94"/>
      <c r="AB1331" s="94"/>
      <c r="AC1331" s="94"/>
      <c r="AD1331" s="94"/>
      <c r="AE1331" s="94"/>
    </row>
    <row r="1332">
      <c r="A1332" s="87"/>
      <c r="B1332" s="37"/>
      <c r="C1332" s="37"/>
      <c r="D1332" s="162"/>
      <c r="E1332" s="89"/>
      <c r="F1332" s="72"/>
      <c r="G1332" s="111"/>
      <c r="H1332" s="111"/>
      <c r="I1332" s="111"/>
      <c r="J1332" s="111"/>
      <c r="K1332" s="111"/>
      <c r="L1332" s="111"/>
      <c r="M1332" s="94"/>
      <c r="N1332" s="94"/>
      <c r="O1332" s="94"/>
      <c r="P1332" s="94"/>
      <c r="Q1332" s="94"/>
      <c r="R1332" s="94"/>
      <c r="S1332" s="94"/>
      <c r="T1332" s="94"/>
      <c r="U1332" s="94"/>
      <c r="V1332" s="94"/>
      <c r="W1332" s="94"/>
      <c r="X1332" s="94"/>
      <c r="Y1332" s="94"/>
      <c r="Z1332" s="94"/>
      <c r="AA1332" s="94"/>
      <c r="AB1332" s="94"/>
      <c r="AC1332" s="94"/>
      <c r="AD1332" s="94"/>
      <c r="AE1332" s="94"/>
    </row>
    <row r="1333">
      <c r="A1333" s="87"/>
      <c r="B1333" s="37"/>
      <c r="C1333" s="37"/>
      <c r="D1333" s="162"/>
      <c r="E1333" s="89"/>
      <c r="F1333" s="72"/>
      <c r="G1333" s="111"/>
      <c r="H1333" s="111"/>
      <c r="I1333" s="111"/>
      <c r="J1333" s="111"/>
      <c r="K1333" s="111"/>
      <c r="L1333" s="111"/>
      <c r="M1333" s="94"/>
      <c r="N1333" s="94"/>
      <c r="O1333" s="94"/>
      <c r="P1333" s="94"/>
      <c r="Q1333" s="94"/>
      <c r="R1333" s="94"/>
      <c r="S1333" s="94"/>
      <c r="T1333" s="94"/>
      <c r="U1333" s="94"/>
      <c r="V1333" s="94"/>
      <c r="W1333" s="94"/>
      <c r="X1333" s="94"/>
      <c r="Y1333" s="94"/>
      <c r="Z1333" s="94"/>
      <c r="AA1333" s="94"/>
      <c r="AB1333" s="94"/>
      <c r="AC1333" s="94"/>
      <c r="AD1333" s="94"/>
      <c r="AE1333" s="94"/>
    </row>
    <row r="1334">
      <c r="A1334" s="87"/>
      <c r="B1334" s="37"/>
      <c r="C1334" s="37"/>
      <c r="D1334" s="162"/>
      <c r="E1334" s="89"/>
      <c r="F1334" s="72"/>
      <c r="G1334" s="111"/>
      <c r="H1334" s="111"/>
      <c r="I1334" s="111"/>
      <c r="J1334" s="111"/>
      <c r="K1334" s="111"/>
      <c r="L1334" s="111"/>
      <c r="M1334" s="94"/>
      <c r="N1334" s="94"/>
      <c r="O1334" s="94"/>
      <c r="P1334" s="94"/>
      <c r="Q1334" s="94"/>
      <c r="R1334" s="94"/>
      <c r="S1334" s="94"/>
      <c r="T1334" s="94"/>
      <c r="U1334" s="94"/>
      <c r="V1334" s="94"/>
      <c r="W1334" s="94"/>
      <c r="X1334" s="94"/>
      <c r="Y1334" s="94"/>
      <c r="Z1334" s="94"/>
      <c r="AA1334" s="94"/>
      <c r="AB1334" s="94"/>
      <c r="AC1334" s="94"/>
      <c r="AD1334" s="94"/>
      <c r="AE1334" s="94"/>
    </row>
    <row r="1335">
      <c r="A1335" s="87"/>
      <c r="B1335" s="37"/>
      <c r="C1335" s="37"/>
      <c r="D1335" s="162"/>
      <c r="E1335" s="89"/>
      <c r="F1335" s="72"/>
      <c r="G1335" s="111"/>
      <c r="H1335" s="111"/>
      <c r="I1335" s="111"/>
      <c r="J1335" s="111"/>
      <c r="K1335" s="111"/>
      <c r="L1335" s="111"/>
      <c r="M1335" s="94"/>
      <c r="N1335" s="94"/>
      <c r="O1335" s="94"/>
      <c r="P1335" s="94"/>
      <c r="Q1335" s="94"/>
      <c r="R1335" s="94"/>
      <c r="S1335" s="94"/>
      <c r="T1335" s="94"/>
      <c r="U1335" s="94"/>
      <c r="V1335" s="94"/>
      <c r="W1335" s="94"/>
      <c r="X1335" s="94"/>
      <c r="Y1335" s="94"/>
      <c r="Z1335" s="94"/>
      <c r="AA1335" s="94"/>
      <c r="AB1335" s="94"/>
      <c r="AC1335" s="94"/>
      <c r="AD1335" s="94"/>
      <c r="AE1335" s="94"/>
    </row>
    <row r="1336">
      <c r="A1336" s="87"/>
      <c r="B1336" s="37"/>
      <c r="C1336" s="37"/>
      <c r="D1336" s="162"/>
      <c r="E1336" s="89"/>
      <c r="F1336" s="72"/>
      <c r="G1336" s="111"/>
      <c r="H1336" s="111"/>
      <c r="I1336" s="111"/>
      <c r="J1336" s="111"/>
      <c r="K1336" s="111"/>
      <c r="L1336" s="111"/>
      <c r="M1336" s="94"/>
      <c r="N1336" s="94"/>
      <c r="O1336" s="94"/>
      <c r="P1336" s="94"/>
      <c r="Q1336" s="94"/>
      <c r="R1336" s="94"/>
      <c r="S1336" s="94"/>
      <c r="T1336" s="94"/>
      <c r="U1336" s="94"/>
      <c r="V1336" s="94"/>
      <c r="W1336" s="94"/>
      <c r="X1336" s="94"/>
      <c r="Y1336" s="94"/>
      <c r="Z1336" s="94"/>
      <c r="AA1336" s="94"/>
      <c r="AB1336" s="94"/>
      <c r="AC1336" s="94"/>
      <c r="AD1336" s="94"/>
      <c r="AE1336" s="94"/>
    </row>
    <row r="1337">
      <c r="A1337" s="87"/>
      <c r="B1337" s="37"/>
      <c r="C1337" s="37"/>
      <c r="D1337" s="162"/>
      <c r="E1337" s="89"/>
      <c r="F1337" s="72"/>
      <c r="G1337" s="111"/>
      <c r="H1337" s="111"/>
      <c r="I1337" s="111"/>
      <c r="J1337" s="111"/>
      <c r="K1337" s="111"/>
      <c r="L1337" s="111"/>
      <c r="M1337" s="94"/>
      <c r="N1337" s="94"/>
      <c r="O1337" s="94"/>
      <c r="P1337" s="94"/>
      <c r="Q1337" s="94"/>
      <c r="R1337" s="94"/>
      <c r="S1337" s="94"/>
      <c r="T1337" s="94"/>
      <c r="U1337" s="94"/>
      <c r="V1337" s="94"/>
      <c r="W1337" s="94"/>
      <c r="X1337" s="94"/>
      <c r="Y1337" s="94"/>
      <c r="Z1337" s="94"/>
      <c r="AA1337" s="94"/>
      <c r="AB1337" s="94"/>
      <c r="AC1337" s="94"/>
      <c r="AD1337" s="94"/>
      <c r="AE1337" s="94"/>
    </row>
    <row r="1338">
      <c r="A1338" s="87"/>
      <c r="B1338" s="37"/>
      <c r="C1338" s="37"/>
      <c r="D1338" s="162"/>
      <c r="E1338" s="89"/>
      <c r="F1338" s="72"/>
      <c r="G1338" s="111"/>
      <c r="H1338" s="111"/>
      <c r="I1338" s="111"/>
      <c r="J1338" s="111"/>
      <c r="K1338" s="111"/>
      <c r="L1338" s="111"/>
      <c r="M1338" s="94"/>
      <c r="N1338" s="94"/>
      <c r="O1338" s="94"/>
      <c r="P1338" s="94"/>
      <c r="Q1338" s="94"/>
      <c r="R1338" s="94"/>
      <c r="S1338" s="94"/>
      <c r="T1338" s="94"/>
      <c r="U1338" s="94"/>
      <c r="V1338" s="94"/>
      <c r="W1338" s="94"/>
      <c r="X1338" s="94"/>
      <c r="Y1338" s="94"/>
      <c r="Z1338" s="94"/>
      <c r="AA1338" s="94"/>
      <c r="AB1338" s="94"/>
      <c r="AC1338" s="94"/>
      <c r="AD1338" s="94"/>
      <c r="AE1338" s="94"/>
    </row>
    <row r="1339">
      <c r="A1339" s="87"/>
      <c r="B1339" s="37"/>
      <c r="C1339" s="37"/>
      <c r="D1339" s="162"/>
      <c r="E1339" s="89"/>
      <c r="F1339" s="72"/>
      <c r="G1339" s="111"/>
      <c r="H1339" s="111"/>
      <c r="I1339" s="111"/>
      <c r="J1339" s="111"/>
      <c r="K1339" s="111"/>
      <c r="L1339" s="111"/>
      <c r="M1339" s="94"/>
      <c r="N1339" s="94"/>
      <c r="O1339" s="94"/>
      <c r="P1339" s="94"/>
      <c r="Q1339" s="94"/>
      <c r="R1339" s="94"/>
      <c r="S1339" s="94"/>
      <c r="T1339" s="94"/>
      <c r="U1339" s="94"/>
      <c r="V1339" s="94"/>
      <c r="W1339" s="94"/>
      <c r="X1339" s="94"/>
      <c r="Y1339" s="94"/>
      <c r="Z1339" s="94"/>
      <c r="AA1339" s="94"/>
      <c r="AB1339" s="94"/>
      <c r="AC1339" s="94"/>
      <c r="AD1339" s="94"/>
      <c r="AE1339" s="94"/>
    </row>
    <row r="1340">
      <c r="A1340" s="87"/>
      <c r="B1340" s="37"/>
      <c r="C1340" s="37"/>
      <c r="D1340" s="162"/>
      <c r="E1340" s="89"/>
      <c r="F1340" s="72"/>
      <c r="G1340" s="111"/>
      <c r="H1340" s="111"/>
      <c r="I1340" s="111"/>
      <c r="J1340" s="111"/>
      <c r="K1340" s="111"/>
      <c r="L1340" s="111"/>
      <c r="M1340" s="94"/>
      <c r="N1340" s="94"/>
      <c r="O1340" s="94"/>
      <c r="P1340" s="94"/>
      <c r="Q1340" s="94"/>
      <c r="R1340" s="94"/>
      <c r="S1340" s="94"/>
      <c r="T1340" s="94"/>
      <c r="U1340" s="94"/>
      <c r="V1340" s="94"/>
      <c r="W1340" s="94"/>
      <c r="X1340" s="94"/>
      <c r="Y1340" s="94"/>
      <c r="Z1340" s="94"/>
      <c r="AA1340" s="94"/>
      <c r="AB1340" s="94"/>
      <c r="AC1340" s="94"/>
      <c r="AD1340" s="94"/>
      <c r="AE1340" s="94"/>
    </row>
    <row r="1341">
      <c r="A1341" s="87"/>
      <c r="B1341" s="37"/>
      <c r="C1341" s="37"/>
      <c r="D1341" s="162"/>
      <c r="E1341" s="89"/>
      <c r="F1341" s="72"/>
      <c r="G1341" s="111"/>
      <c r="H1341" s="111"/>
      <c r="I1341" s="111"/>
      <c r="J1341" s="111"/>
      <c r="K1341" s="111"/>
      <c r="L1341" s="111"/>
      <c r="M1341" s="94"/>
      <c r="N1341" s="94"/>
      <c r="O1341" s="94"/>
      <c r="P1341" s="94"/>
      <c r="Q1341" s="94"/>
      <c r="R1341" s="94"/>
      <c r="S1341" s="94"/>
      <c r="T1341" s="94"/>
      <c r="U1341" s="94"/>
      <c r="V1341" s="94"/>
      <c r="W1341" s="94"/>
      <c r="X1341" s="94"/>
      <c r="Y1341" s="94"/>
      <c r="Z1341" s="94"/>
      <c r="AA1341" s="94"/>
      <c r="AB1341" s="94"/>
      <c r="AC1341" s="94"/>
      <c r="AD1341" s="94"/>
      <c r="AE1341" s="94"/>
    </row>
    <row r="1342">
      <c r="A1342" s="87"/>
      <c r="B1342" s="37"/>
      <c r="C1342" s="37"/>
      <c r="D1342" s="162"/>
      <c r="E1342" s="89"/>
      <c r="F1342" s="72"/>
      <c r="G1342" s="111"/>
      <c r="H1342" s="111"/>
      <c r="I1342" s="111"/>
      <c r="J1342" s="111"/>
      <c r="K1342" s="111"/>
      <c r="L1342" s="111"/>
      <c r="M1342" s="94"/>
      <c r="N1342" s="94"/>
      <c r="O1342" s="94"/>
      <c r="P1342" s="94"/>
      <c r="Q1342" s="94"/>
      <c r="R1342" s="94"/>
      <c r="S1342" s="94"/>
      <c r="T1342" s="94"/>
      <c r="U1342" s="94"/>
      <c r="V1342" s="94"/>
      <c r="W1342" s="94"/>
      <c r="X1342" s="94"/>
      <c r="Y1342" s="94"/>
      <c r="Z1342" s="94"/>
      <c r="AA1342" s="94"/>
      <c r="AB1342" s="94"/>
      <c r="AC1342" s="94"/>
      <c r="AD1342" s="94"/>
      <c r="AE1342" s="94"/>
    </row>
    <row r="1343">
      <c r="A1343" s="87"/>
      <c r="B1343" s="37"/>
      <c r="C1343" s="37"/>
      <c r="D1343" s="162"/>
      <c r="E1343" s="89"/>
      <c r="F1343" s="72"/>
      <c r="G1343" s="111"/>
      <c r="H1343" s="111"/>
      <c r="I1343" s="111"/>
      <c r="J1343" s="111"/>
      <c r="K1343" s="111"/>
      <c r="L1343" s="111"/>
      <c r="M1343" s="94"/>
      <c r="N1343" s="94"/>
      <c r="O1343" s="94"/>
      <c r="P1343" s="94"/>
      <c r="Q1343" s="94"/>
      <c r="R1343" s="94"/>
      <c r="S1343" s="94"/>
      <c r="T1343" s="94"/>
      <c r="U1343" s="94"/>
      <c r="V1343" s="94"/>
      <c r="W1343" s="94"/>
      <c r="X1343" s="94"/>
      <c r="Y1343" s="94"/>
      <c r="Z1343" s="94"/>
      <c r="AA1343" s="94"/>
      <c r="AB1343" s="94"/>
      <c r="AC1343" s="94"/>
      <c r="AD1343" s="94"/>
      <c r="AE1343" s="94"/>
    </row>
    <row r="1344">
      <c r="A1344" s="87"/>
      <c r="B1344" s="37"/>
      <c r="C1344" s="37"/>
      <c r="D1344" s="162"/>
      <c r="E1344" s="89"/>
      <c r="F1344" s="72"/>
      <c r="G1344" s="111"/>
      <c r="H1344" s="111"/>
      <c r="I1344" s="111"/>
      <c r="J1344" s="111"/>
      <c r="K1344" s="111"/>
      <c r="L1344" s="111"/>
      <c r="M1344" s="94"/>
      <c r="N1344" s="94"/>
      <c r="O1344" s="94"/>
      <c r="P1344" s="94"/>
      <c r="Q1344" s="94"/>
      <c r="R1344" s="94"/>
      <c r="S1344" s="94"/>
      <c r="T1344" s="94"/>
      <c r="U1344" s="94"/>
      <c r="V1344" s="94"/>
      <c r="W1344" s="94"/>
      <c r="X1344" s="94"/>
      <c r="Y1344" s="94"/>
      <c r="Z1344" s="94"/>
      <c r="AA1344" s="94"/>
      <c r="AB1344" s="94"/>
      <c r="AC1344" s="94"/>
      <c r="AD1344" s="94"/>
      <c r="AE1344" s="94"/>
    </row>
    <row r="1345">
      <c r="A1345" s="87"/>
      <c r="B1345" s="37"/>
      <c r="C1345" s="37"/>
      <c r="D1345" s="162"/>
      <c r="E1345" s="89"/>
      <c r="F1345" s="72"/>
      <c r="G1345" s="111"/>
      <c r="H1345" s="111"/>
      <c r="I1345" s="111"/>
      <c r="J1345" s="111"/>
      <c r="K1345" s="111"/>
      <c r="L1345" s="111"/>
      <c r="M1345" s="94"/>
      <c r="N1345" s="94"/>
      <c r="O1345" s="94"/>
      <c r="P1345" s="94"/>
      <c r="Q1345" s="94"/>
      <c r="R1345" s="94"/>
      <c r="S1345" s="94"/>
      <c r="T1345" s="94"/>
      <c r="U1345" s="94"/>
      <c r="V1345" s="94"/>
      <c r="W1345" s="94"/>
      <c r="X1345" s="94"/>
      <c r="Y1345" s="94"/>
      <c r="Z1345" s="94"/>
      <c r="AA1345" s="94"/>
      <c r="AB1345" s="94"/>
      <c r="AC1345" s="94"/>
      <c r="AD1345" s="94"/>
      <c r="AE1345" s="94"/>
    </row>
    <row r="1346">
      <c r="A1346" s="87"/>
      <c r="B1346" s="37"/>
      <c r="C1346" s="37"/>
      <c r="D1346" s="162"/>
      <c r="E1346" s="89"/>
      <c r="F1346" s="72"/>
      <c r="G1346" s="111"/>
      <c r="H1346" s="111"/>
      <c r="I1346" s="111"/>
      <c r="J1346" s="111"/>
      <c r="K1346" s="111"/>
      <c r="L1346" s="111"/>
      <c r="M1346" s="94"/>
      <c r="N1346" s="94"/>
      <c r="O1346" s="94"/>
      <c r="P1346" s="94"/>
      <c r="Q1346" s="94"/>
      <c r="R1346" s="94"/>
      <c r="S1346" s="94"/>
      <c r="T1346" s="94"/>
      <c r="U1346" s="94"/>
      <c r="V1346" s="94"/>
      <c r="W1346" s="94"/>
      <c r="X1346" s="94"/>
      <c r="Y1346" s="94"/>
      <c r="Z1346" s="94"/>
      <c r="AA1346" s="94"/>
      <c r="AB1346" s="94"/>
      <c r="AC1346" s="94"/>
      <c r="AD1346" s="94"/>
      <c r="AE1346" s="94"/>
    </row>
    <row r="1347">
      <c r="A1347" s="87"/>
      <c r="B1347" s="37"/>
      <c r="C1347" s="37"/>
      <c r="D1347" s="162"/>
      <c r="E1347" s="89"/>
      <c r="F1347" s="72"/>
      <c r="G1347" s="111"/>
      <c r="H1347" s="111"/>
      <c r="I1347" s="111"/>
      <c r="J1347" s="111"/>
      <c r="K1347" s="111"/>
      <c r="L1347" s="111"/>
      <c r="M1347" s="94"/>
      <c r="N1347" s="94"/>
      <c r="O1347" s="94"/>
      <c r="P1347" s="94"/>
      <c r="Q1347" s="94"/>
      <c r="R1347" s="94"/>
      <c r="S1347" s="94"/>
      <c r="T1347" s="94"/>
      <c r="U1347" s="94"/>
      <c r="V1347" s="94"/>
      <c r="W1347" s="94"/>
      <c r="X1347" s="94"/>
      <c r="Y1347" s="94"/>
      <c r="Z1347" s="94"/>
      <c r="AA1347" s="94"/>
      <c r="AB1347" s="94"/>
      <c r="AC1347" s="94"/>
      <c r="AD1347" s="94"/>
      <c r="AE1347" s="94"/>
    </row>
    <row r="1348">
      <c r="A1348" s="87"/>
      <c r="B1348" s="37"/>
      <c r="C1348" s="37"/>
      <c r="D1348" s="162"/>
      <c r="E1348" s="89"/>
      <c r="F1348" s="72"/>
      <c r="G1348" s="111"/>
      <c r="H1348" s="111"/>
      <c r="I1348" s="111"/>
      <c r="J1348" s="111"/>
      <c r="K1348" s="111"/>
      <c r="L1348" s="111"/>
      <c r="M1348" s="94"/>
      <c r="N1348" s="94"/>
      <c r="O1348" s="94"/>
      <c r="P1348" s="94"/>
      <c r="Q1348" s="94"/>
      <c r="R1348" s="94"/>
      <c r="S1348" s="94"/>
      <c r="T1348" s="94"/>
      <c r="U1348" s="94"/>
      <c r="V1348" s="94"/>
      <c r="W1348" s="94"/>
      <c r="X1348" s="94"/>
      <c r="Y1348" s="94"/>
      <c r="Z1348" s="94"/>
      <c r="AA1348" s="94"/>
      <c r="AB1348" s="94"/>
      <c r="AC1348" s="94"/>
      <c r="AD1348" s="94"/>
      <c r="AE1348" s="94"/>
    </row>
    <row r="1349">
      <c r="A1349" s="87"/>
      <c r="B1349" s="37"/>
      <c r="C1349" s="37"/>
      <c r="D1349" s="162"/>
      <c r="E1349" s="89"/>
      <c r="F1349" s="72"/>
      <c r="G1349" s="111"/>
      <c r="H1349" s="111"/>
      <c r="I1349" s="111"/>
      <c r="J1349" s="111"/>
      <c r="K1349" s="111"/>
      <c r="L1349" s="111"/>
      <c r="M1349" s="94"/>
      <c r="N1349" s="94"/>
      <c r="O1349" s="94"/>
      <c r="P1349" s="94"/>
      <c r="Q1349" s="94"/>
      <c r="R1349" s="94"/>
      <c r="S1349" s="94"/>
      <c r="T1349" s="94"/>
      <c r="U1349" s="94"/>
      <c r="V1349" s="94"/>
      <c r="W1349" s="94"/>
      <c r="X1349" s="94"/>
      <c r="Y1349" s="94"/>
      <c r="Z1349" s="94"/>
      <c r="AA1349" s="94"/>
      <c r="AB1349" s="94"/>
      <c r="AC1349" s="94"/>
      <c r="AD1349" s="94"/>
      <c r="AE1349" s="94"/>
    </row>
    <row r="1350">
      <c r="A1350" s="87"/>
      <c r="B1350" s="37"/>
      <c r="C1350" s="37"/>
      <c r="D1350" s="162"/>
      <c r="E1350" s="89"/>
      <c r="F1350" s="72"/>
      <c r="G1350" s="111"/>
      <c r="H1350" s="111"/>
      <c r="I1350" s="111"/>
      <c r="J1350" s="111"/>
      <c r="K1350" s="111"/>
      <c r="L1350" s="111"/>
      <c r="M1350" s="94"/>
      <c r="N1350" s="94"/>
      <c r="O1350" s="94"/>
      <c r="P1350" s="94"/>
      <c r="Q1350" s="94"/>
      <c r="R1350" s="94"/>
      <c r="S1350" s="94"/>
      <c r="T1350" s="94"/>
      <c r="U1350" s="94"/>
      <c r="V1350" s="94"/>
      <c r="W1350" s="94"/>
      <c r="X1350" s="94"/>
      <c r="Y1350" s="94"/>
      <c r="Z1350" s="94"/>
      <c r="AA1350" s="94"/>
      <c r="AB1350" s="94"/>
      <c r="AC1350" s="94"/>
      <c r="AD1350" s="94"/>
      <c r="AE1350" s="94"/>
    </row>
    <row r="1351">
      <c r="A1351" s="87"/>
      <c r="B1351" s="37"/>
      <c r="C1351" s="37"/>
      <c r="D1351" s="162"/>
      <c r="E1351" s="89"/>
      <c r="F1351" s="72"/>
      <c r="G1351" s="111"/>
      <c r="H1351" s="111"/>
      <c r="I1351" s="111"/>
      <c r="J1351" s="111"/>
      <c r="K1351" s="111"/>
      <c r="L1351" s="111"/>
      <c r="M1351" s="94"/>
      <c r="N1351" s="94"/>
      <c r="O1351" s="94"/>
      <c r="P1351" s="94"/>
      <c r="Q1351" s="94"/>
      <c r="R1351" s="94"/>
      <c r="S1351" s="94"/>
      <c r="T1351" s="94"/>
      <c r="U1351" s="94"/>
      <c r="V1351" s="94"/>
      <c r="W1351" s="94"/>
      <c r="X1351" s="94"/>
      <c r="Y1351" s="94"/>
      <c r="Z1351" s="94"/>
      <c r="AA1351" s="94"/>
      <c r="AB1351" s="94"/>
      <c r="AC1351" s="94"/>
      <c r="AD1351" s="94"/>
      <c r="AE1351" s="94"/>
    </row>
    <row r="1352">
      <c r="A1352" s="87"/>
      <c r="B1352" s="37"/>
      <c r="C1352" s="37"/>
      <c r="D1352" s="162"/>
      <c r="E1352" s="89"/>
      <c r="F1352" s="72"/>
      <c r="G1352" s="111"/>
      <c r="H1352" s="111"/>
      <c r="I1352" s="111"/>
      <c r="J1352" s="111"/>
      <c r="K1352" s="111"/>
      <c r="L1352" s="111"/>
      <c r="M1352" s="94"/>
      <c r="N1352" s="94"/>
      <c r="O1352" s="94"/>
      <c r="P1352" s="94"/>
      <c r="Q1352" s="94"/>
      <c r="R1352" s="94"/>
      <c r="S1352" s="94"/>
      <c r="T1352" s="94"/>
      <c r="U1352" s="94"/>
      <c r="V1352" s="94"/>
      <c r="W1352" s="94"/>
      <c r="X1352" s="94"/>
      <c r="Y1352" s="94"/>
      <c r="Z1352" s="94"/>
      <c r="AA1352" s="94"/>
      <c r="AB1352" s="94"/>
      <c r="AC1352" s="94"/>
      <c r="AD1352" s="94"/>
      <c r="AE1352" s="94"/>
    </row>
    <row r="1353">
      <c r="A1353" s="87"/>
      <c r="B1353" s="37"/>
      <c r="C1353" s="37"/>
      <c r="D1353" s="162"/>
      <c r="E1353" s="89"/>
      <c r="F1353" s="72"/>
      <c r="G1353" s="111"/>
      <c r="H1353" s="111"/>
      <c r="I1353" s="111"/>
      <c r="J1353" s="111"/>
      <c r="K1353" s="111"/>
      <c r="L1353" s="111"/>
      <c r="M1353" s="94"/>
      <c r="N1353" s="94"/>
      <c r="O1353" s="94"/>
      <c r="P1353" s="94"/>
      <c r="Q1353" s="94"/>
      <c r="R1353" s="94"/>
      <c r="S1353" s="94"/>
      <c r="T1353" s="94"/>
      <c r="U1353" s="94"/>
      <c r="V1353" s="94"/>
      <c r="W1353" s="94"/>
      <c r="X1353" s="94"/>
      <c r="Y1353" s="94"/>
      <c r="Z1353" s="94"/>
      <c r="AA1353" s="94"/>
      <c r="AB1353" s="94"/>
      <c r="AC1353" s="94"/>
      <c r="AD1353" s="94"/>
      <c r="AE1353" s="94"/>
    </row>
    <row r="1354">
      <c r="A1354" s="87"/>
      <c r="B1354" s="37"/>
      <c r="C1354" s="37"/>
      <c r="D1354" s="162"/>
      <c r="E1354" s="89"/>
      <c r="F1354" s="72"/>
      <c r="G1354" s="111"/>
      <c r="H1354" s="111"/>
      <c r="I1354" s="111"/>
      <c r="J1354" s="111"/>
      <c r="K1354" s="111"/>
      <c r="L1354" s="111"/>
      <c r="M1354" s="94"/>
      <c r="N1354" s="94"/>
      <c r="O1354" s="94"/>
      <c r="P1354" s="94"/>
      <c r="Q1354" s="94"/>
      <c r="R1354" s="94"/>
      <c r="S1354" s="94"/>
      <c r="T1354" s="94"/>
      <c r="U1354" s="94"/>
      <c r="V1354" s="94"/>
      <c r="W1354" s="94"/>
      <c r="X1354" s="94"/>
      <c r="Y1354" s="94"/>
      <c r="Z1354" s="94"/>
      <c r="AA1354" s="94"/>
      <c r="AB1354" s="94"/>
      <c r="AC1354" s="94"/>
      <c r="AD1354" s="94"/>
      <c r="AE1354" s="94"/>
    </row>
    <row r="1355">
      <c r="A1355" s="87"/>
      <c r="B1355" s="37"/>
      <c r="C1355" s="37"/>
      <c r="D1355" s="162"/>
      <c r="E1355" s="89"/>
      <c r="F1355" s="72"/>
      <c r="G1355" s="111"/>
      <c r="H1355" s="111"/>
      <c r="I1355" s="111"/>
      <c r="J1355" s="111"/>
      <c r="K1355" s="111"/>
      <c r="L1355" s="111"/>
      <c r="M1355" s="94"/>
      <c r="N1355" s="94"/>
      <c r="O1355" s="94"/>
      <c r="P1355" s="94"/>
      <c r="Q1355" s="94"/>
      <c r="R1355" s="94"/>
      <c r="S1355" s="94"/>
      <c r="T1355" s="94"/>
      <c r="U1355" s="94"/>
      <c r="V1355" s="94"/>
      <c r="W1355" s="94"/>
      <c r="X1355" s="94"/>
      <c r="Y1355" s="94"/>
      <c r="Z1355" s="94"/>
      <c r="AA1355" s="94"/>
      <c r="AB1355" s="94"/>
      <c r="AC1355" s="94"/>
      <c r="AD1355" s="94"/>
      <c r="AE1355" s="94"/>
    </row>
    <row r="1356">
      <c r="A1356" s="87"/>
      <c r="B1356" s="37"/>
      <c r="C1356" s="37"/>
      <c r="D1356" s="162"/>
      <c r="E1356" s="89"/>
      <c r="F1356" s="72"/>
      <c r="G1356" s="111"/>
      <c r="H1356" s="111"/>
      <c r="I1356" s="111"/>
      <c r="J1356" s="111"/>
      <c r="K1356" s="111"/>
      <c r="L1356" s="111"/>
      <c r="M1356" s="94"/>
      <c r="N1356" s="94"/>
      <c r="O1356" s="94"/>
      <c r="P1356" s="94"/>
      <c r="Q1356" s="94"/>
      <c r="R1356" s="94"/>
      <c r="S1356" s="94"/>
      <c r="T1356" s="94"/>
      <c r="U1356" s="94"/>
      <c r="V1356" s="94"/>
      <c r="W1356" s="94"/>
      <c r="X1356" s="94"/>
      <c r="Y1356" s="94"/>
      <c r="Z1356" s="94"/>
      <c r="AA1356" s="94"/>
      <c r="AB1356" s="94"/>
      <c r="AC1356" s="94"/>
      <c r="AD1356" s="94"/>
      <c r="AE1356" s="94"/>
    </row>
    <row r="1357">
      <c r="A1357" s="87"/>
      <c r="B1357" s="37"/>
      <c r="C1357" s="37"/>
      <c r="D1357" s="162"/>
      <c r="E1357" s="89"/>
      <c r="F1357" s="72"/>
      <c r="G1357" s="111"/>
      <c r="H1357" s="111"/>
      <c r="I1357" s="111"/>
      <c r="J1357" s="111"/>
      <c r="K1357" s="111"/>
      <c r="L1357" s="111"/>
      <c r="M1357" s="94"/>
      <c r="N1357" s="94"/>
      <c r="O1357" s="94"/>
      <c r="P1357" s="94"/>
      <c r="Q1357" s="94"/>
      <c r="R1357" s="94"/>
      <c r="S1357" s="94"/>
      <c r="T1357" s="94"/>
      <c r="U1357" s="94"/>
      <c r="V1357" s="94"/>
      <c r="W1357" s="94"/>
      <c r="X1357" s="94"/>
      <c r="Y1357" s="94"/>
      <c r="Z1357" s="94"/>
      <c r="AA1357" s="94"/>
      <c r="AB1357" s="94"/>
      <c r="AC1357" s="94"/>
      <c r="AD1357" s="94"/>
      <c r="AE1357" s="94"/>
    </row>
    <row r="1358">
      <c r="A1358" s="87"/>
      <c r="B1358" s="37"/>
      <c r="C1358" s="37"/>
      <c r="D1358" s="162"/>
      <c r="E1358" s="89"/>
      <c r="F1358" s="72"/>
      <c r="G1358" s="111"/>
      <c r="H1358" s="111"/>
      <c r="I1358" s="111"/>
      <c r="J1358" s="111"/>
      <c r="K1358" s="111"/>
      <c r="L1358" s="111"/>
      <c r="M1358" s="94"/>
      <c r="N1358" s="94"/>
      <c r="O1358" s="94"/>
      <c r="P1358" s="94"/>
      <c r="Q1358" s="94"/>
      <c r="R1358" s="94"/>
      <c r="S1358" s="94"/>
      <c r="T1358" s="94"/>
      <c r="U1358" s="94"/>
      <c r="V1358" s="94"/>
      <c r="W1358" s="94"/>
      <c r="X1358" s="94"/>
      <c r="Y1358" s="94"/>
      <c r="Z1358" s="94"/>
      <c r="AA1358" s="94"/>
      <c r="AB1358" s="94"/>
      <c r="AC1358" s="94"/>
      <c r="AD1358" s="94"/>
      <c r="AE1358" s="94"/>
    </row>
    <row r="1359">
      <c r="A1359" s="87"/>
      <c r="B1359" s="37"/>
      <c r="C1359" s="37"/>
      <c r="D1359" s="162"/>
      <c r="E1359" s="89"/>
      <c r="F1359" s="72"/>
      <c r="G1359" s="111"/>
      <c r="H1359" s="111"/>
      <c r="I1359" s="111"/>
      <c r="J1359" s="111"/>
      <c r="K1359" s="111"/>
      <c r="L1359" s="111"/>
      <c r="M1359" s="94"/>
      <c r="N1359" s="94"/>
      <c r="O1359" s="94"/>
      <c r="P1359" s="94"/>
      <c r="Q1359" s="94"/>
      <c r="R1359" s="94"/>
      <c r="S1359" s="94"/>
      <c r="T1359" s="94"/>
      <c r="U1359" s="94"/>
      <c r="V1359" s="94"/>
      <c r="W1359" s="94"/>
      <c r="X1359" s="94"/>
      <c r="Y1359" s="94"/>
      <c r="Z1359" s="94"/>
      <c r="AA1359" s="94"/>
      <c r="AB1359" s="94"/>
      <c r="AC1359" s="94"/>
      <c r="AD1359" s="94"/>
      <c r="AE1359" s="94"/>
    </row>
    <row r="1360">
      <c r="A1360" s="87"/>
      <c r="B1360" s="37"/>
      <c r="C1360" s="37"/>
      <c r="D1360" s="162"/>
      <c r="E1360" s="89"/>
      <c r="F1360" s="72"/>
      <c r="G1360" s="111"/>
      <c r="H1360" s="111"/>
      <c r="I1360" s="111"/>
      <c r="J1360" s="111"/>
      <c r="K1360" s="111"/>
      <c r="L1360" s="111"/>
      <c r="M1360" s="94"/>
      <c r="N1360" s="94"/>
      <c r="O1360" s="94"/>
      <c r="P1360" s="94"/>
      <c r="Q1360" s="94"/>
      <c r="R1360" s="94"/>
      <c r="S1360" s="94"/>
      <c r="T1360" s="94"/>
      <c r="U1360" s="94"/>
      <c r="V1360" s="94"/>
      <c r="W1360" s="94"/>
      <c r="X1360" s="94"/>
      <c r="Y1360" s="94"/>
      <c r="Z1360" s="94"/>
      <c r="AA1360" s="94"/>
      <c r="AB1360" s="94"/>
      <c r="AC1360" s="94"/>
      <c r="AD1360" s="94"/>
      <c r="AE1360" s="94"/>
    </row>
    <row r="1361">
      <c r="A1361" s="87"/>
      <c r="B1361" s="37"/>
      <c r="C1361" s="37"/>
      <c r="D1361" s="162"/>
      <c r="E1361" s="89"/>
      <c r="F1361" s="72"/>
      <c r="G1361" s="111"/>
      <c r="H1361" s="111"/>
      <c r="I1361" s="111"/>
      <c r="J1361" s="111"/>
      <c r="K1361" s="111"/>
      <c r="L1361" s="111"/>
      <c r="M1361" s="94"/>
      <c r="N1361" s="94"/>
      <c r="O1361" s="94"/>
      <c r="P1361" s="94"/>
      <c r="Q1361" s="94"/>
      <c r="R1361" s="94"/>
      <c r="S1361" s="94"/>
      <c r="T1361" s="94"/>
      <c r="U1361" s="94"/>
      <c r="V1361" s="94"/>
      <c r="W1361" s="94"/>
      <c r="X1361" s="94"/>
      <c r="Y1361" s="94"/>
      <c r="Z1361" s="94"/>
      <c r="AA1361" s="94"/>
      <c r="AB1361" s="94"/>
      <c r="AC1361" s="94"/>
      <c r="AD1361" s="94"/>
      <c r="AE1361" s="94"/>
    </row>
    <row r="1362">
      <c r="A1362" s="87"/>
      <c r="B1362" s="37"/>
      <c r="C1362" s="37"/>
      <c r="D1362" s="162"/>
      <c r="E1362" s="89"/>
      <c r="F1362" s="72"/>
      <c r="G1362" s="111"/>
      <c r="H1362" s="111"/>
      <c r="I1362" s="111"/>
      <c r="J1362" s="111"/>
      <c r="K1362" s="111"/>
      <c r="L1362" s="111"/>
      <c r="M1362" s="94"/>
      <c r="N1362" s="94"/>
      <c r="O1362" s="94"/>
      <c r="P1362" s="94"/>
      <c r="Q1362" s="94"/>
      <c r="R1362" s="94"/>
      <c r="S1362" s="94"/>
      <c r="T1362" s="94"/>
      <c r="U1362" s="94"/>
      <c r="V1362" s="94"/>
      <c r="W1362" s="94"/>
      <c r="X1362" s="94"/>
      <c r="Y1362" s="94"/>
      <c r="Z1362" s="94"/>
      <c r="AA1362" s="94"/>
      <c r="AB1362" s="94"/>
      <c r="AC1362" s="94"/>
      <c r="AD1362" s="94"/>
      <c r="AE1362" s="94"/>
    </row>
    <row r="1363">
      <c r="A1363" s="87"/>
      <c r="B1363" s="37"/>
      <c r="C1363" s="37"/>
      <c r="D1363" s="162"/>
      <c r="E1363" s="89"/>
      <c r="F1363" s="72"/>
      <c r="G1363" s="111"/>
      <c r="H1363" s="111"/>
      <c r="I1363" s="111"/>
      <c r="J1363" s="111"/>
      <c r="K1363" s="111"/>
      <c r="L1363" s="111"/>
      <c r="M1363" s="94"/>
      <c r="N1363" s="94"/>
      <c r="O1363" s="94"/>
      <c r="P1363" s="94"/>
      <c r="Q1363" s="94"/>
      <c r="R1363" s="94"/>
      <c r="S1363" s="94"/>
      <c r="T1363" s="94"/>
      <c r="U1363" s="94"/>
      <c r="V1363" s="94"/>
      <c r="W1363" s="94"/>
      <c r="X1363" s="94"/>
      <c r="Y1363" s="94"/>
      <c r="Z1363" s="94"/>
      <c r="AA1363" s="94"/>
      <c r="AB1363" s="94"/>
      <c r="AC1363" s="94"/>
      <c r="AD1363" s="94"/>
      <c r="AE1363" s="94"/>
    </row>
    <row r="1364">
      <c r="A1364" s="87"/>
      <c r="B1364" s="37"/>
      <c r="C1364" s="37"/>
      <c r="D1364" s="162"/>
      <c r="E1364" s="89"/>
      <c r="F1364" s="72"/>
      <c r="G1364" s="111"/>
      <c r="H1364" s="111"/>
      <c r="I1364" s="111"/>
      <c r="J1364" s="111"/>
      <c r="K1364" s="111"/>
      <c r="L1364" s="111"/>
      <c r="M1364" s="94"/>
      <c r="N1364" s="94"/>
      <c r="O1364" s="94"/>
      <c r="P1364" s="94"/>
      <c r="Q1364" s="94"/>
      <c r="R1364" s="94"/>
      <c r="S1364" s="94"/>
      <c r="T1364" s="94"/>
      <c r="U1364" s="94"/>
      <c r="V1364" s="94"/>
      <c r="W1364" s="94"/>
      <c r="X1364" s="94"/>
      <c r="Y1364" s="94"/>
      <c r="Z1364" s="94"/>
      <c r="AA1364" s="94"/>
      <c r="AB1364" s="94"/>
      <c r="AC1364" s="94"/>
      <c r="AD1364" s="94"/>
      <c r="AE1364" s="94"/>
    </row>
    <row r="1365">
      <c r="A1365" s="87"/>
      <c r="B1365" s="37"/>
      <c r="C1365" s="37"/>
      <c r="D1365" s="162"/>
      <c r="E1365" s="89"/>
      <c r="F1365" s="72"/>
      <c r="G1365" s="111"/>
      <c r="H1365" s="111"/>
      <c r="I1365" s="111"/>
      <c r="J1365" s="111"/>
      <c r="K1365" s="111"/>
      <c r="L1365" s="111"/>
      <c r="M1365" s="94"/>
      <c r="N1365" s="94"/>
      <c r="O1365" s="94"/>
      <c r="P1365" s="94"/>
      <c r="Q1365" s="94"/>
      <c r="R1365" s="94"/>
      <c r="S1365" s="94"/>
      <c r="T1365" s="94"/>
      <c r="U1365" s="94"/>
      <c r="V1365" s="94"/>
      <c r="W1365" s="94"/>
      <c r="X1365" s="94"/>
      <c r="Y1365" s="94"/>
      <c r="Z1365" s="94"/>
      <c r="AA1365" s="94"/>
      <c r="AB1365" s="94"/>
      <c r="AC1365" s="94"/>
      <c r="AD1365" s="94"/>
      <c r="AE1365" s="94"/>
    </row>
    <row r="1366">
      <c r="A1366" s="87"/>
      <c r="B1366" s="37"/>
      <c r="C1366" s="37"/>
      <c r="D1366" s="162"/>
      <c r="E1366" s="89"/>
      <c r="F1366" s="72"/>
      <c r="G1366" s="111"/>
      <c r="H1366" s="111"/>
      <c r="I1366" s="111"/>
      <c r="J1366" s="111"/>
      <c r="K1366" s="111"/>
      <c r="L1366" s="111"/>
      <c r="M1366" s="94"/>
      <c r="N1366" s="94"/>
      <c r="O1366" s="94"/>
      <c r="P1366" s="94"/>
      <c r="Q1366" s="94"/>
      <c r="R1366" s="94"/>
      <c r="S1366" s="94"/>
      <c r="T1366" s="94"/>
      <c r="U1366" s="94"/>
      <c r="V1366" s="94"/>
      <c r="W1366" s="94"/>
      <c r="X1366" s="94"/>
      <c r="Y1366" s="94"/>
      <c r="Z1366" s="94"/>
      <c r="AA1366" s="94"/>
      <c r="AB1366" s="94"/>
      <c r="AC1366" s="94"/>
      <c r="AD1366" s="94"/>
      <c r="AE1366" s="94"/>
    </row>
    <row r="1367">
      <c r="A1367" s="87"/>
      <c r="B1367" s="37"/>
      <c r="C1367" s="37"/>
      <c r="D1367" s="162"/>
      <c r="E1367" s="89"/>
      <c r="F1367" s="72"/>
      <c r="G1367" s="111"/>
      <c r="H1367" s="111"/>
      <c r="I1367" s="111"/>
      <c r="J1367" s="111"/>
      <c r="K1367" s="111"/>
      <c r="L1367" s="111"/>
      <c r="M1367" s="94"/>
      <c r="N1367" s="94"/>
      <c r="O1367" s="94"/>
      <c r="P1367" s="94"/>
      <c r="Q1367" s="94"/>
      <c r="R1367" s="94"/>
      <c r="S1367" s="94"/>
      <c r="T1367" s="94"/>
      <c r="U1367" s="94"/>
      <c r="V1367" s="94"/>
      <c r="W1367" s="94"/>
      <c r="X1367" s="94"/>
      <c r="Y1367" s="94"/>
      <c r="Z1367" s="94"/>
      <c r="AA1367" s="94"/>
      <c r="AB1367" s="94"/>
      <c r="AC1367" s="94"/>
      <c r="AD1367" s="94"/>
      <c r="AE1367" s="94"/>
    </row>
    <row r="1368">
      <c r="A1368" s="87"/>
      <c r="B1368" s="37"/>
      <c r="C1368" s="37"/>
      <c r="D1368" s="162"/>
      <c r="E1368" s="89"/>
      <c r="F1368" s="72"/>
      <c r="G1368" s="111"/>
      <c r="H1368" s="111"/>
      <c r="I1368" s="111"/>
      <c r="J1368" s="111"/>
      <c r="K1368" s="111"/>
      <c r="L1368" s="111"/>
      <c r="M1368" s="94"/>
      <c r="N1368" s="94"/>
      <c r="O1368" s="94"/>
      <c r="P1368" s="94"/>
      <c r="Q1368" s="94"/>
      <c r="R1368" s="94"/>
      <c r="S1368" s="94"/>
      <c r="T1368" s="94"/>
      <c r="U1368" s="94"/>
      <c r="V1368" s="94"/>
      <c r="W1368" s="94"/>
      <c r="X1368" s="94"/>
      <c r="Y1368" s="94"/>
      <c r="Z1368" s="94"/>
      <c r="AA1368" s="94"/>
      <c r="AB1368" s="94"/>
      <c r="AC1368" s="94"/>
      <c r="AD1368" s="94"/>
      <c r="AE1368" s="94"/>
    </row>
    <row r="1369">
      <c r="A1369" s="87"/>
      <c r="B1369" s="37"/>
      <c r="C1369" s="37"/>
      <c r="D1369" s="162"/>
      <c r="E1369" s="89"/>
      <c r="F1369" s="72"/>
      <c r="G1369" s="111"/>
      <c r="H1369" s="111"/>
      <c r="I1369" s="111"/>
      <c r="J1369" s="111"/>
      <c r="K1369" s="111"/>
      <c r="L1369" s="111"/>
      <c r="M1369" s="94"/>
      <c r="N1369" s="94"/>
      <c r="O1369" s="94"/>
      <c r="P1369" s="94"/>
      <c r="Q1369" s="94"/>
      <c r="R1369" s="94"/>
      <c r="S1369" s="94"/>
      <c r="T1369" s="94"/>
      <c r="U1369" s="94"/>
      <c r="V1369" s="94"/>
      <c r="W1369" s="94"/>
      <c r="X1369" s="94"/>
      <c r="Y1369" s="94"/>
      <c r="Z1369" s="94"/>
      <c r="AA1369" s="94"/>
      <c r="AB1369" s="94"/>
      <c r="AC1369" s="94"/>
      <c r="AD1369" s="94"/>
      <c r="AE1369" s="94"/>
    </row>
    <row r="1370">
      <c r="A1370" s="87"/>
      <c r="B1370" s="37"/>
      <c r="C1370" s="37"/>
      <c r="D1370" s="162"/>
      <c r="E1370" s="89"/>
      <c r="F1370" s="72"/>
      <c r="G1370" s="111"/>
      <c r="H1370" s="111"/>
      <c r="I1370" s="111"/>
      <c r="J1370" s="111"/>
      <c r="K1370" s="111"/>
      <c r="L1370" s="111"/>
      <c r="M1370" s="94"/>
      <c r="N1370" s="94"/>
      <c r="O1370" s="94"/>
      <c r="P1370" s="94"/>
      <c r="Q1370" s="94"/>
      <c r="R1370" s="94"/>
      <c r="S1370" s="94"/>
      <c r="T1370" s="94"/>
      <c r="U1370" s="94"/>
      <c r="V1370" s="94"/>
      <c r="W1370" s="94"/>
      <c r="X1370" s="94"/>
      <c r="Y1370" s="94"/>
      <c r="Z1370" s="94"/>
      <c r="AA1370" s="94"/>
      <c r="AB1370" s="94"/>
      <c r="AC1370" s="94"/>
      <c r="AD1370" s="94"/>
      <c r="AE1370" s="94"/>
    </row>
    <row r="1371">
      <c r="A1371" s="87"/>
      <c r="B1371" s="37"/>
      <c r="C1371" s="37"/>
      <c r="D1371" s="162"/>
      <c r="E1371" s="89"/>
      <c r="F1371" s="72"/>
      <c r="G1371" s="111"/>
      <c r="H1371" s="111"/>
      <c r="I1371" s="111"/>
      <c r="J1371" s="111"/>
      <c r="K1371" s="111"/>
      <c r="L1371" s="111"/>
      <c r="M1371" s="94"/>
      <c r="N1371" s="94"/>
      <c r="O1371" s="94"/>
      <c r="P1371" s="94"/>
      <c r="Q1371" s="94"/>
      <c r="R1371" s="94"/>
      <c r="S1371" s="94"/>
      <c r="T1371" s="94"/>
      <c r="U1371" s="94"/>
      <c r="V1371" s="94"/>
      <c r="W1371" s="94"/>
      <c r="X1371" s="94"/>
      <c r="Y1371" s="94"/>
      <c r="Z1371" s="94"/>
      <c r="AA1371" s="94"/>
      <c r="AB1371" s="94"/>
      <c r="AC1371" s="94"/>
      <c r="AD1371" s="94"/>
      <c r="AE1371" s="94"/>
    </row>
    <row r="1372">
      <c r="A1372" s="87"/>
      <c r="B1372" s="37"/>
      <c r="C1372" s="37"/>
      <c r="D1372" s="162"/>
      <c r="E1372" s="89"/>
      <c r="F1372" s="72"/>
      <c r="G1372" s="111"/>
      <c r="H1372" s="111"/>
      <c r="I1372" s="111"/>
      <c r="J1372" s="111"/>
      <c r="K1372" s="111"/>
      <c r="L1372" s="111"/>
      <c r="M1372" s="94"/>
      <c r="N1372" s="94"/>
      <c r="O1372" s="94"/>
      <c r="P1372" s="94"/>
      <c r="Q1372" s="94"/>
      <c r="R1372" s="94"/>
      <c r="S1372" s="94"/>
      <c r="T1372" s="94"/>
      <c r="U1372" s="94"/>
      <c r="V1372" s="94"/>
      <c r="W1372" s="94"/>
      <c r="X1372" s="94"/>
      <c r="Y1372" s="94"/>
      <c r="Z1372" s="94"/>
      <c r="AA1372" s="94"/>
      <c r="AB1372" s="94"/>
      <c r="AC1372" s="94"/>
      <c r="AD1372" s="94"/>
      <c r="AE1372" s="94"/>
    </row>
    <row r="1373">
      <c r="A1373" s="87"/>
      <c r="B1373" s="37"/>
      <c r="C1373" s="37"/>
      <c r="D1373" s="162"/>
      <c r="E1373" s="89"/>
      <c r="F1373" s="72"/>
      <c r="G1373" s="111"/>
      <c r="H1373" s="111"/>
      <c r="I1373" s="111"/>
      <c r="J1373" s="111"/>
      <c r="K1373" s="111"/>
      <c r="L1373" s="111"/>
      <c r="M1373" s="94"/>
      <c r="N1373" s="94"/>
      <c r="O1373" s="94"/>
      <c r="P1373" s="94"/>
      <c r="Q1373" s="94"/>
      <c r="R1373" s="94"/>
      <c r="S1373" s="94"/>
      <c r="T1373" s="94"/>
      <c r="U1373" s="94"/>
      <c r="V1373" s="94"/>
      <c r="W1373" s="94"/>
      <c r="X1373" s="94"/>
      <c r="Y1373" s="94"/>
      <c r="Z1373" s="94"/>
      <c r="AA1373" s="94"/>
      <c r="AB1373" s="94"/>
      <c r="AC1373" s="94"/>
      <c r="AD1373" s="94"/>
      <c r="AE1373" s="94"/>
    </row>
    <row r="1374">
      <c r="A1374" s="87"/>
      <c r="B1374" s="37"/>
      <c r="C1374" s="37"/>
      <c r="D1374" s="162"/>
      <c r="E1374" s="89"/>
      <c r="F1374" s="72"/>
      <c r="G1374" s="111"/>
      <c r="H1374" s="111"/>
      <c r="I1374" s="111"/>
      <c r="J1374" s="111"/>
      <c r="K1374" s="111"/>
      <c r="L1374" s="111"/>
      <c r="M1374" s="94"/>
      <c r="N1374" s="94"/>
      <c r="O1374" s="94"/>
      <c r="P1374" s="94"/>
      <c r="Q1374" s="94"/>
      <c r="R1374" s="94"/>
      <c r="S1374" s="94"/>
      <c r="T1374" s="94"/>
      <c r="U1374" s="94"/>
      <c r="V1374" s="94"/>
      <c r="W1374" s="94"/>
      <c r="X1374" s="94"/>
      <c r="Y1374" s="94"/>
      <c r="Z1374" s="94"/>
      <c r="AA1374" s="94"/>
      <c r="AB1374" s="94"/>
      <c r="AC1374" s="94"/>
      <c r="AD1374" s="94"/>
      <c r="AE1374" s="94"/>
    </row>
    <row r="1375">
      <c r="A1375" s="87"/>
      <c r="B1375" s="37"/>
      <c r="C1375" s="37"/>
      <c r="D1375" s="162"/>
      <c r="E1375" s="89"/>
      <c r="F1375" s="72"/>
      <c r="G1375" s="111"/>
      <c r="H1375" s="111"/>
      <c r="I1375" s="111"/>
      <c r="J1375" s="111"/>
      <c r="K1375" s="111"/>
      <c r="L1375" s="111"/>
      <c r="M1375" s="94"/>
      <c r="N1375" s="94"/>
      <c r="O1375" s="94"/>
      <c r="P1375" s="94"/>
      <c r="Q1375" s="94"/>
      <c r="R1375" s="94"/>
      <c r="S1375" s="94"/>
      <c r="T1375" s="94"/>
      <c r="U1375" s="94"/>
      <c r="V1375" s="94"/>
      <c r="W1375" s="94"/>
      <c r="X1375" s="94"/>
      <c r="Y1375" s="94"/>
      <c r="Z1375" s="94"/>
      <c r="AA1375" s="94"/>
      <c r="AB1375" s="94"/>
      <c r="AC1375" s="94"/>
      <c r="AD1375" s="94"/>
      <c r="AE1375" s="94"/>
    </row>
    <row r="1376">
      <c r="A1376" s="87"/>
      <c r="B1376" s="37"/>
      <c r="C1376" s="37"/>
      <c r="D1376" s="162"/>
      <c r="E1376" s="89"/>
      <c r="F1376" s="72"/>
      <c r="G1376" s="111"/>
      <c r="H1376" s="111"/>
      <c r="I1376" s="111"/>
      <c r="J1376" s="111"/>
      <c r="K1376" s="111"/>
      <c r="L1376" s="111"/>
      <c r="M1376" s="94"/>
      <c r="N1376" s="94"/>
      <c r="O1376" s="94"/>
      <c r="P1376" s="94"/>
      <c r="Q1376" s="94"/>
      <c r="R1376" s="94"/>
      <c r="S1376" s="94"/>
      <c r="T1376" s="94"/>
      <c r="U1376" s="94"/>
      <c r="V1376" s="94"/>
      <c r="W1376" s="94"/>
      <c r="X1376" s="94"/>
      <c r="Y1376" s="94"/>
      <c r="Z1376" s="94"/>
      <c r="AA1376" s="94"/>
      <c r="AB1376" s="94"/>
      <c r="AC1376" s="94"/>
      <c r="AD1376" s="94"/>
      <c r="AE1376" s="94"/>
    </row>
    <row r="1377">
      <c r="A1377" s="87"/>
      <c r="B1377" s="37"/>
      <c r="C1377" s="37"/>
      <c r="D1377" s="162"/>
      <c r="E1377" s="89"/>
      <c r="F1377" s="72"/>
      <c r="G1377" s="111"/>
      <c r="H1377" s="111"/>
      <c r="I1377" s="111"/>
      <c r="J1377" s="111"/>
      <c r="K1377" s="111"/>
      <c r="L1377" s="111"/>
      <c r="M1377" s="94"/>
      <c r="N1377" s="94"/>
      <c r="O1377" s="94"/>
      <c r="P1377" s="94"/>
      <c r="Q1377" s="94"/>
      <c r="R1377" s="94"/>
      <c r="S1377" s="94"/>
      <c r="T1377" s="94"/>
      <c r="U1377" s="94"/>
      <c r="V1377" s="94"/>
      <c r="W1377" s="94"/>
      <c r="X1377" s="94"/>
      <c r="Y1377" s="94"/>
      <c r="Z1377" s="94"/>
      <c r="AA1377" s="94"/>
      <c r="AB1377" s="94"/>
      <c r="AC1377" s="94"/>
      <c r="AD1377" s="94"/>
      <c r="AE1377" s="94"/>
    </row>
    <row r="1378">
      <c r="A1378" s="87"/>
      <c r="B1378" s="37"/>
      <c r="C1378" s="37"/>
      <c r="D1378" s="162"/>
      <c r="E1378" s="89"/>
      <c r="F1378" s="72"/>
      <c r="G1378" s="111"/>
      <c r="H1378" s="111"/>
      <c r="I1378" s="111"/>
      <c r="J1378" s="111"/>
      <c r="K1378" s="111"/>
      <c r="L1378" s="111"/>
      <c r="M1378" s="94"/>
      <c r="N1378" s="94"/>
      <c r="O1378" s="94"/>
      <c r="P1378" s="94"/>
      <c r="Q1378" s="94"/>
      <c r="R1378" s="94"/>
      <c r="S1378" s="94"/>
      <c r="T1378" s="94"/>
      <c r="U1378" s="94"/>
      <c r="V1378" s="94"/>
      <c r="W1378" s="94"/>
      <c r="X1378" s="94"/>
      <c r="Y1378" s="94"/>
      <c r="Z1378" s="94"/>
      <c r="AA1378" s="94"/>
      <c r="AB1378" s="94"/>
      <c r="AC1378" s="94"/>
      <c r="AD1378" s="94"/>
      <c r="AE1378" s="94"/>
    </row>
    <row r="1379">
      <c r="A1379" s="87"/>
      <c r="B1379" s="37"/>
      <c r="C1379" s="37"/>
      <c r="D1379" s="162"/>
      <c r="E1379" s="89"/>
      <c r="F1379" s="72"/>
      <c r="G1379" s="111"/>
      <c r="H1379" s="111"/>
      <c r="I1379" s="111"/>
      <c r="J1379" s="111"/>
      <c r="K1379" s="111"/>
      <c r="L1379" s="111"/>
      <c r="M1379" s="94"/>
      <c r="N1379" s="94"/>
      <c r="O1379" s="94"/>
      <c r="P1379" s="94"/>
      <c r="Q1379" s="94"/>
      <c r="R1379" s="94"/>
      <c r="S1379" s="94"/>
      <c r="T1379" s="94"/>
      <c r="U1379" s="94"/>
      <c r="V1379" s="94"/>
      <c r="W1379" s="94"/>
      <c r="X1379" s="94"/>
      <c r="Y1379" s="94"/>
      <c r="Z1379" s="94"/>
      <c r="AA1379" s="94"/>
      <c r="AB1379" s="94"/>
      <c r="AC1379" s="94"/>
      <c r="AD1379" s="94"/>
      <c r="AE1379" s="94"/>
    </row>
    <row r="1380">
      <c r="A1380" s="87"/>
      <c r="B1380" s="37"/>
      <c r="C1380" s="37"/>
      <c r="D1380" s="162"/>
      <c r="E1380" s="89"/>
      <c r="F1380" s="72"/>
      <c r="G1380" s="111"/>
      <c r="H1380" s="111"/>
      <c r="I1380" s="111"/>
      <c r="J1380" s="111"/>
      <c r="K1380" s="111"/>
      <c r="L1380" s="111"/>
      <c r="M1380" s="94"/>
      <c r="N1380" s="94"/>
      <c r="O1380" s="94"/>
      <c r="P1380" s="94"/>
      <c r="Q1380" s="94"/>
      <c r="R1380" s="94"/>
      <c r="S1380" s="94"/>
      <c r="T1380" s="94"/>
      <c r="U1380" s="94"/>
      <c r="V1380" s="94"/>
      <c r="W1380" s="94"/>
      <c r="X1380" s="94"/>
      <c r="Y1380" s="94"/>
      <c r="Z1380" s="94"/>
      <c r="AA1380" s="94"/>
      <c r="AB1380" s="94"/>
      <c r="AC1380" s="94"/>
      <c r="AD1380" s="94"/>
      <c r="AE1380" s="94"/>
    </row>
    <row r="1381">
      <c r="A1381" s="87"/>
      <c r="B1381" s="37"/>
      <c r="C1381" s="37"/>
      <c r="D1381" s="162"/>
      <c r="E1381" s="89"/>
      <c r="F1381" s="72"/>
      <c r="G1381" s="111"/>
      <c r="H1381" s="111"/>
      <c r="I1381" s="111"/>
      <c r="J1381" s="111"/>
      <c r="K1381" s="111"/>
      <c r="L1381" s="111"/>
      <c r="M1381" s="94"/>
      <c r="N1381" s="94"/>
      <c r="O1381" s="94"/>
      <c r="P1381" s="94"/>
      <c r="Q1381" s="94"/>
      <c r="R1381" s="94"/>
      <c r="S1381" s="94"/>
      <c r="T1381" s="94"/>
      <c r="U1381" s="94"/>
      <c r="V1381" s="94"/>
      <c r="W1381" s="94"/>
      <c r="X1381" s="94"/>
      <c r="Y1381" s="94"/>
      <c r="Z1381" s="94"/>
      <c r="AA1381" s="94"/>
      <c r="AB1381" s="94"/>
      <c r="AC1381" s="94"/>
      <c r="AD1381" s="94"/>
      <c r="AE1381" s="94"/>
    </row>
    <row r="1382">
      <c r="A1382" s="87"/>
      <c r="B1382" s="37"/>
      <c r="C1382" s="37"/>
      <c r="D1382" s="162"/>
      <c r="E1382" s="89"/>
      <c r="F1382" s="72"/>
      <c r="G1382" s="111"/>
      <c r="H1382" s="111"/>
      <c r="I1382" s="111"/>
      <c r="J1382" s="111"/>
      <c r="K1382" s="111"/>
      <c r="L1382" s="111"/>
      <c r="M1382" s="94"/>
      <c r="N1382" s="94"/>
      <c r="O1382" s="94"/>
      <c r="P1382" s="94"/>
      <c r="Q1382" s="94"/>
      <c r="R1382" s="94"/>
      <c r="S1382" s="94"/>
      <c r="T1382" s="94"/>
      <c r="U1382" s="94"/>
      <c r="V1382" s="94"/>
      <c r="W1382" s="94"/>
      <c r="X1382" s="94"/>
      <c r="Y1382" s="94"/>
      <c r="Z1382" s="94"/>
      <c r="AA1382" s="94"/>
      <c r="AB1382" s="94"/>
      <c r="AC1382" s="94"/>
      <c r="AD1382" s="94"/>
      <c r="AE1382" s="94"/>
    </row>
    <row r="1383">
      <c r="A1383" s="87"/>
      <c r="B1383" s="37"/>
      <c r="C1383" s="37"/>
      <c r="D1383" s="162"/>
      <c r="E1383" s="89"/>
      <c r="F1383" s="72"/>
      <c r="G1383" s="111"/>
      <c r="H1383" s="111"/>
      <c r="I1383" s="111"/>
      <c r="J1383" s="111"/>
      <c r="K1383" s="111"/>
      <c r="L1383" s="111"/>
      <c r="M1383" s="94"/>
      <c r="N1383" s="94"/>
      <c r="O1383" s="94"/>
      <c r="P1383" s="94"/>
      <c r="Q1383" s="94"/>
      <c r="R1383" s="94"/>
      <c r="S1383" s="94"/>
      <c r="T1383" s="94"/>
      <c r="U1383" s="94"/>
      <c r="V1383" s="94"/>
      <c r="W1383" s="94"/>
      <c r="X1383" s="94"/>
      <c r="Y1383" s="94"/>
      <c r="Z1383" s="94"/>
      <c r="AA1383" s="94"/>
      <c r="AB1383" s="94"/>
      <c r="AC1383" s="94"/>
      <c r="AD1383" s="94"/>
      <c r="AE1383" s="94"/>
    </row>
    <row r="1384">
      <c r="A1384" s="87"/>
      <c r="B1384" s="37"/>
      <c r="C1384" s="37"/>
      <c r="D1384" s="162"/>
      <c r="E1384" s="89"/>
      <c r="F1384" s="72"/>
      <c r="G1384" s="111"/>
      <c r="H1384" s="111"/>
      <c r="I1384" s="111"/>
      <c r="J1384" s="111"/>
      <c r="K1384" s="111"/>
      <c r="L1384" s="111"/>
      <c r="M1384" s="94"/>
      <c r="N1384" s="94"/>
      <c r="O1384" s="94"/>
      <c r="P1384" s="94"/>
      <c r="Q1384" s="94"/>
      <c r="R1384" s="94"/>
      <c r="S1384" s="94"/>
      <c r="T1384" s="94"/>
      <c r="U1384" s="94"/>
      <c r="V1384" s="94"/>
      <c r="W1384" s="94"/>
      <c r="X1384" s="94"/>
      <c r="Y1384" s="94"/>
      <c r="Z1384" s="94"/>
      <c r="AA1384" s="94"/>
      <c r="AB1384" s="94"/>
      <c r="AC1384" s="94"/>
      <c r="AD1384" s="94"/>
      <c r="AE1384" s="94"/>
    </row>
    <row r="1385">
      <c r="A1385" s="87"/>
      <c r="B1385" s="37"/>
      <c r="C1385" s="37"/>
      <c r="D1385" s="162"/>
      <c r="E1385" s="89"/>
      <c r="F1385" s="72"/>
      <c r="G1385" s="111"/>
      <c r="H1385" s="111"/>
      <c r="I1385" s="111"/>
      <c r="J1385" s="111"/>
      <c r="K1385" s="111"/>
      <c r="L1385" s="111"/>
      <c r="M1385" s="94"/>
      <c r="N1385" s="94"/>
      <c r="O1385" s="94"/>
      <c r="P1385" s="94"/>
      <c r="Q1385" s="94"/>
      <c r="R1385" s="94"/>
      <c r="S1385" s="94"/>
      <c r="T1385" s="94"/>
      <c r="U1385" s="94"/>
      <c r="V1385" s="94"/>
      <c r="W1385" s="94"/>
      <c r="X1385" s="94"/>
      <c r="Y1385" s="94"/>
      <c r="Z1385" s="94"/>
      <c r="AA1385" s="94"/>
      <c r="AB1385" s="94"/>
      <c r="AC1385" s="94"/>
      <c r="AD1385" s="94"/>
      <c r="AE1385" s="94"/>
    </row>
    <row r="1386">
      <c r="A1386" s="87"/>
      <c r="B1386" s="37"/>
      <c r="C1386" s="37"/>
      <c r="D1386" s="162"/>
      <c r="E1386" s="89"/>
      <c r="F1386" s="72"/>
      <c r="G1386" s="111"/>
      <c r="H1386" s="111"/>
      <c r="I1386" s="111"/>
      <c r="J1386" s="111"/>
      <c r="K1386" s="111"/>
      <c r="L1386" s="111"/>
      <c r="M1386" s="94"/>
      <c r="N1386" s="94"/>
      <c r="O1386" s="94"/>
      <c r="P1386" s="94"/>
      <c r="Q1386" s="94"/>
      <c r="R1386" s="94"/>
      <c r="S1386" s="94"/>
      <c r="T1386" s="94"/>
      <c r="U1386" s="94"/>
      <c r="V1386" s="94"/>
      <c r="W1386" s="94"/>
      <c r="X1386" s="94"/>
      <c r="Y1386" s="94"/>
      <c r="Z1386" s="94"/>
      <c r="AA1386" s="94"/>
      <c r="AB1386" s="94"/>
      <c r="AC1386" s="94"/>
      <c r="AD1386" s="94"/>
      <c r="AE1386" s="94"/>
    </row>
    <row r="1387">
      <c r="A1387" s="87"/>
      <c r="B1387" s="37"/>
      <c r="C1387" s="37"/>
      <c r="D1387" s="162"/>
      <c r="E1387" s="89"/>
      <c r="F1387" s="72"/>
      <c r="G1387" s="111"/>
      <c r="H1387" s="111"/>
      <c r="I1387" s="111"/>
      <c r="J1387" s="111"/>
      <c r="K1387" s="111"/>
      <c r="L1387" s="111"/>
      <c r="M1387" s="94"/>
      <c r="N1387" s="94"/>
      <c r="O1387" s="94"/>
      <c r="P1387" s="94"/>
      <c r="Q1387" s="94"/>
      <c r="R1387" s="94"/>
      <c r="S1387" s="94"/>
      <c r="T1387" s="94"/>
      <c r="U1387" s="94"/>
      <c r="V1387" s="94"/>
      <c r="W1387" s="94"/>
      <c r="X1387" s="94"/>
      <c r="Y1387" s="94"/>
      <c r="Z1387" s="94"/>
      <c r="AA1387" s="94"/>
      <c r="AB1387" s="94"/>
      <c r="AC1387" s="94"/>
      <c r="AD1387" s="94"/>
      <c r="AE1387" s="94"/>
    </row>
    <row r="1388">
      <c r="A1388" s="87"/>
      <c r="B1388" s="37"/>
      <c r="C1388" s="37"/>
      <c r="D1388" s="162"/>
      <c r="E1388" s="89"/>
      <c r="F1388" s="72"/>
      <c r="G1388" s="111"/>
      <c r="H1388" s="111"/>
      <c r="I1388" s="111"/>
      <c r="J1388" s="111"/>
      <c r="K1388" s="111"/>
      <c r="L1388" s="111"/>
      <c r="M1388" s="94"/>
      <c r="N1388" s="94"/>
      <c r="O1388" s="94"/>
      <c r="P1388" s="94"/>
      <c r="Q1388" s="94"/>
      <c r="R1388" s="94"/>
      <c r="S1388" s="94"/>
      <c r="T1388" s="94"/>
      <c r="U1388" s="94"/>
      <c r="V1388" s="94"/>
      <c r="W1388" s="94"/>
      <c r="X1388" s="94"/>
      <c r="Y1388" s="94"/>
      <c r="Z1388" s="94"/>
      <c r="AA1388" s="94"/>
      <c r="AB1388" s="94"/>
      <c r="AC1388" s="94"/>
      <c r="AD1388" s="94"/>
      <c r="AE1388" s="94"/>
    </row>
    <row r="1389">
      <c r="A1389" s="87"/>
      <c r="B1389" s="37"/>
      <c r="C1389" s="37"/>
      <c r="D1389" s="162"/>
      <c r="E1389" s="89"/>
      <c r="F1389" s="72"/>
      <c r="G1389" s="111"/>
      <c r="H1389" s="111"/>
      <c r="I1389" s="111"/>
      <c r="J1389" s="111"/>
      <c r="K1389" s="111"/>
      <c r="L1389" s="111"/>
      <c r="M1389" s="94"/>
      <c r="N1389" s="94"/>
      <c r="O1389" s="94"/>
      <c r="P1389" s="94"/>
      <c r="Q1389" s="94"/>
      <c r="R1389" s="94"/>
      <c r="S1389" s="94"/>
      <c r="T1389" s="94"/>
      <c r="U1389" s="94"/>
      <c r="V1389" s="94"/>
      <c r="W1389" s="94"/>
      <c r="X1389" s="94"/>
      <c r="Y1389" s="94"/>
      <c r="Z1389" s="94"/>
      <c r="AA1389" s="94"/>
      <c r="AB1389" s="94"/>
      <c r="AC1389" s="94"/>
      <c r="AD1389" s="94"/>
      <c r="AE1389" s="94"/>
    </row>
    <row r="1390">
      <c r="A1390" s="87"/>
      <c r="B1390" s="37"/>
      <c r="C1390" s="37"/>
      <c r="D1390" s="162"/>
      <c r="E1390" s="89"/>
      <c r="F1390" s="72"/>
      <c r="G1390" s="111"/>
      <c r="H1390" s="111"/>
      <c r="I1390" s="111"/>
      <c r="J1390" s="111"/>
      <c r="K1390" s="111"/>
      <c r="L1390" s="111"/>
      <c r="M1390" s="94"/>
      <c r="N1390" s="94"/>
      <c r="O1390" s="94"/>
      <c r="P1390" s="94"/>
      <c r="Q1390" s="94"/>
      <c r="R1390" s="94"/>
      <c r="S1390" s="94"/>
      <c r="T1390" s="94"/>
      <c r="U1390" s="94"/>
      <c r="V1390" s="94"/>
      <c r="W1390" s="94"/>
      <c r="X1390" s="94"/>
      <c r="Y1390" s="94"/>
      <c r="Z1390" s="94"/>
      <c r="AA1390" s="94"/>
      <c r="AB1390" s="94"/>
      <c r="AC1390" s="94"/>
      <c r="AD1390" s="94"/>
      <c r="AE1390" s="94"/>
    </row>
    <row r="1391">
      <c r="A1391" s="87"/>
      <c r="B1391" s="37"/>
      <c r="C1391" s="37"/>
      <c r="D1391" s="162"/>
      <c r="E1391" s="89"/>
      <c r="F1391" s="72"/>
      <c r="G1391" s="111"/>
      <c r="H1391" s="111"/>
      <c r="I1391" s="111"/>
      <c r="J1391" s="111"/>
      <c r="K1391" s="111"/>
      <c r="L1391" s="111"/>
      <c r="M1391" s="94"/>
      <c r="N1391" s="94"/>
      <c r="O1391" s="94"/>
      <c r="P1391" s="94"/>
      <c r="Q1391" s="94"/>
      <c r="R1391" s="94"/>
      <c r="S1391" s="94"/>
      <c r="T1391" s="94"/>
      <c r="U1391" s="94"/>
      <c r="V1391" s="94"/>
      <c r="W1391" s="94"/>
      <c r="X1391" s="94"/>
      <c r="Y1391" s="94"/>
      <c r="Z1391" s="94"/>
      <c r="AA1391" s="94"/>
      <c r="AB1391" s="94"/>
      <c r="AC1391" s="94"/>
      <c r="AD1391" s="94"/>
      <c r="AE1391" s="94"/>
    </row>
    <row r="1392">
      <c r="A1392" s="87"/>
      <c r="B1392" s="37"/>
      <c r="C1392" s="37"/>
      <c r="D1392" s="162"/>
      <c r="E1392" s="89"/>
      <c r="F1392" s="72"/>
      <c r="G1392" s="111"/>
      <c r="H1392" s="111"/>
      <c r="I1392" s="111"/>
      <c r="J1392" s="111"/>
      <c r="K1392" s="111"/>
      <c r="L1392" s="111"/>
      <c r="M1392" s="94"/>
      <c r="N1392" s="94"/>
      <c r="O1392" s="94"/>
      <c r="P1392" s="94"/>
      <c r="Q1392" s="94"/>
      <c r="R1392" s="94"/>
      <c r="S1392" s="94"/>
      <c r="T1392" s="94"/>
      <c r="U1392" s="94"/>
      <c r="V1392" s="94"/>
      <c r="W1392" s="94"/>
      <c r="X1392" s="94"/>
      <c r="Y1392" s="94"/>
      <c r="Z1392" s="94"/>
      <c r="AA1392" s="94"/>
      <c r="AB1392" s="94"/>
      <c r="AC1392" s="94"/>
      <c r="AD1392" s="94"/>
      <c r="AE1392" s="94"/>
    </row>
    <row r="1393">
      <c r="A1393" s="87"/>
      <c r="B1393" s="37"/>
      <c r="C1393" s="37"/>
      <c r="D1393" s="162"/>
      <c r="E1393" s="89"/>
      <c r="F1393" s="72"/>
      <c r="G1393" s="111"/>
      <c r="H1393" s="111"/>
      <c r="I1393" s="111"/>
      <c r="J1393" s="111"/>
      <c r="K1393" s="111"/>
      <c r="L1393" s="111"/>
      <c r="M1393" s="94"/>
      <c r="N1393" s="94"/>
      <c r="O1393" s="94"/>
      <c r="P1393" s="94"/>
      <c r="Q1393" s="94"/>
      <c r="R1393" s="94"/>
      <c r="S1393" s="94"/>
      <c r="T1393" s="94"/>
      <c r="U1393" s="94"/>
      <c r="V1393" s="94"/>
      <c r="W1393" s="94"/>
      <c r="X1393" s="94"/>
      <c r="Y1393" s="94"/>
      <c r="Z1393" s="94"/>
      <c r="AA1393" s="94"/>
      <c r="AB1393" s="94"/>
      <c r="AC1393" s="94"/>
      <c r="AD1393" s="94"/>
      <c r="AE1393" s="94"/>
    </row>
    <row r="1394">
      <c r="A1394" s="87"/>
      <c r="B1394" s="37"/>
      <c r="C1394" s="37"/>
      <c r="D1394" s="162"/>
      <c r="E1394" s="89"/>
      <c r="F1394" s="72"/>
      <c r="G1394" s="111"/>
      <c r="H1394" s="111"/>
      <c r="I1394" s="111"/>
      <c r="J1394" s="111"/>
      <c r="K1394" s="111"/>
      <c r="L1394" s="111"/>
      <c r="M1394" s="94"/>
      <c r="N1394" s="94"/>
      <c r="O1394" s="94"/>
      <c r="P1394" s="94"/>
      <c r="Q1394" s="94"/>
      <c r="R1394" s="94"/>
      <c r="S1394" s="94"/>
      <c r="T1394" s="94"/>
      <c r="U1394" s="94"/>
      <c r="V1394" s="94"/>
      <c r="W1394" s="94"/>
      <c r="X1394" s="94"/>
      <c r="Y1394" s="94"/>
      <c r="Z1394" s="94"/>
      <c r="AA1394" s="94"/>
      <c r="AB1394" s="94"/>
      <c r="AC1394" s="94"/>
      <c r="AD1394" s="94"/>
      <c r="AE1394" s="94"/>
    </row>
    <row r="1395">
      <c r="A1395" s="87"/>
      <c r="B1395" s="37"/>
      <c r="C1395" s="37"/>
      <c r="D1395" s="162"/>
      <c r="E1395" s="89"/>
      <c r="F1395" s="72"/>
      <c r="G1395" s="111"/>
      <c r="H1395" s="111"/>
      <c r="I1395" s="111"/>
      <c r="J1395" s="111"/>
      <c r="K1395" s="111"/>
      <c r="L1395" s="111"/>
      <c r="M1395" s="94"/>
      <c r="N1395" s="94"/>
      <c r="O1395" s="94"/>
      <c r="P1395" s="94"/>
      <c r="Q1395" s="94"/>
      <c r="R1395" s="94"/>
      <c r="S1395" s="94"/>
      <c r="T1395" s="94"/>
      <c r="U1395" s="94"/>
      <c r="V1395" s="94"/>
      <c r="W1395" s="94"/>
      <c r="X1395" s="94"/>
      <c r="Y1395" s="94"/>
      <c r="Z1395" s="94"/>
      <c r="AA1395" s="94"/>
      <c r="AB1395" s="94"/>
      <c r="AC1395" s="94"/>
      <c r="AD1395" s="94"/>
      <c r="AE1395" s="94"/>
    </row>
    <row r="1396">
      <c r="A1396" s="87"/>
      <c r="B1396" s="37"/>
      <c r="C1396" s="37"/>
      <c r="D1396" s="162"/>
      <c r="E1396" s="89"/>
      <c r="F1396" s="72"/>
      <c r="G1396" s="111"/>
      <c r="H1396" s="111"/>
      <c r="I1396" s="111"/>
      <c r="J1396" s="111"/>
      <c r="K1396" s="111"/>
      <c r="L1396" s="111"/>
      <c r="M1396" s="94"/>
      <c r="N1396" s="94"/>
      <c r="O1396" s="94"/>
      <c r="P1396" s="94"/>
      <c r="Q1396" s="94"/>
      <c r="R1396" s="94"/>
      <c r="S1396" s="94"/>
      <c r="T1396" s="94"/>
      <c r="U1396" s="94"/>
      <c r="V1396" s="94"/>
      <c r="W1396" s="94"/>
      <c r="X1396" s="94"/>
      <c r="Y1396" s="94"/>
      <c r="Z1396" s="94"/>
      <c r="AA1396" s="94"/>
      <c r="AB1396" s="94"/>
      <c r="AC1396" s="94"/>
      <c r="AD1396" s="94"/>
      <c r="AE1396" s="94"/>
    </row>
    <row r="1397">
      <c r="A1397" s="87"/>
      <c r="B1397" s="37"/>
      <c r="C1397" s="37"/>
      <c r="D1397" s="162"/>
      <c r="E1397" s="89"/>
      <c r="F1397" s="72"/>
      <c r="G1397" s="111"/>
      <c r="H1397" s="111"/>
      <c r="I1397" s="111"/>
      <c r="J1397" s="111"/>
      <c r="K1397" s="111"/>
      <c r="L1397" s="111"/>
      <c r="M1397" s="94"/>
      <c r="N1397" s="94"/>
      <c r="O1397" s="94"/>
      <c r="P1397" s="94"/>
      <c r="Q1397" s="94"/>
      <c r="R1397" s="94"/>
      <c r="S1397" s="94"/>
      <c r="T1397" s="94"/>
      <c r="U1397" s="94"/>
      <c r="V1397" s="94"/>
      <c r="W1397" s="94"/>
      <c r="X1397" s="94"/>
      <c r="Y1397" s="94"/>
      <c r="Z1397" s="94"/>
      <c r="AA1397" s="94"/>
      <c r="AB1397" s="94"/>
      <c r="AC1397" s="94"/>
      <c r="AD1397" s="94"/>
      <c r="AE1397" s="94"/>
    </row>
    <row r="1398">
      <c r="A1398" s="87"/>
      <c r="B1398" s="37"/>
      <c r="C1398" s="37"/>
      <c r="D1398" s="162"/>
      <c r="E1398" s="89"/>
      <c r="F1398" s="72"/>
      <c r="G1398" s="111"/>
      <c r="H1398" s="111"/>
      <c r="I1398" s="111"/>
      <c r="J1398" s="111"/>
      <c r="K1398" s="111"/>
      <c r="L1398" s="111"/>
      <c r="M1398" s="94"/>
      <c r="N1398" s="94"/>
      <c r="O1398" s="94"/>
      <c r="P1398" s="94"/>
      <c r="Q1398" s="94"/>
      <c r="R1398" s="94"/>
      <c r="S1398" s="94"/>
      <c r="T1398" s="94"/>
      <c r="U1398" s="94"/>
      <c r="V1398" s="94"/>
      <c r="W1398" s="94"/>
      <c r="X1398" s="94"/>
      <c r="Y1398" s="94"/>
      <c r="Z1398" s="94"/>
      <c r="AA1398" s="94"/>
      <c r="AB1398" s="94"/>
      <c r="AC1398" s="94"/>
      <c r="AD1398" s="94"/>
      <c r="AE1398" s="94"/>
    </row>
    <row r="1399">
      <c r="A1399" s="87"/>
      <c r="B1399" s="37"/>
      <c r="C1399" s="37"/>
      <c r="D1399" s="162"/>
      <c r="E1399" s="89"/>
      <c r="F1399" s="72"/>
      <c r="G1399" s="111"/>
      <c r="H1399" s="111"/>
      <c r="I1399" s="111"/>
      <c r="J1399" s="111"/>
      <c r="K1399" s="111"/>
      <c r="L1399" s="111"/>
      <c r="M1399" s="94"/>
      <c r="N1399" s="94"/>
      <c r="O1399" s="94"/>
      <c r="P1399" s="94"/>
      <c r="Q1399" s="94"/>
      <c r="R1399" s="94"/>
      <c r="S1399" s="94"/>
      <c r="T1399" s="94"/>
      <c r="U1399" s="94"/>
      <c r="V1399" s="94"/>
      <c r="W1399" s="94"/>
      <c r="X1399" s="94"/>
      <c r="Y1399" s="94"/>
      <c r="Z1399" s="94"/>
      <c r="AA1399" s="94"/>
      <c r="AB1399" s="94"/>
      <c r="AC1399" s="94"/>
      <c r="AD1399" s="94"/>
      <c r="AE1399" s="94"/>
    </row>
    <row r="1400">
      <c r="A1400" s="87"/>
      <c r="B1400" s="37"/>
      <c r="C1400" s="37"/>
      <c r="D1400" s="162"/>
      <c r="E1400" s="89"/>
      <c r="F1400" s="72"/>
      <c r="G1400" s="111"/>
      <c r="H1400" s="111"/>
      <c r="I1400" s="111"/>
      <c r="J1400" s="111"/>
      <c r="K1400" s="111"/>
      <c r="L1400" s="111"/>
      <c r="M1400" s="94"/>
      <c r="N1400" s="94"/>
      <c r="O1400" s="94"/>
      <c r="P1400" s="94"/>
      <c r="Q1400" s="94"/>
      <c r="R1400" s="94"/>
      <c r="S1400" s="94"/>
      <c r="T1400" s="94"/>
      <c r="U1400" s="94"/>
      <c r="V1400" s="94"/>
      <c r="W1400" s="94"/>
      <c r="X1400" s="94"/>
      <c r="Y1400" s="94"/>
      <c r="Z1400" s="94"/>
      <c r="AA1400" s="94"/>
      <c r="AB1400" s="94"/>
      <c r="AC1400" s="94"/>
      <c r="AD1400" s="94"/>
      <c r="AE1400" s="94"/>
    </row>
    <row r="1401">
      <c r="A1401" s="87"/>
      <c r="B1401" s="37"/>
      <c r="C1401" s="37"/>
      <c r="D1401" s="162"/>
      <c r="E1401" s="89"/>
      <c r="F1401" s="72"/>
      <c r="G1401" s="111"/>
      <c r="H1401" s="111"/>
      <c r="I1401" s="111"/>
      <c r="J1401" s="111"/>
      <c r="K1401" s="111"/>
      <c r="L1401" s="111"/>
      <c r="M1401" s="94"/>
      <c r="N1401" s="94"/>
      <c r="O1401" s="94"/>
      <c r="P1401" s="94"/>
      <c r="Q1401" s="94"/>
      <c r="R1401" s="94"/>
      <c r="S1401" s="94"/>
      <c r="T1401" s="94"/>
      <c r="U1401" s="94"/>
      <c r="V1401" s="94"/>
      <c r="W1401" s="94"/>
      <c r="X1401" s="94"/>
      <c r="Y1401" s="94"/>
      <c r="Z1401" s="94"/>
      <c r="AA1401" s="94"/>
      <c r="AB1401" s="94"/>
      <c r="AC1401" s="94"/>
      <c r="AD1401" s="94"/>
      <c r="AE1401" s="94"/>
    </row>
    <row r="1402">
      <c r="A1402" s="87"/>
      <c r="B1402" s="37"/>
      <c r="C1402" s="37"/>
      <c r="D1402" s="162"/>
      <c r="E1402" s="89"/>
      <c r="F1402" s="72"/>
      <c r="G1402" s="111"/>
      <c r="H1402" s="111"/>
      <c r="I1402" s="111"/>
      <c r="J1402" s="111"/>
      <c r="K1402" s="111"/>
      <c r="L1402" s="111"/>
      <c r="M1402" s="94"/>
      <c r="N1402" s="94"/>
      <c r="O1402" s="94"/>
      <c r="P1402" s="94"/>
      <c r="Q1402" s="94"/>
      <c r="R1402" s="94"/>
      <c r="S1402" s="94"/>
      <c r="T1402" s="94"/>
      <c r="U1402" s="94"/>
      <c r="V1402" s="94"/>
      <c r="W1402" s="94"/>
      <c r="X1402" s="94"/>
      <c r="Y1402" s="94"/>
      <c r="Z1402" s="94"/>
      <c r="AA1402" s="94"/>
      <c r="AB1402" s="94"/>
      <c r="AC1402" s="94"/>
      <c r="AD1402" s="94"/>
      <c r="AE1402" s="94"/>
    </row>
    <row r="1403">
      <c r="A1403" s="87"/>
      <c r="B1403" s="37"/>
      <c r="C1403" s="37"/>
      <c r="D1403" s="162"/>
      <c r="E1403" s="89"/>
      <c r="F1403" s="72"/>
      <c r="G1403" s="111"/>
      <c r="H1403" s="111"/>
      <c r="I1403" s="111"/>
      <c r="J1403" s="111"/>
      <c r="K1403" s="111"/>
      <c r="L1403" s="111"/>
      <c r="M1403" s="94"/>
      <c r="N1403" s="94"/>
      <c r="O1403" s="94"/>
      <c r="P1403" s="94"/>
      <c r="Q1403" s="94"/>
      <c r="R1403" s="94"/>
      <c r="S1403" s="94"/>
      <c r="T1403" s="94"/>
      <c r="U1403" s="94"/>
      <c r="V1403" s="94"/>
      <c r="W1403" s="94"/>
      <c r="X1403" s="94"/>
      <c r="Y1403" s="94"/>
      <c r="Z1403" s="94"/>
      <c r="AA1403" s="94"/>
      <c r="AB1403" s="94"/>
      <c r="AC1403" s="94"/>
      <c r="AD1403" s="94"/>
      <c r="AE1403" s="94"/>
    </row>
    <row r="1404">
      <c r="A1404" s="87"/>
      <c r="B1404" s="37"/>
      <c r="C1404" s="37"/>
      <c r="D1404" s="162"/>
      <c r="E1404" s="89"/>
      <c r="F1404" s="72"/>
      <c r="G1404" s="111"/>
      <c r="H1404" s="111"/>
      <c r="I1404" s="111"/>
      <c r="J1404" s="111"/>
      <c r="K1404" s="111"/>
      <c r="L1404" s="111"/>
      <c r="M1404" s="94"/>
      <c r="N1404" s="94"/>
      <c r="O1404" s="94"/>
      <c r="P1404" s="94"/>
      <c r="Q1404" s="94"/>
      <c r="R1404" s="94"/>
      <c r="S1404" s="94"/>
      <c r="T1404" s="94"/>
      <c r="U1404" s="94"/>
      <c r="V1404" s="94"/>
      <c r="W1404" s="94"/>
      <c r="X1404" s="94"/>
      <c r="Y1404" s="94"/>
      <c r="Z1404" s="94"/>
      <c r="AA1404" s="94"/>
      <c r="AB1404" s="94"/>
      <c r="AC1404" s="94"/>
      <c r="AD1404" s="94"/>
      <c r="AE1404" s="94"/>
    </row>
    <row r="1405">
      <c r="A1405" s="87"/>
      <c r="B1405" s="37"/>
      <c r="C1405" s="37"/>
      <c r="D1405" s="162"/>
      <c r="E1405" s="89"/>
      <c r="F1405" s="72"/>
      <c r="G1405" s="111"/>
      <c r="H1405" s="111"/>
      <c r="I1405" s="111"/>
      <c r="J1405" s="111"/>
      <c r="K1405" s="111"/>
      <c r="L1405" s="111"/>
      <c r="M1405" s="94"/>
      <c r="N1405" s="94"/>
      <c r="O1405" s="94"/>
      <c r="P1405" s="94"/>
      <c r="Q1405" s="94"/>
      <c r="R1405" s="94"/>
      <c r="S1405" s="94"/>
      <c r="T1405" s="94"/>
      <c r="U1405" s="94"/>
      <c r="V1405" s="94"/>
      <c r="W1405" s="94"/>
      <c r="X1405" s="94"/>
      <c r="Y1405" s="94"/>
      <c r="Z1405" s="94"/>
      <c r="AA1405" s="94"/>
      <c r="AB1405" s="94"/>
      <c r="AC1405" s="94"/>
      <c r="AD1405" s="94"/>
      <c r="AE1405" s="94"/>
    </row>
    <row r="1406">
      <c r="A1406" s="87"/>
      <c r="B1406" s="37"/>
      <c r="C1406" s="37"/>
      <c r="D1406" s="162"/>
      <c r="E1406" s="89"/>
      <c r="F1406" s="72"/>
      <c r="G1406" s="111"/>
      <c r="H1406" s="111"/>
      <c r="I1406" s="111"/>
      <c r="J1406" s="111"/>
      <c r="K1406" s="111"/>
      <c r="L1406" s="111"/>
      <c r="M1406" s="94"/>
      <c r="N1406" s="94"/>
      <c r="O1406" s="94"/>
      <c r="P1406" s="94"/>
      <c r="Q1406" s="94"/>
      <c r="R1406" s="94"/>
      <c r="S1406" s="94"/>
      <c r="T1406" s="94"/>
      <c r="U1406" s="94"/>
      <c r="V1406" s="94"/>
      <c r="W1406" s="94"/>
      <c r="X1406" s="94"/>
      <c r="Y1406" s="94"/>
      <c r="Z1406" s="94"/>
      <c r="AA1406" s="94"/>
      <c r="AB1406" s="94"/>
      <c r="AC1406" s="94"/>
      <c r="AD1406" s="94"/>
      <c r="AE1406" s="94"/>
    </row>
    <row r="1407">
      <c r="A1407" s="87"/>
      <c r="B1407" s="37"/>
      <c r="C1407" s="37"/>
      <c r="D1407" s="162"/>
      <c r="E1407" s="89"/>
      <c r="F1407" s="72"/>
      <c r="G1407" s="111"/>
      <c r="H1407" s="111"/>
      <c r="I1407" s="111"/>
      <c r="J1407" s="111"/>
      <c r="K1407" s="111"/>
      <c r="L1407" s="111"/>
      <c r="M1407" s="94"/>
      <c r="N1407" s="94"/>
      <c r="O1407" s="94"/>
      <c r="P1407" s="94"/>
      <c r="Q1407" s="94"/>
      <c r="R1407" s="94"/>
      <c r="S1407" s="94"/>
      <c r="T1407" s="94"/>
      <c r="U1407" s="94"/>
      <c r="V1407" s="94"/>
      <c r="W1407" s="94"/>
      <c r="X1407" s="94"/>
      <c r="Y1407" s="94"/>
      <c r="Z1407" s="94"/>
      <c r="AA1407" s="94"/>
      <c r="AB1407" s="94"/>
      <c r="AC1407" s="94"/>
      <c r="AD1407" s="94"/>
      <c r="AE1407" s="94"/>
    </row>
    <row r="1408">
      <c r="A1408" s="87"/>
      <c r="B1408" s="37"/>
      <c r="C1408" s="37"/>
      <c r="D1408" s="162"/>
      <c r="E1408" s="89"/>
      <c r="F1408" s="72"/>
      <c r="G1408" s="111"/>
      <c r="H1408" s="111"/>
      <c r="I1408" s="111"/>
      <c r="J1408" s="111"/>
      <c r="K1408" s="111"/>
      <c r="L1408" s="111"/>
      <c r="M1408" s="94"/>
      <c r="N1408" s="94"/>
      <c r="O1408" s="94"/>
      <c r="P1408" s="94"/>
      <c r="Q1408" s="94"/>
      <c r="R1408" s="94"/>
      <c r="S1408" s="94"/>
      <c r="T1408" s="94"/>
      <c r="U1408" s="94"/>
      <c r="V1408" s="94"/>
      <c r="W1408" s="94"/>
      <c r="X1408" s="94"/>
      <c r="Y1408" s="94"/>
      <c r="Z1408" s="94"/>
      <c r="AA1408" s="94"/>
      <c r="AB1408" s="94"/>
      <c r="AC1408" s="94"/>
      <c r="AD1408" s="94"/>
      <c r="AE1408" s="94"/>
    </row>
    <row r="1409">
      <c r="A1409" s="87"/>
      <c r="B1409" s="37"/>
      <c r="C1409" s="37"/>
      <c r="D1409" s="162"/>
      <c r="E1409" s="89"/>
      <c r="F1409" s="72"/>
      <c r="G1409" s="111"/>
      <c r="H1409" s="111"/>
      <c r="I1409" s="111"/>
      <c r="J1409" s="111"/>
      <c r="K1409" s="111"/>
      <c r="L1409" s="111"/>
      <c r="M1409" s="94"/>
      <c r="N1409" s="94"/>
      <c r="O1409" s="94"/>
      <c r="P1409" s="94"/>
      <c r="Q1409" s="94"/>
      <c r="R1409" s="94"/>
      <c r="S1409" s="94"/>
      <c r="T1409" s="94"/>
      <c r="U1409" s="94"/>
      <c r="V1409" s="94"/>
      <c r="W1409" s="94"/>
      <c r="X1409" s="94"/>
      <c r="Y1409" s="94"/>
      <c r="Z1409" s="94"/>
      <c r="AA1409" s="94"/>
      <c r="AB1409" s="94"/>
      <c r="AC1409" s="94"/>
      <c r="AD1409" s="94"/>
      <c r="AE1409" s="94"/>
    </row>
    <row r="1410">
      <c r="A1410" s="87"/>
      <c r="B1410" s="37"/>
      <c r="C1410" s="37"/>
      <c r="D1410" s="162"/>
      <c r="E1410" s="89"/>
      <c r="F1410" s="72"/>
      <c r="G1410" s="111"/>
      <c r="H1410" s="111"/>
      <c r="I1410" s="111"/>
      <c r="J1410" s="111"/>
      <c r="K1410" s="111"/>
      <c r="L1410" s="111"/>
      <c r="M1410" s="94"/>
      <c r="N1410" s="94"/>
      <c r="O1410" s="94"/>
      <c r="P1410" s="94"/>
      <c r="Q1410" s="94"/>
      <c r="R1410" s="94"/>
      <c r="S1410" s="94"/>
      <c r="T1410" s="94"/>
      <c r="U1410" s="94"/>
      <c r="V1410" s="94"/>
      <c r="W1410" s="94"/>
      <c r="X1410" s="94"/>
      <c r="Y1410" s="94"/>
      <c r="Z1410" s="94"/>
      <c r="AA1410" s="94"/>
      <c r="AB1410" s="94"/>
      <c r="AC1410" s="94"/>
      <c r="AD1410" s="94"/>
      <c r="AE1410" s="94"/>
    </row>
    <row r="1411">
      <c r="A1411" s="87"/>
      <c r="B1411" s="37"/>
      <c r="C1411" s="37"/>
      <c r="D1411" s="162"/>
      <c r="E1411" s="89"/>
      <c r="F1411" s="72"/>
      <c r="G1411" s="111"/>
      <c r="H1411" s="111"/>
      <c r="I1411" s="111"/>
      <c r="J1411" s="111"/>
      <c r="K1411" s="111"/>
      <c r="L1411" s="111"/>
      <c r="M1411" s="94"/>
      <c r="N1411" s="94"/>
      <c r="O1411" s="94"/>
      <c r="P1411" s="94"/>
      <c r="Q1411" s="94"/>
      <c r="R1411" s="94"/>
      <c r="S1411" s="94"/>
      <c r="T1411" s="94"/>
      <c r="U1411" s="94"/>
      <c r="V1411" s="94"/>
      <c r="W1411" s="94"/>
      <c r="X1411" s="94"/>
      <c r="Y1411" s="94"/>
      <c r="Z1411" s="94"/>
      <c r="AA1411" s="94"/>
      <c r="AB1411" s="94"/>
      <c r="AC1411" s="94"/>
      <c r="AD1411" s="94"/>
      <c r="AE1411" s="94"/>
    </row>
    <row r="1412">
      <c r="A1412" s="87"/>
      <c r="B1412" s="37"/>
      <c r="C1412" s="37"/>
      <c r="D1412" s="162"/>
      <c r="E1412" s="89"/>
      <c r="F1412" s="72"/>
      <c r="G1412" s="111"/>
      <c r="H1412" s="111"/>
      <c r="I1412" s="111"/>
      <c r="J1412" s="111"/>
      <c r="K1412" s="111"/>
      <c r="L1412" s="111"/>
      <c r="M1412" s="94"/>
      <c r="N1412" s="94"/>
      <c r="O1412" s="94"/>
      <c r="P1412" s="94"/>
      <c r="Q1412" s="94"/>
      <c r="R1412" s="94"/>
      <c r="S1412" s="94"/>
      <c r="T1412" s="94"/>
      <c r="U1412" s="94"/>
      <c r="V1412" s="94"/>
      <c r="W1412" s="94"/>
      <c r="X1412" s="94"/>
      <c r="Y1412" s="94"/>
      <c r="Z1412" s="94"/>
      <c r="AA1412" s="94"/>
      <c r="AB1412" s="94"/>
      <c r="AC1412" s="94"/>
      <c r="AD1412" s="94"/>
      <c r="AE1412" s="94"/>
    </row>
    <row r="1413">
      <c r="A1413" s="87"/>
      <c r="B1413" s="37"/>
      <c r="C1413" s="37"/>
      <c r="D1413" s="162"/>
      <c r="E1413" s="89"/>
      <c r="F1413" s="72"/>
      <c r="G1413" s="111"/>
      <c r="H1413" s="111"/>
      <c r="I1413" s="111"/>
      <c r="J1413" s="111"/>
      <c r="K1413" s="111"/>
      <c r="L1413" s="111"/>
      <c r="M1413" s="94"/>
      <c r="N1413" s="94"/>
      <c r="O1413" s="94"/>
      <c r="P1413" s="94"/>
      <c r="Q1413" s="94"/>
      <c r="R1413" s="94"/>
      <c r="S1413" s="94"/>
      <c r="T1413" s="94"/>
      <c r="U1413" s="94"/>
      <c r="V1413" s="94"/>
      <c r="W1413" s="94"/>
      <c r="X1413" s="94"/>
      <c r="Y1413" s="94"/>
      <c r="Z1413" s="94"/>
      <c r="AA1413" s="94"/>
      <c r="AB1413" s="94"/>
      <c r="AC1413" s="94"/>
      <c r="AD1413" s="94"/>
      <c r="AE1413" s="94"/>
    </row>
    <row r="1414">
      <c r="A1414" s="87"/>
      <c r="B1414" s="37"/>
      <c r="C1414" s="37"/>
      <c r="D1414" s="162"/>
      <c r="E1414" s="89"/>
      <c r="F1414" s="72"/>
      <c r="G1414" s="111"/>
      <c r="H1414" s="111"/>
      <c r="I1414" s="111"/>
      <c r="J1414" s="111"/>
      <c r="K1414" s="111"/>
      <c r="L1414" s="111"/>
      <c r="M1414" s="94"/>
      <c r="N1414" s="94"/>
      <c r="O1414" s="94"/>
      <c r="P1414" s="94"/>
      <c r="Q1414" s="94"/>
      <c r="R1414" s="94"/>
      <c r="S1414" s="94"/>
      <c r="T1414" s="94"/>
      <c r="U1414" s="94"/>
      <c r="V1414" s="94"/>
      <c r="W1414" s="94"/>
      <c r="X1414" s="94"/>
      <c r="Y1414" s="94"/>
      <c r="Z1414" s="94"/>
      <c r="AA1414" s="94"/>
      <c r="AB1414" s="94"/>
      <c r="AC1414" s="94"/>
      <c r="AD1414" s="94"/>
      <c r="AE1414" s="94"/>
    </row>
    <row r="1415">
      <c r="A1415" s="87"/>
      <c r="B1415" s="37"/>
      <c r="C1415" s="37"/>
      <c r="D1415" s="162"/>
      <c r="E1415" s="89"/>
      <c r="F1415" s="72"/>
      <c r="G1415" s="111"/>
      <c r="H1415" s="111"/>
      <c r="I1415" s="111"/>
      <c r="J1415" s="111"/>
      <c r="K1415" s="111"/>
      <c r="L1415" s="111"/>
      <c r="M1415" s="94"/>
      <c r="N1415" s="94"/>
      <c r="O1415" s="94"/>
      <c r="P1415" s="94"/>
      <c r="Q1415" s="94"/>
      <c r="R1415" s="94"/>
      <c r="S1415" s="94"/>
      <c r="T1415" s="94"/>
      <c r="U1415" s="94"/>
      <c r="V1415" s="94"/>
      <c r="W1415" s="94"/>
      <c r="X1415" s="94"/>
      <c r="Y1415" s="94"/>
      <c r="Z1415" s="94"/>
      <c r="AA1415" s="94"/>
      <c r="AB1415" s="94"/>
      <c r="AC1415" s="94"/>
      <c r="AD1415" s="94"/>
      <c r="AE1415" s="94"/>
    </row>
    <row r="1416">
      <c r="A1416" s="87"/>
      <c r="B1416" s="37"/>
      <c r="C1416" s="37"/>
      <c r="D1416" s="162"/>
      <c r="E1416" s="89"/>
      <c r="F1416" s="72"/>
      <c r="G1416" s="111"/>
      <c r="H1416" s="111"/>
      <c r="I1416" s="111"/>
      <c r="J1416" s="111"/>
      <c r="K1416" s="111"/>
      <c r="L1416" s="111"/>
      <c r="M1416" s="94"/>
      <c r="N1416" s="94"/>
      <c r="O1416" s="94"/>
      <c r="P1416" s="94"/>
      <c r="Q1416" s="94"/>
      <c r="R1416" s="94"/>
      <c r="S1416" s="94"/>
      <c r="T1416" s="94"/>
      <c r="U1416" s="94"/>
      <c r="V1416" s="94"/>
      <c r="W1416" s="94"/>
      <c r="X1416" s="94"/>
      <c r="Y1416" s="94"/>
      <c r="Z1416" s="94"/>
      <c r="AA1416" s="94"/>
      <c r="AB1416" s="94"/>
      <c r="AC1416" s="94"/>
      <c r="AD1416" s="94"/>
      <c r="AE1416" s="94"/>
    </row>
    <row r="1417">
      <c r="A1417" s="87"/>
      <c r="B1417" s="37"/>
      <c r="C1417" s="37"/>
      <c r="D1417" s="162"/>
      <c r="E1417" s="89"/>
      <c r="F1417" s="72"/>
      <c r="G1417" s="111"/>
      <c r="H1417" s="111"/>
      <c r="I1417" s="111"/>
      <c r="J1417" s="111"/>
      <c r="K1417" s="111"/>
      <c r="L1417" s="111"/>
      <c r="M1417" s="94"/>
      <c r="N1417" s="94"/>
      <c r="O1417" s="94"/>
      <c r="P1417" s="94"/>
      <c r="Q1417" s="94"/>
      <c r="R1417" s="94"/>
      <c r="S1417" s="94"/>
      <c r="T1417" s="94"/>
      <c r="U1417" s="94"/>
      <c r="V1417" s="94"/>
      <c r="W1417" s="94"/>
      <c r="X1417" s="94"/>
      <c r="Y1417" s="94"/>
      <c r="Z1417" s="94"/>
      <c r="AA1417" s="94"/>
      <c r="AB1417" s="94"/>
      <c r="AC1417" s="94"/>
      <c r="AD1417" s="94"/>
      <c r="AE1417" s="94"/>
    </row>
    <row r="1418">
      <c r="A1418" s="87"/>
      <c r="B1418" s="37"/>
      <c r="C1418" s="37"/>
      <c r="D1418" s="162"/>
      <c r="E1418" s="89"/>
      <c r="F1418" s="72"/>
      <c r="G1418" s="111"/>
      <c r="H1418" s="111"/>
      <c r="I1418" s="111"/>
      <c r="J1418" s="111"/>
      <c r="K1418" s="111"/>
      <c r="L1418" s="111"/>
      <c r="M1418" s="94"/>
      <c r="N1418" s="94"/>
      <c r="O1418" s="94"/>
      <c r="P1418" s="94"/>
      <c r="Q1418" s="94"/>
      <c r="R1418" s="94"/>
      <c r="S1418" s="94"/>
      <c r="T1418" s="94"/>
      <c r="U1418" s="94"/>
      <c r="V1418" s="94"/>
      <c r="W1418" s="94"/>
      <c r="X1418" s="94"/>
      <c r="Y1418" s="94"/>
      <c r="Z1418" s="94"/>
      <c r="AA1418" s="94"/>
      <c r="AB1418" s="94"/>
      <c r="AC1418" s="94"/>
      <c r="AD1418" s="94"/>
      <c r="AE1418" s="94"/>
    </row>
    <row r="1419">
      <c r="A1419" s="87"/>
      <c r="B1419" s="37"/>
      <c r="C1419" s="37"/>
      <c r="D1419" s="162"/>
      <c r="E1419" s="89"/>
      <c r="F1419" s="72"/>
      <c r="G1419" s="111"/>
      <c r="H1419" s="111"/>
      <c r="I1419" s="111"/>
      <c r="J1419" s="111"/>
      <c r="K1419" s="111"/>
      <c r="L1419" s="111"/>
      <c r="M1419" s="94"/>
      <c r="N1419" s="94"/>
      <c r="O1419" s="94"/>
      <c r="P1419" s="94"/>
      <c r="Q1419" s="94"/>
      <c r="R1419" s="94"/>
      <c r="S1419" s="94"/>
      <c r="T1419" s="94"/>
      <c r="U1419" s="94"/>
      <c r="V1419" s="94"/>
      <c r="W1419" s="94"/>
      <c r="X1419" s="94"/>
      <c r="Y1419" s="94"/>
      <c r="Z1419" s="94"/>
      <c r="AA1419" s="94"/>
      <c r="AB1419" s="94"/>
      <c r="AC1419" s="94"/>
      <c r="AD1419" s="94"/>
      <c r="AE1419" s="94"/>
    </row>
    <row r="1420">
      <c r="A1420" s="87"/>
      <c r="B1420" s="37"/>
      <c r="C1420" s="37"/>
      <c r="D1420" s="162"/>
      <c r="E1420" s="89"/>
      <c r="F1420" s="72"/>
      <c r="G1420" s="111"/>
      <c r="H1420" s="111"/>
      <c r="I1420" s="111"/>
      <c r="J1420" s="111"/>
      <c r="K1420" s="111"/>
      <c r="L1420" s="111"/>
      <c r="M1420" s="94"/>
      <c r="N1420" s="94"/>
      <c r="O1420" s="94"/>
      <c r="P1420" s="94"/>
      <c r="Q1420" s="94"/>
      <c r="R1420" s="94"/>
      <c r="S1420" s="94"/>
      <c r="T1420" s="94"/>
      <c r="U1420" s="94"/>
      <c r="V1420" s="94"/>
      <c r="W1420" s="94"/>
      <c r="X1420" s="94"/>
      <c r="Y1420" s="94"/>
      <c r="Z1420" s="94"/>
      <c r="AA1420" s="94"/>
      <c r="AB1420" s="94"/>
      <c r="AC1420" s="94"/>
      <c r="AD1420" s="94"/>
      <c r="AE1420" s="94"/>
    </row>
    <row r="1421">
      <c r="A1421" s="87"/>
      <c r="B1421" s="37"/>
      <c r="C1421" s="37"/>
      <c r="D1421" s="162"/>
      <c r="E1421" s="89"/>
      <c r="F1421" s="72"/>
      <c r="G1421" s="111"/>
      <c r="H1421" s="111"/>
      <c r="I1421" s="111"/>
      <c r="J1421" s="111"/>
      <c r="K1421" s="111"/>
      <c r="L1421" s="111"/>
      <c r="M1421" s="94"/>
      <c r="N1421" s="94"/>
      <c r="O1421" s="94"/>
      <c r="P1421" s="94"/>
      <c r="Q1421" s="94"/>
      <c r="R1421" s="94"/>
      <c r="S1421" s="94"/>
      <c r="T1421" s="94"/>
      <c r="U1421" s="94"/>
      <c r="V1421" s="94"/>
      <c r="W1421" s="94"/>
      <c r="X1421" s="94"/>
      <c r="Y1421" s="94"/>
      <c r="Z1421" s="94"/>
      <c r="AA1421" s="94"/>
      <c r="AB1421" s="94"/>
      <c r="AC1421" s="94"/>
      <c r="AD1421" s="94"/>
      <c r="AE1421" s="94"/>
    </row>
    <row r="1422">
      <c r="A1422" s="87"/>
      <c r="B1422" s="37"/>
      <c r="C1422" s="37"/>
      <c r="D1422" s="162"/>
      <c r="E1422" s="89"/>
      <c r="F1422" s="72"/>
      <c r="G1422" s="111"/>
      <c r="H1422" s="111"/>
      <c r="I1422" s="111"/>
      <c r="J1422" s="111"/>
      <c r="K1422" s="111"/>
      <c r="L1422" s="111"/>
      <c r="M1422" s="94"/>
      <c r="N1422" s="94"/>
      <c r="O1422" s="94"/>
      <c r="P1422" s="94"/>
      <c r="Q1422" s="94"/>
      <c r="R1422" s="94"/>
      <c r="S1422" s="94"/>
      <c r="T1422" s="94"/>
      <c r="U1422" s="94"/>
      <c r="V1422" s="94"/>
      <c r="W1422" s="94"/>
      <c r="X1422" s="94"/>
      <c r="Y1422" s="94"/>
      <c r="Z1422" s="94"/>
      <c r="AA1422" s="94"/>
      <c r="AB1422" s="94"/>
      <c r="AC1422" s="94"/>
      <c r="AD1422" s="94"/>
      <c r="AE1422" s="94"/>
    </row>
    <row r="1423">
      <c r="A1423" s="87"/>
      <c r="B1423" s="37"/>
      <c r="C1423" s="37"/>
      <c r="D1423" s="162"/>
      <c r="E1423" s="89"/>
      <c r="F1423" s="72"/>
      <c r="G1423" s="111"/>
      <c r="H1423" s="111"/>
      <c r="I1423" s="111"/>
      <c r="J1423" s="111"/>
      <c r="K1423" s="111"/>
      <c r="L1423" s="111"/>
      <c r="M1423" s="94"/>
      <c r="N1423" s="94"/>
      <c r="O1423" s="94"/>
      <c r="P1423" s="94"/>
      <c r="Q1423" s="94"/>
      <c r="R1423" s="94"/>
      <c r="S1423" s="94"/>
      <c r="T1423" s="94"/>
      <c r="U1423" s="94"/>
      <c r="V1423" s="94"/>
      <c r="W1423" s="94"/>
      <c r="X1423" s="94"/>
      <c r="Y1423" s="94"/>
      <c r="Z1423" s="94"/>
      <c r="AA1423" s="94"/>
      <c r="AB1423" s="94"/>
      <c r="AC1423" s="94"/>
      <c r="AD1423" s="94"/>
      <c r="AE1423" s="94"/>
    </row>
    <row r="1424">
      <c r="A1424" s="87"/>
      <c r="B1424" s="37"/>
      <c r="C1424" s="37"/>
      <c r="D1424" s="162"/>
      <c r="E1424" s="89"/>
      <c r="F1424" s="72"/>
      <c r="G1424" s="111"/>
      <c r="H1424" s="111"/>
      <c r="I1424" s="111"/>
      <c r="J1424" s="111"/>
      <c r="K1424" s="111"/>
      <c r="L1424" s="111"/>
      <c r="M1424" s="94"/>
      <c r="N1424" s="94"/>
      <c r="O1424" s="94"/>
      <c r="P1424" s="94"/>
      <c r="Q1424" s="94"/>
      <c r="R1424" s="94"/>
      <c r="S1424" s="94"/>
      <c r="T1424" s="94"/>
      <c r="U1424" s="94"/>
      <c r="V1424" s="94"/>
      <c r="W1424" s="94"/>
      <c r="X1424" s="94"/>
      <c r="Y1424" s="94"/>
      <c r="Z1424" s="94"/>
      <c r="AA1424" s="94"/>
      <c r="AB1424" s="94"/>
      <c r="AC1424" s="94"/>
      <c r="AD1424" s="94"/>
      <c r="AE1424" s="94"/>
    </row>
    <row r="1425">
      <c r="A1425" s="87"/>
      <c r="B1425" s="37"/>
      <c r="C1425" s="37"/>
      <c r="D1425" s="162"/>
      <c r="E1425" s="89"/>
      <c r="F1425" s="72"/>
      <c r="G1425" s="111"/>
      <c r="H1425" s="111"/>
      <c r="I1425" s="111"/>
      <c r="J1425" s="111"/>
      <c r="K1425" s="111"/>
      <c r="L1425" s="111"/>
      <c r="M1425" s="94"/>
      <c r="N1425" s="94"/>
      <c r="O1425" s="94"/>
      <c r="P1425" s="94"/>
      <c r="Q1425" s="94"/>
      <c r="R1425" s="94"/>
      <c r="S1425" s="94"/>
      <c r="T1425" s="94"/>
      <c r="U1425" s="94"/>
      <c r="V1425" s="94"/>
      <c r="W1425" s="94"/>
      <c r="X1425" s="94"/>
      <c r="Y1425" s="94"/>
      <c r="Z1425" s="94"/>
      <c r="AA1425" s="94"/>
      <c r="AB1425" s="94"/>
      <c r="AC1425" s="94"/>
      <c r="AD1425" s="94"/>
      <c r="AE1425" s="94"/>
    </row>
    <row r="1426">
      <c r="A1426" s="87"/>
      <c r="B1426" s="37"/>
      <c r="C1426" s="37"/>
      <c r="D1426" s="162"/>
      <c r="E1426" s="89"/>
      <c r="F1426" s="72"/>
      <c r="G1426" s="111"/>
      <c r="H1426" s="111"/>
      <c r="I1426" s="111"/>
      <c r="J1426" s="111"/>
      <c r="K1426" s="111"/>
      <c r="L1426" s="111"/>
      <c r="M1426" s="94"/>
      <c r="N1426" s="94"/>
      <c r="O1426" s="94"/>
      <c r="P1426" s="94"/>
      <c r="Q1426" s="94"/>
      <c r="R1426" s="94"/>
      <c r="S1426" s="94"/>
      <c r="T1426" s="94"/>
      <c r="U1426" s="94"/>
      <c r="V1426" s="94"/>
      <c r="W1426" s="94"/>
      <c r="X1426" s="94"/>
      <c r="Y1426" s="94"/>
      <c r="Z1426" s="94"/>
      <c r="AA1426" s="94"/>
      <c r="AB1426" s="94"/>
      <c r="AC1426" s="94"/>
      <c r="AD1426" s="94"/>
      <c r="AE1426" s="94"/>
    </row>
    <row r="1427">
      <c r="A1427" s="87"/>
      <c r="B1427" s="37"/>
      <c r="C1427" s="37"/>
      <c r="D1427" s="162"/>
      <c r="E1427" s="89"/>
      <c r="F1427" s="72"/>
      <c r="G1427" s="111"/>
      <c r="H1427" s="111"/>
      <c r="I1427" s="111"/>
      <c r="J1427" s="111"/>
      <c r="K1427" s="111"/>
      <c r="L1427" s="111"/>
      <c r="M1427" s="94"/>
      <c r="N1427" s="94"/>
      <c r="O1427" s="94"/>
      <c r="P1427" s="94"/>
      <c r="Q1427" s="94"/>
      <c r="R1427" s="94"/>
      <c r="S1427" s="94"/>
      <c r="T1427" s="94"/>
      <c r="U1427" s="94"/>
      <c r="V1427" s="94"/>
      <c r="W1427" s="94"/>
      <c r="X1427" s="94"/>
      <c r="Y1427" s="94"/>
      <c r="Z1427" s="94"/>
      <c r="AA1427" s="94"/>
      <c r="AB1427" s="94"/>
      <c r="AC1427" s="94"/>
      <c r="AD1427" s="94"/>
      <c r="AE1427" s="94"/>
    </row>
    <row r="1428">
      <c r="A1428" s="87"/>
      <c r="B1428" s="37"/>
      <c r="C1428" s="37"/>
      <c r="D1428" s="162"/>
      <c r="E1428" s="89"/>
      <c r="F1428" s="72"/>
      <c r="G1428" s="111"/>
      <c r="H1428" s="111"/>
      <c r="I1428" s="111"/>
      <c r="J1428" s="111"/>
      <c r="K1428" s="111"/>
      <c r="L1428" s="111"/>
      <c r="M1428" s="94"/>
      <c r="N1428" s="94"/>
      <c r="O1428" s="94"/>
      <c r="P1428" s="94"/>
      <c r="Q1428" s="94"/>
      <c r="R1428" s="94"/>
      <c r="S1428" s="94"/>
      <c r="T1428" s="94"/>
      <c r="U1428" s="94"/>
      <c r="V1428" s="94"/>
      <c r="W1428" s="94"/>
      <c r="X1428" s="94"/>
      <c r="Y1428" s="94"/>
      <c r="Z1428" s="94"/>
      <c r="AA1428" s="94"/>
      <c r="AB1428" s="94"/>
      <c r="AC1428" s="94"/>
      <c r="AD1428" s="94"/>
      <c r="AE1428" s="94"/>
    </row>
    <row r="1429">
      <c r="A1429" s="87"/>
      <c r="B1429" s="37"/>
      <c r="C1429" s="37"/>
      <c r="D1429" s="162"/>
      <c r="E1429" s="89"/>
      <c r="F1429" s="72"/>
      <c r="G1429" s="111"/>
      <c r="H1429" s="111"/>
      <c r="I1429" s="111"/>
      <c r="J1429" s="111"/>
      <c r="K1429" s="111"/>
      <c r="L1429" s="111"/>
      <c r="M1429" s="94"/>
      <c r="N1429" s="94"/>
      <c r="O1429" s="94"/>
      <c r="P1429" s="94"/>
      <c r="Q1429" s="94"/>
      <c r="R1429" s="94"/>
      <c r="S1429" s="94"/>
      <c r="T1429" s="94"/>
      <c r="U1429" s="94"/>
      <c r="V1429" s="94"/>
      <c r="W1429" s="94"/>
      <c r="X1429" s="94"/>
      <c r="Y1429" s="94"/>
      <c r="Z1429" s="94"/>
      <c r="AA1429" s="94"/>
      <c r="AB1429" s="94"/>
      <c r="AC1429" s="94"/>
      <c r="AD1429" s="94"/>
      <c r="AE1429" s="94"/>
    </row>
    <row r="1430">
      <c r="A1430" s="87"/>
      <c r="B1430" s="37"/>
      <c r="C1430" s="37"/>
      <c r="D1430" s="162"/>
      <c r="E1430" s="89"/>
      <c r="F1430" s="72"/>
      <c r="G1430" s="111"/>
      <c r="H1430" s="111"/>
      <c r="I1430" s="111"/>
      <c r="J1430" s="111"/>
      <c r="K1430" s="111"/>
      <c r="L1430" s="111"/>
      <c r="M1430" s="94"/>
      <c r="N1430" s="94"/>
      <c r="O1430" s="94"/>
      <c r="P1430" s="94"/>
      <c r="Q1430" s="94"/>
      <c r="R1430" s="94"/>
      <c r="S1430" s="94"/>
      <c r="T1430" s="94"/>
      <c r="U1430" s="94"/>
      <c r="V1430" s="94"/>
      <c r="W1430" s="94"/>
      <c r="X1430" s="94"/>
      <c r="Y1430" s="94"/>
      <c r="Z1430" s="94"/>
      <c r="AA1430" s="94"/>
      <c r="AB1430" s="94"/>
      <c r="AC1430" s="94"/>
      <c r="AD1430" s="94"/>
      <c r="AE1430" s="94"/>
    </row>
    <row r="1431">
      <c r="A1431" s="87"/>
      <c r="B1431" s="37"/>
      <c r="C1431" s="37"/>
      <c r="D1431" s="162"/>
      <c r="E1431" s="89"/>
      <c r="F1431" s="72"/>
      <c r="G1431" s="111"/>
      <c r="H1431" s="111"/>
      <c r="I1431" s="111"/>
      <c r="J1431" s="111"/>
      <c r="K1431" s="111"/>
      <c r="L1431" s="111"/>
      <c r="M1431" s="94"/>
      <c r="N1431" s="94"/>
      <c r="O1431" s="94"/>
      <c r="P1431" s="94"/>
      <c r="Q1431" s="94"/>
      <c r="R1431" s="94"/>
      <c r="S1431" s="94"/>
      <c r="T1431" s="94"/>
      <c r="U1431" s="94"/>
      <c r="V1431" s="94"/>
      <c r="W1431" s="94"/>
      <c r="X1431" s="94"/>
      <c r="Y1431" s="94"/>
      <c r="Z1431" s="94"/>
      <c r="AA1431" s="94"/>
      <c r="AB1431" s="94"/>
      <c r="AC1431" s="94"/>
      <c r="AD1431" s="94"/>
      <c r="AE1431" s="94"/>
    </row>
    <row r="1432">
      <c r="A1432" s="87"/>
      <c r="B1432" s="37"/>
      <c r="C1432" s="37"/>
      <c r="D1432" s="162"/>
      <c r="E1432" s="89"/>
      <c r="F1432" s="72"/>
      <c r="G1432" s="111"/>
      <c r="H1432" s="111"/>
      <c r="I1432" s="111"/>
      <c r="J1432" s="111"/>
      <c r="K1432" s="111"/>
      <c r="L1432" s="111"/>
      <c r="M1432" s="94"/>
      <c r="N1432" s="94"/>
      <c r="O1432" s="94"/>
      <c r="P1432" s="94"/>
      <c r="Q1432" s="94"/>
      <c r="R1432" s="94"/>
      <c r="S1432" s="94"/>
      <c r="T1432" s="94"/>
      <c r="U1432" s="94"/>
      <c r="V1432" s="94"/>
      <c r="W1432" s="94"/>
      <c r="X1432" s="94"/>
      <c r="Y1432" s="94"/>
      <c r="Z1432" s="94"/>
      <c r="AA1432" s="94"/>
      <c r="AB1432" s="94"/>
      <c r="AC1432" s="94"/>
      <c r="AD1432" s="94"/>
      <c r="AE1432" s="94"/>
    </row>
    <row r="1433">
      <c r="A1433" s="87"/>
      <c r="B1433" s="37"/>
      <c r="C1433" s="37"/>
      <c r="D1433" s="162"/>
      <c r="E1433" s="89"/>
      <c r="F1433" s="72"/>
      <c r="G1433" s="111"/>
      <c r="H1433" s="111"/>
      <c r="I1433" s="111"/>
      <c r="J1433" s="111"/>
      <c r="K1433" s="111"/>
      <c r="L1433" s="111"/>
      <c r="M1433" s="94"/>
      <c r="N1433" s="94"/>
      <c r="O1433" s="94"/>
      <c r="P1433" s="94"/>
      <c r="Q1433" s="94"/>
      <c r="R1433" s="94"/>
      <c r="S1433" s="94"/>
      <c r="T1433" s="94"/>
      <c r="U1433" s="94"/>
      <c r="V1433" s="94"/>
      <c r="W1433" s="94"/>
      <c r="X1433" s="94"/>
      <c r="Y1433" s="94"/>
      <c r="Z1433" s="94"/>
      <c r="AA1433" s="94"/>
      <c r="AB1433" s="94"/>
      <c r="AC1433" s="94"/>
      <c r="AD1433" s="94"/>
      <c r="AE1433" s="94"/>
    </row>
    <row r="1434">
      <c r="A1434" s="87"/>
      <c r="B1434" s="37"/>
      <c r="C1434" s="37"/>
      <c r="D1434" s="162"/>
      <c r="E1434" s="89"/>
      <c r="F1434" s="72"/>
      <c r="G1434" s="111"/>
      <c r="H1434" s="111"/>
      <c r="I1434" s="111"/>
      <c r="J1434" s="111"/>
      <c r="K1434" s="111"/>
      <c r="L1434" s="111"/>
      <c r="M1434" s="94"/>
      <c r="N1434" s="94"/>
      <c r="O1434" s="94"/>
      <c r="P1434" s="94"/>
      <c r="Q1434" s="94"/>
      <c r="R1434" s="94"/>
      <c r="S1434" s="94"/>
      <c r="T1434" s="94"/>
      <c r="U1434" s="94"/>
      <c r="V1434" s="94"/>
      <c r="W1434" s="94"/>
      <c r="X1434" s="94"/>
      <c r="Y1434" s="94"/>
      <c r="Z1434" s="94"/>
      <c r="AA1434" s="94"/>
      <c r="AB1434" s="94"/>
      <c r="AC1434" s="94"/>
      <c r="AD1434" s="94"/>
      <c r="AE1434" s="94"/>
    </row>
    <row r="1435">
      <c r="A1435" s="87"/>
      <c r="B1435" s="37"/>
      <c r="C1435" s="37"/>
      <c r="D1435" s="162"/>
      <c r="E1435" s="89"/>
      <c r="F1435" s="72"/>
      <c r="G1435" s="111"/>
      <c r="H1435" s="111"/>
      <c r="I1435" s="111"/>
      <c r="J1435" s="111"/>
      <c r="K1435" s="111"/>
      <c r="L1435" s="111"/>
      <c r="M1435" s="94"/>
      <c r="N1435" s="94"/>
      <c r="O1435" s="94"/>
      <c r="P1435" s="94"/>
      <c r="Q1435" s="94"/>
      <c r="R1435" s="94"/>
      <c r="S1435" s="94"/>
      <c r="T1435" s="94"/>
      <c r="U1435" s="94"/>
      <c r="V1435" s="94"/>
      <c r="W1435" s="94"/>
      <c r="X1435" s="94"/>
      <c r="Y1435" s="94"/>
      <c r="Z1435" s="94"/>
      <c r="AA1435" s="94"/>
      <c r="AB1435" s="94"/>
      <c r="AC1435" s="94"/>
      <c r="AD1435" s="94"/>
      <c r="AE1435" s="94"/>
    </row>
    <row r="1436">
      <c r="A1436" s="87"/>
      <c r="B1436" s="37"/>
      <c r="C1436" s="37"/>
      <c r="D1436" s="162"/>
      <c r="E1436" s="89"/>
      <c r="F1436" s="72"/>
      <c r="G1436" s="111"/>
      <c r="H1436" s="111"/>
      <c r="I1436" s="111"/>
      <c r="J1436" s="111"/>
      <c r="K1436" s="111"/>
      <c r="L1436" s="111"/>
      <c r="M1436" s="94"/>
      <c r="N1436" s="94"/>
      <c r="O1436" s="94"/>
      <c r="P1436" s="94"/>
      <c r="Q1436" s="94"/>
      <c r="R1436" s="94"/>
      <c r="S1436" s="94"/>
      <c r="T1436" s="94"/>
      <c r="U1436" s="94"/>
      <c r="V1436" s="94"/>
      <c r="W1436" s="94"/>
      <c r="X1436" s="94"/>
      <c r="Y1436" s="94"/>
      <c r="Z1436" s="94"/>
      <c r="AA1436" s="94"/>
      <c r="AB1436" s="94"/>
      <c r="AC1436" s="94"/>
      <c r="AD1436" s="94"/>
      <c r="AE1436" s="94"/>
    </row>
    <row r="1437">
      <c r="A1437" s="87"/>
      <c r="B1437" s="37"/>
      <c r="C1437" s="37"/>
      <c r="D1437" s="162"/>
      <c r="E1437" s="89"/>
      <c r="F1437" s="72"/>
      <c r="G1437" s="111"/>
      <c r="H1437" s="111"/>
      <c r="I1437" s="111"/>
      <c r="J1437" s="111"/>
      <c r="K1437" s="111"/>
      <c r="L1437" s="111"/>
      <c r="M1437" s="94"/>
      <c r="N1437" s="94"/>
      <c r="O1437" s="94"/>
      <c r="P1437" s="94"/>
      <c r="Q1437" s="94"/>
      <c r="R1437" s="94"/>
      <c r="S1437" s="94"/>
      <c r="T1437" s="94"/>
      <c r="U1437" s="94"/>
      <c r="V1437" s="94"/>
      <c r="W1437" s="94"/>
      <c r="X1437" s="94"/>
      <c r="Y1437" s="94"/>
      <c r="Z1437" s="94"/>
      <c r="AA1437" s="94"/>
      <c r="AB1437" s="94"/>
      <c r="AC1437" s="94"/>
      <c r="AD1437" s="94"/>
      <c r="AE1437" s="94"/>
    </row>
    <row r="1438">
      <c r="A1438" s="87"/>
      <c r="B1438" s="37"/>
      <c r="C1438" s="37"/>
      <c r="D1438" s="162"/>
      <c r="E1438" s="89"/>
      <c r="F1438" s="72"/>
      <c r="G1438" s="111"/>
      <c r="H1438" s="111"/>
      <c r="I1438" s="111"/>
      <c r="J1438" s="111"/>
      <c r="K1438" s="111"/>
      <c r="L1438" s="111"/>
      <c r="M1438" s="94"/>
      <c r="N1438" s="94"/>
      <c r="O1438" s="94"/>
      <c r="P1438" s="94"/>
      <c r="Q1438" s="94"/>
      <c r="R1438" s="94"/>
      <c r="S1438" s="94"/>
      <c r="T1438" s="94"/>
      <c r="U1438" s="94"/>
      <c r="V1438" s="94"/>
      <c r="W1438" s="94"/>
      <c r="X1438" s="94"/>
      <c r="Y1438" s="94"/>
      <c r="Z1438" s="94"/>
      <c r="AA1438" s="94"/>
      <c r="AB1438" s="94"/>
      <c r="AC1438" s="94"/>
      <c r="AD1438" s="94"/>
      <c r="AE1438" s="94"/>
    </row>
    <row r="1439">
      <c r="A1439" s="87"/>
      <c r="B1439" s="37"/>
      <c r="C1439" s="37"/>
      <c r="D1439" s="162"/>
      <c r="E1439" s="89"/>
      <c r="F1439" s="72"/>
      <c r="G1439" s="111"/>
      <c r="H1439" s="111"/>
      <c r="I1439" s="111"/>
      <c r="J1439" s="111"/>
      <c r="K1439" s="111"/>
      <c r="L1439" s="111"/>
      <c r="M1439" s="94"/>
      <c r="N1439" s="94"/>
      <c r="O1439" s="94"/>
      <c r="P1439" s="94"/>
      <c r="Q1439" s="94"/>
      <c r="R1439" s="94"/>
      <c r="S1439" s="94"/>
      <c r="T1439" s="94"/>
      <c r="U1439" s="94"/>
      <c r="V1439" s="94"/>
      <c r="W1439" s="94"/>
      <c r="X1439" s="94"/>
      <c r="Y1439" s="94"/>
      <c r="Z1439" s="94"/>
      <c r="AA1439" s="94"/>
      <c r="AB1439" s="94"/>
      <c r="AC1439" s="94"/>
      <c r="AD1439" s="94"/>
      <c r="AE1439" s="94"/>
    </row>
    <row r="1440">
      <c r="A1440" s="87"/>
      <c r="B1440" s="37"/>
      <c r="C1440" s="37"/>
      <c r="D1440" s="162"/>
      <c r="E1440" s="89"/>
      <c r="F1440" s="72"/>
      <c r="G1440" s="111"/>
      <c r="H1440" s="111"/>
      <c r="I1440" s="111"/>
      <c r="J1440" s="111"/>
      <c r="K1440" s="111"/>
      <c r="L1440" s="111"/>
      <c r="M1440" s="94"/>
      <c r="N1440" s="94"/>
      <c r="O1440" s="94"/>
      <c r="P1440" s="94"/>
      <c r="Q1440" s="94"/>
      <c r="R1440" s="94"/>
      <c r="S1440" s="94"/>
      <c r="T1440" s="94"/>
      <c r="U1440" s="94"/>
      <c r="V1440" s="94"/>
      <c r="W1440" s="94"/>
      <c r="X1440" s="94"/>
      <c r="Y1440" s="94"/>
      <c r="Z1440" s="94"/>
      <c r="AA1440" s="94"/>
      <c r="AB1440" s="94"/>
      <c r="AC1440" s="94"/>
      <c r="AD1440" s="94"/>
      <c r="AE1440" s="94"/>
    </row>
    <row r="1441">
      <c r="A1441" s="87"/>
      <c r="B1441" s="37"/>
      <c r="C1441" s="37"/>
      <c r="D1441" s="162"/>
      <c r="E1441" s="89"/>
      <c r="F1441" s="72"/>
      <c r="G1441" s="111"/>
      <c r="H1441" s="111"/>
      <c r="I1441" s="111"/>
      <c r="J1441" s="111"/>
      <c r="K1441" s="111"/>
      <c r="L1441" s="111"/>
      <c r="M1441" s="94"/>
      <c r="N1441" s="94"/>
      <c r="O1441" s="94"/>
      <c r="P1441" s="94"/>
      <c r="Q1441" s="94"/>
      <c r="R1441" s="94"/>
      <c r="S1441" s="94"/>
      <c r="T1441" s="94"/>
      <c r="U1441" s="94"/>
      <c r="V1441" s="94"/>
      <c r="W1441" s="94"/>
      <c r="X1441" s="94"/>
      <c r="Y1441" s="94"/>
      <c r="Z1441" s="94"/>
      <c r="AA1441" s="94"/>
      <c r="AB1441" s="94"/>
      <c r="AC1441" s="94"/>
      <c r="AD1441" s="94"/>
      <c r="AE1441" s="94"/>
    </row>
    <row r="1442">
      <c r="A1442" s="87"/>
      <c r="B1442" s="37"/>
      <c r="C1442" s="37"/>
      <c r="D1442" s="162"/>
      <c r="E1442" s="89"/>
      <c r="F1442" s="72"/>
      <c r="G1442" s="111"/>
      <c r="H1442" s="111"/>
      <c r="I1442" s="111"/>
      <c r="J1442" s="111"/>
      <c r="K1442" s="111"/>
      <c r="L1442" s="111"/>
      <c r="M1442" s="94"/>
      <c r="N1442" s="94"/>
      <c r="O1442" s="94"/>
      <c r="P1442" s="94"/>
      <c r="Q1442" s="94"/>
      <c r="R1442" s="94"/>
      <c r="S1442" s="94"/>
      <c r="T1442" s="94"/>
      <c r="U1442" s="94"/>
      <c r="V1442" s="94"/>
      <c r="W1442" s="94"/>
      <c r="X1442" s="94"/>
      <c r="Y1442" s="94"/>
      <c r="Z1442" s="94"/>
      <c r="AA1442" s="94"/>
      <c r="AB1442" s="94"/>
      <c r="AC1442" s="94"/>
      <c r="AD1442" s="94"/>
      <c r="AE1442" s="94"/>
    </row>
    <row r="1443">
      <c r="A1443" s="87"/>
      <c r="B1443" s="37"/>
      <c r="C1443" s="37"/>
      <c r="D1443" s="162"/>
      <c r="E1443" s="89"/>
      <c r="F1443" s="72"/>
      <c r="G1443" s="111"/>
      <c r="H1443" s="111"/>
      <c r="I1443" s="111"/>
      <c r="J1443" s="111"/>
      <c r="K1443" s="111"/>
      <c r="L1443" s="111"/>
      <c r="M1443" s="94"/>
      <c r="N1443" s="94"/>
      <c r="O1443" s="94"/>
      <c r="P1443" s="94"/>
      <c r="Q1443" s="94"/>
      <c r="R1443" s="94"/>
      <c r="S1443" s="94"/>
      <c r="T1443" s="94"/>
      <c r="U1443" s="94"/>
      <c r="V1443" s="94"/>
      <c r="W1443" s="94"/>
      <c r="X1443" s="94"/>
      <c r="Y1443" s="94"/>
      <c r="Z1443" s="94"/>
      <c r="AA1443" s="94"/>
      <c r="AB1443" s="94"/>
      <c r="AC1443" s="94"/>
      <c r="AD1443" s="94"/>
      <c r="AE1443" s="94"/>
    </row>
    <row r="1444">
      <c r="A1444" s="87"/>
      <c r="B1444" s="37"/>
      <c r="C1444" s="37"/>
      <c r="D1444" s="162"/>
      <c r="E1444" s="89"/>
      <c r="F1444" s="72"/>
      <c r="G1444" s="111"/>
      <c r="H1444" s="111"/>
      <c r="I1444" s="111"/>
      <c r="J1444" s="111"/>
      <c r="K1444" s="111"/>
      <c r="L1444" s="111"/>
      <c r="M1444" s="94"/>
      <c r="N1444" s="94"/>
      <c r="O1444" s="94"/>
      <c r="P1444" s="94"/>
      <c r="Q1444" s="94"/>
      <c r="R1444" s="94"/>
      <c r="S1444" s="94"/>
      <c r="T1444" s="94"/>
      <c r="U1444" s="94"/>
      <c r="V1444" s="94"/>
      <c r="W1444" s="94"/>
      <c r="X1444" s="94"/>
      <c r="Y1444" s="94"/>
      <c r="Z1444" s="94"/>
      <c r="AA1444" s="94"/>
      <c r="AB1444" s="94"/>
      <c r="AC1444" s="94"/>
      <c r="AD1444" s="94"/>
      <c r="AE1444" s="94"/>
    </row>
    <row r="1445">
      <c r="A1445" s="87"/>
      <c r="B1445" s="37"/>
      <c r="C1445" s="37"/>
      <c r="D1445" s="162"/>
      <c r="E1445" s="89"/>
      <c r="F1445" s="72"/>
      <c r="G1445" s="111"/>
      <c r="H1445" s="111"/>
      <c r="I1445" s="111"/>
      <c r="J1445" s="111"/>
      <c r="K1445" s="111"/>
      <c r="L1445" s="111"/>
      <c r="M1445" s="94"/>
      <c r="N1445" s="94"/>
      <c r="O1445" s="94"/>
      <c r="P1445" s="94"/>
      <c r="Q1445" s="94"/>
      <c r="R1445" s="94"/>
      <c r="S1445" s="94"/>
      <c r="T1445" s="94"/>
      <c r="U1445" s="94"/>
      <c r="V1445" s="94"/>
      <c r="W1445" s="94"/>
      <c r="X1445" s="94"/>
      <c r="Y1445" s="94"/>
      <c r="Z1445" s="94"/>
      <c r="AA1445" s="94"/>
      <c r="AB1445" s="94"/>
      <c r="AC1445" s="94"/>
      <c r="AD1445" s="94"/>
      <c r="AE1445" s="94"/>
    </row>
    <row r="1446">
      <c r="A1446" s="87"/>
      <c r="B1446" s="37"/>
      <c r="C1446" s="37"/>
      <c r="D1446" s="162"/>
      <c r="E1446" s="89"/>
      <c r="F1446" s="72"/>
      <c r="G1446" s="111"/>
      <c r="H1446" s="111"/>
      <c r="I1446" s="111"/>
      <c r="J1446" s="111"/>
      <c r="K1446" s="111"/>
      <c r="L1446" s="111"/>
      <c r="M1446" s="94"/>
      <c r="N1446" s="94"/>
      <c r="O1446" s="94"/>
      <c r="P1446" s="94"/>
      <c r="Q1446" s="94"/>
      <c r="R1446" s="94"/>
      <c r="S1446" s="94"/>
      <c r="T1446" s="94"/>
      <c r="U1446" s="94"/>
      <c r="V1446" s="94"/>
      <c r="W1446" s="94"/>
      <c r="X1446" s="94"/>
      <c r="Y1446" s="94"/>
      <c r="Z1446" s="94"/>
      <c r="AA1446" s="94"/>
      <c r="AB1446" s="94"/>
      <c r="AC1446" s="94"/>
      <c r="AD1446" s="94"/>
      <c r="AE1446" s="94"/>
    </row>
    <row r="1447">
      <c r="A1447" s="87"/>
      <c r="B1447" s="37"/>
      <c r="C1447" s="37"/>
      <c r="D1447" s="162"/>
      <c r="E1447" s="89"/>
      <c r="F1447" s="72"/>
      <c r="G1447" s="111"/>
      <c r="H1447" s="111"/>
      <c r="I1447" s="111"/>
      <c r="J1447" s="111"/>
      <c r="K1447" s="111"/>
      <c r="L1447" s="111"/>
      <c r="M1447" s="94"/>
      <c r="N1447" s="94"/>
      <c r="O1447" s="94"/>
      <c r="P1447" s="94"/>
      <c r="Q1447" s="94"/>
      <c r="R1447" s="94"/>
      <c r="S1447" s="94"/>
      <c r="T1447" s="94"/>
      <c r="U1447" s="94"/>
      <c r="V1447" s="94"/>
      <c r="W1447" s="94"/>
      <c r="X1447" s="94"/>
      <c r="Y1447" s="94"/>
      <c r="Z1447" s="94"/>
      <c r="AA1447" s="94"/>
      <c r="AB1447" s="94"/>
      <c r="AC1447" s="94"/>
      <c r="AD1447" s="94"/>
      <c r="AE1447" s="94"/>
    </row>
    <row r="1448">
      <c r="A1448" s="87"/>
      <c r="B1448" s="37"/>
      <c r="C1448" s="37"/>
      <c r="D1448" s="162"/>
      <c r="E1448" s="89"/>
      <c r="F1448" s="72"/>
      <c r="G1448" s="111"/>
      <c r="H1448" s="111"/>
      <c r="I1448" s="111"/>
      <c r="J1448" s="111"/>
      <c r="K1448" s="111"/>
      <c r="L1448" s="111"/>
      <c r="M1448" s="94"/>
      <c r="N1448" s="94"/>
      <c r="O1448" s="94"/>
      <c r="P1448" s="94"/>
      <c r="Q1448" s="94"/>
      <c r="R1448" s="94"/>
      <c r="S1448" s="94"/>
      <c r="T1448" s="94"/>
      <c r="U1448" s="94"/>
      <c r="V1448" s="94"/>
      <c r="W1448" s="94"/>
      <c r="X1448" s="94"/>
      <c r="Y1448" s="94"/>
      <c r="Z1448" s="94"/>
      <c r="AA1448" s="94"/>
      <c r="AB1448" s="94"/>
      <c r="AC1448" s="94"/>
      <c r="AD1448" s="94"/>
      <c r="AE1448" s="94"/>
    </row>
    <row r="1449">
      <c r="A1449" s="87"/>
      <c r="B1449" s="37"/>
      <c r="C1449" s="37"/>
      <c r="D1449" s="162"/>
      <c r="E1449" s="89"/>
      <c r="F1449" s="72"/>
      <c r="G1449" s="111"/>
      <c r="H1449" s="111"/>
      <c r="I1449" s="111"/>
      <c r="J1449" s="111"/>
      <c r="K1449" s="111"/>
      <c r="L1449" s="111"/>
      <c r="M1449" s="94"/>
      <c r="N1449" s="94"/>
      <c r="O1449" s="94"/>
      <c r="P1449" s="94"/>
      <c r="Q1449" s="94"/>
      <c r="R1449" s="94"/>
      <c r="S1449" s="94"/>
      <c r="T1449" s="94"/>
      <c r="U1449" s="94"/>
      <c r="V1449" s="94"/>
      <c r="W1449" s="94"/>
      <c r="X1449" s="94"/>
      <c r="Y1449" s="94"/>
      <c r="Z1449" s="94"/>
      <c r="AA1449" s="94"/>
      <c r="AB1449" s="94"/>
      <c r="AC1449" s="94"/>
      <c r="AD1449" s="94"/>
      <c r="AE1449" s="94"/>
    </row>
    <row r="1450">
      <c r="A1450" s="87"/>
      <c r="B1450" s="37"/>
      <c r="C1450" s="37"/>
      <c r="D1450" s="162"/>
      <c r="E1450" s="89"/>
      <c r="F1450" s="72"/>
      <c r="G1450" s="111"/>
      <c r="H1450" s="111"/>
      <c r="I1450" s="111"/>
      <c r="J1450" s="111"/>
      <c r="K1450" s="111"/>
      <c r="L1450" s="111"/>
      <c r="M1450" s="94"/>
      <c r="N1450" s="94"/>
      <c r="O1450" s="94"/>
      <c r="P1450" s="94"/>
      <c r="Q1450" s="94"/>
      <c r="R1450" s="94"/>
      <c r="S1450" s="94"/>
      <c r="T1450" s="94"/>
      <c r="U1450" s="94"/>
      <c r="V1450" s="94"/>
      <c r="W1450" s="94"/>
      <c r="X1450" s="94"/>
      <c r="Y1450" s="94"/>
      <c r="Z1450" s="94"/>
      <c r="AA1450" s="94"/>
      <c r="AB1450" s="94"/>
      <c r="AC1450" s="94"/>
      <c r="AD1450" s="94"/>
      <c r="AE1450" s="94"/>
    </row>
    <row r="1451">
      <c r="A1451" s="87"/>
      <c r="B1451" s="37"/>
      <c r="C1451" s="37"/>
      <c r="D1451" s="162"/>
      <c r="E1451" s="89"/>
      <c r="F1451" s="72"/>
      <c r="G1451" s="111"/>
      <c r="H1451" s="111"/>
      <c r="I1451" s="111"/>
      <c r="J1451" s="111"/>
      <c r="K1451" s="111"/>
      <c r="L1451" s="111"/>
      <c r="M1451" s="94"/>
      <c r="N1451" s="94"/>
      <c r="O1451" s="94"/>
      <c r="P1451" s="94"/>
      <c r="Q1451" s="94"/>
      <c r="R1451" s="94"/>
      <c r="S1451" s="94"/>
      <c r="T1451" s="94"/>
      <c r="U1451" s="94"/>
      <c r="V1451" s="94"/>
      <c r="W1451" s="94"/>
      <c r="X1451" s="94"/>
      <c r="Y1451" s="94"/>
      <c r="Z1451" s="94"/>
      <c r="AA1451" s="94"/>
      <c r="AB1451" s="94"/>
      <c r="AC1451" s="94"/>
      <c r="AD1451" s="94"/>
      <c r="AE1451" s="94"/>
    </row>
    <row r="1452">
      <c r="A1452" s="87"/>
      <c r="B1452" s="37"/>
      <c r="C1452" s="37"/>
      <c r="D1452" s="162"/>
      <c r="E1452" s="89"/>
      <c r="F1452" s="72"/>
      <c r="G1452" s="111"/>
      <c r="H1452" s="111"/>
      <c r="I1452" s="111"/>
      <c r="J1452" s="111"/>
      <c r="K1452" s="111"/>
      <c r="L1452" s="111"/>
      <c r="M1452" s="94"/>
      <c r="N1452" s="94"/>
      <c r="O1452" s="94"/>
      <c r="P1452" s="94"/>
      <c r="Q1452" s="94"/>
      <c r="R1452" s="94"/>
      <c r="S1452" s="94"/>
      <c r="T1452" s="94"/>
      <c r="U1452" s="94"/>
      <c r="V1452" s="94"/>
      <c r="W1452" s="94"/>
      <c r="X1452" s="94"/>
      <c r="Y1452" s="94"/>
      <c r="Z1452" s="94"/>
      <c r="AA1452" s="94"/>
      <c r="AB1452" s="94"/>
      <c r="AC1452" s="94"/>
      <c r="AD1452" s="94"/>
      <c r="AE1452" s="94"/>
    </row>
    <row r="1453">
      <c r="A1453" s="87"/>
      <c r="B1453" s="37"/>
      <c r="C1453" s="37"/>
      <c r="D1453" s="162"/>
      <c r="E1453" s="89"/>
      <c r="F1453" s="72"/>
      <c r="G1453" s="111"/>
      <c r="H1453" s="111"/>
      <c r="I1453" s="111"/>
      <c r="J1453" s="111"/>
      <c r="K1453" s="111"/>
      <c r="L1453" s="111"/>
      <c r="M1453" s="94"/>
      <c r="N1453" s="94"/>
      <c r="O1453" s="94"/>
      <c r="P1453" s="94"/>
      <c r="Q1453" s="94"/>
      <c r="R1453" s="94"/>
      <c r="S1453" s="94"/>
      <c r="T1453" s="94"/>
      <c r="U1453" s="94"/>
      <c r="V1453" s="94"/>
      <c r="W1453" s="94"/>
      <c r="X1453" s="94"/>
      <c r="Y1453" s="94"/>
      <c r="Z1453" s="94"/>
      <c r="AA1453" s="94"/>
      <c r="AB1453" s="94"/>
      <c r="AC1453" s="94"/>
      <c r="AD1453" s="94"/>
      <c r="AE1453" s="94"/>
    </row>
    <row r="1454">
      <c r="A1454" s="87"/>
      <c r="B1454" s="37"/>
      <c r="C1454" s="37"/>
      <c r="D1454" s="162"/>
      <c r="E1454" s="89"/>
      <c r="F1454" s="72"/>
      <c r="G1454" s="111"/>
      <c r="H1454" s="111"/>
      <c r="I1454" s="111"/>
      <c r="J1454" s="111"/>
      <c r="K1454" s="111"/>
      <c r="L1454" s="111"/>
      <c r="M1454" s="94"/>
      <c r="N1454" s="94"/>
      <c r="O1454" s="94"/>
      <c r="P1454" s="94"/>
      <c r="Q1454" s="94"/>
      <c r="R1454" s="94"/>
      <c r="S1454" s="94"/>
      <c r="T1454" s="94"/>
      <c r="U1454" s="94"/>
      <c r="V1454" s="94"/>
      <c r="W1454" s="94"/>
      <c r="X1454" s="94"/>
      <c r="Y1454" s="94"/>
      <c r="Z1454" s="94"/>
      <c r="AA1454" s="94"/>
      <c r="AB1454" s="94"/>
      <c r="AC1454" s="94"/>
      <c r="AD1454" s="94"/>
      <c r="AE1454" s="94"/>
    </row>
    <row r="1455">
      <c r="A1455" s="87"/>
      <c r="B1455" s="37"/>
      <c r="C1455" s="37"/>
      <c r="D1455" s="162"/>
      <c r="E1455" s="89"/>
      <c r="F1455" s="72"/>
      <c r="G1455" s="111"/>
      <c r="H1455" s="111"/>
      <c r="I1455" s="111"/>
      <c r="J1455" s="111"/>
      <c r="K1455" s="111"/>
      <c r="L1455" s="111"/>
      <c r="M1455" s="94"/>
      <c r="N1455" s="94"/>
      <c r="O1455" s="94"/>
      <c r="P1455" s="94"/>
      <c r="Q1455" s="94"/>
      <c r="R1455" s="94"/>
      <c r="S1455" s="94"/>
      <c r="T1455" s="94"/>
      <c r="U1455" s="94"/>
      <c r="V1455" s="94"/>
      <c r="W1455" s="94"/>
      <c r="X1455" s="94"/>
      <c r="Y1455" s="94"/>
      <c r="Z1455" s="94"/>
      <c r="AA1455" s="94"/>
      <c r="AB1455" s="94"/>
      <c r="AC1455" s="94"/>
      <c r="AD1455" s="94"/>
      <c r="AE1455" s="94"/>
    </row>
    <row r="1456">
      <c r="A1456" s="87"/>
      <c r="B1456" s="37"/>
      <c r="C1456" s="37"/>
      <c r="D1456" s="162"/>
      <c r="E1456" s="89"/>
      <c r="F1456" s="72"/>
      <c r="G1456" s="111"/>
      <c r="H1456" s="111"/>
      <c r="I1456" s="111"/>
      <c r="J1456" s="111"/>
      <c r="K1456" s="111"/>
      <c r="L1456" s="111"/>
      <c r="M1456" s="94"/>
      <c r="N1456" s="94"/>
      <c r="O1456" s="94"/>
      <c r="P1456" s="94"/>
      <c r="Q1456" s="94"/>
      <c r="R1456" s="94"/>
      <c r="S1456" s="94"/>
      <c r="T1456" s="94"/>
      <c r="U1456" s="94"/>
      <c r="V1456" s="94"/>
      <c r="W1456" s="94"/>
      <c r="X1456" s="94"/>
      <c r="Y1456" s="94"/>
      <c r="Z1456" s="94"/>
      <c r="AA1456" s="94"/>
      <c r="AB1456" s="94"/>
      <c r="AC1456" s="94"/>
      <c r="AD1456" s="94"/>
      <c r="AE1456" s="94"/>
    </row>
    <row r="1457">
      <c r="A1457" s="87"/>
      <c r="B1457" s="37"/>
      <c r="C1457" s="37"/>
      <c r="D1457" s="162"/>
      <c r="E1457" s="89"/>
      <c r="F1457" s="72"/>
      <c r="G1457" s="111"/>
      <c r="H1457" s="111"/>
      <c r="I1457" s="111"/>
      <c r="J1457" s="111"/>
      <c r="K1457" s="111"/>
      <c r="L1457" s="111"/>
      <c r="M1457" s="94"/>
      <c r="N1457" s="94"/>
      <c r="O1457" s="94"/>
      <c r="P1457" s="94"/>
      <c r="Q1457" s="94"/>
      <c r="R1457" s="94"/>
      <c r="S1457" s="94"/>
      <c r="T1457" s="94"/>
      <c r="U1457" s="94"/>
      <c r="V1457" s="94"/>
      <c r="W1457" s="94"/>
      <c r="X1457" s="94"/>
      <c r="Y1457" s="94"/>
      <c r="Z1457" s="94"/>
      <c r="AA1457" s="94"/>
      <c r="AB1457" s="94"/>
      <c r="AC1457" s="94"/>
      <c r="AD1457" s="94"/>
      <c r="AE1457" s="94"/>
    </row>
    <row r="1458">
      <c r="A1458" s="87"/>
      <c r="B1458" s="37"/>
      <c r="C1458" s="37"/>
      <c r="D1458" s="162"/>
      <c r="E1458" s="89"/>
      <c r="F1458" s="72"/>
      <c r="G1458" s="111"/>
      <c r="H1458" s="111"/>
      <c r="I1458" s="111"/>
      <c r="J1458" s="111"/>
      <c r="K1458" s="111"/>
      <c r="L1458" s="111"/>
      <c r="M1458" s="94"/>
      <c r="N1458" s="94"/>
      <c r="O1458" s="94"/>
      <c r="P1458" s="94"/>
      <c r="Q1458" s="94"/>
      <c r="R1458" s="94"/>
      <c r="S1458" s="94"/>
      <c r="T1458" s="94"/>
      <c r="U1458" s="94"/>
      <c r="V1458" s="94"/>
      <c r="W1458" s="94"/>
      <c r="X1458" s="94"/>
      <c r="Y1458" s="94"/>
      <c r="Z1458" s="94"/>
      <c r="AA1458" s="94"/>
      <c r="AB1458" s="94"/>
      <c r="AC1458" s="94"/>
      <c r="AD1458" s="94"/>
      <c r="AE1458" s="94"/>
    </row>
    <row r="1459">
      <c r="A1459" s="87"/>
      <c r="B1459" s="37"/>
      <c r="C1459" s="37"/>
      <c r="D1459" s="162"/>
      <c r="E1459" s="89"/>
      <c r="F1459" s="72"/>
      <c r="G1459" s="111"/>
      <c r="H1459" s="111"/>
      <c r="I1459" s="111"/>
      <c r="J1459" s="111"/>
      <c r="K1459" s="111"/>
      <c r="L1459" s="111"/>
      <c r="M1459" s="94"/>
      <c r="N1459" s="94"/>
      <c r="O1459" s="94"/>
      <c r="P1459" s="94"/>
      <c r="Q1459" s="94"/>
      <c r="R1459" s="94"/>
      <c r="S1459" s="94"/>
      <c r="T1459" s="94"/>
      <c r="U1459" s="94"/>
      <c r="V1459" s="94"/>
      <c r="W1459" s="94"/>
      <c r="X1459" s="94"/>
      <c r="Y1459" s="94"/>
      <c r="Z1459" s="94"/>
      <c r="AA1459" s="94"/>
      <c r="AB1459" s="94"/>
      <c r="AC1459" s="94"/>
      <c r="AD1459" s="94"/>
      <c r="AE1459" s="94"/>
    </row>
    <row r="1460">
      <c r="A1460" s="87"/>
      <c r="B1460" s="37"/>
      <c r="C1460" s="37"/>
      <c r="D1460" s="162"/>
      <c r="E1460" s="89"/>
      <c r="F1460" s="72"/>
      <c r="G1460" s="111"/>
      <c r="H1460" s="111"/>
      <c r="I1460" s="111"/>
      <c r="J1460" s="111"/>
      <c r="K1460" s="111"/>
      <c r="L1460" s="111"/>
      <c r="M1460" s="94"/>
      <c r="N1460" s="94"/>
      <c r="O1460" s="94"/>
      <c r="P1460" s="94"/>
      <c r="Q1460" s="94"/>
      <c r="R1460" s="94"/>
      <c r="S1460" s="94"/>
      <c r="T1460" s="94"/>
      <c r="U1460" s="94"/>
      <c r="V1460" s="94"/>
      <c r="W1460" s="94"/>
      <c r="X1460" s="94"/>
      <c r="Y1460" s="94"/>
      <c r="Z1460" s="94"/>
      <c r="AA1460" s="94"/>
      <c r="AB1460" s="94"/>
      <c r="AC1460" s="94"/>
      <c r="AD1460" s="94"/>
      <c r="AE1460" s="94"/>
    </row>
    <row r="1461">
      <c r="A1461" s="87"/>
      <c r="B1461" s="37"/>
      <c r="C1461" s="37"/>
      <c r="D1461" s="162"/>
      <c r="E1461" s="89"/>
      <c r="F1461" s="72"/>
      <c r="G1461" s="111"/>
      <c r="H1461" s="111"/>
      <c r="I1461" s="111"/>
      <c r="J1461" s="111"/>
      <c r="K1461" s="111"/>
      <c r="L1461" s="111"/>
      <c r="M1461" s="94"/>
      <c r="N1461" s="94"/>
      <c r="O1461" s="94"/>
      <c r="P1461" s="94"/>
      <c r="Q1461" s="94"/>
      <c r="R1461" s="94"/>
      <c r="S1461" s="94"/>
      <c r="T1461" s="94"/>
      <c r="U1461" s="94"/>
      <c r="V1461" s="94"/>
      <c r="W1461" s="94"/>
      <c r="X1461" s="94"/>
      <c r="Y1461" s="94"/>
      <c r="Z1461" s="94"/>
      <c r="AA1461" s="94"/>
      <c r="AB1461" s="94"/>
      <c r="AC1461" s="94"/>
      <c r="AD1461" s="94"/>
      <c r="AE1461" s="94"/>
    </row>
    <row r="1462">
      <c r="A1462" s="87"/>
      <c r="B1462" s="37"/>
      <c r="C1462" s="37"/>
      <c r="D1462" s="162"/>
      <c r="E1462" s="89"/>
      <c r="F1462" s="72"/>
      <c r="G1462" s="111"/>
      <c r="H1462" s="111"/>
      <c r="I1462" s="111"/>
      <c r="J1462" s="111"/>
      <c r="K1462" s="111"/>
      <c r="L1462" s="111"/>
      <c r="M1462" s="94"/>
      <c r="N1462" s="94"/>
      <c r="O1462" s="94"/>
      <c r="P1462" s="94"/>
      <c r="Q1462" s="94"/>
      <c r="R1462" s="94"/>
      <c r="S1462" s="94"/>
      <c r="T1462" s="94"/>
      <c r="U1462" s="94"/>
      <c r="V1462" s="94"/>
      <c r="W1462" s="94"/>
      <c r="X1462" s="94"/>
      <c r="Y1462" s="94"/>
      <c r="Z1462" s="94"/>
      <c r="AA1462" s="94"/>
      <c r="AB1462" s="94"/>
      <c r="AC1462" s="94"/>
      <c r="AD1462" s="94"/>
      <c r="AE1462" s="94"/>
    </row>
    <row r="1463">
      <c r="A1463" s="87"/>
      <c r="B1463" s="37"/>
      <c r="C1463" s="37"/>
      <c r="D1463" s="162"/>
      <c r="E1463" s="89"/>
      <c r="F1463" s="72"/>
      <c r="G1463" s="111"/>
      <c r="H1463" s="111"/>
      <c r="I1463" s="111"/>
      <c r="J1463" s="111"/>
      <c r="K1463" s="111"/>
      <c r="L1463" s="111"/>
      <c r="M1463" s="94"/>
      <c r="N1463" s="94"/>
      <c r="O1463" s="94"/>
      <c r="P1463" s="94"/>
      <c r="Q1463" s="94"/>
      <c r="R1463" s="94"/>
      <c r="S1463" s="94"/>
      <c r="T1463" s="94"/>
      <c r="U1463" s="94"/>
      <c r="V1463" s="94"/>
      <c r="W1463" s="94"/>
      <c r="X1463" s="94"/>
      <c r="Y1463" s="94"/>
      <c r="Z1463" s="94"/>
      <c r="AA1463" s="94"/>
      <c r="AB1463" s="94"/>
      <c r="AC1463" s="94"/>
      <c r="AD1463" s="94"/>
      <c r="AE1463" s="94"/>
    </row>
    <row r="1464">
      <c r="A1464" s="87"/>
      <c r="B1464" s="37"/>
      <c r="C1464" s="37"/>
      <c r="D1464" s="162"/>
      <c r="E1464" s="89"/>
      <c r="F1464" s="72"/>
      <c r="G1464" s="111"/>
      <c r="H1464" s="111"/>
      <c r="I1464" s="111"/>
      <c r="J1464" s="111"/>
      <c r="K1464" s="111"/>
      <c r="L1464" s="111"/>
      <c r="M1464" s="94"/>
      <c r="N1464" s="94"/>
      <c r="O1464" s="94"/>
      <c r="P1464" s="94"/>
      <c r="Q1464" s="94"/>
      <c r="R1464" s="94"/>
      <c r="S1464" s="94"/>
      <c r="T1464" s="94"/>
      <c r="U1464" s="94"/>
      <c r="V1464" s="94"/>
      <c r="W1464" s="94"/>
      <c r="X1464" s="94"/>
      <c r="Y1464" s="94"/>
      <c r="Z1464" s="94"/>
      <c r="AA1464" s="94"/>
      <c r="AB1464" s="94"/>
      <c r="AC1464" s="94"/>
      <c r="AD1464" s="94"/>
      <c r="AE1464" s="94"/>
    </row>
    <row r="1465">
      <c r="A1465" s="87"/>
      <c r="B1465" s="37"/>
      <c r="C1465" s="37"/>
      <c r="D1465" s="162"/>
      <c r="E1465" s="89"/>
      <c r="F1465" s="72"/>
      <c r="G1465" s="111"/>
      <c r="H1465" s="111"/>
      <c r="I1465" s="111"/>
      <c r="J1465" s="111"/>
      <c r="K1465" s="111"/>
      <c r="L1465" s="111"/>
      <c r="M1465" s="94"/>
      <c r="N1465" s="94"/>
      <c r="O1465" s="94"/>
      <c r="P1465" s="94"/>
      <c r="Q1465" s="94"/>
      <c r="R1465" s="94"/>
      <c r="S1465" s="94"/>
      <c r="T1465" s="94"/>
      <c r="U1465" s="94"/>
      <c r="V1465" s="94"/>
      <c r="W1465" s="94"/>
      <c r="X1465" s="94"/>
      <c r="Y1465" s="94"/>
      <c r="Z1465" s="94"/>
      <c r="AA1465" s="94"/>
      <c r="AB1465" s="94"/>
      <c r="AC1465" s="94"/>
      <c r="AD1465" s="94"/>
      <c r="AE1465" s="94"/>
    </row>
    <row r="1466">
      <c r="A1466" s="87"/>
      <c r="B1466" s="37"/>
      <c r="C1466" s="37"/>
      <c r="D1466" s="162"/>
      <c r="E1466" s="89"/>
      <c r="F1466" s="72"/>
      <c r="G1466" s="111"/>
      <c r="H1466" s="111"/>
      <c r="I1466" s="111"/>
      <c r="J1466" s="111"/>
      <c r="K1466" s="111"/>
      <c r="L1466" s="111"/>
      <c r="M1466" s="94"/>
      <c r="N1466" s="94"/>
      <c r="O1466" s="94"/>
      <c r="P1466" s="94"/>
      <c r="Q1466" s="94"/>
      <c r="R1466" s="94"/>
      <c r="S1466" s="94"/>
      <c r="T1466" s="94"/>
      <c r="U1466" s="94"/>
      <c r="V1466" s="94"/>
      <c r="W1466" s="94"/>
      <c r="X1466" s="94"/>
      <c r="Y1466" s="94"/>
      <c r="Z1466" s="94"/>
      <c r="AA1466" s="94"/>
      <c r="AB1466" s="94"/>
      <c r="AC1466" s="94"/>
      <c r="AD1466" s="94"/>
      <c r="AE1466" s="94"/>
    </row>
    <row r="1467">
      <c r="A1467" s="87"/>
      <c r="B1467" s="37"/>
      <c r="C1467" s="37"/>
      <c r="D1467" s="162"/>
      <c r="E1467" s="89"/>
      <c r="F1467" s="72"/>
      <c r="G1467" s="111"/>
      <c r="H1467" s="111"/>
      <c r="I1467" s="111"/>
      <c r="J1467" s="111"/>
      <c r="K1467" s="111"/>
      <c r="L1467" s="111"/>
      <c r="M1467" s="94"/>
      <c r="N1467" s="94"/>
      <c r="O1467" s="94"/>
      <c r="P1467" s="94"/>
      <c r="Q1467" s="94"/>
      <c r="R1467" s="94"/>
      <c r="S1467" s="94"/>
      <c r="T1467" s="94"/>
      <c r="U1467" s="94"/>
      <c r="V1467" s="94"/>
      <c r="W1467" s="94"/>
      <c r="X1467" s="94"/>
      <c r="Y1467" s="94"/>
      <c r="Z1467" s="94"/>
      <c r="AA1467" s="94"/>
      <c r="AB1467" s="94"/>
      <c r="AC1467" s="94"/>
      <c r="AD1467" s="94"/>
      <c r="AE1467" s="94"/>
    </row>
    <row r="1468">
      <c r="A1468" s="87"/>
      <c r="B1468" s="37"/>
      <c r="C1468" s="37"/>
      <c r="D1468" s="162"/>
      <c r="E1468" s="89"/>
      <c r="F1468" s="72"/>
      <c r="G1468" s="111"/>
      <c r="H1468" s="111"/>
      <c r="I1468" s="111"/>
      <c r="J1468" s="111"/>
      <c r="K1468" s="111"/>
      <c r="L1468" s="111"/>
      <c r="M1468" s="94"/>
      <c r="N1468" s="94"/>
      <c r="O1468" s="94"/>
      <c r="P1468" s="94"/>
      <c r="Q1468" s="94"/>
      <c r="R1468" s="94"/>
      <c r="S1468" s="94"/>
      <c r="T1468" s="94"/>
      <c r="U1468" s="94"/>
      <c r="V1468" s="94"/>
      <c r="W1468" s="94"/>
      <c r="X1468" s="94"/>
      <c r="Y1468" s="94"/>
      <c r="Z1468" s="94"/>
      <c r="AA1468" s="94"/>
      <c r="AB1468" s="94"/>
      <c r="AC1468" s="94"/>
      <c r="AD1468" s="94"/>
      <c r="AE1468" s="94"/>
    </row>
    <row r="1469">
      <c r="A1469" s="87"/>
      <c r="B1469" s="37"/>
      <c r="C1469" s="37"/>
      <c r="D1469" s="162"/>
      <c r="E1469" s="89"/>
      <c r="F1469" s="72"/>
      <c r="G1469" s="111"/>
      <c r="H1469" s="111"/>
      <c r="I1469" s="111"/>
      <c r="J1469" s="111"/>
      <c r="K1469" s="111"/>
      <c r="L1469" s="111"/>
      <c r="M1469" s="94"/>
      <c r="N1469" s="94"/>
      <c r="O1469" s="94"/>
      <c r="P1469" s="94"/>
      <c r="Q1469" s="94"/>
      <c r="R1469" s="94"/>
      <c r="S1469" s="94"/>
      <c r="T1469" s="94"/>
      <c r="U1469" s="94"/>
      <c r="V1469" s="94"/>
      <c r="W1469" s="94"/>
      <c r="X1469" s="94"/>
      <c r="Y1469" s="94"/>
      <c r="Z1469" s="94"/>
      <c r="AA1469" s="94"/>
      <c r="AB1469" s="94"/>
      <c r="AC1469" s="94"/>
      <c r="AD1469" s="94"/>
      <c r="AE1469" s="94"/>
    </row>
    <row r="1470">
      <c r="A1470" s="87"/>
      <c r="B1470" s="37"/>
      <c r="C1470" s="37"/>
      <c r="D1470" s="162"/>
      <c r="E1470" s="89"/>
      <c r="F1470" s="72"/>
      <c r="G1470" s="111"/>
      <c r="H1470" s="111"/>
      <c r="I1470" s="111"/>
      <c r="J1470" s="111"/>
      <c r="K1470" s="111"/>
      <c r="L1470" s="111"/>
      <c r="M1470" s="94"/>
      <c r="N1470" s="94"/>
      <c r="O1470" s="94"/>
      <c r="P1470" s="94"/>
      <c r="Q1470" s="94"/>
      <c r="R1470" s="94"/>
      <c r="S1470" s="94"/>
      <c r="T1470" s="94"/>
      <c r="U1470" s="94"/>
      <c r="V1470" s="94"/>
      <c r="W1470" s="94"/>
      <c r="X1470" s="94"/>
      <c r="Y1470" s="94"/>
      <c r="Z1470" s="94"/>
      <c r="AA1470" s="94"/>
      <c r="AB1470" s="94"/>
      <c r="AC1470" s="94"/>
      <c r="AD1470" s="94"/>
      <c r="AE1470" s="94"/>
    </row>
    <row r="1471">
      <c r="A1471" s="87"/>
      <c r="B1471" s="37"/>
      <c r="C1471" s="37"/>
      <c r="D1471" s="162"/>
      <c r="E1471" s="89"/>
      <c r="F1471" s="72"/>
      <c r="G1471" s="111"/>
      <c r="H1471" s="111"/>
      <c r="I1471" s="111"/>
      <c r="J1471" s="111"/>
      <c r="K1471" s="111"/>
      <c r="L1471" s="111"/>
      <c r="M1471" s="94"/>
      <c r="N1471" s="94"/>
      <c r="O1471" s="94"/>
      <c r="P1471" s="94"/>
      <c r="Q1471" s="94"/>
      <c r="R1471" s="94"/>
      <c r="S1471" s="94"/>
      <c r="T1471" s="94"/>
      <c r="U1471" s="94"/>
      <c r="V1471" s="94"/>
      <c r="W1471" s="94"/>
      <c r="X1471" s="94"/>
      <c r="Y1471" s="94"/>
      <c r="Z1471" s="94"/>
      <c r="AA1471" s="94"/>
      <c r="AB1471" s="94"/>
      <c r="AC1471" s="94"/>
      <c r="AD1471" s="94"/>
      <c r="AE1471" s="94"/>
    </row>
    <row r="1472">
      <c r="A1472" s="87"/>
      <c r="B1472" s="37"/>
      <c r="C1472" s="37"/>
      <c r="D1472" s="162"/>
      <c r="E1472" s="89"/>
      <c r="F1472" s="72"/>
      <c r="G1472" s="111"/>
      <c r="H1472" s="111"/>
      <c r="I1472" s="111"/>
      <c r="J1472" s="111"/>
      <c r="K1472" s="111"/>
      <c r="L1472" s="111"/>
      <c r="M1472" s="94"/>
      <c r="N1472" s="94"/>
      <c r="O1472" s="94"/>
      <c r="P1472" s="94"/>
      <c r="Q1472" s="94"/>
      <c r="R1472" s="94"/>
      <c r="S1472" s="94"/>
      <c r="T1472" s="94"/>
      <c r="U1472" s="94"/>
      <c r="V1472" s="94"/>
      <c r="W1472" s="94"/>
      <c r="X1472" s="94"/>
      <c r="Y1472" s="94"/>
      <c r="Z1472" s="94"/>
      <c r="AA1472" s="94"/>
      <c r="AB1472" s="94"/>
      <c r="AC1472" s="94"/>
      <c r="AD1472" s="94"/>
      <c r="AE1472" s="94"/>
    </row>
    <row r="1473">
      <c r="A1473" s="87"/>
      <c r="B1473" s="37"/>
      <c r="C1473" s="37"/>
      <c r="D1473" s="162"/>
      <c r="E1473" s="89"/>
      <c r="F1473" s="72"/>
      <c r="G1473" s="111"/>
      <c r="H1473" s="111"/>
      <c r="I1473" s="111"/>
      <c r="J1473" s="111"/>
      <c r="K1473" s="111"/>
      <c r="L1473" s="111"/>
      <c r="M1473" s="94"/>
      <c r="N1473" s="94"/>
      <c r="O1473" s="94"/>
      <c r="P1473" s="94"/>
      <c r="Q1473" s="94"/>
      <c r="R1473" s="94"/>
      <c r="S1473" s="94"/>
      <c r="T1473" s="94"/>
      <c r="U1473" s="94"/>
      <c r="V1473" s="94"/>
      <c r="W1473" s="94"/>
      <c r="X1473" s="94"/>
      <c r="Y1473" s="94"/>
      <c r="Z1473" s="94"/>
      <c r="AA1473" s="94"/>
      <c r="AB1473" s="94"/>
      <c r="AC1473" s="94"/>
      <c r="AD1473" s="94"/>
      <c r="AE1473" s="94"/>
    </row>
    <row r="1474">
      <c r="A1474" s="87"/>
      <c r="B1474" s="37"/>
      <c r="C1474" s="37"/>
      <c r="D1474" s="162"/>
      <c r="E1474" s="89"/>
      <c r="F1474" s="72"/>
      <c r="G1474" s="111"/>
      <c r="H1474" s="111"/>
      <c r="I1474" s="111"/>
      <c r="J1474" s="111"/>
      <c r="K1474" s="111"/>
      <c r="L1474" s="111"/>
      <c r="M1474" s="94"/>
      <c r="N1474" s="94"/>
      <c r="O1474" s="94"/>
      <c r="P1474" s="94"/>
      <c r="Q1474" s="94"/>
      <c r="R1474" s="94"/>
      <c r="S1474" s="94"/>
      <c r="T1474" s="94"/>
      <c r="U1474" s="94"/>
      <c r="V1474" s="94"/>
      <c r="W1474" s="94"/>
      <c r="X1474" s="94"/>
      <c r="Y1474" s="94"/>
      <c r="Z1474" s="94"/>
      <c r="AA1474" s="94"/>
      <c r="AB1474" s="94"/>
      <c r="AC1474" s="94"/>
      <c r="AD1474" s="94"/>
      <c r="AE1474" s="94"/>
    </row>
    <row r="1475">
      <c r="A1475" s="87"/>
      <c r="B1475" s="37"/>
      <c r="C1475" s="37"/>
      <c r="D1475" s="162"/>
      <c r="E1475" s="89"/>
      <c r="F1475" s="72"/>
      <c r="G1475" s="111"/>
      <c r="H1475" s="111"/>
      <c r="I1475" s="111"/>
      <c r="J1475" s="111"/>
      <c r="K1475" s="111"/>
      <c r="L1475" s="111"/>
      <c r="M1475" s="94"/>
      <c r="N1475" s="94"/>
      <c r="O1475" s="94"/>
      <c r="P1475" s="94"/>
      <c r="Q1475" s="94"/>
      <c r="R1475" s="94"/>
      <c r="S1475" s="94"/>
      <c r="T1475" s="94"/>
      <c r="U1475" s="94"/>
      <c r="V1475" s="94"/>
      <c r="W1475" s="94"/>
      <c r="X1475" s="94"/>
      <c r="Y1475" s="94"/>
      <c r="Z1475" s="94"/>
      <c r="AA1475" s="94"/>
      <c r="AB1475" s="94"/>
      <c r="AC1475" s="94"/>
      <c r="AD1475" s="94"/>
      <c r="AE1475" s="94"/>
    </row>
    <row r="1476">
      <c r="A1476" s="87"/>
      <c r="B1476" s="37"/>
      <c r="C1476" s="37"/>
      <c r="D1476" s="162"/>
      <c r="E1476" s="89"/>
      <c r="F1476" s="72"/>
      <c r="G1476" s="111"/>
      <c r="H1476" s="111"/>
      <c r="I1476" s="111"/>
      <c r="J1476" s="111"/>
      <c r="K1476" s="111"/>
      <c r="L1476" s="111"/>
      <c r="M1476" s="94"/>
      <c r="N1476" s="94"/>
      <c r="O1476" s="94"/>
      <c r="P1476" s="94"/>
      <c r="Q1476" s="94"/>
      <c r="R1476" s="94"/>
      <c r="S1476" s="94"/>
      <c r="T1476" s="94"/>
      <c r="U1476" s="94"/>
      <c r="V1476" s="94"/>
      <c r="W1476" s="94"/>
      <c r="X1476" s="94"/>
      <c r="Y1476" s="94"/>
      <c r="Z1476" s="94"/>
      <c r="AA1476" s="94"/>
      <c r="AB1476" s="94"/>
      <c r="AC1476" s="94"/>
      <c r="AD1476" s="94"/>
      <c r="AE1476" s="94"/>
    </row>
    <row r="1477">
      <c r="A1477" s="87"/>
      <c r="B1477" s="37"/>
      <c r="C1477" s="37"/>
      <c r="D1477" s="162"/>
      <c r="E1477" s="89"/>
      <c r="F1477" s="72"/>
      <c r="G1477" s="111"/>
      <c r="H1477" s="111"/>
      <c r="I1477" s="111"/>
      <c r="J1477" s="111"/>
      <c r="K1477" s="111"/>
      <c r="L1477" s="111"/>
      <c r="M1477" s="94"/>
      <c r="N1477" s="94"/>
      <c r="O1477" s="94"/>
      <c r="P1477" s="94"/>
      <c r="Q1477" s="94"/>
      <c r="R1477" s="94"/>
      <c r="S1477" s="94"/>
      <c r="T1477" s="94"/>
      <c r="U1477" s="94"/>
      <c r="V1477" s="94"/>
      <c r="W1477" s="94"/>
      <c r="X1477" s="94"/>
      <c r="Y1477" s="94"/>
      <c r="Z1477" s="94"/>
      <c r="AA1477" s="94"/>
      <c r="AB1477" s="94"/>
      <c r="AC1477" s="94"/>
      <c r="AD1477" s="94"/>
      <c r="AE1477" s="94"/>
    </row>
    <row r="1478">
      <c r="A1478" s="87"/>
      <c r="B1478" s="37"/>
      <c r="C1478" s="37"/>
      <c r="D1478" s="162"/>
      <c r="E1478" s="89"/>
      <c r="F1478" s="72"/>
      <c r="G1478" s="111"/>
      <c r="H1478" s="111"/>
      <c r="I1478" s="111"/>
      <c r="J1478" s="111"/>
      <c r="K1478" s="111"/>
      <c r="L1478" s="111"/>
      <c r="M1478" s="94"/>
      <c r="N1478" s="94"/>
      <c r="O1478" s="94"/>
      <c r="P1478" s="94"/>
      <c r="Q1478" s="94"/>
      <c r="R1478" s="94"/>
      <c r="S1478" s="94"/>
      <c r="T1478" s="94"/>
      <c r="U1478" s="94"/>
      <c r="V1478" s="94"/>
      <c r="W1478" s="94"/>
      <c r="X1478" s="94"/>
      <c r="Y1478" s="94"/>
      <c r="Z1478" s="94"/>
      <c r="AA1478" s="94"/>
      <c r="AB1478" s="94"/>
      <c r="AC1478" s="94"/>
      <c r="AD1478" s="94"/>
      <c r="AE1478" s="94"/>
    </row>
    <row r="1479">
      <c r="A1479" s="87"/>
      <c r="B1479" s="37"/>
      <c r="C1479" s="37"/>
      <c r="D1479" s="162"/>
      <c r="E1479" s="89"/>
      <c r="F1479" s="72"/>
      <c r="G1479" s="111"/>
      <c r="H1479" s="111"/>
      <c r="I1479" s="111"/>
      <c r="J1479" s="111"/>
      <c r="K1479" s="111"/>
      <c r="L1479" s="111"/>
      <c r="M1479" s="94"/>
      <c r="N1479" s="94"/>
      <c r="O1479" s="94"/>
      <c r="P1479" s="94"/>
      <c r="Q1479" s="94"/>
      <c r="R1479" s="94"/>
      <c r="S1479" s="94"/>
      <c r="T1479" s="94"/>
      <c r="U1479" s="94"/>
      <c r="V1479" s="94"/>
      <c r="W1479" s="94"/>
      <c r="X1479" s="94"/>
      <c r="Y1479" s="94"/>
      <c r="Z1479" s="94"/>
      <c r="AA1479" s="94"/>
      <c r="AB1479" s="94"/>
      <c r="AC1479" s="94"/>
      <c r="AD1479" s="94"/>
      <c r="AE1479" s="94"/>
    </row>
    <row r="1480">
      <c r="A1480" s="87"/>
      <c r="B1480" s="37"/>
      <c r="C1480" s="37"/>
      <c r="D1480" s="162"/>
      <c r="E1480" s="89"/>
      <c r="F1480" s="72"/>
      <c r="G1480" s="111"/>
      <c r="H1480" s="111"/>
      <c r="I1480" s="111"/>
      <c r="J1480" s="111"/>
      <c r="K1480" s="111"/>
      <c r="L1480" s="111"/>
      <c r="M1480" s="94"/>
      <c r="N1480" s="94"/>
      <c r="O1480" s="94"/>
      <c r="P1480" s="94"/>
      <c r="Q1480" s="94"/>
      <c r="R1480" s="94"/>
      <c r="S1480" s="94"/>
      <c r="T1480" s="94"/>
      <c r="U1480" s="94"/>
      <c r="V1480" s="94"/>
      <c r="W1480" s="94"/>
      <c r="X1480" s="94"/>
      <c r="Y1480" s="94"/>
      <c r="Z1480" s="94"/>
      <c r="AA1480" s="94"/>
      <c r="AB1480" s="94"/>
      <c r="AC1480" s="94"/>
      <c r="AD1480" s="94"/>
      <c r="AE1480" s="94"/>
    </row>
    <row r="1481">
      <c r="A1481" s="87"/>
      <c r="B1481" s="37"/>
      <c r="C1481" s="37"/>
      <c r="D1481" s="162"/>
      <c r="E1481" s="89"/>
      <c r="F1481" s="72"/>
      <c r="G1481" s="111"/>
      <c r="H1481" s="111"/>
      <c r="I1481" s="111"/>
      <c r="J1481" s="111"/>
      <c r="K1481" s="111"/>
      <c r="L1481" s="111"/>
      <c r="M1481" s="94"/>
      <c r="N1481" s="94"/>
      <c r="O1481" s="94"/>
      <c r="P1481" s="94"/>
      <c r="Q1481" s="94"/>
      <c r="R1481" s="94"/>
      <c r="S1481" s="94"/>
      <c r="T1481" s="94"/>
      <c r="U1481" s="94"/>
      <c r="V1481" s="94"/>
      <c r="W1481" s="94"/>
      <c r="X1481" s="94"/>
      <c r="Y1481" s="94"/>
      <c r="Z1481" s="94"/>
      <c r="AA1481" s="94"/>
      <c r="AB1481" s="94"/>
      <c r="AC1481" s="94"/>
      <c r="AD1481" s="94"/>
      <c r="AE1481" s="94"/>
    </row>
    <row r="1482">
      <c r="A1482" s="87"/>
      <c r="B1482" s="37"/>
      <c r="C1482" s="37"/>
      <c r="D1482" s="162"/>
      <c r="E1482" s="89"/>
      <c r="F1482" s="72"/>
      <c r="G1482" s="111"/>
      <c r="H1482" s="111"/>
      <c r="I1482" s="111"/>
      <c r="J1482" s="111"/>
      <c r="K1482" s="111"/>
      <c r="L1482" s="111"/>
      <c r="M1482" s="94"/>
      <c r="N1482" s="94"/>
      <c r="O1482" s="94"/>
      <c r="P1482" s="94"/>
      <c r="Q1482" s="94"/>
      <c r="R1482" s="94"/>
      <c r="S1482" s="94"/>
      <c r="T1482" s="94"/>
      <c r="U1482" s="94"/>
      <c r="V1482" s="94"/>
      <c r="W1482" s="94"/>
      <c r="X1482" s="94"/>
      <c r="Y1482" s="94"/>
      <c r="Z1482" s="94"/>
      <c r="AA1482" s="94"/>
      <c r="AB1482" s="94"/>
      <c r="AC1482" s="94"/>
      <c r="AD1482" s="94"/>
      <c r="AE1482" s="94"/>
    </row>
    <row r="1483">
      <c r="A1483" s="87"/>
      <c r="B1483" s="37"/>
      <c r="C1483" s="37"/>
      <c r="D1483" s="162"/>
      <c r="E1483" s="89"/>
      <c r="F1483" s="72"/>
      <c r="G1483" s="111"/>
      <c r="H1483" s="111"/>
      <c r="I1483" s="111"/>
      <c r="J1483" s="111"/>
      <c r="K1483" s="111"/>
      <c r="L1483" s="111"/>
      <c r="M1483" s="94"/>
      <c r="N1483" s="94"/>
      <c r="O1483" s="94"/>
      <c r="P1483" s="94"/>
      <c r="Q1483" s="94"/>
      <c r="R1483" s="94"/>
      <c r="S1483" s="94"/>
      <c r="T1483" s="94"/>
      <c r="U1483" s="94"/>
      <c r="V1483" s="94"/>
      <c r="W1483" s="94"/>
      <c r="X1483" s="94"/>
      <c r="Y1483" s="94"/>
      <c r="Z1483" s="94"/>
      <c r="AA1483" s="94"/>
      <c r="AB1483" s="94"/>
      <c r="AC1483" s="94"/>
      <c r="AD1483" s="94"/>
      <c r="AE1483" s="94"/>
    </row>
    <row r="1484">
      <c r="A1484" s="87"/>
      <c r="B1484" s="37"/>
      <c r="C1484" s="37"/>
      <c r="D1484" s="162"/>
      <c r="E1484" s="89"/>
      <c r="F1484" s="72"/>
      <c r="G1484" s="111"/>
      <c r="H1484" s="111"/>
      <c r="I1484" s="111"/>
      <c r="J1484" s="111"/>
      <c r="K1484" s="111"/>
      <c r="L1484" s="111"/>
      <c r="M1484" s="94"/>
      <c r="N1484" s="94"/>
      <c r="O1484" s="94"/>
      <c r="P1484" s="94"/>
      <c r="Q1484" s="94"/>
      <c r="R1484" s="94"/>
      <c r="S1484" s="94"/>
      <c r="T1484" s="94"/>
      <c r="U1484" s="94"/>
      <c r="V1484" s="94"/>
      <c r="W1484" s="94"/>
      <c r="X1484" s="94"/>
      <c r="Y1484" s="94"/>
      <c r="Z1484" s="94"/>
      <c r="AA1484" s="94"/>
      <c r="AB1484" s="94"/>
      <c r="AC1484" s="94"/>
      <c r="AD1484" s="94"/>
      <c r="AE1484" s="94"/>
    </row>
    <row r="1485">
      <c r="A1485" s="87"/>
      <c r="B1485" s="37"/>
      <c r="C1485" s="37"/>
      <c r="D1485" s="162"/>
      <c r="E1485" s="89"/>
      <c r="F1485" s="72"/>
      <c r="G1485" s="111"/>
      <c r="H1485" s="111"/>
      <c r="I1485" s="111"/>
      <c r="J1485" s="111"/>
      <c r="K1485" s="111"/>
      <c r="L1485" s="111"/>
      <c r="M1485" s="94"/>
      <c r="N1485" s="94"/>
      <c r="O1485" s="94"/>
      <c r="P1485" s="94"/>
      <c r="Q1485" s="94"/>
      <c r="R1485" s="94"/>
      <c r="S1485" s="94"/>
      <c r="T1485" s="94"/>
      <c r="U1485" s="94"/>
      <c r="V1485" s="94"/>
      <c r="W1485" s="94"/>
      <c r="X1485" s="94"/>
      <c r="Y1485" s="94"/>
      <c r="Z1485" s="94"/>
      <c r="AA1485" s="94"/>
      <c r="AB1485" s="94"/>
      <c r="AC1485" s="94"/>
      <c r="AD1485" s="94"/>
      <c r="AE1485" s="94"/>
    </row>
    <row r="1486">
      <c r="A1486" s="87"/>
      <c r="B1486" s="37"/>
      <c r="C1486" s="37"/>
      <c r="D1486" s="162"/>
      <c r="E1486" s="89"/>
      <c r="F1486" s="72"/>
      <c r="G1486" s="111"/>
      <c r="H1486" s="111"/>
      <c r="I1486" s="111"/>
      <c r="J1486" s="111"/>
      <c r="K1486" s="111"/>
      <c r="L1486" s="111"/>
      <c r="M1486" s="94"/>
      <c r="N1486" s="94"/>
      <c r="O1486" s="94"/>
      <c r="P1486" s="94"/>
      <c r="Q1486" s="94"/>
      <c r="R1486" s="94"/>
      <c r="S1486" s="94"/>
      <c r="T1486" s="94"/>
      <c r="U1486" s="94"/>
      <c r="V1486" s="94"/>
      <c r="W1486" s="94"/>
      <c r="X1486" s="94"/>
      <c r="Y1486" s="94"/>
      <c r="Z1486" s="94"/>
      <c r="AA1486" s="94"/>
      <c r="AB1486" s="94"/>
      <c r="AC1486" s="94"/>
      <c r="AD1486" s="94"/>
      <c r="AE1486" s="94"/>
    </row>
    <row r="1487">
      <c r="A1487" s="87"/>
      <c r="B1487" s="37"/>
      <c r="C1487" s="37"/>
      <c r="D1487" s="162"/>
      <c r="E1487" s="89"/>
      <c r="F1487" s="72"/>
      <c r="G1487" s="111"/>
      <c r="H1487" s="111"/>
      <c r="I1487" s="111"/>
      <c r="J1487" s="111"/>
      <c r="K1487" s="111"/>
      <c r="L1487" s="111"/>
      <c r="M1487" s="94"/>
      <c r="N1487" s="94"/>
      <c r="O1487" s="94"/>
      <c r="P1487" s="94"/>
      <c r="Q1487" s="94"/>
      <c r="R1487" s="94"/>
      <c r="S1487" s="94"/>
      <c r="T1487" s="94"/>
      <c r="U1487" s="94"/>
      <c r="V1487" s="94"/>
      <c r="W1487" s="94"/>
      <c r="X1487" s="94"/>
      <c r="Y1487" s="94"/>
      <c r="Z1487" s="94"/>
      <c r="AA1487" s="94"/>
      <c r="AB1487" s="94"/>
      <c r="AC1487" s="94"/>
      <c r="AD1487" s="94"/>
      <c r="AE1487" s="94"/>
    </row>
    <row r="1488">
      <c r="A1488" s="87"/>
      <c r="B1488" s="37"/>
      <c r="C1488" s="37"/>
      <c r="D1488" s="162"/>
      <c r="E1488" s="89"/>
      <c r="F1488" s="72"/>
      <c r="G1488" s="111"/>
      <c r="H1488" s="111"/>
      <c r="I1488" s="111"/>
      <c r="J1488" s="111"/>
      <c r="K1488" s="111"/>
      <c r="L1488" s="111"/>
      <c r="M1488" s="94"/>
      <c r="N1488" s="94"/>
      <c r="O1488" s="94"/>
      <c r="P1488" s="94"/>
      <c r="Q1488" s="94"/>
      <c r="R1488" s="94"/>
      <c r="S1488" s="94"/>
      <c r="T1488" s="94"/>
      <c r="U1488" s="94"/>
      <c r="V1488" s="94"/>
      <c r="W1488" s="94"/>
      <c r="X1488" s="94"/>
      <c r="Y1488" s="94"/>
      <c r="Z1488" s="94"/>
      <c r="AA1488" s="94"/>
      <c r="AB1488" s="94"/>
      <c r="AC1488" s="94"/>
      <c r="AD1488" s="94"/>
      <c r="AE1488" s="94"/>
    </row>
    <row r="1489">
      <c r="A1489" s="87"/>
      <c r="B1489" s="37"/>
      <c r="C1489" s="37"/>
      <c r="D1489" s="162"/>
      <c r="E1489" s="89"/>
      <c r="F1489" s="72"/>
      <c r="G1489" s="111"/>
      <c r="H1489" s="111"/>
      <c r="I1489" s="111"/>
      <c r="J1489" s="111"/>
      <c r="K1489" s="111"/>
      <c r="L1489" s="111"/>
      <c r="M1489" s="94"/>
      <c r="N1489" s="94"/>
      <c r="O1489" s="94"/>
      <c r="P1489" s="94"/>
      <c r="Q1489" s="94"/>
      <c r="R1489" s="94"/>
      <c r="S1489" s="94"/>
      <c r="T1489" s="94"/>
      <c r="U1489" s="94"/>
      <c r="V1489" s="94"/>
      <c r="W1489" s="94"/>
      <c r="X1489" s="94"/>
      <c r="Y1489" s="94"/>
      <c r="Z1489" s="94"/>
      <c r="AA1489" s="94"/>
      <c r="AB1489" s="94"/>
      <c r="AC1489" s="94"/>
      <c r="AD1489" s="94"/>
      <c r="AE1489" s="94"/>
    </row>
    <row r="1490">
      <c r="A1490" s="87"/>
      <c r="B1490" s="37"/>
      <c r="C1490" s="37"/>
      <c r="D1490" s="162"/>
      <c r="E1490" s="89"/>
      <c r="F1490" s="72"/>
      <c r="G1490" s="111"/>
      <c r="H1490" s="111"/>
      <c r="I1490" s="111"/>
      <c r="J1490" s="111"/>
      <c r="K1490" s="111"/>
      <c r="L1490" s="111"/>
      <c r="M1490" s="94"/>
      <c r="N1490" s="94"/>
      <c r="O1490" s="94"/>
      <c r="P1490" s="94"/>
      <c r="Q1490" s="94"/>
      <c r="R1490" s="94"/>
      <c r="S1490" s="94"/>
      <c r="T1490" s="94"/>
      <c r="U1490" s="94"/>
      <c r="V1490" s="94"/>
      <c r="W1490" s="94"/>
      <c r="X1490" s="94"/>
      <c r="Y1490" s="94"/>
      <c r="Z1490" s="94"/>
      <c r="AA1490" s="94"/>
      <c r="AB1490" s="94"/>
      <c r="AC1490" s="94"/>
      <c r="AD1490" s="94"/>
      <c r="AE1490" s="94"/>
    </row>
    <row r="1491">
      <c r="A1491" s="87"/>
      <c r="B1491" s="37"/>
      <c r="C1491" s="37"/>
      <c r="D1491" s="162"/>
      <c r="E1491" s="89"/>
      <c r="F1491" s="72"/>
      <c r="G1491" s="111"/>
      <c r="H1491" s="111"/>
      <c r="I1491" s="111"/>
      <c r="J1491" s="111"/>
      <c r="K1491" s="111"/>
      <c r="L1491" s="111"/>
      <c r="M1491" s="94"/>
      <c r="N1491" s="94"/>
      <c r="O1491" s="94"/>
      <c r="P1491" s="94"/>
      <c r="Q1491" s="94"/>
      <c r="R1491" s="94"/>
      <c r="S1491" s="94"/>
      <c r="T1491" s="94"/>
      <c r="U1491" s="94"/>
      <c r="V1491" s="94"/>
      <c r="W1491" s="94"/>
      <c r="X1491" s="94"/>
      <c r="Y1491" s="94"/>
      <c r="Z1491" s="94"/>
      <c r="AA1491" s="94"/>
      <c r="AB1491" s="94"/>
      <c r="AC1491" s="94"/>
      <c r="AD1491" s="94"/>
      <c r="AE1491" s="94"/>
    </row>
    <row r="1492">
      <c r="A1492" s="87"/>
      <c r="B1492" s="37"/>
      <c r="C1492" s="37"/>
      <c r="D1492" s="162"/>
      <c r="E1492" s="89"/>
      <c r="F1492" s="72"/>
      <c r="G1492" s="111"/>
      <c r="H1492" s="111"/>
      <c r="I1492" s="111"/>
      <c r="J1492" s="111"/>
      <c r="K1492" s="111"/>
      <c r="L1492" s="111"/>
      <c r="M1492" s="94"/>
      <c r="N1492" s="94"/>
      <c r="O1492" s="94"/>
      <c r="P1492" s="94"/>
      <c r="Q1492" s="94"/>
      <c r="R1492" s="94"/>
      <c r="S1492" s="94"/>
      <c r="T1492" s="94"/>
      <c r="U1492" s="94"/>
      <c r="V1492" s="94"/>
      <c r="W1492" s="94"/>
      <c r="X1492" s="94"/>
      <c r="Y1492" s="94"/>
      <c r="Z1492" s="94"/>
      <c r="AA1492" s="94"/>
      <c r="AB1492" s="94"/>
      <c r="AC1492" s="94"/>
      <c r="AD1492" s="94"/>
      <c r="AE1492" s="94"/>
    </row>
    <row r="1493">
      <c r="A1493" s="87"/>
      <c r="B1493" s="37"/>
      <c r="C1493" s="37"/>
      <c r="D1493" s="162"/>
      <c r="E1493" s="89"/>
      <c r="F1493" s="72"/>
      <c r="G1493" s="111"/>
      <c r="H1493" s="111"/>
      <c r="I1493" s="111"/>
      <c r="J1493" s="111"/>
      <c r="K1493" s="111"/>
      <c r="L1493" s="111"/>
      <c r="M1493" s="94"/>
      <c r="N1493" s="94"/>
      <c r="O1493" s="94"/>
      <c r="P1493" s="94"/>
      <c r="Q1493" s="94"/>
      <c r="R1493" s="94"/>
      <c r="S1493" s="94"/>
      <c r="T1493" s="94"/>
      <c r="U1493" s="94"/>
      <c r="V1493" s="94"/>
      <c r="W1493" s="94"/>
      <c r="X1493" s="94"/>
      <c r="Y1493" s="94"/>
      <c r="Z1493" s="94"/>
      <c r="AA1493" s="94"/>
      <c r="AB1493" s="94"/>
      <c r="AC1493" s="94"/>
      <c r="AD1493" s="94"/>
      <c r="AE1493" s="94"/>
    </row>
    <row r="1494">
      <c r="A1494" s="87"/>
      <c r="B1494" s="37"/>
      <c r="C1494" s="37"/>
      <c r="D1494" s="162"/>
      <c r="E1494" s="89"/>
      <c r="F1494" s="72"/>
      <c r="G1494" s="111"/>
      <c r="H1494" s="111"/>
      <c r="I1494" s="111"/>
      <c r="J1494" s="111"/>
      <c r="K1494" s="111"/>
      <c r="L1494" s="111"/>
      <c r="M1494" s="94"/>
      <c r="N1494" s="94"/>
      <c r="O1494" s="94"/>
      <c r="P1494" s="94"/>
      <c r="Q1494" s="94"/>
      <c r="R1494" s="94"/>
      <c r="S1494" s="94"/>
      <c r="T1494" s="94"/>
      <c r="U1494" s="94"/>
      <c r="V1494" s="94"/>
      <c r="W1494" s="94"/>
      <c r="X1494" s="94"/>
      <c r="Y1494" s="94"/>
      <c r="Z1494" s="94"/>
      <c r="AA1494" s="94"/>
      <c r="AB1494" s="94"/>
      <c r="AC1494" s="94"/>
      <c r="AD1494" s="94"/>
      <c r="AE1494" s="94"/>
    </row>
    <row r="1495">
      <c r="A1495" s="87"/>
      <c r="B1495" s="37"/>
      <c r="C1495" s="37"/>
      <c r="D1495" s="162"/>
      <c r="E1495" s="89"/>
      <c r="F1495" s="72"/>
      <c r="G1495" s="111"/>
      <c r="H1495" s="111"/>
      <c r="I1495" s="111"/>
      <c r="J1495" s="111"/>
      <c r="K1495" s="111"/>
      <c r="L1495" s="111"/>
      <c r="M1495" s="94"/>
      <c r="N1495" s="94"/>
      <c r="O1495" s="94"/>
      <c r="P1495" s="94"/>
      <c r="Q1495" s="94"/>
      <c r="R1495" s="94"/>
      <c r="S1495" s="94"/>
      <c r="T1495" s="94"/>
      <c r="U1495" s="94"/>
      <c r="V1495" s="94"/>
      <c r="W1495" s="94"/>
      <c r="X1495" s="94"/>
      <c r="Y1495" s="94"/>
      <c r="Z1495" s="94"/>
      <c r="AA1495" s="94"/>
      <c r="AB1495" s="94"/>
      <c r="AC1495" s="94"/>
      <c r="AD1495" s="94"/>
      <c r="AE1495" s="94"/>
    </row>
    <row r="1496">
      <c r="A1496" s="87"/>
      <c r="B1496" s="37"/>
      <c r="C1496" s="37"/>
      <c r="D1496" s="162"/>
      <c r="E1496" s="89"/>
      <c r="F1496" s="72"/>
      <c r="G1496" s="111"/>
      <c r="H1496" s="111"/>
      <c r="I1496" s="111"/>
      <c r="J1496" s="111"/>
      <c r="K1496" s="111"/>
      <c r="L1496" s="111"/>
      <c r="M1496" s="94"/>
      <c r="N1496" s="94"/>
      <c r="O1496" s="94"/>
      <c r="P1496" s="94"/>
      <c r="Q1496" s="94"/>
      <c r="R1496" s="94"/>
      <c r="S1496" s="94"/>
      <c r="T1496" s="94"/>
      <c r="U1496" s="94"/>
      <c r="V1496" s="94"/>
      <c r="W1496" s="94"/>
      <c r="X1496" s="94"/>
      <c r="Y1496" s="94"/>
      <c r="Z1496" s="94"/>
      <c r="AA1496" s="94"/>
      <c r="AB1496" s="94"/>
      <c r="AC1496" s="94"/>
      <c r="AD1496" s="94"/>
      <c r="AE1496" s="94"/>
    </row>
    <row r="1497">
      <c r="A1497" s="87"/>
      <c r="B1497" s="37"/>
      <c r="C1497" s="37"/>
      <c r="D1497" s="162"/>
      <c r="E1497" s="89"/>
      <c r="F1497" s="72"/>
      <c r="G1497" s="111"/>
      <c r="H1497" s="111"/>
      <c r="I1497" s="111"/>
      <c r="J1497" s="111"/>
      <c r="K1497" s="111"/>
      <c r="L1497" s="111"/>
      <c r="M1497" s="94"/>
      <c r="N1497" s="94"/>
      <c r="O1497" s="94"/>
      <c r="P1497" s="94"/>
      <c r="Q1497" s="94"/>
      <c r="R1497" s="94"/>
      <c r="S1497" s="94"/>
      <c r="T1497" s="94"/>
      <c r="U1497" s="94"/>
      <c r="V1497" s="94"/>
      <c r="W1497" s="94"/>
      <c r="X1497" s="94"/>
      <c r="Y1497" s="94"/>
      <c r="Z1497" s="94"/>
      <c r="AA1497" s="94"/>
      <c r="AB1497" s="94"/>
      <c r="AC1497" s="94"/>
      <c r="AD1497" s="94"/>
      <c r="AE1497" s="94"/>
    </row>
    <row r="1498">
      <c r="A1498" s="87"/>
      <c r="B1498" s="37"/>
      <c r="C1498" s="37"/>
      <c r="D1498" s="162"/>
      <c r="E1498" s="89"/>
      <c r="F1498" s="72"/>
      <c r="G1498" s="111"/>
      <c r="H1498" s="111"/>
      <c r="I1498" s="111"/>
      <c r="J1498" s="111"/>
      <c r="K1498" s="111"/>
      <c r="L1498" s="111"/>
      <c r="M1498" s="94"/>
      <c r="N1498" s="94"/>
      <c r="O1498" s="94"/>
      <c r="P1498" s="94"/>
      <c r="Q1498" s="94"/>
      <c r="R1498" s="94"/>
      <c r="S1498" s="94"/>
      <c r="T1498" s="94"/>
      <c r="U1498" s="94"/>
      <c r="V1498" s="94"/>
      <c r="W1498" s="94"/>
      <c r="X1498" s="94"/>
      <c r="Y1498" s="94"/>
      <c r="Z1498" s="94"/>
      <c r="AA1498" s="94"/>
      <c r="AB1498" s="94"/>
      <c r="AC1498" s="94"/>
      <c r="AD1498" s="94"/>
      <c r="AE1498" s="94"/>
    </row>
    <row r="1499">
      <c r="A1499" s="87"/>
      <c r="B1499" s="37"/>
      <c r="C1499" s="37"/>
      <c r="D1499" s="162"/>
      <c r="E1499" s="89"/>
      <c r="F1499" s="72"/>
      <c r="G1499" s="111"/>
      <c r="H1499" s="111"/>
      <c r="I1499" s="111"/>
      <c r="J1499" s="111"/>
      <c r="K1499" s="111"/>
      <c r="L1499" s="111"/>
      <c r="M1499" s="94"/>
      <c r="N1499" s="94"/>
      <c r="O1499" s="94"/>
      <c r="P1499" s="94"/>
      <c r="Q1499" s="94"/>
      <c r="R1499" s="94"/>
      <c r="S1499" s="94"/>
      <c r="T1499" s="94"/>
      <c r="U1499" s="94"/>
      <c r="V1499" s="94"/>
      <c r="W1499" s="94"/>
      <c r="X1499" s="94"/>
      <c r="Y1499" s="94"/>
      <c r="Z1499" s="94"/>
      <c r="AA1499" s="94"/>
      <c r="AB1499" s="94"/>
      <c r="AC1499" s="94"/>
      <c r="AD1499" s="94"/>
      <c r="AE1499" s="94"/>
    </row>
    <row r="1500">
      <c r="A1500" s="87"/>
      <c r="B1500" s="37"/>
      <c r="C1500" s="37"/>
      <c r="D1500" s="162"/>
      <c r="E1500" s="89"/>
      <c r="F1500" s="72"/>
      <c r="G1500" s="111"/>
      <c r="H1500" s="111"/>
      <c r="I1500" s="111"/>
      <c r="J1500" s="111"/>
      <c r="K1500" s="111"/>
      <c r="L1500" s="111"/>
      <c r="M1500" s="94"/>
      <c r="N1500" s="94"/>
      <c r="O1500" s="94"/>
      <c r="P1500" s="94"/>
      <c r="Q1500" s="94"/>
      <c r="R1500" s="94"/>
      <c r="S1500" s="94"/>
      <c r="T1500" s="94"/>
      <c r="U1500" s="94"/>
      <c r="V1500" s="94"/>
      <c r="W1500" s="94"/>
      <c r="X1500" s="94"/>
      <c r="Y1500" s="94"/>
      <c r="Z1500" s="94"/>
      <c r="AA1500" s="94"/>
      <c r="AB1500" s="94"/>
      <c r="AC1500" s="94"/>
      <c r="AD1500" s="94"/>
      <c r="AE1500" s="94"/>
    </row>
    <row r="1501">
      <c r="A1501" s="87"/>
      <c r="B1501" s="37"/>
      <c r="C1501" s="37"/>
      <c r="D1501" s="162"/>
      <c r="E1501" s="89"/>
      <c r="F1501" s="72"/>
      <c r="G1501" s="111"/>
      <c r="H1501" s="111"/>
      <c r="I1501" s="111"/>
      <c r="J1501" s="111"/>
      <c r="K1501" s="111"/>
      <c r="L1501" s="111"/>
      <c r="M1501" s="94"/>
      <c r="N1501" s="94"/>
      <c r="O1501" s="94"/>
      <c r="P1501" s="94"/>
      <c r="Q1501" s="94"/>
      <c r="R1501" s="94"/>
      <c r="S1501" s="94"/>
      <c r="T1501" s="94"/>
      <c r="U1501" s="94"/>
      <c r="V1501" s="94"/>
      <c r="W1501" s="94"/>
      <c r="X1501" s="94"/>
      <c r="Y1501" s="94"/>
      <c r="Z1501" s="94"/>
      <c r="AA1501" s="94"/>
      <c r="AB1501" s="94"/>
      <c r="AC1501" s="94"/>
      <c r="AD1501" s="94"/>
      <c r="AE1501" s="94"/>
    </row>
    <row r="1502">
      <c r="A1502" s="87"/>
      <c r="B1502" s="37"/>
      <c r="C1502" s="37"/>
      <c r="D1502" s="162"/>
      <c r="E1502" s="89"/>
      <c r="F1502" s="72"/>
      <c r="G1502" s="111"/>
      <c r="H1502" s="111"/>
      <c r="I1502" s="111"/>
      <c r="J1502" s="111"/>
      <c r="K1502" s="111"/>
      <c r="L1502" s="111"/>
      <c r="M1502" s="94"/>
      <c r="N1502" s="94"/>
      <c r="O1502" s="94"/>
      <c r="P1502" s="94"/>
      <c r="Q1502" s="94"/>
      <c r="R1502" s="94"/>
      <c r="S1502" s="94"/>
      <c r="T1502" s="94"/>
      <c r="U1502" s="94"/>
      <c r="V1502" s="94"/>
      <c r="W1502" s="94"/>
      <c r="X1502" s="94"/>
      <c r="Y1502" s="94"/>
      <c r="Z1502" s="94"/>
      <c r="AA1502" s="94"/>
      <c r="AB1502" s="94"/>
      <c r="AC1502" s="94"/>
      <c r="AD1502" s="94"/>
      <c r="AE1502" s="94"/>
    </row>
    <row r="1503">
      <c r="A1503" s="87"/>
      <c r="B1503" s="37"/>
      <c r="C1503" s="37"/>
      <c r="D1503" s="162"/>
      <c r="E1503" s="89"/>
      <c r="F1503" s="72"/>
      <c r="G1503" s="111"/>
      <c r="H1503" s="111"/>
      <c r="I1503" s="111"/>
      <c r="J1503" s="111"/>
      <c r="K1503" s="111"/>
      <c r="L1503" s="111"/>
      <c r="M1503" s="94"/>
      <c r="N1503" s="94"/>
      <c r="O1503" s="94"/>
      <c r="P1503" s="94"/>
      <c r="Q1503" s="94"/>
      <c r="R1503" s="94"/>
      <c r="S1503" s="94"/>
      <c r="T1503" s="94"/>
      <c r="U1503" s="94"/>
      <c r="V1503" s="94"/>
      <c r="W1503" s="94"/>
      <c r="X1503" s="94"/>
      <c r="Y1503" s="94"/>
      <c r="Z1503" s="94"/>
      <c r="AA1503" s="94"/>
      <c r="AB1503" s="94"/>
      <c r="AC1503" s="94"/>
      <c r="AD1503" s="94"/>
      <c r="AE1503" s="94"/>
    </row>
    <row r="1504">
      <c r="A1504" s="87"/>
      <c r="B1504" s="37"/>
      <c r="C1504" s="37"/>
      <c r="D1504" s="162"/>
      <c r="E1504" s="89"/>
      <c r="F1504" s="72"/>
      <c r="G1504" s="111"/>
      <c r="H1504" s="111"/>
      <c r="I1504" s="111"/>
      <c r="J1504" s="111"/>
      <c r="K1504" s="111"/>
      <c r="L1504" s="111"/>
      <c r="M1504" s="94"/>
      <c r="N1504" s="94"/>
      <c r="O1504" s="94"/>
      <c r="P1504" s="94"/>
      <c r="Q1504" s="94"/>
      <c r="R1504" s="94"/>
      <c r="S1504" s="94"/>
      <c r="T1504" s="94"/>
      <c r="U1504" s="94"/>
      <c r="V1504" s="94"/>
      <c r="W1504" s="94"/>
      <c r="X1504" s="94"/>
      <c r="Y1504" s="94"/>
      <c r="Z1504" s="94"/>
      <c r="AA1504" s="94"/>
      <c r="AB1504" s="94"/>
      <c r="AC1504" s="94"/>
      <c r="AD1504" s="94"/>
      <c r="AE1504" s="94"/>
    </row>
    <row r="1505">
      <c r="A1505" s="87"/>
      <c r="B1505" s="37"/>
      <c r="C1505" s="37"/>
      <c r="D1505" s="162"/>
      <c r="E1505" s="89"/>
      <c r="F1505" s="72"/>
      <c r="G1505" s="111"/>
      <c r="H1505" s="111"/>
      <c r="I1505" s="111"/>
      <c r="J1505" s="111"/>
      <c r="K1505" s="111"/>
      <c r="L1505" s="111"/>
      <c r="M1505" s="94"/>
      <c r="N1505" s="94"/>
      <c r="O1505" s="94"/>
      <c r="P1505" s="94"/>
      <c r="Q1505" s="94"/>
      <c r="R1505" s="94"/>
      <c r="S1505" s="94"/>
      <c r="T1505" s="94"/>
      <c r="U1505" s="94"/>
      <c r="V1505" s="94"/>
      <c r="W1505" s="94"/>
      <c r="X1505" s="94"/>
      <c r="Y1505" s="94"/>
      <c r="Z1505" s="94"/>
      <c r="AA1505" s="94"/>
      <c r="AB1505" s="94"/>
      <c r="AC1505" s="94"/>
      <c r="AD1505" s="94"/>
      <c r="AE1505" s="94"/>
    </row>
    <row r="1506">
      <c r="A1506" s="87"/>
      <c r="B1506" s="37"/>
      <c r="C1506" s="37"/>
      <c r="D1506" s="162"/>
      <c r="E1506" s="89"/>
      <c r="F1506" s="72"/>
      <c r="G1506" s="111"/>
      <c r="H1506" s="111"/>
      <c r="I1506" s="111"/>
      <c r="J1506" s="111"/>
      <c r="K1506" s="111"/>
      <c r="L1506" s="111"/>
      <c r="M1506" s="94"/>
      <c r="N1506" s="94"/>
      <c r="O1506" s="94"/>
      <c r="P1506" s="94"/>
      <c r="Q1506" s="94"/>
      <c r="R1506" s="94"/>
      <c r="S1506" s="94"/>
      <c r="T1506" s="94"/>
      <c r="U1506" s="94"/>
      <c r="V1506" s="94"/>
      <c r="W1506" s="94"/>
      <c r="X1506" s="94"/>
      <c r="Y1506" s="94"/>
      <c r="Z1506" s="94"/>
      <c r="AA1506" s="94"/>
      <c r="AB1506" s="94"/>
      <c r="AC1506" s="94"/>
      <c r="AD1506" s="94"/>
      <c r="AE1506" s="94"/>
    </row>
    <row r="1507">
      <c r="A1507" s="87"/>
      <c r="B1507" s="37"/>
      <c r="C1507" s="37"/>
      <c r="D1507" s="162"/>
      <c r="E1507" s="89"/>
      <c r="F1507" s="72"/>
      <c r="G1507" s="111"/>
      <c r="H1507" s="111"/>
      <c r="I1507" s="111"/>
      <c r="J1507" s="111"/>
      <c r="K1507" s="111"/>
      <c r="L1507" s="111"/>
      <c r="M1507" s="94"/>
      <c r="N1507" s="94"/>
      <c r="O1507" s="94"/>
      <c r="P1507" s="94"/>
      <c r="Q1507" s="94"/>
      <c r="R1507" s="94"/>
      <c r="S1507" s="94"/>
      <c r="T1507" s="94"/>
      <c r="U1507" s="94"/>
      <c r="V1507" s="94"/>
      <c r="W1507" s="94"/>
      <c r="X1507" s="94"/>
      <c r="Y1507" s="94"/>
      <c r="Z1507" s="94"/>
      <c r="AA1507" s="94"/>
      <c r="AB1507" s="94"/>
      <c r="AC1507" s="94"/>
      <c r="AD1507" s="94"/>
      <c r="AE1507" s="94"/>
    </row>
    <row r="1508">
      <c r="A1508" s="87"/>
      <c r="B1508" s="37"/>
      <c r="C1508" s="37"/>
      <c r="D1508" s="162"/>
      <c r="E1508" s="89"/>
      <c r="F1508" s="72"/>
      <c r="G1508" s="111"/>
      <c r="H1508" s="111"/>
      <c r="I1508" s="111"/>
      <c r="J1508" s="111"/>
      <c r="K1508" s="111"/>
      <c r="L1508" s="111"/>
      <c r="M1508" s="94"/>
      <c r="N1508" s="94"/>
      <c r="O1508" s="94"/>
      <c r="P1508" s="94"/>
      <c r="Q1508" s="94"/>
      <c r="R1508" s="94"/>
      <c r="S1508" s="94"/>
      <c r="T1508" s="94"/>
      <c r="U1508" s="94"/>
      <c r="V1508" s="94"/>
      <c r="W1508" s="94"/>
      <c r="X1508" s="94"/>
      <c r="Y1508" s="94"/>
      <c r="Z1508" s="94"/>
      <c r="AA1508" s="94"/>
      <c r="AB1508" s="94"/>
      <c r="AC1508" s="94"/>
      <c r="AD1508" s="94"/>
      <c r="AE1508" s="94"/>
    </row>
    <row r="1509">
      <c r="A1509" s="87"/>
      <c r="B1509" s="37"/>
      <c r="C1509" s="37"/>
      <c r="D1509" s="162"/>
      <c r="E1509" s="89"/>
      <c r="F1509" s="72"/>
      <c r="G1509" s="111"/>
      <c r="H1509" s="111"/>
      <c r="I1509" s="111"/>
      <c r="J1509" s="111"/>
      <c r="K1509" s="111"/>
      <c r="L1509" s="111"/>
      <c r="M1509" s="94"/>
      <c r="N1509" s="94"/>
      <c r="O1509" s="94"/>
      <c r="P1509" s="94"/>
      <c r="Q1509" s="94"/>
      <c r="R1509" s="94"/>
      <c r="S1509" s="94"/>
      <c r="T1509" s="94"/>
      <c r="U1509" s="94"/>
      <c r="V1509" s="94"/>
      <c r="W1509" s="94"/>
      <c r="X1509" s="94"/>
      <c r="Y1509" s="94"/>
      <c r="Z1509" s="94"/>
      <c r="AA1509" s="94"/>
      <c r="AB1509" s="94"/>
      <c r="AC1509" s="94"/>
      <c r="AD1509" s="94"/>
      <c r="AE1509" s="94"/>
    </row>
    <row r="1510">
      <c r="A1510" s="87"/>
      <c r="B1510" s="37"/>
      <c r="C1510" s="37"/>
      <c r="D1510" s="162"/>
      <c r="E1510" s="89"/>
      <c r="F1510" s="72"/>
      <c r="G1510" s="111"/>
      <c r="H1510" s="111"/>
      <c r="I1510" s="111"/>
      <c r="J1510" s="111"/>
      <c r="K1510" s="111"/>
      <c r="L1510" s="111"/>
      <c r="M1510" s="94"/>
      <c r="N1510" s="94"/>
      <c r="O1510" s="94"/>
      <c r="P1510" s="94"/>
      <c r="Q1510" s="94"/>
      <c r="R1510" s="94"/>
      <c r="S1510" s="94"/>
      <c r="T1510" s="94"/>
      <c r="U1510" s="94"/>
      <c r="V1510" s="94"/>
      <c r="W1510" s="94"/>
      <c r="X1510" s="94"/>
      <c r="Y1510" s="94"/>
      <c r="Z1510" s="94"/>
      <c r="AA1510" s="94"/>
      <c r="AB1510" s="94"/>
      <c r="AC1510" s="94"/>
      <c r="AD1510" s="94"/>
      <c r="AE1510" s="94"/>
    </row>
    <row r="1511">
      <c r="A1511" s="87"/>
      <c r="B1511" s="37"/>
      <c r="C1511" s="37"/>
      <c r="D1511" s="162"/>
      <c r="E1511" s="89"/>
      <c r="F1511" s="72"/>
      <c r="G1511" s="111"/>
      <c r="H1511" s="111"/>
      <c r="I1511" s="111"/>
      <c r="J1511" s="111"/>
      <c r="K1511" s="111"/>
      <c r="L1511" s="111"/>
      <c r="M1511" s="94"/>
      <c r="N1511" s="94"/>
      <c r="O1511" s="94"/>
      <c r="P1511" s="94"/>
      <c r="Q1511" s="94"/>
      <c r="R1511" s="94"/>
      <c r="S1511" s="94"/>
      <c r="T1511" s="94"/>
      <c r="U1511" s="94"/>
      <c r="V1511" s="94"/>
      <c r="W1511" s="94"/>
      <c r="X1511" s="94"/>
      <c r="Y1511" s="94"/>
      <c r="Z1511" s="94"/>
      <c r="AA1511" s="94"/>
      <c r="AB1511" s="94"/>
      <c r="AC1511" s="94"/>
      <c r="AD1511" s="94"/>
      <c r="AE1511" s="94"/>
    </row>
    <row r="1512">
      <c r="A1512" s="87"/>
      <c r="B1512" s="37"/>
      <c r="C1512" s="37"/>
      <c r="D1512" s="162"/>
      <c r="E1512" s="89"/>
      <c r="F1512" s="72"/>
      <c r="G1512" s="111"/>
      <c r="H1512" s="111"/>
      <c r="I1512" s="111"/>
      <c r="J1512" s="111"/>
      <c r="K1512" s="111"/>
      <c r="L1512" s="111"/>
      <c r="M1512" s="94"/>
      <c r="N1512" s="94"/>
      <c r="O1512" s="94"/>
      <c r="P1512" s="94"/>
      <c r="Q1512" s="94"/>
      <c r="R1512" s="94"/>
      <c r="S1512" s="94"/>
      <c r="T1512" s="94"/>
      <c r="U1512" s="94"/>
      <c r="V1512" s="94"/>
      <c r="W1512" s="94"/>
      <c r="X1512" s="94"/>
      <c r="Y1512" s="94"/>
      <c r="Z1512" s="94"/>
      <c r="AA1512" s="94"/>
      <c r="AB1512" s="94"/>
      <c r="AC1512" s="94"/>
      <c r="AD1512" s="94"/>
      <c r="AE1512" s="94"/>
    </row>
    <row r="1513">
      <c r="A1513" s="87"/>
      <c r="B1513" s="37"/>
      <c r="C1513" s="37"/>
      <c r="D1513" s="162"/>
      <c r="E1513" s="89"/>
      <c r="F1513" s="72"/>
      <c r="G1513" s="111"/>
      <c r="H1513" s="111"/>
      <c r="I1513" s="111"/>
      <c r="J1513" s="111"/>
      <c r="K1513" s="111"/>
      <c r="L1513" s="111"/>
      <c r="M1513" s="94"/>
      <c r="N1513" s="94"/>
      <c r="O1513" s="94"/>
      <c r="P1513" s="94"/>
      <c r="Q1513" s="94"/>
      <c r="R1513" s="94"/>
      <c r="S1513" s="94"/>
      <c r="T1513" s="94"/>
      <c r="U1513" s="94"/>
      <c r="V1513" s="94"/>
      <c r="W1513" s="94"/>
      <c r="X1513" s="94"/>
      <c r="Y1513" s="94"/>
      <c r="Z1513" s="94"/>
      <c r="AA1513" s="94"/>
      <c r="AB1513" s="94"/>
      <c r="AC1513" s="94"/>
      <c r="AD1513" s="94"/>
      <c r="AE1513" s="94"/>
    </row>
    <row r="1514">
      <c r="A1514" s="87"/>
      <c r="B1514" s="37"/>
      <c r="C1514" s="37"/>
      <c r="D1514" s="162"/>
      <c r="E1514" s="89"/>
      <c r="F1514" s="72"/>
      <c r="G1514" s="111"/>
      <c r="H1514" s="111"/>
      <c r="I1514" s="111"/>
      <c r="J1514" s="111"/>
      <c r="K1514" s="111"/>
      <c r="L1514" s="111"/>
      <c r="M1514" s="94"/>
      <c r="N1514" s="94"/>
      <c r="O1514" s="94"/>
      <c r="P1514" s="94"/>
      <c r="Q1514" s="94"/>
      <c r="R1514" s="94"/>
      <c r="S1514" s="94"/>
      <c r="T1514" s="94"/>
      <c r="U1514" s="94"/>
      <c r="V1514" s="94"/>
      <c r="W1514" s="94"/>
      <c r="X1514" s="94"/>
      <c r="Y1514" s="94"/>
      <c r="Z1514" s="94"/>
      <c r="AA1514" s="94"/>
      <c r="AB1514" s="94"/>
      <c r="AC1514" s="94"/>
      <c r="AD1514" s="94"/>
      <c r="AE1514" s="94"/>
    </row>
    <row r="1515">
      <c r="A1515" s="87"/>
      <c r="B1515" s="37"/>
      <c r="C1515" s="37"/>
      <c r="D1515" s="162"/>
      <c r="E1515" s="89"/>
      <c r="F1515" s="72"/>
      <c r="G1515" s="111"/>
      <c r="H1515" s="111"/>
      <c r="I1515" s="111"/>
      <c r="J1515" s="111"/>
      <c r="K1515" s="111"/>
      <c r="L1515" s="111"/>
      <c r="M1515" s="94"/>
      <c r="N1515" s="94"/>
      <c r="O1515" s="94"/>
      <c r="P1515" s="94"/>
      <c r="Q1515" s="94"/>
      <c r="R1515" s="94"/>
      <c r="S1515" s="94"/>
      <c r="T1515" s="94"/>
      <c r="U1515" s="94"/>
      <c r="V1515" s="94"/>
      <c r="W1515" s="94"/>
      <c r="X1515" s="94"/>
      <c r="Y1515" s="94"/>
      <c r="Z1515" s="94"/>
      <c r="AA1515" s="94"/>
      <c r="AB1515" s="94"/>
      <c r="AC1515" s="94"/>
      <c r="AD1515" s="94"/>
      <c r="AE1515" s="94"/>
    </row>
    <row r="1516">
      <c r="A1516" s="87"/>
      <c r="B1516" s="37"/>
      <c r="C1516" s="37"/>
      <c r="D1516" s="162"/>
      <c r="E1516" s="89"/>
      <c r="F1516" s="72"/>
      <c r="G1516" s="111"/>
      <c r="H1516" s="111"/>
      <c r="I1516" s="111"/>
      <c r="J1516" s="111"/>
      <c r="K1516" s="111"/>
      <c r="L1516" s="111"/>
      <c r="M1516" s="94"/>
      <c r="N1516" s="94"/>
      <c r="O1516" s="94"/>
      <c r="P1516" s="94"/>
      <c r="Q1516" s="94"/>
      <c r="R1516" s="94"/>
      <c r="S1516" s="94"/>
      <c r="T1516" s="94"/>
      <c r="U1516" s="94"/>
      <c r="V1516" s="94"/>
      <c r="W1516" s="94"/>
      <c r="X1516" s="94"/>
      <c r="Y1516" s="94"/>
      <c r="Z1516" s="94"/>
      <c r="AA1516" s="94"/>
      <c r="AB1516" s="94"/>
      <c r="AC1516" s="94"/>
      <c r="AD1516" s="94"/>
      <c r="AE1516" s="94"/>
    </row>
    <row r="1517">
      <c r="A1517" s="87"/>
      <c r="B1517" s="37"/>
      <c r="C1517" s="37"/>
      <c r="D1517" s="162"/>
      <c r="E1517" s="89"/>
      <c r="F1517" s="72"/>
      <c r="G1517" s="111"/>
      <c r="H1517" s="111"/>
      <c r="I1517" s="111"/>
      <c r="J1517" s="111"/>
      <c r="K1517" s="111"/>
      <c r="L1517" s="111"/>
      <c r="M1517" s="94"/>
      <c r="N1517" s="94"/>
      <c r="O1517" s="94"/>
      <c r="P1517" s="94"/>
      <c r="Q1517" s="94"/>
      <c r="R1517" s="94"/>
      <c r="S1517" s="94"/>
      <c r="T1517" s="94"/>
      <c r="U1517" s="94"/>
      <c r="V1517" s="94"/>
      <c r="W1517" s="94"/>
      <c r="X1517" s="94"/>
      <c r="Y1517" s="94"/>
      <c r="Z1517" s="94"/>
      <c r="AA1517" s="94"/>
      <c r="AB1517" s="94"/>
      <c r="AC1517" s="94"/>
      <c r="AD1517" s="94"/>
      <c r="AE1517" s="94"/>
    </row>
    <row r="1518">
      <c r="A1518" s="87"/>
      <c r="B1518" s="37"/>
      <c r="C1518" s="37"/>
      <c r="D1518" s="162"/>
      <c r="E1518" s="89"/>
      <c r="F1518" s="72"/>
      <c r="G1518" s="111"/>
      <c r="H1518" s="111"/>
      <c r="I1518" s="111"/>
      <c r="J1518" s="111"/>
      <c r="K1518" s="111"/>
      <c r="L1518" s="111"/>
      <c r="M1518" s="94"/>
      <c r="N1518" s="94"/>
      <c r="O1518" s="94"/>
      <c r="P1518" s="94"/>
      <c r="Q1518" s="94"/>
      <c r="R1518" s="94"/>
      <c r="S1518" s="94"/>
      <c r="T1518" s="94"/>
      <c r="U1518" s="94"/>
      <c r="V1518" s="94"/>
      <c r="W1518" s="94"/>
      <c r="X1518" s="94"/>
      <c r="Y1518" s="94"/>
      <c r="Z1518" s="94"/>
      <c r="AA1518" s="94"/>
      <c r="AB1518" s="94"/>
      <c r="AC1518" s="94"/>
      <c r="AD1518" s="94"/>
      <c r="AE1518" s="94"/>
    </row>
    <row r="1519">
      <c r="A1519" s="87"/>
      <c r="B1519" s="37"/>
      <c r="C1519" s="37"/>
      <c r="D1519" s="162"/>
      <c r="E1519" s="89"/>
      <c r="F1519" s="72"/>
      <c r="G1519" s="111"/>
      <c r="H1519" s="111"/>
      <c r="I1519" s="111"/>
      <c r="J1519" s="111"/>
      <c r="K1519" s="111"/>
      <c r="L1519" s="111"/>
      <c r="M1519" s="94"/>
      <c r="N1519" s="94"/>
      <c r="O1519" s="94"/>
      <c r="P1519" s="94"/>
      <c r="Q1519" s="94"/>
      <c r="R1519" s="94"/>
      <c r="S1519" s="94"/>
      <c r="T1519" s="94"/>
      <c r="U1519" s="94"/>
      <c r="V1519" s="94"/>
      <c r="W1519" s="94"/>
      <c r="X1519" s="94"/>
      <c r="Y1519" s="94"/>
      <c r="Z1519" s="94"/>
      <c r="AA1519" s="94"/>
      <c r="AB1519" s="94"/>
      <c r="AC1519" s="94"/>
      <c r="AD1519" s="94"/>
      <c r="AE1519" s="94"/>
    </row>
    <row r="1520">
      <c r="A1520" s="87"/>
      <c r="B1520" s="37"/>
      <c r="C1520" s="37"/>
      <c r="D1520" s="162"/>
      <c r="E1520" s="89"/>
      <c r="F1520" s="72"/>
      <c r="G1520" s="111"/>
      <c r="H1520" s="111"/>
      <c r="I1520" s="111"/>
      <c r="J1520" s="111"/>
      <c r="K1520" s="111"/>
      <c r="L1520" s="111"/>
      <c r="M1520" s="94"/>
      <c r="N1520" s="94"/>
      <c r="O1520" s="94"/>
      <c r="P1520" s="94"/>
      <c r="Q1520" s="94"/>
      <c r="R1520" s="94"/>
      <c r="S1520" s="94"/>
      <c r="T1520" s="94"/>
      <c r="U1520" s="94"/>
      <c r="V1520" s="94"/>
      <c r="W1520" s="94"/>
      <c r="X1520" s="94"/>
      <c r="Y1520" s="94"/>
      <c r="Z1520" s="94"/>
      <c r="AA1520" s="94"/>
      <c r="AB1520" s="94"/>
      <c r="AC1520" s="94"/>
      <c r="AD1520" s="94"/>
      <c r="AE1520" s="94"/>
    </row>
    <row r="1521">
      <c r="A1521" s="87"/>
      <c r="B1521" s="37"/>
      <c r="C1521" s="37"/>
      <c r="D1521" s="162"/>
      <c r="E1521" s="89"/>
      <c r="F1521" s="72"/>
      <c r="G1521" s="111"/>
      <c r="H1521" s="111"/>
      <c r="I1521" s="111"/>
      <c r="J1521" s="111"/>
      <c r="K1521" s="111"/>
      <c r="L1521" s="111"/>
      <c r="M1521" s="94"/>
      <c r="N1521" s="94"/>
      <c r="O1521" s="94"/>
      <c r="P1521" s="94"/>
      <c r="Q1521" s="94"/>
      <c r="R1521" s="94"/>
      <c r="S1521" s="94"/>
      <c r="T1521" s="94"/>
      <c r="U1521" s="94"/>
      <c r="V1521" s="94"/>
      <c r="W1521" s="94"/>
      <c r="X1521" s="94"/>
      <c r="Y1521" s="94"/>
      <c r="Z1521" s="94"/>
      <c r="AA1521" s="94"/>
      <c r="AB1521" s="94"/>
      <c r="AC1521" s="94"/>
      <c r="AD1521" s="94"/>
      <c r="AE1521" s="94"/>
    </row>
    <row r="1522">
      <c r="A1522" s="87"/>
      <c r="B1522" s="37"/>
      <c r="C1522" s="37"/>
      <c r="D1522" s="162"/>
      <c r="E1522" s="89"/>
      <c r="F1522" s="72"/>
      <c r="G1522" s="111"/>
      <c r="H1522" s="111"/>
      <c r="I1522" s="111"/>
      <c r="J1522" s="111"/>
      <c r="K1522" s="111"/>
      <c r="L1522" s="111"/>
      <c r="M1522" s="94"/>
      <c r="N1522" s="94"/>
      <c r="O1522" s="94"/>
      <c r="P1522" s="94"/>
      <c r="Q1522" s="94"/>
      <c r="R1522" s="94"/>
      <c r="S1522" s="94"/>
      <c r="T1522" s="94"/>
      <c r="U1522" s="94"/>
      <c r="V1522" s="94"/>
      <c r="W1522" s="94"/>
      <c r="X1522" s="94"/>
      <c r="Y1522" s="94"/>
      <c r="Z1522" s="94"/>
      <c r="AA1522" s="94"/>
      <c r="AB1522" s="94"/>
      <c r="AC1522" s="94"/>
      <c r="AD1522" s="94"/>
      <c r="AE1522" s="94"/>
    </row>
    <row r="1523">
      <c r="A1523" s="87"/>
      <c r="B1523" s="37"/>
      <c r="C1523" s="37"/>
      <c r="D1523" s="162"/>
      <c r="E1523" s="89"/>
      <c r="F1523" s="72"/>
      <c r="G1523" s="111"/>
      <c r="H1523" s="111"/>
      <c r="I1523" s="111"/>
      <c r="J1523" s="111"/>
      <c r="K1523" s="111"/>
      <c r="L1523" s="111"/>
      <c r="M1523" s="94"/>
      <c r="N1523" s="94"/>
      <c r="O1523" s="94"/>
      <c r="P1523" s="94"/>
      <c r="Q1523" s="94"/>
      <c r="R1523" s="94"/>
      <c r="S1523" s="94"/>
      <c r="T1523" s="94"/>
      <c r="U1523" s="94"/>
      <c r="V1523" s="94"/>
      <c r="W1523" s="94"/>
      <c r="X1523" s="94"/>
      <c r="Y1523" s="94"/>
      <c r="Z1523" s="94"/>
      <c r="AA1523" s="94"/>
      <c r="AB1523" s="94"/>
      <c r="AC1523" s="94"/>
      <c r="AD1523" s="94"/>
      <c r="AE1523" s="94"/>
    </row>
    <row r="1524">
      <c r="A1524" s="87"/>
      <c r="B1524" s="37"/>
      <c r="C1524" s="37"/>
      <c r="D1524" s="162"/>
      <c r="E1524" s="89"/>
      <c r="F1524" s="72"/>
      <c r="G1524" s="111"/>
      <c r="H1524" s="111"/>
      <c r="I1524" s="111"/>
      <c r="J1524" s="111"/>
      <c r="K1524" s="111"/>
      <c r="L1524" s="111"/>
      <c r="M1524" s="94"/>
      <c r="N1524" s="94"/>
      <c r="O1524" s="94"/>
      <c r="P1524" s="94"/>
      <c r="Q1524" s="94"/>
      <c r="R1524" s="94"/>
      <c r="S1524" s="94"/>
      <c r="T1524" s="94"/>
      <c r="U1524" s="94"/>
      <c r="V1524" s="94"/>
      <c r="W1524" s="94"/>
      <c r="X1524" s="94"/>
      <c r="Y1524" s="94"/>
      <c r="Z1524" s="94"/>
      <c r="AA1524" s="94"/>
      <c r="AB1524" s="94"/>
      <c r="AC1524" s="94"/>
      <c r="AD1524" s="94"/>
      <c r="AE1524" s="94"/>
    </row>
    <row r="1525">
      <c r="A1525" s="87"/>
      <c r="B1525" s="37"/>
      <c r="C1525" s="37"/>
      <c r="D1525" s="162"/>
      <c r="E1525" s="89"/>
      <c r="F1525" s="72"/>
      <c r="G1525" s="111"/>
      <c r="H1525" s="111"/>
      <c r="I1525" s="111"/>
      <c r="J1525" s="111"/>
      <c r="K1525" s="111"/>
      <c r="L1525" s="111"/>
      <c r="M1525" s="94"/>
      <c r="N1525" s="94"/>
      <c r="O1525" s="94"/>
      <c r="P1525" s="94"/>
      <c r="Q1525" s="94"/>
      <c r="R1525" s="94"/>
      <c r="S1525" s="94"/>
      <c r="T1525" s="94"/>
      <c r="U1525" s="94"/>
      <c r="V1525" s="94"/>
      <c r="W1525" s="94"/>
      <c r="X1525" s="94"/>
      <c r="Y1525" s="94"/>
      <c r="Z1525" s="94"/>
      <c r="AA1525" s="94"/>
      <c r="AB1525" s="94"/>
      <c r="AC1525" s="94"/>
      <c r="AD1525" s="94"/>
      <c r="AE1525" s="94"/>
    </row>
    <row r="1526">
      <c r="A1526" s="87"/>
      <c r="B1526" s="37"/>
      <c r="C1526" s="37"/>
      <c r="D1526" s="162"/>
      <c r="E1526" s="89"/>
      <c r="F1526" s="72"/>
      <c r="G1526" s="111"/>
      <c r="H1526" s="111"/>
      <c r="I1526" s="111"/>
      <c r="J1526" s="111"/>
      <c r="K1526" s="111"/>
      <c r="L1526" s="111"/>
      <c r="M1526" s="94"/>
      <c r="N1526" s="94"/>
      <c r="O1526" s="94"/>
      <c r="P1526" s="94"/>
      <c r="Q1526" s="94"/>
      <c r="R1526" s="94"/>
      <c r="S1526" s="94"/>
      <c r="T1526" s="94"/>
      <c r="U1526" s="94"/>
      <c r="V1526" s="94"/>
      <c r="W1526" s="94"/>
      <c r="X1526" s="94"/>
      <c r="Y1526" s="94"/>
      <c r="Z1526" s="94"/>
      <c r="AA1526" s="94"/>
      <c r="AB1526" s="94"/>
      <c r="AC1526" s="94"/>
      <c r="AD1526" s="94"/>
      <c r="AE1526" s="94"/>
    </row>
    <row r="1527">
      <c r="A1527" s="87"/>
      <c r="B1527" s="37"/>
      <c r="C1527" s="37"/>
      <c r="D1527" s="162"/>
      <c r="E1527" s="89"/>
      <c r="F1527" s="72"/>
      <c r="G1527" s="111"/>
      <c r="H1527" s="111"/>
      <c r="I1527" s="111"/>
      <c r="J1527" s="111"/>
      <c r="K1527" s="111"/>
      <c r="L1527" s="111"/>
      <c r="M1527" s="94"/>
      <c r="N1527" s="94"/>
      <c r="O1527" s="94"/>
      <c r="P1527" s="94"/>
      <c r="Q1527" s="94"/>
      <c r="R1527" s="94"/>
      <c r="S1527" s="94"/>
      <c r="T1527" s="94"/>
      <c r="U1527" s="94"/>
      <c r="V1527" s="94"/>
      <c r="W1527" s="94"/>
      <c r="X1527" s="94"/>
      <c r="Y1527" s="94"/>
      <c r="Z1527" s="94"/>
      <c r="AA1527" s="94"/>
      <c r="AB1527" s="94"/>
      <c r="AC1527" s="94"/>
      <c r="AD1527" s="94"/>
      <c r="AE1527" s="94"/>
    </row>
    <row r="1528">
      <c r="A1528" s="87"/>
      <c r="B1528" s="37"/>
      <c r="C1528" s="37"/>
      <c r="D1528" s="162"/>
      <c r="E1528" s="89"/>
      <c r="F1528" s="72"/>
      <c r="G1528" s="111"/>
      <c r="H1528" s="111"/>
      <c r="I1528" s="111"/>
      <c r="J1528" s="111"/>
      <c r="K1528" s="111"/>
      <c r="L1528" s="111"/>
      <c r="M1528" s="94"/>
      <c r="N1528" s="94"/>
      <c r="O1528" s="94"/>
      <c r="P1528" s="94"/>
      <c r="Q1528" s="94"/>
      <c r="R1528" s="94"/>
      <c r="S1528" s="94"/>
      <c r="T1528" s="94"/>
      <c r="U1528" s="94"/>
      <c r="V1528" s="94"/>
      <c r="W1528" s="94"/>
      <c r="X1528" s="94"/>
      <c r="Y1528" s="94"/>
      <c r="Z1528" s="94"/>
      <c r="AA1528" s="94"/>
      <c r="AB1528" s="94"/>
      <c r="AC1528" s="94"/>
      <c r="AD1528" s="94"/>
      <c r="AE1528" s="94"/>
    </row>
    <row r="1529">
      <c r="A1529" s="87"/>
      <c r="B1529" s="37"/>
      <c r="C1529" s="37"/>
      <c r="D1529" s="162"/>
      <c r="E1529" s="89"/>
      <c r="F1529" s="72"/>
      <c r="G1529" s="111"/>
      <c r="H1529" s="111"/>
      <c r="I1529" s="111"/>
      <c r="J1529" s="111"/>
      <c r="K1529" s="111"/>
      <c r="L1529" s="111"/>
      <c r="M1529" s="94"/>
      <c r="N1529" s="94"/>
      <c r="O1529" s="94"/>
      <c r="P1529" s="94"/>
      <c r="Q1529" s="94"/>
      <c r="R1529" s="94"/>
      <c r="S1529" s="94"/>
      <c r="T1529" s="94"/>
      <c r="U1529" s="94"/>
      <c r="V1529" s="94"/>
      <c r="W1529" s="94"/>
      <c r="X1529" s="94"/>
      <c r="Y1529" s="94"/>
      <c r="Z1529" s="94"/>
      <c r="AA1529" s="94"/>
      <c r="AB1529" s="94"/>
      <c r="AC1529" s="94"/>
      <c r="AD1529" s="94"/>
      <c r="AE1529" s="94"/>
    </row>
    <row r="1530">
      <c r="A1530" s="87"/>
      <c r="B1530" s="37"/>
      <c r="C1530" s="37"/>
      <c r="D1530" s="162"/>
      <c r="E1530" s="89"/>
      <c r="F1530" s="72"/>
      <c r="G1530" s="111"/>
      <c r="H1530" s="111"/>
      <c r="I1530" s="111"/>
      <c r="J1530" s="111"/>
      <c r="K1530" s="111"/>
      <c r="L1530" s="111"/>
      <c r="M1530" s="94"/>
      <c r="N1530" s="94"/>
      <c r="O1530" s="94"/>
      <c r="P1530" s="94"/>
      <c r="Q1530" s="94"/>
      <c r="R1530" s="94"/>
      <c r="S1530" s="94"/>
      <c r="T1530" s="94"/>
      <c r="U1530" s="94"/>
      <c r="V1530" s="94"/>
      <c r="W1530" s="94"/>
      <c r="X1530" s="94"/>
      <c r="Y1530" s="94"/>
      <c r="Z1530" s="94"/>
      <c r="AA1530" s="94"/>
      <c r="AB1530" s="94"/>
      <c r="AC1530" s="94"/>
      <c r="AD1530" s="94"/>
      <c r="AE1530" s="94"/>
    </row>
    <row r="1531">
      <c r="A1531" s="87"/>
      <c r="B1531" s="37"/>
      <c r="C1531" s="37"/>
      <c r="D1531" s="162"/>
      <c r="E1531" s="89"/>
      <c r="F1531" s="72"/>
      <c r="G1531" s="111"/>
      <c r="H1531" s="111"/>
      <c r="I1531" s="111"/>
      <c r="J1531" s="111"/>
      <c r="K1531" s="111"/>
      <c r="L1531" s="111"/>
      <c r="M1531" s="94"/>
      <c r="N1531" s="94"/>
      <c r="O1531" s="94"/>
      <c r="P1531" s="94"/>
      <c r="Q1531" s="94"/>
      <c r="R1531" s="94"/>
      <c r="S1531" s="94"/>
      <c r="T1531" s="94"/>
      <c r="U1531" s="94"/>
      <c r="V1531" s="94"/>
      <c r="W1531" s="94"/>
      <c r="X1531" s="94"/>
      <c r="Y1531" s="94"/>
      <c r="Z1531" s="94"/>
      <c r="AA1531" s="94"/>
      <c r="AB1531" s="94"/>
      <c r="AC1531" s="94"/>
      <c r="AD1531" s="94"/>
      <c r="AE1531" s="94"/>
    </row>
    <row r="1532">
      <c r="A1532" s="87"/>
      <c r="B1532" s="37"/>
      <c r="C1532" s="37"/>
      <c r="D1532" s="162"/>
      <c r="E1532" s="89"/>
      <c r="F1532" s="72"/>
      <c r="G1532" s="111"/>
      <c r="H1532" s="111"/>
      <c r="I1532" s="111"/>
      <c r="J1532" s="111"/>
      <c r="K1532" s="111"/>
      <c r="L1532" s="111"/>
      <c r="M1532" s="94"/>
      <c r="N1532" s="94"/>
      <c r="O1532" s="94"/>
      <c r="P1532" s="94"/>
      <c r="Q1532" s="94"/>
      <c r="R1532" s="94"/>
      <c r="S1532" s="94"/>
      <c r="T1532" s="94"/>
      <c r="U1532" s="94"/>
      <c r="V1532" s="94"/>
      <c r="W1532" s="94"/>
      <c r="X1532" s="94"/>
      <c r="Y1532" s="94"/>
      <c r="Z1532" s="94"/>
      <c r="AA1532" s="94"/>
      <c r="AB1532" s="94"/>
      <c r="AC1532" s="94"/>
      <c r="AD1532" s="94"/>
      <c r="AE1532" s="94"/>
    </row>
    <row r="1533">
      <c r="A1533" s="87"/>
      <c r="B1533" s="37"/>
      <c r="C1533" s="37"/>
      <c r="D1533" s="162"/>
      <c r="E1533" s="89"/>
      <c r="F1533" s="72"/>
      <c r="G1533" s="111"/>
      <c r="H1533" s="111"/>
      <c r="I1533" s="111"/>
      <c r="J1533" s="111"/>
      <c r="K1533" s="111"/>
      <c r="L1533" s="111"/>
      <c r="M1533" s="94"/>
      <c r="N1533" s="94"/>
      <c r="O1533" s="94"/>
      <c r="P1533" s="94"/>
      <c r="Q1533" s="94"/>
      <c r="R1533" s="94"/>
      <c r="S1533" s="94"/>
      <c r="T1533" s="94"/>
      <c r="U1533" s="94"/>
      <c r="V1533" s="94"/>
      <c r="W1533" s="94"/>
      <c r="X1533" s="94"/>
      <c r="Y1533" s="94"/>
      <c r="Z1533" s="94"/>
      <c r="AA1533" s="94"/>
      <c r="AB1533" s="94"/>
      <c r="AC1533" s="94"/>
      <c r="AD1533" s="94"/>
      <c r="AE1533" s="94"/>
    </row>
    <row r="1534">
      <c r="A1534" s="87"/>
      <c r="B1534" s="37"/>
      <c r="C1534" s="37"/>
      <c r="D1534" s="162"/>
      <c r="E1534" s="89"/>
      <c r="F1534" s="72"/>
      <c r="G1534" s="111"/>
      <c r="H1534" s="111"/>
      <c r="I1534" s="111"/>
      <c r="J1534" s="111"/>
      <c r="K1534" s="111"/>
      <c r="L1534" s="111"/>
      <c r="M1534" s="94"/>
      <c r="N1534" s="94"/>
      <c r="O1534" s="94"/>
      <c r="P1534" s="94"/>
      <c r="Q1534" s="94"/>
      <c r="R1534" s="94"/>
      <c r="S1534" s="94"/>
      <c r="T1534" s="94"/>
      <c r="U1534" s="94"/>
      <c r="V1534" s="94"/>
      <c r="W1534" s="94"/>
      <c r="X1534" s="94"/>
      <c r="Y1534" s="94"/>
      <c r="Z1534" s="94"/>
      <c r="AA1534" s="94"/>
      <c r="AB1534" s="94"/>
      <c r="AC1534" s="94"/>
      <c r="AD1534" s="94"/>
      <c r="AE1534" s="94"/>
    </row>
    <row r="1535">
      <c r="A1535" s="87"/>
      <c r="B1535" s="37"/>
      <c r="C1535" s="37"/>
      <c r="D1535" s="162"/>
      <c r="E1535" s="89"/>
      <c r="F1535" s="72"/>
      <c r="G1535" s="111"/>
      <c r="H1535" s="111"/>
      <c r="I1535" s="111"/>
      <c r="J1535" s="111"/>
      <c r="K1535" s="111"/>
      <c r="L1535" s="111"/>
      <c r="M1535" s="94"/>
      <c r="N1535" s="94"/>
      <c r="O1535" s="94"/>
      <c r="P1535" s="94"/>
      <c r="Q1535" s="94"/>
      <c r="R1535" s="94"/>
      <c r="S1535" s="94"/>
      <c r="T1535" s="94"/>
      <c r="U1535" s="94"/>
      <c r="V1535" s="94"/>
      <c r="W1535" s="94"/>
      <c r="X1535" s="94"/>
      <c r="Y1535" s="94"/>
      <c r="Z1535" s="94"/>
      <c r="AA1535" s="94"/>
      <c r="AB1535" s="94"/>
      <c r="AC1535" s="94"/>
      <c r="AD1535" s="94"/>
      <c r="AE1535" s="94"/>
    </row>
    <row r="1536">
      <c r="A1536" s="87"/>
      <c r="B1536" s="37"/>
      <c r="C1536" s="37"/>
      <c r="D1536" s="162"/>
      <c r="E1536" s="89"/>
      <c r="F1536" s="72"/>
      <c r="G1536" s="111"/>
      <c r="H1536" s="111"/>
      <c r="I1536" s="111"/>
      <c r="J1536" s="111"/>
      <c r="K1536" s="111"/>
      <c r="L1536" s="111"/>
      <c r="M1536" s="94"/>
      <c r="N1536" s="94"/>
      <c r="O1536" s="94"/>
      <c r="P1536" s="94"/>
      <c r="Q1536" s="94"/>
      <c r="R1536" s="94"/>
      <c r="S1536" s="94"/>
      <c r="T1536" s="94"/>
      <c r="U1536" s="94"/>
      <c r="V1536" s="94"/>
      <c r="W1536" s="94"/>
      <c r="X1536" s="94"/>
      <c r="Y1536" s="94"/>
      <c r="Z1536" s="94"/>
      <c r="AA1536" s="94"/>
      <c r="AB1536" s="94"/>
      <c r="AC1536" s="94"/>
      <c r="AD1536" s="94"/>
      <c r="AE1536" s="94"/>
    </row>
    <row r="1537">
      <c r="A1537" s="87"/>
      <c r="B1537" s="37"/>
      <c r="C1537" s="37"/>
      <c r="D1537" s="162"/>
      <c r="E1537" s="89"/>
      <c r="F1537" s="72"/>
      <c r="G1537" s="111"/>
      <c r="H1537" s="111"/>
      <c r="I1537" s="111"/>
      <c r="J1537" s="111"/>
      <c r="K1537" s="111"/>
      <c r="L1537" s="111"/>
      <c r="M1537" s="94"/>
      <c r="N1537" s="94"/>
      <c r="O1537" s="94"/>
      <c r="P1537" s="94"/>
      <c r="Q1537" s="94"/>
      <c r="R1537" s="94"/>
      <c r="S1537" s="94"/>
      <c r="T1537" s="94"/>
      <c r="U1537" s="94"/>
      <c r="V1537" s="94"/>
      <c r="W1537" s="94"/>
      <c r="X1537" s="94"/>
      <c r="Y1537" s="94"/>
      <c r="Z1537" s="94"/>
      <c r="AA1537" s="94"/>
      <c r="AB1537" s="94"/>
      <c r="AC1537" s="94"/>
      <c r="AD1537" s="94"/>
      <c r="AE1537" s="94"/>
    </row>
    <row r="1538">
      <c r="A1538" s="87"/>
      <c r="B1538" s="37"/>
      <c r="C1538" s="37"/>
      <c r="D1538" s="162"/>
      <c r="E1538" s="89"/>
      <c r="F1538" s="72"/>
      <c r="G1538" s="111"/>
      <c r="H1538" s="111"/>
      <c r="I1538" s="111"/>
      <c r="J1538" s="111"/>
      <c r="K1538" s="111"/>
      <c r="L1538" s="111"/>
      <c r="M1538" s="94"/>
      <c r="N1538" s="94"/>
      <c r="O1538" s="94"/>
      <c r="P1538" s="94"/>
      <c r="Q1538" s="94"/>
      <c r="R1538" s="94"/>
      <c r="S1538" s="94"/>
      <c r="T1538" s="94"/>
      <c r="U1538" s="94"/>
      <c r="V1538" s="94"/>
      <c r="W1538" s="94"/>
      <c r="X1538" s="94"/>
      <c r="Y1538" s="94"/>
      <c r="Z1538" s="94"/>
      <c r="AA1538" s="94"/>
      <c r="AB1538" s="94"/>
      <c r="AC1538" s="94"/>
      <c r="AD1538" s="94"/>
      <c r="AE1538" s="94"/>
    </row>
    <row r="1539">
      <c r="A1539" s="87"/>
      <c r="B1539" s="37"/>
      <c r="C1539" s="37"/>
      <c r="D1539" s="162"/>
      <c r="E1539" s="89"/>
      <c r="F1539" s="72"/>
      <c r="G1539" s="111"/>
      <c r="H1539" s="111"/>
      <c r="I1539" s="111"/>
      <c r="J1539" s="111"/>
      <c r="K1539" s="111"/>
      <c r="L1539" s="111"/>
      <c r="M1539" s="94"/>
      <c r="N1539" s="94"/>
      <c r="O1539" s="94"/>
      <c r="P1539" s="94"/>
      <c r="Q1539" s="94"/>
      <c r="R1539" s="94"/>
      <c r="S1539" s="94"/>
      <c r="T1539" s="94"/>
      <c r="U1539" s="94"/>
      <c r="V1539" s="94"/>
      <c r="W1539" s="94"/>
      <c r="X1539" s="94"/>
      <c r="Y1539" s="94"/>
      <c r="Z1539" s="94"/>
      <c r="AA1539" s="94"/>
      <c r="AB1539" s="94"/>
      <c r="AC1539" s="94"/>
      <c r="AD1539" s="94"/>
      <c r="AE1539" s="94"/>
    </row>
    <row r="1540">
      <c r="A1540" s="87"/>
      <c r="B1540" s="37"/>
      <c r="C1540" s="37"/>
      <c r="D1540" s="162"/>
      <c r="E1540" s="89"/>
      <c r="F1540" s="72"/>
      <c r="G1540" s="111"/>
      <c r="H1540" s="111"/>
      <c r="I1540" s="111"/>
      <c r="J1540" s="111"/>
      <c r="K1540" s="111"/>
      <c r="L1540" s="111"/>
      <c r="M1540" s="94"/>
      <c r="N1540" s="94"/>
      <c r="O1540" s="94"/>
      <c r="P1540" s="94"/>
      <c r="Q1540" s="94"/>
      <c r="R1540" s="94"/>
      <c r="S1540" s="94"/>
      <c r="T1540" s="94"/>
      <c r="U1540" s="94"/>
      <c r="V1540" s="94"/>
      <c r="W1540" s="94"/>
      <c r="X1540" s="94"/>
      <c r="Y1540" s="94"/>
      <c r="Z1540" s="94"/>
      <c r="AA1540" s="94"/>
      <c r="AB1540" s="94"/>
      <c r="AC1540" s="94"/>
      <c r="AD1540" s="94"/>
      <c r="AE1540" s="94"/>
    </row>
    <row r="1541">
      <c r="A1541" s="87"/>
      <c r="B1541" s="37"/>
      <c r="C1541" s="37"/>
      <c r="D1541" s="162"/>
      <c r="E1541" s="89"/>
      <c r="F1541" s="72"/>
      <c r="G1541" s="111"/>
      <c r="H1541" s="111"/>
      <c r="I1541" s="111"/>
      <c r="J1541" s="111"/>
      <c r="K1541" s="111"/>
      <c r="L1541" s="111"/>
      <c r="M1541" s="94"/>
      <c r="N1541" s="94"/>
      <c r="O1541" s="94"/>
      <c r="P1541" s="94"/>
      <c r="Q1541" s="94"/>
      <c r="R1541" s="94"/>
      <c r="S1541" s="94"/>
      <c r="T1541" s="94"/>
      <c r="U1541" s="94"/>
      <c r="V1541" s="94"/>
      <c r="W1541" s="94"/>
      <c r="X1541" s="94"/>
      <c r="Y1541" s="94"/>
      <c r="Z1541" s="94"/>
      <c r="AA1541" s="94"/>
      <c r="AB1541" s="94"/>
      <c r="AC1541" s="94"/>
      <c r="AD1541" s="94"/>
      <c r="AE1541" s="94"/>
    </row>
    <row r="1542">
      <c r="A1542" s="87"/>
      <c r="B1542" s="37"/>
      <c r="C1542" s="37"/>
      <c r="D1542" s="162"/>
      <c r="E1542" s="89"/>
      <c r="F1542" s="72"/>
      <c r="G1542" s="111"/>
      <c r="H1542" s="111"/>
      <c r="I1542" s="111"/>
      <c r="J1542" s="111"/>
      <c r="K1542" s="111"/>
      <c r="L1542" s="111"/>
      <c r="M1542" s="94"/>
      <c r="N1542" s="94"/>
      <c r="O1542" s="94"/>
      <c r="P1542" s="94"/>
      <c r="Q1542" s="94"/>
      <c r="R1542" s="94"/>
      <c r="S1542" s="94"/>
      <c r="T1542" s="94"/>
      <c r="U1542" s="94"/>
      <c r="V1542" s="94"/>
      <c r="W1542" s="94"/>
      <c r="X1542" s="94"/>
      <c r="Y1542" s="94"/>
      <c r="Z1542" s="94"/>
      <c r="AA1542" s="94"/>
      <c r="AB1542" s="94"/>
      <c r="AC1542" s="94"/>
      <c r="AD1542" s="94"/>
      <c r="AE1542" s="94"/>
    </row>
    <row r="1543">
      <c r="A1543" s="87"/>
      <c r="B1543" s="37"/>
      <c r="C1543" s="37"/>
      <c r="D1543" s="162"/>
      <c r="E1543" s="89"/>
      <c r="F1543" s="72"/>
      <c r="G1543" s="111"/>
      <c r="H1543" s="111"/>
      <c r="I1543" s="111"/>
      <c r="J1543" s="111"/>
      <c r="K1543" s="111"/>
      <c r="L1543" s="111"/>
      <c r="M1543" s="94"/>
      <c r="N1543" s="94"/>
      <c r="O1543" s="94"/>
      <c r="P1543" s="94"/>
      <c r="Q1543" s="94"/>
      <c r="R1543" s="94"/>
      <c r="S1543" s="94"/>
      <c r="T1543" s="94"/>
      <c r="U1543" s="94"/>
      <c r="V1543" s="94"/>
      <c r="W1543" s="94"/>
      <c r="X1543" s="94"/>
      <c r="Y1543" s="94"/>
      <c r="Z1543" s="94"/>
      <c r="AA1543" s="94"/>
      <c r="AB1543" s="94"/>
      <c r="AC1543" s="94"/>
      <c r="AD1543" s="94"/>
      <c r="AE1543" s="94"/>
    </row>
    <row r="1544">
      <c r="A1544" s="87"/>
      <c r="B1544" s="37"/>
      <c r="C1544" s="37"/>
      <c r="D1544" s="162"/>
      <c r="E1544" s="89"/>
      <c r="F1544" s="72"/>
      <c r="G1544" s="111"/>
      <c r="H1544" s="111"/>
      <c r="I1544" s="111"/>
      <c r="J1544" s="111"/>
      <c r="K1544" s="111"/>
      <c r="L1544" s="111"/>
      <c r="M1544" s="94"/>
      <c r="N1544" s="94"/>
      <c r="O1544" s="94"/>
      <c r="P1544" s="94"/>
      <c r="Q1544" s="94"/>
      <c r="R1544" s="94"/>
      <c r="S1544" s="94"/>
      <c r="T1544" s="94"/>
      <c r="U1544" s="94"/>
      <c r="V1544" s="94"/>
      <c r="W1544" s="94"/>
      <c r="X1544" s="94"/>
      <c r="Y1544" s="94"/>
      <c r="Z1544" s="94"/>
      <c r="AA1544" s="94"/>
      <c r="AB1544" s="94"/>
      <c r="AC1544" s="94"/>
      <c r="AD1544" s="94"/>
      <c r="AE1544" s="94"/>
    </row>
    <row r="1545">
      <c r="A1545" s="87"/>
      <c r="B1545" s="37"/>
      <c r="C1545" s="37"/>
      <c r="D1545" s="162"/>
      <c r="E1545" s="89"/>
      <c r="F1545" s="72"/>
      <c r="G1545" s="111"/>
      <c r="H1545" s="111"/>
      <c r="I1545" s="111"/>
      <c r="J1545" s="111"/>
      <c r="K1545" s="111"/>
      <c r="L1545" s="111"/>
      <c r="M1545" s="94"/>
      <c r="N1545" s="94"/>
      <c r="O1545" s="94"/>
      <c r="P1545" s="94"/>
      <c r="Q1545" s="94"/>
      <c r="R1545" s="94"/>
      <c r="S1545" s="94"/>
      <c r="T1545" s="94"/>
      <c r="U1545" s="94"/>
      <c r="V1545" s="94"/>
      <c r="W1545" s="94"/>
      <c r="X1545" s="94"/>
      <c r="Y1545" s="94"/>
      <c r="Z1545" s="94"/>
      <c r="AA1545" s="94"/>
      <c r="AB1545" s="94"/>
      <c r="AC1545" s="94"/>
      <c r="AD1545" s="94"/>
      <c r="AE1545" s="94"/>
    </row>
    <row r="1546">
      <c r="A1546" s="87"/>
      <c r="B1546" s="37"/>
      <c r="C1546" s="37"/>
      <c r="D1546" s="162"/>
      <c r="E1546" s="89"/>
      <c r="F1546" s="72"/>
      <c r="G1546" s="111"/>
      <c r="H1546" s="111"/>
      <c r="I1546" s="111"/>
      <c r="J1546" s="111"/>
      <c r="K1546" s="111"/>
      <c r="L1546" s="111"/>
      <c r="M1546" s="94"/>
      <c r="N1546" s="94"/>
      <c r="O1546" s="94"/>
      <c r="P1546" s="94"/>
      <c r="Q1546" s="94"/>
      <c r="R1546" s="94"/>
      <c r="S1546" s="94"/>
      <c r="T1546" s="94"/>
      <c r="U1546" s="94"/>
      <c r="V1546" s="94"/>
      <c r="W1546" s="94"/>
      <c r="X1546" s="94"/>
      <c r="Y1546" s="94"/>
      <c r="Z1546" s="94"/>
      <c r="AA1546" s="94"/>
      <c r="AB1546" s="94"/>
      <c r="AC1546" s="94"/>
      <c r="AD1546" s="94"/>
      <c r="AE1546" s="94"/>
    </row>
    <row r="1547">
      <c r="A1547" s="87"/>
      <c r="B1547" s="37"/>
      <c r="C1547" s="37"/>
      <c r="D1547" s="162"/>
      <c r="E1547" s="89"/>
      <c r="F1547" s="72"/>
      <c r="G1547" s="111"/>
      <c r="H1547" s="111"/>
      <c r="I1547" s="111"/>
      <c r="J1547" s="111"/>
      <c r="K1547" s="111"/>
      <c r="L1547" s="111"/>
      <c r="M1547" s="94"/>
      <c r="N1547" s="94"/>
      <c r="O1547" s="94"/>
      <c r="P1547" s="94"/>
      <c r="Q1547" s="94"/>
      <c r="R1547" s="94"/>
      <c r="S1547" s="94"/>
      <c r="T1547" s="94"/>
      <c r="U1547" s="94"/>
      <c r="V1547" s="94"/>
      <c r="W1547" s="94"/>
      <c r="X1547" s="94"/>
      <c r="Y1547" s="94"/>
      <c r="Z1547" s="94"/>
      <c r="AA1547" s="94"/>
      <c r="AB1547" s="94"/>
      <c r="AC1547" s="94"/>
      <c r="AD1547" s="94"/>
      <c r="AE1547" s="94"/>
    </row>
    <row r="1548">
      <c r="A1548" s="87"/>
      <c r="B1548" s="37"/>
      <c r="C1548" s="37"/>
      <c r="D1548" s="162"/>
      <c r="E1548" s="89"/>
      <c r="F1548" s="72"/>
      <c r="G1548" s="111"/>
      <c r="H1548" s="111"/>
      <c r="I1548" s="111"/>
      <c r="J1548" s="111"/>
      <c r="K1548" s="111"/>
      <c r="L1548" s="111"/>
      <c r="M1548" s="94"/>
      <c r="N1548" s="94"/>
      <c r="O1548" s="94"/>
      <c r="P1548" s="94"/>
      <c r="Q1548" s="94"/>
      <c r="R1548" s="94"/>
      <c r="S1548" s="94"/>
      <c r="T1548" s="94"/>
      <c r="U1548" s="94"/>
      <c r="V1548" s="94"/>
      <c r="W1548" s="94"/>
      <c r="X1548" s="94"/>
      <c r="Y1548" s="94"/>
      <c r="Z1548" s="94"/>
      <c r="AA1548" s="94"/>
      <c r="AB1548" s="94"/>
      <c r="AC1548" s="94"/>
      <c r="AD1548" s="94"/>
      <c r="AE1548" s="94"/>
    </row>
    <row r="1549">
      <c r="A1549" s="87"/>
      <c r="B1549" s="37"/>
      <c r="C1549" s="37"/>
      <c r="D1549" s="162"/>
      <c r="E1549" s="89"/>
      <c r="F1549" s="72"/>
      <c r="G1549" s="111"/>
      <c r="H1549" s="111"/>
      <c r="I1549" s="111"/>
      <c r="J1549" s="111"/>
      <c r="K1549" s="111"/>
      <c r="L1549" s="111"/>
      <c r="M1549" s="94"/>
      <c r="N1549" s="94"/>
      <c r="O1549" s="94"/>
      <c r="P1549" s="94"/>
      <c r="Q1549" s="94"/>
      <c r="R1549" s="94"/>
      <c r="S1549" s="94"/>
      <c r="T1549" s="94"/>
      <c r="U1549" s="94"/>
      <c r="V1549" s="94"/>
      <c r="W1549" s="94"/>
      <c r="X1549" s="94"/>
      <c r="Y1549" s="94"/>
      <c r="Z1549" s="94"/>
      <c r="AA1549" s="94"/>
      <c r="AB1549" s="94"/>
      <c r="AC1549" s="94"/>
      <c r="AD1549" s="94"/>
      <c r="AE1549" s="94"/>
    </row>
    <row r="1550">
      <c r="A1550" s="87"/>
      <c r="B1550" s="37"/>
      <c r="C1550" s="37"/>
      <c r="D1550" s="162"/>
      <c r="E1550" s="89"/>
      <c r="F1550" s="72"/>
      <c r="G1550" s="111"/>
      <c r="H1550" s="111"/>
      <c r="I1550" s="111"/>
      <c r="J1550" s="111"/>
      <c r="K1550" s="111"/>
      <c r="L1550" s="111"/>
      <c r="M1550" s="94"/>
      <c r="N1550" s="94"/>
      <c r="O1550" s="94"/>
      <c r="P1550" s="94"/>
      <c r="Q1550" s="94"/>
      <c r="R1550" s="94"/>
      <c r="S1550" s="94"/>
      <c r="T1550" s="94"/>
      <c r="U1550" s="94"/>
      <c r="V1550" s="94"/>
      <c r="W1550" s="94"/>
      <c r="X1550" s="94"/>
      <c r="Y1550" s="94"/>
      <c r="Z1550" s="94"/>
      <c r="AA1550" s="94"/>
      <c r="AB1550" s="94"/>
      <c r="AC1550" s="94"/>
      <c r="AD1550" s="94"/>
      <c r="AE1550" s="94"/>
    </row>
    <row r="1551">
      <c r="A1551" s="87"/>
      <c r="B1551" s="37"/>
      <c r="C1551" s="37"/>
      <c r="D1551" s="162"/>
      <c r="E1551" s="89"/>
      <c r="F1551" s="72"/>
      <c r="G1551" s="111"/>
      <c r="H1551" s="111"/>
      <c r="I1551" s="111"/>
      <c r="J1551" s="111"/>
      <c r="K1551" s="111"/>
      <c r="L1551" s="111"/>
      <c r="M1551" s="94"/>
      <c r="N1551" s="94"/>
      <c r="O1551" s="94"/>
      <c r="P1551" s="94"/>
      <c r="Q1551" s="94"/>
      <c r="R1551" s="94"/>
      <c r="S1551" s="94"/>
      <c r="T1551" s="94"/>
      <c r="U1551" s="94"/>
      <c r="V1551" s="94"/>
      <c r="W1551" s="94"/>
      <c r="X1551" s="94"/>
      <c r="Y1551" s="94"/>
      <c r="Z1551" s="94"/>
      <c r="AA1551" s="94"/>
      <c r="AB1551" s="94"/>
      <c r="AC1551" s="94"/>
      <c r="AD1551" s="94"/>
      <c r="AE1551" s="94"/>
    </row>
    <row r="1552">
      <c r="A1552" s="87"/>
      <c r="B1552" s="37"/>
      <c r="C1552" s="37"/>
      <c r="D1552" s="162"/>
      <c r="E1552" s="89"/>
      <c r="F1552" s="72"/>
      <c r="G1552" s="111"/>
      <c r="H1552" s="111"/>
      <c r="I1552" s="111"/>
      <c r="J1552" s="111"/>
      <c r="K1552" s="111"/>
      <c r="L1552" s="111"/>
      <c r="M1552" s="94"/>
      <c r="N1552" s="94"/>
      <c r="O1552" s="94"/>
      <c r="P1552" s="94"/>
      <c r="Q1552" s="94"/>
      <c r="R1552" s="94"/>
      <c r="S1552" s="94"/>
      <c r="T1552" s="94"/>
      <c r="U1552" s="94"/>
      <c r="V1552" s="94"/>
      <c r="W1552" s="94"/>
      <c r="X1552" s="94"/>
      <c r="Y1552" s="94"/>
      <c r="Z1552" s="94"/>
      <c r="AA1552" s="94"/>
      <c r="AB1552" s="94"/>
      <c r="AC1552" s="94"/>
      <c r="AD1552" s="94"/>
      <c r="AE1552" s="94"/>
    </row>
    <row r="1553">
      <c r="A1553" s="87"/>
      <c r="B1553" s="37"/>
      <c r="C1553" s="37"/>
      <c r="D1553" s="162"/>
      <c r="E1553" s="89"/>
      <c r="F1553" s="72"/>
      <c r="G1553" s="111"/>
      <c r="H1553" s="111"/>
      <c r="I1553" s="111"/>
      <c r="J1553" s="111"/>
      <c r="K1553" s="111"/>
      <c r="L1553" s="111"/>
      <c r="M1553" s="94"/>
      <c r="N1553" s="94"/>
      <c r="O1553" s="94"/>
      <c r="P1553" s="94"/>
      <c r="Q1553" s="94"/>
      <c r="R1553" s="94"/>
      <c r="S1553" s="94"/>
      <c r="T1553" s="94"/>
      <c r="U1553" s="94"/>
      <c r="V1553" s="94"/>
      <c r="W1553" s="94"/>
      <c r="X1553" s="94"/>
      <c r="Y1553" s="94"/>
      <c r="Z1553" s="94"/>
      <c r="AA1553" s="94"/>
      <c r="AB1553" s="94"/>
      <c r="AC1553" s="94"/>
      <c r="AD1553" s="94"/>
      <c r="AE1553" s="94"/>
    </row>
    <row r="1554">
      <c r="A1554" s="87"/>
      <c r="B1554" s="37"/>
      <c r="C1554" s="37"/>
      <c r="D1554" s="162"/>
      <c r="E1554" s="89"/>
      <c r="F1554" s="72"/>
      <c r="G1554" s="111"/>
      <c r="H1554" s="111"/>
      <c r="I1554" s="111"/>
      <c r="J1554" s="111"/>
      <c r="K1554" s="111"/>
      <c r="L1554" s="111"/>
      <c r="M1554" s="94"/>
      <c r="N1554" s="94"/>
      <c r="O1554" s="94"/>
      <c r="P1554" s="94"/>
      <c r="Q1554" s="94"/>
      <c r="R1554" s="94"/>
      <c r="S1554" s="94"/>
      <c r="T1554" s="94"/>
      <c r="U1554" s="94"/>
      <c r="V1554" s="94"/>
      <c r="W1554" s="94"/>
      <c r="X1554" s="94"/>
      <c r="Y1554" s="94"/>
      <c r="Z1554" s="94"/>
      <c r="AA1554" s="94"/>
      <c r="AB1554" s="94"/>
      <c r="AC1554" s="94"/>
      <c r="AD1554" s="94"/>
      <c r="AE1554" s="94"/>
    </row>
    <row r="1555">
      <c r="A1555" s="87"/>
      <c r="B1555" s="37"/>
      <c r="C1555" s="37"/>
      <c r="D1555" s="162"/>
      <c r="E1555" s="89"/>
      <c r="F1555" s="72"/>
      <c r="G1555" s="111"/>
      <c r="H1555" s="111"/>
      <c r="I1555" s="111"/>
      <c r="J1555" s="111"/>
      <c r="K1555" s="111"/>
      <c r="L1555" s="111"/>
      <c r="M1555" s="94"/>
      <c r="N1555" s="94"/>
      <c r="O1555" s="94"/>
      <c r="P1555" s="94"/>
      <c r="Q1555" s="94"/>
      <c r="R1555" s="94"/>
      <c r="S1555" s="94"/>
      <c r="T1555" s="94"/>
      <c r="U1555" s="94"/>
      <c r="V1555" s="94"/>
      <c r="W1555" s="94"/>
      <c r="X1555" s="94"/>
      <c r="Y1555" s="94"/>
      <c r="Z1555" s="94"/>
      <c r="AA1555" s="94"/>
      <c r="AB1555" s="94"/>
      <c r="AC1555" s="94"/>
      <c r="AD1555" s="94"/>
      <c r="AE1555" s="94"/>
    </row>
    <row r="1556">
      <c r="A1556" s="87"/>
      <c r="B1556" s="37"/>
      <c r="C1556" s="37"/>
      <c r="D1556" s="162"/>
      <c r="E1556" s="89"/>
      <c r="F1556" s="72"/>
      <c r="G1556" s="111"/>
      <c r="H1556" s="111"/>
      <c r="I1556" s="111"/>
      <c r="J1556" s="111"/>
      <c r="K1556" s="111"/>
      <c r="L1556" s="111"/>
      <c r="M1556" s="94"/>
      <c r="N1556" s="94"/>
      <c r="O1556" s="94"/>
      <c r="P1556" s="94"/>
      <c r="Q1556" s="94"/>
      <c r="R1556" s="94"/>
      <c r="S1556" s="94"/>
      <c r="T1556" s="94"/>
      <c r="U1556" s="94"/>
      <c r="V1556" s="94"/>
      <c r="W1556" s="94"/>
      <c r="X1556" s="94"/>
      <c r="Y1556" s="94"/>
      <c r="Z1556" s="94"/>
      <c r="AA1556" s="94"/>
      <c r="AB1556" s="94"/>
      <c r="AC1556" s="94"/>
      <c r="AD1556" s="94"/>
      <c r="AE1556" s="94"/>
    </row>
    <row r="1557">
      <c r="A1557" s="87"/>
      <c r="B1557" s="37"/>
      <c r="C1557" s="37"/>
      <c r="D1557" s="162"/>
      <c r="E1557" s="89"/>
      <c r="F1557" s="72"/>
      <c r="G1557" s="111"/>
      <c r="H1557" s="111"/>
      <c r="I1557" s="111"/>
      <c r="J1557" s="111"/>
      <c r="K1557" s="111"/>
      <c r="L1557" s="111"/>
      <c r="M1557" s="94"/>
      <c r="N1557" s="94"/>
      <c r="O1557" s="94"/>
      <c r="P1557" s="94"/>
      <c r="Q1557" s="94"/>
      <c r="R1557" s="94"/>
      <c r="S1557" s="94"/>
      <c r="T1557" s="94"/>
      <c r="U1557" s="94"/>
      <c r="V1557" s="94"/>
      <c r="W1557" s="94"/>
      <c r="X1557" s="94"/>
      <c r="Y1557" s="94"/>
      <c r="Z1557" s="94"/>
      <c r="AA1557" s="94"/>
      <c r="AB1557" s="94"/>
      <c r="AC1557" s="94"/>
      <c r="AD1557" s="94"/>
      <c r="AE1557" s="94"/>
    </row>
    <row r="1558">
      <c r="A1558" s="87"/>
      <c r="B1558" s="37"/>
      <c r="C1558" s="37"/>
      <c r="D1558" s="162"/>
      <c r="E1558" s="89"/>
      <c r="F1558" s="72"/>
      <c r="G1558" s="111"/>
      <c r="H1558" s="111"/>
      <c r="I1558" s="111"/>
      <c r="J1558" s="111"/>
      <c r="K1558" s="111"/>
      <c r="L1558" s="111"/>
      <c r="M1558" s="94"/>
      <c r="N1558" s="94"/>
      <c r="O1558" s="94"/>
      <c r="P1558" s="94"/>
      <c r="Q1558" s="94"/>
      <c r="R1558" s="94"/>
      <c r="S1558" s="94"/>
      <c r="T1558" s="94"/>
      <c r="U1558" s="94"/>
      <c r="V1558" s="94"/>
      <c r="W1558" s="94"/>
      <c r="X1558" s="94"/>
      <c r="Y1558" s="94"/>
      <c r="Z1558" s="94"/>
      <c r="AA1558" s="94"/>
      <c r="AB1558" s="94"/>
      <c r="AC1558" s="94"/>
      <c r="AD1558" s="94"/>
      <c r="AE1558" s="94"/>
    </row>
    <row r="1559">
      <c r="A1559" s="87"/>
      <c r="B1559" s="37"/>
      <c r="C1559" s="37"/>
      <c r="D1559" s="162"/>
      <c r="E1559" s="89"/>
      <c r="F1559" s="72"/>
      <c r="G1559" s="111"/>
      <c r="H1559" s="111"/>
      <c r="I1559" s="111"/>
      <c r="J1559" s="111"/>
      <c r="K1559" s="111"/>
      <c r="L1559" s="111"/>
      <c r="M1559" s="94"/>
      <c r="N1559" s="94"/>
      <c r="O1559" s="94"/>
      <c r="P1559" s="94"/>
      <c r="Q1559" s="94"/>
      <c r="R1559" s="94"/>
      <c r="S1559" s="94"/>
      <c r="T1559" s="94"/>
      <c r="U1559" s="94"/>
      <c r="V1559" s="94"/>
      <c r="W1559" s="94"/>
      <c r="X1559" s="94"/>
      <c r="Y1559" s="94"/>
      <c r="Z1559" s="94"/>
      <c r="AA1559" s="94"/>
      <c r="AB1559" s="94"/>
      <c r="AC1559" s="94"/>
      <c r="AD1559" s="94"/>
      <c r="AE1559" s="94"/>
    </row>
    <row r="1560">
      <c r="A1560" s="87"/>
      <c r="B1560" s="37"/>
      <c r="C1560" s="37"/>
      <c r="D1560" s="162"/>
      <c r="E1560" s="89"/>
      <c r="F1560" s="72"/>
      <c r="G1560" s="111"/>
      <c r="H1560" s="111"/>
      <c r="I1560" s="111"/>
      <c r="J1560" s="111"/>
      <c r="K1560" s="111"/>
      <c r="L1560" s="111"/>
      <c r="M1560" s="94"/>
      <c r="N1560" s="94"/>
      <c r="O1560" s="94"/>
      <c r="P1560" s="94"/>
      <c r="Q1560" s="94"/>
      <c r="R1560" s="94"/>
      <c r="S1560" s="94"/>
      <c r="T1560" s="94"/>
      <c r="U1560" s="94"/>
      <c r="V1560" s="94"/>
      <c r="W1560" s="94"/>
      <c r="X1560" s="94"/>
      <c r="Y1560" s="94"/>
      <c r="Z1560" s="94"/>
      <c r="AA1560" s="94"/>
      <c r="AB1560" s="94"/>
      <c r="AC1560" s="94"/>
      <c r="AD1560" s="94"/>
      <c r="AE1560" s="94"/>
    </row>
    <row r="1561">
      <c r="A1561" s="87"/>
      <c r="B1561" s="37"/>
      <c r="C1561" s="37"/>
      <c r="D1561" s="162"/>
      <c r="E1561" s="89"/>
      <c r="F1561" s="72"/>
      <c r="G1561" s="111"/>
      <c r="H1561" s="111"/>
      <c r="I1561" s="111"/>
      <c r="J1561" s="111"/>
      <c r="K1561" s="111"/>
      <c r="L1561" s="111"/>
      <c r="M1561" s="94"/>
      <c r="N1561" s="94"/>
      <c r="O1561" s="94"/>
      <c r="P1561" s="94"/>
      <c r="Q1561" s="94"/>
      <c r="R1561" s="94"/>
      <c r="S1561" s="94"/>
      <c r="T1561" s="94"/>
      <c r="U1561" s="94"/>
      <c r="V1561" s="94"/>
      <c r="W1561" s="94"/>
      <c r="X1561" s="94"/>
      <c r="Y1561" s="94"/>
      <c r="Z1561" s="94"/>
      <c r="AA1561" s="94"/>
      <c r="AB1561" s="94"/>
      <c r="AC1561" s="94"/>
      <c r="AD1561" s="94"/>
      <c r="AE1561" s="94"/>
    </row>
    <row r="1562">
      <c r="A1562" s="87"/>
      <c r="B1562" s="37"/>
      <c r="C1562" s="37"/>
      <c r="D1562" s="162"/>
      <c r="E1562" s="89"/>
      <c r="F1562" s="72"/>
      <c r="G1562" s="111"/>
      <c r="H1562" s="111"/>
      <c r="I1562" s="111"/>
      <c r="J1562" s="111"/>
      <c r="K1562" s="111"/>
      <c r="L1562" s="111"/>
      <c r="M1562" s="94"/>
      <c r="N1562" s="94"/>
      <c r="O1562" s="94"/>
      <c r="P1562" s="94"/>
      <c r="Q1562" s="94"/>
      <c r="R1562" s="94"/>
      <c r="S1562" s="94"/>
      <c r="T1562" s="94"/>
      <c r="U1562" s="94"/>
      <c r="V1562" s="94"/>
      <c r="W1562" s="94"/>
      <c r="X1562" s="94"/>
      <c r="Y1562" s="94"/>
      <c r="Z1562" s="94"/>
      <c r="AA1562" s="94"/>
      <c r="AB1562" s="94"/>
      <c r="AC1562" s="94"/>
      <c r="AD1562" s="94"/>
      <c r="AE1562" s="94"/>
    </row>
    <row r="1563">
      <c r="A1563" s="87"/>
      <c r="B1563" s="37"/>
      <c r="C1563" s="37"/>
      <c r="D1563" s="162"/>
      <c r="E1563" s="89"/>
      <c r="F1563" s="72"/>
      <c r="G1563" s="111"/>
      <c r="H1563" s="111"/>
      <c r="I1563" s="111"/>
      <c r="J1563" s="111"/>
      <c r="K1563" s="111"/>
      <c r="L1563" s="111"/>
      <c r="M1563" s="94"/>
      <c r="N1563" s="94"/>
      <c r="O1563" s="94"/>
      <c r="P1563" s="94"/>
      <c r="Q1563" s="94"/>
      <c r="R1563" s="94"/>
      <c r="S1563" s="94"/>
      <c r="T1563" s="94"/>
      <c r="U1563" s="94"/>
      <c r="V1563" s="94"/>
      <c r="W1563" s="94"/>
      <c r="X1563" s="94"/>
      <c r="Y1563" s="94"/>
      <c r="Z1563" s="94"/>
      <c r="AA1563" s="94"/>
      <c r="AB1563" s="94"/>
      <c r="AC1563" s="94"/>
      <c r="AD1563" s="94"/>
      <c r="AE1563" s="94"/>
    </row>
    <row r="1564">
      <c r="A1564" s="87"/>
      <c r="B1564" s="37"/>
      <c r="C1564" s="37"/>
      <c r="D1564" s="162"/>
      <c r="E1564" s="89"/>
      <c r="F1564" s="72"/>
      <c r="G1564" s="111"/>
      <c r="H1564" s="111"/>
      <c r="I1564" s="111"/>
      <c r="J1564" s="111"/>
      <c r="K1564" s="111"/>
      <c r="L1564" s="111"/>
      <c r="M1564" s="94"/>
      <c r="N1564" s="94"/>
      <c r="O1564" s="94"/>
      <c r="P1564" s="94"/>
      <c r="Q1564" s="94"/>
      <c r="R1564" s="94"/>
      <c r="S1564" s="94"/>
      <c r="T1564" s="94"/>
      <c r="U1564" s="94"/>
      <c r="V1564" s="94"/>
      <c r="W1564" s="94"/>
      <c r="X1564" s="94"/>
      <c r="Y1564" s="94"/>
      <c r="Z1564" s="94"/>
      <c r="AA1564" s="94"/>
      <c r="AB1564" s="94"/>
      <c r="AC1564" s="94"/>
      <c r="AD1564" s="94"/>
      <c r="AE1564" s="94"/>
    </row>
    <row r="1565">
      <c r="A1565" s="87"/>
      <c r="B1565" s="37"/>
      <c r="C1565" s="37"/>
      <c r="D1565" s="162"/>
      <c r="E1565" s="89"/>
      <c r="F1565" s="72"/>
      <c r="G1565" s="111"/>
      <c r="H1565" s="111"/>
      <c r="I1565" s="111"/>
      <c r="J1565" s="111"/>
      <c r="K1565" s="111"/>
      <c r="L1565" s="111"/>
      <c r="M1565" s="94"/>
      <c r="N1565" s="94"/>
      <c r="O1565" s="94"/>
      <c r="P1565" s="94"/>
      <c r="Q1565" s="94"/>
      <c r="R1565" s="94"/>
      <c r="S1565" s="94"/>
      <c r="T1565" s="94"/>
      <c r="U1565" s="94"/>
      <c r="V1565" s="94"/>
      <c r="W1565" s="94"/>
      <c r="X1565" s="94"/>
      <c r="Y1565" s="94"/>
      <c r="Z1565" s="94"/>
      <c r="AA1565" s="94"/>
      <c r="AB1565" s="94"/>
      <c r="AC1565" s="94"/>
      <c r="AD1565" s="94"/>
      <c r="AE1565" s="94"/>
    </row>
    <row r="1566">
      <c r="A1566" s="87"/>
      <c r="B1566" s="37"/>
      <c r="C1566" s="37"/>
      <c r="D1566" s="162"/>
      <c r="E1566" s="89"/>
      <c r="F1566" s="72"/>
      <c r="G1566" s="111"/>
      <c r="H1566" s="111"/>
      <c r="I1566" s="111"/>
      <c r="J1566" s="111"/>
      <c r="K1566" s="111"/>
      <c r="L1566" s="111"/>
      <c r="M1566" s="94"/>
      <c r="N1566" s="94"/>
      <c r="O1566" s="94"/>
      <c r="P1566" s="94"/>
      <c r="Q1566" s="94"/>
      <c r="R1566" s="94"/>
      <c r="S1566" s="94"/>
      <c r="T1566" s="94"/>
      <c r="U1566" s="94"/>
      <c r="V1566" s="94"/>
      <c r="W1566" s="94"/>
      <c r="X1566" s="94"/>
      <c r="Y1566" s="94"/>
      <c r="Z1566" s="94"/>
      <c r="AA1566" s="94"/>
      <c r="AB1566" s="94"/>
      <c r="AC1566" s="94"/>
      <c r="AD1566" s="94"/>
      <c r="AE1566" s="94"/>
    </row>
    <row r="1567">
      <c r="A1567" s="87"/>
      <c r="B1567" s="37"/>
      <c r="C1567" s="37"/>
      <c r="D1567" s="162"/>
      <c r="E1567" s="89"/>
      <c r="F1567" s="72"/>
      <c r="G1567" s="111"/>
      <c r="H1567" s="111"/>
      <c r="I1567" s="111"/>
      <c r="J1567" s="111"/>
      <c r="K1567" s="111"/>
      <c r="L1567" s="111"/>
      <c r="M1567" s="94"/>
      <c r="N1567" s="94"/>
      <c r="O1567" s="94"/>
      <c r="P1567" s="94"/>
      <c r="Q1567" s="94"/>
      <c r="R1567" s="94"/>
      <c r="S1567" s="94"/>
      <c r="T1567" s="94"/>
      <c r="U1567" s="94"/>
      <c r="V1567" s="94"/>
      <c r="W1567" s="94"/>
      <c r="X1567" s="94"/>
      <c r="Y1567" s="94"/>
      <c r="Z1567" s="94"/>
      <c r="AA1567" s="94"/>
      <c r="AB1567" s="94"/>
      <c r="AC1567" s="94"/>
      <c r="AD1567" s="94"/>
      <c r="AE1567" s="94"/>
    </row>
    <row r="1568">
      <c r="A1568" s="87"/>
      <c r="B1568" s="37"/>
      <c r="C1568" s="37"/>
      <c r="D1568" s="162"/>
      <c r="E1568" s="89"/>
      <c r="F1568" s="72"/>
      <c r="G1568" s="111"/>
      <c r="H1568" s="111"/>
      <c r="I1568" s="111"/>
      <c r="J1568" s="111"/>
      <c r="K1568" s="111"/>
      <c r="L1568" s="111"/>
      <c r="M1568" s="94"/>
      <c r="N1568" s="94"/>
      <c r="O1568" s="94"/>
      <c r="P1568" s="94"/>
      <c r="Q1568" s="94"/>
      <c r="R1568" s="94"/>
      <c r="S1568" s="94"/>
      <c r="T1568" s="94"/>
      <c r="U1568" s="94"/>
      <c r="V1568" s="94"/>
      <c r="W1568" s="94"/>
      <c r="X1568" s="94"/>
      <c r="Y1568" s="94"/>
      <c r="Z1568" s="94"/>
      <c r="AA1568" s="94"/>
      <c r="AB1568" s="94"/>
      <c r="AC1568" s="94"/>
      <c r="AD1568" s="94"/>
      <c r="AE1568" s="94"/>
    </row>
    <row r="1569">
      <c r="A1569" s="87"/>
      <c r="B1569" s="37"/>
      <c r="C1569" s="37"/>
      <c r="D1569" s="162"/>
      <c r="E1569" s="89"/>
      <c r="F1569" s="72"/>
      <c r="G1569" s="111"/>
      <c r="H1569" s="111"/>
      <c r="I1569" s="111"/>
      <c r="J1569" s="111"/>
      <c r="K1569" s="111"/>
      <c r="L1569" s="111"/>
      <c r="M1569" s="94"/>
      <c r="N1569" s="94"/>
      <c r="O1569" s="94"/>
      <c r="P1569" s="94"/>
      <c r="Q1569" s="94"/>
      <c r="R1569" s="94"/>
      <c r="S1569" s="94"/>
      <c r="T1569" s="94"/>
      <c r="U1569" s="94"/>
      <c r="V1569" s="94"/>
      <c r="W1569" s="94"/>
      <c r="X1569" s="94"/>
      <c r="Y1569" s="94"/>
      <c r="Z1569" s="94"/>
      <c r="AA1569" s="94"/>
      <c r="AB1569" s="94"/>
      <c r="AC1569" s="94"/>
      <c r="AD1569" s="94"/>
      <c r="AE1569" s="94"/>
    </row>
    <row r="1570">
      <c r="A1570" s="87"/>
      <c r="B1570" s="37"/>
      <c r="C1570" s="37"/>
      <c r="D1570" s="162"/>
      <c r="E1570" s="89"/>
      <c r="F1570" s="72"/>
      <c r="G1570" s="111"/>
      <c r="H1570" s="111"/>
      <c r="I1570" s="111"/>
      <c r="J1570" s="111"/>
      <c r="K1570" s="111"/>
      <c r="L1570" s="111"/>
      <c r="M1570" s="94"/>
      <c r="N1570" s="94"/>
      <c r="O1570" s="94"/>
      <c r="P1570" s="94"/>
      <c r="Q1570" s="94"/>
      <c r="R1570" s="94"/>
      <c r="S1570" s="94"/>
      <c r="T1570" s="94"/>
      <c r="U1570" s="94"/>
      <c r="V1570" s="94"/>
      <c r="W1570" s="94"/>
      <c r="X1570" s="94"/>
      <c r="Y1570" s="94"/>
      <c r="Z1570" s="94"/>
      <c r="AA1570" s="94"/>
      <c r="AB1570" s="94"/>
      <c r="AC1570" s="94"/>
      <c r="AD1570" s="94"/>
      <c r="AE1570" s="94"/>
    </row>
    <row r="1571">
      <c r="A1571" s="87"/>
      <c r="B1571" s="37"/>
      <c r="C1571" s="37"/>
      <c r="D1571" s="162"/>
      <c r="E1571" s="89"/>
      <c r="F1571" s="72"/>
      <c r="G1571" s="111"/>
      <c r="H1571" s="111"/>
      <c r="I1571" s="111"/>
      <c r="J1571" s="111"/>
      <c r="K1571" s="111"/>
      <c r="L1571" s="111"/>
      <c r="M1571" s="94"/>
      <c r="N1571" s="94"/>
      <c r="O1571" s="94"/>
      <c r="P1571" s="94"/>
      <c r="Q1571" s="94"/>
      <c r="R1571" s="94"/>
      <c r="S1571" s="94"/>
      <c r="T1571" s="94"/>
      <c r="U1571" s="94"/>
      <c r="V1571" s="94"/>
      <c r="W1571" s="94"/>
      <c r="X1571" s="94"/>
      <c r="Y1571" s="94"/>
      <c r="Z1571" s="94"/>
      <c r="AA1571" s="94"/>
      <c r="AB1571" s="94"/>
      <c r="AC1571" s="94"/>
      <c r="AD1571" s="94"/>
      <c r="AE1571" s="94"/>
    </row>
    <row r="1572">
      <c r="A1572" s="87"/>
      <c r="B1572" s="37"/>
      <c r="C1572" s="37"/>
      <c r="D1572" s="162"/>
      <c r="E1572" s="89"/>
      <c r="F1572" s="72"/>
      <c r="G1572" s="111"/>
      <c r="H1572" s="111"/>
      <c r="I1572" s="111"/>
      <c r="J1572" s="111"/>
      <c r="K1572" s="111"/>
      <c r="L1572" s="111"/>
      <c r="M1572" s="94"/>
      <c r="N1572" s="94"/>
      <c r="O1572" s="94"/>
      <c r="P1572" s="94"/>
      <c r="Q1572" s="94"/>
      <c r="R1572" s="94"/>
      <c r="S1572" s="94"/>
      <c r="T1572" s="94"/>
      <c r="U1572" s="94"/>
      <c r="V1572" s="94"/>
      <c r="W1572" s="94"/>
      <c r="X1572" s="94"/>
      <c r="Y1572" s="94"/>
      <c r="Z1572" s="94"/>
      <c r="AA1572" s="94"/>
      <c r="AB1572" s="94"/>
      <c r="AC1572" s="94"/>
      <c r="AD1572" s="94"/>
      <c r="AE1572" s="94"/>
    </row>
    <row r="1573">
      <c r="A1573" s="87"/>
      <c r="B1573" s="37"/>
      <c r="C1573" s="37"/>
      <c r="D1573" s="162"/>
      <c r="E1573" s="89"/>
      <c r="F1573" s="72"/>
      <c r="G1573" s="111"/>
      <c r="H1573" s="111"/>
      <c r="I1573" s="111"/>
      <c r="J1573" s="111"/>
      <c r="K1573" s="111"/>
      <c r="L1573" s="111"/>
      <c r="M1573" s="94"/>
      <c r="N1573" s="94"/>
      <c r="O1573" s="94"/>
      <c r="P1573" s="94"/>
      <c r="Q1573" s="94"/>
      <c r="R1573" s="94"/>
      <c r="S1573" s="94"/>
      <c r="T1573" s="94"/>
      <c r="U1573" s="94"/>
      <c r="V1573" s="94"/>
      <c r="W1573" s="94"/>
      <c r="X1573" s="94"/>
      <c r="Y1573" s="94"/>
      <c r="Z1573" s="94"/>
      <c r="AA1573" s="94"/>
      <c r="AB1573" s="94"/>
      <c r="AC1573" s="94"/>
      <c r="AD1573" s="94"/>
      <c r="AE1573" s="94"/>
    </row>
    <row r="1574">
      <c r="A1574" s="87"/>
      <c r="B1574" s="37"/>
      <c r="C1574" s="37"/>
      <c r="D1574" s="162"/>
      <c r="E1574" s="89"/>
      <c r="F1574" s="72"/>
      <c r="G1574" s="111"/>
      <c r="H1574" s="111"/>
      <c r="I1574" s="111"/>
      <c r="J1574" s="111"/>
      <c r="K1574" s="111"/>
      <c r="L1574" s="111"/>
      <c r="M1574" s="94"/>
      <c r="N1574" s="94"/>
      <c r="O1574" s="94"/>
      <c r="P1574" s="94"/>
      <c r="Q1574" s="94"/>
      <c r="R1574" s="94"/>
      <c r="S1574" s="94"/>
      <c r="T1574" s="94"/>
      <c r="U1574" s="94"/>
      <c r="V1574" s="94"/>
      <c r="W1574" s="94"/>
      <c r="X1574" s="94"/>
      <c r="Y1574" s="94"/>
      <c r="Z1574" s="94"/>
      <c r="AA1574" s="94"/>
      <c r="AB1574" s="94"/>
      <c r="AC1574" s="94"/>
      <c r="AD1574" s="94"/>
      <c r="AE1574" s="94"/>
    </row>
    <row r="1575">
      <c r="A1575" s="87"/>
      <c r="B1575" s="37"/>
      <c r="C1575" s="37"/>
      <c r="D1575" s="162"/>
      <c r="E1575" s="89"/>
      <c r="F1575" s="72"/>
      <c r="G1575" s="111"/>
      <c r="H1575" s="111"/>
      <c r="I1575" s="111"/>
      <c r="J1575" s="111"/>
      <c r="K1575" s="111"/>
      <c r="L1575" s="111"/>
      <c r="M1575" s="94"/>
      <c r="N1575" s="94"/>
      <c r="O1575" s="94"/>
      <c r="P1575" s="94"/>
      <c r="Q1575" s="94"/>
      <c r="R1575" s="94"/>
      <c r="S1575" s="94"/>
      <c r="T1575" s="94"/>
      <c r="U1575" s="94"/>
      <c r="V1575" s="94"/>
      <c r="W1575" s="94"/>
      <c r="X1575" s="94"/>
      <c r="Y1575" s="94"/>
      <c r="Z1575" s="94"/>
      <c r="AA1575" s="94"/>
      <c r="AB1575" s="94"/>
      <c r="AC1575" s="94"/>
      <c r="AD1575" s="94"/>
      <c r="AE1575" s="94"/>
    </row>
    <row r="1576">
      <c r="A1576" s="87"/>
      <c r="B1576" s="37"/>
      <c r="C1576" s="37"/>
      <c r="D1576" s="162"/>
      <c r="E1576" s="89"/>
      <c r="F1576" s="72"/>
      <c r="G1576" s="111"/>
      <c r="H1576" s="111"/>
      <c r="I1576" s="111"/>
      <c r="J1576" s="111"/>
      <c r="K1576" s="111"/>
      <c r="L1576" s="111"/>
      <c r="M1576" s="94"/>
      <c r="N1576" s="94"/>
      <c r="O1576" s="94"/>
      <c r="P1576" s="94"/>
      <c r="Q1576" s="94"/>
      <c r="R1576" s="94"/>
      <c r="S1576" s="94"/>
      <c r="T1576" s="94"/>
      <c r="U1576" s="94"/>
      <c r="V1576" s="94"/>
      <c r="W1576" s="94"/>
      <c r="X1576" s="94"/>
      <c r="Y1576" s="94"/>
      <c r="Z1576" s="94"/>
      <c r="AA1576" s="94"/>
      <c r="AB1576" s="94"/>
      <c r="AC1576" s="94"/>
      <c r="AD1576" s="94"/>
      <c r="AE1576" s="94"/>
    </row>
    <row r="1577">
      <c r="A1577" s="87"/>
      <c r="B1577" s="37"/>
      <c r="C1577" s="37"/>
      <c r="D1577" s="162"/>
      <c r="E1577" s="89"/>
      <c r="F1577" s="72"/>
      <c r="G1577" s="111"/>
      <c r="H1577" s="111"/>
      <c r="I1577" s="111"/>
      <c r="J1577" s="111"/>
      <c r="K1577" s="111"/>
      <c r="L1577" s="111"/>
      <c r="M1577" s="94"/>
      <c r="N1577" s="94"/>
      <c r="O1577" s="94"/>
      <c r="P1577" s="94"/>
      <c r="Q1577" s="94"/>
      <c r="R1577" s="94"/>
      <c r="S1577" s="94"/>
      <c r="T1577" s="94"/>
      <c r="U1577" s="94"/>
      <c r="V1577" s="94"/>
      <c r="W1577" s="94"/>
      <c r="X1577" s="94"/>
      <c r="Y1577" s="94"/>
      <c r="Z1577" s="94"/>
      <c r="AA1577" s="94"/>
      <c r="AB1577" s="94"/>
      <c r="AC1577" s="94"/>
      <c r="AD1577" s="94"/>
      <c r="AE1577" s="94"/>
    </row>
    <row r="1578">
      <c r="A1578" s="87"/>
      <c r="B1578" s="37"/>
      <c r="C1578" s="37"/>
      <c r="D1578" s="162"/>
      <c r="E1578" s="89"/>
      <c r="F1578" s="72"/>
      <c r="G1578" s="111"/>
      <c r="H1578" s="111"/>
      <c r="I1578" s="111"/>
      <c r="J1578" s="111"/>
      <c r="K1578" s="111"/>
      <c r="L1578" s="111"/>
      <c r="M1578" s="94"/>
      <c r="N1578" s="94"/>
      <c r="O1578" s="94"/>
      <c r="P1578" s="94"/>
      <c r="Q1578" s="94"/>
      <c r="R1578" s="94"/>
      <c r="S1578" s="94"/>
      <c r="T1578" s="94"/>
      <c r="U1578" s="94"/>
      <c r="V1578" s="94"/>
      <c r="W1578" s="94"/>
      <c r="X1578" s="94"/>
      <c r="Y1578" s="94"/>
      <c r="Z1578" s="94"/>
      <c r="AA1578" s="94"/>
      <c r="AB1578" s="94"/>
      <c r="AC1578" s="94"/>
      <c r="AD1578" s="94"/>
      <c r="AE1578" s="94"/>
    </row>
    <row r="1579">
      <c r="A1579" s="87"/>
      <c r="B1579" s="37"/>
      <c r="C1579" s="37"/>
      <c r="D1579" s="162"/>
      <c r="E1579" s="89"/>
      <c r="F1579" s="72"/>
      <c r="G1579" s="111"/>
      <c r="H1579" s="111"/>
      <c r="I1579" s="111"/>
      <c r="J1579" s="111"/>
      <c r="K1579" s="111"/>
      <c r="L1579" s="111"/>
      <c r="M1579" s="94"/>
      <c r="N1579" s="94"/>
      <c r="O1579" s="94"/>
      <c r="P1579" s="94"/>
      <c r="Q1579" s="94"/>
      <c r="R1579" s="94"/>
      <c r="S1579" s="94"/>
      <c r="T1579" s="94"/>
      <c r="U1579" s="94"/>
      <c r="V1579" s="94"/>
      <c r="W1579" s="94"/>
      <c r="X1579" s="94"/>
      <c r="Y1579" s="94"/>
      <c r="Z1579" s="94"/>
      <c r="AA1579" s="94"/>
      <c r="AB1579" s="94"/>
      <c r="AC1579" s="94"/>
      <c r="AD1579" s="94"/>
      <c r="AE1579" s="94"/>
    </row>
    <row r="1580">
      <c r="A1580" s="87"/>
      <c r="B1580" s="37"/>
      <c r="C1580" s="37"/>
      <c r="D1580" s="162"/>
      <c r="E1580" s="89"/>
      <c r="F1580" s="72"/>
      <c r="G1580" s="111"/>
      <c r="H1580" s="111"/>
      <c r="I1580" s="111"/>
      <c r="J1580" s="111"/>
      <c r="K1580" s="111"/>
      <c r="L1580" s="111"/>
      <c r="M1580" s="94"/>
      <c r="N1580" s="94"/>
      <c r="O1580" s="94"/>
      <c r="P1580" s="94"/>
      <c r="Q1580" s="94"/>
      <c r="R1580" s="94"/>
      <c r="S1580" s="94"/>
      <c r="T1580" s="94"/>
      <c r="U1580" s="94"/>
      <c r="V1580" s="94"/>
      <c r="W1580" s="94"/>
      <c r="X1580" s="94"/>
      <c r="Y1580" s="94"/>
      <c r="Z1580" s="94"/>
      <c r="AA1580" s="94"/>
      <c r="AB1580" s="94"/>
      <c r="AC1580" s="94"/>
      <c r="AD1580" s="94"/>
      <c r="AE1580" s="94"/>
    </row>
    <row r="1581">
      <c r="A1581" s="87"/>
      <c r="B1581" s="37"/>
      <c r="C1581" s="37"/>
      <c r="D1581" s="162"/>
      <c r="E1581" s="89"/>
      <c r="F1581" s="72"/>
      <c r="G1581" s="111"/>
      <c r="H1581" s="111"/>
      <c r="I1581" s="111"/>
      <c r="J1581" s="111"/>
      <c r="K1581" s="111"/>
      <c r="L1581" s="111"/>
      <c r="M1581" s="94"/>
      <c r="N1581" s="94"/>
      <c r="O1581" s="94"/>
      <c r="P1581" s="94"/>
      <c r="Q1581" s="94"/>
      <c r="R1581" s="94"/>
      <c r="S1581" s="94"/>
      <c r="T1581" s="94"/>
      <c r="U1581" s="94"/>
      <c r="V1581" s="94"/>
      <c r="W1581" s="94"/>
      <c r="X1581" s="94"/>
      <c r="Y1581" s="94"/>
      <c r="Z1581" s="94"/>
      <c r="AA1581" s="94"/>
      <c r="AB1581" s="94"/>
      <c r="AC1581" s="94"/>
      <c r="AD1581" s="94"/>
      <c r="AE1581" s="94"/>
    </row>
    <row r="1582">
      <c r="A1582" s="87"/>
      <c r="B1582" s="37"/>
      <c r="C1582" s="37"/>
      <c r="D1582" s="162"/>
      <c r="E1582" s="89"/>
      <c r="F1582" s="72"/>
      <c r="G1582" s="111"/>
      <c r="H1582" s="111"/>
      <c r="I1582" s="111"/>
      <c r="J1582" s="111"/>
      <c r="K1582" s="111"/>
      <c r="L1582" s="111"/>
      <c r="M1582" s="94"/>
      <c r="N1582" s="94"/>
      <c r="O1582" s="94"/>
      <c r="P1582" s="94"/>
      <c r="Q1582" s="94"/>
      <c r="R1582" s="94"/>
      <c r="S1582" s="94"/>
      <c r="T1582" s="94"/>
      <c r="U1582" s="94"/>
      <c r="V1582" s="94"/>
      <c r="W1582" s="94"/>
      <c r="X1582" s="94"/>
      <c r="Y1582" s="94"/>
      <c r="Z1582" s="94"/>
      <c r="AA1582" s="94"/>
      <c r="AB1582" s="94"/>
      <c r="AC1582" s="94"/>
      <c r="AD1582" s="94"/>
      <c r="AE1582" s="94"/>
    </row>
    <row r="1583">
      <c r="A1583" s="87"/>
      <c r="B1583" s="37"/>
      <c r="C1583" s="37"/>
      <c r="D1583" s="162"/>
      <c r="E1583" s="89"/>
      <c r="F1583" s="72"/>
      <c r="G1583" s="111"/>
      <c r="H1583" s="111"/>
      <c r="I1583" s="111"/>
      <c r="J1583" s="111"/>
      <c r="K1583" s="111"/>
      <c r="L1583" s="111"/>
      <c r="M1583" s="94"/>
      <c r="N1583" s="94"/>
      <c r="O1583" s="94"/>
      <c r="P1583" s="94"/>
      <c r="Q1583" s="94"/>
      <c r="R1583" s="94"/>
      <c r="S1583" s="94"/>
      <c r="T1583" s="94"/>
      <c r="U1583" s="94"/>
      <c r="V1583" s="94"/>
      <c r="W1583" s="94"/>
      <c r="X1583" s="94"/>
      <c r="Y1583" s="94"/>
      <c r="Z1583" s="94"/>
      <c r="AA1583" s="94"/>
      <c r="AB1583" s="94"/>
      <c r="AC1583" s="94"/>
      <c r="AD1583" s="94"/>
      <c r="AE1583" s="94"/>
    </row>
    <row r="1584">
      <c r="A1584" s="87"/>
      <c r="B1584" s="37"/>
      <c r="C1584" s="37"/>
      <c r="D1584" s="162"/>
      <c r="E1584" s="89"/>
      <c r="F1584" s="72"/>
      <c r="G1584" s="111"/>
      <c r="H1584" s="111"/>
      <c r="I1584" s="111"/>
      <c r="J1584" s="111"/>
      <c r="K1584" s="111"/>
      <c r="L1584" s="111"/>
      <c r="M1584" s="94"/>
      <c r="N1584" s="94"/>
      <c r="O1584" s="94"/>
      <c r="P1584" s="94"/>
      <c r="Q1584" s="94"/>
      <c r="R1584" s="94"/>
      <c r="S1584" s="94"/>
      <c r="T1584" s="94"/>
      <c r="U1584" s="94"/>
      <c r="V1584" s="94"/>
      <c r="W1584" s="94"/>
      <c r="X1584" s="94"/>
      <c r="Y1584" s="94"/>
      <c r="Z1584" s="94"/>
      <c r="AA1584" s="94"/>
      <c r="AB1584" s="94"/>
      <c r="AC1584" s="94"/>
      <c r="AD1584" s="94"/>
      <c r="AE1584" s="94"/>
    </row>
    <row r="1585">
      <c r="A1585" s="87"/>
      <c r="B1585" s="37"/>
      <c r="C1585" s="37"/>
      <c r="D1585" s="162"/>
      <c r="E1585" s="89"/>
      <c r="F1585" s="72"/>
      <c r="G1585" s="111"/>
      <c r="H1585" s="111"/>
      <c r="I1585" s="111"/>
      <c r="J1585" s="111"/>
      <c r="K1585" s="111"/>
      <c r="L1585" s="111"/>
      <c r="M1585" s="94"/>
      <c r="N1585" s="94"/>
      <c r="O1585" s="94"/>
      <c r="P1585" s="94"/>
      <c r="Q1585" s="94"/>
      <c r="R1585" s="94"/>
      <c r="S1585" s="94"/>
      <c r="T1585" s="94"/>
      <c r="U1585" s="94"/>
      <c r="V1585" s="94"/>
      <c r="W1585" s="94"/>
      <c r="X1585" s="94"/>
      <c r="Y1585" s="94"/>
      <c r="Z1585" s="94"/>
      <c r="AA1585" s="94"/>
      <c r="AB1585" s="94"/>
      <c r="AC1585" s="94"/>
      <c r="AD1585" s="94"/>
      <c r="AE1585" s="94"/>
    </row>
    <row r="1586">
      <c r="A1586" s="87"/>
      <c r="B1586" s="37"/>
      <c r="C1586" s="37"/>
      <c r="D1586" s="162"/>
      <c r="E1586" s="89"/>
      <c r="F1586" s="72"/>
      <c r="G1586" s="111"/>
      <c r="H1586" s="111"/>
      <c r="I1586" s="111"/>
      <c r="J1586" s="111"/>
      <c r="K1586" s="111"/>
      <c r="L1586" s="111"/>
      <c r="M1586" s="94"/>
      <c r="N1586" s="94"/>
      <c r="O1586" s="94"/>
      <c r="P1586" s="94"/>
      <c r="Q1586" s="94"/>
      <c r="R1586" s="94"/>
      <c r="S1586" s="94"/>
      <c r="T1586" s="94"/>
      <c r="U1586" s="94"/>
      <c r="V1586" s="94"/>
      <c r="W1586" s="94"/>
      <c r="X1586" s="94"/>
      <c r="Y1586" s="94"/>
      <c r="Z1586" s="94"/>
      <c r="AA1586" s="94"/>
      <c r="AB1586" s="94"/>
      <c r="AC1586" s="94"/>
      <c r="AD1586" s="94"/>
      <c r="AE1586" s="94"/>
    </row>
    <row r="1587">
      <c r="A1587" s="87"/>
      <c r="B1587" s="37"/>
      <c r="C1587" s="37"/>
      <c r="D1587" s="162"/>
      <c r="E1587" s="89"/>
      <c r="F1587" s="72"/>
      <c r="G1587" s="111"/>
      <c r="H1587" s="111"/>
      <c r="I1587" s="111"/>
      <c r="J1587" s="111"/>
      <c r="K1587" s="111"/>
      <c r="L1587" s="111"/>
      <c r="M1587" s="94"/>
      <c r="N1587" s="94"/>
      <c r="O1587" s="94"/>
      <c r="P1587" s="94"/>
      <c r="Q1587" s="94"/>
      <c r="R1587" s="94"/>
      <c r="S1587" s="94"/>
      <c r="T1587" s="94"/>
      <c r="U1587" s="94"/>
      <c r="V1587" s="94"/>
      <c r="W1587" s="94"/>
      <c r="X1587" s="94"/>
      <c r="Y1587" s="94"/>
      <c r="Z1587" s="94"/>
      <c r="AA1587" s="94"/>
      <c r="AB1587" s="94"/>
      <c r="AC1587" s="94"/>
      <c r="AD1587" s="94"/>
      <c r="AE1587" s="94"/>
    </row>
    <row r="1588">
      <c r="A1588" s="87"/>
      <c r="B1588" s="37"/>
      <c r="C1588" s="37"/>
      <c r="D1588" s="162"/>
      <c r="E1588" s="89"/>
      <c r="F1588" s="72"/>
      <c r="G1588" s="111"/>
      <c r="H1588" s="111"/>
      <c r="I1588" s="111"/>
      <c r="J1588" s="111"/>
      <c r="K1588" s="111"/>
      <c r="L1588" s="111"/>
      <c r="M1588" s="94"/>
      <c r="N1588" s="94"/>
      <c r="O1588" s="94"/>
      <c r="P1588" s="94"/>
      <c r="Q1588" s="94"/>
      <c r="R1588" s="94"/>
      <c r="S1588" s="94"/>
      <c r="T1588" s="94"/>
      <c r="U1588" s="94"/>
      <c r="V1588" s="94"/>
      <c r="W1588" s="94"/>
      <c r="X1588" s="94"/>
      <c r="Y1588" s="94"/>
      <c r="Z1588" s="94"/>
      <c r="AA1588" s="94"/>
      <c r="AB1588" s="94"/>
      <c r="AC1588" s="94"/>
      <c r="AD1588" s="94"/>
      <c r="AE1588" s="94"/>
    </row>
    <row r="1589">
      <c r="A1589" s="87"/>
      <c r="B1589" s="37"/>
      <c r="C1589" s="37"/>
      <c r="D1589" s="162"/>
      <c r="E1589" s="89"/>
      <c r="F1589" s="72"/>
      <c r="G1589" s="111"/>
      <c r="H1589" s="111"/>
      <c r="I1589" s="111"/>
      <c r="J1589" s="111"/>
      <c r="K1589" s="111"/>
      <c r="L1589" s="111"/>
      <c r="M1589" s="94"/>
      <c r="N1589" s="94"/>
      <c r="O1589" s="94"/>
      <c r="P1589" s="94"/>
      <c r="Q1589" s="94"/>
      <c r="R1589" s="94"/>
      <c r="S1589" s="94"/>
      <c r="T1589" s="94"/>
      <c r="U1589" s="94"/>
      <c r="V1589" s="94"/>
      <c r="W1589" s="94"/>
      <c r="X1589" s="94"/>
      <c r="Y1589" s="94"/>
      <c r="Z1589" s="94"/>
      <c r="AA1589" s="94"/>
      <c r="AB1589" s="94"/>
      <c r="AC1589" s="94"/>
      <c r="AD1589" s="94"/>
      <c r="AE1589" s="94"/>
    </row>
    <row r="1590">
      <c r="A1590" s="87"/>
      <c r="B1590" s="37"/>
      <c r="C1590" s="37"/>
      <c r="D1590" s="162"/>
      <c r="E1590" s="89"/>
      <c r="F1590" s="72"/>
      <c r="G1590" s="111"/>
      <c r="H1590" s="111"/>
      <c r="I1590" s="111"/>
      <c r="J1590" s="111"/>
      <c r="K1590" s="111"/>
      <c r="L1590" s="111"/>
      <c r="M1590" s="94"/>
      <c r="N1590" s="94"/>
      <c r="O1590" s="94"/>
      <c r="P1590" s="94"/>
      <c r="Q1590" s="94"/>
      <c r="R1590" s="94"/>
      <c r="S1590" s="94"/>
      <c r="T1590" s="94"/>
      <c r="U1590" s="94"/>
      <c r="V1590" s="94"/>
      <c r="W1590" s="94"/>
      <c r="X1590" s="94"/>
      <c r="Y1590" s="94"/>
      <c r="Z1590" s="94"/>
      <c r="AA1590" s="94"/>
      <c r="AB1590" s="94"/>
      <c r="AC1590" s="94"/>
      <c r="AD1590" s="94"/>
      <c r="AE1590" s="94"/>
    </row>
    <row r="1591">
      <c r="A1591" s="87"/>
      <c r="B1591" s="37"/>
      <c r="C1591" s="37"/>
      <c r="D1591" s="162"/>
      <c r="E1591" s="89"/>
      <c r="F1591" s="72"/>
      <c r="G1591" s="111"/>
      <c r="H1591" s="111"/>
      <c r="I1591" s="111"/>
      <c r="J1591" s="111"/>
      <c r="K1591" s="111"/>
      <c r="L1591" s="111"/>
      <c r="M1591" s="94"/>
      <c r="N1591" s="94"/>
      <c r="O1591" s="94"/>
      <c r="P1591" s="94"/>
      <c r="Q1591" s="94"/>
      <c r="R1591" s="94"/>
      <c r="S1591" s="94"/>
      <c r="T1591" s="94"/>
      <c r="U1591" s="94"/>
      <c r="V1591" s="94"/>
      <c r="W1591" s="94"/>
      <c r="X1591" s="94"/>
      <c r="Y1591" s="94"/>
      <c r="Z1591" s="94"/>
      <c r="AA1591" s="94"/>
      <c r="AB1591" s="94"/>
      <c r="AC1591" s="94"/>
      <c r="AD1591" s="94"/>
      <c r="AE1591" s="94"/>
    </row>
    <row r="1592">
      <c r="A1592" s="87"/>
      <c r="B1592" s="37"/>
      <c r="C1592" s="37"/>
      <c r="D1592" s="162"/>
      <c r="E1592" s="89"/>
      <c r="F1592" s="72"/>
      <c r="G1592" s="111"/>
      <c r="H1592" s="111"/>
      <c r="I1592" s="111"/>
      <c r="J1592" s="111"/>
      <c r="K1592" s="111"/>
      <c r="L1592" s="111"/>
      <c r="M1592" s="94"/>
      <c r="N1592" s="94"/>
      <c r="O1592" s="94"/>
      <c r="P1592" s="94"/>
      <c r="Q1592" s="94"/>
      <c r="R1592" s="94"/>
      <c r="S1592" s="94"/>
      <c r="T1592" s="94"/>
      <c r="U1592" s="94"/>
      <c r="V1592" s="94"/>
      <c r="W1592" s="94"/>
      <c r="X1592" s="94"/>
      <c r="Y1592" s="94"/>
      <c r="Z1592" s="94"/>
      <c r="AA1592" s="94"/>
      <c r="AB1592" s="94"/>
      <c r="AC1592" s="94"/>
      <c r="AD1592" s="94"/>
      <c r="AE1592" s="94"/>
    </row>
    <row r="1593">
      <c r="A1593" s="87"/>
      <c r="B1593" s="37"/>
      <c r="C1593" s="37"/>
      <c r="D1593" s="162"/>
      <c r="E1593" s="89"/>
      <c r="F1593" s="72"/>
      <c r="G1593" s="111"/>
      <c r="H1593" s="111"/>
      <c r="I1593" s="111"/>
      <c r="J1593" s="111"/>
      <c r="K1593" s="111"/>
      <c r="L1593" s="111"/>
      <c r="M1593" s="94"/>
      <c r="N1593" s="94"/>
      <c r="O1593" s="94"/>
      <c r="P1593" s="94"/>
      <c r="Q1593" s="94"/>
      <c r="R1593" s="94"/>
      <c r="S1593" s="94"/>
      <c r="T1593" s="94"/>
      <c r="U1593" s="94"/>
      <c r="V1593" s="94"/>
      <c r="W1593" s="94"/>
      <c r="X1593" s="94"/>
      <c r="Y1593" s="94"/>
      <c r="Z1593" s="94"/>
      <c r="AA1593" s="94"/>
      <c r="AB1593" s="94"/>
      <c r="AC1593" s="94"/>
      <c r="AD1593" s="94"/>
      <c r="AE1593" s="94"/>
    </row>
    <row r="1594">
      <c r="A1594" s="87"/>
      <c r="B1594" s="37"/>
      <c r="C1594" s="37"/>
      <c r="D1594" s="162"/>
      <c r="E1594" s="89"/>
      <c r="F1594" s="72"/>
      <c r="G1594" s="111"/>
      <c r="H1594" s="111"/>
      <c r="I1594" s="111"/>
      <c r="J1594" s="111"/>
      <c r="K1594" s="111"/>
      <c r="L1594" s="111"/>
      <c r="M1594" s="94"/>
      <c r="N1594" s="94"/>
      <c r="O1594" s="94"/>
      <c r="P1594" s="94"/>
      <c r="Q1594" s="94"/>
      <c r="R1594" s="94"/>
      <c r="S1594" s="94"/>
      <c r="T1594" s="94"/>
      <c r="U1594" s="94"/>
      <c r="V1594" s="94"/>
      <c r="W1594" s="94"/>
      <c r="X1594" s="94"/>
      <c r="Y1594" s="94"/>
      <c r="Z1594" s="94"/>
      <c r="AA1594" s="94"/>
      <c r="AB1594" s="94"/>
      <c r="AC1594" s="94"/>
      <c r="AD1594" s="94"/>
      <c r="AE1594" s="94"/>
    </row>
    <row r="1595">
      <c r="A1595" s="87"/>
      <c r="B1595" s="37"/>
      <c r="C1595" s="37"/>
      <c r="D1595" s="162"/>
      <c r="E1595" s="89"/>
      <c r="F1595" s="72"/>
      <c r="G1595" s="111"/>
      <c r="H1595" s="111"/>
      <c r="I1595" s="111"/>
      <c r="J1595" s="111"/>
      <c r="K1595" s="111"/>
      <c r="L1595" s="111"/>
      <c r="M1595" s="94"/>
      <c r="N1595" s="94"/>
      <c r="O1595" s="94"/>
      <c r="P1595" s="94"/>
      <c r="Q1595" s="94"/>
      <c r="R1595" s="94"/>
      <c r="S1595" s="94"/>
      <c r="T1595" s="94"/>
      <c r="U1595" s="94"/>
      <c r="V1595" s="94"/>
      <c r="W1595" s="94"/>
      <c r="X1595" s="94"/>
      <c r="Y1595" s="94"/>
      <c r="Z1595" s="94"/>
      <c r="AA1595" s="94"/>
      <c r="AB1595" s="94"/>
      <c r="AC1595" s="94"/>
      <c r="AD1595" s="94"/>
      <c r="AE1595" s="94"/>
    </row>
    <row r="1596">
      <c r="A1596" s="87"/>
      <c r="B1596" s="37"/>
      <c r="C1596" s="37"/>
      <c r="D1596" s="162"/>
      <c r="E1596" s="89"/>
      <c r="F1596" s="72"/>
      <c r="G1596" s="111"/>
      <c r="H1596" s="111"/>
      <c r="I1596" s="111"/>
      <c r="J1596" s="111"/>
      <c r="K1596" s="111"/>
      <c r="L1596" s="111"/>
      <c r="M1596" s="94"/>
      <c r="N1596" s="94"/>
      <c r="O1596" s="94"/>
      <c r="P1596" s="94"/>
      <c r="Q1596" s="94"/>
      <c r="R1596" s="94"/>
      <c r="S1596" s="94"/>
      <c r="T1596" s="94"/>
      <c r="U1596" s="94"/>
      <c r="V1596" s="94"/>
      <c r="W1596" s="94"/>
      <c r="X1596" s="94"/>
      <c r="Y1596" s="94"/>
      <c r="Z1596" s="94"/>
      <c r="AA1596" s="94"/>
      <c r="AB1596" s="94"/>
      <c r="AC1596" s="94"/>
      <c r="AD1596" s="94"/>
      <c r="AE1596" s="94"/>
    </row>
    <row r="1597">
      <c r="A1597" s="87"/>
      <c r="B1597" s="37"/>
      <c r="C1597" s="37"/>
      <c r="D1597" s="162"/>
      <c r="E1597" s="89"/>
      <c r="F1597" s="72"/>
      <c r="G1597" s="111"/>
      <c r="H1597" s="111"/>
      <c r="I1597" s="111"/>
      <c r="J1597" s="111"/>
      <c r="K1597" s="111"/>
      <c r="L1597" s="111"/>
      <c r="M1597" s="94"/>
      <c r="N1597" s="94"/>
      <c r="O1597" s="94"/>
      <c r="P1597" s="94"/>
      <c r="Q1597" s="94"/>
      <c r="R1597" s="94"/>
      <c r="S1597" s="94"/>
      <c r="T1597" s="94"/>
      <c r="U1597" s="94"/>
      <c r="V1597" s="94"/>
      <c r="W1597" s="94"/>
      <c r="X1597" s="94"/>
      <c r="Y1597" s="94"/>
      <c r="Z1597" s="94"/>
      <c r="AA1597" s="94"/>
      <c r="AB1597" s="94"/>
      <c r="AC1597" s="94"/>
      <c r="AD1597" s="94"/>
      <c r="AE1597" s="94"/>
    </row>
    <row r="1598">
      <c r="A1598" s="87"/>
      <c r="B1598" s="37"/>
      <c r="C1598" s="37"/>
      <c r="D1598" s="162"/>
      <c r="E1598" s="89"/>
      <c r="F1598" s="72"/>
      <c r="G1598" s="111"/>
      <c r="H1598" s="111"/>
      <c r="I1598" s="111"/>
      <c r="J1598" s="111"/>
      <c r="K1598" s="111"/>
      <c r="L1598" s="111"/>
      <c r="M1598" s="94"/>
      <c r="N1598" s="94"/>
      <c r="O1598" s="94"/>
      <c r="P1598" s="94"/>
      <c r="Q1598" s="94"/>
      <c r="R1598" s="94"/>
      <c r="S1598" s="94"/>
      <c r="T1598" s="94"/>
      <c r="U1598" s="94"/>
      <c r="V1598" s="94"/>
      <c r="W1598" s="94"/>
      <c r="X1598" s="94"/>
      <c r="Y1598" s="94"/>
      <c r="Z1598" s="94"/>
      <c r="AA1598" s="94"/>
      <c r="AB1598" s="94"/>
      <c r="AC1598" s="94"/>
      <c r="AD1598" s="94"/>
      <c r="AE1598" s="94"/>
    </row>
    <row r="1599">
      <c r="A1599" s="87"/>
      <c r="B1599" s="37"/>
      <c r="C1599" s="37"/>
      <c r="D1599" s="162"/>
      <c r="E1599" s="89"/>
      <c r="F1599" s="72"/>
      <c r="G1599" s="111"/>
      <c r="H1599" s="111"/>
      <c r="I1599" s="111"/>
      <c r="J1599" s="111"/>
      <c r="K1599" s="111"/>
      <c r="L1599" s="111"/>
      <c r="M1599" s="94"/>
      <c r="N1599" s="94"/>
      <c r="O1599" s="94"/>
      <c r="P1599" s="94"/>
      <c r="Q1599" s="94"/>
      <c r="R1599" s="94"/>
      <c r="S1599" s="94"/>
      <c r="T1599" s="94"/>
      <c r="U1599" s="94"/>
      <c r="V1599" s="94"/>
      <c r="W1599" s="94"/>
      <c r="X1599" s="94"/>
      <c r="Y1599" s="94"/>
      <c r="Z1599" s="94"/>
      <c r="AA1599" s="94"/>
      <c r="AB1599" s="94"/>
      <c r="AC1599" s="94"/>
      <c r="AD1599" s="94"/>
      <c r="AE1599" s="94"/>
    </row>
    <row r="1600">
      <c r="A1600" s="87"/>
      <c r="B1600" s="37"/>
      <c r="C1600" s="37"/>
      <c r="D1600" s="162"/>
      <c r="E1600" s="89"/>
      <c r="F1600" s="72"/>
      <c r="G1600" s="111"/>
      <c r="H1600" s="111"/>
      <c r="I1600" s="111"/>
      <c r="J1600" s="111"/>
      <c r="K1600" s="111"/>
      <c r="L1600" s="111"/>
      <c r="M1600" s="94"/>
      <c r="N1600" s="94"/>
      <c r="O1600" s="94"/>
      <c r="P1600" s="94"/>
      <c r="Q1600" s="94"/>
      <c r="R1600" s="94"/>
      <c r="S1600" s="94"/>
      <c r="T1600" s="94"/>
      <c r="U1600" s="94"/>
      <c r="V1600" s="94"/>
      <c r="W1600" s="94"/>
      <c r="X1600" s="94"/>
      <c r="Y1600" s="94"/>
      <c r="Z1600" s="94"/>
      <c r="AA1600" s="94"/>
      <c r="AB1600" s="94"/>
      <c r="AC1600" s="94"/>
      <c r="AD1600" s="94"/>
      <c r="AE1600" s="94"/>
    </row>
    <row r="1601">
      <c r="A1601" s="87"/>
      <c r="B1601" s="37"/>
      <c r="C1601" s="37"/>
      <c r="D1601" s="162"/>
      <c r="E1601" s="89"/>
      <c r="F1601" s="72"/>
      <c r="G1601" s="111"/>
      <c r="H1601" s="111"/>
      <c r="I1601" s="111"/>
      <c r="J1601" s="111"/>
      <c r="K1601" s="111"/>
      <c r="L1601" s="111"/>
      <c r="M1601" s="94"/>
      <c r="N1601" s="94"/>
      <c r="O1601" s="94"/>
      <c r="P1601" s="94"/>
      <c r="Q1601" s="94"/>
      <c r="R1601" s="94"/>
      <c r="S1601" s="94"/>
      <c r="T1601" s="94"/>
      <c r="U1601" s="94"/>
      <c r="V1601" s="94"/>
      <c r="W1601" s="94"/>
      <c r="X1601" s="94"/>
      <c r="Y1601" s="94"/>
      <c r="Z1601" s="94"/>
      <c r="AA1601" s="94"/>
      <c r="AB1601" s="94"/>
      <c r="AC1601" s="94"/>
      <c r="AD1601" s="94"/>
      <c r="AE1601" s="94"/>
    </row>
    <row r="1602">
      <c r="A1602" s="87"/>
      <c r="B1602" s="37"/>
      <c r="C1602" s="37"/>
      <c r="D1602" s="162"/>
      <c r="E1602" s="89"/>
      <c r="F1602" s="72"/>
      <c r="G1602" s="111"/>
      <c r="H1602" s="111"/>
      <c r="I1602" s="111"/>
      <c r="J1602" s="111"/>
      <c r="K1602" s="111"/>
      <c r="L1602" s="111"/>
      <c r="M1602" s="94"/>
      <c r="N1602" s="94"/>
      <c r="O1602" s="94"/>
      <c r="P1602" s="94"/>
      <c r="Q1602" s="94"/>
      <c r="R1602" s="94"/>
      <c r="S1602" s="94"/>
      <c r="T1602" s="94"/>
      <c r="U1602" s="94"/>
      <c r="V1602" s="94"/>
      <c r="W1602" s="94"/>
      <c r="X1602" s="94"/>
      <c r="Y1602" s="94"/>
      <c r="Z1602" s="94"/>
      <c r="AA1602" s="94"/>
      <c r="AB1602" s="94"/>
      <c r="AC1602" s="94"/>
      <c r="AD1602" s="94"/>
      <c r="AE1602" s="94"/>
    </row>
    <row r="1603">
      <c r="A1603" s="87"/>
      <c r="B1603" s="37"/>
      <c r="C1603" s="37"/>
      <c r="D1603" s="162"/>
      <c r="E1603" s="89"/>
      <c r="F1603" s="72"/>
      <c r="G1603" s="111"/>
      <c r="H1603" s="111"/>
      <c r="I1603" s="111"/>
      <c r="J1603" s="111"/>
      <c r="K1603" s="111"/>
      <c r="L1603" s="111"/>
      <c r="M1603" s="94"/>
      <c r="N1603" s="94"/>
      <c r="O1603" s="94"/>
      <c r="P1603" s="94"/>
      <c r="Q1603" s="94"/>
      <c r="R1603" s="94"/>
      <c r="S1603" s="94"/>
      <c r="T1603" s="94"/>
      <c r="U1603" s="94"/>
      <c r="V1603" s="94"/>
      <c r="W1603" s="94"/>
      <c r="X1603" s="94"/>
      <c r="Y1603" s="94"/>
      <c r="Z1603" s="94"/>
      <c r="AA1603" s="94"/>
      <c r="AB1603" s="94"/>
      <c r="AC1603" s="94"/>
      <c r="AD1603" s="94"/>
      <c r="AE1603" s="94"/>
    </row>
    <row r="1604">
      <c r="A1604" s="87"/>
      <c r="B1604" s="37"/>
      <c r="C1604" s="37"/>
      <c r="D1604" s="162"/>
      <c r="E1604" s="89"/>
      <c r="F1604" s="72"/>
      <c r="G1604" s="111"/>
      <c r="H1604" s="111"/>
      <c r="I1604" s="111"/>
      <c r="J1604" s="111"/>
      <c r="K1604" s="111"/>
      <c r="L1604" s="111"/>
      <c r="M1604" s="94"/>
      <c r="N1604" s="94"/>
      <c r="O1604" s="94"/>
      <c r="P1604" s="94"/>
      <c r="Q1604" s="94"/>
      <c r="R1604" s="94"/>
      <c r="S1604" s="94"/>
      <c r="T1604" s="94"/>
      <c r="U1604" s="94"/>
      <c r="V1604" s="94"/>
      <c r="W1604" s="94"/>
      <c r="X1604" s="94"/>
      <c r="Y1604" s="94"/>
      <c r="Z1604" s="94"/>
      <c r="AA1604" s="94"/>
      <c r="AB1604" s="94"/>
      <c r="AC1604" s="94"/>
      <c r="AD1604" s="94"/>
      <c r="AE1604" s="94"/>
    </row>
    <row r="1605">
      <c r="A1605" s="87"/>
      <c r="B1605" s="37"/>
      <c r="C1605" s="37"/>
      <c r="D1605" s="162"/>
      <c r="E1605" s="89"/>
      <c r="F1605" s="72"/>
      <c r="G1605" s="111"/>
      <c r="H1605" s="111"/>
      <c r="I1605" s="111"/>
      <c r="J1605" s="111"/>
      <c r="K1605" s="111"/>
      <c r="L1605" s="111"/>
      <c r="M1605" s="94"/>
      <c r="N1605" s="94"/>
      <c r="O1605" s="94"/>
      <c r="P1605" s="94"/>
      <c r="Q1605" s="94"/>
      <c r="R1605" s="94"/>
      <c r="S1605" s="94"/>
      <c r="T1605" s="94"/>
      <c r="U1605" s="94"/>
      <c r="V1605" s="94"/>
      <c r="W1605" s="94"/>
      <c r="X1605" s="94"/>
      <c r="Y1605" s="94"/>
      <c r="Z1605" s="94"/>
      <c r="AA1605" s="94"/>
      <c r="AB1605" s="94"/>
      <c r="AC1605" s="94"/>
      <c r="AD1605" s="94"/>
      <c r="AE1605" s="94"/>
    </row>
    <row r="1606">
      <c r="A1606" s="87"/>
      <c r="B1606" s="37"/>
      <c r="C1606" s="37"/>
      <c r="D1606" s="162"/>
      <c r="E1606" s="89"/>
      <c r="F1606" s="72"/>
      <c r="G1606" s="111"/>
      <c r="H1606" s="111"/>
      <c r="I1606" s="111"/>
      <c r="J1606" s="111"/>
      <c r="K1606" s="111"/>
      <c r="L1606" s="111"/>
      <c r="M1606" s="94"/>
      <c r="N1606" s="94"/>
      <c r="O1606" s="94"/>
      <c r="P1606" s="94"/>
      <c r="Q1606" s="94"/>
      <c r="R1606" s="94"/>
      <c r="S1606" s="94"/>
      <c r="T1606" s="94"/>
      <c r="U1606" s="94"/>
      <c r="V1606" s="94"/>
      <c r="W1606" s="94"/>
      <c r="X1606" s="94"/>
      <c r="Y1606" s="94"/>
      <c r="Z1606" s="94"/>
      <c r="AA1606" s="94"/>
      <c r="AB1606" s="94"/>
      <c r="AC1606" s="94"/>
      <c r="AD1606" s="94"/>
      <c r="AE1606" s="94"/>
    </row>
    <row r="1607">
      <c r="A1607" s="87"/>
      <c r="B1607" s="37"/>
      <c r="C1607" s="37"/>
      <c r="D1607" s="162"/>
      <c r="E1607" s="89"/>
      <c r="F1607" s="72"/>
      <c r="G1607" s="111"/>
      <c r="H1607" s="111"/>
      <c r="I1607" s="111"/>
      <c r="J1607" s="111"/>
      <c r="K1607" s="111"/>
      <c r="L1607" s="111"/>
      <c r="M1607" s="94"/>
      <c r="N1607" s="94"/>
      <c r="O1607" s="94"/>
      <c r="P1607" s="94"/>
      <c r="Q1607" s="94"/>
      <c r="R1607" s="94"/>
      <c r="S1607" s="94"/>
      <c r="T1607" s="94"/>
      <c r="U1607" s="94"/>
      <c r="V1607" s="94"/>
      <c r="W1607" s="94"/>
      <c r="X1607" s="94"/>
      <c r="Y1607" s="94"/>
      <c r="Z1607" s="94"/>
      <c r="AA1607" s="94"/>
      <c r="AB1607" s="94"/>
      <c r="AC1607" s="94"/>
      <c r="AD1607" s="94"/>
      <c r="AE1607" s="94"/>
    </row>
    <row r="1608">
      <c r="A1608" s="87"/>
      <c r="B1608" s="37"/>
      <c r="C1608" s="37"/>
      <c r="D1608" s="162"/>
      <c r="E1608" s="89"/>
      <c r="F1608" s="72"/>
      <c r="G1608" s="111"/>
      <c r="H1608" s="111"/>
      <c r="I1608" s="111"/>
      <c r="J1608" s="111"/>
      <c r="K1608" s="111"/>
      <c r="L1608" s="111"/>
      <c r="M1608" s="94"/>
      <c r="N1608" s="94"/>
      <c r="O1608" s="94"/>
      <c r="P1608" s="94"/>
      <c r="Q1608" s="94"/>
      <c r="R1608" s="94"/>
      <c r="S1608" s="94"/>
      <c r="T1608" s="94"/>
      <c r="U1608" s="94"/>
      <c r="V1608" s="94"/>
      <c r="W1608" s="94"/>
      <c r="X1608" s="94"/>
      <c r="Y1608" s="94"/>
      <c r="Z1608" s="94"/>
      <c r="AA1608" s="94"/>
      <c r="AB1608" s="94"/>
      <c r="AC1608" s="94"/>
      <c r="AD1608" s="94"/>
      <c r="AE1608" s="94"/>
    </row>
    <row r="1609">
      <c r="A1609" s="87"/>
      <c r="B1609" s="37"/>
      <c r="C1609" s="37"/>
      <c r="D1609" s="162"/>
      <c r="E1609" s="89"/>
      <c r="F1609" s="72"/>
      <c r="G1609" s="111"/>
      <c r="H1609" s="111"/>
      <c r="I1609" s="111"/>
      <c r="J1609" s="111"/>
      <c r="K1609" s="111"/>
      <c r="L1609" s="111"/>
      <c r="M1609" s="94"/>
      <c r="N1609" s="94"/>
      <c r="O1609" s="94"/>
      <c r="P1609" s="94"/>
      <c r="Q1609" s="94"/>
      <c r="R1609" s="94"/>
      <c r="S1609" s="94"/>
      <c r="T1609" s="94"/>
      <c r="U1609" s="94"/>
      <c r="V1609" s="94"/>
      <c r="W1609" s="94"/>
      <c r="X1609" s="94"/>
      <c r="Y1609" s="94"/>
      <c r="Z1609" s="94"/>
      <c r="AA1609" s="94"/>
      <c r="AB1609" s="94"/>
      <c r="AC1609" s="94"/>
      <c r="AD1609" s="94"/>
      <c r="AE1609" s="94"/>
    </row>
    <row r="1610">
      <c r="A1610" s="87"/>
      <c r="B1610" s="37"/>
      <c r="C1610" s="37"/>
      <c r="D1610" s="162"/>
      <c r="E1610" s="89"/>
      <c r="F1610" s="72"/>
      <c r="G1610" s="111"/>
      <c r="H1610" s="111"/>
      <c r="I1610" s="111"/>
      <c r="J1610" s="111"/>
      <c r="K1610" s="111"/>
      <c r="L1610" s="111"/>
      <c r="M1610" s="94"/>
      <c r="N1610" s="94"/>
      <c r="O1610" s="94"/>
      <c r="P1610" s="94"/>
      <c r="Q1610" s="94"/>
      <c r="R1610" s="94"/>
      <c r="S1610" s="94"/>
      <c r="T1610" s="94"/>
      <c r="U1610" s="94"/>
      <c r="V1610" s="94"/>
      <c r="W1610" s="94"/>
      <c r="X1610" s="94"/>
      <c r="Y1610" s="94"/>
      <c r="Z1610" s="94"/>
      <c r="AA1610" s="94"/>
      <c r="AB1610" s="94"/>
      <c r="AC1610" s="94"/>
      <c r="AD1610" s="94"/>
      <c r="AE1610" s="94"/>
    </row>
    <row r="1611">
      <c r="A1611" s="87"/>
      <c r="B1611" s="37"/>
      <c r="C1611" s="37"/>
      <c r="D1611" s="162"/>
      <c r="E1611" s="89"/>
      <c r="F1611" s="72"/>
      <c r="G1611" s="111"/>
      <c r="H1611" s="111"/>
      <c r="I1611" s="111"/>
      <c r="J1611" s="111"/>
      <c r="K1611" s="111"/>
      <c r="L1611" s="111"/>
      <c r="M1611" s="94"/>
      <c r="N1611" s="94"/>
      <c r="O1611" s="94"/>
      <c r="P1611" s="94"/>
      <c r="Q1611" s="94"/>
      <c r="R1611" s="94"/>
      <c r="S1611" s="94"/>
      <c r="T1611" s="94"/>
      <c r="U1611" s="94"/>
      <c r="V1611" s="94"/>
      <c r="W1611" s="94"/>
      <c r="X1611" s="94"/>
      <c r="Y1611" s="94"/>
      <c r="Z1611" s="94"/>
      <c r="AA1611" s="94"/>
      <c r="AB1611" s="94"/>
      <c r="AC1611" s="94"/>
      <c r="AD1611" s="94"/>
      <c r="AE1611" s="94"/>
    </row>
    <row r="1612">
      <c r="A1612" s="87"/>
      <c r="B1612" s="37"/>
      <c r="C1612" s="37"/>
      <c r="D1612" s="162"/>
      <c r="E1612" s="89"/>
      <c r="F1612" s="72"/>
      <c r="G1612" s="111"/>
      <c r="H1612" s="111"/>
      <c r="I1612" s="111"/>
      <c r="J1612" s="111"/>
      <c r="K1612" s="111"/>
      <c r="L1612" s="111"/>
      <c r="M1612" s="94"/>
      <c r="N1612" s="94"/>
      <c r="O1612" s="94"/>
      <c r="P1612" s="94"/>
      <c r="Q1612" s="94"/>
      <c r="R1612" s="94"/>
      <c r="S1612" s="94"/>
      <c r="T1612" s="94"/>
      <c r="U1612" s="94"/>
      <c r="V1612" s="94"/>
      <c r="W1612" s="94"/>
      <c r="X1612" s="94"/>
      <c r="Y1612" s="94"/>
      <c r="Z1612" s="94"/>
      <c r="AA1612" s="94"/>
      <c r="AB1612" s="94"/>
      <c r="AC1612" s="94"/>
      <c r="AD1612" s="94"/>
      <c r="AE1612" s="94"/>
    </row>
    <row r="1613">
      <c r="A1613" s="87"/>
      <c r="B1613" s="37"/>
      <c r="C1613" s="37"/>
      <c r="D1613" s="162"/>
      <c r="E1613" s="89"/>
      <c r="F1613" s="72"/>
      <c r="G1613" s="111"/>
      <c r="H1613" s="111"/>
      <c r="I1613" s="111"/>
      <c r="J1613" s="111"/>
      <c r="K1613" s="111"/>
      <c r="L1613" s="111"/>
      <c r="M1613" s="94"/>
      <c r="N1613" s="94"/>
      <c r="O1613" s="94"/>
      <c r="P1613" s="94"/>
      <c r="Q1613" s="94"/>
      <c r="R1613" s="94"/>
      <c r="S1613" s="94"/>
      <c r="T1613" s="94"/>
      <c r="U1613" s="94"/>
      <c r="V1613" s="94"/>
      <c r="W1613" s="94"/>
      <c r="X1613" s="94"/>
      <c r="Y1613" s="94"/>
      <c r="Z1613" s="94"/>
      <c r="AA1613" s="94"/>
      <c r="AB1613" s="94"/>
      <c r="AC1613" s="94"/>
      <c r="AD1613" s="94"/>
      <c r="AE1613" s="94"/>
    </row>
    <row r="1614">
      <c r="A1614" s="87"/>
      <c r="B1614" s="37"/>
      <c r="C1614" s="37"/>
      <c r="D1614" s="162"/>
      <c r="E1614" s="89"/>
      <c r="F1614" s="72"/>
      <c r="G1614" s="111"/>
      <c r="H1614" s="111"/>
      <c r="I1614" s="111"/>
      <c r="J1614" s="111"/>
      <c r="K1614" s="111"/>
      <c r="L1614" s="111"/>
      <c r="M1614" s="94"/>
      <c r="N1614" s="94"/>
      <c r="O1614" s="94"/>
      <c r="P1614" s="94"/>
      <c r="Q1614" s="94"/>
      <c r="R1614" s="94"/>
      <c r="S1614" s="94"/>
      <c r="T1614" s="94"/>
      <c r="U1614" s="94"/>
      <c r="V1614" s="94"/>
      <c r="W1614" s="94"/>
      <c r="X1614" s="94"/>
      <c r="Y1614" s="94"/>
      <c r="Z1614" s="94"/>
      <c r="AA1614" s="94"/>
      <c r="AB1614" s="94"/>
      <c r="AC1614" s="94"/>
      <c r="AD1614" s="94"/>
      <c r="AE1614" s="94"/>
    </row>
    <row r="1615">
      <c r="A1615" s="87"/>
      <c r="B1615" s="37"/>
      <c r="C1615" s="37"/>
      <c r="D1615" s="162"/>
      <c r="E1615" s="89"/>
      <c r="F1615" s="72"/>
      <c r="G1615" s="111"/>
      <c r="H1615" s="111"/>
      <c r="I1615" s="111"/>
      <c r="J1615" s="111"/>
      <c r="K1615" s="111"/>
      <c r="L1615" s="111"/>
      <c r="M1615" s="94"/>
      <c r="N1615" s="94"/>
      <c r="O1615" s="94"/>
      <c r="P1615" s="94"/>
      <c r="Q1615" s="94"/>
      <c r="R1615" s="94"/>
      <c r="S1615" s="94"/>
      <c r="T1615" s="94"/>
      <c r="U1615" s="94"/>
      <c r="V1615" s="94"/>
      <c r="W1615" s="94"/>
      <c r="X1615" s="94"/>
      <c r="Y1615" s="94"/>
      <c r="Z1615" s="94"/>
      <c r="AA1615" s="94"/>
      <c r="AB1615" s="94"/>
      <c r="AC1615" s="94"/>
      <c r="AD1615" s="94"/>
      <c r="AE1615" s="94"/>
    </row>
    <row r="1616">
      <c r="A1616" s="87"/>
      <c r="B1616" s="37"/>
      <c r="C1616" s="37"/>
      <c r="D1616" s="162"/>
      <c r="E1616" s="89"/>
      <c r="F1616" s="72"/>
      <c r="G1616" s="111"/>
      <c r="H1616" s="111"/>
      <c r="I1616" s="111"/>
      <c r="J1616" s="111"/>
      <c r="K1616" s="111"/>
      <c r="L1616" s="111"/>
      <c r="M1616" s="94"/>
      <c r="N1616" s="94"/>
      <c r="O1616" s="94"/>
      <c r="P1616" s="94"/>
      <c r="Q1616" s="94"/>
      <c r="R1616" s="94"/>
      <c r="S1616" s="94"/>
      <c r="T1616" s="94"/>
      <c r="U1616" s="94"/>
      <c r="V1616" s="94"/>
      <c r="W1616" s="94"/>
      <c r="X1616" s="94"/>
      <c r="Y1616" s="94"/>
      <c r="Z1616" s="94"/>
      <c r="AA1616" s="94"/>
      <c r="AB1616" s="94"/>
      <c r="AC1616" s="94"/>
      <c r="AD1616" s="94"/>
      <c r="AE1616" s="94"/>
    </row>
    <row r="1617">
      <c r="A1617" s="87"/>
      <c r="B1617" s="37"/>
      <c r="C1617" s="37"/>
      <c r="D1617" s="162"/>
      <c r="E1617" s="89"/>
      <c r="F1617" s="72"/>
      <c r="G1617" s="111"/>
      <c r="H1617" s="111"/>
      <c r="I1617" s="111"/>
      <c r="J1617" s="111"/>
      <c r="K1617" s="111"/>
      <c r="L1617" s="111"/>
      <c r="M1617" s="94"/>
      <c r="N1617" s="94"/>
      <c r="O1617" s="94"/>
      <c r="P1617" s="94"/>
      <c r="Q1617" s="94"/>
      <c r="R1617" s="94"/>
      <c r="S1617" s="94"/>
      <c r="T1617" s="94"/>
      <c r="U1617" s="94"/>
      <c r="V1617" s="94"/>
      <c r="W1617" s="94"/>
      <c r="X1617" s="94"/>
      <c r="Y1617" s="94"/>
      <c r="Z1617" s="94"/>
      <c r="AA1617" s="94"/>
      <c r="AB1617" s="94"/>
      <c r="AC1617" s="94"/>
      <c r="AD1617" s="94"/>
      <c r="AE1617" s="94"/>
    </row>
    <row r="1618">
      <c r="A1618" s="87"/>
      <c r="B1618" s="37"/>
      <c r="C1618" s="37"/>
      <c r="D1618" s="162"/>
      <c r="E1618" s="89"/>
      <c r="F1618" s="72"/>
      <c r="G1618" s="111"/>
      <c r="H1618" s="111"/>
      <c r="I1618" s="111"/>
      <c r="J1618" s="111"/>
      <c r="K1618" s="111"/>
      <c r="L1618" s="111"/>
      <c r="M1618" s="94"/>
      <c r="N1618" s="94"/>
      <c r="O1618" s="94"/>
      <c r="P1618" s="94"/>
      <c r="Q1618" s="94"/>
      <c r="R1618" s="94"/>
      <c r="S1618" s="94"/>
      <c r="T1618" s="94"/>
      <c r="U1618" s="94"/>
      <c r="V1618" s="94"/>
      <c r="W1618" s="94"/>
      <c r="X1618" s="94"/>
      <c r="Y1618" s="94"/>
      <c r="Z1618" s="94"/>
      <c r="AA1618" s="94"/>
      <c r="AB1618" s="94"/>
      <c r="AC1618" s="94"/>
      <c r="AD1618" s="94"/>
      <c r="AE1618" s="94"/>
    </row>
    <row r="1619">
      <c r="A1619" s="87"/>
      <c r="B1619" s="37"/>
      <c r="C1619" s="37"/>
      <c r="D1619" s="162"/>
      <c r="E1619" s="89"/>
      <c r="F1619" s="72"/>
      <c r="G1619" s="111"/>
      <c r="H1619" s="111"/>
      <c r="I1619" s="111"/>
      <c r="J1619" s="111"/>
      <c r="K1619" s="111"/>
      <c r="L1619" s="111"/>
      <c r="M1619" s="94"/>
      <c r="N1619" s="94"/>
      <c r="O1619" s="94"/>
      <c r="P1619" s="94"/>
      <c r="Q1619" s="94"/>
      <c r="R1619" s="94"/>
      <c r="S1619" s="94"/>
      <c r="T1619" s="94"/>
      <c r="U1619" s="94"/>
      <c r="V1619" s="94"/>
      <c r="W1619" s="94"/>
      <c r="X1619" s="94"/>
      <c r="Y1619" s="94"/>
      <c r="Z1619" s="94"/>
      <c r="AA1619" s="94"/>
      <c r="AB1619" s="94"/>
      <c r="AC1619" s="94"/>
      <c r="AD1619" s="94"/>
      <c r="AE1619" s="94"/>
    </row>
    <row r="1620">
      <c r="A1620" s="87"/>
      <c r="B1620" s="37"/>
      <c r="C1620" s="37"/>
      <c r="D1620" s="162"/>
      <c r="E1620" s="89"/>
      <c r="F1620" s="72"/>
      <c r="G1620" s="111"/>
      <c r="H1620" s="111"/>
      <c r="I1620" s="111"/>
      <c r="J1620" s="111"/>
      <c r="K1620" s="111"/>
      <c r="L1620" s="111"/>
      <c r="M1620" s="94"/>
      <c r="N1620" s="94"/>
      <c r="O1620" s="94"/>
      <c r="P1620" s="94"/>
      <c r="Q1620" s="94"/>
      <c r="R1620" s="94"/>
      <c r="S1620" s="94"/>
      <c r="T1620" s="94"/>
      <c r="U1620" s="94"/>
      <c r="V1620" s="94"/>
      <c r="W1620" s="94"/>
      <c r="X1620" s="94"/>
      <c r="Y1620" s="94"/>
      <c r="Z1620" s="94"/>
      <c r="AA1620" s="94"/>
      <c r="AB1620" s="94"/>
      <c r="AC1620" s="94"/>
      <c r="AD1620" s="94"/>
      <c r="AE1620" s="94"/>
    </row>
    <row r="1621">
      <c r="A1621" s="87"/>
      <c r="B1621" s="37"/>
      <c r="C1621" s="37"/>
      <c r="D1621" s="162"/>
      <c r="E1621" s="89"/>
      <c r="F1621" s="72"/>
      <c r="G1621" s="111"/>
      <c r="H1621" s="111"/>
      <c r="I1621" s="111"/>
      <c r="J1621" s="111"/>
      <c r="K1621" s="111"/>
      <c r="L1621" s="111"/>
      <c r="M1621" s="94"/>
      <c r="N1621" s="94"/>
      <c r="O1621" s="94"/>
      <c r="P1621" s="94"/>
      <c r="Q1621" s="94"/>
      <c r="R1621" s="94"/>
      <c r="S1621" s="94"/>
      <c r="T1621" s="94"/>
      <c r="U1621" s="94"/>
      <c r="V1621" s="94"/>
      <c r="W1621" s="94"/>
      <c r="X1621" s="94"/>
      <c r="Y1621" s="94"/>
      <c r="Z1621" s="94"/>
      <c r="AA1621" s="94"/>
      <c r="AB1621" s="94"/>
      <c r="AC1621" s="94"/>
      <c r="AD1621" s="94"/>
      <c r="AE1621" s="94"/>
    </row>
    <row r="1622">
      <c r="A1622" s="87"/>
      <c r="B1622" s="37"/>
      <c r="C1622" s="37"/>
      <c r="D1622" s="162"/>
      <c r="E1622" s="89"/>
      <c r="F1622" s="72"/>
      <c r="G1622" s="111"/>
      <c r="H1622" s="111"/>
      <c r="I1622" s="111"/>
      <c r="J1622" s="111"/>
      <c r="K1622" s="111"/>
      <c r="L1622" s="111"/>
      <c r="M1622" s="94"/>
      <c r="N1622" s="94"/>
      <c r="O1622" s="94"/>
      <c r="P1622" s="94"/>
      <c r="Q1622" s="94"/>
      <c r="R1622" s="94"/>
      <c r="S1622" s="94"/>
      <c r="T1622" s="94"/>
      <c r="U1622" s="94"/>
      <c r="V1622" s="94"/>
      <c r="W1622" s="94"/>
      <c r="X1622" s="94"/>
      <c r="Y1622" s="94"/>
      <c r="Z1622" s="94"/>
      <c r="AA1622" s="94"/>
      <c r="AB1622" s="94"/>
      <c r="AC1622" s="94"/>
      <c r="AD1622" s="94"/>
      <c r="AE1622" s="94"/>
    </row>
    <row r="1623">
      <c r="A1623" s="87"/>
      <c r="B1623" s="37"/>
      <c r="C1623" s="37"/>
      <c r="D1623" s="162"/>
      <c r="E1623" s="89"/>
      <c r="F1623" s="72"/>
      <c r="G1623" s="111"/>
      <c r="H1623" s="111"/>
      <c r="I1623" s="111"/>
      <c r="J1623" s="111"/>
      <c r="K1623" s="111"/>
      <c r="L1623" s="111"/>
      <c r="M1623" s="94"/>
      <c r="N1623" s="94"/>
      <c r="O1623" s="94"/>
      <c r="P1623" s="94"/>
      <c r="Q1623" s="94"/>
      <c r="R1623" s="94"/>
      <c r="S1623" s="94"/>
      <c r="T1623" s="94"/>
      <c r="U1623" s="94"/>
      <c r="V1623" s="94"/>
      <c r="W1623" s="94"/>
      <c r="X1623" s="94"/>
      <c r="Y1623" s="94"/>
      <c r="Z1623" s="94"/>
      <c r="AA1623" s="94"/>
      <c r="AB1623" s="94"/>
      <c r="AC1623" s="94"/>
      <c r="AD1623" s="94"/>
      <c r="AE1623" s="94"/>
    </row>
    <row r="1624">
      <c r="A1624" s="87"/>
      <c r="B1624" s="37"/>
      <c r="C1624" s="37"/>
      <c r="D1624" s="162"/>
      <c r="E1624" s="89"/>
      <c r="F1624" s="72"/>
      <c r="G1624" s="111"/>
      <c r="H1624" s="111"/>
      <c r="I1624" s="111"/>
      <c r="J1624" s="111"/>
      <c r="K1624" s="111"/>
      <c r="L1624" s="111"/>
      <c r="M1624" s="94"/>
      <c r="N1624" s="94"/>
      <c r="O1624" s="94"/>
      <c r="P1624" s="94"/>
      <c r="Q1624" s="94"/>
      <c r="R1624" s="94"/>
      <c r="S1624" s="94"/>
      <c r="T1624" s="94"/>
      <c r="U1624" s="94"/>
      <c r="V1624" s="94"/>
      <c r="W1624" s="94"/>
      <c r="X1624" s="94"/>
      <c r="Y1624" s="94"/>
      <c r="Z1624" s="94"/>
      <c r="AA1624" s="94"/>
      <c r="AB1624" s="94"/>
      <c r="AC1624" s="94"/>
      <c r="AD1624" s="94"/>
      <c r="AE1624" s="94"/>
    </row>
    <row r="1625">
      <c r="A1625" s="87"/>
      <c r="B1625" s="37"/>
      <c r="C1625" s="37"/>
      <c r="D1625" s="162"/>
      <c r="E1625" s="89"/>
      <c r="F1625" s="72"/>
      <c r="G1625" s="111"/>
      <c r="H1625" s="111"/>
      <c r="I1625" s="111"/>
      <c r="J1625" s="111"/>
      <c r="K1625" s="111"/>
      <c r="L1625" s="111"/>
      <c r="M1625" s="94"/>
      <c r="N1625" s="94"/>
      <c r="O1625" s="94"/>
      <c r="P1625" s="94"/>
      <c r="Q1625" s="94"/>
      <c r="R1625" s="94"/>
      <c r="S1625" s="94"/>
      <c r="T1625" s="94"/>
      <c r="U1625" s="94"/>
      <c r="V1625" s="94"/>
      <c r="W1625" s="94"/>
      <c r="X1625" s="94"/>
      <c r="Y1625" s="94"/>
      <c r="Z1625" s="94"/>
      <c r="AA1625" s="94"/>
      <c r="AB1625" s="94"/>
      <c r="AC1625" s="94"/>
      <c r="AD1625" s="94"/>
      <c r="AE1625" s="94"/>
    </row>
    <row r="1626">
      <c r="A1626" s="87"/>
      <c r="B1626" s="37"/>
      <c r="C1626" s="37"/>
      <c r="D1626" s="162"/>
      <c r="E1626" s="89"/>
      <c r="F1626" s="72"/>
      <c r="G1626" s="111"/>
      <c r="H1626" s="111"/>
      <c r="I1626" s="111"/>
      <c r="J1626" s="111"/>
      <c r="K1626" s="111"/>
      <c r="L1626" s="111"/>
      <c r="M1626" s="94"/>
      <c r="N1626" s="94"/>
      <c r="O1626" s="94"/>
      <c r="P1626" s="94"/>
      <c r="Q1626" s="94"/>
      <c r="R1626" s="94"/>
      <c r="S1626" s="94"/>
      <c r="T1626" s="94"/>
      <c r="U1626" s="94"/>
      <c r="V1626" s="94"/>
      <c r="W1626" s="94"/>
      <c r="X1626" s="94"/>
      <c r="Y1626" s="94"/>
      <c r="Z1626" s="94"/>
      <c r="AA1626" s="94"/>
      <c r="AB1626" s="94"/>
      <c r="AC1626" s="94"/>
      <c r="AD1626" s="94"/>
      <c r="AE1626" s="94"/>
    </row>
    <row r="1627">
      <c r="A1627" s="87"/>
      <c r="B1627" s="37"/>
      <c r="C1627" s="37"/>
      <c r="D1627" s="162"/>
      <c r="E1627" s="89"/>
      <c r="F1627" s="72"/>
      <c r="G1627" s="111"/>
      <c r="H1627" s="111"/>
      <c r="I1627" s="111"/>
      <c r="J1627" s="111"/>
      <c r="K1627" s="111"/>
      <c r="L1627" s="111"/>
      <c r="M1627" s="94"/>
      <c r="N1627" s="94"/>
      <c r="O1627" s="94"/>
      <c r="P1627" s="94"/>
      <c r="Q1627" s="94"/>
      <c r="R1627" s="94"/>
      <c r="S1627" s="94"/>
      <c r="T1627" s="94"/>
      <c r="U1627" s="94"/>
      <c r="V1627" s="94"/>
      <c r="W1627" s="94"/>
      <c r="X1627" s="94"/>
      <c r="Y1627" s="94"/>
      <c r="Z1627" s="94"/>
      <c r="AA1627" s="94"/>
      <c r="AB1627" s="94"/>
      <c r="AC1627" s="94"/>
      <c r="AD1627" s="94"/>
      <c r="AE1627" s="94"/>
    </row>
    <row r="1628">
      <c r="A1628" s="87"/>
      <c r="B1628" s="37"/>
      <c r="C1628" s="37"/>
      <c r="D1628" s="162"/>
      <c r="E1628" s="89"/>
      <c r="F1628" s="72"/>
      <c r="G1628" s="111"/>
      <c r="H1628" s="111"/>
      <c r="I1628" s="111"/>
      <c r="J1628" s="111"/>
      <c r="K1628" s="111"/>
      <c r="L1628" s="111"/>
      <c r="M1628" s="94"/>
      <c r="N1628" s="94"/>
      <c r="O1628" s="94"/>
      <c r="P1628" s="94"/>
      <c r="Q1628" s="94"/>
      <c r="R1628" s="94"/>
      <c r="S1628" s="94"/>
      <c r="T1628" s="94"/>
      <c r="U1628" s="94"/>
      <c r="V1628" s="94"/>
      <c r="W1628" s="94"/>
      <c r="X1628" s="94"/>
      <c r="Y1628" s="94"/>
      <c r="Z1628" s="94"/>
      <c r="AA1628" s="94"/>
      <c r="AB1628" s="94"/>
      <c r="AC1628" s="94"/>
      <c r="AD1628" s="94"/>
      <c r="AE1628" s="94"/>
    </row>
    <row r="1629">
      <c r="A1629" s="87"/>
      <c r="B1629" s="37"/>
      <c r="C1629" s="37"/>
      <c r="D1629" s="162"/>
      <c r="E1629" s="89"/>
      <c r="F1629" s="72"/>
      <c r="G1629" s="111"/>
      <c r="H1629" s="111"/>
      <c r="I1629" s="111"/>
      <c r="J1629" s="111"/>
      <c r="K1629" s="111"/>
      <c r="L1629" s="111"/>
      <c r="M1629" s="94"/>
      <c r="N1629" s="94"/>
      <c r="O1629" s="94"/>
      <c r="P1629" s="94"/>
      <c r="Q1629" s="94"/>
      <c r="R1629" s="94"/>
      <c r="S1629" s="94"/>
      <c r="T1629" s="94"/>
      <c r="U1629" s="94"/>
      <c r="V1629" s="94"/>
      <c r="W1629" s="94"/>
      <c r="X1629" s="94"/>
      <c r="Y1629" s="94"/>
      <c r="Z1629" s="94"/>
      <c r="AA1629" s="94"/>
      <c r="AB1629" s="94"/>
      <c r="AC1629" s="94"/>
      <c r="AD1629" s="94"/>
      <c r="AE1629" s="94"/>
    </row>
    <row r="1630">
      <c r="A1630" s="87"/>
      <c r="B1630" s="37"/>
      <c r="C1630" s="37"/>
      <c r="D1630" s="162"/>
      <c r="E1630" s="89"/>
      <c r="F1630" s="72"/>
      <c r="G1630" s="111"/>
      <c r="H1630" s="111"/>
      <c r="I1630" s="111"/>
      <c r="J1630" s="111"/>
      <c r="K1630" s="111"/>
      <c r="L1630" s="111"/>
      <c r="M1630" s="94"/>
      <c r="N1630" s="94"/>
      <c r="O1630" s="94"/>
      <c r="P1630" s="94"/>
      <c r="Q1630" s="94"/>
      <c r="R1630" s="94"/>
      <c r="S1630" s="94"/>
      <c r="T1630" s="94"/>
      <c r="U1630" s="94"/>
      <c r="V1630" s="94"/>
      <c r="W1630" s="94"/>
      <c r="X1630" s="94"/>
      <c r="Y1630" s="94"/>
      <c r="Z1630" s="94"/>
      <c r="AA1630" s="94"/>
      <c r="AB1630" s="94"/>
      <c r="AC1630" s="94"/>
      <c r="AD1630" s="94"/>
      <c r="AE1630" s="94"/>
    </row>
    <row r="1631">
      <c r="A1631" s="87"/>
      <c r="B1631" s="37"/>
      <c r="C1631" s="37"/>
      <c r="D1631" s="162"/>
      <c r="E1631" s="89"/>
      <c r="F1631" s="72"/>
      <c r="G1631" s="111"/>
      <c r="H1631" s="111"/>
      <c r="I1631" s="111"/>
      <c r="J1631" s="111"/>
      <c r="K1631" s="111"/>
      <c r="L1631" s="111"/>
      <c r="M1631" s="94"/>
      <c r="N1631" s="94"/>
      <c r="O1631" s="94"/>
      <c r="P1631" s="94"/>
      <c r="Q1631" s="94"/>
      <c r="R1631" s="94"/>
      <c r="S1631" s="94"/>
      <c r="T1631" s="94"/>
      <c r="U1631" s="94"/>
      <c r="V1631" s="94"/>
      <c r="W1631" s="94"/>
      <c r="X1631" s="94"/>
      <c r="Y1631" s="94"/>
      <c r="Z1631" s="94"/>
      <c r="AA1631" s="94"/>
      <c r="AB1631" s="94"/>
      <c r="AC1631" s="94"/>
      <c r="AD1631" s="94"/>
      <c r="AE1631" s="94"/>
    </row>
    <row r="1632">
      <c r="A1632" s="87"/>
      <c r="B1632" s="37"/>
      <c r="C1632" s="37"/>
      <c r="D1632" s="162"/>
      <c r="E1632" s="89"/>
      <c r="F1632" s="72"/>
      <c r="G1632" s="111"/>
      <c r="H1632" s="111"/>
      <c r="I1632" s="111"/>
      <c r="J1632" s="111"/>
      <c r="K1632" s="111"/>
      <c r="L1632" s="111"/>
      <c r="M1632" s="94"/>
      <c r="N1632" s="94"/>
      <c r="O1632" s="94"/>
      <c r="P1632" s="94"/>
      <c r="Q1632" s="94"/>
      <c r="R1632" s="94"/>
      <c r="S1632" s="94"/>
      <c r="T1632" s="94"/>
      <c r="U1632" s="94"/>
      <c r="V1632" s="94"/>
      <c r="W1632" s="94"/>
      <c r="X1632" s="94"/>
      <c r="Y1632" s="94"/>
      <c r="Z1632" s="94"/>
      <c r="AA1632" s="94"/>
      <c r="AB1632" s="94"/>
      <c r="AC1632" s="94"/>
      <c r="AD1632" s="94"/>
      <c r="AE1632" s="94"/>
    </row>
    <row r="1633">
      <c r="A1633" s="87"/>
      <c r="B1633" s="37"/>
      <c r="C1633" s="37"/>
      <c r="D1633" s="162"/>
      <c r="E1633" s="89"/>
      <c r="F1633" s="72"/>
      <c r="G1633" s="111"/>
      <c r="H1633" s="111"/>
      <c r="I1633" s="111"/>
      <c r="J1633" s="111"/>
      <c r="K1633" s="111"/>
      <c r="L1633" s="111"/>
      <c r="M1633" s="94"/>
      <c r="N1633" s="94"/>
      <c r="O1633" s="94"/>
      <c r="P1633" s="94"/>
      <c r="Q1633" s="94"/>
      <c r="R1633" s="94"/>
      <c r="S1633" s="94"/>
      <c r="T1633" s="94"/>
      <c r="U1633" s="94"/>
      <c r="V1633" s="94"/>
      <c r="W1633" s="94"/>
      <c r="X1633" s="94"/>
      <c r="Y1633" s="94"/>
      <c r="Z1633" s="94"/>
      <c r="AA1633" s="94"/>
      <c r="AB1633" s="94"/>
      <c r="AC1633" s="94"/>
      <c r="AD1633" s="94"/>
      <c r="AE1633" s="94"/>
    </row>
    <row r="1634">
      <c r="A1634" s="87"/>
      <c r="B1634" s="37"/>
      <c r="C1634" s="37"/>
      <c r="D1634" s="162"/>
      <c r="E1634" s="89"/>
      <c r="F1634" s="72"/>
      <c r="G1634" s="111"/>
      <c r="H1634" s="111"/>
      <c r="I1634" s="111"/>
      <c r="J1634" s="111"/>
      <c r="K1634" s="111"/>
      <c r="L1634" s="111"/>
      <c r="M1634" s="94"/>
      <c r="N1634" s="94"/>
      <c r="O1634" s="94"/>
      <c r="P1634" s="94"/>
      <c r="Q1634" s="94"/>
      <c r="R1634" s="94"/>
      <c r="S1634" s="94"/>
      <c r="T1634" s="94"/>
      <c r="U1634" s="94"/>
      <c r="V1634" s="94"/>
      <c r="W1634" s="94"/>
      <c r="X1634" s="94"/>
      <c r="Y1634" s="94"/>
      <c r="Z1634" s="94"/>
      <c r="AA1634" s="94"/>
      <c r="AB1634" s="94"/>
      <c r="AC1634" s="94"/>
      <c r="AD1634" s="94"/>
      <c r="AE1634" s="94"/>
    </row>
    <row r="1635">
      <c r="A1635" s="87"/>
      <c r="B1635" s="37"/>
      <c r="C1635" s="37"/>
      <c r="D1635" s="162"/>
      <c r="E1635" s="89"/>
      <c r="F1635" s="72"/>
      <c r="G1635" s="111"/>
      <c r="H1635" s="111"/>
      <c r="I1635" s="111"/>
      <c r="J1635" s="111"/>
      <c r="K1635" s="111"/>
      <c r="L1635" s="111"/>
      <c r="M1635" s="94"/>
      <c r="N1635" s="94"/>
      <c r="O1635" s="94"/>
      <c r="P1635" s="94"/>
      <c r="Q1635" s="94"/>
      <c r="R1635" s="94"/>
      <c r="S1635" s="94"/>
      <c r="T1635" s="94"/>
      <c r="U1635" s="94"/>
      <c r="V1635" s="94"/>
      <c r="W1635" s="94"/>
      <c r="X1635" s="94"/>
      <c r="Y1635" s="94"/>
      <c r="Z1635" s="94"/>
      <c r="AA1635" s="94"/>
      <c r="AB1635" s="94"/>
      <c r="AC1635" s="94"/>
      <c r="AD1635" s="94"/>
      <c r="AE1635" s="94"/>
    </row>
    <row r="1636">
      <c r="A1636" s="87"/>
      <c r="B1636" s="37"/>
      <c r="C1636" s="37"/>
      <c r="D1636" s="162"/>
      <c r="E1636" s="89"/>
      <c r="F1636" s="72"/>
      <c r="G1636" s="111"/>
      <c r="H1636" s="111"/>
      <c r="I1636" s="111"/>
      <c r="J1636" s="111"/>
      <c r="K1636" s="111"/>
      <c r="L1636" s="111"/>
      <c r="M1636" s="94"/>
      <c r="N1636" s="94"/>
      <c r="O1636" s="94"/>
      <c r="P1636" s="94"/>
      <c r="Q1636" s="94"/>
      <c r="R1636" s="94"/>
      <c r="S1636" s="94"/>
      <c r="T1636" s="94"/>
      <c r="U1636" s="94"/>
      <c r="V1636" s="94"/>
      <c r="W1636" s="94"/>
      <c r="X1636" s="94"/>
      <c r="Y1636" s="94"/>
      <c r="Z1636" s="94"/>
      <c r="AA1636" s="94"/>
      <c r="AB1636" s="94"/>
      <c r="AC1636" s="94"/>
      <c r="AD1636" s="94"/>
      <c r="AE1636" s="94"/>
    </row>
    <row r="1637">
      <c r="A1637" s="87"/>
      <c r="B1637" s="37"/>
      <c r="C1637" s="37"/>
      <c r="D1637" s="162"/>
      <c r="E1637" s="89"/>
      <c r="F1637" s="72"/>
      <c r="G1637" s="111"/>
      <c r="H1637" s="111"/>
      <c r="I1637" s="111"/>
      <c r="J1637" s="111"/>
      <c r="K1637" s="111"/>
      <c r="L1637" s="111"/>
      <c r="M1637" s="94"/>
      <c r="N1637" s="94"/>
      <c r="O1637" s="94"/>
      <c r="P1637" s="94"/>
      <c r="Q1637" s="94"/>
      <c r="R1637" s="94"/>
      <c r="S1637" s="94"/>
      <c r="T1637" s="94"/>
      <c r="U1637" s="94"/>
      <c r="V1637" s="94"/>
      <c r="W1637" s="94"/>
      <c r="X1637" s="94"/>
      <c r="Y1637" s="94"/>
      <c r="Z1637" s="94"/>
      <c r="AA1637" s="94"/>
      <c r="AB1637" s="94"/>
      <c r="AC1637" s="94"/>
      <c r="AD1637" s="94"/>
      <c r="AE1637" s="94"/>
    </row>
    <row r="1638">
      <c r="A1638" s="87"/>
      <c r="B1638" s="37"/>
      <c r="C1638" s="37"/>
      <c r="D1638" s="162"/>
      <c r="E1638" s="89"/>
      <c r="F1638" s="72"/>
      <c r="G1638" s="111"/>
      <c r="H1638" s="111"/>
      <c r="I1638" s="111"/>
      <c r="J1638" s="111"/>
      <c r="K1638" s="111"/>
      <c r="L1638" s="111"/>
      <c r="M1638" s="94"/>
      <c r="N1638" s="94"/>
      <c r="O1638" s="94"/>
      <c r="P1638" s="94"/>
      <c r="Q1638" s="94"/>
      <c r="R1638" s="94"/>
      <c r="S1638" s="94"/>
      <c r="T1638" s="94"/>
      <c r="U1638" s="94"/>
      <c r="V1638" s="94"/>
      <c r="W1638" s="94"/>
      <c r="X1638" s="94"/>
      <c r="Y1638" s="94"/>
      <c r="Z1638" s="94"/>
      <c r="AA1638" s="94"/>
      <c r="AB1638" s="94"/>
      <c r="AC1638" s="94"/>
      <c r="AD1638" s="94"/>
      <c r="AE1638" s="94"/>
    </row>
    <row r="1639">
      <c r="A1639" s="87"/>
      <c r="B1639" s="37"/>
      <c r="C1639" s="37"/>
      <c r="D1639" s="162"/>
      <c r="E1639" s="89"/>
      <c r="F1639" s="72"/>
      <c r="G1639" s="111"/>
      <c r="H1639" s="111"/>
      <c r="I1639" s="111"/>
      <c r="J1639" s="111"/>
      <c r="K1639" s="111"/>
      <c r="L1639" s="111"/>
      <c r="M1639" s="94"/>
      <c r="N1639" s="94"/>
      <c r="O1639" s="94"/>
      <c r="P1639" s="94"/>
      <c r="Q1639" s="94"/>
      <c r="R1639" s="94"/>
      <c r="S1639" s="94"/>
      <c r="T1639" s="94"/>
      <c r="U1639" s="94"/>
      <c r="V1639" s="94"/>
      <c r="W1639" s="94"/>
      <c r="X1639" s="94"/>
      <c r="Y1639" s="94"/>
      <c r="Z1639" s="94"/>
      <c r="AA1639" s="94"/>
      <c r="AB1639" s="94"/>
      <c r="AC1639" s="94"/>
      <c r="AD1639" s="94"/>
      <c r="AE1639" s="94"/>
    </row>
    <row r="1640">
      <c r="A1640" s="87"/>
      <c r="B1640" s="37"/>
      <c r="C1640" s="37"/>
      <c r="D1640" s="162"/>
      <c r="E1640" s="89"/>
      <c r="F1640" s="72"/>
      <c r="G1640" s="111"/>
      <c r="H1640" s="111"/>
      <c r="I1640" s="111"/>
      <c r="J1640" s="111"/>
      <c r="K1640" s="111"/>
      <c r="L1640" s="111"/>
      <c r="M1640" s="94"/>
      <c r="N1640" s="94"/>
      <c r="O1640" s="94"/>
      <c r="P1640" s="94"/>
      <c r="Q1640" s="94"/>
      <c r="R1640" s="94"/>
      <c r="S1640" s="94"/>
      <c r="T1640" s="94"/>
      <c r="U1640" s="94"/>
      <c r="V1640" s="94"/>
      <c r="W1640" s="94"/>
      <c r="X1640" s="94"/>
      <c r="Y1640" s="94"/>
      <c r="Z1640" s="94"/>
      <c r="AA1640" s="94"/>
      <c r="AB1640" s="94"/>
      <c r="AC1640" s="94"/>
      <c r="AD1640" s="94"/>
      <c r="AE1640" s="94"/>
    </row>
    <row r="1641">
      <c r="A1641" s="87"/>
      <c r="B1641" s="37"/>
      <c r="C1641" s="37"/>
      <c r="D1641" s="162"/>
      <c r="E1641" s="89"/>
      <c r="F1641" s="72"/>
      <c r="G1641" s="111"/>
      <c r="H1641" s="111"/>
      <c r="I1641" s="111"/>
      <c r="J1641" s="111"/>
      <c r="K1641" s="111"/>
      <c r="L1641" s="111"/>
      <c r="M1641" s="94"/>
      <c r="N1641" s="94"/>
      <c r="O1641" s="94"/>
      <c r="P1641" s="94"/>
      <c r="Q1641" s="94"/>
      <c r="R1641" s="94"/>
      <c r="S1641" s="94"/>
      <c r="T1641" s="94"/>
      <c r="U1641" s="94"/>
      <c r="V1641" s="94"/>
      <c r="W1641" s="94"/>
      <c r="X1641" s="94"/>
      <c r="Y1641" s="94"/>
      <c r="Z1641" s="94"/>
      <c r="AA1641" s="94"/>
      <c r="AB1641" s="94"/>
      <c r="AC1641" s="94"/>
      <c r="AD1641" s="94"/>
      <c r="AE1641" s="94"/>
    </row>
    <row r="1642">
      <c r="A1642" s="87"/>
      <c r="B1642" s="37"/>
      <c r="C1642" s="37"/>
      <c r="D1642" s="162"/>
      <c r="E1642" s="89"/>
      <c r="F1642" s="72"/>
      <c r="G1642" s="111"/>
      <c r="H1642" s="111"/>
      <c r="I1642" s="111"/>
      <c r="J1642" s="111"/>
      <c r="K1642" s="111"/>
      <c r="L1642" s="111"/>
      <c r="M1642" s="94"/>
      <c r="N1642" s="94"/>
      <c r="O1642" s="94"/>
      <c r="P1642" s="94"/>
      <c r="Q1642" s="94"/>
      <c r="R1642" s="94"/>
      <c r="S1642" s="94"/>
      <c r="T1642" s="94"/>
      <c r="U1642" s="94"/>
      <c r="V1642" s="94"/>
      <c r="W1642" s="94"/>
      <c r="X1642" s="94"/>
      <c r="Y1642" s="94"/>
      <c r="Z1642" s="94"/>
      <c r="AA1642" s="94"/>
      <c r="AB1642" s="94"/>
      <c r="AC1642" s="94"/>
      <c r="AD1642" s="94"/>
      <c r="AE1642" s="94"/>
    </row>
    <row r="1643">
      <c r="A1643" s="87"/>
      <c r="B1643" s="37"/>
      <c r="C1643" s="37"/>
      <c r="D1643" s="162"/>
      <c r="E1643" s="89"/>
      <c r="F1643" s="72"/>
      <c r="G1643" s="111"/>
      <c r="H1643" s="111"/>
      <c r="I1643" s="111"/>
      <c r="J1643" s="111"/>
      <c r="K1643" s="111"/>
      <c r="L1643" s="111"/>
      <c r="M1643" s="94"/>
      <c r="N1643" s="94"/>
      <c r="O1643" s="94"/>
      <c r="P1643" s="94"/>
      <c r="Q1643" s="94"/>
      <c r="R1643" s="94"/>
      <c r="S1643" s="94"/>
      <c r="T1643" s="94"/>
      <c r="U1643" s="94"/>
      <c r="V1643" s="94"/>
      <c r="W1643" s="94"/>
      <c r="X1643" s="94"/>
      <c r="Y1643" s="94"/>
      <c r="Z1643" s="94"/>
      <c r="AA1643" s="94"/>
      <c r="AB1643" s="94"/>
      <c r="AC1643" s="94"/>
      <c r="AD1643" s="94"/>
      <c r="AE1643" s="94"/>
    </row>
    <row r="1644">
      <c r="A1644" s="87"/>
      <c r="B1644" s="37"/>
      <c r="C1644" s="37"/>
      <c r="D1644" s="162"/>
      <c r="E1644" s="89"/>
      <c r="F1644" s="72"/>
      <c r="G1644" s="111"/>
      <c r="H1644" s="111"/>
      <c r="I1644" s="111"/>
      <c r="J1644" s="111"/>
      <c r="K1644" s="111"/>
      <c r="L1644" s="111"/>
      <c r="M1644" s="94"/>
      <c r="N1644" s="94"/>
      <c r="O1644" s="94"/>
      <c r="P1644" s="94"/>
      <c r="Q1644" s="94"/>
      <c r="R1644" s="94"/>
      <c r="S1644" s="94"/>
      <c r="T1644" s="94"/>
      <c r="U1644" s="94"/>
      <c r="V1644" s="94"/>
      <c r="W1644" s="94"/>
      <c r="X1644" s="94"/>
      <c r="Y1644" s="94"/>
      <c r="Z1644" s="94"/>
      <c r="AA1644" s="94"/>
      <c r="AB1644" s="94"/>
      <c r="AC1644" s="94"/>
      <c r="AD1644" s="94"/>
      <c r="AE1644" s="94"/>
    </row>
    <row r="1645">
      <c r="A1645" s="87"/>
      <c r="B1645" s="37"/>
      <c r="C1645" s="37"/>
      <c r="D1645" s="162"/>
      <c r="E1645" s="89"/>
      <c r="F1645" s="72"/>
      <c r="G1645" s="111"/>
      <c r="H1645" s="111"/>
      <c r="I1645" s="111"/>
      <c r="J1645" s="111"/>
      <c r="K1645" s="111"/>
      <c r="L1645" s="111"/>
      <c r="M1645" s="94"/>
      <c r="N1645" s="94"/>
      <c r="O1645" s="94"/>
      <c r="P1645" s="94"/>
      <c r="Q1645" s="94"/>
      <c r="R1645" s="94"/>
      <c r="S1645" s="94"/>
      <c r="T1645" s="94"/>
      <c r="U1645" s="94"/>
      <c r="V1645" s="94"/>
      <c r="W1645" s="94"/>
      <c r="X1645" s="94"/>
      <c r="Y1645" s="94"/>
      <c r="Z1645" s="94"/>
      <c r="AA1645" s="94"/>
      <c r="AB1645" s="94"/>
      <c r="AC1645" s="94"/>
      <c r="AD1645" s="94"/>
      <c r="AE1645" s="94"/>
    </row>
    <row r="1646">
      <c r="A1646" s="87"/>
      <c r="B1646" s="37"/>
      <c r="C1646" s="37"/>
      <c r="D1646" s="162"/>
      <c r="E1646" s="89"/>
      <c r="F1646" s="72"/>
      <c r="G1646" s="111"/>
      <c r="H1646" s="111"/>
      <c r="I1646" s="111"/>
      <c r="J1646" s="111"/>
      <c r="K1646" s="111"/>
      <c r="L1646" s="111"/>
      <c r="M1646" s="94"/>
      <c r="N1646" s="94"/>
      <c r="O1646" s="94"/>
      <c r="P1646" s="94"/>
      <c r="Q1646" s="94"/>
      <c r="R1646" s="94"/>
      <c r="S1646" s="94"/>
      <c r="T1646" s="94"/>
      <c r="U1646" s="94"/>
      <c r="V1646" s="94"/>
      <c r="W1646" s="94"/>
      <c r="X1646" s="94"/>
      <c r="Y1646" s="94"/>
      <c r="Z1646" s="94"/>
      <c r="AA1646" s="94"/>
      <c r="AB1646" s="94"/>
      <c r="AC1646" s="94"/>
      <c r="AD1646" s="94"/>
      <c r="AE1646" s="94"/>
    </row>
    <row r="1647">
      <c r="A1647" s="87"/>
      <c r="B1647" s="37"/>
      <c r="C1647" s="37"/>
      <c r="D1647" s="162"/>
      <c r="E1647" s="89"/>
      <c r="F1647" s="72"/>
      <c r="G1647" s="111"/>
      <c r="H1647" s="111"/>
      <c r="I1647" s="111"/>
      <c r="J1647" s="111"/>
      <c r="K1647" s="111"/>
      <c r="L1647" s="111"/>
      <c r="M1647" s="94"/>
      <c r="N1647" s="94"/>
      <c r="O1647" s="94"/>
      <c r="P1647" s="94"/>
      <c r="Q1647" s="94"/>
      <c r="R1647" s="94"/>
      <c r="S1647" s="94"/>
      <c r="T1647" s="94"/>
      <c r="U1647" s="94"/>
      <c r="V1647" s="94"/>
      <c r="W1647" s="94"/>
      <c r="X1647" s="94"/>
      <c r="Y1647" s="94"/>
      <c r="Z1647" s="94"/>
      <c r="AA1647" s="94"/>
      <c r="AB1647" s="94"/>
      <c r="AC1647" s="94"/>
      <c r="AD1647" s="94"/>
      <c r="AE1647" s="94"/>
    </row>
    <row r="1648">
      <c r="A1648" s="87"/>
      <c r="B1648" s="37"/>
      <c r="C1648" s="37"/>
      <c r="D1648" s="162"/>
      <c r="E1648" s="89"/>
      <c r="F1648" s="72"/>
      <c r="G1648" s="111"/>
      <c r="H1648" s="111"/>
      <c r="I1648" s="111"/>
      <c r="J1648" s="111"/>
      <c r="K1648" s="111"/>
      <c r="L1648" s="111"/>
      <c r="M1648" s="94"/>
      <c r="N1648" s="94"/>
      <c r="O1648" s="94"/>
      <c r="P1648" s="94"/>
      <c r="Q1648" s="94"/>
      <c r="R1648" s="94"/>
      <c r="S1648" s="94"/>
      <c r="T1648" s="94"/>
      <c r="U1648" s="94"/>
      <c r="V1648" s="94"/>
      <c r="W1648" s="94"/>
      <c r="X1648" s="94"/>
      <c r="Y1648" s="94"/>
      <c r="Z1648" s="94"/>
      <c r="AA1648" s="94"/>
      <c r="AB1648" s="94"/>
      <c r="AC1648" s="94"/>
      <c r="AD1648" s="94"/>
      <c r="AE1648" s="94"/>
    </row>
    <row r="1649">
      <c r="A1649" s="87"/>
      <c r="B1649" s="37"/>
      <c r="C1649" s="37"/>
      <c r="D1649" s="162"/>
      <c r="E1649" s="89"/>
      <c r="F1649" s="72"/>
      <c r="G1649" s="111"/>
      <c r="H1649" s="111"/>
      <c r="I1649" s="111"/>
      <c r="J1649" s="111"/>
      <c r="K1649" s="111"/>
      <c r="L1649" s="111"/>
      <c r="M1649" s="94"/>
      <c r="N1649" s="94"/>
      <c r="O1649" s="94"/>
      <c r="P1649" s="94"/>
      <c r="Q1649" s="94"/>
      <c r="R1649" s="94"/>
      <c r="S1649" s="94"/>
      <c r="T1649" s="94"/>
      <c r="U1649" s="94"/>
      <c r="V1649" s="94"/>
      <c r="W1649" s="94"/>
      <c r="X1649" s="94"/>
      <c r="Y1649" s="94"/>
      <c r="Z1649" s="94"/>
      <c r="AA1649" s="94"/>
      <c r="AB1649" s="94"/>
      <c r="AC1649" s="94"/>
      <c r="AD1649" s="94"/>
      <c r="AE1649" s="94"/>
    </row>
    <row r="1650">
      <c r="A1650" s="87"/>
      <c r="B1650" s="37"/>
      <c r="C1650" s="37"/>
      <c r="D1650" s="162"/>
      <c r="E1650" s="89"/>
      <c r="F1650" s="72"/>
      <c r="G1650" s="111"/>
      <c r="H1650" s="111"/>
      <c r="I1650" s="111"/>
      <c r="J1650" s="111"/>
      <c r="K1650" s="111"/>
      <c r="L1650" s="111"/>
      <c r="M1650" s="94"/>
      <c r="N1650" s="94"/>
      <c r="O1650" s="94"/>
      <c r="P1650" s="94"/>
      <c r="Q1650" s="94"/>
      <c r="R1650" s="94"/>
      <c r="S1650" s="94"/>
      <c r="T1650" s="94"/>
      <c r="U1650" s="94"/>
      <c r="V1650" s="94"/>
      <c r="W1650" s="94"/>
      <c r="X1650" s="94"/>
      <c r="Y1650" s="94"/>
      <c r="Z1650" s="94"/>
      <c r="AA1650" s="94"/>
      <c r="AB1650" s="94"/>
      <c r="AC1650" s="94"/>
      <c r="AD1650" s="94"/>
      <c r="AE1650" s="94"/>
    </row>
    <row r="1651">
      <c r="A1651" s="87"/>
      <c r="B1651" s="37"/>
      <c r="C1651" s="37"/>
      <c r="D1651" s="162"/>
      <c r="E1651" s="89"/>
      <c r="F1651" s="72"/>
      <c r="G1651" s="111"/>
      <c r="H1651" s="111"/>
      <c r="I1651" s="111"/>
      <c r="J1651" s="111"/>
      <c r="K1651" s="111"/>
      <c r="L1651" s="111"/>
      <c r="M1651" s="94"/>
      <c r="N1651" s="94"/>
      <c r="O1651" s="94"/>
      <c r="P1651" s="94"/>
      <c r="Q1651" s="94"/>
      <c r="R1651" s="94"/>
      <c r="S1651" s="94"/>
      <c r="T1651" s="94"/>
      <c r="U1651" s="94"/>
      <c r="V1651" s="94"/>
      <c r="W1651" s="94"/>
      <c r="X1651" s="94"/>
      <c r="Y1651" s="94"/>
      <c r="Z1651" s="94"/>
      <c r="AA1651" s="94"/>
      <c r="AB1651" s="94"/>
      <c r="AC1651" s="94"/>
      <c r="AD1651" s="94"/>
      <c r="AE1651" s="94"/>
    </row>
    <row r="1652">
      <c r="A1652" s="87"/>
      <c r="B1652" s="37"/>
      <c r="C1652" s="37"/>
      <c r="D1652" s="162"/>
      <c r="E1652" s="89"/>
      <c r="F1652" s="72"/>
      <c r="G1652" s="111"/>
      <c r="H1652" s="111"/>
      <c r="I1652" s="111"/>
      <c r="J1652" s="111"/>
      <c r="K1652" s="111"/>
      <c r="L1652" s="111"/>
      <c r="M1652" s="94"/>
      <c r="N1652" s="94"/>
      <c r="O1652" s="94"/>
      <c r="P1652" s="94"/>
      <c r="Q1652" s="94"/>
      <c r="R1652" s="94"/>
      <c r="S1652" s="94"/>
      <c r="T1652" s="94"/>
      <c r="U1652" s="94"/>
      <c r="V1652" s="94"/>
      <c r="W1652" s="94"/>
      <c r="X1652" s="94"/>
      <c r="Y1652" s="94"/>
      <c r="Z1652" s="94"/>
      <c r="AA1652" s="94"/>
      <c r="AB1652" s="94"/>
      <c r="AC1652" s="94"/>
      <c r="AD1652" s="94"/>
      <c r="AE1652" s="94"/>
    </row>
    <row r="1653">
      <c r="A1653" s="87"/>
      <c r="B1653" s="37"/>
      <c r="C1653" s="37"/>
      <c r="D1653" s="162"/>
      <c r="E1653" s="89"/>
      <c r="F1653" s="72"/>
      <c r="G1653" s="111"/>
      <c r="H1653" s="111"/>
      <c r="I1653" s="111"/>
      <c r="J1653" s="111"/>
      <c r="K1653" s="111"/>
      <c r="L1653" s="111"/>
      <c r="M1653" s="94"/>
      <c r="N1653" s="94"/>
      <c r="O1653" s="94"/>
      <c r="P1653" s="94"/>
      <c r="Q1653" s="94"/>
      <c r="R1653" s="94"/>
      <c r="S1653" s="94"/>
      <c r="T1653" s="94"/>
      <c r="U1653" s="94"/>
      <c r="V1653" s="94"/>
      <c r="W1653" s="94"/>
      <c r="X1653" s="94"/>
      <c r="Y1653" s="94"/>
      <c r="Z1653" s="94"/>
      <c r="AA1653" s="94"/>
      <c r="AB1653" s="94"/>
      <c r="AC1653" s="94"/>
      <c r="AD1653" s="94"/>
      <c r="AE1653" s="94"/>
    </row>
    <row r="1654">
      <c r="A1654" s="87"/>
      <c r="B1654" s="37"/>
      <c r="C1654" s="37"/>
      <c r="D1654" s="162"/>
      <c r="E1654" s="89"/>
      <c r="F1654" s="72"/>
      <c r="G1654" s="111"/>
      <c r="H1654" s="111"/>
      <c r="I1654" s="111"/>
      <c r="J1654" s="111"/>
      <c r="K1654" s="111"/>
      <c r="L1654" s="111"/>
      <c r="M1654" s="94"/>
      <c r="N1654" s="94"/>
      <c r="O1654" s="94"/>
      <c r="P1654" s="94"/>
      <c r="Q1654" s="94"/>
      <c r="R1654" s="94"/>
      <c r="S1654" s="94"/>
      <c r="T1654" s="94"/>
      <c r="U1654" s="94"/>
      <c r="V1654" s="94"/>
      <c r="W1654" s="94"/>
      <c r="X1654" s="94"/>
      <c r="Y1654" s="94"/>
      <c r="Z1654" s="94"/>
      <c r="AA1654" s="94"/>
      <c r="AB1654" s="94"/>
      <c r="AC1654" s="94"/>
      <c r="AD1654" s="94"/>
      <c r="AE1654" s="94"/>
    </row>
    <row r="1655">
      <c r="A1655" s="87"/>
      <c r="B1655" s="37"/>
      <c r="C1655" s="37"/>
      <c r="D1655" s="162"/>
      <c r="E1655" s="89"/>
      <c r="F1655" s="72"/>
      <c r="G1655" s="111"/>
      <c r="H1655" s="111"/>
      <c r="I1655" s="111"/>
      <c r="J1655" s="111"/>
      <c r="K1655" s="111"/>
      <c r="L1655" s="111"/>
      <c r="M1655" s="94"/>
      <c r="N1655" s="94"/>
      <c r="O1655" s="94"/>
      <c r="P1655" s="94"/>
      <c r="Q1655" s="94"/>
      <c r="R1655" s="94"/>
      <c r="S1655" s="94"/>
      <c r="T1655" s="94"/>
      <c r="U1655" s="94"/>
      <c r="V1655" s="94"/>
      <c r="W1655" s="94"/>
      <c r="X1655" s="94"/>
      <c r="Y1655" s="94"/>
      <c r="Z1655" s="94"/>
      <c r="AA1655" s="94"/>
      <c r="AB1655" s="94"/>
      <c r="AC1655" s="94"/>
      <c r="AD1655" s="94"/>
      <c r="AE1655" s="94"/>
    </row>
    <row r="1656">
      <c r="A1656" s="87"/>
      <c r="B1656" s="37"/>
      <c r="C1656" s="37"/>
      <c r="D1656" s="162"/>
      <c r="E1656" s="89"/>
      <c r="F1656" s="72"/>
      <c r="G1656" s="111"/>
      <c r="H1656" s="111"/>
      <c r="I1656" s="111"/>
      <c r="J1656" s="111"/>
      <c r="K1656" s="111"/>
      <c r="L1656" s="111"/>
      <c r="M1656" s="94"/>
      <c r="N1656" s="94"/>
      <c r="O1656" s="94"/>
      <c r="P1656" s="94"/>
      <c r="Q1656" s="94"/>
      <c r="R1656" s="94"/>
      <c r="S1656" s="94"/>
      <c r="T1656" s="94"/>
      <c r="U1656" s="94"/>
      <c r="V1656" s="94"/>
      <c r="W1656" s="94"/>
      <c r="X1656" s="94"/>
      <c r="Y1656" s="94"/>
      <c r="Z1656" s="94"/>
      <c r="AA1656" s="94"/>
      <c r="AB1656" s="94"/>
      <c r="AC1656" s="94"/>
      <c r="AD1656" s="94"/>
      <c r="AE1656" s="94"/>
    </row>
    <row r="1657">
      <c r="A1657" s="87"/>
      <c r="B1657" s="37"/>
      <c r="C1657" s="37"/>
      <c r="D1657" s="162"/>
      <c r="E1657" s="89"/>
      <c r="F1657" s="72"/>
      <c r="G1657" s="111"/>
      <c r="H1657" s="111"/>
      <c r="I1657" s="111"/>
      <c r="J1657" s="111"/>
      <c r="K1657" s="111"/>
      <c r="L1657" s="111"/>
      <c r="M1657" s="94"/>
      <c r="N1657" s="94"/>
      <c r="O1657" s="94"/>
      <c r="P1657" s="94"/>
      <c r="Q1657" s="94"/>
      <c r="R1657" s="94"/>
      <c r="S1657" s="94"/>
      <c r="T1657" s="94"/>
      <c r="U1657" s="94"/>
      <c r="V1657" s="94"/>
      <c r="W1657" s="94"/>
      <c r="X1657" s="94"/>
      <c r="Y1657" s="94"/>
      <c r="Z1657" s="94"/>
      <c r="AA1657" s="94"/>
      <c r="AB1657" s="94"/>
      <c r="AC1657" s="94"/>
      <c r="AD1657" s="94"/>
      <c r="AE1657" s="94"/>
    </row>
    <row r="1658">
      <c r="A1658" s="87"/>
      <c r="B1658" s="37"/>
      <c r="C1658" s="37"/>
      <c r="D1658" s="162"/>
      <c r="E1658" s="89"/>
      <c r="F1658" s="72"/>
      <c r="G1658" s="111"/>
      <c r="H1658" s="111"/>
      <c r="I1658" s="111"/>
      <c r="J1658" s="111"/>
      <c r="K1658" s="111"/>
      <c r="L1658" s="111"/>
      <c r="M1658" s="94"/>
      <c r="N1658" s="94"/>
      <c r="O1658" s="94"/>
      <c r="P1658" s="94"/>
      <c r="Q1658" s="94"/>
      <c r="R1658" s="94"/>
      <c r="S1658" s="94"/>
      <c r="T1658" s="94"/>
      <c r="U1658" s="94"/>
      <c r="V1658" s="94"/>
      <c r="W1658" s="94"/>
      <c r="X1658" s="94"/>
      <c r="Y1658" s="94"/>
      <c r="Z1658" s="94"/>
      <c r="AA1658" s="94"/>
      <c r="AB1658" s="94"/>
      <c r="AC1658" s="94"/>
      <c r="AD1658" s="94"/>
      <c r="AE1658" s="94"/>
    </row>
    <row r="1659">
      <c r="A1659" s="87"/>
      <c r="B1659" s="37"/>
      <c r="C1659" s="37"/>
      <c r="D1659" s="162"/>
      <c r="E1659" s="89"/>
      <c r="F1659" s="72"/>
      <c r="G1659" s="111"/>
      <c r="H1659" s="111"/>
      <c r="I1659" s="111"/>
      <c r="J1659" s="111"/>
      <c r="K1659" s="111"/>
      <c r="L1659" s="111"/>
      <c r="M1659" s="94"/>
      <c r="N1659" s="94"/>
      <c r="O1659" s="94"/>
      <c r="P1659" s="94"/>
      <c r="Q1659" s="94"/>
      <c r="R1659" s="94"/>
      <c r="S1659" s="94"/>
      <c r="T1659" s="94"/>
      <c r="U1659" s="94"/>
      <c r="V1659" s="94"/>
      <c r="W1659" s="94"/>
      <c r="X1659" s="94"/>
      <c r="Y1659" s="94"/>
      <c r="Z1659" s="94"/>
      <c r="AA1659" s="94"/>
      <c r="AB1659" s="94"/>
      <c r="AC1659" s="94"/>
      <c r="AD1659" s="94"/>
      <c r="AE1659" s="94"/>
    </row>
    <row r="1660">
      <c r="A1660" s="87"/>
      <c r="B1660" s="37"/>
      <c r="C1660" s="37"/>
      <c r="D1660" s="162"/>
      <c r="E1660" s="89"/>
      <c r="F1660" s="72"/>
      <c r="G1660" s="111"/>
      <c r="H1660" s="111"/>
      <c r="I1660" s="111"/>
      <c r="J1660" s="111"/>
      <c r="K1660" s="111"/>
      <c r="L1660" s="111"/>
      <c r="M1660" s="94"/>
      <c r="N1660" s="94"/>
      <c r="O1660" s="94"/>
      <c r="P1660" s="94"/>
      <c r="Q1660" s="94"/>
      <c r="R1660" s="94"/>
      <c r="S1660" s="94"/>
      <c r="T1660" s="94"/>
      <c r="U1660" s="94"/>
      <c r="V1660" s="94"/>
      <c r="W1660" s="94"/>
      <c r="X1660" s="94"/>
      <c r="Y1660" s="94"/>
      <c r="Z1660" s="94"/>
      <c r="AA1660" s="94"/>
      <c r="AB1660" s="94"/>
      <c r="AC1660" s="94"/>
      <c r="AD1660" s="94"/>
      <c r="AE1660" s="94"/>
    </row>
    <row r="1661">
      <c r="A1661" s="87"/>
      <c r="B1661" s="37"/>
      <c r="C1661" s="37"/>
      <c r="D1661" s="162"/>
      <c r="E1661" s="89"/>
      <c r="F1661" s="72"/>
      <c r="G1661" s="111"/>
      <c r="H1661" s="111"/>
      <c r="I1661" s="111"/>
      <c r="J1661" s="111"/>
      <c r="K1661" s="111"/>
      <c r="L1661" s="111"/>
      <c r="M1661" s="94"/>
      <c r="N1661" s="94"/>
      <c r="O1661" s="94"/>
      <c r="P1661" s="94"/>
      <c r="Q1661" s="94"/>
      <c r="R1661" s="94"/>
      <c r="S1661" s="94"/>
      <c r="T1661" s="94"/>
      <c r="U1661" s="94"/>
      <c r="V1661" s="94"/>
      <c r="W1661" s="94"/>
      <c r="X1661" s="94"/>
      <c r="Y1661" s="94"/>
      <c r="Z1661" s="94"/>
      <c r="AA1661" s="94"/>
      <c r="AB1661" s="94"/>
      <c r="AC1661" s="94"/>
      <c r="AD1661" s="94"/>
      <c r="AE1661" s="94"/>
    </row>
    <row r="1662">
      <c r="A1662" s="87"/>
      <c r="B1662" s="37"/>
      <c r="C1662" s="37"/>
      <c r="D1662" s="162"/>
      <c r="E1662" s="89"/>
      <c r="F1662" s="72"/>
      <c r="G1662" s="111"/>
      <c r="H1662" s="111"/>
      <c r="I1662" s="111"/>
      <c r="J1662" s="111"/>
      <c r="K1662" s="111"/>
      <c r="L1662" s="111"/>
      <c r="M1662" s="94"/>
      <c r="N1662" s="94"/>
      <c r="O1662" s="94"/>
      <c r="P1662" s="94"/>
      <c r="Q1662" s="94"/>
      <c r="R1662" s="94"/>
      <c r="S1662" s="94"/>
      <c r="T1662" s="94"/>
      <c r="U1662" s="94"/>
      <c r="V1662" s="94"/>
      <c r="W1662" s="94"/>
      <c r="X1662" s="94"/>
      <c r="Y1662" s="94"/>
      <c r="Z1662" s="94"/>
      <c r="AA1662" s="94"/>
      <c r="AB1662" s="94"/>
      <c r="AC1662" s="94"/>
      <c r="AD1662" s="94"/>
      <c r="AE1662" s="94"/>
    </row>
    <row r="1663">
      <c r="A1663" s="87"/>
      <c r="B1663" s="37"/>
      <c r="C1663" s="37"/>
      <c r="D1663" s="162"/>
      <c r="E1663" s="89"/>
      <c r="F1663" s="72"/>
      <c r="G1663" s="111"/>
      <c r="H1663" s="111"/>
      <c r="I1663" s="111"/>
      <c r="J1663" s="111"/>
      <c r="K1663" s="111"/>
      <c r="L1663" s="111"/>
      <c r="M1663" s="94"/>
      <c r="N1663" s="94"/>
      <c r="O1663" s="94"/>
      <c r="P1663" s="94"/>
      <c r="Q1663" s="94"/>
      <c r="R1663" s="94"/>
      <c r="S1663" s="94"/>
      <c r="T1663" s="94"/>
      <c r="U1663" s="94"/>
      <c r="V1663" s="94"/>
      <c r="W1663" s="94"/>
      <c r="X1663" s="94"/>
      <c r="Y1663" s="94"/>
      <c r="Z1663" s="94"/>
      <c r="AA1663" s="94"/>
      <c r="AB1663" s="94"/>
      <c r="AC1663" s="94"/>
      <c r="AD1663" s="94"/>
      <c r="AE1663" s="94"/>
    </row>
    <row r="1664">
      <c r="A1664" s="87"/>
      <c r="B1664" s="37"/>
      <c r="C1664" s="37"/>
      <c r="D1664" s="162"/>
      <c r="E1664" s="89"/>
      <c r="F1664" s="72"/>
      <c r="G1664" s="111"/>
      <c r="H1664" s="111"/>
      <c r="I1664" s="111"/>
      <c r="J1664" s="111"/>
      <c r="K1664" s="111"/>
      <c r="L1664" s="111"/>
      <c r="M1664" s="94"/>
      <c r="N1664" s="94"/>
      <c r="O1664" s="94"/>
      <c r="P1664" s="94"/>
      <c r="Q1664" s="94"/>
      <c r="R1664" s="94"/>
      <c r="S1664" s="94"/>
      <c r="T1664" s="94"/>
      <c r="U1664" s="94"/>
      <c r="V1664" s="94"/>
      <c r="W1664" s="94"/>
      <c r="X1664" s="94"/>
      <c r="Y1664" s="94"/>
      <c r="Z1664" s="94"/>
      <c r="AA1664" s="94"/>
      <c r="AB1664" s="94"/>
      <c r="AC1664" s="94"/>
      <c r="AD1664" s="94"/>
      <c r="AE1664" s="94"/>
    </row>
    <row r="1665">
      <c r="A1665" s="87"/>
      <c r="B1665" s="37"/>
      <c r="C1665" s="37"/>
      <c r="D1665" s="162"/>
      <c r="E1665" s="89"/>
      <c r="F1665" s="72"/>
      <c r="G1665" s="111"/>
      <c r="H1665" s="111"/>
      <c r="I1665" s="111"/>
      <c r="J1665" s="111"/>
      <c r="K1665" s="111"/>
      <c r="L1665" s="111"/>
      <c r="M1665" s="94"/>
      <c r="N1665" s="94"/>
      <c r="O1665" s="94"/>
      <c r="P1665" s="94"/>
      <c r="Q1665" s="94"/>
      <c r="R1665" s="94"/>
      <c r="S1665" s="94"/>
      <c r="T1665" s="94"/>
      <c r="U1665" s="94"/>
      <c r="V1665" s="94"/>
      <c r="W1665" s="94"/>
      <c r="X1665" s="94"/>
      <c r="Y1665" s="94"/>
      <c r="Z1665" s="94"/>
      <c r="AA1665" s="94"/>
      <c r="AB1665" s="94"/>
      <c r="AC1665" s="94"/>
      <c r="AD1665" s="94"/>
      <c r="AE1665" s="94"/>
    </row>
    <row r="1666">
      <c r="A1666" s="87"/>
      <c r="B1666" s="37"/>
      <c r="C1666" s="37"/>
      <c r="D1666" s="162"/>
      <c r="E1666" s="89"/>
      <c r="F1666" s="72"/>
      <c r="G1666" s="111"/>
      <c r="H1666" s="111"/>
      <c r="I1666" s="111"/>
      <c r="J1666" s="111"/>
      <c r="K1666" s="111"/>
      <c r="L1666" s="111"/>
      <c r="M1666" s="94"/>
      <c r="N1666" s="94"/>
      <c r="O1666" s="94"/>
      <c r="P1666" s="94"/>
      <c r="Q1666" s="94"/>
      <c r="R1666" s="94"/>
      <c r="S1666" s="94"/>
      <c r="T1666" s="94"/>
      <c r="U1666" s="94"/>
      <c r="V1666" s="94"/>
      <c r="W1666" s="94"/>
      <c r="X1666" s="94"/>
      <c r="Y1666" s="94"/>
      <c r="Z1666" s="94"/>
      <c r="AA1666" s="94"/>
      <c r="AB1666" s="94"/>
      <c r="AC1666" s="94"/>
      <c r="AD1666" s="94"/>
      <c r="AE1666" s="94"/>
    </row>
    <row r="1667">
      <c r="A1667" s="87"/>
      <c r="B1667" s="37"/>
      <c r="C1667" s="37"/>
      <c r="D1667" s="162"/>
      <c r="E1667" s="89"/>
      <c r="F1667" s="72"/>
      <c r="G1667" s="111"/>
      <c r="H1667" s="111"/>
      <c r="I1667" s="111"/>
      <c r="J1667" s="111"/>
      <c r="K1667" s="111"/>
      <c r="L1667" s="111"/>
      <c r="M1667" s="94"/>
      <c r="N1667" s="94"/>
      <c r="O1667" s="94"/>
      <c r="P1667" s="94"/>
      <c r="Q1667" s="94"/>
      <c r="R1667" s="94"/>
      <c r="S1667" s="94"/>
      <c r="T1667" s="94"/>
      <c r="U1667" s="94"/>
      <c r="V1667" s="94"/>
      <c r="W1667" s="94"/>
      <c r="X1667" s="94"/>
      <c r="Y1667" s="94"/>
      <c r="Z1667" s="94"/>
      <c r="AA1667" s="94"/>
      <c r="AB1667" s="94"/>
      <c r="AC1667" s="94"/>
      <c r="AD1667" s="94"/>
      <c r="AE1667" s="94"/>
    </row>
    <row r="1668">
      <c r="A1668" s="87"/>
      <c r="B1668" s="37"/>
      <c r="C1668" s="37"/>
      <c r="D1668" s="162"/>
      <c r="E1668" s="89"/>
      <c r="F1668" s="72"/>
      <c r="G1668" s="111"/>
      <c r="H1668" s="111"/>
      <c r="I1668" s="111"/>
      <c r="J1668" s="111"/>
      <c r="K1668" s="111"/>
      <c r="L1668" s="111"/>
      <c r="M1668" s="94"/>
      <c r="N1668" s="94"/>
      <c r="O1668" s="94"/>
      <c r="P1668" s="94"/>
      <c r="Q1668" s="94"/>
      <c r="R1668" s="94"/>
      <c r="S1668" s="94"/>
      <c r="T1668" s="94"/>
      <c r="U1668" s="94"/>
      <c r="V1668" s="94"/>
      <c r="W1668" s="94"/>
      <c r="X1668" s="94"/>
      <c r="Y1668" s="94"/>
      <c r="Z1668" s="94"/>
      <c r="AA1668" s="94"/>
      <c r="AB1668" s="94"/>
      <c r="AC1668" s="94"/>
      <c r="AD1668" s="94"/>
      <c r="AE1668" s="94"/>
    </row>
    <row r="1669">
      <c r="A1669" s="87"/>
      <c r="B1669" s="37"/>
      <c r="C1669" s="37"/>
      <c r="D1669" s="162"/>
      <c r="E1669" s="89"/>
      <c r="F1669" s="72"/>
      <c r="G1669" s="111"/>
      <c r="H1669" s="111"/>
      <c r="I1669" s="111"/>
      <c r="J1669" s="111"/>
      <c r="K1669" s="111"/>
      <c r="L1669" s="111"/>
      <c r="M1669" s="94"/>
      <c r="N1669" s="94"/>
      <c r="O1669" s="94"/>
      <c r="P1669" s="94"/>
      <c r="Q1669" s="94"/>
      <c r="R1669" s="94"/>
      <c r="S1669" s="94"/>
      <c r="T1669" s="94"/>
      <c r="U1669" s="94"/>
      <c r="V1669" s="94"/>
      <c r="W1669" s="94"/>
      <c r="X1669" s="94"/>
      <c r="Y1669" s="94"/>
      <c r="Z1669" s="94"/>
      <c r="AA1669" s="94"/>
      <c r="AB1669" s="94"/>
      <c r="AC1669" s="94"/>
      <c r="AD1669" s="94"/>
      <c r="AE1669" s="94"/>
    </row>
    <row r="1670">
      <c r="A1670" s="87"/>
      <c r="B1670" s="37"/>
      <c r="C1670" s="37"/>
      <c r="D1670" s="162"/>
      <c r="E1670" s="89"/>
      <c r="F1670" s="72"/>
      <c r="G1670" s="111"/>
      <c r="H1670" s="111"/>
      <c r="I1670" s="111"/>
      <c r="J1670" s="111"/>
      <c r="K1670" s="111"/>
      <c r="L1670" s="111"/>
      <c r="M1670" s="94"/>
      <c r="N1670" s="94"/>
      <c r="O1670" s="94"/>
      <c r="P1670" s="94"/>
      <c r="Q1670" s="94"/>
      <c r="R1670" s="94"/>
      <c r="S1670" s="94"/>
      <c r="T1670" s="94"/>
      <c r="U1670" s="94"/>
      <c r="V1670" s="94"/>
      <c r="W1670" s="94"/>
      <c r="X1670" s="94"/>
      <c r="Y1670" s="94"/>
      <c r="Z1670" s="94"/>
      <c r="AA1670" s="94"/>
      <c r="AB1670" s="94"/>
      <c r="AC1670" s="94"/>
      <c r="AD1670" s="94"/>
      <c r="AE1670" s="94"/>
    </row>
    <row r="1671">
      <c r="A1671" s="87"/>
      <c r="B1671" s="37"/>
      <c r="C1671" s="37"/>
      <c r="D1671" s="162"/>
      <c r="E1671" s="89"/>
      <c r="F1671" s="72"/>
      <c r="G1671" s="111"/>
      <c r="H1671" s="111"/>
      <c r="I1671" s="111"/>
      <c r="J1671" s="111"/>
      <c r="K1671" s="111"/>
      <c r="L1671" s="111"/>
      <c r="M1671" s="94"/>
      <c r="N1671" s="94"/>
      <c r="O1671" s="94"/>
      <c r="P1671" s="94"/>
      <c r="Q1671" s="94"/>
      <c r="R1671" s="94"/>
      <c r="S1671" s="94"/>
      <c r="T1671" s="94"/>
      <c r="U1671" s="94"/>
      <c r="V1671" s="94"/>
      <c r="W1671" s="94"/>
      <c r="X1671" s="94"/>
      <c r="Y1671" s="94"/>
      <c r="Z1671" s="94"/>
      <c r="AA1671" s="94"/>
      <c r="AB1671" s="94"/>
      <c r="AC1671" s="94"/>
      <c r="AD1671" s="94"/>
      <c r="AE1671" s="94"/>
    </row>
    <row r="1672">
      <c r="A1672" s="87"/>
      <c r="B1672" s="37"/>
      <c r="C1672" s="37"/>
      <c r="D1672" s="162"/>
      <c r="E1672" s="89"/>
      <c r="F1672" s="72"/>
      <c r="G1672" s="111"/>
      <c r="H1672" s="111"/>
      <c r="I1672" s="111"/>
      <c r="J1672" s="111"/>
      <c r="K1672" s="111"/>
      <c r="L1672" s="111"/>
      <c r="M1672" s="94"/>
      <c r="N1672" s="94"/>
      <c r="O1672" s="94"/>
      <c r="P1672" s="94"/>
      <c r="Q1672" s="94"/>
      <c r="R1672" s="94"/>
      <c r="S1672" s="94"/>
      <c r="T1672" s="94"/>
      <c r="U1672" s="94"/>
      <c r="V1672" s="94"/>
      <c r="W1672" s="94"/>
      <c r="X1672" s="94"/>
      <c r="Y1672" s="94"/>
      <c r="Z1672" s="94"/>
      <c r="AA1672" s="94"/>
      <c r="AB1672" s="94"/>
      <c r="AC1672" s="94"/>
      <c r="AD1672" s="94"/>
      <c r="AE1672" s="94"/>
    </row>
    <row r="1673">
      <c r="A1673" s="87"/>
      <c r="B1673" s="37"/>
      <c r="C1673" s="37"/>
      <c r="D1673" s="162"/>
      <c r="E1673" s="89"/>
      <c r="F1673" s="72"/>
      <c r="G1673" s="111"/>
      <c r="H1673" s="111"/>
      <c r="I1673" s="111"/>
      <c r="J1673" s="111"/>
      <c r="K1673" s="111"/>
      <c r="L1673" s="111"/>
      <c r="M1673" s="94"/>
      <c r="N1673" s="94"/>
      <c r="O1673" s="94"/>
      <c r="P1673" s="94"/>
      <c r="Q1673" s="94"/>
      <c r="R1673" s="94"/>
      <c r="S1673" s="94"/>
      <c r="T1673" s="94"/>
      <c r="U1673" s="94"/>
      <c r="V1673" s="94"/>
      <c r="W1673" s="94"/>
      <c r="X1673" s="94"/>
      <c r="Y1673" s="94"/>
      <c r="Z1673" s="94"/>
      <c r="AA1673" s="94"/>
      <c r="AB1673" s="94"/>
      <c r="AC1673" s="94"/>
      <c r="AD1673" s="94"/>
      <c r="AE1673" s="94"/>
    </row>
    <row r="1674">
      <c r="A1674" s="87"/>
      <c r="B1674" s="37"/>
      <c r="C1674" s="37"/>
      <c r="D1674" s="162"/>
      <c r="E1674" s="89"/>
      <c r="F1674" s="72"/>
      <c r="G1674" s="111"/>
      <c r="H1674" s="111"/>
      <c r="I1674" s="111"/>
      <c r="J1674" s="111"/>
      <c r="K1674" s="111"/>
      <c r="L1674" s="111"/>
      <c r="M1674" s="94"/>
      <c r="N1674" s="94"/>
      <c r="O1674" s="94"/>
      <c r="P1674" s="94"/>
      <c r="Q1674" s="94"/>
      <c r="R1674" s="94"/>
      <c r="S1674" s="94"/>
      <c r="T1674" s="94"/>
      <c r="U1674" s="94"/>
      <c r="V1674" s="94"/>
      <c r="W1674" s="94"/>
      <c r="X1674" s="94"/>
      <c r="Y1674" s="94"/>
      <c r="Z1674" s="94"/>
      <c r="AA1674" s="94"/>
      <c r="AB1674" s="94"/>
      <c r="AC1674" s="94"/>
      <c r="AD1674" s="94"/>
      <c r="AE1674" s="94"/>
    </row>
    <row r="1675">
      <c r="A1675" s="87"/>
      <c r="B1675" s="37"/>
      <c r="C1675" s="37"/>
      <c r="D1675" s="162"/>
      <c r="E1675" s="89"/>
      <c r="F1675" s="72"/>
      <c r="G1675" s="111"/>
      <c r="H1675" s="111"/>
      <c r="I1675" s="111"/>
      <c r="J1675" s="111"/>
      <c r="K1675" s="111"/>
      <c r="L1675" s="111"/>
      <c r="M1675" s="94"/>
      <c r="N1675" s="94"/>
      <c r="O1675" s="94"/>
      <c r="P1675" s="94"/>
      <c r="Q1675" s="94"/>
      <c r="R1675" s="94"/>
      <c r="S1675" s="94"/>
      <c r="T1675" s="94"/>
      <c r="U1675" s="94"/>
      <c r="V1675" s="94"/>
      <c r="W1675" s="94"/>
      <c r="X1675" s="94"/>
      <c r="Y1675" s="94"/>
      <c r="Z1675" s="94"/>
      <c r="AA1675" s="94"/>
      <c r="AB1675" s="94"/>
      <c r="AC1675" s="94"/>
      <c r="AD1675" s="94"/>
      <c r="AE1675" s="94"/>
    </row>
    <row r="1676">
      <c r="A1676" s="87"/>
      <c r="B1676" s="37"/>
      <c r="C1676" s="37"/>
      <c r="D1676" s="162"/>
      <c r="E1676" s="89"/>
      <c r="F1676" s="72"/>
      <c r="G1676" s="111"/>
      <c r="H1676" s="111"/>
      <c r="I1676" s="111"/>
      <c r="J1676" s="111"/>
      <c r="K1676" s="111"/>
      <c r="L1676" s="111"/>
      <c r="M1676" s="94"/>
      <c r="N1676" s="94"/>
      <c r="O1676" s="94"/>
      <c r="P1676" s="94"/>
      <c r="Q1676" s="94"/>
      <c r="R1676" s="94"/>
      <c r="S1676" s="94"/>
      <c r="T1676" s="94"/>
      <c r="U1676" s="94"/>
      <c r="V1676" s="94"/>
      <c r="W1676" s="94"/>
      <c r="X1676" s="94"/>
      <c r="Y1676" s="94"/>
      <c r="Z1676" s="94"/>
      <c r="AA1676" s="94"/>
      <c r="AB1676" s="94"/>
      <c r="AC1676" s="94"/>
      <c r="AD1676" s="94"/>
      <c r="AE1676" s="94"/>
    </row>
    <row r="1677">
      <c r="A1677" s="87"/>
      <c r="B1677" s="37"/>
      <c r="C1677" s="37"/>
      <c r="D1677" s="162"/>
      <c r="E1677" s="89"/>
      <c r="F1677" s="72"/>
      <c r="G1677" s="111"/>
      <c r="H1677" s="111"/>
      <c r="I1677" s="111"/>
      <c r="J1677" s="111"/>
      <c r="K1677" s="111"/>
      <c r="L1677" s="111"/>
      <c r="M1677" s="94"/>
      <c r="N1677" s="94"/>
      <c r="O1677" s="94"/>
      <c r="P1677" s="94"/>
      <c r="Q1677" s="94"/>
      <c r="R1677" s="94"/>
      <c r="S1677" s="94"/>
      <c r="T1677" s="94"/>
      <c r="U1677" s="94"/>
      <c r="V1677" s="94"/>
      <c r="W1677" s="94"/>
      <c r="X1677" s="94"/>
      <c r="Y1677" s="94"/>
      <c r="Z1677" s="94"/>
      <c r="AA1677" s="94"/>
      <c r="AB1677" s="94"/>
      <c r="AC1677" s="94"/>
      <c r="AD1677" s="94"/>
      <c r="AE1677" s="94"/>
    </row>
    <row r="1678">
      <c r="A1678" s="87"/>
      <c r="B1678" s="37"/>
      <c r="C1678" s="37"/>
      <c r="D1678" s="162"/>
      <c r="E1678" s="89"/>
      <c r="F1678" s="72"/>
      <c r="G1678" s="111"/>
      <c r="H1678" s="111"/>
      <c r="I1678" s="111"/>
      <c r="J1678" s="111"/>
      <c r="K1678" s="111"/>
      <c r="L1678" s="111"/>
      <c r="M1678" s="94"/>
      <c r="N1678" s="94"/>
      <c r="O1678" s="94"/>
      <c r="P1678" s="94"/>
      <c r="Q1678" s="94"/>
      <c r="R1678" s="94"/>
      <c r="S1678" s="94"/>
      <c r="T1678" s="94"/>
      <c r="U1678" s="94"/>
      <c r="V1678" s="94"/>
      <c r="W1678" s="94"/>
      <c r="X1678" s="94"/>
      <c r="Y1678" s="94"/>
      <c r="Z1678" s="94"/>
      <c r="AA1678" s="94"/>
      <c r="AB1678" s="94"/>
      <c r="AC1678" s="94"/>
      <c r="AD1678" s="94"/>
      <c r="AE1678" s="94"/>
    </row>
    <row r="1679">
      <c r="A1679" s="87"/>
      <c r="B1679" s="37"/>
      <c r="C1679" s="37"/>
      <c r="D1679" s="162"/>
      <c r="E1679" s="89"/>
      <c r="F1679" s="72"/>
      <c r="G1679" s="111"/>
      <c r="H1679" s="111"/>
      <c r="I1679" s="111"/>
      <c r="J1679" s="111"/>
      <c r="K1679" s="111"/>
      <c r="L1679" s="111"/>
      <c r="M1679" s="94"/>
      <c r="N1679" s="94"/>
      <c r="O1679" s="94"/>
      <c r="P1679" s="94"/>
      <c r="Q1679" s="94"/>
      <c r="R1679" s="94"/>
      <c r="S1679" s="94"/>
      <c r="T1679" s="94"/>
      <c r="U1679" s="94"/>
      <c r="V1679" s="94"/>
      <c r="W1679" s="94"/>
      <c r="X1679" s="94"/>
      <c r="Y1679" s="94"/>
      <c r="Z1679" s="94"/>
      <c r="AA1679" s="94"/>
      <c r="AB1679" s="94"/>
      <c r="AC1679" s="94"/>
      <c r="AD1679" s="94"/>
      <c r="AE1679" s="94"/>
    </row>
    <row r="1680">
      <c r="A1680" s="87"/>
      <c r="B1680" s="37"/>
      <c r="C1680" s="37"/>
      <c r="D1680" s="162"/>
      <c r="E1680" s="89"/>
      <c r="F1680" s="72"/>
      <c r="G1680" s="111"/>
      <c r="H1680" s="111"/>
      <c r="I1680" s="111"/>
      <c r="J1680" s="111"/>
      <c r="K1680" s="111"/>
      <c r="L1680" s="111"/>
      <c r="M1680" s="94"/>
      <c r="N1680" s="94"/>
      <c r="O1680" s="94"/>
      <c r="P1680" s="94"/>
      <c r="Q1680" s="94"/>
      <c r="R1680" s="94"/>
      <c r="S1680" s="94"/>
      <c r="T1680" s="94"/>
      <c r="U1680" s="94"/>
      <c r="V1680" s="94"/>
      <c r="W1680" s="94"/>
      <c r="X1680" s="94"/>
      <c r="Y1680" s="94"/>
      <c r="Z1680" s="94"/>
      <c r="AA1680" s="94"/>
      <c r="AB1680" s="94"/>
      <c r="AC1680" s="94"/>
      <c r="AD1680" s="94"/>
      <c r="AE1680" s="94"/>
    </row>
    <row r="1681">
      <c r="A1681" s="87"/>
      <c r="B1681" s="37"/>
      <c r="C1681" s="37"/>
      <c r="D1681" s="162"/>
      <c r="E1681" s="89"/>
      <c r="F1681" s="72"/>
      <c r="G1681" s="111"/>
      <c r="H1681" s="111"/>
      <c r="I1681" s="111"/>
      <c r="J1681" s="111"/>
      <c r="K1681" s="111"/>
      <c r="L1681" s="111"/>
      <c r="M1681" s="94"/>
      <c r="N1681" s="94"/>
      <c r="O1681" s="94"/>
      <c r="P1681" s="94"/>
      <c r="Q1681" s="94"/>
      <c r="R1681" s="94"/>
      <c r="S1681" s="94"/>
      <c r="T1681" s="94"/>
      <c r="U1681" s="94"/>
      <c r="V1681" s="94"/>
      <c r="W1681" s="94"/>
      <c r="X1681" s="94"/>
      <c r="Y1681" s="94"/>
      <c r="Z1681" s="94"/>
      <c r="AA1681" s="94"/>
      <c r="AB1681" s="94"/>
      <c r="AC1681" s="94"/>
      <c r="AD1681" s="94"/>
      <c r="AE1681" s="94"/>
    </row>
    <row r="1682">
      <c r="A1682" s="87"/>
      <c r="B1682" s="37"/>
      <c r="C1682" s="37"/>
      <c r="D1682" s="162"/>
      <c r="E1682" s="89"/>
      <c r="F1682" s="72"/>
      <c r="G1682" s="111"/>
      <c r="H1682" s="111"/>
      <c r="I1682" s="111"/>
      <c r="J1682" s="111"/>
      <c r="K1682" s="111"/>
      <c r="L1682" s="111"/>
      <c r="M1682" s="94"/>
      <c r="N1682" s="94"/>
      <c r="O1682" s="94"/>
      <c r="P1682" s="94"/>
      <c r="Q1682" s="94"/>
      <c r="R1682" s="94"/>
      <c r="S1682" s="94"/>
      <c r="T1682" s="94"/>
      <c r="U1682" s="94"/>
      <c r="V1682" s="94"/>
      <c r="W1682" s="94"/>
      <c r="X1682" s="94"/>
      <c r="Y1682" s="94"/>
      <c r="Z1682" s="94"/>
      <c r="AA1682" s="94"/>
      <c r="AB1682" s="94"/>
      <c r="AC1682" s="94"/>
      <c r="AD1682" s="94"/>
      <c r="AE1682" s="94"/>
    </row>
    <row r="1683">
      <c r="A1683" s="87"/>
      <c r="B1683" s="37"/>
      <c r="C1683" s="37"/>
      <c r="D1683" s="162"/>
      <c r="E1683" s="89"/>
      <c r="F1683" s="72"/>
      <c r="G1683" s="111"/>
      <c r="H1683" s="111"/>
      <c r="I1683" s="111"/>
      <c r="J1683" s="111"/>
      <c r="K1683" s="111"/>
      <c r="L1683" s="111"/>
      <c r="M1683" s="94"/>
      <c r="N1683" s="94"/>
      <c r="O1683" s="94"/>
      <c r="P1683" s="94"/>
      <c r="Q1683" s="94"/>
      <c r="R1683" s="94"/>
      <c r="S1683" s="94"/>
      <c r="T1683" s="94"/>
      <c r="U1683" s="94"/>
      <c r="V1683" s="94"/>
      <c r="W1683" s="94"/>
      <c r="X1683" s="94"/>
      <c r="Y1683" s="94"/>
      <c r="Z1683" s="94"/>
      <c r="AA1683" s="94"/>
      <c r="AB1683" s="94"/>
      <c r="AC1683" s="94"/>
      <c r="AD1683" s="94"/>
      <c r="AE1683" s="94"/>
    </row>
    <row r="1684">
      <c r="A1684" s="87"/>
      <c r="B1684" s="37"/>
      <c r="C1684" s="37"/>
      <c r="D1684" s="162"/>
      <c r="E1684" s="89"/>
      <c r="F1684" s="72"/>
      <c r="G1684" s="111"/>
      <c r="H1684" s="111"/>
      <c r="I1684" s="111"/>
      <c r="J1684" s="111"/>
      <c r="K1684" s="111"/>
      <c r="L1684" s="111"/>
      <c r="M1684" s="94"/>
      <c r="N1684" s="94"/>
      <c r="O1684" s="94"/>
      <c r="P1684" s="94"/>
      <c r="Q1684" s="94"/>
      <c r="R1684" s="94"/>
      <c r="S1684" s="94"/>
      <c r="T1684" s="94"/>
      <c r="U1684" s="94"/>
      <c r="V1684" s="94"/>
      <c r="W1684" s="94"/>
      <c r="X1684" s="94"/>
      <c r="Y1684" s="94"/>
      <c r="Z1684" s="94"/>
      <c r="AA1684" s="94"/>
      <c r="AB1684" s="94"/>
      <c r="AC1684" s="94"/>
      <c r="AD1684" s="94"/>
      <c r="AE1684" s="94"/>
    </row>
    <row r="1685">
      <c r="A1685" s="87"/>
      <c r="B1685" s="37"/>
      <c r="C1685" s="37"/>
      <c r="D1685" s="162"/>
      <c r="E1685" s="89"/>
      <c r="F1685" s="72"/>
      <c r="G1685" s="111"/>
      <c r="H1685" s="111"/>
      <c r="I1685" s="111"/>
      <c r="J1685" s="111"/>
      <c r="K1685" s="111"/>
      <c r="L1685" s="111"/>
      <c r="M1685" s="94"/>
      <c r="N1685" s="94"/>
      <c r="O1685" s="94"/>
      <c r="P1685" s="94"/>
      <c r="Q1685" s="94"/>
      <c r="R1685" s="94"/>
      <c r="S1685" s="94"/>
      <c r="T1685" s="94"/>
      <c r="U1685" s="94"/>
      <c r="V1685" s="94"/>
      <c r="W1685" s="94"/>
      <c r="X1685" s="94"/>
      <c r="Y1685" s="94"/>
      <c r="Z1685" s="94"/>
      <c r="AA1685" s="94"/>
      <c r="AB1685" s="94"/>
      <c r="AC1685" s="94"/>
      <c r="AD1685" s="94"/>
      <c r="AE1685" s="94"/>
    </row>
    <row r="1686">
      <c r="A1686" s="87"/>
      <c r="B1686" s="37"/>
      <c r="C1686" s="37"/>
      <c r="D1686" s="162"/>
      <c r="E1686" s="89"/>
      <c r="F1686" s="72"/>
      <c r="G1686" s="111"/>
      <c r="H1686" s="111"/>
      <c r="I1686" s="111"/>
      <c r="J1686" s="111"/>
      <c r="K1686" s="111"/>
      <c r="L1686" s="111"/>
      <c r="M1686" s="94"/>
      <c r="N1686" s="94"/>
      <c r="O1686" s="94"/>
      <c r="P1686" s="94"/>
      <c r="Q1686" s="94"/>
      <c r="R1686" s="94"/>
      <c r="S1686" s="94"/>
      <c r="T1686" s="94"/>
      <c r="U1686" s="94"/>
      <c r="V1686" s="94"/>
      <c r="W1686" s="94"/>
      <c r="X1686" s="94"/>
      <c r="Y1686" s="94"/>
      <c r="Z1686" s="94"/>
      <c r="AA1686" s="94"/>
      <c r="AB1686" s="94"/>
      <c r="AC1686" s="94"/>
      <c r="AD1686" s="94"/>
      <c r="AE1686" s="94"/>
    </row>
    <row r="1687">
      <c r="A1687" s="87"/>
      <c r="B1687" s="37"/>
      <c r="C1687" s="37"/>
      <c r="D1687" s="162"/>
      <c r="E1687" s="89"/>
      <c r="F1687" s="72"/>
      <c r="G1687" s="111"/>
      <c r="H1687" s="111"/>
      <c r="I1687" s="111"/>
      <c r="J1687" s="111"/>
      <c r="K1687" s="111"/>
      <c r="L1687" s="111"/>
      <c r="M1687" s="94"/>
      <c r="N1687" s="94"/>
      <c r="O1687" s="94"/>
      <c r="P1687" s="94"/>
      <c r="Q1687" s="94"/>
      <c r="R1687" s="94"/>
      <c r="S1687" s="94"/>
      <c r="T1687" s="94"/>
      <c r="U1687" s="94"/>
      <c r="V1687" s="94"/>
      <c r="W1687" s="94"/>
      <c r="X1687" s="94"/>
      <c r="Y1687" s="94"/>
      <c r="Z1687" s="94"/>
      <c r="AA1687" s="94"/>
      <c r="AB1687" s="94"/>
      <c r="AC1687" s="94"/>
      <c r="AD1687" s="94"/>
      <c r="AE1687" s="94"/>
    </row>
    <row r="1688">
      <c r="A1688" s="87"/>
      <c r="B1688" s="37"/>
      <c r="C1688" s="37"/>
      <c r="D1688" s="162"/>
      <c r="E1688" s="89"/>
      <c r="F1688" s="72"/>
      <c r="G1688" s="111"/>
      <c r="H1688" s="111"/>
      <c r="I1688" s="111"/>
      <c r="J1688" s="111"/>
      <c r="K1688" s="111"/>
      <c r="L1688" s="111"/>
      <c r="M1688" s="94"/>
      <c r="N1688" s="94"/>
      <c r="O1688" s="94"/>
      <c r="P1688" s="94"/>
      <c r="Q1688" s="94"/>
      <c r="R1688" s="94"/>
      <c r="S1688" s="94"/>
      <c r="T1688" s="94"/>
      <c r="U1688" s="94"/>
      <c r="V1688" s="94"/>
      <c r="W1688" s="94"/>
      <c r="X1688" s="94"/>
      <c r="Y1688" s="94"/>
      <c r="Z1688" s="94"/>
      <c r="AA1688" s="94"/>
      <c r="AB1688" s="94"/>
      <c r="AC1688" s="94"/>
      <c r="AD1688" s="94"/>
      <c r="AE1688" s="94"/>
    </row>
    <row r="1689">
      <c r="A1689" s="87"/>
      <c r="B1689" s="37"/>
      <c r="C1689" s="37"/>
      <c r="D1689" s="162"/>
      <c r="E1689" s="89"/>
      <c r="F1689" s="72"/>
      <c r="G1689" s="111"/>
      <c r="H1689" s="111"/>
      <c r="I1689" s="111"/>
      <c r="J1689" s="111"/>
      <c r="K1689" s="111"/>
      <c r="L1689" s="111"/>
      <c r="M1689" s="94"/>
      <c r="N1689" s="94"/>
      <c r="O1689" s="94"/>
      <c r="P1689" s="94"/>
      <c r="Q1689" s="94"/>
      <c r="R1689" s="94"/>
      <c r="S1689" s="94"/>
      <c r="T1689" s="94"/>
      <c r="U1689" s="94"/>
      <c r="V1689" s="94"/>
      <c r="W1689" s="94"/>
      <c r="X1689" s="94"/>
      <c r="Y1689" s="94"/>
      <c r="Z1689" s="94"/>
      <c r="AA1689" s="94"/>
      <c r="AB1689" s="94"/>
      <c r="AC1689" s="94"/>
      <c r="AD1689" s="94"/>
      <c r="AE1689" s="94"/>
    </row>
    <row r="1690">
      <c r="A1690" s="87"/>
      <c r="B1690" s="37"/>
      <c r="C1690" s="37"/>
      <c r="D1690" s="162"/>
      <c r="E1690" s="89"/>
      <c r="F1690" s="72"/>
      <c r="G1690" s="111"/>
      <c r="H1690" s="111"/>
      <c r="I1690" s="111"/>
      <c r="J1690" s="111"/>
      <c r="K1690" s="111"/>
      <c r="L1690" s="111"/>
      <c r="M1690" s="94"/>
      <c r="N1690" s="94"/>
      <c r="O1690" s="94"/>
      <c r="P1690" s="94"/>
      <c r="Q1690" s="94"/>
      <c r="R1690" s="94"/>
      <c r="S1690" s="94"/>
      <c r="T1690" s="94"/>
      <c r="U1690" s="94"/>
      <c r="V1690" s="94"/>
      <c r="W1690" s="94"/>
      <c r="X1690" s="94"/>
      <c r="Y1690" s="94"/>
      <c r="Z1690" s="94"/>
      <c r="AA1690" s="94"/>
      <c r="AB1690" s="94"/>
      <c r="AC1690" s="94"/>
      <c r="AD1690" s="94"/>
      <c r="AE1690" s="94"/>
    </row>
    <row r="1691">
      <c r="A1691" s="87"/>
      <c r="B1691" s="37"/>
      <c r="C1691" s="37"/>
      <c r="D1691" s="162"/>
      <c r="E1691" s="89"/>
      <c r="F1691" s="72"/>
      <c r="G1691" s="111"/>
      <c r="H1691" s="111"/>
      <c r="I1691" s="111"/>
      <c r="J1691" s="111"/>
      <c r="K1691" s="111"/>
      <c r="L1691" s="111"/>
      <c r="M1691" s="94"/>
      <c r="N1691" s="94"/>
      <c r="O1691" s="94"/>
      <c r="P1691" s="94"/>
      <c r="Q1691" s="94"/>
      <c r="R1691" s="94"/>
      <c r="S1691" s="94"/>
      <c r="T1691" s="94"/>
      <c r="U1691" s="94"/>
      <c r="V1691" s="94"/>
      <c r="W1691" s="94"/>
      <c r="X1691" s="94"/>
      <c r="Y1691" s="94"/>
      <c r="Z1691" s="94"/>
      <c r="AA1691" s="94"/>
      <c r="AB1691" s="94"/>
      <c r="AC1691" s="94"/>
      <c r="AD1691" s="94"/>
      <c r="AE1691" s="94"/>
    </row>
    <row r="1692">
      <c r="A1692" s="87"/>
      <c r="B1692" s="37"/>
      <c r="C1692" s="37"/>
      <c r="D1692" s="162"/>
      <c r="E1692" s="89"/>
      <c r="F1692" s="72"/>
      <c r="G1692" s="111"/>
      <c r="H1692" s="111"/>
      <c r="I1692" s="111"/>
      <c r="J1692" s="111"/>
      <c r="K1692" s="111"/>
      <c r="L1692" s="111"/>
      <c r="M1692" s="94"/>
      <c r="N1692" s="94"/>
      <c r="O1692" s="94"/>
      <c r="P1692" s="94"/>
      <c r="Q1692" s="94"/>
      <c r="R1692" s="94"/>
      <c r="S1692" s="94"/>
      <c r="T1692" s="94"/>
      <c r="U1692" s="94"/>
      <c r="V1692" s="94"/>
      <c r="W1692" s="94"/>
      <c r="X1692" s="94"/>
      <c r="Y1692" s="94"/>
      <c r="Z1692" s="94"/>
      <c r="AA1692" s="94"/>
      <c r="AB1692" s="94"/>
      <c r="AC1692" s="94"/>
      <c r="AD1692" s="94"/>
      <c r="AE1692" s="94"/>
    </row>
    <row r="1693">
      <c r="A1693" s="87"/>
      <c r="B1693" s="37"/>
      <c r="C1693" s="37"/>
      <c r="D1693" s="162"/>
      <c r="E1693" s="89"/>
      <c r="F1693" s="72"/>
      <c r="G1693" s="111"/>
      <c r="H1693" s="111"/>
      <c r="I1693" s="111"/>
      <c r="J1693" s="111"/>
      <c r="K1693" s="111"/>
      <c r="L1693" s="111"/>
      <c r="M1693" s="94"/>
      <c r="N1693" s="94"/>
      <c r="O1693" s="94"/>
      <c r="P1693" s="94"/>
      <c r="Q1693" s="94"/>
      <c r="R1693" s="94"/>
      <c r="S1693" s="94"/>
      <c r="T1693" s="94"/>
      <c r="U1693" s="94"/>
      <c r="V1693" s="94"/>
      <c r="W1693" s="94"/>
      <c r="X1693" s="94"/>
      <c r="Y1693" s="94"/>
      <c r="Z1693" s="94"/>
      <c r="AA1693" s="94"/>
      <c r="AB1693" s="94"/>
      <c r="AC1693" s="94"/>
      <c r="AD1693" s="94"/>
      <c r="AE1693" s="94"/>
    </row>
    <row r="1694">
      <c r="A1694" s="87"/>
      <c r="B1694" s="37"/>
      <c r="C1694" s="37"/>
      <c r="D1694" s="162"/>
      <c r="E1694" s="89"/>
      <c r="F1694" s="72"/>
      <c r="G1694" s="111"/>
      <c r="H1694" s="111"/>
      <c r="I1694" s="111"/>
      <c r="J1694" s="111"/>
      <c r="K1694" s="111"/>
      <c r="L1694" s="111"/>
      <c r="M1694" s="94"/>
      <c r="N1694" s="94"/>
      <c r="O1694" s="94"/>
      <c r="P1694" s="94"/>
      <c r="Q1694" s="94"/>
      <c r="R1694" s="94"/>
      <c r="S1694" s="94"/>
      <c r="T1694" s="94"/>
      <c r="U1694" s="94"/>
      <c r="V1694" s="94"/>
      <c r="W1694" s="94"/>
      <c r="X1694" s="94"/>
      <c r="Y1694" s="94"/>
      <c r="Z1694" s="94"/>
      <c r="AA1694" s="94"/>
      <c r="AB1694" s="94"/>
      <c r="AC1694" s="94"/>
      <c r="AD1694" s="94"/>
      <c r="AE1694" s="94"/>
    </row>
    <row r="1695">
      <c r="A1695" s="87"/>
      <c r="B1695" s="37"/>
      <c r="C1695" s="37"/>
      <c r="D1695" s="162"/>
      <c r="E1695" s="89"/>
      <c r="F1695" s="72"/>
      <c r="G1695" s="111"/>
      <c r="H1695" s="111"/>
      <c r="I1695" s="111"/>
      <c r="J1695" s="111"/>
      <c r="K1695" s="111"/>
      <c r="L1695" s="111"/>
      <c r="M1695" s="94"/>
      <c r="N1695" s="94"/>
      <c r="O1695" s="94"/>
      <c r="P1695" s="94"/>
      <c r="Q1695" s="94"/>
      <c r="R1695" s="94"/>
      <c r="S1695" s="94"/>
      <c r="T1695" s="94"/>
      <c r="U1695" s="94"/>
      <c r="V1695" s="94"/>
      <c r="W1695" s="94"/>
      <c r="X1695" s="94"/>
      <c r="Y1695" s="94"/>
      <c r="Z1695" s="94"/>
      <c r="AA1695" s="94"/>
      <c r="AB1695" s="94"/>
      <c r="AC1695" s="94"/>
      <c r="AD1695" s="94"/>
      <c r="AE1695" s="94"/>
    </row>
    <row r="1696">
      <c r="A1696" s="87"/>
      <c r="B1696" s="37"/>
      <c r="C1696" s="37"/>
      <c r="D1696" s="162"/>
      <c r="E1696" s="89"/>
      <c r="F1696" s="72"/>
      <c r="G1696" s="111"/>
      <c r="H1696" s="111"/>
      <c r="I1696" s="111"/>
      <c r="J1696" s="111"/>
      <c r="K1696" s="111"/>
      <c r="L1696" s="111"/>
      <c r="M1696" s="94"/>
      <c r="N1696" s="94"/>
      <c r="O1696" s="94"/>
      <c r="P1696" s="94"/>
      <c r="Q1696" s="94"/>
      <c r="R1696" s="94"/>
      <c r="S1696" s="94"/>
      <c r="T1696" s="94"/>
      <c r="U1696" s="94"/>
      <c r="V1696" s="94"/>
      <c r="W1696" s="94"/>
      <c r="X1696" s="94"/>
      <c r="Y1696" s="94"/>
      <c r="Z1696" s="94"/>
      <c r="AA1696" s="94"/>
      <c r="AB1696" s="94"/>
      <c r="AC1696" s="94"/>
      <c r="AD1696" s="94"/>
      <c r="AE1696" s="94"/>
    </row>
    <row r="1697">
      <c r="A1697" s="87"/>
      <c r="B1697" s="37"/>
      <c r="C1697" s="37"/>
      <c r="D1697" s="162"/>
      <c r="E1697" s="89"/>
      <c r="F1697" s="72"/>
      <c r="G1697" s="111"/>
      <c r="H1697" s="111"/>
      <c r="I1697" s="111"/>
      <c r="J1697" s="111"/>
      <c r="K1697" s="111"/>
      <c r="L1697" s="111"/>
      <c r="M1697" s="94"/>
      <c r="N1697" s="94"/>
      <c r="O1697" s="94"/>
      <c r="P1697" s="94"/>
      <c r="Q1697" s="94"/>
      <c r="R1697" s="94"/>
      <c r="S1697" s="94"/>
      <c r="T1697" s="94"/>
      <c r="U1697" s="94"/>
      <c r="V1697" s="94"/>
      <c r="W1697" s="94"/>
      <c r="X1697" s="94"/>
      <c r="Y1697" s="94"/>
      <c r="Z1697" s="94"/>
      <c r="AA1697" s="94"/>
      <c r="AB1697" s="94"/>
      <c r="AC1697" s="94"/>
      <c r="AD1697" s="94"/>
      <c r="AE1697" s="94"/>
    </row>
    <row r="1698">
      <c r="A1698" s="87"/>
      <c r="B1698" s="37"/>
      <c r="C1698" s="37"/>
      <c r="D1698" s="162"/>
      <c r="E1698" s="89"/>
      <c r="F1698" s="72"/>
      <c r="G1698" s="111"/>
      <c r="H1698" s="111"/>
      <c r="I1698" s="111"/>
      <c r="J1698" s="111"/>
      <c r="K1698" s="111"/>
      <c r="L1698" s="111"/>
      <c r="M1698" s="94"/>
      <c r="N1698" s="94"/>
      <c r="O1698" s="94"/>
      <c r="P1698" s="94"/>
      <c r="Q1698" s="94"/>
      <c r="R1698" s="94"/>
      <c r="S1698" s="94"/>
      <c r="T1698" s="94"/>
      <c r="U1698" s="94"/>
      <c r="V1698" s="94"/>
      <c r="W1698" s="94"/>
      <c r="X1698" s="94"/>
      <c r="Y1698" s="94"/>
      <c r="Z1698" s="94"/>
      <c r="AA1698" s="94"/>
      <c r="AB1698" s="94"/>
      <c r="AC1698" s="94"/>
      <c r="AD1698" s="94"/>
      <c r="AE1698" s="94"/>
    </row>
    <row r="1699">
      <c r="A1699" s="87"/>
      <c r="B1699" s="37"/>
      <c r="C1699" s="37"/>
      <c r="D1699" s="162"/>
      <c r="E1699" s="89"/>
      <c r="F1699" s="72"/>
      <c r="G1699" s="111"/>
      <c r="H1699" s="111"/>
      <c r="I1699" s="111"/>
      <c r="J1699" s="111"/>
      <c r="K1699" s="111"/>
      <c r="L1699" s="111"/>
      <c r="M1699" s="94"/>
      <c r="N1699" s="94"/>
      <c r="O1699" s="94"/>
      <c r="P1699" s="94"/>
      <c r="Q1699" s="94"/>
      <c r="R1699" s="94"/>
      <c r="S1699" s="94"/>
      <c r="T1699" s="94"/>
      <c r="U1699" s="94"/>
      <c r="V1699" s="94"/>
      <c r="W1699" s="94"/>
      <c r="X1699" s="94"/>
      <c r="Y1699" s="94"/>
      <c r="Z1699" s="94"/>
      <c r="AA1699" s="94"/>
      <c r="AB1699" s="94"/>
      <c r="AC1699" s="94"/>
      <c r="AD1699" s="94"/>
      <c r="AE1699" s="94"/>
    </row>
    <row r="1700">
      <c r="A1700" s="87"/>
      <c r="B1700" s="37"/>
      <c r="C1700" s="37"/>
      <c r="D1700" s="162"/>
      <c r="E1700" s="89"/>
      <c r="F1700" s="72"/>
      <c r="G1700" s="111"/>
      <c r="H1700" s="111"/>
      <c r="I1700" s="111"/>
      <c r="J1700" s="111"/>
      <c r="K1700" s="111"/>
      <c r="L1700" s="111"/>
      <c r="M1700" s="94"/>
      <c r="N1700" s="94"/>
      <c r="O1700" s="94"/>
      <c r="P1700" s="94"/>
      <c r="Q1700" s="94"/>
      <c r="R1700" s="94"/>
      <c r="S1700" s="94"/>
      <c r="T1700" s="94"/>
      <c r="U1700" s="94"/>
      <c r="V1700" s="94"/>
      <c r="W1700" s="94"/>
      <c r="X1700" s="94"/>
      <c r="Y1700" s="94"/>
      <c r="Z1700" s="94"/>
      <c r="AA1700" s="94"/>
      <c r="AB1700" s="94"/>
      <c r="AC1700" s="94"/>
      <c r="AD1700" s="94"/>
      <c r="AE1700" s="94"/>
    </row>
    <row r="1701">
      <c r="A1701" s="87"/>
      <c r="B1701" s="37"/>
      <c r="C1701" s="37"/>
      <c r="D1701" s="162"/>
      <c r="E1701" s="89"/>
      <c r="F1701" s="72"/>
      <c r="G1701" s="111"/>
      <c r="H1701" s="111"/>
      <c r="I1701" s="111"/>
      <c r="J1701" s="111"/>
      <c r="K1701" s="111"/>
      <c r="L1701" s="111"/>
      <c r="M1701" s="94"/>
      <c r="N1701" s="94"/>
      <c r="O1701" s="94"/>
      <c r="P1701" s="94"/>
      <c r="Q1701" s="94"/>
      <c r="R1701" s="94"/>
      <c r="S1701" s="94"/>
      <c r="T1701" s="94"/>
      <c r="U1701" s="94"/>
      <c r="V1701" s="94"/>
      <c r="W1701" s="94"/>
      <c r="X1701" s="94"/>
      <c r="Y1701" s="94"/>
      <c r="Z1701" s="94"/>
      <c r="AA1701" s="94"/>
      <c r="AB1701" s="94"/>
      <c r="AC1701" s="94"/>
      <c r="AD1701" s="94"/>
      <c r="AE1701" s="94"/>
    </row>
    <row r="1702">
      <c r="A1702" s="87"/>
      <c r="B1702" s="37"/>
      <c r="C1702" s="37"/>
      <c r="D1702" s="162"/>
      <c r="E1702" s="89"/>
      <c r="F1702" s="72"/>
      <c r="G1702" s="111"/>
      <c r="H1702" s="111"/>
      <c r="I1702" s="111"/>
      <c r="J1702" s="111"/>
      <c r="K1702" s="111"/>
      <c r="L1702" s="111"/>
      <c r="M1702" s="94"/>
      <c r="N1702" s="94"/>
      <c r="O1702" s="94"/>
      <c r="P1702" s="94"/>
      <c r="Q1702" s="94"/>
      <c r="R1702" s="94"/>
      <c r="S1702" s="94"/>
      <c r="T1702" s="94"/>
      <c r="U1702" s="94"/>
      <c r="V1702" s="94"/>
      <c r="W1702" s="94"/>
      <c r="X1702" s="94"/>
      <c r="Y1702" s="94"/>
      <c r="Z1702" s="94"/>
      <c r="AA1702" s="94"/>
      <c r="AB1702" s="94"/>
      <c r="AC1702" s="94"/>
      <c r="AD1702" s="94"/>
      <c r="AE1702" s="94"/>
    </row>
    <row r="1703">
      <c r="A1703" s="87"/>
      <c r="B1703" s="37"/>
      <c r="C1703" s="37"/>
      <c r="D1703" s="162"/>
      <c r="E1703" s="89"/>
      <c r="F1703" s="72"/>
      <c r="G1703" s="111"/>
      <c r="H1703" s="111"/>
      <c r="I1703" s="111"/>
      <c r="J1703" s="111"/>
      <c r="K1703" s="111"/>
      <c r="L1703" s="111"/>
      <c r="M1703" s="94"/>
      <c r="N1703" s="94"/>
      <c r="O1703" s="94"/>
      <c r="P1703" s="94"/>
      <c r="Q1703" s="94"/>
      <c r="R1703" s="94"/>
      <c r="S1703" s="94"/>
      <c r="T1703" s="94"/>
      <c r="U1703" s="94"/>
      <c r="V1703" s="94"/>
      <c r="W1703" s="94"/>
      <c r="X1703" s="94"/>
      <c r="Y1703" s="94"/>
      <c r="Z1703" s="94"/>
      <c r="AA1703" s="94"/>
      <c r="AB1703" s="94"/>
      <c r="AC1703" s="94"/>
      <c r="AD1703" s="94"/>
      <c r="AE1703" s="94"/>
    </row>
    <row r="1704">
      <c r="A1704" s="87"/>
      <c r="B1704" s="37"/>
      <c r="C1704" s="37"/>
      <c r="D1704" s="162"/>
      <c r="E1704" s="89"/>
      <c r="F1704" s="72"/>
      <c r="G1704" s="111"/>
      <c r="H1704" s="111"/>
      <c r="I1704" s="111"/>
      <c r="J1704" s="111"/>
      <c r="K1704" s="111"/>
      <c r="L1704" s="111"/>
      <c r="M1704" s="94"/>
      <c r="N1704" s="94"/>
      <c r="O1704" s="94"/>
      <c r="P1704" s="94"/>
      <c r="Q1704" s="94"/>
      <c r="R1704" s="94"/>
      <c r="S1704" s="94"/>
      <c r="T1704" s="94"/>
      <c r="U1704" s="94"/>
      <c r="V1704" s="94"/>
      <c r="W1704" s="94"/>
      <c r="X1704" s="94"/>
      <c r="Y1704" s="94"/>
      <c r="Z1704" s="94"/>
      <c r="AA1704" s="94"/>
      <c r="AB1704" s="94"/>
      <c r="AC1704" s="94"/>
      <c r="AD1704" s="94"/>
      <c r="AE1704" s="94"/>
    </row>
    <row r="1705">
      <c r="A1705" s="87"/>
      <c r="B1705" s="37"/>
      <c r="C1705" s="37"/>
      <c r="D1705" s="162"/>
      <c r="E1705" s="89"/>
      <c r="F1705" s="72"/>
      <c r="G1705" s="111"/>
      <c r="H1705" s="111"/>
      <c r="I1705" s="111"/>
      <c r="J1705" s="111"/>
      <c r="K1705" s="111"/>
      <c r="L1705" s="111"/>
      <c r="M1705" s="94"/>
      <c r="N1705" s="94"/>
      <c r="O1705" s="94"/>
      <c r="P1705" s="94"/>
      <c r="Q1705" s="94"/>
      <c r="R1705" s="94"/>
      <c r="S1705" s="94"/>
      <c r="T1705" s="94"/>
      <c r="U1705" s="94"/>
      <c r="V1705" s="94"/>
      <c r="W1705" s="94"/>
      <c r="X1705" s="94"/>
      <c r="Y1705" s="94"/>
      <c r="Z1705" s="94"/>
      <c r="AA1705" s="94"/>
      <c r="AB1705" s="94"/>
      <c r="AC1705" s="94"/>
      <c r="AD1705" s="94"/>
      <c r="AE1705" s="94"/>
    </row>
    <row r="1706">
      <c r="A1706" s="87"/>
      <c r="B1706" s="37"/>
      <c r="C1706" s="37"/>
      <c r="D1706" s="162"/>
      <c r="E1706" s="89"/>
      <c r="F1706" s="72"/>
      <c r="G1706" s="111"/>
      <c r="H1706" s="111"/>
      <c r="I1706" s="111"/>
      <c r="J1706" s="111"/>
      <c r="K1706" s="111"/>
      <c r="L1706" s="111"/>
      <c r="M1706" s="94"/>
      <c r="N1706" s="94"/>
      <c r="O1706" s="94"/>
      <c r="P1706" s="94"/>
      <c r="Q1706" s="94"/>
      <c r="R1706" s="94"/>
      <c r="S1706" s="94"/>
      <c r="T1706" s="94"/>
      <c r="U1706" s="94"/>
      <c r="V1706" s="94"/>
      <c r="W1706" s="94"/>
      <c r="X1706" s="94"/>
      <c r="Y1706" s="94"/>
      <c r="Z1706" s="94"/>
      <c r="AA1706" s="94"/>
      <c r="AB1706" s="94"/>
      <c r="AC1706" s="94"/>
      <c r="AD1706" s="94"/>
      <c r="AE1706" s="94"/>
    </row>
    <row r="1707">
      <c r="A1707" s="87"/>
      <c r="B1707" s="37"/>
      <c r="C1707" s="37"/>
      <c r="D1707" s="162"/>
      <c r="E1707" s="89"/>
      <c r="F1707" s="72"/>
      <c r="G1707" s="111"/>
      <c r="H1707" s="111"/>
      <c r="I1707" s="111"/>
      <c r="J1707" s="111"/>
      <c r="K1707" s="111"/>
      <c r="L1707" s="111"/>
      <c r="M1707" s="94"/>
      <c r="N1707" s="94"/>
      <c r="O1707" s="94"/>
      <c r="P1707" s="94"/>
      <c r="Q1707" s="94"/>
      <c r="R1707" s="94"/>
      <c r="S1707" s="94"/>
      <c r="T1707" s="94"/>
      <c r="U1707" s="94"/>
      <c r="V1707" s="94"/>
      <c r="W1707" s="94"/>
      <c r="X1707" s="94"/>
      <c r="Y1707" s="94"/>
      <c r="Z1707" s="94"/>
      <c r="AA1707" s="94"/>
      <c r="AB1707" s="94"/>
      <c r="AC1707" s="94"/>
      <c r="AD1707" s="94"/>
      <c r="AE1707" s="94"/>
    </row>
    <row r="1708">
      <c r="A1708" s="87"/>
      <c r="B1708" s="37"/>
      <c r="C1708" s="37"/>
      <c r="D1708" s="162"/>
      <c r="E1708" s="89"/>
      <c r="F1708" s="72"/>
      <c r="G1708" s="111"/>
      <c r="H1708" s="111"/>
      <c r="I1708" s="111"/>
      <c r="J1708" s="111"/>
      <c r="K1708" s="111"/>
      <c r="L1708" s="111"/>
      <c r="M1708" s="94"/>
      <c r="N1708" s="94"/>
      <c r="O1708" s="94"/>
      <c r="P1708" s="94"/>
      <c r="Q1708" s="94"/>
      <c r="R1708" s="94"/>
      <c r="S1708" s="94"/>
      <c r="T1708" s="94"/>
      <c r="U1708" s="94"/>
      <c r="V1708" s="94"/>
      <c r="W1708" s="94"/>
      <c r="X1708" s="94"/>
      <c r="Y1708" s="94"/>
      <c r="Z1708" s="94"/>
      <c r="AA1708" s="94"/>
      <c r="AB1708" s="94"/>
      <c r="AC1708" s="94"/>
      <c r="AD1708" s="94"/>
      <c r="AE1708" s="94"/>
    </row>
    <row r="1709">
      <c r="A1709" s="87"/>
      <c r="B1709" s="37"/>
      <c r="C1709" s="37"/>
      <c r="D1709" s="162"/>
      <c r="E1709" s="89"/>
      <c r="F1709" s="72"/>
      <c r="G1709" s="111"/>
      <c r="H1709" s="111"/>
      <c r="I1709" s="111"/>
      <c r="J1709" s="111"/>
      <c r="K1709" s="111"/>
      <c r="L1709" s="111"/>
      <c r="M1709" s="94"/>
      <c r="N1709" s="94"/>
      <c r="O1709" s="94"/>
      <c r="P1709" s="94"/>
      <c r="Q1709" s="94"/>
      <c r="R1709" s="94"/>
      <c r="S1709" s="94"/>
      <c r="T1709" s="94"/>
      <c r="U1709" s="94"/>
      <c r="V1709" s="94"/>
      <c r="W1709" s="94"/>
      <c r="X1709" s="94"/>
      <c r="Y1709" s="94"/>
      <c r="Z1709" s="94"/>
      <c r="AA1709" s="94"/>
      <c r="AB1709" s="94"/>
      <c r="AC1709" s="94"/>
      <c r="AD1709" s="94"/>
      <c r="AE1709" s="94"/>
    </row>
    <row r="1710">
      <c r="A1710" s="87"/>
      <c r="B1710" s="37"/>
      <c r="C1710" s="37"/>
      <c r="D1710" s="162"/>
      <c r="E1710" s="89"/>
      <c r="F1710" s="72"/>
      <c r="G1710" s="111"/>
      <c r="H1710" s="111"/>
      <c r="I1710" s="111"/>
      <c r="J1710" s="111"/>
      <c r="K1710" s="111"/>
      <c r="L1710" s="111"/>
      <c r="M1710" s="94"/>
      <c r="N1710" s="94"/>
      <c r="O1710" s="94"/>
      <c r="P1710" s="94"/>
      <c r="Q1710" s="94"/>
      <c r="R1710" s="94"/>
      <c r="S1710" s="94"/>
      <c r="T1710" s="94"/>
      <c r="U1710" s="94"/>
      <c r="V1710" s="94"/>
      <c r="W1710" s="94"/>
      <c r="X1710" s="94"/>
      <c r="Y1710" s="94"/>
      <c r="Z1710" s="94"/>
      <c r="AA1710" s="94"/>
      <c r="AB1710" s="94"/>
      <c r="AC1710" s="94"/>
      <c r="AD1710" s="94"/>
      <c r="AE1710" s="94"/>
    </row>
    <row r="1711">
      <c r="A1711" s="87"/>
      <c r="B1711" s="37"/>
      <c r="C1711" s="37"/>
      <c r="D1711" s="162"/>
      <c r="E1711" s="89"/>
      <c r="F1711" s="72"/>
      <c r="G1711" s="111"/>
      <c r="H1711" s="111"/>
      <c r="I1711" s="111"/>
      <c r="J1711" s="111"/>
      <c r="K1711" s="111"/>
      <c r="L1711" s="111"/>
      <c r="M1711" s="94"/>
      <c r="N1711" s="94"/>
      <c r="O1711" s="94"/>
      <c r="P1711" s="94"/>
      <c r="Q1711" s="94"/>
      <c r="R1711" s="94"/>
      <c r="S1711" s="94"/>
      <c r="T1711" s="94"/>
      <c r="U1711" s="94"/>
      <c r="V1711" s="94"/>
      <c r="W1711" s="94"/>
      <c r="X1711" s="94"/>
      <c r="Y1711" s="94"/>
      <c r="Z1711" s="94"/>
      <c r="AA1711" s="94"/>
      <c r="AB1711" s="94"/>
      <c r="AC1711" s="94"/>
      <c r="AD1711" s="94"/>
      <c r="AE1711" s="94"/>
    </row>
    <row r="1712">
      <c r="A1712" s="87"/>
      <c r="B1712" s="37"/>
      <c r="C1712" s="37"/>
      <c r="D1712" s="162"/>
      <c r="E1712" s="89"/>
      <c r="F1712" s="72"/>
      <c r="G1712" s="111"/>
      <c r="H1712" s="111"/>
      <c r="I1712" s="111"/>
      <c r="J1712" s="111"/>
      <c r="K1712" s="111"/>
      <c r="L1712" s="111"/>
      <c r="M1712" s="94"/>
      <c r="N1712" s="94"/>
      <c r="O1712" s="94"/>
      <c r="P1712" s="94"/>
      <c r="Q1712" s="94"/>
      <c r="R1712" s="94"/>
      <c r="S1712" s="94"/>
      <c r="T1712" s="94"/>
      <c r="U1712" s="94"/>
      <c r="V1712" s="94"/>
      <c r="W1712" s="94"/>
      <c r="X1712" s="94"/>
      <c r="Y1712" s="94"/>
      <c r="Z1712" s="94"/>
      <c r="AA1712" s="94"/>
      <c r="AB1712" s="94"/>
      <c r="AC1712" s="94"/>
      <c r="AD1712" s="94"/>
      <c r="AE1712" s="94"/>
    </row>
    <row r="1713">
      <c r="A1713" s="87"/>
      <c r="B1713" s="37"/>
      <c r="C1713" s="37"/>
      <c r="D1713" s="162"/>
      <c r="E1713" s="89"/>
      <c r="F1713" s="72"/>
      <c r="G1713" s="111"/>
      <c r="H1713" s="111"/>
      <c r="I1713" s="111"/>
      <c r="J1713" s="111"/>
      <c r="K1713" s="111"/>
      <c r="L1713" s="111"/>
      <c r="M1713" s="94"/>
      <c r="N1713" s="94"/>
      <c r="O1713" s="94"/>
      <c r="P1713" s="94"/>
      <c r="Q1713" s="94"/>
      <c r="R1713" s="94"/>
      <c r="S1713" s="94"/>
      <c r="T1713" s="94"/>
      <c r="U1713" s="94"/>
      <c r="V1713" s="94"/>
      <c r="W1713" s="94"/>
      <c r="X1713" s="94"/>
      <c r="Y1713" s="94"/>
      <c r="Z1713" s="94"/>
      <c r="AA1713" s="94"/>
      <c r="AB1713" s="94"/>
      <c r="AC1713" s="94"/>
      <c r="AD1713" s="94"/>
      <c r="AE1713" s="94"/>
    </row>
    <row r="1714">
      <c r="A1714" s="87"/>
      <c r="B1714" s="37"/>
      <c r="C1714" s="37"/>
      <c r="D1714" s="162"/>
      <c r="E1714" s="89"/>
      <c r="F1714" s="72"/>
      <c r="G1714" s="111"/>
      <c r="H1714" s="111"/>
      <c r="I1714" s="111"/>
      <c r="J1714" s="111"/>
      <c r="K1714" s="111"/>
      <c r="L1714" s="111"/>
      <c r="M1714" s="94"/>
      <c r="N1714" s="94"/>
      <c r="O1714" s="94"/>
      <c r="P1714" s="94"/>
      <c r="Q1714" s="94"/>
      <c r="R1714" s="94"/>
      <c r="S1714" s="94"/>
      <c r="T1714" s="94"/>
      <c r="U1714" s="94"/>
      <c r="V1714" s="94"/>
      <c r="W1714" s="94"/>
      <c r="X1714" s="94"/>
      <c r="Y1714" s="94"/>
      <c r="Z1714" s="94"/>
      <c r="AA1714" s="94"/>
      <c r="AB1714" s="94"/>
      <c r="AC1714" s="94"/>
      <c r="AD1714" s="94"/>
      <c r="AE1714" s="94"/>
    </row>
    <row r="1715">
      <c r="A1715" s="87"/>
      <c r="B1715" s="37"/>
      <c r="C1715" s="37"/>
      <c r="D1715" s="162"/>
      <c r="E1715" s="89"/>
      <c r="F1715" s="72"/>
      <c r="G1715" s="111"/>
      <c r="H1715" s="111"/>
      <c r="I1715" s="111"/>
      <c r="J1715" s="111"/>
      <c r="K1715" s="111"/>
      <c r="L1715" s="111"/>
      <c r="M1715" s="94"/>
      <c r="N1715" s="94"/>
      <c r="O1715" s="94"/>
      <c r="P1715" s="94"/>
      <c r="Q1715" s="94"/>
      <c r="R1715" s="94"/>
      <c r="S1715" s="94"/>
      <c r="T1715" s="94"/>
      <c r="U1715" s="94"/>
      <c r="V1715" s="94"/>
      <c r="W1715" s="94"/>
      <c r="X1715" s="94"/>
      <c r="Y1715" s="94"/>
      <c r="Z1715" s="94"/>
      <c r="AA1715" s="94"/>
      <c r="AB1715" s="94"/>
      <c r="AC1715" s="94"/>
      <c r="AD1715" s="94"/>
      <c r="AE1715" s="94"/>
    </row>
    <row r="1716">
      <c r="A1716" s="87"/>
      <c r="B1716" s="37"/>
      <c r="C1716" s="37"/>
      <c r="D1716" s="162"/>
      <c r="E1716" s="89"/>
      <c r="F1716" s="72"/>
      <c r="G1716" s="111"/>
      <c r="H1716" s="111"/>
      <c r="I1716" s="111"/>
      <c r="J1716" s="111"/>
      <c r="K1716" s="111"/>
      <c r="L1716" s="111"/>
      <c r="M1716" s="94"/>
      <c r="N1716" s="94"/>
      <c r="O1716" s="94"/>
      <c r="P1716" s="94"/>
      <c r="Q1716" s="94"/>
      <c r="R1716" s="94"/>
      <c r="S1716" s="94"/>
      <c r="T1716" s="94"/>
      <c r="U1716" s="94"/>
      <c r="V1716" s="94"/>
      <c r="W1716" s="94"/>
      <c r="X1716" s="94"/>
      <c r="Y1716" s="94"/>
      <c r="Z1716" s="94"/>
      <c r="AA1716" s="94"/>
      <c r="AB1716" s="94"/>
      <c r="AC1716" s="94"/>
      <c r="AD1716" s="94"/>
      <c r="AE1716" s="94"/>
    </row>
    <row r="1717">
      <c r="A1717" s="87"/>
      <c r="B1717" s="37"/>
      <c r="C1717" s="37"/>
      <c r="D1717" s="162"/>
      <c r="E1717" s="89"/>
      <c r="F1717" s="72"/>
      <c r="G1717" s="111"/>
      <c r="H1717" s="111"/>
      <c r="I1717" s="111"/>
      <c r="J1717" s="111"/>
      <c r="K1717" s="111"/>
      <c r="L1717" s="111"/>
      <c r="M1717" s="94"/>
      <c r="N1717" s="94"/>
      <c r="O1717" s="94"/>
      <c r="P1717" s="94"/>
      <c r="Q1717" s="94"/>
      <c r="R1717" s="94"/>
      <c r="S1717" s="94"/>
      <c r="T1717" s="94"/>
      <c r="U1717" s="94"/>
      <c r="V1717" s="94"/>
      <c r="W1717" s="94"/>
      <c r="X1717" s="94"/>
      <c r="Y1717" s="94"/>
      <c r="Z1717" s="94"/>
      <c r="AA1717" s="94"/>
      <c r="AB1717" s="94"/>
      <c r="AC1717" s="94"/>
      <c r="AD1717" s="94"/>
      <c r="AE1717" s="94"/>
    </row>
    <row r="1718">
      <c r="A1718" s="87"/>
      <c r="B1718" s="37"/>
      <c r="C1718" s="37"/>
      <c r="D1718" s="162"/>
      <c r="E1718" s="89"/>
      <c r="F1718" s="72"/>
      <c r="G1718" s="111"/>
      <c r="H1718" s="111"/>
      <c r="I1718" s="111"/>
      <c r="J1718" s="111"/>
      <c r="K1718" s="111"/>
      <c r="L1718" s="111"/>
      <c r="M1718" s="94"/>
      <c r="N1718" s="94"/>
      <c r="O1718" s="94"/>
      <c r="P1718" s="94"/>
      <c r="Q1718" s="94"/>
      <c r="R1718" s="94"/>
      <c r="S1718" s="94"/>
      <c r="T1718" s="94"/>
      <c r="U1718" s="94"/>
      <c r="V1718" s="94"/>
      <c r="W1718" s="94"/>
      <c r="X1718" s="94"/>
      <c r="Y1718" s="94"/>
      <c r="Z1718" s="94"/>
      <c r="AA1718" s="94"/>
      <c r="AB1718" s="94"/>
      <c r="AC1718" s="94"/>
      <c r="AD1718" s="94"/>
      <c r="AE1718" s="94"/>
    </row>
    <row r="1719">
      <c r="A1719" s="87"/>
      <c r="B1719" s="37"/>
      <c r="C1719" s="37"/>
      <c r="D1719" s="162"/>
      <c r="E1719" s="89"/>
      <c r="F1719" s="72"/>
      <c r="G1719" s="111"/>
      <c r="H1719" s="111"/>
      <c r="I1719" s="111"/>
      <c r="J1719" s="111"/>
      <c r="K1719" s="111"/>
      <c r="L1719" s="111"/>
      <c r="M1719" s="94"/>
      <c r="N1719" s="94"/>
      <c r="O1719" s="94"/>
      <c r="P1719" s="94"/>
      <c r="Q1719" s="94"/>
      <c r="R1719" s="94"/>
      <c r="S1719" s="94"/>
      <c r="T1719" s="94"/>
      <c r="U1719" s="94"/>
      <c r="V1719" s="94"/>
      <c r="W1719" s="94"/>
      <c r="X1719" s="94"/>
      <c r="Y1719" s="94"/>
      <c r="Z1719" s="94"/>
      <c r="AA1719" s="94"/>
      <c r="AB1719" s="94"/>
      <c r="AC1719" s="94"/>
      <c r="AD1719" s="94"/>
      <c r="AE1719" s="94"/>
    </row>
    <row r="1720">
      <c r="A1720" s="87"/>
      <c r="B1720" s="37"/>
      <c r="C1720" s="37"/>
      <c r="D1720" s="162"/>
      <c r="E1720" s="89"/>
      <c r="F1720" s="72"/>
      <c r="G1720" s="111"/>
      <c r="H1720" s="111"/>
      <c r="I1720" s="111"/>
      <c r="J1720" s="111"/>
      <c r="K1720" s="111"/>
      <c r="L1720" s="111"/>
      <c r="M1720" s="94"/>
      <c r="N1720" s="94"/>
      <c r="O1720" s="94"/>
      <c r="P1720" s="94"/>
      <c r="Q1720" s="94"/>
      <c r="R1720" s="94"/>
      <c r="S1720" s="94"/>
      <c r="T1720" s="94"/>
      <c r="U1720" s="94"/>
      <c r="V1720" s="94"/>
      <c r="W1720" s="94"/>
      <c r="X1720" s="94"/>
      <c r="Y1720" s="94"/>
      <c r="Z1720" s="94"/>
      <c r="AA1720" s="94"/>
      <c r="AB1720" s="94"/>
      <c r="AC1720" s="94"/>
      <c r="AD1720" s="94"/>
      <c r="AE1720" s="94"/>
    </row>
    <row r="1721">
      <c r="A1721" s="87"/>
      <c r="B1721" s="37"/>
      <c r="C1721" s="37"/>
      <c r="D1721" s="162"/>
      <c r="E1721" s="89"/>
      <c r="F1721" s="72"/>
      <c r="G1721" s="111"/>
      <c r="H1721" s="111"/>
      <c r="I1721" s="111"/>
      <c r="J1721" s="111"/>
      <c r="K1721" s="111"/>
      <c r="L1721" s="111"/>
      <c r="M1721" s="94"/>
      <c r="N1721" s="94"/>
      <c r="O1721" s="94"/>
      <c r="P1721" s="94"/>
      <c r="Q1721" s="94"/>
      <c r="R1721" s="94"/>
      <c r="S1721" s="94"/>
      <c r="T1721" s="94"/>
      <c r="U1721" s="94"/>
      <c r="V1721" s="94"/>
      <c r="W1721" s="94"/>
      <c r="X1721" s="94"/>
      <c r="Y1721" s="94"/>
      <c r="Z1721" s="94"/>
      <c r="AA1721" s="94"/>
      <c r="AB1721" s="94"/>
      <c r="AC1721" s="94"/>
      <c r="AD1721" s="94"/>
      <c r="AE1721" s="94"/>
    </row>
    <row r="1722">
      <c r="A1722" s="87"/>
      <c r="B1722" s="37"/>
      <c r="C1722" s="37"/>
      <c r="D1722" s="162"/>
      <c r="E1722" s="89"/>
      <c r="F1722" s="72"/>
      <c r="G1722" s="111"/>
      <c r="H1722" s="111"/>
      <c r="I1722" s="111"/>
      <c r="J1722" s="111"/>
      <c r="K1722" s="111"/>
      <c r="L1722" s="111"/>
      <c r="M1722" s="94"/>
      <c r="N1722" s="94"/>
      <c r="O1722" s="94"/>
      <c r="P1722" s="94"/>
      <c r="Q1722" s="94"/>
      <c r="R1722" s="94"/>
      <c r="S1722" s="94"/>
      <c r="T1722" s="94"/>
      <c r="U1722" s="94"/>
      <c r="V1722" s="94"/>
      <c r="W1722" s="94"/>
      <c r="X1722" s="94"/>
      <c r="Y1722" s="94"/>
      <c r="Z1722" s="94"/>
      <c r="AA1722" s="94"/>
      <c r="AB1722" s="94"/>
      <c r="AC1722" s="94"/>
      <c r="AD1722" s="94"/>
      <c r="AE1722" s="94"/>
    </row>
    <row r="1723">
      <c r="A1723" s="87"/>
      <c r="B1723" s="37"/>
      <c r="C1723" s="37"/>
      <c r="D1723" s="162"/>
      <c r="E1723" s="89"/>
      <c r="F1723" s="72"/>
      <c r="G1723" s="111"/>
      <c r="H1723" s="111"/>
      <c r="I1723" s="111"/>
      <c r="J1723" s="111"/>
      <c r="K1723" s="111"/>
      <c r="L1723" s="111"/>
      <c r="M1723" s="94"/>
      <c r="N1723" s="94"/>
      <c r="O1723" s="94"/>
      <c r="P1723" s="94"/>
      <c r="Q1723" s="94"/>
      <c r="R1723" s="94"/>
      <c r="S1723" s="94"/>
      <c r="T1723" s="94"/>
      <c r="U1723" s="94"/>
      <c r="V1723" s="94"/>
      <c r="W1723" s="94"/>
      <c r="X1723" s="94"/>
      <c r="Y1723" s="94"/>
      <c r="Z1723" s="94"/>
      <c r="AA1723" s="94"/>
      <c r="AB1723" s="94"/>
      <c r="AC1723" s="94"/>
      <c r="AD1723" s="94"/>
      <c r="AE1723" s="94"/>
    </row>
    <row r="1724">
      <c r="A1724" s="87"/>
      <c r="B1724" s="37"/>
      <c r="C1724" s="37"/>
      <c r="D1724" s="162"/>
      <c r="E1724" s="89"/>
      <c r="F1724" s="72"/>
      <c r="G1724" s="111"/>
      <c r="H1724" s="111"/>
      <c r="I1724" s="111"/>
      <c r="J1724" s="111"/>
      <c r="K1724" s="111"/>
      <c r="L1724" s="111"/>
      <c r="M1724" s="94"/>
      <c r="N1724" s="94"/>
      <c r="O1724" s="94"/>
      <c r="P1724" s="94"/>
      <c r="Q1724" s="94"/>
      <c r="R1724" s="94"/>
      <c r="S1724" s="94"/>
      <c r="T1724" s="94"/>
      <c r="U1724" s="94"/>
      <c r="V1724" s="94"/>
      <c r="W1724" s="94"/>
      <c r="X1724" s="94"/>
      <c r="Y1724" s="94"/>
      <c r="Z1724" s="94"/>
      <c r="AA1724" s="94"/>
      <c r="AB1724" s="94"/>
      <c r="AC1724" s="94"/>
      <c r="AD1724" s="94"/>
      <c r="AE1724" s="94"/>
    </row>
    <row r="1725">
      <c r="A1725" s="87"/>
      <c r="B1725" s="37"/>
      <c r="C1725" s="37"/>
      <c r="D1725" s="162"/>
      <c r="E1725" s="89"/>
      <c r="F1725" s="72"/>
      <c r="G1725" s="111"/>
      <c r="H1725" s="111"/>
      <c r="I1725" s="111"/>
      <c r="J1725" s="111"/>
      <c r="K1725" s="111"/>
      <c r="L1725" s="111"/>
      <c r="M1725" s="94"/>
      <c r="N1725" s="94"/>
      <c r="O1725" s="94"/>
      <c r="P1725" s="94"/>
      <c r="Q1725" s="94"/>
      <c r="R1725" s="94"/>
      <c r="S1725" s="94"/>
      <c r="T1725" s="94"/>
      <c r="U1725" s="94"/>
      <c r="V1725" s="94"/>
      <c r="W1725" s="94"/>
      <c r="X1725" s="94"/>
      <c r="Y1725" s="94"/>
      <c r="Z1725" s="94"/>
      <c r="AA1725" s="94"/>
      <c r="AB1725" s="94"/>
      <c r="AC1725" s="94"/>
      <c r="AD1725" s="94"/>
      <c r="AE1725" s="94"/>
    </row>
    <row r="1726">
      <c r="A1726" s="87"/>
      <c r="B1726" s="37"/>
      <c r="C1726" s="37"/>
      <c r="D1726" s="162"/>
      <c r="E1726" s="89"/>
      <c r="F1726" s="72"/>
      <c r="G1726" s="111"/>
      <c r="H1726" s="111"/>
      <c r="I1726" s="111"/>
      <c r="J1726" s="111"/>
      <c r="K1726" s="111"/>
      <c r="L1726" s="111"/>
      <c r="M1726" s="94"/>
      <c r="N1726" s="94"/>
      <c r="O1726" s="94"/>
      <c r="P1726" s="94"/>
      <c r="Q1726" s="94"/>
      <c r="R1726" s="94"/>
      <c r="S1726" s="94"/>
      <c r="T1726" s="94"/>
      <c r="U1726" s="94"/>
      <c r="V1726" s="94"/>
      <c r="W1726" s="94"/>
      <c r="X1726" s="94"/>
      <c r="Y1726" s="94"/>
      <c r="Z1726" s="94"/>
      <c r="AA1726" s="94"/>
      <c r="AB1726" s="94"/>
      <c r="AC1726" s="94"/>
      <c r="AD1726" s="94"/>
      <c r="AE1726" s="94"/>
    </row>
    <row r="1727">
      <c r="A1727" s="87"/>
      <c r="B1727" s="37"/>
      <c r="C1727" s="37"/>
      <c r="D1727" s="162"/>
      <c r="E1727" s="89"/>
      <c r="F1727" s="72"/>
      <c r="G1727" s="111"/>
      <c r="H1727" s="111"/>
      <c r="I1727" s="111"/>
      <c r="J1727" s="111"/>
      <c r="K1727" s="111"/>
      <c r="L1727" s="111"/>
      <c r="M1727" s="94"/>
      <c r="N1727" s="94"/>
      <c r="O1727" s="94"/>
      <c r="P1727" s="94"/>
      <c r="Q1727" s="94"/>
      <c r="R1727" s="94"/>
      <c r="S1727" s="94"/>
      <c r="T1727" s="94"/>
      <c r="U1727" s="94"/>
      <c r="V1727" s="94"/>
      <c r="W1727" s="94"/>
      <c r="X1727" s="94"/>
      <c r="Y1727" s="94"/>
      <c r="Z1727" s="94"/>
      <c r="AA1727" s="94"/>
      <c r="AB1727" s="94"/>
      <c r="AC1727" s="94"/>
      <c r="AD1727" s="94"/>
      <c r="AE1727" s="94"/>
    </row>
    <row r="1728">
      <c r="A1728" s="87"/>
      <c r="B1728" s="37"/>
      <c r="C1728" s="37"/>
      <c r="D1728" s="162"/>
      <c r="E1728" s="89"/>
      <c r="F1728" s="72"/>
      <c r="G1728" s="111"/>
      <c r="H1728" s="111"/>
      <c r="I1728" s="111"/>
      <c r="J1728" s="111"/>
      <c r="K1728" s="111"/>
      <c r="L1728" s="111"/>
      <c r="M1728" s="94"/>
      <c r="N1728" s="94"/>
      <c r="O1728" s="94"/>
      <c r="P1728" s="94"/>
      <c r="Q1728" s="94"/>
      <c r="R1728" s="94"/>
      <c r="S1728" s="94"/>
      <c r="T1728" s="94"/>
      <c r="U1728" s="94"/>
      <c r="V1728" s="94"/>
      <c r="W1728" s="94"/>
      <c r="X1728" s="94"/>
      <c r="Y1728" s="94"/>
      <c r="Z1728" s="94"/>
      <c r="AA1728" s="94"/>
      <c r="AB1728" s="94"/>
      <c r="AC1728" s="94"/>
      <c r="AD1728" s="94"/>
      <c r="AE1728" s="94"/>
    </row>
    <row r="1729">
      <c r="A1729" s="87"/>
      <c r="B1729" s="37"/>
      <c r="C1729" s="37"/>
      <c r="D1729" s="162"/>
      <c r="E1729" s="89"/>
      <c r="F1729" s="72"/>
      <c r="G1729" s="111"/>
      <c r="H1729" s="111"/>
      <c r="I1729" s="111"/>
      <c r="J1729" s="111"/>
      <c r="K1729" s="111"/>
      <c r="L1729" s="111"/>
      <c r="M1729" s="94"/>
      <c r="N1729" s="94"/>
      <c r="O1729" s="94"/>
      <c r="P1729" s="94"/>
      <c r="Q1729" s="94"/>
      <c r="R1729" s="94"/>
      <c r="S1729" s="94"/>
      <c r="T1729" s="94"/>
      <c r="U1729" s="94"/>
      <c r="V1729" s="94"/>
      <c r="W1729" s="94"/>
      <c r="X1729" s="94"/>
      <c r="Y1729" s="94"/>
      <c r="Z1729" s="94"/>
      <c r="AA1729" s="94"/>
      <c r="AB1729" s="94"/>
      <c r="AC1729" s="94"/>
      <c r="AD1729" s="94"/>
      <c r="AE1729" s="94"/>
    </row>
    <row r="1730">
      <c r="A1730" s="87"/>
      <c r="B1730" s="37"/>
      <c r="C1730" s="37"/>
      <c r="D1730" s="162"/>
      <c r="E1730" s="89"/>
      <c r="F1730" s="72"/>
      <c r="G1730" s="111"/>
      <c r="H1730" s="111"/>
      <c r="I1730" s="111"/>
      <c r="J1730" s="111"/>
      <c r="K1730" s="111"/>
      <c r="L1730" s="111"/>
      <c r="M1730" s="94"/>
      <c r="N1730" s="94"/>
      <c r="O1730" s="94"/>
      <c r="P1730" s="94"/>
      <c r="Q1730" s="94"/>
      <c r="R1730" s="94"/>
      <c r="S1730" s="94"/>
      <c r="T1730" s="94"/>
      <c r="U1730" s="94"/>
      <c r="V1730" s="94"/>
      <c r="W1730" s="94"/>
      <c r="X1730" s="94"/>
      <c r="Y1730" s="94"/>
      <c r="Z1730" s="94"/>
      <c r="AA1730" s="94"/>
      <c r="AB1730" s="94"/>
      <c r="AC1730" s="94"/>
      <c r="AD1730" s="94"/>
      <c r="AE1730" s="94"/>
    </row>
    <row r="1731">
      <c r="A1731" s="87"/>
      <c r="B1731" s="37"/>
      <c r="C1731" s="37"/>
      <c r="D1731" s="162"/>
      <c r="E1731" s="89"/>
      <c r="F1731" s="72"/>
      <c r="G1731" s="111"/>
      <c r="H1731" s="111"/>
      <c r="I1731" s="111"/>
      <c r="J1731" s="111"/>
      <c r="K1731" s="111"/>
      <c r="L1731" s="111"/>
      <c r="M1731" s="94"/>
      <c r="N1731" s="94"/>
      <c r="O1731" s="94"/>
      <c r="P1731" s="94"/>
      <c r="Q1731" s="94"/>
      <c r="R1731" s="94"/>
      <c r="S1731" s="94"/>
      <c r="T1731" s="94"/>
      <c r="U1731" s="94"/>
      <c r="V1731" s="94"/>
      <c r="W1731" s="94"/>
      <c r="X1731" s="94"/>
      <c r="Y1731" s="94"/>
      <c r="Z1731" s="94"/>
      <c r="AA1731" s="94"/>
      <c r="AB1731" s="94"/>
      <c r="AC1731" s="94"/>
      <c r="AD1731" s="94"/>
      <c r="AE1731" s="94"/>
    </row>
    <row r="1732">
      <c r="A1732" s="87"/>
      <c r="B1732" s="37"/>
      <c r="C1732" s="37"/>
      <c r="D1732" s="162"/>
      <c r="E1732" s="89"/>
      <c r="F1732" s="72"/>
      <c r="G1732" s="111"/>
      <c r="H1732" s="111"/>
      <c r="I1732" s="111"/>
      <c r="J1732" s="111"/>
      <c r="K1732" s="111"/>
      <c r="L1732" s="111"/>
      <c r="M1732" s="94"/>
      <c r="N1732" s="94"/>
      <c r="O1732" s="94"/>
      <c r="P1732" s="94"/>
      <c r="Q1732" s="94"/>
      <c r="R1732" s="94"/>
      <c r="S1732" s="94"/>
      <c r="T1732" s="94"/>
      <c r="U1732" s="94"/>
      <c r="V1732" s="94"/>
      <c r="W1732" s="94"/>
      <c r="X1732" s="94"/>
      <c r="Y1732" s="94"/>
      <c r="Z1732" s="94"/>
      <c r="AA1732" s="94"/>
      <c r="AB1732" s="94"/>
      <c r="AC1732" s="94"/>
      <c r="AD1732" s="94"/>
      <c r="AE1732" s="94"/>
    </row>
    <row r="1733">
      <c r="A1733" s="87"/>
      <c r="B1733" s="37"/>
      <c r="C1733" s="37"/>
      <c r="D1733" s="162"/>
      <c r="E1733" s="89"/>
      <c r="F1733" s="72"/>
      <c r="G1733" s="111"/>
      <c r="H1733" s="111"/>
      <c r="I1733" s="111"/>
      <c r="J1733" s="111"/>
      <c r="K1733" s="111"/>
      <c r="L1733" s="111"/>
      <c r="M1733" s="94"/>
      <c r="N1733" s="94"/>
      <c r="O1733" s="94"/>
      <c r="P1733" s="94"/>
      <c r="Q1733" s="94"/>
      <c r="R1733" s="94"/>
      <c r="S1733" s="94"/>
      <c r="T1733" s="94"/>
      <c r="U1733" s="94"/>
      <c r="V1733" s="94"/>
      <c r="W1733" s="94"/>
      <c r="X1733" s="94"/>
      <c r="Y1733" s="94"/>
      <c r="Z1733" s="94"/>
      <c r="AA1733" s="94"/>
      <c r="AB1733" s="94"/>
      <c r="AC1733" s="94"/>
      <c r="AD1733" s="94"/>
      <c r="AE1733" s="94"/>
    </row>
    <row r="1734">
      <c r="A1734" s="87"/>
      <c r="B1734" s="37"/>
      <c r="C1734" s="37"/>
      <c r="D1734" s="162"/>
      <c r="E1734" s="89"/>
      <c r="F1734" s="72"/>
      <c r="G1734" s="111"/>
      <c r="H1734" s="111"/>
      <c r="I1734" s="111"/>
      <c r="J1734" s="111"/>
      <c r="K1734" s="111"/>
      <c r="L1734" s="111"/>
      <c r="M1734" s="94"/>
      <c r="N1734" s="94"/>
      <c r="O1734" s="94"/>
      <c r="P1734" s="94"/>
      <c r="Q1734" s="94"/>
      <c r="R1734" s="94"/>
      <c r="S1734" s="94"/>
      <c r="T1734" s="94"/>
      <c r="U1734" s="94"/>
      <c r="V1734" s="94"/>
      <c r="W1734" s="94"/>
      <c r="X1734" s="94"/>
      <c r="Y1734" s="94"/>
      <c r="Z1734" s="94"/>
      <c r="AA1734" s="94"/>
      <c r="AB1734" s="94"/>
      <c r="AC1734" s="94"/>
      <c r="AD1734" s="94"/>
      <c r="AE1734" s="94"/>
    </row>
    <row r="1735">
      <c r="A1735" s="87"/>
      <c r="B1735" s="37"/>
      <c r="C1735" s="37"/>
      <c r="D1735" s="162"/>
      <c r="E1735" s="89"/>
      <c r="F1735" s="72"/>
      <c r="G1735" s="111"/>
      <c r="H1735" s="111"/>
      <c r="I1735" s="111"/>
      <c r="J1735" s="111"/>
      <c r="K1735" s="111"/>
      <c r="L1735" s="111"/>
      <c r="M1735" s="94"/>
      <c r="N1735" s="94"/>
      <c r="O1735" s="94"/>
      <c r="P1735" s="94"/>
      <c r="Q1735" s="94"/>
      <c r="R1735" s="94"/>
      <c r="S1735" s="94"/>
      <c r="T1735" s="94"/>
      <c r="U1735" s="94"/>
      <c r="V1735" s="94"/>
      <c r="W1735" s="94"/>
      <c r="X1735" s="94"/>
      <c r="Y1735" s="94"/>
      <c r="Z1735" s="94"/>
      <c r="AA1735" s="94"/>
      <c r="AB1735" s="94"/>
      <c r="AC1735" s="94"/>
      <c r="AD1735" s="94"/>
      <c r="AE1735" s="94"/>
    </row>
    <row r="1736">
      <c r="A1736" s="87"/>
      <c r="B1736" s="37"/>
      <c r="C1736" s="37"/>
      <c r="D1736" s="162"/>
      <c r="E1736" s="89"/>
      <c r="F1736" s="72"/>
      <c r="G1736" s="111"/>
      <c r="H1736" s="111"/>
      <c r="I1736" s="111"/>
      <c r="J1736" s="111"/>
      <c r="K1736" s="111"/>
      <c r="L1736" s="111"/>
      <c r="M1736" s="94"/>
      <c r="N1736" s="94"/>
      <c r="O1736" s="94"/>
      <c r="P1736" s="94"/>
      <c r="Q1736" s="94"/>
      <c r="R1736" s="94"/>
      <c r="S1736" s="94"/>
      <c r="T1736" s="94"/>
      <c r="U1736" s="94"/>
      <c r="V1736" s="94"/>
      <c r="W1736" s="94"/>
      <c r="X1736" s="94"/>
      <c r="Y1736" s="94"/>
      <c r="Z1736" s="94"/>
      <c r="AA1736" s="94"/>
      <c r="AB1736" s="94"/>
      <c r="AC1736" s="94"/>
      <c r="AD1736" s="94"/>
      <c r="AE1736" s="94"/>
    </row>
    <row r="1737">
      <c r="A1737" s="87"/>
      <c r="B1737" s="37"/>
      <c r="C1737" s="37"/>
      <c r="D1737" s="162"/>
      <c r="E1737" s="89"/>
      <c r="F1737" s="72"/>
      <c r="G1737" s="111"/>
      <c r="H1737" s="111"/>
      <c r="I1737" s="111"/>
      <c r="J1737" s="111"/>
      <c r="K1737" s="111"/>
      <c r="L1737" s="111"/>
      <c r="M1737" s="94"/>
      <c r="N1737" s="94"/>
      <c r="O1737" s="94"/>
      <c r="P1737" s="94"/>
      <c r="Q1737" s="94"/>
      <c r="R1737" s="94"/>
      <c r="S1737" s="94"/>
      <c r="T1737" s="94"/>
      <c r="U1737" s="94"/>
      <c r="V1737" s="94"/>
      <c r="W1737" s="94"/>
      <c r="X1737" s="94"/>
      <c r="Y1737" s="94"/>
      <c r="Z1737" s="94"/>
      <c r="AA1737" s="94"/>
      <c r="AB1737" s="94"/>
      <c r="AC1737" s="94"/>
      <c r="AD1737" s="94"/>
      <c r="AE1737" s="94"/>
    </row>
    <row r="1738">
      <c r="A1738" s="87"/>
      <c r="B1738" s="37"/>
      <c r="C1738" s="37"/>
      <c r="D1738" s="162"/>
      <c r="E1738" s="89"/>
      <c r="F1738" s="72"/>
      <c r="G1738" s="111"/>
      <c r="H1738" s="111"/>
      <c r="I1738" s="111"/>
      <c r="J1738" s="111"/>
      <c r="K1738" s="111"/>
      <c r="L1738" s="111"/>
      <c r="M1738" s="94"/>
      <c r="N1738" s="94"/>
      <c r="O1738" s="94"/>
      <c r="P1738" s="94"/>
      <c r="Q1738" s="94"/>
      <c r="R1738" s="94"/>
      <c r="S1738" s="94"/>
      <c r="T1738" s="94"/>
      <c r="U1738" s="94"/>
      <c r="V1738" s="94"/>
      <c r="W1738" s="94"/>
      <c r="X1738" s="94"/>
      <c r="Y1738" s="94"/>
      <c r="Z1738" s="94"/>
      <c r="AA1738" s="94"/>
      <c r="AB1738" s="94"/>
      <c r="AC1738" s="94"/>
      <c r="AD1738" s="94"/>
      <c r="AE1738" s="94"/>
    </row>
    <row r="1739">
      <c r="A1739" s="87"/>
      <c r="B1739" s="37"/>
      <c r="C1739" s="37"/>
      <c r="D1739" s="162"/>
      <c r="E1739" s="89"/>
      <c r="F1739" s="72"/>
      <c r="G1739" s="111"/>
      <c r="H1739" s="111"/>
      <c r="I1739" s="111"/>
      <c r="J1739" s="111"/>
      <c r="K1739" s="111"/>
      <c r="L1739" s="111"/>
      <c r="M1739" s="94"/>
      <c r="N1739" s="94"/>
      <c r="O1739" s="94"/>
      <c r="P1739" s="94"/>
      <c r="Q1739" s="94"/>
      <c r="R1739" s="94"/>
      <c r="S1739" s="94"/>
      <c r="T1739" s="94"/>
      <c r="U1739" s="94"/>
      <c r="V1739" s="94"/>
      <c r="W1739" s="94"/>
      <c r="X1739" s="94"/>
      <c r="Y1739" s="94"/>
      <c r="Z1739" s="94"/>
      <c r="AA1739" s="94"/>
      <c r="AB1739" s="94"/>
      <c r="AC1739" s="94"/>
      <c r="AD1739" s="94"/>
      <c r="AE1739" s="94"/>
    </row>
    <row r="1740">
      <c r="A1740" s="87"/>
      <c r="B1740" s="37"/>
      <c r="C1740" s="37"/>
      <c r="D1740" s="162"/>
      <c r="E1740" s="89"/>
      <c r="F1740" s="72"/>
      <c r="G1740" s="111"/>
      <c r="H1740" s="111"/>
      <c r="I1740" s="111"/>
      <c r="J1740" s="111"/>
      <c r="K1740" s="111"/>
      <c r="L1740" s="111"/>
      <c r="M1740" s="94"/>
      <c r="N1740" s="94"/>
      <c r="O1740" s="94"/>
      <c r="P1740" s="94"/>
      <c r="Q1740" s="94"/>
      <c r="R1740" s="94"/>
      <c r="S1740" s="94"/>
      <c r="T1740" s="94"/>
      <c r="U1740" s="94"/>
      <c r="V1740" s="94"/>
      <c r="W1740" s="94"/>
      <c r="X1740" s="94"/>
      <c r="Y1740" s="94"/>
      <c r="Z1740" s="94"/>
      <c r="AA1740" s="94"/>
      <c r="AB1740" s="94"/>
      <c r="AC1740" s="94"/>
      <c r="AD1740" s="94"/>
      <c r="AE1740" s="94"/>
    </row>
    <row r="1741">
      <c r="A1741" s="87"/>
      <c r="B1741" s="37"/>
      <c r="C1741" s="37"/>
      <c r="D1741" s="162"/>
      <c r="E1741" s="89"/>
      <c r="F1741" s="72"/>
      <c r="G1741" s="111"/>
      <c r="H1741" s="111"/>
      <c r="I1741" s="111"/>
      <c r="J1741" s="111"/>
      <c r="K1741" s="111"/>
      <c r="L1741" s="111"/>
      <c r="M1741" s="94"/>
      <c r="N1741" s="94"/>
      <c r="O1741" s="94"/>
      <c r="P1741" s="94"/>
      <c r="Q1741" s="94"/>
      <c r="R1741" s="94"/>
      <c r="S1741" s="94"/>
      <c r="T1741" s="94"/>
      <c r="U1741" s="94"/>
      <c r="V1741" s="94"/>
      <c r="W1741" s="94"/>
      <c r="X1741" s="94"/>
      <c r="Y1741" s="94"/>
      <c r="Z1741" s="94"/>
      <c r="AA1741" s="94"/>
      <c r="AB1741" s="94"/>
      <c r="AC1741" s="94"/>
      <c r="AD1741" s="94"/>
      <c r="AE1741" s="94"/>
    </row>
    <row r="1742">
      <c r="A1742" s="87"/>
      <c r="B1742" s="37"/>
      <c r="C1742" s="37"/>
      <c r="D1742" s="162"/>
      <c r="E1742" s="89"/>
      <c r="F1742" s="72"/>
      <c r="G1742" s="111"/>
      <c r="H1742" s="111"/>
      <c r="I1742" s="111"/>
      <c r="J1742" s="111"/>
      <c r="K1742" s="111"/>
      <c r="L1742" s="111"/>
      <c r="M1742" s="94"/>
      <c r="N1742" s="94"/>
      <c r="O1742" s="94"/>
      <c r="P1742" s="94"/>
      <c r="Q1742" s="94"/>
      <c r="R1742" s="94"/>
      <c r="S1742" s="94"/>
      <c r="T1742" s="94"/>
      <c r="U1742" s="94"/>
      <c r="V1742" s="94"/>
      <c r="W1742" s="94"/>
      <c r="X1742" s="94"/>
      <c r="Y1742" s="94"/>
      <c r="Z1742" s="94"/>
      <c r="AA1742" s="94"/>
      <c r="AB1742" s="94"/>
      <c r="AC1742" s="94"/>
      <c r="AD1742" s="94"/>
      <c r="AE1742" s="94"/>
    </row>
    <row r="1743">
      <c r="A1743" s="87"/>
      <c r="B1743" s="37"/>
      <c r="C1743" s="37"/>
      <c r="D1743" s="162"/>
      <c r="E1743" s="89"/>
      <c r="F1743" s="72"/>
      <c r="G1743" s="111"/>
      <c r="H1743" s="111"/>
      <c r="I1743" s="111"/>
      <c r="J1743" s="111"/>
      <c r="K1743" s="111"/>
      <c r="L1743" s="111"/>
      <c r="M1743" s="94"/>
      <c r="N1743" s="94"/>
      <c r="O1743" s="94"/>
      <c r="P1743" s="94"/>
      <c r="Q1743" s="94"/>
      <c r="R1743" s="94"/>
      <c r="S1743" s="94"/>
      <c r="T1743" s="94"/>
      <c r="U1743" s="94"/>
      <c r="V1743" s="94"/>
      <c r="W1743" s="94"/>
      <c r="X1743" s="94"/>
      <c r="Y1743" s="94"/>
      <c r="Z1743" s="94"/>
      <c r="AA1743" s="94"/>
      <c r="AB1743" s="94"/>
      <c r="AC1743" s="94"/>
      <c r="AD1743" s="94"/>
      <c r="AE1743" s="94"/>
    </row>
    <row r="1744">
      <c r="A1744" s="87"/>
      <c r="B1744" s="37"/>
      <c r="C1744" s="37"/>
      <c r="D1744" s="162"/>
      <c r="E1744" s="89"/>
      <c r="F1744" s="72"/>
      <c r="G1744" s="111"/>
      <c r="H1744" s="111"/>
      <c r="I1744" s="111"/>
      <c r="J1744" s="111"/>
      <c r="K1744" s="111"/>
      <c r="L1744" s="111"/>
      <c r="M1744" s="94"/>
      <c r="N1744" s="94"/>
      <c r="O1744" s="94"/>
      <c r="P1744" s="94"/>
      <c r="Q1744" s="94"/>
      <c r="R1744" s="94"/>
      <c r="S1744" s="94"/>
      <c r="T1744" s="94"/>
      <c r="U1744" s="94"/>
      <c r="V1744" s="94"/>
      <c r="W1744" s="94"/>
      <c r="X1744" s="94"/>
      <c r="Y1744" s="94"/>
      <c r="Z1744" s="94"/>
      <c r="AA1744" s="94"/>
      <c r="AB1744" s="94"/>
      <c r="AC1744" s="94"/>
      <c r="AD1744" s="94"/>
      <c r="AE1744" s="94"/>
    </row>
    <row r="1745">
      <c r="A1745" s="87"/>
      <c r="B1745" s="37"/>
      <c r="C1745" s="37"/>
      <c r="D1745" s="162"/>
      <c r="E1745" s="89"/>
      <c r="F1745" s="72"/>
      <c r="G1745" s="111"/>
      <c r="H1745" s="111"/>
      <c r="I1745" s="111"/>
      <c r="J1745" s="111"/>
      <c r="K1745" s="111"/>
      <c r="L1745" s="111"/>
      <c r="M1745" s="94"/>
      <c r="N1745" s="94"/>
      <c r="O1745" s="94"/>
      <c r="P1745" s="94"/>
      <c r="Q1745" s="94"/>
      <c r="R1745" s="94"/>
      <c r="S1745" s="94"/>
      <c r="T1745" s="94"/>
      <c r="U1745" s="94"/>
      <c r="V1745" s="94"/>
      <c r="W1745" s="94"/>
      <c r="X1745" s="94"/>
      <c r="Y1745" s="94"/>
      <c r="Z1745" s="94"/>
      <c r="AA1745" s="94"/>
      <c r="AB1745" s="94"/>
      <c r="AC1745" s="94"/>
      <c r="AD1745" s="94"/>
      <c r="AE1745" s="94"/>
    </row>
  </sheetData>
  <conditionalFormatting sqref="H1:AE1745 G2:G1745">
    <cfRule type="cellIs" dxfId="0" priority="1" operator="between">
      <formula>0.001</formula>
      <formula>-0.001</formula>
    </cfRule>
  </conditionalFormatting>
  <conditionalFormatting sqref="L1:AE1745">
    <cfRule type="cellIs" dxfId="1" priority="2" operator="less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3" width="11.25"/>
  </cols>
  <sheetData>
    <row r="1">
      <c r="A1" s="86">
        <f t="array" ref="A1:B1">SUMIF(IF(ROW(A3:B624),COLUMN(A3:B624)),COLUMN(A3:B624),A3:B624)</f>
        <v>7</v>
      </c>
      <c r="B1" s="86">
        <v>241714.0</v>
      </c>
      <c r="C1" s="86"/>
      <c r="D1" s="86"/>
      <c r="E1" s="86"/>
      <c r="F1" s="86"/>
      <c r="G1" s="86"/>
      <c r="H1" s="86"/>
      <c r="I1" s="86"/>
      <c r="J1" s="86"/>
      <c r="K1" s="86"/>
      <c r="L1" s="86"/>
      <c r="M1" s="86"/>
    </row>
    <row r="2">
      <c r="A2" s="86" t="str">
        <f t="array" ref="A2:C1746">{TRANSPOSE(UNIQUE(BisaRekapBarangBackend!A2:A624));
IF(BisaRekapBarangBackend!D2:D624="",,0
+ SUMIF(BisaStok!A3:A624&amp;BisaStok!D3:D624&amp;(BisaStok!C3:C624&gt;0),BisaRekapBarangBackend!D2:D624&amp;TRANSPOSE(UNIQUE(BisaRekapBarangBackend!A2:A624))&amp;TRUE,BisaStok!Q3:Q624)
+ SUMIF(BisaPindahBarang!B2:B624&amp;BisaPindahBarang!C2:C624,BisaRekapBarangBackend!D2:D624&amp;TRANSPOSE(UNIQUE(BisaRekapBarangBackend!A2:A624)),BisaPindahBarang!E2:E624)
- SUMIF(BisaPindahBarang!B2:B624&amp;BisaPindahBarang!D2:D624,BisaRekapBarangBackend!D2:D624&amp;TRANSPOSE(UNIQUE(BisaRekapBarangBackend!A2:A624)),BisaPindahBarang!E2:E624)
- SUMIF('Import-BisaJual'!A2:A624&amp;'Import-BisaJual'!C2:C624,BisaRekapBarangBackend!D2:D624&amp;TRANSPOSE(UNIQUE(BisaRekapBarangBackend!A2:A624)),'Import-BisaJual'!D2:D624)
+ SUMIF(BisaHilang!B2:B624&amp;BisaHilang!G2:G624,BisaRekapBarangBackend!D2:D624&amp;TRANSPOSE(UNIQUE(BisaRekapBarangBackend!A2:A624)),BisaHilang!C2:C624)
- SUMIF(BisaHilang!B2:B624&amp;BisaHilang!G2:G624,BisaRekapBarangBackend!D2:D624&amp;TRANSPOSE(UNIQUE(BisaRekapBarangBackend!A2:A624)),BisaHilang!E2:E624)
)}</f>
        <v>KERTASARI CIAMIS</v>
      </c>
      <c r="B2" s="86" t="s">
        <v>32</v>
      </c>
      <c r="C2" s="86"/>
      <c r="D2" s="86"/>
      <c r="E2" s="86"/>
      <c r="F2" s="86"/>
      <c r="G2" s="86"/>
      <c r="H2" s="86"/>
      <c r="I2" s="86"/>
      <c r="J2" s="86"/>
      <c r="K2" s="86"/>
      <c r="L2" s="86"/>
      <c r="M2" s="86"/>
    </row>
    <row r="3">
      <c r="A3" s="101">
        <v>0.0</v>
      </c>
      <c r="B3" s="101">
        <v>4242.0</v>
      </c>
      <c r="C3" s="101">
        <v>0.0</v>
      </c>
      <c r="D3" s="101"/>
      <c r="E3" s="101"/>
      <c r="F3" s="101"/>
      <c r="G3" s="101"/>
      <c r="H3" s="101"/>
      <c r="I3" s="101"/>
      <c r="J3" s="101"/>
      <c r="K3" s="101"/>
      <c r="L3" s="101"/>
      <c r="M3" s="101"/>
    </row>
    <row r="4">
      <c r="A4" s="101">
        <v>0.0</v>
      </c>
      <c r="B4" s="101">
        <v>2008.0</v>
      </c>
      <c r="C4" s="101">
        <v>0.0</v>
      </c>
      <c r="D4" s="101"/>
      <c r="E4" s="101"/>
      <c r="F4" s="101"/>
      <c r="G4" s="101"/>
      <c r="H4" s="101"/>
      <c r="I4" s="101"/>
      <c r="J4" s="101"/>
      <c r="K4" s="101"/>
      <c r="L4" s="101"/>
      <c r="M4" s="101"/>
    </row>
    <row r="5">
      <c r="A5" s="101">
        <v>0.0</v>
      </c>
      <c r="B5" s="101">
        <v>619.0</v>
      </c>
      <c r="C5" s="101">
        <v>0.0</v>
      </c>
      <c r="D5" s="101"/>
      <c r="E5" s="101"/>
      <c r="F5" s="101"/>
      <c r="G5" s="101"/>
      <c r="H5" s="101"/>
      <c r="I5" s="101"/>
      <c r="J5" s="101"/>
      <c r="K5" s="101"/>
      <c r="L5" s="101"/>
      <c r="M5" s="101"/>
    </row>
    <row r="6">
      <c r="A6" s="101">
        <v>0.0</v>
      </c>
      <c r="B6" s="101">
        <v>0.0</v>
      </c>
      <c r="C6" s="101">
        <v>0.0</v>
      </c>
      <c r="D6" s="101"/>
      <c r="E6" s="101"/>
      <c r="F6" s="101"/>
      <c r="G6" s="101"/>
      <c r="H6" s="101"/>
      <c r="I6" s="101"/>
      <c r="J6" s="101"/>
      <c r="K6" s="101"/>
      <c r="L6" s="101"/>
      <c r="M6" s="101"/>
    </row>
    <row r="7">
      <c r="A7" s="101">
        <v>0.0</v>
      </c>
      <c r="B7" s="101">
        <v>5.0</v>
      </c>
      <c r="C7" s="101">
        <v>0.0</v>
      </c>
      <c r="D7" s="101"/>
      <c r="E7" s="101"/>
      <c r="F7" s="101"/>
      <c r="G7" s="101"/>
      <c r="H7" s="101"/>
      <c r="I7" s="101"/>
      <c r="J7" s="101"/>
      <c r="K7" s="101"/>
      <c r="L7" s="101"/>
      <c r="M7" s="101"/>
    </row>
    <row r="8">
      <c r="A8" s="101">
        <v>0.0</v>
      </c>
      <c r="B8" s="101">
        <v>0.0</v>
      </c>
      <c r="C8" s="101">
        <v>0.0</v>
      </c>
      <c r="D8" s="101"/>
      <c r="E8" s="101"/>
      <c r="F8" s="101"/>
      <c r="G8" s="101"/>
      <c r="H8" s="101"/>
      <c r="I8" s="101"/>
      <c r="J8" s="101"/>
      <c r="K8" s="101"/>
      <c r="L8" s="101"/>
      <c r="M8" s="101"/>
    </row>
    <row r="9">
      <c r="A9" s="101">
        <v>0.0</v>
      </c>
      <c r="B9" s="101">
        <v>20.0</v>
      </c>
      <c r="C9" s="101">
        <v>0.0</v>
      </c>
      <c r="D9" s="101"/>
      <c r="E9" s="101"/>
      <c r="F9" s="101"/>
      <c r="G9" s="101"/>
      <c r="H9" s="101"/>
      <c r="I9" s="101"/>
      <c r="J9" s="101"/>
      <c r="K9" s="101"/>
      <c r="L9" s="101"/>
      <c r="M9" s="101"/>
    </row>
    <row r="10">
      <c r="A10" s="101">
        <v>0.0</v>
      </c>
      <c r="B10" s="101">
        <v>6.0</v>
      </c>
      <c r="C10" s="101">
        <v>0.0</v>
      </c>
      <c r="D10" s="101"/>
      <c r="E10" s="101"/>
      <c r="F10" s="101"/>
      <c r="G10" s="101"/>
      <c r="H10" s="101"/>
      <c r="I10" s="101"/>
      <c r="J10" s="101"/>
      <c r="K10" s="101"/>
      <c r="L10" s="101"/>
      <c r="M10" s="101"/>
    </row>
    <row r="11">
      <c r="A11" s="101">
        <v>0.0</v>
      </c>
      <c r="B11" s="101">
        <v>0.0</v>
      </c>
      <c r="C11" s="101">
        <v>0.0</v>
      </c>
      <c r="D11" s="101"/>
      <c r="E11" s="101"/>
      <c r="F11" s="101"/>
      <c r="G11" s="101"/>
      <c r="H11" s="101"/>
      <c r="I11" s="101"/>
      <c r="J11" s="101"/>
      <c r="K11" s="101"/>
      <c r="L11" s="101"/>
      <c r="M11" s="101"/>
    </row>
    <row r="12">
      <c r="A12" s="101">
        <v>0.0</v>
      </c>
      <c r="B12" s="101">
        <v>111.0</v>
      </c>
      <c r="C12" s="101">
        <v>0.0</v>
      </c>
      <c r="D12" s="101"/>
      <c r="E12" s="101"/>
      <c r="F12" s="101"/>
      <c r="G12" s="101"/>
      <c r="H12" s="101"/>
      <c r="I12" s="101"/>
      <c r="J12" s="101"/>
      <c r="K12" s="101"/>
      <c r="L12" s="101"/>
      <c r="M12" s="101"/>
    </row>
    <row r="13">
      <c r="A13" s="101">
        <v>0.0</v>
      </c>
      <c r="B13" s="101">
        <v>345.0</v>
      </c>
      <c r="C13" s="101">
        <v>0.0</v>
      </c>
      <c r="D13" s="101"/>
      <c r="E13" s="101"/>
      <c r="F13" s="101"/>
      <c r="G13" s="101"/>
      <c r="H13" s="101"/>
      <c r="I13" s="101"/>
      <c r="J13" s="101"/>
      <c r="K13" s="101"/>
      <c r="L13" s="101"/>
      <c r="M13" s="101"/>
    </row>
    <row r="14">
      <c r="A14" s="101">
        <v>0.0</v>
      </c>
      <c r="B14" s="101">
        <v>437.0</v>
      </c>
      <c r="C14" s="101">
        <v>0.0</v>
      </c>
      <c r="D14" s="101"/>
      <c r="E14" s="101"/>
      <c r="F14" s="101"/>
      <c r="G14" s="101"/>
      <c r="H14" s="101"/>
      <c r="I14" s="101"/>
      <c r="J14" s="101"/>
      <c r="K14" s="101"/>
      <c r="L14" s="101"/>
      <c r="M14" s="101"/>
    </row>
    <row r="15">
      <c r="A15" s="101">
        <v>0.0</v>
      </c>
      <c r="B15" s="101">
        <v>0.0</v>
      </c>
      <c r="C15" s="101">
        <v>0.0</v>
      </c>
      <c r="D15" s="101"/>
      <c r="E15" s="101"/>
      <c r="F15" s="101"/>
      <c r="G15" s="101"/>
      <c r="H15" s="101"/>
      <c r="I15" s="101"/>
      <c r="J15" s="101"/>
      <c r="K15" s="101"/>
      <c r="L15" s="101"/>
      <c r="M15" s="101"/>
    </row>
    <row r="16">
      <c r="A16" s="101">
        <v>0.0</v>
      </c>
      <c r="B16" s="101">
        <v>0.0</v>
      </c>
      <c r="C16" s="101">
        <v>0.0</v>
      </c>
      <c r="D16" s="101"/>
      <c r="E16" s="101"/>
      <c r="F16" s="101"/>
      <c r="G16" s="101"/>
      <c r="H16" s="101"/>
      <c r="I16" s="101"/>
      <c r="J16" s="101"/>
      <c r="K16" s="101"/>
      <c r="L16" s="101"/>
      <c r="M16" s="101"/>
    </row>
    <row r="17">
      <c r="A17" s="101">
        <v>0.0</v>
      </c>
      <c r="B17" s="101">
        <v>1.0</v>
      </c>
      <c r="C17" s="101">
        <v>0.0</v>
      </c>
      <c r="D17" s="101"/>
      <c r="E17" s="101"/>
      <c r="F17" s="101"/>
      <c r="G17" s="101"/>
      <c r="H17" s="101"/>
      <c r="I17" s="101"/>
      <c r="J17" s="101"/>
      <c r="K17" s="101"/>
      <c r="L17" s="101"/>
      <c r="M17" s="101"/>
    </row>
    <row r="18">
      <c r="A18" s="101">
        <v>0.0</v>
      </c>
      <c r="B18" s="101">
        <v>0.0</v>
      </c>
      <c r="C18" s="101">
        <v>0.0</v>
      </c>
      <c r="D18" s="101"/>
      <c r="E18" s="101"/>
      <c r="F18" s="101"/>
      <c r="G18" s="101"/>
      <c r="H18" s="101"/>
      <c r="I18" s="101"/>
      <c r="J18" s="101"/>
      <c r="K18" s="101"/>
      <c r="L18" s="101"/>
      <c r="M18" s="101"/>
    </row>
    <row r="19">
      <c r="A19" s="101">
        <v>0.0</v>
      </c>
      <c r="B19" s="101">
        <v>223.0</v>
      </c>
      <c r="C19" s="101">
        <v>0.0</v>
      </c>
      <c r="D19" s="101"/>
      <c r="E19" s="101"/>
      <c r="F19" s="101"/>
      <c r="G19" s="101"/>
      <c r="H19" s="101"/>
      <c r="I19" s="101"/>
      <c r="J19" s="101"/>
      <c r="K19" s="101"/>
      <c r="L19" s="101"/>
      <c r="M19" s="101"/>
    </row>
    <row r="20">
      <c r="A20" s="101">
        <v>0.0</v>
      </c>
      <c r="B20" s="101">
        <v>0.0</v>
      </c>
      <c r="C20" s="101">
        <v>0.0</v>
      </c>
      <c r="D20" s="101"/>
      <c r="E20" s="101"/>
      <c r="F20" s="101"/>
      <c r="G20" s="101"/>
      <c r="H20" s="101"/>
      <c r="I20" s="101"/>
      <c r="J20" s="101"/>
      <c r="K20" s="101"/>
      <c r="L20" s="101"/>
      <c r="M20" s="101"/>
    </row>
    <row r="21">
      <c r="A21" s="101">
        <v>0.0</v>
      </c>
      <c r="B21" s="101">
        <v>0.0</v>
      </c>
      <c r="C21" s="101">
        <v>0.0</v>
      </c>
      <c r="D21" s="101"/>
      <c r="E21" s="101"/>
      <c r="F21" s="101"/>
      <c r="G21" s="101"/>
      <c r="H21" s="101"/>
      <c r="I21" s="101"/>
      <c r="J21" s="101"/>
      <c r="K21" s="101"/>
      <c r="L21" s="101"/>
      <c r="M21" s="101"/>
    </row>
    <row r="22">
      <c r="A22" s="101">
        <v>0.0</v>
      </c>
      <c r="B22" s="101">
        <v>197.0</v>
      </c>
      <c r="C22" s="101">
        <v>0.0</v>
      </c>
      <c r="D22" s="101"/>
      <c r="E22" s="101"/>
      <c r="F22" s="101"/>
      <c r="G22" s="101"/>
      <c r="H22" s="101"/>
      <c r="I22" s="101"/>
      <c r="J22" s="101"/>
      <c r="K22" s="101"/>
      <c r="L22" s="101"/>
      <c r="M22" s="101"/>
    </row>
    <row r="23">
      <c r="A23" s="101">
        <v>0.0</v>
      </c>
      <c r="B23" s="101">
        <v>0.0</v>
      </c>
      <c r="C23" s="101">
        <v>0.0</v>
      </c>
      <c r="D23" s="101"/>
      <c r="E23" s="101"/>
      <c r="F23" s="101"/>
      <c r="G23" s="101"/>
      <c r="H23" s="101"/>
      <c r="I23" s="101"/>
      <c r="J23" s="101"/>
      <c r="K23" s="101"/>
      <c r="L23" s="101"/>
      <c r="M23" s="101"/>
    </row>
    <row r="24">
      <c r="A24" s="101">
        <v>0.0</v>
      </c>
      <c r="B24" s="101">
        <v>12.0</v>
      </c>
      <c r="C24" s="101">
        <v>0.0</v>
      </c>
      <c r="D24" s="101"/>
      <c r="E24" s="101"/>
      <c r="F24" s="101"/>
      <c r="G24" s="101"/>
      <c r="H24" s="101"/>
      <c r="I24" s="101"/>
      <c r="J24" s="101"/>
      <c r="K24" s="101"/>
      <c r="L24" s="101"/>
      <c r="M24" s="101"/>
    </row>
    <row r="25">
      <c r="A25" s="101">
        <v>0.0</v>
      </c>
      <c r="B25" s="101">
        <v>0.0</v>
      </c>
      <c r="C25" s="101">
        <v>0.0</v>
      </c>
      <c r="D25" s="101"/>
      <c r="E25" s="101"/>
      <c r="F25" s="101"/>
      <c r="G25" s="101"/>
      <c r="H25" s="101"/>
      <c r="I25" s="101"/>
      <c r="J25" s="101"/>
      <c r="K25" s="101"/>
      <c r="L25" s="101"/>
      <c r="M25" s="101"/>
    </row>
    <row r="26">
      <c r="A26" s="101">
        <v>0.0</v>
      </c>
      <c r="B26" s="101">
        <v>0.0</v>
      </c>
      <c r="C26" s="101">
        <v>0.0</v>
      </c>
      <c r="D26" s="101"/>
      <c r="E26" s="101"/>
      <c r="F26" s="101"/>
      <c r="G26" s="101"/>
      <c r="H26" s="101"/>
      <c r="I26" s="101"/>
      <c r="J26" s="101"/>
      <c r="K26" s="101"/>
      <c r="L26" s="101"/>
      <c r="M26" s="101"/>
    </row>
    <row r="27">
      <c r="A27" s="101">
        <v>0.0</v>
      </c>
      <c r="B27" s="101">
        <v>0.0</v>
      </c>
      <c r="C27" s="101">
        <v>0.0</v>
      </c>
      <c r="D27" s="101"/>
      <c r="E27" s="101"/>
      <c r="F27" s="101"/>
      <c r="G27" s="101"/>
      <c r="H27" s="101"/>
      <c r="I27" s="101"/>
      <c r="J27" s="101"/>
      <c r="K27" s="101"/>
      <c r="L27" s="101"/>
      <c r="M27" s="101"/>
    </row>
    <row r="28">
      <c r="A28" s="101">
        <v>0.0</v>
      </c>
      <c r="B28" s="101">
        <v>0.0</v>
      </c>
      <c r="C28" s="101">
        <v>0.0</v>
      </c>
      <c r="D28" s="101"/>
      <c r="E28" s="101"/>
      <c r="F28" s="101"/>
      <c r="G28" s="101"/>
      <c r="H28" s="101"/>
      <c r="I28" s="101"/>
      <c r="J28" s="101"/>
      <c r="K28" s="101"/>
      <c r="L28" s="101"/>
      <c r="M28" s="101"/>
    </row>
    <row r="29">
      <c r="A29" s="101">
        <v>0.0</v>
      </c>
      <c r="B29" s="101">
        <v>0.0</v>
      </c>
      <c r="C29" s="101">
        <v>0.0</v>
      </c>
      <c r="D29" s="101"/>
      <c r="E29" s="101"/>
      <c r="F29" s="101"/>
      <c r="G29" s="101"/>
      <c r="H29" s="101"/>
      <c r="I29" s="101"/>
      <c r="J29" s="101"/>
      <c r="K29" s="101"/>
      <c r="L29" s="101"/>
      <c r="M29" s="101"/>
    </row>
    <row r="30">
      <c r="A30" s="101">
        <v>0.0</v>
      </c>
      <c r="B30" s="101">
        <v>0.0</v>
      </c>
      <c r="C30" s="101">
        <v>0.0</v>
      </c>
      <c r="D30" s="101"/>
      <c r="E30" s="101"/>
      <c r="F30" s="101"/>
      <c r="G30" s="101"/>
      <c r="H30" s="101"/>
      <c r="I30" s="101"/>
      <c r="J30" s="101"/>
      <c r="K30" s="101"/>
      <c r="L30" s="101"/>
      <c r="M30" s="101"/>
    </row>
    <row r="31">
      <c r="A31" s="101">
        <v>0.0</v>
      </c>
      <c r="B31" s="101">
        <v>0.0</v>
      </c>
      <c r="C31" s="101">
        <v>0.0</v>
      </c>
      <c r="D31" s="101"/>
      <c r="E31" s="101"/>
      <c r="F31" s="101"/>
      <c r="G31" s="101"/>
      <c r="H31" s="101"/>
      <c r="I31" s="101"/>
      <c r="J31" s="101"/>
      <c r="K31" s="101"/>
      <c r="L31" s="101"/>
      <c r="M31" s="101"/>
    </row>
    <row r="32">
      <c r="A32" s="101">
        <v>0.0</v>
      </c>
      <c r="B32" s="101">
        <v>0.0</v>
      </c>
      <c r="C32" s="101">
        <v>0.0</v>
      </c>
      <c r="D32" s="101"/>
      <c r="E32" s="101"/>
      <c r="F32" s="101"/>
      <c r="G32" s="101"/>
      <c r="H32" s="101"/>
      <c r="I32" s="101"/>
      <c r="J32" s="101"/>
      <c r="K32" s="101"/>
      <c r="L32" s="101"/>
      <c r="M32" s="101"/>
    </row>
    <row r="33">
      <c r="A33" s="101">
        <v>0.0</v>
      </c>
      <c r="B33" s="101">
        <v>2697.0</v>
      </c>
      <c r="C33" s="101">
        <v>0.0</v>
      </c>
      <c r="D33" s="101"/>
      <c r="E33" s="101"/>
      <c r="F33" s="101"/>
      <c r="G33" s="101"/>
      <c r="H33" s="101"/>
      <c r="I33" s="101"/>
      <c r="J33" s="101"/>
      <c r="K33" s="101"/>
      <c r="L33" s="101"/>
      <c r="M33" s="101"/>
    </row>
    <row r="34">
      <c r="A34" s="101">
        <v>0.0</v>
      </c>
      <c r="B34" s="101">
        <v>0.0</v>
      </c>
      <c r="C34" s="101">
        <v>0.0</v>
      </c>
      <c r="D34" s="101"/>
      <c r="E34" s="101"/>
      <c r="F34" s="101"/>
      <c r="G34" s="101"/>
      <c r="H34" s="101"/>
      <c r="I34" s="101"/>
      <c r="J34" s="101"/>
      <c r="K34" s="101"/>
      <c r="L34" s="101"/>
      <c r="M34" s="101"/>
    </row>
    <row r="35">
      <c r="A35" s="101">
        <v>0.0</v>
      </c>
      <c r="B35" s="101">
        <v>0.0</v>
      </c>
      <c r="C35" s="101">
        <v>0.0</v>
      </c>
      <c r="D35" s="101"/>
      <c r="E35" s="101"/>
      <c r="F35" s="101"/>
      <c r="G35" s="101"/>
      <c r="H35" s="101"/>
      <c r="I35" s="101"/>
      <c r="J35" s="101"/>
      <c r="K35" s="101"/>
      <c r="L35" s="101"/>
      <c r="M35" s="101"/>
    </row>
    <row r="36">
      <c r="A36" s="101">
        <v>0.0</v>
      </c>
      <c r="B36" s="101">
        <v>38.0</v>
      </c>
      <c r="C36" s="101">
        <v>0.0</v>
      </c>
      <c r="D36" s="101"/>
      <c r="E36" s="101"/>
      <c r="F36" s="101"/>
      <c r="G36" s="101"/>
      <c r="H36" s="101"/>
      <c r="I36" s="101"/>
      <c r="J36" s="101"/>
      <c r="K36" s="101"/>
      <c r="L36" s="101"/>
      <c r="M36" s="101"/>
    </row>
    <row r="37">
      <c r="A37" s="101">
        <v>0.0</v>
      </c>
      <c r="B37" s="101">
        <v>0.0</v>
      </c>
      <c r="C37" s="101">
        <v>0.0</v>
      </c>
      <c r="D37" s="101"/>
      <c r="E37" s="101"/>
      <c r="F37" s="101"/>
      <c r="G37" s="101"/>
      <c r="H37" s="101"/>
      <c r="I37" s="101"/>
      <c r="J37" s="101"/>
      <c r="K37" s="101"/>
      <c r="L37" s="101"/>
      <c r="M37" s="101"/>
    </row>
    <row r="38">
      <c r="A38" s="101">
        <v>0.0</v>
      </c>
      <c r="B38" s="101">
        <v>0.0</v>
      </c>
      <c r="C38" s="101">
        <v>0.0</v>
      </c>
      <c r="D38" s="101"/>
      <c r="E38" s="101"/>
      <c r="F38" s="101"/>
      <c r="G38" s="101"/>
      <c r="H38" s="101"/>
      <c r="I38" s="101"/>
      <c r="J38" s="101"/>
      <c r="K38" s="101"/>
      <c r="L38" s="101"/>
      <c r="M38" s="101"/>
    </row>
    <row r="39">
      <c r="A39" s="101">
        <v>0.0</v>
      </c>
      <c r="B39" s="101">
        <v>15.0</v>
      </c>
      <c r="C39" s="101">
        <v>0.0</v>
      </c>
      <c r="D39" s="101"/>
      <c r="E39" s="101"/>
      <c r="F39" s="101"/>
      <c r="G39" s="101"/>
      <c r="H39" s="101"/>
      <c r="I39" s="101"/>
      <c r="J39" s="101"/>
      <c r="K39" s="101"/>
      <c r="L39" s="101"/>
      <c r="M39" s="101"/>
    </row>
    <row r="40">
      <c r="A40" s="101">
        <v>0.0</v>
      </c>
      <c r="B40" s="101">
        <v>0.0</v>
      </c>
      <c r="C40" s="101">
        <v>0.0</v>
      </c>
      <c r="D40" s="101"/>
      <c r="E40" s="101"/>
      <c r="F40" s="101"/>
      <c r="G40" s="101"/>
      <c r="H40" s="101"/>
      <c r="I40" s="101"/>
      <c r="J40" s="101"/>
      <c r="K40" s="101"/>
      <c r="L40" s="101"/>
      <c r="M40" s="101"/>
    </row>
    <row r="41">
      <c r="A41" s="101">
        <v>0.0</v>
      </c>
      <c r="B41" s="101">
        <v>28.0</v>
      </c>
      <c r="C41" s="101">
        <v>0.0</v>
      </c>
      <c r="D41" s="101"/>
      <c r="E41" s="101"/>
      <c r="F41" s="101"/>
      <c r="G41" s="101"/>
      <c r="H41" s="101"/>
      <c r="I41" s="101"/>
      <c r="J41" s="101"/>
      <c r="K41" s="101"/>
      <c r="L41" s="101"/>
      <c r="M41" s="101"/>
    </row>
    <row r="42">
      <c r="A42" s="101">
        <v>0.0</v>
      </c>
      <c r="B42" s="101">
        <v>1970.0</v>
      </c>
      <c r="C42" s="101">
        <v>0.0</v>
      </c>
      <c r="D42" s="101"/>
      <c r="E42" s="101"/>
      <c r="F42" s="101"/>
      <c r="G42" s="101"/>
      <c r="H42" s="101"/>
      <c r="I42" s="101"/>
      <c r="J42" s="101"/>
      <c r="K42" s="101"/>
      <c r="L42" s="101"/>
      <c r="M42" s="101"/>
    </row>
    <row r="43">
      <c r="A43" s="101">
        <v>0.0</v>
      </c>
      <c r="B43" s="101">
        <v>0.0</v>
      </c>
      <c r="C43" s="101">
        <v>0.0</v>
      </c>
      <c r="D43" s="101"/>
      <c r="E43" s="101"/>
      <c r="F43" s="101"/>
      <c r="G43" s="101"/>
      <c r="H43" s="101"/>
      <c r="I43" s="101"/>
      <c r="J43" s="101"/>
      <c r="K43" s="101"/>
      <c r="L43" s="101"/>
      <c r="M43" s="101"/>
    </row>
    <row r="44">
      <c r="A44" s="101">
        <v>0.0</v>
      </c>
      <c r="B44" s="101">
        <v>0.0</v>
      </c>
      <c r="C44" s="101">
        <v>0.0</v>
      </c>
      <c r="D44" s="101"/>
      <c r="E44" s="101"/>
      <c r="F44" s="101"/>
      <c r="G44" s="101"/>
      <c r="H44" s="101"/>
      <c r="I44" s="101"/>
      <c r="J44" s="101"/>
      <c r="K44" s="101"/>
      <c r="L44" s="101"/>
      <c r="M44" s="101"/>
    </row>
    <row r="45">
      <c r="A45" s="101">
        <v>0.0</v>
      </c>
      <c r="B45" s="101">
        <v>29.0</v>
      </c>
      <c r="C45" s="101">
        <v>0.0</v>
      </c>
      <c r="D45" s="101"/>
      <c r="E45" s="101"/>
      <c r="F45" s="101"/>
      <c r="G45" s="101"/>
      <c r="H45" s="101"/>
      <c r="I45" s="101"/>
      <c r="J45" s="101"/>
      <c r="K45" s="101"/>
      <c r="L45" s="101"/>
      <c r="M45" s="101"/>
    </row>
    <row r="46">
      <c r="A46" s="101">
        <v>0.0</v>
      </c>
      <c r="B46" s="101">
        <v>0.0</v>
      </c>
      <c r="C46" s="101">
        <v>0.0</v>
      </c>
      <c r="D46" s="101"/>
      <c r="E46" s="101"/>
      <c r="F46" s="101"/>
      <c r="G46" s="101"/>
      <c r="H46" s="101"/>
      <c r="I46" s="101"/>
      <c r="J46" s="101"/>
      <c r="K46" s="101"/>
      <c r="L46" s="101"/>
      <c r="M46" s="101"/>
    </row>
    <row r="47">
      <c r="A47" s="101">
        <v>0.0</v>
      </c>
      <c r="B47" s="101">
        <v>0.0</v>
      </c>
      <c r="C47" s="101">
        <v>0.0</v>
      </c>
      <c r="D47" s="101"/>
      <c r="E47" s="101"/>
      <c r="F47" s="101"/>
      <c r="G47" s="101"/>
      <c r="H47" s="101"/>
      <c r="I47" s="101"/>
      <c r="J47" s="101"/>
      <c r="K47" s="101"/>
      <c r="L47" s="101"/>
      <c r="M47" s="101"/>
    </row>
    <row r="48">
      <c r="A48" s="101">
        <v>0.0</v>
      </c>
      <c r="B48" s="101">
        <v>2827.0</v>
      </c>
      <c r="C48" s="101">
        <v>0.0</v>
      </c>
      <c r="D48" s="101"/>
      <c r="E48" s="101"/>
      <c r="F48" s="101"/>
      <c r="G48" s="101"/>
      <c r="H48" s="101"/>
      <c r="I48" s="101"/>
      <c r="J48" s="101"/>
      <c r="K48" s="101"/>
      <c r="L48" s="101"/>
      <c r="M48" s="101"/>
    </row>
    <row r="49">
      <c r="A49" s="101">
        <v>0.0</v>
      </c>
      <c r="B49" s="101">
        <v>1.0</v>
      </c>
      <c r="C49" s="101">
        <v>0.0</v>
      </c>
      <c r="D49" s="101"/>
      <c r="E49" s="101"/>
      <c r="F49" s="101"/>
      <c r="G49" s="101"/>
      <c r="H49" s="101"/>
      <c r="I49" s="101"/>
      <c r="J49" s="101"/>
      <c r="K49" s="101"/>
      <c r="L49" s="101"/>
      <c r="M49" s="101"/>
    </row>
    <row r="50">
      <c r="A50" s="101">
        <v>0.0</v>
      </c>
      <c r="B50" s="101">
        <v>0.0</v>
      </c>
      <c r="C50" s="101">
        <v>0.0</v>
      </c>
      <c r="D50" s="101"/>
      <c r="E50" s="101"/>
      <c r="F50" s="101"/>
      <c r="G50" s="101"/>
      <c r="H50" s="101"/>
      <c r="I50" s="101"/>
      <c r="J50" s="101"/>
      <c r="K50" s="101"/>
      <c r="L50" s="101"/>
      <c r="M50" s="101"/>
    </row>
    <row r="51">
      <c r="A51" s="101">
        <v>0.0</v>
      </c>
      <c r="B51" s="101">
        <v>151.0</v>
      </c>
      <c r="C51" s="101">
        <v>0.0</v>
      </c>
      <c r="D51" s="101"/>
      <c r="E51" s="101"/>
      <c r="F51" s="101"/>
      <c r="G51" s="101"/>
      <c r="H51" s="101"/>
      <c r="I51" s="101"/>
      <c r="J51" s="101"/>
      <c r="K51" s="101"/>
      <c r="L51" s="101"/>
      <c r="M51" s="101"/>
    </row>
    <row r="52">
      <c r="A52" s="101">
        <v>0.0</v>
      </c>
      <c r="B52" s="101">
        <v>7.0</v>
      </c>
      <c r="C52" s="101">
        <v>0.0</v>
      </c>
      <c r="D52" s="101"/>
      <c r="E52" s="101"/>
      <c r="F52" s="101"/>
      <c r="G52" s="101"/>
      <c r="H52" s="101"/>
      <c r="I52" s="101"/>
      <c r="J52" s="101"/>
      <c r="K52" s="101"/>
      <c r="L52" s="101"/>
      <c r="M52" s="101"/>
    </row>
    <row r="53">
      <c r="A53" s="101">
        <v>0.0</v>
      </c>
      <c r="B53" s="101">
        <v>8450.0</v>
      </c>
      <c r="C53" s="101">
        <v>0.0</v>
      </c>
      <c r="D53" s="101"/>
      <c r="E53" s="101"/>
      <c r="F53" s="101"/>
      <c r="G53" s="101"/>
      <c r="H53" s="101"/>
      <c r="I53" s="101"/>
      <c r="J53" s="101"/>
      <c r="K53" s="101"/>
      <c r="L53" s="101"/>
      <c r="M53" s="101"/>
    </row>
    <row r="54">
      <c r="A54" s="101">
        <v>0.0</v>
      </c>
      <c r="B54" s="101">
        <v>4470.0</v>
      </c>
      <c r="C54" s="101">
        <v>0.0</v>
      </c>
      <c r="D54" s="101"/>
      <c r="E54" s="101"/>
      <c r="F54" s="101"/>
      <c r="G54" s="101"/>
      <c r="H54" s="101"/>
      <c r="I54" s="101"/>
      <c r="J54" s="101"/>
      <c r="K54" s="101"/>
      <c r="L54" s="101"/>
      <c r="M54" s="101"/>
    </row>
    <row r="55">
      <c r="A55" s="101">
        <v>0.0</v>
      </c>
      <c r="B55" s="101">
        <v>0.0</v>
      </c>
      <c r="C55" s="101">
        <v>0.0</v>
      </c>
      <c r="D55" s="101"/>
      <c r="E55" s="101"/>
      <c r="F55" s="101"/>
      <c r="G55" s="101"/>
      <c r="H55" s="101"/>
      <c r="I55" s="101"/>
      <c r="J55" s="101"/>
      <c r="K55" s="101"/>
      <c r="L55" s="101"/>
      <c r="M55" s="101"/>
    </row>
    <row r="56">
      <c r="A56" s="101">
        <v>0.0</v>
      </c>
      <c r="B56" s="101">
        <v>2483.0</v>
      </c>
      <c r="C56" s="101">
        <v>0.0</v>
      </c>
      <c r="D56" s="101"/>
      <c r="E56" s="101"/>
      <c r="F56" s="101"/>
      <c r="G56" s="101"/>
      <c r="H56" s="101"/>
      <c r="I56" s="101"/>
      <c r="J56" s="101"/>
      <c r="K56" s="101"/>
      <c r="L56" s="101"/>
      <c r="M56" s="101"/>
    </row>
    <row r="57">
      <c r="A57" s="101">
        <v>0.0</v>
      </c>
      <c r="B57" s="101">
        <v>1.0</v>
      </c>
      <c r="C57" s="101">
        <v>0.0</v>
      </c>
      <c r="D57" s="101"/>
      <c r="E57" s="101"/>
      <c r="F57" s="101"/>
      <c r="G57" s="101"/>
      <c r="H57" s="101"/>
      <c r="I57" s="101"/>
      <c r="J57" s="101"/>
      <c r="K57" s="101"/>
      <c r="L57" s="101"/>
      <c r="M57" s="101"/>
    </row>
    <row r="58">
      <c r="A58" s="101">
        <v>0.0</v>
      </c>
      <c r="B58" s="101">
        <v>0.0</v>
      </c>
      <c r="C58" s="101">
        <v>0.0</v>
      </c>
      <c r="D58" s="101"/>
      <c r="E58" s="101"/>
      <c r="F58" s="101"/>
      <c r="G58" s="101"/>
      <c r="H58" s="101"/>
      <c r="I58" s="101"/>
      <c r="J58" s="101"/>
      <c r="K58" s="101"/>
      <c r="L58" s="101"/>
      <c r="M58" s="101"/>
    </row>
    <row r="59">
      <c r="A59" s="101">
        <v>0.0</v>
      </c>
      <c r="B59" s="101">
        <v>1.0</v>
      </c>
      <c r="C59" s="101">
        <v>0.0</v>
      </c>
      <c r="D59" s="101"/>
      <c r="E59" s="101"/>
      <c r="F59" s="101"/>
      <c r="G59" s="101"/>
      <c r="H59" s="101"/>
      <c r="I59" s="101"/>
      <c r="J59" s="101"/>
      <c r="K59" s="101"/>
      <c r="L59" s="101"/>
      <c r="M59" s="101"/>
    </row>
    <row r="60">
      <c r="A60" s="101">
        <v>0.0</v>
      </c>
      <c r="B60" s="101">
        <v>0.0</v>
      </c>
      <c r="C60" s="101">
        <v>0.0</v>
      </c>
      <c r="D60" s="101"/>
      <c r="E60" s="101"/>
      <c r="F60" s="101"/>
      <c r="G60" s="101"/>
      <c r="H60" s="101"/>
      <c r="I60" s="101"/>
      <c r="J60" s="101"/>
      <c r="K60" s="101"/>
      <c r="L60" s="101"/>
      <c r="M60" s="101"/>
    </row>
    <row r="61">
      <c r="A61" s="101">
        <v>0.0</v>
      </c>
      <c r="B61" s="101">
        <v>1.0</v>
      </c>
      <c r="C61" s="101">
        <v>0.0</v>
      </c>
      <c r="D61" s="101"/>
      <c r="E61" s="101"/>
      <c r="F61" s="101"/>
      <c r="G61" s="101"/>
      <c r="H61" s="101"/>
      <c r="I61" s="101"/>
      <c r="J61" s="101"/>
      <c r="K61" s="101"/>
      <c r="L61" s="101"/>
      <c r="M61" s="101"/>
    </row>
    <row r="62">
      <c r="A62" s="101">
        <v>0.0</v>
      </c>
      <c r="B62" s="101">
        <v>389.0</v>
      </c>
      <c r="C62" s="101">
        <v>0.0</v>
      </c>
      <c r="D62" s="101"/>
      <c r="E62" s="101"/>
      <c r="F62" s="101"/>
      <c r="G62" s="101"/>
      <c r="H62" s="101"/>
      <c r="I62" s="101"/>
      <c r="J62" s="101"/>
      <c r="K62" s="101"/>
      <c r="L62" s="101"/>
      <c r="M62" s="101"/>
    </row>
    <row r="63">
      <c r="A63" s="101">
        <v>0.0</v>
      </c>
      <c r="B63" s="101">
        <v>3839.0</v>
      </c>
      <c r="C63" s="101">
        <v>0.0</v>
      </c>
      <c r="D63" s="101"/>
      <c r="E63" s="101"/>
      <c r="F63" s="101"/>
      <c r="G63" s="101"/>
      <c r="H63" s="101"/>
      <c r="I63" s="101"/>
      <c r="J63" s="101"/>
      <c r="K63" s="101"/>
      <c r="L63" s="101"/>
      <c r="M63" s="101"/>
    </row>
    <row r="64">
      <c r="A64" s="101">
        <v>0.0</v>
      </c>
      <c r="B64" s="101">
        <v>1377.0</v>
      </c>
      <c r="C64" s="101">
        <v>0.0</v>
      </c>
      <c r="D64" s="101"/>
      <c r="E64" s="101"/>
      <c r="F64" s="101"/>
      <c r="G64" s="101"/>
      <c r="H64" s="101"/>
      <c r="I64" s="101"/>
      <c r="J64" s="101"/>
      <c r="K64" s="101"/>
      <c r="L64" s="101"/>
      <c r="M64" s="101"/>
    </row>
    <row r="65">
      <c r="A65" s="101">
        <v>0.0</v>
      </c>
      <c r="B65" s="101">
        <v>1467.0</v>
      </c>
      <c r="C65" s="101">
        <v>0.0</v>
      </c>
      <c r="D65" s="101"/>
      <c r="E65" s="101"/>
      <c r="F65" s="101"/>
      <c r="G65" s="101"/>
      <c r="H65" s="101"/>
      <c r="I65" s="101"/>
      <c r="J65" s="101"/>
      <c r="K65" s="101"/>
      <c r="L65" s="101"/>
      <c r="M65" s="101"/>
    </row>
    <row r="66">
      <c r="A66" s="101">
        <v>0.0</v>
      </c>
      <c r="B66" s="101">
        <v>1.0</v>
      </c>
      <c r="C66" s="101">
        <v>0.0</v>
      </c>
      <c r="D66" s="101"/>
      <c r="E66" s="101"/>
      <c r="F66" s="101"/>
      <c r="G66" s="101"/>
      <c r="H66" s="101"/>
      <c r="I66" s="101"/>
      <c r="J66" s="101"/>
      <c r="K66" s="101"/>
      <c r="L66" s="101"/>
      <c r="M66" s="101"/>
    </row>
    <row r="67">
      <c r="A67" s="101">
        <v>0.0</v>
      </c>
      <c r="B67" s="101">
        <v>1956.0</v>
      </c>
      <c r="C67" s="101">
        <v>0.0</v>
      </c>
      <c r="D67" s="101"/>
      <c r="E67" s="101"/>
      <c r="F67" s="101"/>
      <c r="G67" s="101"/>
      <c r="H67" s="101"/>
      <c r="I67" s="101"/>
      <c r="J67" s="101"/>
      <c r="K67" s="101"/>
      <c r="L67" s="101"/>
      <c r="M67" s="101"/>
    </row>
    <row r="68">
      <c r="A68" s="101">
        <v>0.0</v>
      </c>
      <c r="B68" s="101">
        <v>752.0</v>
      </c>
      <c r="C68" s="101">
        <v>0.0</v>
      </c>
      <c r="D68" s="101"/>
      <c r="E68" s="101"/>
      <c r="F68" s="101"/>
      <c r="G68" s="101"/>
      <c r="H68" s="101"/>
      <c r="I68" s="101"/>
      <c r="J68" s="101"/>
      <c r="K68" s="101"/>
      <c r="L68" s="101"/>
      <c r="M68" s="101"/>
    </row>
    <row r="69">
      <c r="A69" s="101">
        <v>0.0</v>
      </c>
      <c r="B69" s="101">
        <v>0.0</v>
      </c>
      <c r="C69" s="101">
        <v>0.0</v>
      </c>
      <c r="D69" s="101"/>
      <c r="E69" s="101"/>
      <c r="F69" s="101"/>
      <c r="G69" s="101"/>
      <c r="H69" s="101"/>
      <c r="I69" s="101"/>
      <c r="J69" s="101"/>
      <c r="K69" s="101"/>
      <c r="L69" s="101"/>
      <c r="M69" s="101"/>
    </row>
    <row r="70">
      <c r="A70" s="101">
        <v>0.0</v>
      </c>
      <c r="B70" s="101">
        <v>0.0</v>
      </c>
      <c r="C70" s="101">
        <v>0.0</v>
      </c>
      <c r="D70" s="101"/>
      <c r="E70" s="101"/>
      <c r="F70" s="101"/>
      <c r="G70" s="101"/>
      <c r="H70" s="101"/>
      <c r="I70" s="101"/>
      <c r="J70" s="101"/>
      <c r="K70" s="101"/>
      <c r="L70" s="101"/>
      <c r="M70" s="101"/>
    </row>
    <row r="71">
      <c r="A71" s="101">
        <v>0.0</v>
      </c>
      <c r="B71" s="101">
        <v>1762.0</v>
      </c>
      <c r="C71" s="101">
        <v>0.0</v>
      </c>
      <c r="D71" s="101"/>
      <c r="E71" s="101"/>
      <c r="F71" s="101"/>
      <c r="G71" s="101"/>
      <c r="H71" s="101"/>
      <c r="I71" s="101"/>
      <c r="J71" s="101"/>
      <c r="K71" s="101"/>
      <c r="L71" s="101"/>
      <c r="M71" s="101"/>
    </row>
    <row r="72">
      <c r="A72" s="101">
        <v>0.0</v>
      </c>
      <c r="B72" s="101">
        <v>5560.0</v>
      </c>
      <c r="C72" s="101">
        <v>0.0</v>
      </c>
      <c r="D72" s="101"/>
      <c r="E72" s="101"/>
      <c r="F72" s="101"/>
      <c r="G72" s="101"/>
      <c r="H72" s="101"/>
      <c r="I72" s="101"/>
      <c r="J72" s="101"/>
      <c r="K72" s="101"/>
      <c r="L72" s="101"/>
      <c r="M72" s="101"/>
    </row>
    <row r="73">
      <c r="A73" s="101">
        <v>0.0</v>
      </c>
      <c r="B73" s="101">
        <v>6200.0</v>
      </c>
      <c r="C73" s="101">
        <v>0.0</v>
      </c>
      <c r="D73" s="101"/>
      <c r="E73" s="101"/>
      <c r="F73" s="101"/>
      <c r="G73" s="101"/>
      <c r="H73" s="101"/>
      <c r="I73" s="101"/>
      <c r="J73" s="101"/>
      <c r="K73" s="101"/>
      <c r="L73" s="101"/>
      <c r="M73" s="101"/>
    </row>
    <row r="74">
      <c r="A74" s="101">
        <v>0.0</v>
      </c>
      <c r="B74" s="101">
        <v>6600.0</v>
      </c>
      <c r="C74" s="101">
        <v>0.0</v>
      </c>
      <c r="D74" s="101"/>
      <c r="E74" s="101"/>
      <c r="F74" s="101"/>
      <c r="G74" s="101"/>
      <c r="H74" s="101"/>
      <c r="I74" s="101"/>
      <c r="J74" s="101"/>
      <c r="K74" s="101"/>
      <c r="L74" s="101"/>
      <c r="M74" s="101"/>
    </row>
    <row r="75">
      <c r="A75" s="101">
        <v>0.0</v>
      </c>
      <c r="B75" s="101">
        <v>4560.0</v>
      </c>
      <c r="C75" s="101">
        <v>0.0</v>
      </c>
      <c r="D75" s="101"/>
      <c r="E75" s="101"/>
      <c r="F75" s="101"/>
      <c r="G75" s="101"/>
      <c r="H75" s="101"/>
      <c r="I75" s="101"/>
      <c r="J75" s="101"/>
      <c r="K75" s="101"/>
      <c r="L75" s="101"/>
      <c r="M75" s="101"/>
    </row>
    <row r="76">
      <c r="A76" s="101">
        <v>0.0</v>
      </c>
      <c r="B76" s="101">
        <v>3480.0</v>
      </c>
      <c r="C76" s="101">
        <v>0.0</v>
      </c>
      <c r="D76" s="101"/>
      <c r="E76" s="101"/>
      <c r="F76" s="101"/>
      <c r="G76" s="101"/>
      <c r="H76" s="101"/>
      <c r="I76" s="101"/>
      <c r="J76" s="101"/>
      <c r="K76" s="101"/>
      <c r="L76" s="101"/>
      <c r="M76" s="101"/>
    </row>
    <row r="77">
      <c r="A77" s="101">
        <v>0.0</v>
      </c>
      <c r="B77" s="101">
        <v>3480.0</v>
      </c>
      <c r="C77" s="101">
        <v>0.0</v>
      </c>
      <c r="D77" s="101"/>
      <c r="E77" s="101"/>
      <c r="F77" s="101"/>
      <c r="G77" s="101"/>
      <c r="H77" s="101"/>
      <c r="I77" s="101"/>
      <c r="J77" s="101"/>
      <c r="K77" s="101"/>
      <c r="L77" s="101"/>
      <c r="M77" s="101"/>
    </row>
    <row r="78">
      <c r="A78" s="101">
        <v>0.0</v>
      </c>
      <c r="B78" s="101">
        <v>1990.0</v>
      </c>
      <c r="C78" s="101">
        <v>0.0</v>
      </c>
      <c r="D78" s="101"/>
      <c r="E78" s="101"/>
      <c r="F78" s="101"/>
      <c r="G78" s="101"/>
      <c r="H78" s="101"/>
      <c r="I78" s="101"/>
      <c r="J78" s="101"/>
      <c r="K78" s="101"/>
      <c r="L78" s="101"/>
      <c r="M78" s="101"/>
    </row>
    <row r="79">
      <c r="A79" s="101">
        <v>0.0</v>
      </c>
      <c r="B79" s="101">
        <v>580.0</v>
      </c>
      <c r="C79" s="101">
        <v>0.0</v>
      </c>
      <c r="D79" s="101"/>
      <c r="E79" s="101"/>
      <c r="F79" s="101"/>
      <c r="G79" s="101"/>
      <c r="H79" s="101"/>
      <c r="I79" s="101"/>
      <c r="J79" s="101"/>
      <c r="K79" s="101"/>
      <c r="L79" s="101"/>
      <c r="M79" s="101"/>
    </row>
    <row r="80">
      <c r="A80" s="101">
        <v>0.0</v>
      </c>
      <c r="B80" s="101">
        <v>2000.0</v>
      </c>
      <c r="C80" s="101">
        <v>0.0</v>
      </c>
      <c r="D80" s="101"/>
      <c r="E80" s="101"/>
      <c r="F80" s="101"/>
      <c r="G80" s="101"/>
      <c r="H80" s="101"/>
      <c r="I80" s="101"/>
      <c r="J80" s="101"/>
      <c r="K80" s="101"/>
      <c r="L80" s="101"/>
      <c r="M80" s="101"/>
    </row>
    <row r="81">
      <c r="A81" s="101">
        <v>0.0</v>
      </c>
      <c r="B81" s="101">
        <v>0.0</v>
      </c>
      <c r="C81" s="101">
        <v>0.0</v>
      </c>
      <c r="D81" s="101"/>
      <c r="E81" s="101"/>
      <c r="F81" s="101"/>
      <c r="G81" s="101"/>
      <c r="H81" s="101"/>
      <c r="I81" s="101"/>
      <c r="J81" s="101"/>
      <c r="K81" s="101"/>
      <c r="L81" s="101"/>
      <c r="M81" s="101"/>
    </row>
    <row r="82">
      <c r="A82" s="101">
        <v>0.0</v>
      </c>
      <c r="B82" s="101">
        <v>0.0</v>
      </c>
      <c r="C82" s="101">
        <v>0.0</v>
      </c>
      <c r="D82" s="101"/>
      <c r="E82" s="101"/>
      <c r="F82" s="101"/>
      <c r="G82" s="101"/>
      <c r="H82" s="101"/>
      <c r="I82" s="101"/>
      <c r="J82" s="101"/>
      <c r="K82" s="101"/>
      <c r="L82" s="101"/>
      <c r="M82" s="101"/>
    </row>
    <row r="83">
      <c r="A83" s="101">
        <v>0.0</v>
      </c>
      <c r="B83" s="101">
        <v>26.0</v>
      </c>
      <c r="C83" s="101">
        <v>0.0</v>
      </c>
      <c r="D83" s="101"/>
      <c r="E83" s="101"/>
      <c r="F83" s="101"/>
      <c r="G83" s="101"/>
      <c r="H83" s="101"/>
      <c r="I83" s="101"/>
      <c r="J83" s="101"/>
      <c r="K83" s="101"/>
      <c r="L83" s="101"/>
      <c r="M83" s="101"/>
    </row>
    <row r="84">
      <c r="A84" s="101">
        <v>0.0</v>
      </c>
      <c r="B84" s="101">
        <v>4.0</v>
      </c>
      <c r="C84" s="101">
        <v>0.0</v>
      </c>
      <c r="D84" s="101"/>
      <c r="E84" s="101"/>
      <c r="F84" s="101"/>
      <c r="G84" s="101"/>
      <c r="H84" s="101"/>
      <c r="I84" s="101"/>
      <c r="J84" s="101"/>
      <c r="K84" s="101"/>
      <c r="L84" s="101"/>
      <c r="M84" s="101"/>
    </row>
    <row r="85">
      <c r="A85" s="101">
        <v>0.0</v>
      </c>
      <c r="B85" s="101">
        <v>73.0</v>
      </c>
      <c r="C85" s="101">
        <v>0.0</v>
      </c>
      <c r="D85" s="101"/>
      <c r="E85" s="101"/>
      <c r="F85" s="101"/>
      <c r="G85" s="101"/>
      <c r="H85" s="101"/>
      <c r="I85" s="101"/>
      <c r="J85" s="101"/>
      <c r="K85" s="101"/>
      <c r="L85" s="101"/>
      <c r="M85" s="101"/>
    </row>
    <row r="86">
      <c r="A86" s="101">
        <v>0.0</v>
      </c>
      <c r="B86" s="101">
        <v>5.0</v>
      </c>
      <c r="C86" s="101">
        <v>0.0</v>
      </c>
      <c r="D86" s="101"/>
      <c r="E86" s="101"/>
      <c r="F86" s="101"/>
      <c r="G86" s="101"/>
      <c r="H86" s="101"/>
      <c r="I86" s="101"/>
      <c r="J86" s="101"/>
      <c r="K86" s="101"/>
      <c r="L86" s="101"/>
      <c r="M86" s="101"/>
    </row>
    <row r="87">
      <c r="A87" s="101">
        <v>0.0</v>
      </c>
      <c r="B87" s="101">
        <v>76.0</v>
      </c>
      <c r="C87" s="101">
        <v>0.0</v>
      </c>
      <c r="D87" s="101"/>
      <c r="E87" s="101"/>
      <c r="F87" s="101"/>
      <c r="G87" s="101"/>
      <c r="H87" s="101"/>
      <c r="I87" s="101"/>
      <c r="J87" s="101"/>
      <c r="K87" s="101"/>
      <c r="L87" s="101"/>
      <c r="M87" s="101"/>
    </row>
    <row r="88">
      <c r="A88" s="101">
        <v>0.0</v>
      </c>
      <c r="B88" s="101">
        <v>4982.0</v>
      </c>
      <c r="C88" s="101">
        <v>0.0</v>
      </c>
      <c r="D88" s="101"/>
      <c r="E88" s="101"/>
      <c r="F88" s="101"/>
      <c r="G88" s="101"/>
      <c r="H88" s="101"/>
      <c r="I88" s="101"/>
      <c r="J88" s="101"/>
      <c r="K88" s="101"/>
      <c r="L88" s="101"/>
      <c r="M88" s="101"/>
    </row>
    <row r="89">
      <c r="A89" s="101">
        <v>0.0</v>
      </c>
      <c r="B89" s="101">
        <v>9809.0</v>
      </c>
      <c r="C89" s="101">
        <v>0.0</v>
      </c>
      <c r="D89" s="101"/>
      <c r="E89" s="101"/>
      <c r="F89" s="101"/>
      <c r="G89" s="101"/>
      <c r="H89" s="101"/>
      <c r="I89" s="101"/>
      <c r="J89" s="101"/>
      <c r="K89" s="101"/>
      <c r="L89" s="101"/>
      <c r="M89" s="101"/>
    </row>
    <row r="90">
      <c r="A90" s="101">
        <v>0.0</v>
      </c>
      <c r="B90" s="101">
        <v>4080.0</v>
      </c>
      <c r="C90" s="101">
        <v>0.0</v>
      </c>
      <c r="D90" s="101"/>
      <c r="E90" s="101"/>
      <c r="F90" s="101"/>
      <c r="G90" s="101"/>
      <c r="H90" s="101"/>
      <c r="I90" s="101"/>
      <c r="J90" s="101"/>
      <c r="K90" s="101"/>
      <c r="L90" s="101"/>
      <c r="M90" s="101"/>
    </row>
    <row r="91">
      <c r="A91" s="101">
        <v>0.0</v>
      </c>
      <c r="B91" s="101">
        <v>1727.0</v>
      </c>
      <c r="C91" s="101">
        <v>0.0</v>
      </c>
      <c r="D91" s="101"/>
      <c r="E91" s="101"/>
      <c r="F91" s="101"/>
      <c r="G91" s="101"/>
      <c r="H91" s="101"/>
      <c r="I91" s="101"/>
      <c r="J91" s="101"/>
      <c r="K91" s="101"/>
      <c r="L91" s="101"/>
      <c r="M91" s="101"/>
    </row>
    <row r="92">
      <c r="A92" s="101">
        <v>0.0</v>
      </c>
      <c r="B92" s="101">
        <v>367.0</v>
      </c>
      <c r="C92" s="101">
        <v>0.0</v>
      </c>
      <c r="D92" s="101"/>
      <c r="E92" s="101"/>
      <c r="F92" s="101"/>
      <c r="G92" s="101"/>
      <c r="H92" s="101"/>
      <c r="I92" s="101"/>
      <c r="J92" s="101"/>
      <c r="K92" s="101"/>
      <c r="L92" s="101"/>
      <c r="M92" s="101"/>
    </row>
    <row r="93">
      <c r="A93" s="101">
        <v>0.0</v>
      </c>
      <c r="B93" s="101">
        <v>0.0</v>
      </c>
      <c r="C93" s="101">
        <v>0.0</v>
      </c>
      <c r="D93" s="101"/>
      <c r="E93" s="101"/>
      <c r="F93" s="101"/>
      <c r="G93" s="101"/>
      <c r="H93" s="101"/>
      <c r="I93" s="101"/>
      <c r="J93" s="101"/>
      <c r="K93" s="101"/>
      <c r="L93" s="101"/>
      <c r="M93" s="101"/>
    </row>
    <row r="94">
      <c r="A94" s="101">
        <v>0.0</v>
      </c>
      <c r="B94" s="101">
        <v>0.0</v>
      </c>
      <c r="C94" s="101">
        <v>0.0</v>
      </c>
      <c r="D94" s="101"/>
      <c r="E94" s="101"/>
      <c r="F94" s="101"/>
      <c r="G94" s="101"/>
      <c r="H94" s="101"/>
      <c r="I94" s="101"/>
      <c r="J94" s="101"/>
      <c r="K94" s="101"/>
      <c r="L94" s="101"/>
      <c r="M94" s="101"/>
    </row>
    <row r="95">
      <c r="A95" s="101">
        <v>0.0</v>
      </c>
      <c r="B95" s="101">
        <v>0.0</v>
      </c>
      <c r="C95" s="101">
        <v>0.0</v>
      </c>
      <c r="D95" s="101"/>
      <c r="E95" s="101"/>
      <c r="F95" s="101"/>
      <c r="G95" s="101"/>
      <c r="H95" s="101"/>
      <c r="I95" s="101"/>
      <c r="J95" s="101"/>
      <c r="K95" s="101"/>
      <c r="L95" s="101"/>
      <c r="M95" s="101"/>
    </row>
    <row r="96">
      <c r="A96" s="101">
        <v>0.0</v>
      </c>
      <c r="B96" s="101">
        <v>0.0</v>
      </c>
      <c r="C96" s="101">
        <v>0.0</v>
      </c>
      <c r="D96" s="101"/>
      <c r="E96" s="101"/>
      <c r="F96" s="101"/>
      <c r="G96" s="101"/>
      <c r="H96" s="101"/>
      <c r="I96" s="101"/>
      <c r="J96" s="101"/>
      <c r="K96" s="101"/>
      <c r="L96" s="101"/>
      <c r="M96" s="101"/>
    </row>
    <row r="97">
      <c r="A97" s="101">
        <v>0.0</v>
      </c>
      <c r="B97" s="101">
        <v>0.0</v>
      </c>
      <c r="C97" s="101">
        <v>0.0</v>
      </c>
      <c r="D97" s="101"/>
      <c r="E97" s="101"/>
      <c r="F97" s="101"/>
      <c r="G97" s="101"/>
      <c r="H97" s="101"/>
      <c r="I97" s="101"/>
      <c r="J97" s="101"/>
      <c r="K97" s="101"/>
      <c r="L97" s="101"/>
      <c r="M97" s="101"/>
    </row>
    <row r="98">
      <c r="A98" s="101">
        <v>0.0</v>
      </c>
      <c r="B98" s="101">
        <v>0.0</v>
      </c>
      <c r="C98" s="101">
        <v>0.0</v>
      </c>
      <c r="D98" s="101"/>
      <c r="E98" s="101"/>
      <c r="F98" s="101"/>
      <c r="G98" s="101"/>
      <c r="H98" s="101"/>
      <c r="I98" s="101"/>
      <c r="J98" s="101"/>
      <c r="K98" s="101"/>
      <c r="L98" s="101"/>
      <c r="M98" s="101"/>
    </row>
    <row r="99">
      <c r="A99" s="101">
        <v>0.0</v>
      </c>
      <c r="B99" s="101">
        <v>1.0</v>
      </c>
      <c r="C99" s="101">
        <v>0.0</v>
      </c>
      <c r="D99" s="101"/>
      <c r="E99" s="101"/>
      <c r="F99" s="101"/>
      <c r="G99" s="101"/>
      <c r="H99" s="101"/>
      <c r="I99" s="101"/>
      <c r="J99" s="101"/>
      <c r="K99" s="101"/>
      <c r="L99" s="101"/>
      <c r="M99" s="101"/>
    </row>
    <row r="100">
      <c r="A100" s="101">
        <v>0.0</v>
      </c>
      <c r="B100" s="101">
        <v>9797.0</v>
      </c>
      <c r="C100" s="101">
        <v>0.0</v>
      </c>
      <c r="D100" s="101"/>
      <c r="E100" s="101"/>
      <c r="F100" s="101"/>
      <c r="G100" s="101"/>
      <c r="H100" s="101"/>
      <c r="I100" s="101"/>
      <c r="J100" s="101"/>
      <c r="K100" s="101"/>
      <c r="L100" s="101"/>
      <c r="M100" s="101"/>
    </row>
    <row r="101">
      <c r="A101" s="101">
        <v>0.0</v>
      </c>
      <c r="B101" s="101">
        <v>2211.0</v>
      </c>
      <c r="C101" s="101">
        <v>0.0</v>
      </c>
      <c r="D101" s="101"/>
      <c r="E101" s="101"/>
      <c r="F101" s="101"/>
      <c r="G101" s="101"/>
      <c r="H101" s="101"/>
      <c r="I101" s="101"/>
      <c r="J101" s="101"/>
      <c r="K101" s="101"/>
      <c r="L101" s="101"/>
      <c r="M101" s="101"/>
    </row>
    <row r="102">
      <c r="A102" s="101">
        <v>0.0</v>
      </c>
      <c r="B102" s="101">
        <v>1190.0</v>
      </c>
      <c r="C102" s="101">
        <v>0.0</v>
      </c>
      <c r="D102" s="101"/>
      <c r="E102" s="101"/>
      <c r="F102" s="101"/>
      <c r="G102" s="101"/>
      <c r="H102" s="101"/>
      <c r="I102" s="101"/>
      <c r="J102" s="101"/>
      <c r="K102" s="101"/>
      <c r="L102" s="101"/>
      <c r="M102" s="101"/>
    </row>
    <row r="103">
      <c r="A103" s="101">
        <v>0.0</v>
      </c>
      <c r="B103" s="101">
        <v>2183.0</v>
      </c>
      <c r="C103" s="101">
        <v>0.0</v>
      </c>
      <c r="D103" s="101"/>
      <c r="E103" s="101"/>
      <c r="F103" s="101"/>
      <c r="G103" s="101"/>
      <c r="H103" s="101"/>
      <c r="I103" s="101"/>
      <c r="J103" s="101"/>
      <c r="K103" s="101"/>
      <c r="L103" s="101"/>
      <c r="M103" s="101"/>
    </row>
    <row r="104">
      <c r="A104" s="101">
        <v>0.0</v>
      </c>
      <c r="B104" s="101">
        <v>3288.0</v>
      </c>
      <c r="C104" s="101">
        <v>0.0</v>
      </c>
      <c r="D104" s="101"/>
      <c r="E104" s="101"/>
      <c r="F104" s="101"/>
      <c r="G104" s="101"/>
      <c r="H104" s="101"/>
      <c r="I104" s="101"/>
      <c r="J104" s="101"/>
      <c r="K104" s="101"/>
      <c r="L104" s="101"/>
      <c r="M104" s="101"/>
    </row>
    <row r="105">
      <c r="A105" s="101">
        <v>0.0</v>
      </c>
      <c r="B105" s="101">
        <v>0.0</v>
      </c>
      <c r="C105" s="101">
        <v>0.0</v>
      </c>
      <c r="D105" s="101"/>
      <c r="E105" s="101"/>
      <c r="F105" s="101"/>
      <c r="G105" s="101"/>
      <c r="H105" s="101"/>
      <c r="I105" s="101"/>
      <c r="J105" s="101"/>
      <c r="K105" s="101"/>
      <c r="L105" s="101"/>
      <c r="M105" s="101"/>
    </row>
    <row r="106">
      <c r="A106" s="101">
        <v>0.0</v>
      </c>
      <c r="B106" s="101">
        <v>0.0</v>
      </c>
      <c r="C106" s="101">
        <v>0.0</v>
      </c>
      <c r="D106" s="101"/>
      <c r="E106" s="101"/>
      <c r="F106" s="101"/>
      <c r="G106" s="101"/>
      <c r="H106" s="101"/>
      <c r="I106" s="101"/>
      <c r="J106" s="101"/>
      <c r="K106" s="101"/>
      <c r="L106" s="101"/>
      <c r="M106" s="101"/>
    </row>
    <row r="107">
      <c r="A107" s="101">
        <v>0.0</v>
      </c>
      <c r="B107" s="101">
        <v>1225.0</v>
      </c>
      <c r="C107" s="101">
        <v>0.0</v>
      </c>
      <c r="D107" s="101"/>
      <c r="E107" s="101"/>
      <c r="F107" s="101"/>
      <c r="G107" s="101"/>
      <c r="H107" s="101"/>
      <c r="I107" s="101"/>
      <c r="J107" s="101"/>
      <c r="K107" s="101"/>
      <c r="L107" s="101"/>
      <c r="M107" s="101"/>
    </row>
    <row r="108">
      <c r="A108" s="101">
        <v>0.0</v>
      </c>
      <c r="B108" s="101">
        <v>975.0</v>
      </c>
      <c r="C108" s="101">
        <v>0.0</v>
      </c>
      <c r="D108" s="101"/>
      <c r="E108" s="101"/>
      <c r="F108" s="101"/>
      <c r="G108" s="101"/>
      <c r="H108" s="101"/>
      <c r="I108" s="101"/>
      <c r="J108" s="101"/>
      <c r="K108" s="101"/>
      <c r="L108" s="101"/>
      <c r="M108" s="101"/>
    </row>
    <row r="109">
      <c r="A109" s="101">
        <v>0.0</v>
      </c>
      <c r="B109" s="101">
        <v>0.0</v>
      </c>
      <c r="C109" s="101">
        <v>0.0</v>
      </c>
      <c r="D109" s="101"/>
      <c r="E109" s="101"/>
      <c r="F109" s="101"/>
      <c r="G109" s="101"/>
      <c r="H109" s="101"/>
      <c r="I109" s="101"/>
      <c r="J109" s="101"/>
      <c r="K109" s="101"/>
      <c r="L109" s="101"/>
      <c r="M109" s="101"/>
    </row>
    <row r="110">
      <c r="A110" s="101">
        <v>0.0</v>
      </c>
      <c r="B110" s="101">
        <v>45.0</v>
      </c>
      <c r="C110" s="101">
        <v>0.0</v>
      </c>
      <c r="D110" s="101"/>
      <c r="E110" s="101"/>
      <c r="F110" s="101"/>
      <c r="G110" s="101"/>
      <c r="H110" s="101"/>
      <c r="I110" s="101"/>
      <c r="J110" s="101"/>
      <c r="K110" s="101"/>
      <c r="L110" s="101"/>
      <c r="M110" s="101"/>
    </row>
    <row r="111">
      <c r="A111" s="101">
        <v>7.0</v>
      </c>
      <c r="B111" s="101">
        <v>-7.0</v>
      </c>
      <c r="C111" s="101">
        <v>0.0</v>
      </c>
      <c r="D111" s="101"/>
      <c r="E111" s="101"/>
      <c r="F111" s="101"/>
      <c r="G111" s="101"/>
      <c r="H111" s="101"/>
      <c r="I111" s="101"/>
      <c r="J111" s="101"/>
      <c r="K111" s="101"/>
      <c r="L111" s="101"/>
      <c r="M111" s="101"/>
    </row>
    <row r="112">
      <c r="A112" s="101">
        <v>0.0</v>
      </c>
      <c r="B112" s="101">
        <v>1116.0</v>
      </c>
      <c r="C112" s="101">
        <v>0.0</v>
      </c>
      <c r="D112" s="101"/>
      <c r="E112" s="101"/>
      <c r="F112" s="101"/>
      <c r="G112" s="101"/>
      <c r="H112" s="101"/>
      <c r="I112" s="101"/>
      <c r="J112" s="101"/>
      <c r="K112" s="101"/>
      <c r="L112" s="101"/>
      <c r="M112" s="101"/>
    </row>
    <row r="113">
      <c r="A113" s="101">
        <v>0.0</v>
      </c>
      <c r="B113" s="101">
        <v>1073.0</v>
      </c>
      <c r="C113" s="101">
        <v>0.0</v>
      </c>
      <c r="D113" s="101"/>
      <c r="E113" s="101"/>
      <c r="F113" s="101"/>
      <c r="G113" s="101"/>
      <c r="H113" s="101"/>
      <c r="I113" s="101"/>
      <c r="J113" s="101"/>
      <c r="K113" s="101"/>
      <c r="L113" s="101"/>
      <c r="M113" s="101"/>
    </row>
    <row r="114">
      <c r="A114" s="101">
        <v>0.0</v>
      </c>
      <c r="B114" s="101">
        <v>1625.0</v>
      </c>
      <c r="C114" s="101">
        <v>0.0</v>
      </c>
      <c r="D114" s="101"/>
      <c r="E114" s="101"/>
      <c r="F114" s="101"/>
      <c r="G114" s="101"/>
      <c r="H114" s="101"/>
      <c r="I114" s="101"/>
      <c r="J114" s="101"/>
      <c r="K114" s="101"/>
      <c r="L114" s="101"/>
      <c r="M114" s="101"/>
    </row>
    <row r="115">
      <c r="A115" s="101">
        <v>0.0</v>
      </c>
      <c r="B115" s="101">
        <v>1995.0</v>
      </c>
      <c r="C115" s="101">
        <v>0.0</v>
      </c>
      <c r="D115" s="101"/>
      <c r="E115" s="101"/>
      <c r="F115" s="101"/>
      <c r="G115" s="101"/>
      <c r="H115" s="101"/>
      <c r="I115" s="101"/>
      <c r="J115" s="101"/>
      <c r="K115" s="101"/>
      <c r="L115" s="101"/>
      <c r="M115" s="101"/>
    </row>
    <row r="116">
      <c r="A116" s="101">
        <v>0.0</v>
      </c>
      <c r="B116" s="101">
        <v>2048.0</v>
      </c>
      <c r="C116" s="101">
        <v>0.0</v>
      </c>
      <c r="D116" s="101"/>
      <c r="E116" s="101"/>
      <c r="F116" s="101"/>
      <c r="G116" s="101"/>
      <c r="H116" s="101"/>
      <c r="I116" s="101"/>
      <c r="J116" s="101"/>
      <c r="K116" s="101"/>
      <c r="L116" s="101"/>
      <c r="M116" s="101"/>
    </row>
    <row r="117">
      <c r="A117" s="101">
        <v>0.0</v>
      </c>
      <c r="B117" s="101">
        <v>1473.0</v>
      </c>
      <c r="C117" s="101">
        <v>0.0</v>
      </c>
      <c r="D117" s="101"/>
      <c r="E117" s="101"/>
      <c r="F117" s="101"/>
      <c r="G117" s="101"/>
      <c r="H117" s="101"/>
      <c r="I117" s="101"/>
      <c r="J117" s="101"/>
      <c r="K117" s="101"/>
      <c r="L117" s="101"/>
      <c r="M117" s="101"/>
    </row>
    <row r="118">
      <c r="A118" s="101">
        <v>0.0</v>
      </c>
      <c r="B118" s="101">
        <v>1365.0</v>
      </c>
      <c r="C118" s="101">
        <v>0.0</v>
      </c>
      <c r="D118" s="101"/>
      <c r="E118" s="101"/>
      <c r="F118" s="101"/>
      <c r="G118" s="101"/>
      <c r="H118" s="101"/>
      <c r="I118" s="101"/>
      <c r="J118" s="101"/>
      <c r="K118" s="101"/>
      <c r="L118" s="101"/>
      <c r="M118" s="101"/>
    </row>
    <row r="119">
      <c r="A119" s="101">
        <v>0.0</v>
      </c>
      <c r="B119" s="101">
        <v>790.0</v>
      </c>
      <c r="C119" s="101">
        <v>0.0</v>
      </c>
      <c r="D119" s="101"/>
      <c r="E119" s="101"/>
      <c r="F119" s="101"/>
      <c r="G119" s="101"/>
      <c r="H119" s="101"/>
      <c r="I119" s="101"/>
      <c r="J119" s="101"/>
      <c r="K119" s="101"/>
      <c r="L119" s="101"/>
      <c r="M119" s="101"/>
    </row>
    <row r="120">
      <c r="A120" s="101">
        <v>0.0</v>
      </c>
      <c r="B120" s="101">
        <v>0.0</v>
      </c>
      <c r="C120" s="101">
        <v>0.0</v>
      </c>
      <c r="D120" s="101"/>
      <c r="E120" s="101"/>
      <c r="F120" s="101"/>
      <c r="G120" s="101"/>
      <c r="H120" s="101"/>
      <c r="I120" s="101"/>
      <c r="J120" s="101"/>
      <c r="K120" s="101"/>
      <c r="L120" s="101"/>
      <c r="M120" s="101"/>
    </row>
    <row r="121">
      <c r="A121" s="101">
        <v>0.0</v>
      </c>
      <c r="B121" s="101">
        <v>0.0</v>
      </c>
      <c r="C121" s="101">
        <v>0.0</v>
      </c>
      <c r="D121" s="101"/>
      <c r="E121" s="101"/>
      <c r="F121" s="101"/>
      <c r="G121" s="101"/>
      <c r="H121" s="101"/>
      <c r="I121" s="101"/>
      <c r="J121" s="101"/>
      <c r="K121" s="101"/>
      <c r="L121" s="101"/>
      <c r="M121" s="101"/>
    </row>
    <row r="122">
      <c r="A122" s="101">
        <v>0.0</v>
      </c>
      <c r="B122" s="101">
        <v>0.0</v>
      </c>
      <c r="C122" s="101">
        <v>0.0</v>
      </c>
      <c r="D122" s="101"/>
      <c r="E122" s="101"/>
      <c r="F122" s="101"/>
      <c r="G122" s="101"/>
      <c r="H122" s="101"/>
      <c r="I122" s="101"/>
      <c r="J122" s="101"/>
      <c r="K122" s="101"/>
      <c r="L122" s="101"/>
      <c r="M122" s="101"/>
    </row>
    <row r="123">
      <c r="A123" s="101">
        <v>0.0</v>
      </c>
      <c r="B123" s="101">
        <v>646.0</v>
      </c>
      <c r="C123" s="101">
        <v>0.0</v>
      </c>
      <c r="D123" s="101"/>
      <c r="E123" s="101"/>
      <c r="F123" s="101"/>
      <c r="G123" s="101"/>
      <c r="H123" s="101"/>
      <c r="I123" s="101"/>
      <c r="J123" s="101"/>
      <c r="K123" s="101"/>
      <c r="L123" s="101"/>
      <c r="M123" s="101"/>
    </row>
    <row r="124">
      <c r="A124" s="101">
        <v>0.0</v>
      </c>
      <c r="B124" s="101">
        <v>552.0</v>
      </c>
      <c r="C124" s="101">
        <v>0.0</v>
      </c>
      <c r="D124" s="101"/>
      <c r="E124" s="101"/>
      <c r="F124" s="101"/>
      <c r="G124" s="101"/>
      <c r="H124" s="101"/>
      <c r="I124" s="101"/>
      <c r="J124" s="101"/>
      <c r="K124" s="101"/>
      <c r="L124" s="101"/>
      <c r="M124" s="101"/>
    </row>
    <row r="125">
      <c r="A125" s="101">
        <v>0.0</v>
      </c>
      <c r="B125" s="101">
        <v>802.0</v>
      </c>
      <c r="C125" s="101">
        <v>0.0</v>
      </c>
      <c r="D125" s="101"/>
      <c r="E125" s="101"/>
      <c r="F125" s="101"/>
      <c r="G125" s="101"/>
      <c r="H125" s="101"/>
      <c r="I125" s="101"/>
      <c r="J125" s="101"/>
      <c r="K125" s="101"/>
      <c r="L125" s="101"/>
      <c r="M125" s="101"/>
    </row>
    <row r="126">
      <c r="A126" s="101">
        <v>0.0</v>
      </c>
      <c r="B126" s="101">
        <v>6501.0</v>
      </c>
      <c r="C126" s="101">
        <v>0.0</v>
      </c>
      <c r="D126" s="101"/>
      <c r="E126" s="101"/>
      <c r="F126" s="101"/>
      <c r="G126" s="101"/>
      <c r="H126" s="101"/>
      <c r="I126" s="101"/>
      <c r="J126" s="101"/>
      <c r="K126" s="101"/>
      <c r="L126" s="101"/>
      <c r="M126" s="101"/>
    </row>
    <row r="127">
      <c r="A127" s="101">
        <v>0.0</v>
      </c>
      <c r="B127" s="101">
        <v>0.0</v>
      </c>
      <c r="C127" s="101">
        <v>0.0</v>
      </c>
      <c r="D127" s="101"/>
      <c r="E127" s="101"/>
      <c r="F127" s="101"/>
      <c r="G127" s="101"/>
      <c r="H127" s="101"/>
      <c r="I127" s="101"/>
      <c r="J127" s="101"/>
      <c r="K127" s="101"/>
      <c r="L127" s="101"/>
      <c r="M127" s="101"/>
    </row>
    <row r="128">
      <c r="A128" s="101">
        <v>0.0</v>
      </c>
      <c r="B128" s="101">
        <v>0.0</v>
      </c>
      <c r="C128" s="101">
        <v>0.0</v>
      </c>
      <c r="D128" s="101"/>
      <c r="E128" s="101"/>
      <c r="F128" s="101"/>
      <c r="G128" s="101"/>
      <c r="H128" s="101"/>
      <c r="I128" s="101"/>
      <c r="J128" s="101"/>
      <c r="K128" s="101"/>
      <c r="L128" s="101"/>
      <c r="M128" s="101"/>
    </row>
    <row r="129">
      <c r="A129" s="101">
        <v>0.0</v>
      </c>
      <c r="B129" s="101">
        <v>-1.0</v>
      </c>
      <c r="C129" s="101">
        <v>0.0</v>
      </c>
      <c r="D129" s="101"/>
      <c r="E129" s="101"/>
      <c r="F129" s="101"/>
      <c r="G129" s="101"/>
      <c r="H129" s="101"/>
      <c r="I129" s="101"/>
      <c r="J129" s="101"/>
      <c r="K129" s="101"/>
      <c r="L129" s="101"/>
      <c r="M129" s="101"/>
    </row>
    <row r="130">
      <c r="A130" s="101">
        <v>0.0</v>
      </c>
      <c r="B130" s="101">
        <v>1983.0</v>
      </c>
      <c r="C130" s="101">
        <v>0.0</v>
      </c>
      <c r="D130" s="101"/>
      <c r="E130" s="101"/>
      <c r="F130" s="101"/>
      <c r="G130" s="101"/>
      <c r="H130" s="101"/>
      <c r="I130" s="101"/>
      <c r="J130" s="101"/>
      <c r="K130" s="101"/>
      <c r="L130" s="101"/>
      <c r="M130" s="101"/>
    </row>
    <row r="131">
      <c r="A131" s="101">
        <v>0.0</v>
      </c>
      <c r="B131" s="101">
        <v>186.0</v>
      </c>
      <c r="C131" s="101">
        <v>0.0</v>
      </c>
      <c r="D131" s="101"/>
      <c r="E131" s="101"/>
      <c r="F131" s="101"/>
      <c r="G131" s="101"/>
      <c r="H131" s="101"/>
      <c r="I131" s="101"/>
      <c r="J131" s="101"/>
      <c r="K131" s="101"/>
      <c r="L131" s="101"/>
      <c r="M131" s="101"/>
    </row>
    <row r="132">
      <c r="A132" s="101">
        <v>0.0</v>
      </c>
      <c r="B132" s="101">
        <v>6963.0</v>
      </c>
      <c r="C132" s="101">
        <v>0.0</v>
      </c>
      <c r="D132" s="101"/>
      <c r="E132" s="101"/>
      <c r="F132" s="101"/>
      <c r="G132" s="101"/>
      <c r="H132" s="101"/>
      <c r="I132" s="101"/>
      <c r="J132" s="101"/>
      <c r="K132" s="101"/>
      <c r="L132" s="101"/>
      <c r="M132" s="101"/>
    </row>
    <row r="133">
      <c r="A133" s="101">
        <v>0.0</v>
      </c>
      <c r="B133" s="101">
        <v>3410.0</v>
      </c>
      <c r="C133" s="101">
        <v>0.0</v>
      </c>
      <c r="D133" s="101"/>
      <c r="E133" s="101"/>
      <c r="F133" s="101"/>
      <c r="G133" s="101"/>
      <c r="H133" s="101"/>
      <c r="I133" s="101"/>
      <c r="J133" s="101"/>
      <c r="K133" s="101"/>
      <c r="L133" s="101"/>
      <c r="M133" s="101"/>
    </row>
    <row r="134">
      <c r="A134" s="101">
        <v>0.0</v>
      </c>
      <c r="B134" s="101">
        <v>0.0</v>
      </c>
      <c r="C134" s="101">
        <v>0.0</v>
      </c>
      <c r="D134" s="101"/>
      <c r="E134" s="101"/>
      <c r="F134" s="101"/>
      <c r="G134" s="101"/>
      <c r="H134" s="101"/>
      <c r="I134" s="101"/>
      <c r="J134" s="101"/>
      <c r="K134" s="101"/>
      <c r="L134" s="101"/>
      <c r="M134" s="101"/>
    </row>
    <row r="135">
      <c r="A135" s="101">
        <v>0.0</v>
      </c>
      <c r="B135" s="101">
        <v>980.0</v>
      </c>
      <c r="C135" s="101">
        <v>0.0</v>
      </c>
      <c r="D135" s="101"/>
      <c r="E135" s="101"/>
      <c r="F135" s="101"/>
      <c r="G135" s="101"/>
      <c r="H135" s="101"/>
      <c r="I135" s="101"/>
      <c r="J135" s="101"/>
      <c r="K135" s="101"/>
      <c r="L135" s="101"/>
      <c r="M135" s="101"/>
    </row>
    <row r="136">
      <c r="A136" s="101">
        <v>0.0</v>
      </c>
      <c r="B136" s="101">
        <v>980.0</v>
      </c>
      <c r="C136" s="101">
        <v>0.0</v>
      </c>
      <c r="D136" s="101"/>
      <c r="E136" s="101"/>
      <c r="F136" s="101"/>
      <c r="G136" s="101"/>
      <c r="H136" s="101"/>
      <c r="I136" s="101"/>
      <c r="J136" s="101"/>
      <c r="K136" s="101"/>
      <c r="L136" s="101"/>
      <c r="M136" s="101"/>
    </row>
    <row r="137">
      <c r="A137" s="101">
        <v>0.0</v>
      </c>
      <c r="B137" s="101">
        <v>-25.0</v>
      </c>
      <c r="C137" s="101">
        <v>0.0</v>
      </c>
      <c r="D137" s="101"/>
      <c r="E137" s="101"/>
      <c r="F137" s="101"/>
      <c r="G137" s="101"/>
      <c r="H137" s="101"/>
      <c r="I137" s="101"/>
      <c r="J137" s="101"/>
      <c r="K137" s="101"/>
      <c r="L137" s="101"/>
      <c r="M137" s="101"/>
    </row>
    <row r="138">
      <c r="A138" s="101">
        <v>0.0</v>
      </c>
      <c r="B138" s="101">
        <v>5468.0</v>
      </c>
      <c r="C138" s="101">
        <v>0.0</v>
      </c>
      <c r="D138" s="101"/>
      <c r="E138" s="101"/>
      <c r="F138" s="101"/>
      <c r="G138" s="101"/>
      <c r="H138" s="101"/>
      <c r="I138" s="101"/>
      <c r="J138" s="101"/>
      <c r="K138" s="101"/>
      <c r="L138" s="101"/>
      <c r="M138" s="101"/>
    </row>
    <row r="139">
      <c r="A139" s="101">
        <v>0.0</v>
      </c>
      <c r="B139" s="101">
        <v>3930.0</v>
      </c>
      <c r="C139" s="101">
        <v>0.0</v>
      </c>
      <c r="D139" s="101"/>
      <c r="E139" s="101"/>
      <c r="F139" s="101"/>
      <c r="G139" s="101"/>
      <c r="H139" s="101"/>
      <c r="I139" s="101"/>
      <c r="J139" s="101"/>
      <c r="K139" s="101"/>
      <c r="L139" s="101"/>
      <c r="M139" s="101"/>
    </row>
    <row r="140">
      <c r="A140" s="101">
        <v>0.0</v>
      </c>
      <c r="B140" s="101">
        <v>1698.0</v>
      </c>
      <c r="C140" s="101">
        <v>0.0</v>
      </c>
      <c r="D140" s="101"/>
      <c r="E140" s="101"/>
      <c r="F140" s="101"/>
      <c r="G140" s="101"/>
      <c r="H140" s="101"/>
      <c r="I140" s="101"/>
      <c r="J140" s="101"/>
      <c r="K140" s="101"/>
      <c r="L140" s="101"/>
      <c r="M140" s="101"/>
    </row>
    <row r="141">
      <c r="A141" s="101">
        <v>0.0</v>
      </c>
      <c r="B141" s="101">
        <v>940.0</v>
      </c>
      <c r="C141" s="101">
        <v>0.0</v>
      </c>
      <c r="D141" s="101"/>
      <c r="E141" s="101"/>
      <c r="F141" s="101"/>
      <c r="G141" s="101"/>
      <c r="H141" s="101"/>
      <c r="I141" s="101"/>
      <c r="J141" s="101"/>
      <c r="K141" s="101"/>
      <c r="L141" s="101"/>
      <c r="M141" s="101"/>
    </row>
    <row r="142">
      <c r="A142" s="101">
        <v>0.0</v>
      </c>
      <c r="B142" s="101">
        <v>3753.0</v>
      </c>
      <c r="C142" s="101">
        <v>0.0</v>
      </c>
      <c r="D142" s="101"/>
      <c r="E142" s="101"/>
      <c r="F142" s="101"/>
      <c r="G142" s="101"/>
      <c r="H142" s="101"/>
      <c r="I142" s="101"/>
      <c r="J142" s="101"/>
      <c r="K142" s="101"/>
      <c r="L142" s="101"/>
      <c r="M142" s="101"/>
    </row>
    <row r="143">
      <c r="A143" s="101">
        <v>0.0</v>
      </c>
      <c r="B143" s="101">
        <v>0.0</v>
      </c>
      <c r="C143" s="101">
        <v>0.0</v>
      </c>
      <c r="D143" s="101"/>
      <c r="E143" s="101"/>
      <c r="F143" s="101"/>
      <c r="G143" s="101"/>
      <c r="H143" s="101"/>
      <c r="I143" s="101"/>
      <c r="J143" s="101"/>
      <c r="K143" s="101"/>
      <c r="L143" s="101"/>
      <c r="M143" s="101"/>
    </row>
    <row r="144">
      <c r="A144" s="101">
        <v>0.0</v>
      </c>
      <c r="B144" s="101">
        <v>7809.0</v>
      </c>
      <c r="C144" s="101">
        <v>0.0</v>
      </c>
      <c r="D144" s="101"/>
      <c r="E144" s="101"/>
      <c r="F144" s="101"/>
      <c r="G144" s="101"/>
      <c r="H144" s="101"/>
      <c r="I144" s="101"/>
      <c r="J144" s="101"/>
      <c r="K144" s="101"/>
      <c r="L144" s="101"/>
      <c r="M144" s="101"/>
    </row>
    <row r="145">
      <c r="A145" s="101">
        <v>0.0</v>
      </c>
      <c r="B145" s="101">
        <v>4926.0</v>
      </c>
      <c r="C145" s="101">
        <v>0.0</v>
      </c>
      <c r="D145" s="101"/>
      <c r="E145" s="101"/>
      <c r="F145" s="101"/>
      <c r="G145" s="101"/>
      <c r="H145" s="101"/>
      <c r="I145" s="101"/>
      <c r="J145" s="101"/>
      <c r="K145" s="101"/>
      <c r="L145" s="101"/>
      <c r="M145" s="101"/>
    </row>
    <row r="146">
      <c r="A146" s="101">
        <v>0.0</v>
      </c>
      <c r="B146" s="101">
        <v>3965.0</v>
      </c>
      <c r="C146" s="101">
        <v>0.0</v>
      </c>
      <c r="D146" s="101"/>
      <c r="E146" s="101"/>
      <c r="F146" s="101"/>
      <c r="G146" s="101"/>
      <c r="H146" s="101"/>
      <c r="I146" s="101"/>
      <c r="J146" s="101"/>
      <c r="K146" s="101"/>
      <c r="L146" s="101"/>
      <c r="M146" s="101"/>
    </row>
    <row r="147">
      <c r="A147" s="101">
        <v>0.0</v>
      </c>
      <c r="B147" s="101">
        <v>4389.0</v>
      </c>
      <c r="C147" s="101">
        <v>0.0</v>
      </c>
      <c r="D147" s="101"/>
      <c r="E147" s="101"/>
      <c r="F147" s="101"/>
      <c r="G147" s="101"/>
      <c r="H147" s="101"/>
      <c r="I147" s="101"/>
      <c r="J147" s="101"/>
      <c r="K147" s="101"/>
      <c r="L147" s="101"/>
      <c r="M147" s="101"/>
    </row>
    <row r="148">
      <c r="A148" s="101">
        <v>0.0</v>
      </c>
      <c r="B148" s="101">
        <v>4685.0</v>
      </c>
      <c r="C148" s="101">
        <v>0.0</v>
      </c>
      <c r="D148" s="101"/>
      <c r="E148" s="101"/>
      <c r="F148" s="101"/>
      <c r="G148" s="101"/>
      <c r="H148" s="101"/>
      <c r="I148" s="101"/>
      <c r="J148" s="101"/>
      <c r="K148" s="101"/>
      <c r="L148" s="101"/>
      <c r="M148" s="101"/>
    </row>
    <row r="149">
      <c r="A149" s="101">
        <v>0.0</v>
      </c>
      <c r="B149" s="101">
        <v>4947.0</v>
      </c>
      <c r="C149" s="101">
        <v>0.0</v>
      </c>
      <c r="D149" s="101"/>
      <c r="E149" s="101"/>
      <c r="F149" s="101"/>
      <c r="G149" s="101"/>
      <c r="H149" s="101"/>
      <c r="I149" s="101"/>
      <c r="J149" s="101"/>
      <c r="K149" s="101"/>
      <c r="L149" s="101"/>
      <c r="M149" s="101"/>
    </row>
    <row r="150">
      <c r="A150" s="101">
        <v>0.0</v>
      </c>
      <c r="B150" s="101">
        <v>3609.0</v>
      </c>
      <c r="C150" s="101">
        <v>0.0</v>
      </c>
      <c r="D150" s="101"/>
      <c r="E150" s="101"/>
      <c r="F150" s="101"/>
      <c r="G150" s="101"/>
      <c r="H150" s="101"/>
      <c r="I150" s="101"/>
      <c r="J150" s="101"/>
      <c r="K150" s="101"/>
      <c r="L150" s="101"/>
      <c r="M150" s="101"/>
    </row>
    <row r="151">
      <c r="A151" s="101">
        <v>0.0</v>
      </c>
      <c r="B151" s="101">
        <v>0.0</v>
      </c>
      <c r="C151" s="101">
        <v>0.0</v>
      </c>
      <c r="D151" s="101"/>
      <c r="E151" s="101"/>
      <c r="F151" s="101"/>
      <c r="G151" s="101"/>
      <c r="H151" s="101"/>
      <c r="I151" s="101"/>
      <c r="J151" s="101"/>
      <c r="K151" s="101"/>
      <c r="L151" s="101"/>
      <c r="M151" s="101"/>
    </row>
    <row r="152">
      <c r="A152" s="101">
        <v>0.0</v>
      </c>
      <c r="B152" s="101">
        <v>1600.0</v>
      </c>
      <c r="C152" s="101">
        <v>0.0</v>
      </c>
      <c r="D152" s="101"/>
      <c r="E152" s="101"/>
      <c r="F152" s="101"/>
      <c r="G152" s="101"/>
      <c r="H152" s="101"/>
      <c r="I152" s="101"/>
      <c r="J152" s="101"/>
      <c r="K152" s="101"/>
      <c r="L152" s="101"/>
      <c r="M152" s="101"/>
    </row>
    <row r="153">
      <c r="A153" s="101">
        <v>0.0</v>
      </c>
      <c r="B153" s="101">
        <v>1890.0</v>
      </c>
      <c r="C153" s="101">
        <v>0.0</v>
      </c>
      <c r="D153" s="101"/>
      <c r="E153" s="101"/>
      <c r="F153" s="101"/>
      <c r="G153" s="101"/>
      <c r="H153" s="101"/>
      <c r="I153" s="101"/>
      <c r="J153" s="101"/>
      <c r="K153" s="101"/>
      <c r="L153" s="101"/>
      <c r="M153" s="101"/>
    </row>
    <row r="154">
      <c r="A154" s="101">
        <v>0.0</v>
      </c>
      <c r="B154" s="101">
        <v>2920.0</v>
      </c>
      <c r="C154" s="101">
        <v>0.0</v>
      </c>
      <c r="D154" s="101"/>
      <c r="E154" s="101"/>
      <c r="F154" s="101"/>
      <c r="G154" s="101"/>
      <c r="H154" s="101"/>
      <c r="I154" s="101"/>
      <c r="J154" s="101"/>
      <c r="K154" s="101"/>
      <c r="L154" s="101"/>
      <c r="M154" s="101"/>
    </row>
    <row r="155">
      <c r="A155" s="101">
        <v>0.0</v>
      </c>
      <c r="B155" s="101">
        <v>2264.0</v>
      </c>
      <c r="C155" s="101">
        <v>0.0</v>
      </c>
      <c r="D155" s="101"/>
      <c r="E155" s="101"/>
      <c r="F155" s="101"/>
      <c r="G155" s="101"/>
      <c r="H155" s="101"/>
      <c r="I155" s="101"/>
      <c r="J155" s="101"/>
      <c r="K155" s="101"/>
      <c r="L155" s="101"/>
      <c r="M155" s="101"/>
    </row>
    <row r="156">
      <c r="A156" s="101">
        <v>0.0</v>
      </c>
      <c r="B156" s="101">
        <v>0.0</v>
      </c>
      <c r="C156" s="101">
        <v>0.0</v>
      </c>
      <c r="D156" s="101"/>
      <c r="E156" s="101"/>
      <c r="F156" s="101"/>
      <c r="G156" s="101"/>
      <c r="H156" s="101"/>
      <c r="I156" s="101"/>
      <c r="J156" s="101"/>
      <c r="K156" s="101"/>
      <c r="L156" s="101"/>
      <c r="M156" s="101"/>
    </row>
    <row r="157">
      <c r="A157" s="101">
        <v>0.0</v>
      </c>
      <c r="B157" s="101">
        <v>795.0</v>
      </c>
      <c r="C157" s="101">
        <v>0.0</v>
      </c>
      <c r="D157" s="101"/>
      <c r="E157" s="101"/>
      <c r="F157" s="101"/>
      <c r="G157" s="101"/>
      <c r="H157" s="101"/>
      <c r="I157" s="101"/>
      <c r="J157" s="101"/>
      <c r="K157" s="101"/>
      <c r="L157" s="101"/>
      <c r="M157" s="101"/>
    </row>
    <row r="158">
      <c r="A158" s="101">
        <v>0.0</v>
      </c>
      <c r="B158" s="101">
        <v>3500.0</v>
      </c>
      <c r="C158" s="101">
        <v>0.0</v>
      </c>
      <c r="D158" s="101"/>
      <c r="E158" s="101"/>
      <c r="F158" s="101"/>
      <c r="G158" s="101"/>
      <c r="H158" s="101"/>
      <c r="I158" s="101"/>
      <c r="J158" s="101"/>
      <c r="K158" s="101"/>
      <c r="L158" s="101"/>
      <c r="M158" s="101"/>
    </row>
    <row r="159">
      <c r="A159" s="101">
        <v>0.0</v>
      </c>
      <c r="B159" s="101">
        <v>2693.0</v>
      </c>
      <c r="C159" s="101">
        <v>0.0</v>
      </c>
      <c r="D159" s="101"/>
      <c r="E159" s="101"/>
      <c r="F159" s="101"/>
      <c r="G159" s="101"/>
      <c r="H159" s="101"/>
      <c r="I159" s="101"/>
      <c r="J159" s="101"/>
      <c r="K159" s="101"/>
      <c r="L159" s="101"/>
      <c r="M159" s="101"/>
    </row>
    <row r="160">
      <c r="A160" s="101">
        <v>0.0</v>
      </c>
      <c r="B160" s="101">
        <v>4447.0</v>
      </c>
      <c r="C160" s="101">
        <v>0.0</v>
      </c>
      <c r="D160" s="101"/>
      <c r="E160" s="101"/>
      <c r="F160" s="101"/>
      <c r="G160" s="101"/>
      <c r="H160" s="101"/>
      <c r="I160" s="101"/>
      <c r="J160" s="101"/>
      <c r="K160" s="101"/>
      <c r="L160" s="101"/>
      <c r="M160" s="101"/>
    </row>
    <row r="161">
      <c r="A161" s="101">
        <v>0.0</v>
      </c>
      <c r="B161" s="101">
        <v>580.0</v>
      </c>
      <c r="C161" s="101">
        <v>0.0</v>
      </c>
      <c r="D161" s="101"/>
      <c r="E161" s="101"/>
      <c r="F161" s="101"/>
      <c r="G161" s="101"/>
      <c r="H161" s="101"/>
      <c r="I161" s="101"/>
      <c r="J161" s="101"/>
      <c r="K161" s="101"/>
      <c r="L161" s="101"/>
      <c r="M161" s="101"/>
    </row>
    <row r="162">
      <c r="A162" s="101">
        <v>0.0</v>
      </c>
      <c r="B162" s="101">
        <v>6822.0</v>
      </c>
      <c r="C162" s="101">
        <v>0.0</v>
      </c>
      <c r="D162" s="101"/>
      <c r="E162" s="101"/>
      <c r="F162" s="101"/>
      <c r="G162" s="101"/>
      <c r="H162" s="101"/>
      <c r="I162" s="101"/>
      <c r="J162" s="101"/>
      <c r="K162" s="101"/>
      <c r="L162" s="101"/>
      <c r="M162" s="101"/>
    </row>
    <row r="163">
      <c r="A163" s="101">
        <v>0.0</v>
      </c>
      <c r="B163" s="101">
        <v>1865.0</v>
      </c>
      <c r="C163" s="101">
        <v>0.0</v>
      </c>
      <c r="D163" s="101"/>
      <c r="E163" s="101"/>
      <c r="F163" s="101"/>
      <c r="G163" s="101"/>
      <c r="H163" s="101"/>
      <c r="I163" s="101"/>
      <c r="J163" s="101"/>
      <c r="K163" s="101"/>
      <c r="L163" s="101"/>
      <c r="M163" s="101"/>
    </row>
    <row r="164">
      <c r="A164" s="101">
        <v>0.0</v>
      </c>
      <c r="B164" s="101">
        <v>3860.0</v>
      </c>
      <c r="C164" s="101">
        <v>0.0</v>
      </c>
      <c r="D164" s="101"/>
      <c r="E164" s="101"/>
      <c r="F164" s="101"/>
      <c r="G164" s="101"/>
      <c r="H164" s="101"/>
      <c r="I164" s="101"/>
      <c r="J164" s="101"/>
      <c r="K164" s="101"/>
      <c r="L164" s="101"/>
      <c r="M164" s="101"/>
    </row>
    <row r="165">
      <c r="A165" s="101">
        <v>0.0</v>
      </c>
      <c r="B165" s="101">
        <v>146.0</v>
      </c>
      <c r="C165" s="101">
        <v>0.0</v>
      </c>
      <c r="D165" s="101"/>
      <c r="E165" s="101"/>
      <c r="F165" s="101"/>
      <c r="G165" s="101"/>
      <c r="H165" s="101"/>
      <c r="I165" s="101"/>
      <c r="J165" s="101"/>
      <c r="K165" s="101"/>
      <c r="L165" s="101"/>
      <c r="M165" s="101"/>
    </row>
    <row r="166">
      <c r="A166" s="101">
        <v>0.0</v>
      </c>
      <c r="B166" s="101">
        <v>0.0</v>
      </c>
      <c r="C166" s="101">
        <v>0.0</v>
      </c>
      <c r="D166" s="101"/>
      <c r="E166" s="101"/>
      <c r="F166" s="101"/>
      <c r="G166" s="101"/>
      <c r="H166" s="101"/>
      <c r="I166" s="101"/>
      <c r="J166" s="101"/>
      <c r="K166" s="101"/>
      <c r="L166" s="101"/>
      <c r="M166" s="101"/>
    </row>
    <row r="167">
      <c r="A167" s="101">
        <v>0.0</v>
      </c>
      <c r="B167" s="101">
        <v>0.0</v>
      </c>
      <c r="C167" s="101">
        <v>0.0</v>
      </c>
      <c r="D167" s="101"/>
      <c r="E167" s="101"/>
      <c r="F167" s="101"/>
      <c r="G167" s="101"/>
      <c r="H167" s="101"/>
      <c r="I167" s="101"/>
      <c r="J167" s="101"/>
      <c r="K167" s="101"/>
      <c r="L167" s="101"/>
      <c r="M167" s="101"/>
    </row>
    <row r="168">
      <c r="A168" s="101">
        <v>0.0</v>
      </c>
      <c r="B168" s="101">
        <v>0.0</v>
      </c>
      <c r="C168" s="101">
        <v>0.0</v>
      </c>
      <c r="D168" s="101"/>
      <c r="E168" s="101"/>
      <c r="F168" s="101"/>
      <c r="G168" s="101"/>
      <c r="H168" s="101"/>
      <c r="I168" s="101"/>
      <c r="J168" s="101"/>
      <c r="K168" s="101"/>
      <c r="L168" s="101"/>
      <c r="M168" s="101"/>
    </row>
    <row r="169">
      <c r="A169" s="101">
        <v>0.0</v>
      </c>
      <c r="B169" s="101">
        <v>0.0</v>
      </c>
      <c r="C169" s="101">
        <v>0.0</v>
      </c>
      <c r="D169" s="101"/>
      <c r="E169" s="101"/>
      <c r="F169" s="101"/>
      <c r="G169" s="101"/>
      <c r="H169" s="101"/>
      <c r="I169" s="101"/>
      <c r="J169" s="101"/>
      <c r="K169" s="101"/>
      <c r="L169" s="101"/>
      <c r="M169" s="101"/>
    </row>
    <row r="170">
      <c r="A170" s="101">
        <v>0.0</v>
      </c>
      <c r="B170" s="101">
        <v>0.0</v>
      </c>
      <c r="C170" s="101">
        <v>0.0</v>
      </c>
      <c r="D170" s="101"/>
      <c r="E170" s="101"/>
      <c r="F170" s="101"/>
      <c r="G170" s="101"/>
      <c r="H170" s="101"/>
      <c r="I170" s="101"/>
      <c r="J170" s="101"/>
      <c r="K170" s="101"/>
      <c r="L170" s="101"/>
      <c r="M170" s="101"/>
    </row>
    <row r="171">
      <c r="A171" s="101">
        <v>0.0</v>
      </c>
      <c r="B171" s="101">
        <v>0.0</v>
      </c>
      <c r="C171" s="101">
        <v>0.0</v>
      </c>
      <c r="D171" s="101"/>
      <c r="E171" s="101"/>
      <c r="F171" s="101"/>
      <c r="G171" s="101"/>
      <c r="H171" s="101"/>
      <c r="I171" s="101"/>
      <c r="J171" s="101"/>
      <c r="K171" s="101"/>
      <c r="L171" s="101"/>
      <c r="M171" s="101"/>
    </row>
    <row r="172">
      <c r="A172" s="101">
        <v>0.0</v>
      </c>
      <c r="B172" s="101">
        <v>0.0</v>
      </c>
      <c r="C172" s="101">
        <v>0.0</v>
      </c>
      <c r="D172" s="101"/>
      <c r="E172" s="101"/>
      <c r="F172" s="101"/>
      <c r="G172" s="101"/>
      <c r="H172" s="101"/>
      <c r="I172" s="101"/>
      <c r="J172" s="101"/>
      <c r="K172" s="101"/>
      <c r="L172" s="101"/>
      <c r="M172" s="101"/>
    </row>
    <row r="173">
      <c r="A173" s="101">
        <v>0.0</v>
      </c>
      <c r="B173" s="101">
        <v>0.0</v>
      </c>
      <c r="C173" s="101">
        <v>0.0</v>
      </c>
      <c r="D173" s="101"/>
      <c r="E173" s="101"/>
      <c r="F173" s="101"/>
      <c r="G173" s="101"/>
      <c r="H173" s="101"/>
      <c r="I173" s="101"/>
      <c r="J173" s="101"/>
      <c r="K173" s="101"/>
      <c r="L173" s="101"/>
      <c r="M173" s="101"/>
    </row>
    <row r="174">
      <c r="A174" s="101">
        <v>0.0</v>
      </c>
      <c r="B174" s="101">
        <v>0.0</v>
      </c>
      <c r="C174" s="101">
        <v>0.0</v>
      </c>
      <c r="D174" s="101"/>
      <c r="E174" s="101"/>
      <c r="F174" s="101"/>
      <c r="G174" s="101"/>
      <c r="H174" s="101"/>
      <c r="I174" s="101"/>
      <c r="J174" s="101"/>
      <c r="K174" s="101"/>
      <c r="L174" s="101"/>
      <c r="M174" s="101"/>
    </row>
    <row r="175">
      <c r="A175" s="101">
        <v>0.0</v>
      </c>
      <c r="B175" s="101">
        <v>0.0</v>
      </c>
      <c r="C175" s="101">
        <v>0.0</v>
      </c>
      <c r="D175" s="101"/>
      <c r="E175" s="101"/>
      <c r="F175" s="101"/>
      <c r="G175" s="101"/>
      <c r="H175" s="101"/>
      <c r="I175" s="101"/>
      <c r="J175" s="101"/>
      <c r="K175" s="101"/>
      <c r="L175" s="101"/>
      <c r="M175" s="101"/>
    </row>
    <row r="176">
      <c r="A176" s="101">
        <v>0.0</v>
      </c>
      <c r="B176" s="101">
        <v>30.0</v>
      </c>
      <c r="C176" s="101">
        <v>0.0</v>
      </c>
      <c r="D176" s="101"/>
      <c r="E176" s="101"/>
      <c r="F176" s="101"/>
      <c r="G176" s="101"/>
      <c r="H176" s="101"/>
      <c r="I176" s="101"/>
      <c r="J176" s="101"/>
      <c r="K176" s="101"/>
      <c r="L176" s="101"/>
      <c r="M176" s="101"/>
    </row>
    <row r="177">
      <c r="A177" s="101">
        <v>0.0</v>
      </c>
      <c r="B177" s="101">
        <v>14.0</v>
      </c>
      <c r="C177" s="101">
        <v>0.0</v>
      </c>
      <c r="D177" s="101"/>
      <c r="E177" s="101"/>
      <c r="F177" s="101"/>
      <c r="G177" s="101"/>
      <c r="H177" s="101"/>
      <c r="I177" s="101"/>
      <c r="J177" s="101"/>
      <c r="K177" s="101"/>
      <c r="L177" s="101"/>
      <c r="M177" s="101"/>
    </row>
    <row r="178">
      <c r="A178" s="101">
        <v>0.0</v>
      </c>
      <c r="B178" s="101">
        <v>0.0</v>
      </c>
      <c r="C178" s="101">
        <v>0.0</v>
      </c>
      <c r="D178" s="101"/>
      <c r="E178" s="101"/>
      <c r="F178" s="101"/>
      <c r="G178" s="101"/>
      <c r="H178" s="101"/>
      <c r="I178" s="101"/>
      <c r="J178" s="101"/>
      <c r="K178" s="101"/>
      <c r="L178" s="101"/>
      <c r="M178" s="101"/>
    </row>
    <row r="179">
      <c r="A179" s="101">
        <v>0.0</v>
      </c>
      <c r="B179" s="101">
        <v>1.0</v>
      </c>
      <c r="C179" s="101">
        <v>0.0</v>
      </c>
      <c r="D179" s="101"/>
      <c r="E179" s="101"/>
      <c r="F179" s="101"/>
      <c r="G179" s="101"/>
      <c r="H179" s="101"/>
      <c r="I179" s="101"/>
      <c r="J179" s="101"/>
      <c r="K179" s="101"/>
      <c r="L179" s="101"/>
      <c r="M179" s="101"/>
    </row>
    <row r="180">
      <c r="A180" s="101">
        <v>0.0</v>
      </c>
      <c r="B180" s="101">
        <v>0.0</v>
      </c>
      <c r="C180" s="101">
        <v>0.0</v>
      </c>
      <c r="D180" s="101"/>
      <c r="E180" s="101"/>
      <c r="F180" s="101"/>
      <c r="G180" s="101"/>
      <c r="H180" s="101"/>
      <c r="I180" s="101"/>
      <c r="J180" s="101"/>
      <c r="K180" s="101"/>
      <c r="L180" s="101"/>
      <c r="M180" s="101"/>
    </row>
    <row r="181">
      <c r="A181" s="101">
        <v>0.0</v>
      </c>
      <c r="B181" s="101">
        <v>0.0</v>
      </c>
      <c r="C181" s="101">
        <v>0.0</v>
      </c>
      <c r="D181" s="101"/>
      <c r="E181" s="101"/>
      <c r="F181" s="101"/>
      <c r="G181" s="101"/>
      <c r="H181" s="101"/>
      <c r="I181" s="101"/>
      <c r="J181" s="101"/>
      <c r="K181" s="101"/>
      <c r="L181" s="101"/>
      <c r="M181" s="101"/>
    </row>
    <row r="182">
      <c r="A182" s="101">
        <v>0.0</v>
      </c>
      <c r="B182" s="101">
        <v>0.0</v>
      </c>
      <c r="C182" s="101">
        <v>0.0</v>
      </c>
      <c r="D182" s="101"/>
      <c r="E182" s="101"/>
      <c r="F182" s="101"/>
      <c r="G182" s="101"/>
      <c r="H182" s="101"/>
      <c r="I182" s="101"/>
      <c r="J182" s="101"/>
      <c r="K182" s="101"/>
      <c r="L182" s="101"/>
      <c r="M182" s="101"/>
    </row>
    <row r="183">
      <c r="A183" s="101">
        <v>0.0</v>
      </c>
      <c r="B183" s="101">
        <v>0.0</v>
      </c>
      <c r="C183" s="101">
        <v>0.0</v>
      </c>
      <c r="D183" s="101"/>
      <c r="E183" s="101"/>
      <c r="F183" s="101"/>
      <c r="G183" s="101"/>
      <c r="H183" s="101"/>
      <c r="I183" s="101"/>
      <c r="J183" s="101"/>
      <c r="K183" s="101"/>
      <c r="L183" s="101"/>
      <c r="M183" s="101"/>
    </row>
    <row r="184">
      <c r="A184" s="101">
        <v>0.0</v>
      </c>
      <c r="B184" s="101">
        <v>1.0</v>
      </c>
      <c r="C184" s="101">
        <v>0.0</v>
      </c>
      <c r="D184" s="101"/>
      <c r="E184" s="101"/>
      <c r="F184" s="101"/>
      <c r="G184" s="101"/>
      <c r="H184" s="101"/>
      <c r="I184" s="101"/>
      <c r="J184" s="101"/>
      <c r="K184" s="101"/>
      <c r="L184" s="101"/>
      <c r="M184" s="101"/>
    </row>
    <row r="185">
      <c r="A185" s="101">
        <v>0.0</v>
      </c>
      <c r="B185" s="101">
        <v>1198.0</v>
      </c>
      <c r="C185" s="101">
        <v>0.0</v>
      </c>
      <c r="D185" s="101"/>
      <c r="E185" s="101"/>
      <c r="F185" s="101"/>
      <c r="G185" s="101"/>
      <c r="H185" s="101"/>
      <c r="I185" s="101"/>
      <c r="J185" s="101"/>
      <c r="K185" s="101"/>
      <c r="L185" s="101"/>
      <c r="M185" s="101"/>
    </row>
    <row r="186">
      <c r="A186" s="101">
        <v>0.0</v>
      </c>
      <c r="B186" s="101">
        <v>96.0</v>
      </c>
      <c r="C186" s="101">
        <v>0.0</v>
      </c>
      <c r="D186" s="101"/>
      <c r="E186" s="101"/>
      <c r="F186" s="101"/>
      <c r="G186" s="101"/>
      <c r="H186" s="101"/>
      <c r="I186" s="101"/>
      <c r="J186" s="101"/>
      <c r="K186" s="101"/>
      <c r="L186" s="101"/>
      <c r="M186" s="101"/>
    </row>
    <row r="187">
      <c r="A187" s="101">
        <v>0.0</v>
      </c>
      <c r="B187" s="101">
        <v>328.0</v>
      </c>
      <c r="C187" s="101">
        <v>0.0</v>
      </c>
      <c r="D187" s="101"/>
      <c r="E187" s="101"/>
      <c r="F187" s="101"/>
      <c r="G187" s="101"/>
      <c r="H187" s="101"/>
      <c r="I187" s="101"/>
      <c r="J187" s="101"/>
      <c r="K187" s="101"/>
      <c r="L187" s="101"/>
      <c r="M187" s="101"/>
    </row>
    <row r="188">
      <c r="A188" s="101">
        <v>0.0</v>
      </c>
      <c r="B188" s="101">
        <v>1218.0</v>
      </c>
      <c r="C188" s="101">
        <v>0.0</v>
      </c>
      <c r="D188" s="101"/>
      <c r="E188" s="101"/>
      <c r="F188" s="101"/>
      <c r="G188" s="101"/>
      <c r="H188" s="101"/>
      <c r="I188" s="101"/>
      <c r="J188" s="101"/>
      <c r="K188" s="101"/>
      <c r="L188" s="101"/>
      <c r="M188" s="101"/>
    </row>
    <row r="189">
      <c r="A189" s="101">
        <v>0.0</v>
      </c>
      <c r="B189" s="101">
        <v>0.0</v>
      </c>
      <c r="C189" s="101">
        <v>0.0</v>
      </c>
      <c r="D189" s="101"/>
      <c r="E189" s="101"/>
      <c r="F189" s="101"/>
      <c r="G189" s="101"/>
      <c r="H189" s="101"/>
      <c r="I189" s="101"/>
      <c r="J189" s="101"/>
      <c r="K189" s="101"/>
      <c r="L189" s="101"/>
      <c r="M189" s="101"/>
    </row>
    <row r="190">
      <c r="A190" s="101">
        <v>0.0</v>
      </c>
      <c r="B190" s="101">
        <v>0.0</v>
      </c>
      <c r="C190" s="101">
        <v>0.0</v>
      </c>
      <c r="D190" s="101"/>
      <c r="E190" s="101"/>
      <c r="F190" s="101"/>
      <c r="G190" s="101"/>
      <c r="H190" s="101"/>
      <c r="I190" s="101"/>
      <c r="J190" s="101"/>
      <c r="K190" s="101"/>
      <c r="L190" s="101"/>
      <c r="M190" s="101"/>
    </row>
    <row r="191">
      <c r="A191" s="101">
        <v>0.0</v>
      </c>
      <c r="B191" s="101">
        <v>0.0</v>
      </c>
      <c r="C191" s="101">
        <v>0.0</v>
      </c>
      <c r="D191" s="101"/>
      <c r="E191" s="101"/>
      <c r="F191" s="101"/>
      <c r="G191" s="101"/>
      <c r="H191" s="101"/>
      <c r="I191" s="101"/>
      <c r="J191" s="101"/>
      <c r="K191" s="101"/>
      <c r="L191" s="101"/>
      <c r="M191" s="101"/>
    </row>
    <row r="192">
      <c r="A192" s="101">
        <v>0.0</v>
      </c>
      <c r="B192" s="101">
        <v>1108.0</v>
      </c>
      <c r="C192" s="101">
        <v>0.0</v>
      </c>
      <c r="D192" s="101"/>
      <c r="E192" s="101"/>
      <c r="F192" s="101"/>
      <c r="G192" s="101"/>
      <c r="H192" s="101"/>
      <c r="I192" s="101"/>
      <c r="J192" s="101"/>
      <c r="K192" s="101"/>
      <c r="L192" s="101"/>
      <c r="M192" s="101"/>
    </row>
    <row r="193">
      <c r="A193" s="101">
        <v>0.0</v>
      </c>
      <c r="B193" s="101">
        <v>1.0</v>
      </c>
      <c r="C193" s="101">
        <v>0.0</v>
      </c>
      <c r="D193" s="101"/>
      <c r="E193" s="101"/>
      <c r="F193" s="101"/>
      <c r="G193" s="101"/>
      <c r="H193" s="101"/>
      <c r="I193" s="101"/>
      <c r="J193" s="101"/>
      <c r="K193" s="101"/>
      <c r="L193" s="101"/>
      <c r="M193" s="101"/>
    </row>
    <row r="194">
      <c r="A194" s="101">
        <v>0.0</v>
      </c>
      <c r="B194" s="101">
        <v>0.0</v>
      </c>
      <c r="C194" s="101">
        <v>0.0</v>
      </c>
      <c r="D194" s="101"/>
      <c r="E194" s="101"/>
      <c r="F194" s="101"/>
      <c r="G194" s="101"/>
      <c r="H194" s="101"/>
      <c r="I194" s="101"/>
      <c r="J194" s="101"/>
      <c r="K194" s="101"/>
      <c r="L194" s="101"/>
      <c r="M194" s="101"/>
    </row>
    <row r="195">
      <c r="A195" s="101">
        <v>0.0</v>
      </c>
      <c r="B195" s="101">
        <v>0.0</v>
      </c>
      <c r="C195" s="101">
        <v>0.0</v>
      </c>
      <c r="D195" s="101"/>
      <c r="E195" s="101"/>
      <c r="F195" s="101"/>
      <c r="G195" s="101"/>
      <c r="H195" s="101"/>
      <c r="I195" s="101"/>
      <c r="J195" s="101"/>
      <c r="K195" s="101"/>
      <c r="L195" s="101"/>
      <c r="M195" s="101"/>
    </row>
    <row r="196">
      <c r="A196" s="101">
        <v>0.0</v>
      </c>
      <c r="B196" s="101">
        <v>311.0</v>
      </c>
      <c r="C196" s="101">
        <v>0.0</v>
      </c>
      <c r="D196" s="101"/>
      <c r="E196" s="101"/>
      <c r="F196" s="101"/>
      <c r="G196" s="101"/>
      <c r="H196" s="101"/>
      <c r="I196" s="101"/>
      <c r="J196" s="101"/>
      <c r="K196" s="101"/>
      <c r="L196" s="101"/>
      <c r="M196" s="101"/>
    </row>
    <row r="197">
      <c r="A197" s="101">
        <v>0.0</v>
      </c>
      <c r="B197" s="101">
        <v>0.0</v>
      </c>
      <c r="C197" s="101">
        <v>0.0</v>
      </c>
      <c r="D197" s="101"/>
      <c r="E197" s="101"/>
      <c r="F197" s="101"/>
      <c r="G197" s="101"/>
      <c r="H197" s="101"/>
      <c r="I197" s="101"/>
      <c r="J197" s="101"/>
      <c r="K197" s="101"/>
      <c r="L197" s="101"/>
      <c r="M197" s="101"/>
    </row>
    <row r="198">
      <c r="A198" s="101">
        <v>0.0</v>
      </c>
      <c r="B198" s="101">
        <v>0.0</v>
      </c>
      <c r="C198" s="101">
        <v>0.0</v>
      </c>
      <c r="D198" s="101"/>
      <c r="E198" s="101"/>
      <c r="F198" s="101"/>
      <c r="G198" s="101"/>
      <c r="H198" s="101"/>
      <c r="I198" s="101"/>
      <c r="J198" s="101"/>
      <c r="K198" s="101"/>
      <c r="L198" s="101"/>
      <c r="M198" s="101"/>
    </row>
    <row r="199">
      <c r="A199" s="101">
        <v>0.0</v>
      </c>
      <c r="B199" s="101">
        <v>0.0</v>
      </c>
      <c r="C199" s="101">
        <v>0.0</v>
      </c>
      <c r="D199" s="101"/>
      <c r="E199" s="101"/>
      <c r="F199" s="101"/>
      <c r="G199" s="101"/>
      <c r="H199" s="101"/>
      <c r="I199" s="101"/>
      <c r="J199" s="101"/>
      <c r="K199" s="101"/>
      <c r="L199" s="101"/>
      <c r="M199" s="101"/>
    </row>
    <row r="200">
      <c r="A200" s="101">
        <v>0.0</v>
      </c>
      <c r="B200" s="101">
        <v>0.0</v>
      </c>
      <c r="C200" s="101">
        <v>0.0</v>
      </c>
      <c r="D200" s="101"/>
      <c r="E200" s="101"/>
      <c r="F200" s="101"/>
      <c r="G200" s="101"/>
      <c r="H200" s="101"/>
      <c r="I200" s="101"/>
      <c r="J200" s="101"/>
      <c r="K200" s="101"/>
      <c r="L200" s="101"/>
      <c r="M200" s="101"/>
    </row>
    <row r="201">
      <c r="A201" s="101">
        <v>0.0</v>
      </c>
      <c r="B201" s="101">
        <v>0.0</v>
      </c>
      <c r="C201" s="101">
        <v>0.0</v>
      </c>
      <c r="D201" s="101"/>
      <c r="E201" s="101"/>
      <c r="F201" s="101"/>
      <c r="G201" s="101"/>
      <c r="H201" s="101"/>
      <c r="I201" s="101"/>
      <c r="J201" s="101"/>
      <c r="K201" s="101"/>
      <c r="L201" s="101"/>
      <c r="M201" s="101"/>
    </row>
    <row r="202">
      <c r="A202" s="101">
        <v>0.0</v>
      </c>
      <c r="B202" s="101">
        <v>0.0</v>
      </c>
      <c r="C202" s="101">
        <v>0.0</v>
      </c>
      <c r="D202" s="101"/>
      <c r="E202" s="101"/>
      <c r="F202" s="101"/>
      <c r="G202" s="101"/>
      <c r="H202" s="101"/>
      <c r="I202" s="101"/>
      <c r="J202" s="101"/>
      <c r="K202" s="101"/>
      <c r="L202" s="101"/>
      <c r="M202" s="101"/>
    </row>
    <row r="203">
      <c r="A203" s="101">
        <v>0.0</v>
      </c>
      <c r="B203" s="101">
        <v>0.0</v>
      </c>
      <c r="C203" s="101">
        <v>0.0</v>
      </c>
      <c r="D203" s="101"/>
      <c r="E203" s="101"/>
      <c r="F203" s="101"/>
      <c r="G203" s="101"/>
      <c r="H203" s="101"/>
      <c r="I203" s="101"/>
      <c r="J203" s="101"/>
      <c r="K203" s="101"/>
      <c r="L203" s="101"/>
      <c r="M203" s="101"/>
    </row>
    <row r="204">
      <c r="A204" s="101">
        <v>0.0</v>
      </c>
      <c r="B204" s="101">
        <v>0.0</v>
      </c>
      <c r="C204" s="101">
        <v>0.0</v>
      </c>
      <c r="D204" s="101"/>
      <c r="E204" s="101"/>
      <c r="F204" s="101"/>
      <c r="G204" s="101"/>
      <c r="H204" s="101"/>
      <c r="I204" s="101"/>
      <c r="J204" s="101"/>
      <c r="K204" s="101"/>
      <c r="L204" s="101"/>
      <c r="M204" s="101"/>
    </row>
    <row r="205">
      <c r="A205" s="101">
        <v>0.0</v>
      </c>
      <c r="B205" s="101">
        <v>0.0</v>
      </c>
      <c r="C205" s="101">
        <v>0.0</v>
      </c>
      <c r="D205" s="101"/>
      <c r="E205" s="101"/>
      <c r="F205" s="101"/>
      <c r="G205" s="101"/>
      <c r="H205" s="101"/>
      <c r="I205" s="101"/>
      <c r="J205" s="101"/>
      <c r="K205" s="101"/>
      <c r="L205" s="101"/>
      <c r="M205" s="101"/>
    </row>
    <row r="206">
      <c r="A206" s="101">
        <v>0.0</v>
      </c>
      <c r="B206" s="101">
        <v>0.0</v>
      </c>
      <c r="C206" s="101">
        <v>0.0</v>
      </c>
      <c r="D206" s="101"/>
      <c r="E206" s="101"/>
      <c r="F206" s="101"/>
      <c r="G206" s="101"/>
      <c r="H206" s="101"/>
      <c r="I206" s="101"/>
      <c r="J206" s="101"/>
      <c r="K206" s="101"/>
      <c r="L206" s="101"/>
      <c r="M206" s="101"/>
    </row>
    <row r="207">
      <c r="A207" s="101">
        <v>0.0</v>
      </c>
      <c r="B207" s="101">
        <v>0.0</v>
      </c>
      <c r="C207" s="101">
        <v>0.0</v>
      </c>
      <c r="D207" s="101"/>
      <c r="E207" s="101"/>
      <c r="F207" s="101"/>
      <c r="G207" s="101"/>
      <c r="H207" s="101"/>
      <c r="I207" s="101"/>
      <c r="J207" s="101"/>
      <c r="K207" s="101"/>
      <c r="L207" s="101"/>
      <c r="M207" s="101"/>
    </row>
    <row r="208">
      <c r="A208" s="101">
        <v>0.0</v>
      </c>
      <c r="B208" s="101">
        <v>0.0</v>
      </c>
      <c r="C208" s="101">
        <v>0.0</v>
      </c>
      <c r="D208" s="101"/>
      <c r="E208" s="101"/>
      <c r="F208" s="101"/>
      <c r="G208" s="101"/>
      <c r="H208" s="101"/>
      <c r="I208" s="101"/>
      <c r="J208" s="101"/>
      <c r="K208" s="101"/>
      <c r="L208" s="101"/>
      <c r="M208" s="101"/>
    </row>
    <row r="209">
      <c r="A209" s="101">
        <v>0.0</v>
      </c>
      <c r="B209" s="101">
        <v>0.0</v>
      </c>
      <c r="C209" s="101">
        <v>0.0</v>
      </c>
      <c r="D209" s="101"/>
      <c r="E209" s="101"/>
      <c r="F209" s="101"/>
      <c r="G209" s="101"/>
      <c r="H209" s="101"/>
      <c r="I209" s="101"/>
      <c r="J209" s="101"/>
      <c r="K209" s="101"/>
      <c r="L209" s="101"/>
      <c r="M209" s="101"/>
    </row>
    <row r="210">
      <c r="A210" s="101">
        <v>0.0</v>
      </c>
      <c r="B210" s="101">
        <v>0.0</v>
      </c>
      <c r="C210" s="101">
        <v>0.0</v>
      </c>
      <c r="D210" s="101"/>
      <c r="E210" s="101"/>
      <c r="F210" s="101"/>
      <c r="G210" s="101"/>
      <c r="H210" s="101"/>
      <c r="I210" s="101"/>
      <c r="J210" s="101"/>
      <c r="K210" s="101"/>
      <c r="L210" s="101"/>
      <c r="M210" s="101"/>
    </row>
    <row r="211">
      <c r="A211" s="101">
        <v>0.0</v>
      </c>
      <c r="B211" s="101">
        <v>0.0</v>
      </c>
      <c r="C211" s="101">
        <v>0.0</v>
      </c>
      <c r="D211" s="101"/>
      <c r="E211" s="101"/>
      <c r="F211" s="101"/>
      <c r="G211" s="101"/>
      <c r="H211" s="101"/>
      <c r="I211" s="101"/>
      <c r="J211" s="101"/>
      <c r="K211" s="101"/>
      <c r="L211" s="101"/>
      <c r="M211" s="101"/>
    </row>
    <row r="212">
      <c r="A212" s="101">
        <v>0.0</v>
      </c>
      <c r="B212" s="101">
        <v>0.0</v>
      </c>
      <c r="C212" s="101">
        <v>0.0</v>
      </c>
      <c r="D212" s="101"/>
      <c r="E212" s="101"/>
      <c r="F212" s="101"/>
      <c r="G212" s="101"/>
      <c r="H212" s="101"/>
      <c r="I212" s="101"/>
      <c r="J212" s="101"/>
      <c r="K212" s="101"/>
      <c r="L212" s="101"/>
      <c r="M212" s="101"/>
    </row>
    <row r="213">
      <c r="A213" s="101">
        <v>0.0</v>
      </c>
      <c r="B213" s="101">
        <v>0.0</v>
      </c>
      <c r="C213" s="101">
        <v>0.0</v>
      </c>
      <c r="D213" s="101"/>
      <c r="E213" s="101"/>
      <c r="F213" s="101"/>
      <c r="G213" s="101"/>
      <c r="H213" s="101"/>
      <c r="I213" s="101"/>
      <c r="J213" s="101"/>
      <c r="K213" s="101"/>
      <c r="L213" s="101"/>
      <c r="M213" s="101"/>
    </row>
    <row r="214">
      <c r="A214" s="101">
        <v>0.0</v>
      </c>
      <c r="B214" s="101">
        <v>0.0</v>
      </c>
      <c r="C214" s="101">
        <v>0.0</v>
      </c>
      <c r="D214" s="101"/>
      <c r="E214" s="101"/>
      <c r="F214" s="101"/>
      <c r="G214" s="101"/>
      <c r="H214" s="101"/>
      <c r="I214" s="101"/>
      <c r="J214" s="101"/>
      <c r="K214" s="101"/>
      <c r="L214" s="101"/>
      <c r="M214" s="101"/>
    </row>
    <row r="215">
      <c r="A215" s="101">
        <v>0.0</v>
      </c>
      <c r="B215" s="101">
        <v>0.0</v>
      </c>
      <c r="C215" s="101">
        <v>0.0</v>
      </c>
      <c r="D215" s="101"/>
      <c r="E215" s="101"/>
      <c r="F215" s="101"/>
      <c r="G215" s="101"/>
      <c r="H215" s="101"/>
      <c r="I215" s="101"/>
      <c r="J215" s="101"/>
      <c r="K215" s="101"/>
      <c r="L215" s="101"/>
      <c r="M215" s="101"/>
    </row>
    <row r="216">
      <c r="A216" s="101">
        <v>0.0</v>
      </c>
      <c r="B216" s="101">
        <v>0.0</v>
      </c>
      <c r="C216" s="101">
        <v>0.0</v>
      </c>
      <c r="D216" s="101"/>
      <c r="E216" s="101"/>
      <c r="F216" s="101"/>
      <c r="G216" s="101"/>
      <c r="H216" s="101"/>
      <c r="I216" s="101"/>
      <c r="J216" s="101"/>
      <c r="K216" s="101"/>
      <c r="L216" s="101"/>
      <c r="M216" s="101"/>
    </row>
    <row r="217">
      <c r="A217" s="101">
        <v>0.0</v>
      </c>
      <c r="B217" s="101">
        <v>0.0</v>
      </c>
      <c r="C217" s="101">
        <v>0.0</v>
      </c>
      <c r="D217" s="101"/>
      <c r="E217" s="101"/>
      <c r="F217" s="101"/>
      <c r="G217" s="101"/>
      <c r="H217" s="101"/>
      <c r="I217" s="101"/>
      <c r="J217" s="101"/>
      <c r="K217" s="101"/>
      <c r="L217" s="101"/>
      <c r="M217" s="101"/>
    </row>
    <row r="218">
      <c r="A218" s="101">
        <v>0.0</v>
      </c>
      <c r="B218" s="101">
        <v>0.0</v>
      </c>
      <c r="C218" s="101">
        <v>0.0</v>
      </c>
      <c r="D218" s="101"/>
      <c r="E218" s="101"/>
      <c r="F218" s="101"/>
      <c r="G218" s="101"/>
      <c r="H218" s="101"/>
      <c r="I218" s="101"/>
      <c r="J218" s="101"/>
      <c r="K218" s="101"/>
      <c r="L218" s="101"/>
      <c r="M218" s="101"/>
    </row>
    <row r="219">
      <c r="A219" s="101"/>
      <c r="B219" s="101"/>
      <c r="C219" s="101"/>
      <c r="D219" s="101"/>
      <c r="E219" s="101"/>
      <c r="F219" s="101"/>
      <c r="G219" s="101"/>
      <c r="H219" s="101"/>
      <c r="I219" s="101"/>
      <c r="J219" s="101"/>
      <c r="K219" s="101"/>
      <c r="L219" s="101"/>
      <c r="M219" s="101"/>
    </row>
    <row r="220">
      <c r="A220" s="101"/>
      <c r="B220" s="101"/>
      <c r="C220" s="101"/>
      <c r="D220" s="101"/>
      <c r="E220" s="101"/>
      <c r="F220" s="101"/>
      <c r="G220" s="101"/>
      <c r="H220" s="101"/>
      <c r="I220" s="101"/>
      <c r="J220" s="101"/>
      <c r="K220" s="101"/>
      <c r="L220" s="101"/>
      <c r="M220" s="101"/>
    </row>
    <row r="221">
      <c r="A221" s="101"/>
      <c r="B221" s="101"/>
      <c r="C221" s="101"/>
      <c r="D221" s="101"/>
      <c r="E221" s="101"/>
      <c r="F221" s="101"/>
      <c r="G221" s="101"/>
      <c r="H221" s="101"/>
      <c r="I221" s="101"/>
      <c r="J221" s="101"/>
      <c r="K221" s="101"/>
      <c r="L221" s="101"/>
      <c r="M221" s="101"/>
    </row>
    <row r="222">
      <c r="A222" s="101"/>
      <c r="B222" s="101"/>
      <c r="C222" s="101"/>
      <c r="D222" s="101"/>
      <c r="E222" s="101"/>
      <c r="F222" s="101"/>
      <c r="G222" s="101"/>
      <c r="H222" s="101"/>
      <c r="I222" s="101"/>
      <c r="J222" s="101"/>
      <c r="K222" s="101"/>
      <c r="L222" s="101"/>
      <c r="M222" s="101"/>
    </row>
    <row r="223">
      <c r="A223" s="101"/>
      <c r="B223" s="101"/>
      <c r="C223" s="101"/>
      <c r="D223" s="101"/>
      <c r="E223" s="101"/>
      <c r="F223" s="101"/>
      <c r="G223" s="101"/>
      <c r="H223" s="101"/>
      <c r="I223" s="101"/>
      <c r="J223" s="101"/>
      <c r="K223" s="101"/>
      <c r="L223" s="101"/>
      <c r="M223" s="101"/>
    </row>
    <row r="224">
      <c r="A224" s="101"/>
      <c r="B224" s="101"/>
      <c r="C224" s="101"/>
      <c r="D224" s="101"/>
      <c r="E224" s="101"/>
      <c r="F224" s="101"/>
      <c r="G224" s="101"/>
      <c r="H224" s="101"/>
      <c r="I224" s="101"/>
      <c r="J224" s="101"/>
      <c r="K224" s="101"/>
      <c r="L224" s="101"/>
      <c r="M224" s="101"/>
    </row>
    <row r="225">
      <c r="A225" s="101"/>
      <c r="B225" s="101"/>
      <c r="C225" s="101"/>
      <c r="D225" s="101"/>
      <c r="E225" s="101"/>
      <c r="F225" s="101"/>
      <c r="G225" s="101"/>
      <c r="H225" s="101"/>
      <c r="I225" s="101"/>
      <c r="J225" s="101"/>
      <c r="K225" s="101"/>
      <c r="L225" s="101"/>
      <c r="M225" s="101"/>
    </row>
    <row r="226">
      <c r="A226" s="101"/>
      <c r="B226" s="101"/>
      <c r="C226" s="101"/>
      <c r="D226" s="101"/>
      <c r="E226" s="101"/>
      <c r="F226" s="101"/>
      <c r="G226" s="101"/>
      <c r="H226" s="101"/>
      <c r="I226" s="101"/>
      <c r="J226" s="101"/>
      <c r="K226" s="101"/>
      <c r="L226" s="101"/>
      <c r="M226" s="101"/>
    </row>
    <row r="227">
      <c r="A227" s="101"/>
      <c r="B227" s="101"/>
      <c r="C227" s="101"/>
      <c r="D227" s="101"/>
      <c r="E227" s="101"/>
      <c r="F227" s="101"/>
      <c r="G227" s="101"/>
      <c r="H227" s="101"/>
      <c r="I227" s="101"/>
      <c r="J227" s="101"/>
      <c r="K227" s="101"/>
      <c r="L227" s="101"/>
      <c r="M227" s="101"/>
    </row>
    <row r="228">
      <c r="A228" s="101"/>
      <c r="B228" s="101"/>
      <c r="C228" s="101"/>
      <c r="D228" s="101"/>
      <c r="E228" s="101"/>
      <c r="F228" s="101"/>
      <c r="G228" s="101"/>
      <c r="H228" s="101"/>
      <c r="I228" s="101"/>
      <c r="J228" s="101"/>
      <c r="K228" s="101"/>
      <c r="L228" s="101"/>
      <c r="M228" s="101"/>
    </row>
    <row r="229">
      <c r="A229" s="101"/>
      <c r="B229" s="101"/>
      <c r="C229" s="101"/>
      <c r="D229" s="101"/>
      <c r="E229" s="101"/>
      <c r="F229" s="101"/>
      <c r="G229" s="101"/>
      <c r="H229" s="101"/>
      <c r="I229" s="101"/>
      <c r="J229" s="101"/>
      <c r="K229" s="101"/>
      <c r="L229" s="101"/>
      <c r="M229" s="101"/>
    </row>
    <row r="230">
      <c r="A230" s="101"/>
      <c r="B230" s="101"/>
      <c r="C230" s="101"/>
      <c r="D230" s="101"/>
      <c r="E230" s="101"/>
      <c r="F230" s="101"/>
      <c r="G230" s="101"/>
      <c r="H230" s="101"/>
      <c r="I230" s="101"/>
      <c r="J230" s="101"/>
      <c r="K230" s="101"/>
      <c r="L230" s="101"/>
      <c r="M230" s="101"/>
    </row>
    <row r="231">
      <c r="A231" s="101"/>
      <c r="B231" s="101"/>
      <c r="C231" s="101"/>
      <c r="D231" s="101"/>
      <c r="E231" s="101"/>
      <c r="F231" s="101"/>
      <c r="G231" s="101"/>
      <c r="H231" s="101"/>
      <c r="I231" s="101"/>
      <c r="J231" s="101"/>
      <c r="K231" s="101"/>
      <c r="L231" s="101"/>
      <c r="M231" s="101"/>
    </row>
    <row r="232">
      <c r="A232" s="101"/>
      <c r="B232" s="101"/>
      <c r="C232" s="101"/>
      <c r="D232" s="101"/>
      <c r="E232" s="101"/>
      <c r="F232" s="101"/>
      <c r="G232" s="101"/>
      <c r="H232" s="101"/>
      <c r="I232" s="101"/>
      <c r="J232" s="101"/>
      <c r="K232" s="101"/>
      <c r="L232" s="101"/>
      <c r="M232" s="101"/>
    </row>
    <row r="233">
      <c r="A233" s="101"/>
      <c r="B233" s="101"/>
      <c r="C233" s="101"/>
      <c r="D233" s="101"/>
      <c r="E233" s="101"/>
      <c r="F233" s="101"/>
      <c r="G233" s="101"/>
      <c r="H233" s="101"/>
      <c r="I233" s="101"/>
      <c r="J233" s="101"/>
      <c r="K233" s="101"/>
      <c r="L233" s="101"/>
      <c r="M233" s="101"/>
    </row>
    <row r="234">
      <c r="A234" s="101"/>
      <c r="B234" s="101"/>
      <c r="C234" s="101"/>
      <c r="D234" s="101"/>
      <c r="E234" s="101"/>
      <c r="F234" s="101"/>
      <c r="G234" s="101"/>
      <c r="H234" s="101"/>
      <c r="I234" s="101"/>
      <c r="J234" s="101"/>
      <c r="K234" s="101"/>
      <c r="L234" s="101"/>
      <c r="M234" s="101"/>
    </row>
    <row r="235">
      <c r="A235" s="101"/>
      <c r="B235" s="101"/>
      <c r="C235" s="101"/>
      <c r="D235" s="101"/>
      <c r="E235" s="101"/>
      <c r="F235" s="101"/>
      <c r="G235" s="101"/>
      <c r="H235" s="101"/>
      <c r="I235" s="101"/>
      <c r="J235" s="101"/>
      <c r="K235" s="101"/>
      <c r="L235" s="101"/>
      <c r="M235" s="101"/>
    </row>
    <row r="236">
      <c r="A236" s="101"/>
      <c r="B236" s="101"/>
      <c r="C236" s="101"/>
      <c r="D236" s="101"/>
      <c r="E236" s="101"/>
      <c r="F236" s="101"/>
      <c r="G236" s="101"/>
      <c r="H236" s="101"/>
      <c r="I236" s="101"/>
      <c r="J236" s="101"/>
      <c r="K236" s="101"/>
      <c r="L236" s="101"/>
      <c r="M236" s="101"/>
    </row>
    <row r="237">
      <c r="A237" s="101"/>
      <c r="B237" s="101"/>
      <c r="C237" s="101"/>
      <c r="D237" s="101"/>
      <c r="E237" s="101"/>
      <c r="F237" s="101"/>
      <c r="G237" s="101"/>
      <c r="H237" s="101"/>
      <c r="I237" s="101"/>
      <c r="J237" s="101"/>
      <c r="K237" s="101"/>
      <c r="L237" s="101"/>
      <c r="M237" s="101"/>
    </row>
    <row r="238">
      <c r="A238" s="101"/>
      <c r="B238" s="101"/>
      <c r="C238" s="101"/>
      <c r="D238" s="101"/>
      <c r="E238" s="101"/>
      <c r="F238" s="101"/>
      <c r="G238" s="101"/>
      <c r="H238" s="101"/>
      <c r="I238" s="101"/>
      <c r="J238" s="101"/>
      <c r="K238" s="101"/>
      <c r="L238" s="101"/>
      <c r="M238" s="101"/>
    </row>
    <row r="239">
      <c r="A239" s="101"/>
      <c r="B239" s="101"/>
      <c r="C239" s="101"/>
      <c r="D239" s="101"/>
      <c r="E239" s="101"/>
      <c r="F239" s="101"/>
      <c r="G239" s="101"/>
      <c r="H239" s="101"/>
      <c r="I239" s="101"/>
      <c r="J239" s="101"/>
      <c r="K239" s="101"/>
      <c r="L239" s="101"/>
      <c r="M239" s="101"/>
    </row>
    <row r="240">
      <c r="A240" s="101"/>
      <c r="B240" s="101"/>
      <c r="C240" s="101"/>
      <c r="D240" s="101"/>
      <c r="E240" s="101"/>
      <c r="F240" s="101"/>
      <c r="G240" s="101"/>
      <c r="H240" s="101"/>
      <c r="I240" s="101"/>
      <c r="J240" s="101"/>
      <c r="K240" s="101"/>
      <c r="L240" s="101"/>
      <c r="M240" s="101"/>
    </row>
    <row r="241">
      <c r="A241" s="101"/>
      <c r="B241" s="101"/>
      <c r="C241" s="101"/>
      <c r="D241" s="101"/>
      <c r="E241" s="101"/>
      <c r="F241" s="101"/>
      <c r="G241" s="101"/>
      <c r="H241" s="101"/>
      <c r="I241" s="101"/>
      <c r="J241" s="101"/>
      <c r="K241" s="101"/>
      <c r="L241" s="101"/>
      <c r="M241" s="101"/>
    </row>
    <row r="242">
      <c r="A242" s="101"/>
      <c r="B242" s="101"/>
      <c r="C242" s="101"/>
      <c r="D242" s="101"/>
      <c r="E242" s="101"/>
      <c r="F242" s="101"/>
      <c r="G242" s="101"/>
      <c r="H242" s="101"/>
      <c r="I242" s="101"/>
      <c r="J242" s="101"/>
      <c r="K242" s="101"/>
      <c r="L242" s="101"/>
      <c r="M242" s="101"/>
    </row>
    <row r="243">
      <c r="A243" s="101"/>
      <c r="B243" s="101"/>
      <c r="C243" s="101"/>
      <c r="D243" s="101"/>
      <c r="E243" s="101"/>
      <c r="F243" s="101"/>
      <c r="G243" s="101"/>
      <c r="H243" s="101"/>
      <c r="I243" s="101"/>
      <c r="J243" s="101"/>
      <c r="K243" s="101"/>
      <c r="L243" s="101"/>
      <c r="M243" s="101"/>
    </row>
    <row r="244">
      <c r="A244" s="101"/>
      <c r="B244" s="101"/>
      <c r="C244" s="101"/>
      <c r="D244" s="101"/>
      <c r="E244" s="101"/>
      <c r="F244" s="101"/>
      <c r="G244" s="101"/>
      <c r="H244" s="101"/>
      <c r="I244" s="101"/>
      <c r="J244" s="101"/>
      <c r="K244" s="101"/>
      <c r="L244" s="101"/>
      <c r="M244" s="101"/>
    </row>
    <row r="245">
      <c r="A245" s="101"/>
      <c r="B245" s="101"/>
      <c r="C245" s="101"/>
      <c r="D245" s="101"/>
      <c r="E245" s="101"/>
      <c r="F245" s="101"/>
      <c r="G245" s="101"/>
      <c r="H245" s="101"/>
      <c r="I245" s="101"/>
      <c r="J245" s="101"/>
      <c r="K245" s="101"/>
      <c r="L245" s="101"/>
      <c r="M245" s="101"/>
    </row>
    <row r="246">
      <c r="A246" s="101"/>
      <c r="B246" s="101"/>
      <c r="C246" s="101"/>
      <c r="D246" s="101"/>
      <c r="E246" s="101"/>
      <c r="F246" s="101"/>
      <c r="G246" s="101"/>
      <c r="H246" s="101"/>
      <c r="I246" s="101"/>
      <c r="J246" s="101"/>
      <c r="K246" s="101"/>
      <c r="L246" s="101"/>
      <c r="M246" s="101"/>
    </row>
    <row r="247">
      <c r="A247" s="101"/>
      <c r="B247" s="101"/>
      <c r="C247" s="101"/>
      <c r="D247" s="101"/>
      <c r="E247" s="101"/>
      <c r="F247" s="101"/>
      <c r="G247" s="101"/>
      <c r="H247" s="101"/>
      <c r="I247" s="101"/>
      <c r="J247" s="101"/>
      <c r="K247" s="101"/>
      <c r="L247" s="101"/>
      <c r="M247" s="101"/>
    </row>
    <row r="248">
      <c r="A248" s="101"/>
      <c r="B248" s="101"/>
      <c r="C248" s="101"/>
      <c r="D248" s="101"/>
      <c r="E248" s="101"/>
      <c r="F248" s="101"/>
      <c r="G248" s="101"/>
      <c r="H248" s="101"/>
      <c r="I248" s="101"/>
      <c r="J248" s="101"/>
      <c r="K248" s="101"/>
      <c r="L248" s="101"/>
      <c r="M248" s="101"/>
    </row>
    <row r="249">
      <c r="A249" s="101"/>
      <c r="B249" s="101"/>
      <c r="C249" s="101"/>
      <c r="D249" s="101"/>
      <c r="E249" s="101"/>
      <c r="F249" s="101"/>
      <c r="G249" s="101"/>
      <c r="H249" s="101"/>
      <c r="I249" s="101"/>
      <c r="J249" s="101"/>
      <c r="K249" s="101"/>
      <c r="L249" s="101"/>
      <c r="M249" s="101"/>
    </row>
    <row r="250">
      <c r="A250" s="101"/>
      <c r="B250" s="101"/>
      <c r="C250" s="101"/>
      <c r="D250" s="101"/>
      <c r="E250" s="101"/>
      <c r="F250" s="101"/>
      <c r="G250" s="101"/>
      <c r="H250" s="101"/>
      <c r="I250" s="101"/>
      <c r="J250" s="101"/>
      <c r="K250" s="101"/>
      <c r="L250" s="101"/>
      <c r="M250" s="101"/>
    </row>
    <row r="251">
      <c r="A251" s="101"/>
      <c r="B251" s="101"/>
      <c r="C251" s="101"/>
      <c r="D251" s="101"/>
      <c r="E251" s="101"/>
      <c r="F251" s="101"/>
      <c r="G251" s="101"/>
      <c r="H251" s="101"/>
      <c r="I251" s="101"/>
      <c r="J251" s="101"/>
      <c r="K251" s="101"/>
      <c r="L251" s="101"/>
      <c r="M251" s="101"/>
    </row>
    <row r="252">
      <c r="A252" s="101"/>
      <c r="B252" s="101"/>
      <c r="C252" s="101"/>
      <c r="D252" s="101"/>
      <c r="E252" s="101"/>
      <c r="F252" s="101"/>
      <c r="G252" s="101"/>
      <c r="H252" s="101"/>
      <c r="I252" s="101"/>
      <c r="J252" s="101"/>
      <c r="K252" s="101"/>
      <c r="L252" s="101"/>
      <c r="M252" s="101"/>
    </row>
    <row r="253">
      <c r="A253" s="101"/>
      <c r="B253" s="101"/>
      <c r="C253" s="101"/>
      <c r="D253" s="101"/>
      <c r="E253" s="101"/>
      <c r="F253" s="101"/>
      <c r="G253" s="101"/>
      <c r="H253" s="101"/>
      <c r="I253" s="101"/>
      <c r="J253" s="101"/>
      <c r="K253" s="101"/>
      <c r="L253" s="101"/>
      <c r="M253" s="101"/>
    </row>
    <row r="254">
      <c r="A254" s="101"/>
      <c r="B254" s="101"/>
      <c r="C254" s="101"/>
      <c r="D254" s="101"/>
      <c r="E254" s="101"/>
      <c r="F254" s="101"/>
      <c r="G254" s="101"/>
      <c r="H254" s="101"/>
      <c r="I254" s="101"/>
      <c r="J254" s="101"/>
      <c r="K254" s="101"/>
      <c r="L254" s="101"/>
      <c r="M254" s="101"/>
    </row>
    <row r="255">
      <c r="A255" s="101"/>
      <c r="B255" s="101"/>
      <c r="C255" s="101"/>
      <c r="D255" s="101"/>
      <c r="E255" s="101"/>
      <c r="F255" s="101"/>
      <c r="G255" s="101"/>
      <c r="H255" s="101"/>
      <c r="I255" s="101"/>
      <c r="J255" s="101"/>
      <c r="K255" s="101"/>
      <c r="L255" s="101"/>
      <c r="M255" s="101"/>
    </row>
    <row r="256">
      <c r="A256" s="101"/>
      <c r="B256" s="101"/>
      <c r="C256" s="101"/>
      <c r="D256" s="101"/>
      <c r="E256" s="101"/>
      <c r="F256" s="101"/>
      <c r="G256" s="101"/>
      <c r="H256" s="101"/>
      <c r="I256" s="101"/>
      <c r="J256" s="101"/>
      <c r="K256" s="101"/>
      <c r="L256" s="101"/>
      <c r="M256" s="101"/>
    </row>
    <row r="257">
      <c r="A257" s="101"/>
      <c r="B257" s="101"/>
      <c r="C257" s="101"/>
      <c r="D257" s="101"/>
      <c r="E257" s="101"/>
      <c r="F257" s="101"/>
      <c r="G257" s="101"/>
      <c r="H257" s="101"/>
      <c r="I257" s="101"/>
      <c r="J257" s="101"/>
      <c r="K257" s="101"/>
      <c r="L257" s="101"/>
      <c r="M257" s="101"/>
    </row>
    <row r="258">
      <c r="A258" s="101"/>
      <c r="B258" s="101"/>
      <c r="C258" s="101"/>
      <c r="D258" s="101"/>
      <c r="E258" s="101"/>
      <c r="F258" s="101"/>
      <c r="G258" s="101"/>
      <c r="H258" s="101"/>
      <c r="I258" s="101"/>
      <c r="J258" s="101"/>
      <c r="K258" s="101"/>
      <c r="L258" s="101"/>
      <c r="M258" s="101"/>
    </row>
    <row r="259">
      <c r="A259" s="101"/>
      <c r="B259" s="101"/>
      <c r="C259" s="101"/>
      <c r="D259" s="101"/>
      <c r="E259" s="101"/>
      <c r="F259" s="101"/>
      <c r="G259" s="101"/>
      <c r="H259" s="101"/>
      <c r="I259" s="101"/>
      <c r="J259" s="101"/>
      <c r="K259" s="101"/>
      <c r="L259" s="101"/>
      <c r="M259" s="101"/>
    </row>
    <row r="260">
      <c r="A260" s="101"/>
      <c r="B260" s="101"/>
      <c r="C260" s="101"/>
      <c r="D260" s="101"/>
      <c r="E260" s="101"/>
      <c r="F260" s="101"/>
      <c r="G260" s="101"/>
      <c r="H260" s="101"/>
      <c r="I260" s="101"/>
      <c r="J260" s="101"/>
      <c r="K260" s="101"/>
      <c r="L260" s="101"/>
      <c r="M260" s="101"/>
    </row>
    <row r="261">
      <c r="A261" s="101"/>
      <c r="B261" s="101"/>
      <c r="C261" s="101"/>
      <c r="D261" s="101"/>
      <c r="E261" s="101"/>
      <c r="F261" s="101"/>
      <c r="G261" s="101"/>
      <c r="H261" s="101"/>
      <c r="I261" s="101"/>
      <c r="J261" s="101"/>
      <c r="K261" s="101"/>
      <c r="L261" s="101"/>
      <c r="M261" s="101"/>
    </row>
    <row r="262">
      <c r="A262" s="101"/>
      <c r="B262" s="101"/>
      <c r="C262" s="101"/>
      <c r="D262" s="101"/>
      <c r="E262" s="101"/>
      <c r="F262" s="101"/>
      <c r="G262" s="101"/>
      <c r="H262" s="101"/>
      <c r="I262" s="101"/>
      <c r="J262" s="101"/>
      <c r="K262" s="101"/>
      <c r="L262" s="101"/>
      <c r="M262" s="101"/>
    </row>
    <row r="263">
      <c r="A263" s="101"/>
      <c r="B263" s="101"/>
      <c r="C263" s="101"/>
      <c r="D263" s="101"/>
      <c r="E263" s="101"/>
      <c r="F263" s="101"/>
      <c r="G263" s="101"/>
      <c r="H263" s="101"/>
      <c r="I263" s="101"/>
      <c r="J263" s="101"/>
      <c r="K263" s="101"/>
      <c r="L263" s="101"/>
      <c r="M263" s="101"/>
    </row>
    <row r="264">
      <c r="A264" s="101"/>
      <c r="B264" s="101"/>
      <c r="C264" s="101"/>
      <c r="D264" s="101"/>
      <c r="E264" s="101"/>
      <c r="F264" s="101"/>
      <c r="G264" s="101"/>
      <c r="H264" s="101"/>
      <c r="I264" s="101"/>
      <c r="J264" s="101"/>
      <c r="K264" s="101"/>
      <c r="L264" s="101"/>
      <c r="M264" s="101"/>
    </row>
    <row r="265">
      <c r="A265" s="101"/>
      <c r="B265" s="101"/>
      <c r="C265" s="101"/>
      <c r="D265" s="101"/>
      <c r="E265" s="101"/>
      <c r="F265" s="101"/>
      <c r="G265" s="101"/>
      <c r="H265" s="101"/>
      <c r="I265" s="101"/>
      <c r="J265" s="101"/>
      <c r="K265" s="101"/>
      <c r="L265" s="101"/>
      <c r="M265" s="101"/>
    </row>
    <row r="266">
      <c r="A266" s="101"/>
      <c r="B266" s="101"/>
      <c r="C266" s="101"/>
      <c r="D266" s="101"/>
      <c r="E266" s="101"/>
      <c r="F266" s="101"/>
      <c r="G266" s="101"/>
      <c r="H266" s="101"/>
      <c r="I266" s="101"/>
      <c r="J266" s="101"/>
      <c r="K266" s="101"/>
      <c r="L266" s="101"/>
      <c r="M266" s="101"/>
    </row>
    <row r="267">
      <c r="A267" s="101"/>
      <c r="B267" s="101"/>
      <c r="C267" s="101"/>
      <c r="D267" s="101"/>
      <c r="E267" s="101"/>
      <c r="F267" s="101"/>
      <c r="G267" s="101"/>
      <c r="H267" s="101"/>
      <c r="I267" s="101"/>
      <c r="J267" s="101"/>
      <c r="K267" s="101"/>
      <c r="L267" s="101"/>
      <c r="M267" s="101"/>
    </row>
    <row r="268">
      <c r="A268" s="101"/>
      <c r="B268" s="101"/>
      <c r="C268" s="101"/>
      <c r="D268" s="101"/>
      <c r="E268" s="101"/>
      <c r="F268" s="101"/>
      <c r="G268" s="101"/>
      <c r="H268" s="101"/>
      <c r="I268" s="101"/>
      <c r="J268" s="101"/>
      <c r="K268" s="101"/>
      <c r="L268" s="101"/>
      <c r="M268" s="101"/>
    </row>
    <row r="269">
      <c r="A269" s="101"/>
      <c r="B269" s="101"/>
      <c r="C269" s="101"/>
      <c r="D269" s="101"/>
      <c r="E269" s="101"/>
      <c r="F269" s="101"/>
      <c r="G269" s="101"/>
      <c r="H269" s="101"/>
      <c r="I269" s="101"/>
      <c r="J269" s="101"/>
      <c r="K269" s="101"/>
      <c r="L269" s="101"/>
      <c r="M269" s="101"/>
    </row>
    <row r="270">
      <c r="A270" s="101"/>
      <c r="B270" s="101"/>
      <c r="C270" s="101"/>
      <c r="D270" s="101"/>
      <c r="E270" s="101"/>
      <c r="F270" s="101"/>
      <c r="G270" s="101"/>
      <c r="H270" s="101"/>
      <c r="I270" s="101"/>
      <c r="J270" s="101"/>
      <c r="K270" s="101"/>
      <c r="L270" s="101"/>
      <c r="M270" s="101"/>
    </row>
    <row r="271">
      <c r="A271" s="101"/>
      <c r="B271" s="101"/>
      <c r="C271" s="101"/>
      <c r="D271" s="101"/>
      <c r="E271" s="101"/>
      <c r="F271" s="101"/>
      <c r="G271" s="101"/>
      <c r="H271" s="101"/>
      <c r="I271" s="101"/>
      <c r="J271" s="101"/>
      <c r="K271" s="101"/>
      <c r="L271" s="101"/>
      <c r="M271" s="101"/>
    </row>
    <row r="272">
      <c r="A272" s="101"/>
      <c r="B272" s="101"/>
      <c r="C272" s="101"/>
      <c r="D272" s="101"/>
      <c r="E272" s="101"/>
      <c r="F272" s="101"/>
      <c r="G272" s="101"/>
      <c r="H272" s="101"/>
      <c r="I272" s="101"/>
      <c r="J272" s="101"/>
      <c r="K272" s="101"/>
      <c r="L272" s="101"/>
      <c r="M272" s="101"/>
    </row>
    <row r="273">
      <c r="A273" s="101"/>
      <c r="B273" s="101"/>
      <c r="C273" s="101"/>
      <c r="D273" s="101"/>
      <c r="E273" s="101"/>
      <c r="F273" s="101"/>
      <c r="G273" s="101"/>
      <c r="H273" s="101"/>
      <c r="I273" s="101"/>
      <c r="J273" s="101"/>
      <c r="K273" s="101"/>
      <c r="L273" s="101"/>
      <c r="M273" s="101"/>
    </row>
    <row r="274">
      <c r="A274" s="101"/>
      <c r="B274" s="101"/>
      <c r="C274" s="101"/>
      <c r="D274" s="101"/>
      <c r="E274" s="101"/>
      <c r="F274" s="101"/>
      <c r="G274" s="101"/>
      <c r="H274" s="101"/>
      <c r="I274" s="101"/>
      <c r="J274" s="101"/>
      <c r="K274" s="101"/>
      <c r="L274" s="101"/>
      <c r="M274" s="101"/>
    </row>
    <row r="275">
      <c r="A275" s="101"/>
      <c r="B275" s="101"/>
      <c r="C275" s="101"/>
      <c r="D275" s="101"/>
      <c r="E275" s="101"/>
      <c r="F275" s="101"/>
      <c r="G275" s="101"/>
      <c r="H275" s="101"/>
      <c r="I275" s="101"/>
      <c r="J275" s="101"/>
      <c r="K275" s="101"/>
      <c r="L275" s="101"/>
      <c r="M275" s="101"/>
    </row>
    <row r="276">
      <c r="A276" s="101"/>
      <c r="B276" s="101"/>
      <c r="C276" s="101"/>
      <c r="D276" s="101"/>
      <c r="E276" s="101"/>
      <c r="F276" s="101"/>
      <c r="G276" s="101"/>
      <c r="H276" s="101"/>
      <c r="I276" s="101"/>
      <c r="J276" s="101"/>
      <c r="K276" s="101"/>
      <c r="L276" s="101"/>
      <c r="M276" s="101"/>
    </row>
    <row r="277">
      <c r="A277" s="101"/>
      <c r="B277" s="101"/>
      <c r="C277" s="101"/>
      <c r="D277" s="101"/>
      <c r="E277" s="101"/>
      <c r="F277" s="101"/>
      <c r="G277" s="101"/>
      <c r="H277" s="101"/>
      <c r="I277" s="101"/>
      <c r="J277" s="101"/>
      <c r="K277" s="101"/>
      <c r="L277" s="101"/>
      <c r="M277" s="101"/>
    </row>
    <row r="278">
      <c r="A278" s="101"/>
      <c r="B278" s="101"/>
      <c r="C278" s="101"/>
      <c r="D278" s="101"/>
      <c r="E278" s="101"/>
      <c r="F278" s="101"/>
      <c r="G278" s="101"/>
      <c r="H278" s="101"/>
      <c r="I278" s="101"/>
      <c r="J278" s="101"/>
      <c r="K278" s="101"/>
      <c r="L278" s="101"/>
      <c r="M278" s="101"/>
    </row>
    <row r="279">
      <c r="A279" s="101"/>
      <c r="B279" s="101"/>
      <c r="C279" s="101"/>
      <c r="D279" s="101"/>
      <c r="E279" s="101"/>
      <c r="F279" s="101"/>
      <c r="G279" s="101"/>
      <c r="H279" s="101"/>
      <c r="I279" s="101"/>
      <c r="J279" s="101"/>
      <c r="K279" s="101"/>
      <c r="L279" s="101"/>
      <c r="M279" s="101"/>
    </row>
    <row r="280">
      <c r="A280" s="101"/>
      <c r="B280" s="101"/>
      <c r="C280" s="101"/>
      <c r="D280" s="101"/>
      <c r="E280" s="101"/>
      <c r="F280" s="101"/>
      <c r="G280" s="101"/>
      <c r="H280" s="101"/>
      <c r="I280" s="101"/>
      <c r="J280" s="101"/>
      <c r="K280" s="101"/>
      <c r="L280" s="101"/>
      <c r="M280" s="101"/>
    </row>
    <row r="281">
      <c r="A281" s="101"/>
      <c r="B281" s="101"/>
      <c r="C281" s="101"/>
      <c r="D281" s="101"/>
      <c r="E281" s="101"/>
      <c r="F281" s="101"/>
      <c r="G281" s="101"/>
      <c r="H281" s="101"/>
      <c r="I281" s="101"/>
      <c r="J281" s="101"/>
      <c r="K281" s="101"/>
      <c r="L281" s="101"/>
      <c r="M281" s="101"/>
    </row>
    <row r="282">
      <c r="A282" s="101"/>
      <c r="B282" s="101"/>
      <c r="C282" s="101"/>
      <c r="D282" s="101"/>
      <c r="E282" s="101"/>
      <c r="F282" s="101"/>
      <c r="G282" s="101"/>
      <c r="H282" s="101"/>
      <c r="I282" s="101"/>
      <c r="J282" s="101"/>
      <c r="K282" s="101"/>
      <c r="L282" s="101"/>
      <c r="M282" s="101"/>
    </row>
    <row r="283">
      <c r="A283" s="101"/>
      <c r="B283" s="101"/>
      <c r="C283" s="101"/>
      <c r="D283" s="101"/>
      <c r="E283" s="101"/>
      <c r="F283" s="101"/>
      <c r="G283" s="101"/>
      <c r="H283" s="101"/>
      <c r="I283" s="101"/>
      <c r="J283" s="101"/>
      <c r="K283" s="101"/>
      <c r="L283" s="101"/>
      <c r="M283" s="101"/>
    </row>
    <row r="284">
      <c r="A284" s="101"/>
      <c r="B284" s="101"/>
      <c r="C284" s="101"/>
      <c r="D284" s="101"/>
      <c r="E284" s="101"/>
      <c r="F284" s="101"/>
      <c r="G284" s="101"/>
      <c r="H284" s="101"/>
      <c r="I284" s="101"/>
      <c r="J284" s="101"/>
      <c r="K284" s="101"/>
      <c r="L284" s="101"/>
      <c r="M284" s="101"/>
    </row>
    <row r="285">
      <c r="A285" s="101"/>
      <c r="B285" s="101"/>
      <c r="C285" s="101"/>
      <c r="D285" s="101"/>
      <c r="E285" s="101"/>
      <c r="F285" s="101"/>
      <c r="G285" s="101"/>
      <c r="H285" s="101"/>
      <c r="I285" s="101"/>
      <c r="J285" s="101"/>
      <c r="K285" s="101"/>
      <c r="L285" s="101"/>
      <c r="M285" s="101"/>
    </row>
    <row r="286">
      <c r="A286" s="101"/>
      <c r="B286" s="101"/>
      <c r="C286" s="101"/>
      <c r="D286" s="101"/>
      <c r="E286" s="101"/>
      <c r="F286" s="101"/>
      <c r="G286" s="101"/>
      <c r="H286" s="101"/>
      <c r="I286" s="101"/>
      <c r="J286" s="101"/>
      <c r="K286" s="101"/>
      <c r="L286" s="101"/>
      <c r="M286" s="101"/>
    </row>
    <row r="287">
      <c r="A287" s="101"/>
      <c r="B287" s="101"/>
      <c r="C287" s="101"/>
      <c r="D287" s="101"/>
      <c r="E287" s="101"/>
      <c r="F287" s="101"/>
      <c r="G287" s="101"/>
      <c r="H287" s="101"/>
      <c r="I287" s="101"/>
      <c r="J287" s="101"/>
      <c r="K287" s="101"/>
      <c r="L287" s="101"/>
      <c r="M287" s="101"/>
    </row>
    <row r="288">
      <c r="A288" s="101"/>
      <c r="B288" s="101"/>
      <c r="C288" s="101"/>
      <c r="D288" s="101"/>
      <c r="E288" s="101"/>
      <c r="F288" s="101"/>
      <c r="G288" s="101"/>
      <c r="H288" s="101"/>
      <c r="I288" s="101"/>
      <c r="J288" s="101"/>
      <c r="K288" s="101"/>
      <c r="L288" s="101"/>
      <c r="M288" s="101"/>
    </row>
    <row r="289">
      <c r="A289" s="101"/>
      <c r="B289" s="101"/>
      <c r="C289" s="101"/>
      <c r="D289" s="101"/>
      <c r="E289" s="101"/>
      <c r="F289" s="101"/>
      <c r="G289" s="101"/>
      <c r="H289" s="101"/>
      <c r="I289" s="101"/>
      <c r="J289" s="101"/>
      <c r="K289" s="101"/>
      <c r="L289" s="101"/>
      <c r="M289" s="101"/>
    </row>
    <row r="290">
      <c r="A290" s="101"/>
      <c r="B290" s="101"/>
      <c r="C290" s="101"/>
      <c r="D290" s="101"/>
      <c r="E290" s="101"/>
      <c r="F290" s="101"/>
      <c r="G290" s="101"/>
      <c r="H290" s="101"/>
      <c r="I290" s="101"/>
      <c r="J290" s="101"/>
      <c r="K290" s="101"/>
      <c r="L290" s="101"/>
      <c r="M290" s="101"/>
    </row>
    <row r="291">
      <c r="A291" s="101"/>
      <c r="B291" s="101"/>
      <c r="C291" s="101"/>
      <c r="D291" s="101"/>
      <c r="E291" s="101"/>
      <c r="F291" s="101"/>
      <c r="G291" s="101"/>
      <c r="H291" s="101"/>
      <c r="I291" s="101"/>
      <c r="J291" s="101"/>
      <c r="K291" s="101"/>
      <c r="L291" s="101"/>
      <c r="M291" s="101"/>
    </row>
    <row r="292">
      <c r="A292" s="101"/>
      <c r="B292" s="101"/>
      <c r="C292" s="101"/>
      <c r="D292" s="101"/>
      <c r="E292" s="101"/>
      <c r="F292" s="101"/>
      <c r="G292" s="101"/>
      <c r="H292" s="101"/>
      <c r="I292" s="101"/>
      <c r="J292" s="101"/>
      <c r="K292" s="101"/>
      <c r="L292" s="101"/>
      <c r="M292" s="101"/>
    </row>
    <row r="293">
      <c r="A293" s="101"/>
      <c r="B293" s="101"/>
      <c r="C293" s="101"/>
      <c r="D293" s="101"/>
      <c r="E293" s="101"/>
      <c r="F293" s="101"/>
      <c r="G293" s="101"/>
      <c r="H293" s="101"/>
      <c r="I293" s="101"/>
      <c r="J293" s="101"/>
      <c r="K293" s="101"/>
      <c r="L293" s="101"/>
      <c r="M293" s="101"/>
    </row>
    <row r="294">
      <c r="A294" s="101"/>
      <c r="B294" s="101"/>
      <c r="C294" s="101"/>
      <c r="D294" s="101"/>
      <c r="E294" s="101"/>
      <c r="F294" s="101"/>
      <c r="G294" s="101"/>
      <c r="H294" s="101"/>
      <c r="I294" s="101"/>
      <c r="J294" s="101"/>
      <c r="K294" s="101"/>
      <c r="L294" s="101"/>
      <c r="M294" s="101"/>
    </row>
    <row r="295">
      <c r="A295" s="101"/>
      <c r="B295" s="101"/>
      <c r="C295" s="101"/>
      <c r="D295" s="101"/>
      <c r="E295" s="101"/>
      <c r="F295" s="101"/>
      <c r="G295" s="101"/>
      <c r="H295" s="101"/>
      <c r="I295" s="101"/>
      <c r="J295" s="101"/>
      <c r="K295" s="101"/>
      <c r="L295" s="101"/>
      <c r="M295" s="101"/>
    </row>
    <row r="296">
      <c r="A296" s="101"/>
      <c r="B296" s="101"/>
      <c r="C296" s="101"/>
      <c r="D296" s="101"/>
      <c r="E296" s="101"/>
      <c r="F296" s="101"/>
      <c r="G296" s="101"/>
      <c r="H296" s="101"/>
      <c r="I296" s="101"/>
      <c r="J296" s="101"/>
      <c r="K296" s="101"/>
      <c r="L296" s="101"/>
      <c r="M296" s="101"/>
    </row>
    <row r="297">
      <c r="A297" s="101"/>
      <c r="B297" s="101"/>
      <c r="C297" s="101"/>
      <c r="D297" s="101"/>
      <c r="E297" s="101"/>
      <c r="F297" s="101"/>
      <c r="G297" s="101"/>
      <c r="H297" s="101"/>
      <c r="I297" s="101"/>
      <c r="J297" s="101"/>
      <c r="K297" s="101"/>
      <c r="L297" s="101"/>
      <c r="M297" s="101"/>
    </row>
    <row r="298">
      <c r="A298" s="101"/>
      <c r="B298" s="101"/>
      <c r="C298" s="101"/>
      <c r="D298" s="101"/>
      <c r="E298" s="101"/>
      <c r="F298" s="101"/>
      <c r="G298" s="101"/>
      <c r="H298" s="101"/>
      <c r="I298" s="101"/>
      <c r="J298" s="101"/>
      <c r="K298" s="101"/>
      <c r="L298" s="101"/>
      <c r="M298" s="101"/>
    </row>
    <row r="299">
      <c r="A299" s="101"/>
      <c r="B299" s="101"/>
      <c r="C299" s="101"/>
      <c r="D299" s="101"/>
      <c r="E299" s="101"/>
      <c r="F299" s="101"/>
      <c r="G299" s="101"/>
      <c r="H299" s="101"/>
      <c r="I299" s="101"/>
      <c r="J299" s="101"/>
      <c r="K299" s="101"/>
      <c r="L299" s="101"/>
      <c r="M299" s="101"/>
    </row>
    <row r="300">
      <c r="A300" s="101"/>
      <c r="B300" s="101"/>
      <c r="C300" s="101"/>
      <c r="D300" s="101"/>
      <c r="E300" s="101"/>
      <c r="F300" s="101"/>
      <c r="G300" s="101"/>
      <c r="H300" s="101"/>
      <c r="I300" s="101"/>
      <c r="J300" s="101"/>
      <c r="K300" s="101"/>
      <c r="L300" s="101"/>
      <c r="M300" s="101"/>
    </row>
    <row r="301">
      <c r="A301" s="101"/>
      <c r="B301" s="101"/>
      <c r="C301" s="101"/>
      <c r="D301" s="101"/>
      <c r="E301" s="101"/>
      <c r="F301" s="101"/>
      <c r="G301" s="101"/>
      <c r="H301" s="101"/>
      <c r="I301" s="101"/>
      <c r="J301" s="101"/>
      <c r="K301" s="101"/>
      <c r="L301" s="101"/>
      <c r="M301" s="101"/>
    </row>
    <row r="302">
      <c r="A302" s="101"/>
      <c r="B302" s="101"/>
      <c r="C302" s="101"/>
      <c r="D302" s="101"/>
      <c r="E302" s="101"/>
      <c r="F302" s="101"/>
      <c r="G302" s="101"/>
      <c r="H302" s="101"/>
      <c r="I302" s="101"/>
      <c r="J302" s="101"/>
      <c r="K302" s="101"/>
      <c r="L302" s="101"/>
      <c r="M302" s="101"/>
    </row>
    <row r="303">
      <c r="A303" s="101"/>
      <c r="B303" s="101"/>
      <c r="C303" s="101"/>
      <c r="D303" s="101"/>
      <c r="E303" s="101"/>
      <c r="F303" s="101"/>
      <c r="G303" s="101"/>
      <c r="H303" s="101"/>
      <c r="I303" s="101"/>
      <c r="J303" s="101"/>
      <c r="K303" s="101"/>
      <c r="L303" s="101"/>
      <c r="M303" s="101"/>
    </row>
    <row r="304">
      <c r="A304" s="101"/>
      <c r="B304" s="101"/>
      <c r="C304" s="101"/>
      <c r="D304" s="101"/>
      <c r="E304" s="101"/>
      <c r="F304" s="101"/>
      <c r="G304" s="101"/>
      <c r="H304" s="101"/>
      <c r="I304" s="101"/>
      <c r="J304" s="101"/>
      <c r="K304" s="101"/>
      <c r="L304" s="101"/>
      <c r="M304" s="101"/>
    </row>
    <row r="305">
      <c r="A305" s="101"/>
      <c r="B305" s="101"/>
      <c r="C305" s="101"/>
      <c r="D305" s="101"/>
      <c r="E305" s="101"/>
      <c r="F305" s="101"/>
      <c r="G305" s="101"/>
      <c r="H305" s="101"/>
      <c r="I305" s="101"/>
      <c r="J305" s="101"/>
      <c r="K305" s="101"/>
      <c r="L305" s="101"/>
      <c r="M305" s="101"/>
    </row>
    <row r="306">
      <c r="A306" s="101"/>
      <c r="B306" s="101"/>
      <c r="C306" s="101"/>
      <c r="D306" s="101"/>
      <c r="E306" s="101"/>
      <c r="F306" s="101"/>
      <c r="G306" s="101"/>
      <c r="H306" s="101"/>
      <c r="I306" s="101"/>
      <c r="J306" s="101"/>
      <c r="K306" s="101"/>
      <c r="L306" s="101"/>
      <c r="M306" s="101"/>
    </row>
    <row r="307">
      <c r="A307" s="101"/>
      <c r="B307" s="101"/>
      <c r="C307" s="101"/>
      <c r="D307" s="101"/>
      <c r="E307" s="101"/>
      <c r="F307" s="101"/>
      <c r="G307" s="101"/>
      <c r="H307" s="101"/>
      <c r="I307" s="101"/>
      <c r="J307" s="101"/>
      <c r="K307" s="101"/>
      <c r="L307" s="101"/>
      <c r="M307" s="101"/>
    </row>
    <row r="308">
      <c r="A308" s="101"/>
      <c r="B308" s="101"/>
      <c r="C308" s="101"/>
      <c r="D308" s="101"/>
      <c r="E308" s="101"/>
      <c r="F308" s="101"/>
      <c r="G308" s="101"/>
      <c r="H308" s="101"/>
      <c r="I308" s="101"/>
      <c r="J308" s="101"/>
      <c r="K308" s="101"/>
      <c r="L308" s="101"/>
      <c r="M308" s="101"/>
    </row>
    <row r="309">
      <c r="A309" s="101"/>
      <c r="B309" s="101"/>
      <c r="C309" s="101"/>
      <c r="D309" s="101"/>
      <c r="E309" s="101"/>
      <c r="F309" s="101"/>
      <c r="G309" s="101"/>
      <c r="H309" s="101"/>
      <c r="I309" s="101"/>
      <c r="J309" s="101"/>
      <c r="K309" s="101"/>
      <c r="L309" s="101"/>
      <c r="M309" s="101"/>
    </row>
    <row r="310">
      <c r="A310" s="101"/>
      <c r="B310" s="101"/>
      <c r="C310" s="101"/>
      <c r="D310" s="101"/>
      <c r="E310" s="101"/>
      <c r="F310" s="101"/>
      <c r="G310" s="101"/>
      <c r="H310" s="101"/>
      <c r="I310" s="101"/>
      <c r="J310" s="101"/>
      <c r="K310" s="101"/>
      <c r="L310" s="101"/>
      <c r="M310" s="101"/>
    </row>
    <row r="311">
      <c r="A311" s="101"/>
      <c r="B311" s="101"/>
      <c r="C311" s="101"/>
      <c r="D311" s="101"/>
      <c r="E311" s="101"/>
      <c r="F311" s="101"/>
      <c r="G311" s="101"/>
      <c r="H311" s="101"/>
      <c r="I311" s="101"/>
      <c r="J311" s="101"/>
      <c r="K311" s="101"/>
      <c r="L311" s="101"/>
      <c r="M311" s="101"/>
    </row>
    <row r="312">
      <c r="A312" s="101"/>
      <c r="B312" s="101"/>
      <c r="C312" s="101"/>
      <c r="D312" s="101"/>
      <c r="E312" s="101"/>
      <c r="F312" s="101"/>
      <c r="G312" s="101"/>
      <c r="H312" s="101"/>
      <c r="I312" s="101"/>
      <c r="J312" s="101"/>
      <c r="K312" s="101"/>
      <c r="L312" s="101"/>
      <c r="M312" s="101"/>
    </row>
    <row r="313">
      <c r="A313" s="101"/>
      <c r="B313" s="101"/>
      <c r="C313" s="101"/>
      <c r="D313" s="101"/>
      <c r="E313" s="101"/>
      <c r="F313" s="101"/>
      <c r="G313" s="101"/>
      <c r="H313" s="101"/>
      <c r="I313" s="101"/>
      <c r="J313" s="101"/>
      <c r="K313" s="101"/>
      <c r="L313" s="101"/>
      <c r="M313" s="101"/>
    </row>
    <row r="314">
      <c r="A314" s="101"/>
      <c r="B314" s="101"/>
      <c r="C314" s="101"/>
      <c r="D314" s="101"/>
      <c r="E314" s="101"/>
      <c r="F314" s="101"/>
      <c r="G314" s="101"/>
      <c r="H314" s="101"/>
      <c r="I314" s="101"/>
      <c r="J314" s="101"/>
      <c r="K314" s="101"/>
      <c r="L314" s="101"/>
      <c r="M314" s="101"/>
    </row>
    <row r="315">
      <c r="A315" s="101"/>
      <c r="B315" s="101"/>
      <c r="C315" s="101"/>
      <c r="D315" s="101"/>
      <c r="E315" s="101"/>
      <c r="F315" s="101"/>
      <c r="G315" s="101"/>
      <c r="H315" s="101"/>
      <c r="I315" s="101"/>
      <c r="J315" s="101"/>
      <c r="K315" s="101"/>
      <c r="L315" s="101"/>
      <c r="M315" s="101"/>
    </row>
    <row r="316">
      <c r="A316" s="101"/>
      <c r="B316" s="101"/>
      <c r="C316" s="101"/>
      <c r="D316" s="101"/>
      <c r="E316" s="101"/>
      <c r="F316" s="101"/>
      <c r="G316" s="101"/>
      <c r="H316" s="101"/>
      <c r="I316" s="101"/>
      <c r="J316" s="101"/>
      <c r="K316" s="101"/>
      <c r="L316" s="101"/>
      <c r="M316" s="101"/>
    </row>
    <row r="317">
      <c r="A317" s="101"/>
      <c r="B317" s="101"/>
      <c r="C317" s="101"/>
      <c r="D317" s="101"/>
      <c r="E317" s="101"/>
      <c r="F317" s="101"/>
      <c r="G317" s="101"/>
      <c r="H317" s="101"/>
      <c r="I317" s="101"/>
      <c r="J317" s="101"/>
      <c r="K317" s="101"/>
      <c r="L317" s="101"/>
      <c r="M317" s="101"/>
    </row>
    <row r="318">
      <c r="A318" s="101"/>
      <c r="B318" s="101"/>
      <c r="C318" s="101"/>
      <c r="D318" s="101"/>
      <c r="E318" s="101"/>
      <c r="F318" s="101"/>
      <c r="G318" s="101"/>
      <c r="H318" s="101"/>
      <c r="I318" s="101"/>
      <c r="J318" s="101"/>
      <c r="K318" s="101"/>
      <c r="L318" s="101"/>
      <c r="M318" s="101"/>
    </row>
    <row r="319">
      <c r="A319" s="101"/>
      <c r="B319" s="101"/>
      <c r="C319" s="101"/>
      <c r="D319" s="101"/>
      <c r="E319" s="101"/>
      <c r="F319" s="101"/>
      <c r="G319" s="101"/>
      <c r="H319" s="101"/>
      <c r="I319" s="101"/>
      <c r="J319" s="101"/>
      <c r="K319" s="101"/>
      <c r="L319" s="101"/>
      <c r="M319" s="101"/>
    </row>
    <row r="320">
      <c r="A320" s="101"/>
      <c r="B320" s="101"/>
      <c r="C320" s="101"/>
      <c r="D320" s="101"/>
      <c r="E320" s="101"/>
      <c r="F320" s="101"/>
      <c r="G320" s="101"/>
      <c r="H320" s="101"/>
      <c r="I320" s="101"/>
      <c r="J320" s="101"/>
      <c r="K320" s="101"/>
      <c r="L320" s="101"/>
      <c r="M320" s="101"/>
    </row>
    <row r="321">
      <c r="A321" s="101"/>
      <c r="B321" s="101"/>
      <c r="C321" s="101"/>
      <c r="D321" s="101"/>
      <c r="E321" s="101"/>
      <c r="F321" s="101"/>
      <c r="G321" s="101"/>
      <c r="H321" s="101"/>
      <c r="I321" s="101"/>
      <c r="J321" s="101"/>
      <c r="K321" s="101"/>
      <c r="L321" s="101"/>
      <c r="M321" s="101"/>
    </row>
    <row r="322">
      <c r="A322" s="101"/>
      <c r="B322" s="101"/>
      <c r="C322" s="101"/>
      <c r="D322" s="101"/>
      <c r="E322" s="101"/>
      <c r="F322" s="101"/>
      <c r="G322" s="101"/>
      <c r="H322" s="101"/>
      <c r="I322" s="101"/>
      <c r="J322" s="101"/>
      <c r="K322" s="101"/>
      <c r="L322" s="101"/>
      <c r="M322" s="101"/>
    </row>
    <row r="323">
      <c r="A323" s="101"/>
      <c r="B323" s="101"/>
      <c r="C323" s="101"/>
      <c r="D323" s="101"/>
      <c r="E323" s="101"/>
      <c r="F323" s="101"/>
      <c r="G323" s="101"/>
      <c r="H323" s="101"/>
      <c r="I323" s="101"/>
      <c r="J323" s="101"/>
      <c r="K323" s="101"/>
      <c r="L323" s="101"/>
      <c r="M323" s="101"/>
    </row>
    <row r="324">
      <c r="A324" s="101"/>
      <c r="B324" s="101"/>
      <c r="C324" s="101"/>
      <c r="D324" s="101"/>
      <c r="E324" s="101"/>
      <c r="F324" s="101"/>
      <c r="G324" s="101"/>
      <c r="H324" s="101"/>
      <c r="I324" s="101"/>
      <c r="J324" s="101"/>
      <c r="K324" s="101"/>
      <c r="L324" s="101"/>
      <c r="M324" s="101"/>
    </row>
    <row r="325">
      <c r="A325" s="101"/>
      <c r="B325" s="101"/>
      <c r="C325" s="101"/>
      <c r="D325" s="101"/>
      <c r="E325" s="101"/>
      <c r="F325" s="101"/>
      <c r="G325" s="101"/>
      <c r="H325" s="101"/>
      <c r="I325" s="101"/>
      <c r="J325" s="101"/>
      <c r="K325" s="101"/>
      <c r="L325" s="101"/>
      <c r="M325" s="101"/>
    </row>
    <row r="326">
      <c r="A326" s="101"/>
      <c r="B326" s="101"/>
      <c r="C326" s="101"/>
      <c r="D326" s="101"/>
      <c r="E326" s="101"/>
      <c r="F326" s="101"/>
      <c r="G326" s="101"/>
      <c r="H326" s="101"/>
      <c r="I326" s="101"/>
      <c r="J326" s="101"/>
      <c r="K326" s="101"/>
      <c r="L326" s="101"/>
      <c r="M326" s="101"/>
    </row>
    <row r="327">
      <c r="A327" s="101"/>
      <c r="B327" s="101"/>
      <c r="C327" s="101"/>
      <c r="D327" s="101"/>
      <c r="E327" s="101"/>
      <c r="F327" s="101"/>
      <c r="G327" s="101"/>
      <c r="H327" s="101"/>
      <c r="I327" s="101"/>
      <c r="J327" s="101"/>
      <c r="K327" s="101"/>
      <c r="L327" s="101"/>
      <c r="M327" s="101"/>
    </row>
    <row r="328">
      <c r="A328" s="101"/>
      <c r="B328" s="101"/>
      <c r="C328" s="101"/>
      <c r="D328" s="101"/>
      <c r="E328" s="101"/>
      <c r="F328" s="101"/>
      <c r="G328" s="101"/>
      <c r="H328" s="101"/>
      <c r="I328" s="101"/>
      <c r="J328" s="101"/>
      <c r="K328" s="101"/>
      <c r="L328" s="101"/>
      <c r="M328" s="101"/>
    </row>
    <row r="329">
      <c r="A329" s="101"/>
      <c r="B329" s="101"/>
      <c r="C329" s="101"/>
      <c r="D329" s="101"/>
      <c r="E329" s="101"/>
      <c r="F329" s="101"/>
      <c r="G329" s="101"/>
      <c r="H329" s="101"/>
      <c r="I329" s="101"/>
      <c r="J329" s="101"/>
      <c r="K329" s="101"/>
      <c r="L329" s="101"/>
      <c r="M329" s="101"/>
    </row>
    <row r="330">
      <c r="A330" s="101"/>
      <c r="B330" s="101"/>
      <c r="C330" s="101"/>
      <c r="D330" s="101"/>
      <c r="E330" s="101"/>
      <c r="F330" s="101"/>
      <c r="G330" s="101"/>
      <c r="H330" s="101"/>
      <c r="I330" s="101"/>
      <c r="J330" s="101"/>
      <c r="K330" s="101"/>
      <c r="L330" s="101"/>
      <c r="M330" s="101"/>
    </row>
    <row r="331">
      <c r="A331" s="101"/>
      <c r="B331" s="101"/>
      <c r="C331" s="101"/>
      <c r="D331" s="101"/>
      <c r="E331" s="101"/>
      <c r="F331" s="101"/>
      <c r="G331" s="101"/>
      <c r="H331" s="101"/>
      <c r="I331" s="101"/>
      <c r="J331" s="101"/>
      <c r="K331" s="101"/>
      <c r="L331" s="101"/>
      <c r="M331" s="101"/>
    </row>
    <row r="332">
      <c r="A332" s="101"/>
      <c r="B332" s="101"/>
      <c r="C332" s="101"/>
      <c r="D332" s="101"/>
      <c r="E332" s="101"/>
      <c r="F332" s="101"/>
      <c r="G332" s="101"/>
      <c r="H332" s="101"/>
      <c r="I332" s="101"/>
      <c r="J332" s="101"/>
      <c r="K332" s="101"/>
      <c r="L332" s="101"/>
      <c r="M332" s="101"/>
    </row>
    <row r="333">
      <c r="A333" s="101"/>
      <c r="B333" s="101"/>
      <c r="C333" s="101"/>
      <c r="D333" s="101"/>
      <c r="E333" s="101"/>
      <c r="F333" s="101"/>
      <c r="G333" s="101"/>
      <c r="H333" s="101"/>
      <c r="I333" s="101"/>
      <c r="J333" s="101"/>
      <c r="K333" s="101"/>
      <c r="L333" s="101"/>
      <c r="M333" s="101"/>
    </row>
    <row r="334">
      <c r="A334" s="101"/>
      <c r="B334" s="101"/>
      <c r="C334" s="101"/>
      <c r="D334" s="101"/>
      <c r="E334" s="101"/>
      <c r="F334" s="101"/>
      <c r="G334" s="101"/>
      <c r="H334" s="101"/>
      <c r="I334" s="101"/>
      <c r="J334" s="101"/>
      <c r="K334" s="101"/>
      <c r="L334" s="101"/>
      <c r="M334" s="101"/>
    </row>
    <row r="335">
      <c r="A335" s="101"/>
      <c r="B335" s="101"/>
      <c r="C335" s="101"/>
      <c r="D335" s="101"/>
      <c r="E335" s="101"/>
      <c r="F335" s="101"/>
      <c r="G335" s="101"/>
      <c r="H335" s="101"/>
      <c r="I335" s="101"/>
      <c r="J335" s="101"/>
      <c r="K335" s="101"/>
      <c r="L335" s="101"/>
      <c r="M335" s="101"/>
    </row>
    <row r="336">
      <c r="A336" s="101"/>
      <c r="B336" s="101"/>
      <c r="C336" s="101"/>
      <c r="D336" s="101"/>
      <c r="E336" s="101"/>
      <c r="F336" s="101"/>
      <c r="G336" s="101"/>
      <c r="H336" s="101"/>
      <c r="I336" s="101"/>
      <c r="J336" s="101"/>
      <c r="K336" s="101"/>
      <c r="L336" s="101"/>
      <c r="M336" s="101"/>
    </row>
    <row r="337">
      <c r="A337" s="101"/>
      <c r="B337" s="101"/>
      <c r="C337" s="101"/>
      <c r="D337" s="101"/>
      <c r="E337" s="101"/>
      <c r="F337" s="101"/>
      <c r="G337" s="101"/>
      <c r="H337" s="101"/>
      <c r="I337" s="101"/>
      <c r="J337" s="101"/>
      <c r="K337" s="101"/>
      <c r="L337" s="101"/>
      <c r="M337" s="101"/>
    </row>
    <row r="338">
      <c r="A338" s="101"/>
      <c r="B338" s="101"/>
      <c r="C338" s="101"/>
      <c r="D338" s="101"/>
      <c r="E338" s="101"/>
      <c r="F338" s="101"/>
      <c r="G338" s="101"/>
      <c r="H338" s="101"/>
      <c r="I338" s="101"/>
      <c r="J338" s="101"/>
      <c r="K338" s="101"/>
      <c r="L338" s="101"/>
      <c r="M338" s="101"/>
    </row>
    <row r="339">
      <c r="A339" s="101"/>
      <c r="B339" s="101"/>
      <c r="C339" s="101"/>
      <c r="D339" s="101"/>
      <c r="E339" s="101"/>
      <c r="F339" s="101"/>
      <c r="G339" s="101"/>
      <c r="H339" s="101"/>
      <c r="I339" s="101"/>
      <c r="J339" s="101"/>
      <c r="K339" s="101"/>
      <c r="L339" s="101"/>
      <c r="M339" s="101"/>
    </row>
    <row r="340">
      <c r="A340" s="101"/>
      <c r="B340" s="101"/>
      <c r="C340" s="101"/>
      <c r="D340" s="101"/>
      <c r="E340" s="101"/>
      <c r="F340" s="101"/>
      <c r="G340" s="101"/>
      <c r="H340" s="101"/>
      <c r="I340" s="101"/>
      <c r="J340" s="101"/>
      <c r="K340" s="101"/>
      <c r="L340" s="101"/>
      <c r="M340" s="101"/>
    </row>
    <row r="341">
      <c r="A341" s="101"/>
      <c r="B341" s="101"/>
      <c r="C341" s="101"/>
      <c r="D341" s="101"/>
      <c r="E341" s="101"/>
      <c r="F341" s="101"/>
      <c r="G341" s="101"/>
      <c r="H341" s="101"/>
      <c r="I341" s="101"/>
      <c r="J341" s="101"/>
      <c r="K341" s="101"/>
      <c r="L341" s="101"/>
      <c r="M341" s="101"/>
    </row>
    <row r="342">
      <c r="A342" s="101"/>
      <c r="B342" s="101"/>
      <c r="C342" s="101"/>
      <c r="D342" s="101"/>
      <c r="E342" s="101"/>
      <c r="F342" s="101"/>
      <c r="G342" s="101"/>
      <c r="H342" s="101"/>
      <c r="I342" s="101"/>
      <c r="J342" s="101"/>
      <c r="K342" s="101"/>
      <c r="L342" s="101"/>
      <c r="M342" s="101"/>
    </row>
    <row r="343">
      <c r="A343" s="101"/>
      <c r="B343" s="101"/>
      <c r="C343" s="101"/>
      <c r="D343" s="101"/>
      <c r="E343" s="101"/>
      <c r="F343" s="101"/>
      <c r="G343" s="101"/>
      <c r="H343" s="101"/>
      <c r="I343" s="101"/>
      <c r="J343" s="101"/>
      <c r="K343" s="101"/>
      <c r="L343" s="101"/>
      <c r="M343" s="101"/>
    </row>
    <row r="344">
      <c r="A344" s="101"/>
      <c r="B344" s="101"/>
      <c r="C344" s="101"/>
      <c r="D344" s="101"/>
      <c r="E344" s="101"/>
      <c r="F344" s="101"/>
      <c r="G344" s="101"/>
      <c r="H344" s="101"/>
      <c r="I344" s="101"/>
      <c r="J344" s="101"/>
      <c r="K344" s="101"/>
      <c r="L344" s="101"/>
      <c r="M344" s="101"/>
    </row>
    <row r="345">
      <c r="A345" s="101"/>
      <c r="B345" s="101"/>
      <c r="C345" s="101"/>
      <c r="D345" s="101"/>
      <c r="E345" s="101"/>
      <c r="F345" s="101"/>
      <c r="G345" s="101"/>
      <c r="H345" s="101"/>
      <c r="I345" s="101"/>
      <c r="J345" s="101"/>
      <c r="K345" s="101"/>
      <c r="L345" s="101"/>
      <c r="M345" s="101"/>
    </row>
    <row r="346">
      <c r="A346" s="101"/>
      <c r="B346" s="101"/>
      <c r="C346" s="101"/>
      <c r="D346" s="101"/>
      <c r="E346" s="101"/>
      <c r="F346" s="101"/>
      <c r="G346" s="101"/>
      <c r="H346" s="101"/>
      <c r="I346" s="101"/>
      <c r="J346" s="101"/>
      <c r="K346" s="101"/>
      <c r="L346" s="101"/>
      <c r="M346" s="101"/>
    </row>
    <row r="347">
      <c r="A347" s="101"/>
      <c r="B347" s="101"/>
      <c r="C347" s="101"/>
      <c r="D347" s="101"/>
      <c r="E347" s="101"/>
      <c r="F347" s="101"/>
      <c r="G347" s="101"/>
      <c r="H347" s="101"/>
      <c r="I347" s="101"/>
      <c r="J347" s="101"/>
      <c r="K347" s="101"/>
      <c r="L347" s="101"/>
      <c r="M347" s="101"/>
    </row>
    <row r="348">
      <c r="A348" s="101"/>
      <c r="B348" s="101"/>
      <c r="C348" s="101"/>
      <c r="D348" s="101"/>
      <c r="E348" s="101"/>
      <c r="F348" s="101"/>
      <c r="G348" s="101"/>
      <c r="H348" s="101"/>
      <c r="I348" s="101"/>
      <c r="J348" s="101"/>
      <c r="K348" s="101"/>
      <c r="L348" s="101"/>
      <c r="M348" s="101"/>
    </row>
    <row r="349">
      <c r="A349" s="101"/>
      <c r="B349" s="101"/>
      <c r="C349" s="101"/>
      <c r="D349" s="101"/>
      <c r="E349" s="101"/>
      <c r="F349" s="101"/>
      <c r="G349" s="101"/>
      <c r="H349" s="101"/>
      <c r="I349" s="101"/>
      <c r="J349" s="101"/>
      <c r="K349" s="101"/>
      <c r="L349" s="101"/>
      <c r="M349" s="101"/>
    </row>
    <row r="350">
      <c r="A350" s="101"/>
      <c r="B350" s="101"/>
      <c r="C350" s="101"/>
      <c r="D350" s="101"/>
      <c r="E350" s="101"/>
      <c r="F350" s="101"/>
      <c r="G350" s="101"/>
      <c r="H350" s="101"/>
      <c r="I350" s="101"/>
      <c r="J350" s="101"/>
      <c r="K350" s="101"/>
      <c r="L350" s="101"/>
      <c r="M350" s="101"/>
    </row>
    <row r="351">
      <c r="A351" s="101"/>
      <c r="B351" s="101"/>
      <c r="C351" s="101"/>
      <c r="D351" s="101"/>
      <c r="E351" s="101"/>
      <c r="F351" s="101"/>
      <c r="G351" s="101"/>
      <c r="H351" s="101"/>
      <c r="I351" s="101"/>
      <c r="J351" s="101"/>
      <c r="K351" s="101"/>
      <c r="L351" s="101"/>
      <c r="M351" s="101"/>
    </row>
    <row r="352">
      <c r="A352" s="101"/>
      <c r="B352" s="101"/>
      <c r="C352" s="101"/>
      <c r="D352" s="101"/>
      <c r="E352" s="101"/>
      <c r="F352" s="101"/>
      <c r="G352" s="101"/>
      <c r="H352" s="101"/>
      <c r="I352" s="101"/>
      <c r="J352" s="101"/>
      <c r="K352" s="101"/>
      <c r="L352" s="101"/>
      <c r="M352" s="101"/>
    </row>
    <row r="353">
      <c r="A353" s="101"/>
      <c r="B353" s="101"/>
      <c r="C353" s="101"/>
      <c r="D353" s="101"/>
      <c r="E353" s="101"/>
      <c r="F353" s="101"/>
      <c r="G353" s="101"/>
      <c r="H353" s="101"/>
      <c r="I353" s="101"/>
      <c r="J353" s="101"/>
      <c r="K353" s="101"/>
      <c r="L353" s="101"/>
      <c r="M353" s="101"/>
    </row>
    <row r="354">
      <c r="A354" s="101"/>
      <c r="B354" s="101"/>
      <c r="C354" s="101"/>
      <c r="D354" s="101"/>
      <c r="E354" s="101"/>
      <c r="F354" s="101"/>
      <c r="G354" s="101"/>
      <c r="H354" s="101"/>
      <c r="I354" s="101"/>
      <c r="J354" s="101"/>
      <c r="K354" s="101"/>
      <c r="L354" s="101"/>
      <c r="M354" s="101"/>
    </row>
    <row r="355">
      <c r="A355" s="101"/>
      <c r="B355" s="101"/>
      <c r="C355" s="101"/>
      <c r="D355" s="101"/>
      <c r="E355" s="101"/>
      <c r="F355" s="101"/>
      <c r="G355" s="101"/>
      <c r="H355" s="101"/>
      <c r="I355" s="101"/>
      <c r="J355" s="101"/>
      <c r="K355" s="101"/>
      <c r="L355" s="101"/>
      <c r="M355" s="101"/>
    </row>
    <row r="356">
      <c r="A356" s="101"/>
      <c r="B356" s="101"/>
      <c r="C356" s="101"/>
      <c r="D356" s="101"/>
      <c r="E356" s="101"/>
      <c r="F356" s="101"/>
      <c r="G356" s="101"/>
      <c r="H356" s="101"/>
      <c r="I356" s="101"/>
      <c r="J356" s="101"/>
      <c r="K356" s="101"/>
      <c r="L356" s="101"/>
      <c r="M356" s="101"/>
    </row>
    <row r="357">
      <c r="A357" s="101"/>
      <c r="B357" s="101"/>
      <c r="C357" s="101"/>
      <c r="D357" s="101"/>
      <c r="E357" s="101"/>
      <c r="F357" s="101"/>
      <c r="G357" s="101"/>
      <c r="H357" s="101"/>
      <c r="I357" s="101"/>
      <c r="J357" s="101"/>
      <c r="K357" s="101"/>
      <c r="L357" s="101"/>
      <c r="M357" s="101"/>
    </row>
    <row r="358">
      <c r="A358" s="101"/>
      <c r="B358" s="101"/>
      <c r="C358" s="101"/>
      <c r="D358" s="101"/>
      <c r="E358" s="101"/>
      <c r="F358" s="101"/>
      <c r="G358" s="101"/>
      <c r="H358" s="101"/>
      <c r="I358" s="101"/>
      <c r="J358" s="101"/>
      <c r="K358" s="101"/>
      <c r="L358" s="101"/>
      <c r="M358" s="101"/>
    </row>
    <row r="359">
      <c r="A359" s="101"/>
      <c r="B359" s="101"/>
      <c r="C359" s="101"/>
      <c r="D359" s="101"/>
      <c r="E359" s="101"/>
      <c r="F359" s="101"/>
      <c r="G359" s="101"/>
      <c r="H359" s="101"/>
      <c r="I359" s="101"/>
      <c r="J359" s="101"/>
      <c r="K359" s="101"/>
      <c r="L359" s="101"/>
      <c r="M359" s="101"/>
    </row>
    <row r="360">
      <c r="A360" s="101"/>
      <c r="B360" s="101"/>
      <c r="C360" s="101"/>
      <c r="D360" s="101"/>
      <c r="E360" s="101"/>
      <c r="F360" s="101"/>
      <c r="G360" s="101"/>
      <c r="H360" s="101"/>
      <c r="I360" s="101"/>
      <c r="J360" s="101"/>
      <c r="K360" s="101"/>
      <c r="L360" s="101"/>
      <c r="M360" s="101"/>
    </row>
    <row r="361">
      <c r="A361" s="101"/>
      <c r="B361" s="101"/>
      <c r="C361" s="101"/>
      <c r="D361" s="101"/>
      <c r="E361" s="101"/>
      <c r="F361" s="101"/>
      <c r="G361" s="101"/>
      <c r="H361" s="101"/>
      <c r="I361" s="101"/>
      <c r="J361" s="101"/>
      <c r="K361" s="101"/>
      <c r="L361" s="101"/>
      <c r="M361" s="101"/>
    </row>
    <row r="362">
      <c r="A362" s="101"/>
      <c r="B362" s="101"/>
      <c r="C362" s="101"/>
      <c r="D362" s="101"/>
      <c r="E362" s="101"/>
      <c r="F362" s="101"/>
      <c r="G362" s="101"/>
      <c r="H362" s="101"/>
      <c r="I362" s="101"/>
      <c r="J362" s="101"/>
      <c r="K362" s="101"/>
      <c r="L362" s="101"/>
      <c r="M362" s="101"/>
    </row>
    <row r="363">
      <c r="A363" s="101"/>
      <c r="B363" s="101"/>
      <c r="C363" s="101"/>
      <c r="D363" s="101"/>
      <c r="E363" s="101"/>
      <c r="F363" s="101"/>
      <c r="G363" s="101"/>
      <c r="H363" s="101"/>
      <c r="I363" s="101"/>
      <c r="J363" s="101"/>
      <c r="K363" s="101"/>
      <c r="L363" s="101"/>
      <c r="M363" s="101"/>
    </row>
    <row r="364">
      <c r="A364" s="101"/>
      <c r="B364" s="101"/>
      <c r="C364" s="101"/>
      <c r="D364" s="101"/>
      <c r="E364" s="101"/>
      <c r="F364" s="101"/>
      <c r="G364" s="101"/>
      <c r="H364" s="101"/>
      <c r="I364" s="101"/>
      <c r="J364" s="101"/>
      <c r="K364" s="101"/>
      <c r="L364" s="101"/>
      <c r="M364" s="101"/>
    </row>
    <row r="365">
      <c r="A365" s="101"/>
      <c r="B365" s="101"/>
      <c r="C365" s="101"/>
      <c r="D365" s="101"/>
      <c r="E365" s="101"/>
      <c r="F365" s="101"/>
      <c r="G365" s="101"/>
      <c r="H365" s="101"/>
      <c r="I365" s="101"/>
      <c r="J365" s="101"/>
      <c r="K365" s="101"/>
      <c r="L365" s="101"/>
      <c r="M365" s="101"/>
    </row>
    <row r="366">
      <c r="A366" s="101"/>
      <c r="B366" s="101"/>
      <c r="C366" s="101"/>
      <c r="D366" s="101"/>
      <c r="E366" s="101"/>
      <c r="F366" s="101"/>
      <c r="G366" s="101"/>
      <c r="H366" s="101"/>
      <c r="I366" s="101"/>
      <c r="J366" s="101"/>
      <c r="K366" s="101"/>
      <c r="L366" s="101"/>
      <c r="M366" s="101"/>
    </row>
    <row r="367">
      <c r="A367" s="101"/>
      <c r="B367" s="101"/>
      <c r="C367" s="101"/>
      <c r="D367" s="101"/>
      <c r="E367" s="101"/>
      <c r="F367" s="101"/>
      <c r="G367" s="101"/>
      <c r="H367" s="101"/>
      <c r="I367" s="101"/>
      <c r="J367" s="101"/>
      <c r="K367" s="101"/>
      <c r="L367" s="101"/>
      <c r="M367" s="101"/>
    </row>
    <row r="368">
      <c r="A368" s="101"/>
      <c r="B368" s="101"/>
      <c r="C368" s="101"/>
      <c r="D368" s="101"/>
      <c r="E368" s="101"/>
      <c r="F368" s="101"/>
      <c r="G368" s="101"/>
      <c r="H368" s="101"/>
      <c r="I368" s="101"/>
      <c r="J368" s="101"/>
      <c r="K368" s="101"/>
      <c r="L368" s="101"/>
      <c r="M368" s="101"/>
    </row>
    <row r="369">
      <c r="A369" s="101"/>
      <c r="B369" s="101"/>
      <c r="C369" s="101"/>
      <c r="D369" s="101"/>
      <c r="E369" s="101"/>
      <c r="F369" s="101"/>
      <c r="G369" s="101"/>
      <c r="H369" s="101"/>
      <c r="I369" s="101"/>
      <c r="J369" s="101"/>
      <c r="K369" s="101"/>
      <c r="L369" s="101"/>
      <c r="M369" s="101"/>
    </row>
    <row r="370">
      <c r="A370" s="101"/>
      <c r="B370" s="101"/>
      <c r="C370" s="101"/>
      <c r="D370" s="101"/>
      <c r="E370" s="101"/>
      <c r="F370" s="101"/>
      <c r="G370" s="101"/>
      <c r="H370" s="101"/>
      <c r="I370" s="101"/>
      <c r="J370" s="101"/>
      <c r="K370" s="101"/>
      <c r="L370" s="101"/>
      <c r="M370" s="101"/>
    </row>
    <row r="371">
      <c r="A371" s="101"/>
      <c r="B371" s="101"/>
      <c r="C371" s="101"/>
      <c r="D371" s="101"/>
      <c r="E371" s="101"/>
      <c r="F371" s="101"/>
      <c r="G371" s="101"/>
      <c r="H371" s="101"/>
      <c r="I371" s="101"/>
      <c r="J371" s="101"/>
      <c r="K371" s="101"/>
      <c r="L371" s="101"/>
      <c r="M371" s="101"/>
    </row>
    <row r="372">
      <c r="A372" s="101"/>
      <c r="B372" s="101"/>
      <c r="C372" s="101"/>
      <c r="D372" s="101"/>
      <c r="E372" s="101"/>
      <c r="F372" s="101"/>
      <c r="G372" s="101"/>
      <c r="H372" s="101"/>
      <c r="I372" s="101"/>
      <c r="J372" s="101"/>
      <c r="K372" s="101"/>
      <c r="L372" s="101"/>
      <c r="M372" s="101"/>
    </row>
    <row r="373">
      <c r="A373" s="101"/>
      <c r="B373" s="101"/>
      <c r="C373" s="101"/>
      <c r="D373" s="101"/>
      <c r="E373" s="101"/>
      <c r="F373" s="101"/>
      <c r="G373" s="101"/>
      <c r="H373" s="101"/>
      <c r="I373" s="101"/>
      <c r="J373" s="101"/>
      <c r="K373" s="101"/>
      <c r="L373" s="101"/>
      <c r="M373" s="101"/>
    </row>
    <row r="374">
      <c r="A374" s="101"/>
      <c r="B374" s="101"/>
      <c r="C374" s="101"/>
      <c r="D374" s="101"/>
      <c r="E374" s="101"/>
      <c r="F374" s="101"/>
      <c r="G374" s="101"/>
      <c r="H374" s="101"/>
      <c r="I374" s="101"/>
      <c r="J374" s="101"/>
      <c r="K374" s="101"/>
      <c r="L374" s="101"/>
      <c r="M374" s="101"/>
    </row>
    <row r="375">
      <c r="A375" s="101"/>
      <c r="B375" s="101"/>
      <c r="C375" s="101"/>
      <c r="D375" s="101"/>
      <c r="E375" s="101"/>
      <c r="F375" s="101"/>
      <c r="G375" s="101"/>
      <c r="H375" s="101"/>
      <c r="I375" s="101"/>
      <c r="J375" s="101"/>
      <c r="K375" s="101"/>
      <c r="L375" s="101"/>
      <c r="M375" s="101"/>
    </row>
    <row r="376">
      <c r="A376" s="101"/>
      <c r="B376" s="101"/>
      <c r="C376" s="101"/>
      <c r="D376" s="101"/>
      <c r="E376" s="101"/>
      <c r="F376" s="101"/>
      <c r="G376" s="101"/>
      <c r="H376" s="101"/>
      <c r="I376" s="101"/>
      <c r="J376" s="101"/>
      <c r="K376" s="101"/>
      <c r="L376" s="101"/>
      <c r="M376" s="101"/>
    </row>
    <row r="377">
      <c r="A377" s="101"/>
      <c r="B377" s="101"/>
      <c r="C377" s="101"/>
      <c r="D377" s="101"/>
      <c r="E377" s="101"/>
      <c r="F377" s="101"/>
      <c r="G377" s="101"/>
      <c r="H377" s="101"/>
      <c r="I377" s="101"/>
      <c r="J377" s="101"/>
      <c r="K377" s="101"/>
      <c r="L377" s="101"/>
      <c r="M377" s="101"/>
    </row>
    <row r="378">
      <c r="A378" s="101"/>
      <c r="B378" s="101"/>
      <c r="C378" s="101"/>
      <c r="D378" s="101"/>
      <c r="E378" s="101"/>
      <c r="F378" s="101"/>
      <c r="G378" s="101"/>
      <c r="H378" s="101"/>
      <c r="I378" s="101"/>
      <c r="J378" s="101"/>
      <c r="K378" s="101"/>
      <c r="L378" s="101"/>
      <c r="M378" s="101"/>
    </row>
    <row r="379">
      <c r="A379" s="101"/>
      <c r="B379" s="101"/>
      <c r="C379" s="101"/>
      <c r="D379" s="101"/>
      <c r="E379" s="101"/>
      <c r="F379" s="101"/>
      <c r="G379" s="101"/>
      <c r="H379" s="101"/>
      <c r="I379" s="101"/>
      <c r="J379" s="101"/>
      <c r="K379" s="101"/>
      <c r="L379" s="101"/>
      <c r="M379" s="101"/>
    </row>
    <row r="380">
      <c r="A380" s="101"/>
      <c r="B380" s="101"/>
      <c r="C380" s="101"/>
      <c r="D380" s="101"/>
      <c r="E380" s="101"/>
      <c r="F380" s="101"/>
      <c r="G380" s="101"/>
      <c r="H380" s="101"/>
      <c r="I380" s="101"/>
      <c r="J380" s="101"/>
      <c r="K380" s="101"/>
      <c r="L380" s="101"/>
      <c r="M380" s="101"/>
    </row>
    <row r="381">
      <c r="A381" s="101"/>
      <c r="B381" s="101"/>
      <c r="C381" s="101"/>
      <c r="D381" s="101"/>
      <c r="E381" s="101"/>
      <c r="F381" s="101"/>
      <c r="G381" s="101"/>
      <c r="H381" s="101"/>
      <c r="I381" s="101"/>
      <c r="J381" s="101"/>
      <c r="K381" s="101"/>
      <c r="L381" s="101"/>
      <c r="M381" s="101"/>
    </row>
    <row r="382">
      <c r="A382" s="101"/>
      <c r="B382" s="101"/>
      <c r="C382" s="101"/>
      <c r="D382" s="101"/>
      <c r="E382" s="101"/>
      <c r="F382" s="101"/>
      <c r="G382" s="101"/>
      <c r="H382" s="101"/>
      <c r="I382" s="101"/>
      <c r="J382" s="101"/>
      <c r="K382" s="101"/>
      <c r="L382" s="101"/>
      <c r="M382" s="101"/>
    </row>
    <row r="383">
      <c r="A383" s="101"/>
      <c r="B383" s="101"/>
      <c r="C383" s="101"/>
      <c r="D383" s="101"/>
      <c r="E383" s="101"/>
      <c r="F383" s="101"/>
      <c r="G383" s="101"/>
      <c r="H383" s="101"/>
      <c r="I383" s="101"/>
      <c r="J383" s="101"/>
      <c r="K383" s="101"/>
      <c r="L383" s="101"/>
      <c r="M383" s="101"/>
    </row>
    <row r="384">
      <c r="A384" s="101"/>
      <c r="B384" s="101"/>
      <c r="C384" s="101"/>
      <c r="D384" s="101"/>
      <c r="E384" s="101"/>
      <c r="F384" s="101"/>
      <c r="G384" s="101"/>
      <c r="H384" s="101"/>
      <c r="I384" s="101"/>
      <c r="J384" s="101"/>
      <c r="K384" s="101"/>
      <c r="L384" s="101"/>
      <c r="M384" s="101"/>
    </row>
    <row r="385">
      <c r="A385" s="101"/>
      <c r="B385" s="101"/>
      <c r="C385" s="101"/>
      <c r="D385" s="101"/>
      <c r="E385" s="101"/>
      <c r="F385" s="101"/>
      <c r="G385" s="101"/>
      <c r="H385" s="101"/>
      <c r="I385" s="101"/>
      <c r="J385" s="101"/>
      <c r="K385" s="101"/>
      <c r="L385" s="101"/>
      <c r="M385" s="101"/>
    </row>
    <row r="386">
      <c r="A386" s="101"/>
      <c r="B386" s="101"/>
      <c r="C386" s="101"/>
      <c r="D386" s="101"/>
      <c r="E386" s="101"/>
      <c r="F386" s="101"/>
      <c r="G386" s="101"/>
      <c r="H386" s="101"/>
      <c r="I386" s="101"/>
      <c r="J386" s="101"/>
      <c r="K386" s="101"/>
      <c r="L386" s="101"/>
      <c r="M386" s="101"/>
    </row>
    <row r="387">
      <c r="A387" s="101"/>
      <c r="B387" s="101"/>
      <c r="C387" s="101"/>
      <c r="D387" s="101"/>
      <c r="E387" s="101"/>
      <c r="F387" s="101"/>
      <c r="G387" s="101"/>
      <c r="H387" s="101"/>
      <c r="I387" s="101"/>
      <c r="J387" s="101"/>
      <c r="K387" s="101"/>
      <c r="L387" s="101"/>
      <c r="M387" s="101"/>
    </row>
    <row r="388">
      <c r="A388" s="101"/>
      <c r="B388" s="101"/>
      <c r="C388" s="101"/>
      <c r="D388" s="101"/>
      <c r="E388" s="101"/>
      <c r="F388" s="101"/>
      <c r="G388" s="101"/>
      <c r="H388" s="101"/>
      <c r="I388" s="101"/>
      <c r="J388" s="101"/>
      <c r="K388" s="101"/>
      <c r="L388" s="101"/>
      <c r="M388" s="101"/>
    </row>
    <row r="389">
      <c r="A389" s="101"/>
      <c r="B389" s="101"/>
      <c r="C389" s="101"/>
      <c r="D389" s="101"/>
      <c r="E389" s="101"/>
      <c r="F389" s="101"/>
      <c r="G389" s="101"/>
      <c r="H389" s="101"/>
      <c r="I389" s="101"/>
      <c r="J389" s="101"/>
      <c r="K389" s="101"/>
      <c r="L389" s="101"/>
      <c r="M389" s="101"/>
    </row>
    <row r="390">
      <c r="A390" s="101"/>
      <c r="B390" s="101"/>
      <c r="C390" s="101"/>
      <c r="D390" s="101"/>
      <c r="E390" s="101"/>
      <c r="F390" s="101"/>
      <c r="G390" s="101"/>
      <c r="H390" s="101"/>
      <c r="I390" s="101"/>
      <c r="J390" s="101"/>
      <c r="K390" s="101"/>
      <c r="L390" s="101"/>
      <c r="M390" s="101"/>
    </row>
    <row r="391">
      <c r="A391" s="101"/>
      <c r="B391" s="101"/>
      <c r="C391" s="101"/>
      <c r="D391" s="101"/>
      <c r="E391" s="101"/>
      <c r="F391" s="101"/>
      <c r="G391" s="101"/>
      <c r="H391" s="101"/>
      <c r="I391" s="101"/>
      <c r="J391" s="101"/>
      <c r="K391" s="101"/>
      <c r="L391" s="101"/>
      <c r="M391" s="101"/>
    </row>
    <row r="392">
      <c r="A392" s="101"/>
      <c r="B392" s="101"/>
      <c r="C392" s="101"/>
      <c r="D392" s="101"/>
      <c r="E392" s="101"/>
      <c r="F392" s="101"/>
      <c r="G392" s="101"/>
      <c r="H392" s="101"/>
      <c r="I392" s="101"/>
      <c r="J392" s="101"/>
      <c r="K392" s="101"/>
      <c r="L392" s="101"/>
      <c r="M392" s="101"/>
    </row>
    <row r="393">
      <c r="A393" s="101"/>
      <c r="B393" s="101"/>
      <c r="C393" s="101"/>
      <c r="D393" s="101"/>
      <c r="E393" s="101"/>
      <c r="F393" s="101"/>
      <c r="G393" s="101"/>
      <c r="H393" s="101"/>
      <c r="I393" s="101"/>
      <c r="J393" s="101"/>
      <c r="K393" s="101"/>
      <c r="L393" s="101"/>
      <c r="M393" s="101"/>
    </row>
    <row r="394">
      <c r="A394" s="101"/>
      <c r="B394" s="101"/>
      <c r="C394" s="101"/>
      <c r="D394" s="101"/>
      <c r="E394" s="101"/>
      <c r="F394" s="101"/>
      <c r="G394" s="101"/>
      <c r="H394" s="101"/>
      <c r="I394" s="101"/>
      <c r="J394" s="101"/>
      <c r="K394" s="101"/>
      <c r="L394" s="101"/>
      <c r="M394" s="101"/>
    </row>
    <row r="395">
      <c r="A395" s="101"/>
      <c r="B395" s="101"/>
      <c r="C395" s="101"/>
      <c r="D395" s="101"/>
      <c r="E395" s="101"/>
      <c r="F395" s="101"/>
      <c r="G395" s="101"/>
      <c r="H395" s="101"/>
      <c r="I395" s="101"/>
      <c r="J395" s="101"/>
      <c r="K395" s="101"/>
      <c r="L395" s="101"/>
      <c r="M395" s="101"/>
    </row>
    <row r="396">
      <c r="A396" s="101"/>
      <c r="B396" s="101"/>
      <c r="C396" s="101"/>
      <c r="D396" s="101"/>
      <c r="E396" s="101"/>
      <c r="F396" s="101"/>
      <c r="G396" s="101"/>
      <c r="H396" s="101"/>
      <c r="I396" s="101"/>
      <c r="J396" s="101"/>
      <c r="K396" s="101"/>
      <c r="L396" s="101"/>
      <c r="M396" s="101"/>
    </row>
    <row r="397">
      <c r="A397" s="101"/>
      <c r="B397" s="101"/>
      <c r="C397" s="101"/>
      <c r="D397" s="101"/>
      <c r="E397" s="101"/>
      <c r="F397" s="101"/>
      <c r="G397" s="101"/>
      <c r="H397" s="101"/>
      <c r="I397" s="101"/>
      <c r="J397" s="101"/>
      <c r="K397" s="101"/>
      <c r="L397" s="101"/>
      <c r="M397" s="101"/>
    </row>
    <row r="398">
      <c r="A398" s="101"/>
      <c r="B398" s="101"/>
      <c r="C398" s="101"/>
      <c r="D398" s="101"/>
      <c r="E398" s="101"/>
      <c r="F398" s="101"/>
      <c r="G398" s="101"/>
      <c r="H398" s="101"/>
      <c r="I398" s="101"/>
      <c r="J398" s="101"/>
      <c r="K398" s="101"/>
      <c r="L398" s="101"/>
      <c r="M398" s="101"/>
    </row>
    <row r="399">
      <c r="A399" s="101"/>
      <c r="B399" s="101"/>
      <c r="C399" s="101"/>
      <c r="D399" s="101"/>
      <c r="E399" s="101"/>
      <c r="F399" s="101"/>
      <c r="G399" s="101"/>
      <c r="H399" s="101"/>
      <c r="I399" s="101"/>
      <c r="J399" s="101"/>
      <c r="K399" s="101"/>
      <c r="L399" s="101"/>
      <c r="M399" s="101"/>
    </row>
    <row r="400">
      <c r="A400" s="101"/>
      <c r="B400" s="101"/>
      <c r="C400" s="101"/>
      <c r="D400" s="101"/>
      <c r="E400" s="101"/>
      <c r="F400" s="101"/>
      <c r="G400" s="101"/>
      <c r="H400" s="101"/>
      <c r="I400" s="101"/>
      <c r="J400" s="101"/>
      <c r="K400" s="101"/>
      <c r="L400" s="101"/>
      <c r="M400" s="101"/>
    </row>
    <row r="401">
      <c r="A401" s="101"/>
      <c r="B401" s="101"/>
      <c r="C401" s="101"/>
      <c r="D401" s="101"/>
      <c r="E401" s="101"/>
      <c r="F401" s="101"/>
      <c r="G401" s="101"/>
      <c r="H401" s="101"/>
      <c r="I401" s="101"/>
      <c r="J401" s="101"/>
      <c r="K401" s="101"/>
      <c r="L401" s="101"/>
      <c r="M401" s="101"/>
    </row>
    <row r="402">
      <c r="A402" s="101"/>
      <c r="B402" s="101"/>
      <c r="C402" s="101"/>
      <c r="D402" s="101"/>
      <c r="E402" s="101"/>
      <c r="F402" s="101"/>
      <c r="G402" s="101"/>
      <c r="H402" s="101"/>
      <c r="I402" s="101"/>
      <c r="J402" s="101"/>
      <c r="K402" s="101"/>
      <c r="L402" s="101"/>
      <c r="M402" s="101"/>
    </row>
    <row r="403">
      <c r="A403" s="101"/>
      <c r="B403" s="101"/>
      <c r="C403" s="101"/>
      <c r="D403" s="101"/>
      <c r="E403" s="101"/>
      <c r="F403" s="101"/>
      <c r="G403" s="101"/>
      <c r="H403" s="101"/>
      <c r="I403" s="101"/>
      <c r="J403" s="101"/>
      <c r="K403" s="101"/>
      <c r="L403" s="101"/>
      <c r="M403" s="101"/>
    </row>
    <row r="404">
      <c r="A404" s="101"/>
      <c r="B404" s="101"/>
      <c r="C404" s="101"/>
      <c r="D404" s="101"/>
      <c r="E404" s="101"/>
      <c r="F404" s="101"/>
      <c r="G404" s="101"/>
      <c r="H404" s="101"/>
      <c r="I404" s="101"/>
      <c r="J404" s="101"/>
      <c r="K404" s="101"/>
      <c r="L404" s="101"/>
      <c r="M404" s="101"/>
    </row>
    <row r="405">
      <c r="A405" s="101"/>
      <c r="B405" s="101"/>
      <c r="C405" s="101"/>
      <c r="D405" s="101"/>
      <c r="E405" s="101"/>
      <c r="F405" s="101"/>
      <c r="G405" s="101"/>
      <c r="H405" s="101"/>
      <c r="I405" s="101"/>
      <c r="J405" s="101"/>
      <c r="K405" s="101"/>
      <c r="L405" s="101"/>
      <c r="M405" s="101"/>
    </row>
    <row r="406">
      <c r="A406" s="101"/>
      <c r="B406" s="101"/>
      <c r="C406" s="101"/>
      <c r="D406" s="101"/>
      <c r="E406" s="101"/>
      <c r="F406" s="101"/>
      <c r="G406" s="101"/>
      <c r="H406" s="101"/>
      <c r="I406" s="101"/>
      <c r="J406" s="101"/>
      <c r="K406" s="101"/>
      <c r="L406" s="101"/>
      <c r="M406" s="101"/>
    </row>
    <row r="407">
      <c r="A407" s="101"/>
      <c r="B407" s="101"/>
      <c r="C407" s="101"/>
      <c r="D407" s="101"/>
      <c r="E407" s="101"/>
      <c r="F407" s="101"/>
      <c r="G407" s="101"/>
      <c r="H407" s="101"/>
      <c r="I407" s="101"/>
      <c r="J407" s="101"/>
      <c r="K407" s="101"/>
      <c r="L407" s="101"/>
      <c r="M407" s="101"/>
    </row>
    <row r="408">
      <c r="A408" s="101"/>
      <c r="B408" s="101"/>
      <c r="C408" s="101"/>
      <c r="D408" s="101"/>
      <c r="E408" s="101"/>
      <c r="F408" s="101"/>
      <c r="G408" s="101"/>
      <c r="H408" s="101"/>
      <c r="I408" s="101"/>
      <c r="J408" s="101"/>
      <c r="K408" s="101"/>
      <c r="L408" s="101"/>
      <c r="M408" s="101"/>
    </row>
    <row r="409">
      <c r="A409" s="101"/>
      <c r="B409" s="101"/>
      <c r="C409" s="101"/>
      <c r="D409" s="101"/>
      <c r="E409" s="101"/>
      <c r="F409" s="101"/>
      <c r="G409" s="101"/>
      <c r="H409" s="101"/>
      <c r="I409" s="101"/>
      <c r="J409" s="101"/>
      <c r="K409" s="101"/>
      <c r="L409" s="101"/>
      <c r="M409" s="101"/>
    </row>
    <row r="410">
      <c r="A410" s="101"/>
      <c r="B410" s="101"/>
      <c r="C410" s="101"/>
      <c r="D410" s="101"/>
      <c r="E410" s="101"/>
      <c r="F410" s="101"/>
      <c r="G410" s="101"/>
      <c r="H410" s="101"/>
      <c r="I410" s="101"/>
      <c r="J410" s="101"/>
      <c r="K410" s="101"/>
      <c r="L410" s="101"/>
      <c r="M410" s="101"/>
    </row>
    <row r="411">
      <c r="A411" s="101"/>
      <c r="B411" s="101"/>
      <c r="C411" s="101"/>
      <c r="D411" s="101"/>
      <c r="E411" s="101"/>
      <c r="F411" s="101"/>
      <c r="G411" s="101"/>
      <c r="H411" s="101"/>
      <c r="I411" s="101"/>
      <c r="J411" s="101"/>
      <c r="K411" s="101"/>
      <c r="L411" s="101"/>
      <c r="M411" s="101"/>
    </row>
    <row r="412">
      <c r="A412" s="101"/>
      <c r="B412" s="101"/>
      <c r="C412" s="101"/>
      <c r="D412" s="101"/>
      <c r="E412" s="101"/>
      <c r="F412" s="101"/>
      <c r="G412" s="101"/>
      <c r="H412" s="101"/>
      <c r="I412" s="101"/>
      <c r="J412" s="101"/>
      <c r="K412" s="101"/>
      <c r="L412" s="101"/>
      <c r="M412" s="101"/>
    </row>
    <row r="413">
      <c r="A413" s="101"/>
      <c r="B413" s="101"/>
      <c r="C413" s="101"/>
      <c r="D413" s="101"/>
      <c r="E413" s="101"/>
      <c r="F413" s="101"/>
      <c r="G413" s="101"/>
      <c r="H413" s="101"/>
      <c r="I413" s="101"/>
      <c r="J413" s="101"/>
      <c r="K413" s="101"/>
      <c r="L413" s="101"/>
      <c r="M413" s="101"/>
    </row>
    <row r="414">
      <c r="A414" s="101"/>
      <c r="B414" s="101"/>
      <c r="C414" s="101"/>
      <c r="D414" s="101"/>
      <c r="E414" s="101"/>
      <c r="F414" s="101"/>
      <c r="G414" s="101"/>
      <c r="H414" s="101"/>
      <c r="I414" s="101"/>
      <c r="J414" s="101"/>
      <c r="K414" s="101"/>
      <c r="L414" s="101"/>
      <c r="M414" s="101"/>
    </row>
    <row r="415">
      <c r="A415" s="101"/>
      <c r="B415" s="101"/>
      <c r="C415" s="101"/>
      <c r="D415" s="101"/>
      <c r="E415" s="101"/>
      <c r="F415" s="101"/>
      <c r="G415" s="101"/>
      <c r="H415" s="101"/>
      <c r="I415" s="101"/>
      <c r="J415" s="101"/>
      <c r="K415" s="101"/>
      <c r="L415" s="101"/>
      <c r="M415" s="101"/>
    </row>
    <row r="416">
      <c r="A416" s="101"/>
      <c r="B416" s="101"/>
      <c r="C416" s="101"/>
      <c r="D416" s="101"/>
      <c r="E416" s="101"/>
      <c r="F416" s="101"/>
      <c r="G416" s="101"/>
      <c r="H416" s="101"/>
      <c r="I416" s="101"/>
      <c r="J416" s="101"/>
      <c r="K416" s="101"/>
      <c r="L416" s="101"/>
      <c r="M416" s="101"/>
    </row>
    <row r="417">
      <c r="A417" s="101"/>
      <c r="B417" s="101"/>
      <c r="C417" s="101"/>
      <c r="D417" s="101"/>
      <c r="E417" s="101"/>
      <c r="F417" s="101"/>
      <c r="G417" s="101"/>
      <c r="H417" s="101"/>
      <c r="I417" s="101"/>
      <c r="J417" s="101"/>
      <c r="K417" s="101"/>
      <c r="L417" s="101"/>
      <c r="M417" s="101"/>
    </row>
    <row r="418">
      <c r="A418" s="101"/>
      <c r="B418" s="101"/>
      <c r="C418" s="101"/>
      <c r="D418" s="101"/>
      <c r="E418" s="101"/>
      <c r="F418" s="101"/>
      <c r="G418" s="101"/>
      <c r="H418" s="101"/>
      <c r="I418" s="101"/>
      <c r="J418" s="101"/>
      <c r="K418" s="101"/>
      <c r="L418" s="101"/>
      <c r="M418" s="101"/>
    </row>
    <row r="419">
      <c r="A419" s="101"/>
      <c r="B419" s="101"/>
      <c r="C419" s="101"/>
      <c r="D419" s="101"/>
      <c r="E419" s="101"/>
      <c r="F419" s="101"/>
      <c r="G419" s="101"/>
      <c r="H419" s="101"/>
      <c r="I419" s="101"/>
      <c r="J419" s="101"/>
      <c r="K419" s="101"/>
      <c r="L419" s="101"/>
      <c r="M419" s="101"/>
    </row>
    <row r="420">
      <c r="A420" s="101"/>
      <c r="B420" s="101"/>
      <c r="C420" s="101"/>
      <c r="D420" s="101"/>
      <c r="E420" s="101"/>
      <c r="F420" s="101"/>
      <c r="G420" s="101"/>
      <c r="H420" s="101"/>
      <c r="I420" s="101"/>
      <c r="J420" s="101"/>
      <c r="K420" s="101"/>
      <c r="L420" s="101"/>
      <c r="M420" s="101"/>
    </row>
    <row r="421">
      <c r="A421" s="101"/>
      <c r="B421" s="101"/>
      <c r="C421" s="101"/>
      <c r="D421" s="101"/>
      <c r="E421" s="101"/>
      <c r="F421" s="101"/>
      <c r="G421" s="101"/>
      <c r="H421" s="101"/>
      <c r="I421" s="101"/>
      <c r="J421" s="101"/>
      <c r="K421" s="101"/>
      <c r="L421" s="101"/>
      <c r="M421" s="101"/>
    </row>
    <row r="422">
      <c r="A422" s="101"/>
      <c r="B422" s="101"/>
      <c r="C422" s="101"/>
      <c r="D422" s="101"/>
      <c r="E422" s="101"/>
      <c r="F422" s="101"/>
      <c r="G422" s="101"/>
      <c r="H422" s="101"/>
      <c r="I422" s="101"/>
      <c r="J422" s="101"/>
      <c r="K422" s="101"/>
      <c r="L422" s="101"/>
      <c r="M422" s="101"/>
    </row>
    <row r="423">
      <c r="A423" s="101"/>
      <c r="B423" s="101"/>
      <c r="C423" s="101"/>
      <c r="D423" s="101"/>
      <c r="E423" s="101"/>
      <c r="F423" s="101"/>
      <c r="G423" s="101"/>
      <c r="H423" s="101"/>
      <c r="I423" s="101"/>
      <c r="J423" s="101"/>
      <c r="K423" s="101"/>
      <c r="L423" s="101"/>
      <c r="M423" s="101"/>
    </row>
    <row r="424">
      <c r="A424" s="101"/>
      <c r="B424" s="101"/>
      <c r="C424" s="101"/>
      <c r="D424" s="101"/>
      <c r="E424" s="101"/>
      <c r="F424" s="101"/>
      <c r="G424" s="101"/>
      <c r="H424" s="101"/>
      <c r="I424" s="101"/>
      <c r="J424" s="101"/>
      <c r="K424" s="101"/>
      <c r="L424" s="101"/>
      <c r="M424" s="101"/>
    </row>
    <row r="425">
      <c r="A425" s="101"/>
      <c r="B425" s="101"/>
      <c r="C425" s="101"/>
      <c r="D425" s="101"/>
      <c r="E425" s="101"/>
      <c r="F425" s="101"/>
      <c r="G425" s="101"/>
      <c r="H425" s="101"/>
      <c r="I425" s="101"/>
      <c r="J425" s="101"/>
      <c r="K425" s="101"/>
      <c r="L425" s="101"/>
      <c r="M425" s="101"/>
    </row>
    <row r="426">
      <c r="A426" s="101"/>
      <c r="B426" s="101"/>
      <c r="C426" s="101"/>
      <c r="D426" s="101"/>
      <c r="E426" s="101"/>
      <c r="F426" s="101"/>
      <c r="G426" s="101"/>
      <c r="H426" s="101"/>
      <c r="I426" s="101"/>
      <c r="J426" s="101"/>
      <c r="K426" s="101"/>
      <c r="L426" s="101"/>
      <c r="M426" s="101"/>
    </row>
    <row r="427">
      <c r="A427" s="101"/>
      <c r="B427" s="101"/>
      <c r="C427" s="101"/>
      <c r="D427" s="101"/>
      <c r="E427" s="101"/>
      <c r="F427" s="101"/>
      <c r="G427" s="101"/>
      <c r="H427" s="101"/>
      <c r="I427" s="101"/>
      <c r="J427" s="101"/>
      <c r="K427" s="101"/>
      <c r="L427" s="101"/>
      <c r="M427" s="101"/>
    </row>
    <row r="428">
      <c r="A428" s="101"/>
      <c r="B428" s="101"/>
      <c r="C428" s="101"/>
      <c r="D428" s="101"/>
      <c r="E428" s="101"/>
      <c r="F428" s="101"/>
      <c r="G428" s="101"/>
      <c r="H428" s="101"/>
      <c r="I428" s="101"/>
      <c r="J428" s="101"/>
      <c r="K428" s="101"/>
      <c r="L428" s="101"/>
      <c r="M428" s="101"/>
    </row>
    <row r="429">
      <c r="A429" s="101"/>
      <c r="B429" s="101"/>
      <c r="C429" s="101"/>
      <c r="D429" s="101"/>
      <c r="E429" s="101"/>
      <c r="F429" s="101"/>
      <c r="G429" s="101"/>
      <c r="H429" s="101"/>
      <c r="I429" s="101"/>
      <c r="J429" s="101"/>
      <c r="K429" s="101"/>
      <c r="L429" s="101"/>
      <c r="M429" s="101"/>
    </row>
    <row r="430">
      <c r="A430" s="101"/>
      <c r="B430" s="101"/>
      <c r="C430" s="101"/>
      <c r="D430" s="101"/>
      <c r="E430" s="101"/>
      <c r="F430" s="101"/>
      <c r="G430" s="101"/>
      <c r="H430" s="101"/>
      <c r="I430" s="101"/>
      <c r="J430" s="101"/>
      <c r="K430" s="101"/>
      <c r="L430" s="101"/>
      <c r="M430" s="101"/>
    </row>
    <row r="431">
      <c r="A431" s="101"/>
      <c r="B431" s="101"/>
      <c r="C431" s="101"/>
      <c r="D431" s="101"/>
      <c r="E431" s="101"/>
      <c r="F431" s="101"/>
      <c r="G431" s="101"/>
      <c r="H431" s="101"/>
      <c r="I431" s="101"/>
      <c r="J431" s="101"/>
      <c r="K431" s="101"/>
      <c r="L431" s="101"/>
      <c r="M431" s="101"/>
    </row>
    <row r="432">
      <c r="A432" s="101"/>
      <c r="B432" s="101"/>
      <c r="C432" s="101"/>
      <c r="D432" s="101"/>
      <c r="E432" s="101"/>
      <c r="F432" s="101"/>
      <c r="G432" s="101"/>
      <c r="H432" s="101"/>
      <c r="I432" s="101"/>
      <c r="J432" s="101"/>
      <c r="K432" s="101"/>
      <c r="L432" s="101"/>
      <c r="M432" s="101"/>
    </row>
    <row r="433">
      <c r="A433" s="101"/>
      <c r="B433" s="101"/>
      <c r="C433" s="101"/>
      <c r="D433" s="101"/>
      <c r="E433" s="101"/>
      <c r="F433" s="101"/>
      <c r="G433" s="101"/>
      <c r="H433" s="101"/>
      <c r="I433" s="101"/>
      <c r="J433" s="101"/>
      <c r="K433" s="101"/>
      <c r="L433" s="101"/>
      <c r="M433" s="101"/>
    </row>
    <row r="434">
      <c r="A434" s="101"/>
      <c r="B434" s="101"/>
      <c r="C434" s="101"/>
      <c r="D434" s="101"/>
      <c r="E434" s="101"/>
      <c r="F434" s="101"/>
      <c r="G434" s="101"/>
      <c r="H434" s="101"/>
      <c r="I434" s="101"/>
      <c r="J434" s="101"/>
      <c r="K434" s="101"/>
      <c r="L434" s="101"/>
      <c r="M434" s="101"/>
    </row>
    <row r="435">
      <c r="A435" s="101"/>
      <c r="B435" s="101"/>
      <c r="C435" s="101"/>
      <c r="D435" s="101"/>
      <c r="E435" s="101"/>
      <c r="F435" s="101"/>
      <c r="G435" s="101"/>
      <c r="H435" s="101"/>
      <c r="I435" s="101"/>
      <c r="J435" s="101"/>
      <c r="K435" s="101"/>
      <c r="L435" s="101"/>
      <c r="M435" s="101"/>
    </row>
    <row r="436">
      <c r="A436" s="101"/>
      <c r="B436" s="101"/>
      <c r="C436" s="101"/>
      <c r="D436" s="101"/>
      <c r="E436" s="101"/>
      <c r="F436" s="101"/>
      <c r="G436" s="101"/>
      <c r="H436" s="101"/>
      <c r="I436" s="101"/>
      <c r="J436" s="101"/>
      <c r="K436" s="101"/>
      <c r="L436" s="101"/>
      <c r="M436" s="101"/>
    </row>
    <row r="437">
      <c r="A437" s="101"/>
      <c r="B437" s="101"/>
      <c r="C437" s="101"/>
      <c r="D437" s="101"/>
      <c r="E437" s="101"/>
      <c r="F437" s="101"/>
      <c r="G437" s="101"/>
      <c r="H437" s="101"/>
      <c r="I437" s="101"/>
      <c r="J437" s="101"/>
      <c r="K437" s="101"/>
      <c r="L437" s="101"/>
      <c r="M437" s="101"/>
    </row>
    <row r="438">
      <c r="A438" s="101"/>
      <c r="B438" s="101"/>
      <c r="C438" s="101"/>
      <c r="D438" s="101"/>
      <c r="E438" s="101"/>
      <c r="F438" s="101"/>
      <c r="G438" s="101"/>
      <c r="H438" s="101"/>
      <c r="I438" s="101"/>
      <c r="J438" s="101"/>
      <c r="K438" s="101"/>
      <c r="L438" s="101"/>
      <c r="M438" s="101"/>
    </row>
    <row r="439">
      <c r="A439" s="101"/>
      <c r="B439" s="101"/>
      <c r="C439" s="101"/>
      <c r="D439" s="101"/>
      <c r="E439" s="101"/>
      <c r="F439" s="101"/>
      <c r="G439" s="101"/>
      <c r="H439" s="101"/>
      <c r="I439" s="101"/>
      <c r="J439" s="101"/>
      <c r="K439" s="101"/>
      <c r="L439" s="101"/>
      <c r="M439" s="101"/>
    </row>
    <row r="440">
      <c r="A440" s="101"/>
      <c r="B440" s="101"/>
      <c r="C440" s="101"/>
      <c r="D440" s="101"/>
      <c r="E440" s="101"/>
      <c r="F440" s="101"/>
      <c r="G440" s="101"/>
      <c r="H440" s="101"/>
      <c r="I440" s="101"/>
      <c r="J440" s="101"/>
      <c r="K440" s="101"/>
      <c r="L440" s="101"/>
      <c r="M440" s="101"/>
    </row>
    <row r="441">
      <c r="A441" s="101"/>
      <c r="B441" s="101"/>
      <c r="C441" s="101"/>
      <c r="D441" s="101"/>
      <c r="E441" s="101"/>
      <c r="F441" s="101"/>
      <c r="G441" s="101"/>
      <c r="H441" s="101"/>
      <c r="I441" s="101"/>
      <c r="J441" s="101"/>
      <c r="K441" s="101"/>
      <c r="L441" s="101"/>
      <c r="M441" s="101"/>
    </row>
    <row r="442">
      <c r="A442" s="101"/>
      <c r="B442" s="101"/>
      <c r="C442" s="101"/>
      <c r="D442" s="101"/>
      <c r="E442" s="101"/>
      <c r="F442" s="101"/>
      <c r="G442" s="101"/>
      <c r="H442" s="101"/>
      <c r="I442" s="101"/>
      <c r="J442" s="101"/>
      <c r="K442" s="101"/>
      <c r="L442" s="101"/>
      <c r="M442" s="101"/>
    </row>
    <row r="443">
      <c r="A443" s="101"/>
      <c r="B443" s="101"/>
      <c r="C443" s="101"/>
      <c r="D443" s="101"/>
      <c r="E443" s="101"/>
      <c r="F443" s="101"/>
      <c r="G443" s="101"/>
      <c r="H443" s="101"/>
      <c r="I443" s="101"/>
      <c r="J443" s="101"/>
      <c r="K443" s="101"/>
      <c r="L443" s="101"/>
      <c r="M443" s="101"/>
    </row>
    <row r="444">
      <c r="A444" s="101"/>
      <c r="B444" s="101"/>
      <c r="C444" s="101"/>
      <c r="D444" s="101"/>
      <c r="E444" s="101"/>
      <c r="F444" s="101"/>
      <c r="G444" s="101"/>
      <c r="H444" s="101"/>
      <c r="I444" s="101"/>
      <c r="J444" s="101"/>
      <c r="K444" s="101"/>
      <c r="L444" s="101"/>
      <c r="M444" s="101"/>
    </row>
    <row r="445">
      <c r="A445" s="101"/>
      <c r="B445" s="101"/>
      <c r="C445" s="101"/>
      <c r="D445" s="101"/>
      <c r="E445" s="101"/>
      <c r="F445" s="101"/>
      <c r="G445" s="101"/>
      <c r="H445" s="101"/>
      <c r="I445" s="101"/>
      <c r="J445" s="101"/>
      <c r="K445" s="101"/>
      <c r="L445" s="101"/>
      <c r="M445" s="101"/>
    </row>
    <row r="446">
      <c r="A446" s="101"/>
      <c r="B446" s="101"/>
      <c r="C446" s="101"/>
      <c r="D446" s="101"/>
      <c r="E446" s="101"/>
      <c r="F446" s="101"/>
      <c r="G446" s="101"/>
      <c r="H446" s="101"/>
      <c r="I446" s="101"/>
      <c r="J446" s="101"/>
      <c r="K446" s="101"/>
      <c r="L446" s="101"/>
      <c r="M446" s="101"/>
    </row>
    <row r="447">
      <c r="A447" s="101"/>
      <c r="B447" s="101"/>
      <c r="C447" s="101"/>
      <c r="D447" s="101"/>
      <c r="E447" s="101"/>
      <c r="F447" s="101"/>
      <c r="G447" s="101"/>
      <c r="H447" s="101"/>
      <c r="I447" s="101"/>
      <c r="J447" s="101"/>
      <c r="K447" s="101"/>
      <c r="L447" s="101"/>
      <c r="M447" s="101"/>
    </row>
    <row r="448">
      <c r="A448" s="101"/>
      <c r="B448" s="101"/>
      <c r="C448" s="101"/>
      <c r="D448" s="101"/>
      <c r="E448" s="101"/>
      <c r="F448" s="101"/>
      <c r="G448" s="101"/>
      <c r="H448" s="101"/>
      <c r="I448" s="101"/>
      <c r="J448" s="101"/>
      <c r="K448" s="101"/>
      <c r="L448" s="101"/>
      <c r="M448" s="101"/>
    </row>
    <row r="449">
      <c r="A449" s="101"/>
      <c r="B449" s="101"/>
      <c r="C449" s="101"/>
      <c r="D449" s="101"/>
      <c r="E449" s="101"/>
      <c r="F449" s="101"/>
      <c r="G449" s="101"/>
      <c r="H449" s="101"/>
      <c r="I449" s="101"/>
      <c r="J449" s="101"/>
      <c r="K449" s="101"/>
      <c r="L449" s="101"/>
      <c r="M449" s="101"/>
    </row>
    <row r="450">
      <c r="A450" s="101"/>
      <c r="B450" s="101"/>
      <c r="C450" s="101"/>
      <c r="D450" s="101"/>
      <c r="E450" s="101"/>
      <c r="F450" s="101"/>
      <c r="G450" s="101"/>
      <c r="H450" s="101"/>
      <c r="I450" s="101"/>
      <c r="J450" s="101"/>
      <c r="K450" s="101"/>
      <c r="L450" s="101"/>
      <c r="M450" s="101"/>
    </row>
    <row r="451">
      <c r="A451" s="101"/>
      <c r="B451" s="101"/>
      <c r="C451" s="101"/>
      <c r="D451" s="101"/>
      <c r="E451" s="101"/>
      <c r="F451" s="101"/>
      <c r="G451" s="101"/>
      <c r="H451" s="101"/>
      <c r="I451" s="101"/>
      <c r="J451" s="101"/>
      <c r="K451" s="101"/>
      <c r="L451" s="101"/>
      <c r="M451" s="101"/>
    </row>
    <row r="452">
      <c r="A452" s="101"/>
      <c r="B452" s="101"/>
      <c r="C452" s="101"/>
      <c r="D452" s="101"/>
      <c r="E452" s="101"/>
      <c r="F452" s="101"/>
      <c r="G452" s="101"/>
      <c r="H452" s="101"/>
      <c r="I452" s="101"/>
      <c r="J452" s="101"/>
      <c r="K452" s="101"/>
      <c r="L452" s="101"/>
      <c r="M452" s="101"/>
    </row>
    <row r="453">
      <c r="A453" s="101"/>
      <c r="B453" s="101"/>
      <c r="C453" s="101"/>
      <c r="D453" s="101"/>
      <c r="E453" s="101"/>
      <c r="F453" s="101"/>
      <c r="G453" s="101"/>
      <c r="H453" s="101"/>
      <c r="I453" s="101"/>
      <c r="J453" s="101"/>
      <c r="K453" s="101"/>
      <c r="L453" s="101"/>
      <c r="M453" s="101"/>
    </row>
    <row r="454">
      <c r="A454" s="101"/>
      <c r="B454" s="101"/>
      <c r="C454" s="101"/>
      <c r="D454" s="101"/>
      <c r="E454" s="101"/>
      <c r="F454" s="101"/>
      <c r="G454" s="101"/>
      <c r="H454" s="101"/>
      <c r="I454" s="101"/>
      <c r="J454" s="101"/>
      <c r="K454" s="101"/>
      <c r="L454" s="101"/>
      <c r="M454" s="101"/>
    </row>
    <row r="455">
      <c r="A455" s="101"/>
      <c r="B455" s="101"/>
      <c r="C455" s="101"/>
      <c r="D455" s="101"/>
      <c r="E455" s="101"/>
      <c r="F455" s="101"/>
      <c r="G455" s="101"/>
      <c r="H455" s="101"/>
      <c r="I455" s="101"/>
      <c r="J455" s="101"/>
      <c r="K455" s="101"/>
      <c r="L455" s="101"/>
      <c r="M455" s="101"/>
    </row>
    <row r="456">
      <c r="A456" s="101"/>
      <c r="B456" s="101"/>
      <c r="C456" s="101"/>
      <c r="D456" s="101"/>
      <c r="E456" s="101"/>
      <c r="F456" s="101"/>
      <c r="G456" s="101"/>
      <c r="H456" s="101"/>
      <c r="I456" s="101"/>
      <c r="J456" s="101"/>
      <c r="K456" s="101"/>
      <c r="L456" s="101"/>
      <c r="M456" s="101"/>
    </row>
    <row r="457">
      <c r="A457" s="101"/>
      <c r="B457" s="101"/>
      <c r="C457" s="101"/>
      <c r="D457" s="101"/>
      <c r="E457" s="101"/>
      <c r="F457" s="101"/>
      <c r="G457" s="101"/>
      <c r="H457" s="101"/>
      <c r="I457" s="101"/>
      <c r="J457" s="101"/>
      <c r="K457" s="101"/>
      <c r="L457" s="101"/>
      <c r="M457" s="101"/>
    </row>
    <row r="458">
      <c r="A458" s="101"/>
      <c r="B458" s="101"/>
      <c r="C458" s="101"/>
      <c r="D458" s="101"/>
      <c r="E458" s="101"/>
      <c r="F458" s="101"/>
      <c r="G458" s="101"/>
      <c r="H458" s="101"/>
      <c r="I458" s="101"/>
      <c r="J458" s="101"/>
      <c r="K458" s="101"/>
      <c r="L458" s="101"/>
      <c r="M458" s="101"/>
    </row>
    <row r="459">
      <c r="A459" s="101"/>
      <c r="B459" s="101"/>
      <c r="C459" s="101"/>
      <c r="D459" s="101"/>
      <c r="E459" s="101"/>
      <c r="F459" s="101"/>
      <c r="G459" s="101"/>
      <c r="H459" s="101"/>
      <c r="I459" s="101"/>
      <c r="J459" s="101"/>
      <c r="K459" s="101"/>
      <c r="L459" s="101"/>
      <c r="M459" s="101"/>
    </row>
    <row r="460">
      <c r="A460" s="101"/>
      <c r="B460" s="101"/>
      <c r="C460" s="101"/>
      <c r="D460" s="101"/>
      <c r="E460" s="101"/>
      <c r="F460" s="101"/>
      <c r="G460" s="101"/>
      <c r="H460" s="101"/>
      <c r="I460" s="101"/>
      <c r="J460" s="101"/>
      <c r="K460" s="101"/>
      <c r="L460" s="101"/>
      <c r="M460" s="101"/>
    </row>
    <row r="461">
      <c r="A461" s="101"/>
      <c r="B461" s="101"/>
      <c r="C461" s="101"/>
      <c r="D461" s="101"/>
      <c r="E461" s="101"/>
      <c r="F461" s="101"/>
      <c r="G461" s="101"/>
      <c r="H461" s="101"/>
      <c r="I461" s="101"/>
      <c r="J461" s="101"/>
      <c r="K461" s="101"/>
      <c r="L461" s="101"/>
      <c r="M461" s="101"/>
    </row>
    <row r="462">
      <c r="A462" s="101"/>
      <c r="B462" s="101"/>
      <c r="C462" s="101"/>
      <c r="D462" s="101"/>
      <c r="E462" s="101"/>
      <c r="F462" s="101"/>
      <c r="G462" s="101"/>
      <c r="H462" s="101"/>
      <c r="I462" s="101"/>
      <c r="J462" s="101"/>
      <c r="K462" s="101"/>
      <c r="L462" s="101"/>
      <c r="M462" s="101"/>
    </row>
    <row r="463">
      <c r="A463" s="101"/>
      <c r="B463" s="101"/>
      <c r="C463" s="101"/>
      <c r="D463" s="101"/>
      <c r="E463" s="101"/>
      <c r="F463" s="101"/>
      <c r="G463" s="101"/>
      <c r="H463" s="101"/>
      <c r="I463" s="101"/>
      <c r="J463" s="101"/>
      <c r="K463" s="101"/>
      <c r="L463" s="101"/>
      <c r="M463" s="101"/>
    </row>
    <row r="464">
      <c r="A464" s="101"/>
      <c r="B464" s="101"/>
      <c r="C464" s="101"/>
      <c r="D464" s="101"/>
      <c r="E464" s="101"/>
      <c r="F464" s="101"/>
      <c r="G464" s="101"/>
      <c r="H464" s="101"/>
      <c r="I464" s="101"/>
      <c r="J464" s="101"/>
      <c r="K464" s="101"/>
      <c r="L464" s="101"/>
      <c r="M464" s="101"/>
    </row>
    <row r="465">
      <c r="A465" s="101"/>
      <c r="B465" s="101"/>
      <c r="C465" s="101"/>
      <c r="D465" s="101"/>
      <c r="E465" s="101"/>
      <c r="F465" s="101"/>
      <c r="G465" s="101"/>
      <c r="H465" s="101"/>
      <c r="I465" s="101"/>
      <c r="J465" s="101"/>
      <c r="K465" s="101"/>
      <c r="L465" s="101"/>
      <c r="M465" s="101"/>
    </row>
    <row r="466">
      <c r="A466" s="101"/>
      <c r="B466" s="101"/>
      <c r="C466" s="101"/>
      <c r="D466" s="101"/>
      <c r="E466" s="101"/>
      <c r="F466" s="101"/>
      <c r="G466" s="101"/>
      <c r="H466" s="101"/>
      <c r="I466" s="101"/>
      <c r="J466" s="101"/>
      <c r="K466" s="101"/>
      <c r="L466" s="101"/>
      <c r="M466" s="101"/>
    </row>
    <row r="467">
      <c r="A467" s="101"/>
      <c r="B467" s="101"/>
      <c r="C467" s="101"/>
      <c r="D467" s="101"/>
      <c r="E467" s="101"/>
      <c r="F467" s="101"/>
      <c r="G467" s="101"/>
      <c r="H467" s="101"/>
      <c r="I467" s="101"/>
      <c r="J467" s="101"/>
      <c r="K467" s="101"/>
      <c r="L467" s="101"/>
      <c r="M467" s="101"/>
    </row>
    <row r="468">
      <c r="A468" s="101"/>
      <c r="B468" s="101"/>
      <c r="C468" s="101"/>
      <c r="D468" s="101"/>
      <c r="E468" s="101"/>
      <c r="F468" s="101"/>
      <c r="G468" s="101"/>
      <c r="H468" s="101"/>
      <c r="I468" s="101"/>
      <c r="J468" s="101"/>
      <c r="K468" s="101"/>
      <c r="L468" s="101"/>
      <c r="M468" s="101"/>
    </row>
    <row r="469">
      <c r="A469" s="101"/>
      <c r="B469" s="101"/>
      <c r="C469" s="101"/>
      <c r="D469" s="101"/>
      <c r="E469" s="101"/>
      <c r="F469" s="101"/>
      <c r="G469" s="101"/>
      <c r="H469" s="101"/>
      <c r="I469" s="101"/>
      <c r="J469" s="101"/>
      <c r="K469" s="101"/>
      <c r="L469" s="101"/>
      <c r="M469" s="101"/>
    </row>
    <row r="470">
      <c r="A470" s="101"/>
      <c r="B470" s="101"/>
      <c r="C470" s="101"/>
      <c r="D470" s="101"/>
      <c r="E470" s="101"/>
      <c r="F470" s="101"/>
      <c r="G470" s="101"/>
      <c r="H470" s="101"/>
      <c r="I470" s="101"/>
      <c r="J470" s="101"/>
      <c r="K470" s="101"/>
      <c r="L470" s="101"/>
      <c r="M470" s="101"/>
    </row>
    <row r="471">
      <c r="A471" s="101"/>
      <c r="B471" s="101"/>
      <c r="C471" s="101"/>
      <c r="D471" s="101"/>
      <c r="E471" s="101"/>
      <c r="F471" s="101"/>
      <c r="G471" s="101"/>
      <c r="H471" s="101"/>
      <c r="I471" s="101"/>
      <c r="J471" s="101"/>
      <c r="K471" s="101"/>
      <c r="L471" s="101"/>
      <c r="M471" s="101"/>
    </row>
    <row r="472">
      <c r="A472" s="101"/>
      <c r="B472" s="101"/>
      <c r="C472" s="101"/>
      <c r="D472" s="101"/>
      <c r="E472" s="101"/>
      <c r="F472" s="101"/>
      <c r="G472" s="101"/>
      <c r="H472" s="101"/>
      <c r="I472" s="101"/>
      <c r="J472" s="101"/>
      <c r="K472" s="101"/>
      <c r="L472" s="101"/>
      <c r="M472" s="101"/>
    </row>
    <row r="473">
      <c r="A473" s="101"/>
      <c r="B473" s="101"/>
      <c r="C473" s="101"/>
      <c r="D473" s="101"/>
      <c r="E473" s="101"/>
      <c r="F473" s="101"/>
      <c r="G473" s="101"/>
      <c r="H473" s="101"/>
      <c r="I473" s="101"/>
      <c r="J473" s="101"/>
      <c r="K473" s="101"/>
      <c r="L473" s="101"/>
      <c r="M473" s="101"/>
    </row>
    <row r="474">
      <c r="A474" s="101"/>
      <c r="B474" s="101"/>
      <c r="C474" s="101"/>
      <c r="D474" s="101"/>
      <c r="E474" s="101"/>
      <c r="F474" s="101"/>
      <c r="G474" s="101"/>
      <c r="H474" s="101"/>
      <c r="I474" s="101"/>
      <c r="J474" s="101"/>
      <c r="K474" s="101"/>
      <c r="L474" s="101"/>
      <c r="M474" s="101"/>
    </row>
    <row r="475">
      <c r="A475" s="101"/>
      <c r="B475" s="101"/>
      <c r="C475" s="101"/>
      <c r="D475" s="101"/>
      <c r="E475" s="101"/>
      <c r="F475" s="101"/>
      <c r="G475" s="101"/>
      <c r="H475" s="101"/>
      <c r="I475" s="101"/>
      <c r="J475" s="101"/>
      <c r="K475" s="101"/>
      <c r="L475" s="101"/>
      <c r="M475" s="101"/>
    </row>
    <row r="476">
      <c r="A476" s="101"/>
      <c r="B476" s="101"/>
      <c r="C476" s="101"/>
      <c r="D476" s="101"/>
      <c r="E476" s="101"/>
      <c r="F476" s="101"/>
      <c r="G476" s="101"/>
      <c r="H476" s="101"/>
      <c r="I476" s="101"/>
      <c r="J476" s="101"/>
      <c r="K476" s="101"/>
      <c r="L476" s="101"/>
      <c r="M476" s="101"/>
    </row>
    <row r="477">
      <c r="A477" s="101"/>
      <c r="B477" s="101"/>
      <c r="C477" s="101"/>
      <c r="D477" s="101"/>
      <c r="E477" s="101"/>
      <c r="F477" s="101"/>
      <c r="G477" s="101"/>
      <c r="H477" s="101"/>
      <c r="I477" s="101"/>
      <c r="J477" s="101"/>
      <c r="K477" s="101"/>
      <c r="L477" s="101"/>
      <c r="M477" s="101"/>
    </row>
    <row r="478">
      <c r="A478" s="101"/>
      <c r="B478" s="101"/>
      <c r="C478" s="101"/>
      <c r="D478" s="101"/>
      <c r="E478" s="101"/>
      <c r="F478" s="101"/>
      <c r="G478" s="101"/>
      <c r="H478" s="101"/>
      <c r="I478" s="101"/>
      <c r="J478" s="101"/>
      <c r="K478" s="101"/>
      <c r="L478" s="101"/>
      <c r="M478" s="101"/>
    </row>
    <row r="479">
      <c r="A479" s="101"/>
      <c r="B479" s="101"/>
      <c r="C479" s="101"/>
      <c r="D479" s="101"/>
      <c r="E479" s="101"/>
      <c r="F479" s="101"/>
      <c r="G479" s="101"/>
      <c r="H479" s="101"/>
      <c r="I479" s="101"/>
      <c r="J479" s="101"/>
      <c r="K479" s="101"/>
      <c r="L479" s="101"/>
      <c r="M479" s="101"/>
    </row>
    <row r="480">
      <c r="A480" s="101"/>
      <c r="B480" s="101"/>
      <c r="C480" s="101"/>
      <c r="D480" s="101"/>
      <c r="E480" s="101"/>
      <c r="F480" s="101"/>
      <c r="G480" s="101"/>
      <c r="H480" s="101"/>
      <c r="I480" s="101"/>
      <c r="J480" s="101"/>
      <c r="K480" s="101"/>
      <c r="L480" s="101"/>
      <c r="M480" s="101"/>
    </row>
    <row r="481">
      <c r="A481" s="101"/>
      <c r="B481" s="101"/>
      <c r="C481" s="101"/>
      <c r="D481" s="101"/>
      <c r="E481" s="101"/>
      <c r="F481" s="101"/>
      <c r="G481" s="101"/>
      <c r="H481" s="101"/>
      <c r="I481" s="101"/>
      <c r="J481" s="101"/>
      <c r="K481" s="101"/>
      <c r="L481" s="101"/>
      <c r="M481" s="101"/>
    </row>
    <row r="482">
      <c r="A482" s="101"/>
      <c r="B482" s="101"/>
      <c r="C482" s="101"/>
      <c r="D482" s="101"/>
      <c r="E482" s="101"/>
      <c r="F482" s="101"/>
      <c r="G482" s="101"/>
      <c r="H482" s="101"/>
      <c r="I482" s="101"/>
      <c r="J482" s="101"/>
      <c r="K482" s="101"/>
      <c r="L482" s="101"/>
      <c r="M482" s="101"/>
    </row>
    <row r="483">
      <c r="A483" s="101"/>
      <c r="B483" s="101"/>
      <c r="C483" s="101"/>
      <c r="D483" s="101"/>
      <c r="E483" s="101"/>
      <c r="F483" s="101"/>
      <c r="G483" s="101"/>
      <c r="H483" s="101"/>
      <c r="I483" s="101"/>
      <c r="J483" s="101"/>
      <c r="K483" s="101"/>
      <c r="L483" s="101"/>
      <c r="M483" s="101"/>
    </row>
    <row r="484">
      <c r="A484" s="101"/>
      <c r="B484" s="101"/>
      <c r="C484" s="101"/>
      <c r="D484" s="101"/>
      <c r="E484" s="101"/>
      <c r="F484" s="101"/>
      <c r="G484" s="101"/>
      <c r="H484" s="101"/>
      <c r="I484" s="101"/>
      <c r="J484" s="101"/>
      <c r="K484" s="101"/>
      <c r="L484" s="101"/>
      <c r="M484" s="101"/>
    </row>
    <row r="485">
      <c r="A485" s="101"/>
      <c r="B485" s="101"/>
      <c r="C485" s="101"/>
      <c r="D485" s="101"/>
      <c r="E485" s="101"/>
      <c r="F485" s="101"/>
      <c r="G485" s="101"/>
      <c r="H485" s="101"/>
      <c r="I485" s="101"/>
      <c r="J485" s="101"/>
      <c r="K485" s="101"/>
      <c r="L485" s="101"/>
      <c r="M485" s="101"/>
    </row>
    <row r="486">
      <c r="A486" s="101"/>
      <c r="B486" s="101"/>
      <c r="C486" s="101"/>
      <c r="D486" s="101"/>
      <c r="E486" s="101"/>
      <c r="F486" s="101"/>
      <c r="G486" s="101"/>
      <c r="H486" s="101"/>
      <c r="I486" s="101"/>
      <c r="J486" s="101"/>
      <c r="K486" s="101"/>
      <c r="L486" s="101"/>
      <c r="M486" s="101"/>
    </row>
    <row r="487">
      <c r="A487" s="101"/>
      <c r="B487" s="101"/>
      <c r="C487" s="101"/>
      <c r="D487" s="101"/>
      <c r="E487" s="101"/>
      <c r="F487" s="101"/>
      <c r="G487" s="101"/>
      <c r="H487" s="101"/>
      <c r="I487" s="101"/>
      <c r="J487" s="101"/>
      <c r="K487" s="101"/>
      <c r="L487" s="101"/>
      <c r="M487" s="101"/>
    </row>
    <row r="488">
      <c r="A488" s="101"/>
      <c r="B488" s="101"/>
      <c r="C488" s="101"/>
      <c r="D488" s="101"/>
      <c r="E488" s="101"/>
      <c r="F488" s="101"/>
      <c r="G488" s="101"/>
      <c r="H488" s="101"/>
      <c r="I488" s="101"/>
      <c r="J488" s="101"/>
      <c r="K488" s="101"/>
      <c r="L488" s="101"/>
      <c r="M488" s="101"/>
    </row>
    <row r="489">
      <c r="A489" s="101"/>
      <c r="B489" s="101"/>
      <c r="C489" s="101"/>
      <c r="D489" s="101"/>
      <c r="E489" s="101"/>
      <c r="F489" s="101"/>
      <c r="G489" s="101"/>
      <c r="H489" s="101"/>
      <c r="I489" s="101"/>
      <c r="J489" s="101"/>
      <c r="K489" s="101"/>
      <c r="L489" s="101"/>
      <c r="M489" s="101"/>
    </row>
    <row r="490">
      <c r="A490" s="101"/>
      <c r="B490" s="101"/>
      <c r="C490" s="101"/>
      <c r="D490" s="101"/>
      <c r="E490" s="101"/>
      <c r="F490" s="101"/>
      <c r="G490" s="101"/>
      <c r="H490" s="101"/>
      <c r="I490" s="101"/>
      <c r="J490" s="101"/>
      <c r="K490" s="101"/>
      <c r="L490" s="101"/>
      <c r="M490" s="101"/>
    </row>
    <row r="491">
      <c r="A491" s="101"/>
      <c r="B491" s="101"/>
      <c r="C491" s="101"/>
      <c r="D491" s="101"/>
      <c r="E491" s="101"/>
      <c r="F491" s="101"/>
      <c r="G491" s="101"/>
      <c r="H491" s="101"/>
      <c r="I491" s="101"/>
      <c r="J491" s="101"/>
      <c r="K491" s="101"/>
      <c r="L491" s="101"/>
      <c r="M491" s="101"/>
    </row>
    <row r="492">
      <c r="A492" s="101"/>
      <c r="B492" s="101"/>
      <c r="C492" s="101"/>
      <c r="D492" s="101"/>
      <c r="E492" s="101"/>
      <c r="F492" s="101"/>
      <c r="G492" s="101"/>
      <c r="H492" s="101"/>
      <c r="I492" s="101"/>
      <c r="J492" s="101"/>
      <c r="K492" s="101"/>
      <c r="L492" s="101"/>
      <c r="M492" s="101"/>
    </row>
    <row r="493">
      <c r="A493" s="101"/>
      <c r="B493" s="101"/>
      <c r="C493" s="101"/>
      <c r="D493" s="101"/>
      <c r="E493" s="101"/>
      <c r="F493" s="101"/>
      <c r="G493" s="101"/>
      <c r="H493" s="101"/>
      <c r="I493" s="101"/>
      <c r="J493" s="101"/>
      <c r="K493" s="101"/>
      <c r="L493" s="101"/>
      <c r="M493" s="101"/>
    </row>
    <row r="494">
      <c r="A494" s="101"/>
      <c r="B494" s="101"/>
      <c r="C494" s="101"/>
      <c r="D494" s="101"/>
      <c r="E494" s="101"/>
      <c r="F494" s="101"/>
      <c r="G494" s="101"/>
      <c r="H494" s="101"/>
      <c r="I494" s="101"/>
      <c r="J494" s="101"/>
      <c r="K494" s="101"/>
      <c r="L494" s="101"/>
      <c r="M494" s="101"/>
    </row>
    <row r="495">
      <c r="A495" s="101"/>
      <c r="B495" s="101"/>
      <c r="C495" s="101"/>
      <c r="D495" s="101"/>
      <c r="E495" s="101"/>
      <c r="F495" s="101"/>
      <c r="G495" s="101"/>
      <c r="H495" s="101"/>
      <c r="I495" s="101"/>
      <c r="J495" s="101"/>
      <c r="K495" s="101"/>
      <c r="L495" s="101"/>
      <c r="M495" s="101"/>
    </row>
    <row r="496">
      <c r="A496" s="101"/>
      <c r="B496" s="101"/>
      <c r="C496" s="101"/>
      <c r="D496" s="101"/>
      <c r="E496" s="101"/>
      <c r="F496" s="101"/>
      <c r="G496" s="101"/>
      <c r="H496" s="101"/>
      <c r="I496" s="101"/>
      <c r="J496" s="101"/>
      <c r="K496" s="101"/>
      <c r="L496" s="101"/>
      <c r="M496" s="101"/>
    </row>
    <row r="497">
      <c r="A497" s="101"/>
      <c r="B497" s="101"/>
      <c r="C497" s="101"/>
      <c r="D497" s="101"/>
      <c r="E497" s="101"/>
      <c r="F497" s="101"/>
      <c r="G497" s="101"/>
      <c r="H497" s="101"/>
      <c r="I497" s="101"/>
      <c r="J497" s="101"/>
      <c r="K497" s="101"/>
      <c r="L497" s="101"/>
      <c r="M497" s="101"/>
    </row>
    <row r="498">
      <c r="A498" s="101"/>
      <c r="B498" s="101"/>
      <c r="C498" s="101"/>
      <c r="D498" s="101"/>
      <c r="E498" s="101"/>
      <c r="F498" s="101"/>
      <c r="G498" s="101"/>
      <c r="H498" s="101"/>
      <c r="I498" s="101"/>
      <c r="J498" s="101"/>
      <c r="K498" s="101"/>
      <c r="L498" s="101"/>
      <c r="M498" s="101"/>
    </row>
    <row r="499">
      <c r="A499" s="101"/>
      <c r="B499" s="101"/>
      <c r="C499" s="101"/>
      <c r="D499" s="101"/>
      <c r="E499" s="101"/>
      <c r="F499" s="101"/>
      <c r="G499" s="101"/>
      <c r="H499" s="101"/>
      <c r="I499" s="101"/>
      <c r="J499" s="101"/>
      <c r="K499" s="101"/>
      <c r="L499" s="101"/>
      <c r="M499" s="101"/>
    </row>
    <row r="500">
      <c r="A500" s="101"/>
      <c r="B500" s="101"/>
      <c r="C500" s="101"/>
      <c r="D500" s="101"/>
      <c r="E500" s="101"/>
      <c r="F500" s="101"/>
      <c r="G500" s="101"/>
      <c r="H500" s="101"/>
      <c r="I500" s="101"/>
      <c r="J500" s="101"/>
      <c r="K500" s="101"/>
      <c r="L500" s="101"/>
      <c r="M500" s="101"/>
    </row>
    <row r="501">
      <c r="A501" s="101"/>
      <c r="B501" s="101"/>
      <c r="C501" s="101"/>
      <c r="D501" s="101"/>
      <c r="E501" s="101"/>
      <c r="F501" s="101"/>
      <c r="G501" s="101"/>
      <c r="H501" s="101"/>
      <c r="I501" s="101"/>
      <c r="J501" s="101"/>
      <c r="K501" s="101"/>
      <c r="L501" s="101"/>
      <c r="M501" s="101"/>
    </row>
    <row r="502">
      <c r="A502" s="101"/>
      <c r="B502" s="101"/>
      <c r="C502" s="101"/>
      <c r="D502" s="101"/>
      <c r="E502" s="101"/>
      <c r="F502" s="101"/>
      <c r="G502" s="101"/>
      <c r="H502" s="101"/>
      <c r="I502" s="101"/>
      <c r="J502" s="101"/>
      <c r="K502" s="101"/>
      <c r="L502" s="101"/>
      <c r="M502" s="101"/>
    </row>
    <row r="503">
      <c r="A503" s="101"/>
      <c r="B503" s="101"/>
      <c r="C503" s="101"/>
      <c r="D503" s="101"/>
      <c r="E503" s="101"/>
      <c r="F503" s="101"/>
      <c r="G503" s="101"/>
      <c r="H503" s="101"/>
      <c r="I503" s="101"/>
      <c r="J503" s="101"/>
      <c r="K503" s="101"/>
      <c r="L503" s="101"/>
      <c r="M503" s="101"/>
    </row>
    <row r="504">
      <c r="A504" s="101"/>
      <c r="B504" s="101"/>
      <c r="C504" s="101"/>
      <c r="D504" s="101"/>
      <c r="E504" s="101"/>
      <c r="F504" s="101"/>
      <c r="G504" s="101"/>
      <c r="H504" s="101"/>
      <c r="I504" s="101"/>
      <c r="J504" s="101"/>
      <c r="K504" s="101"/>
      <c r="L504" s="101"/>
      <c r="M504" s="101"/>
    </row>
    <row r="505">
      <c r="A505" s="101"/>
      <c r="B505" s="101"/>
      <c r="C505" s="101"/>
      <c r="D505" s="101"/>
      <c r="E505" s="101"/>
      <c r="F505" s="101"/>
      <c r="G505" s="101"/>
      <c r="H505" s="101"/>
      <c r="I505" s="101"/>
      <c r="J505" s="101"/>
      <c r="K505" s="101"/>
      <c r="L505" s="101"/>
      <c r="M505" s="101"/>
    </row>
    <row r="506">
      <c r="A506" s="101"/>
      <c r="B506" s="101"/>
      <c r="C506" s="101"/>
      <c r="D506" s="101"/>
      <c r="E506" s="101"/>
      <c r="F506" s="101"/>
      <c r="G506" s="101"/>
      <c r="H506" s="101"/>
      <c r="I506" s="101"/>
      <c r="J506" s="101"/>
      <c r="K506" s="101"/>
      <c r="L506" s="101"/>
      <c r="M506" s="101"/>
    </row>
    <row r="507">
      <c r="A507" s="101"/>
      <c r="B507" s="101"/>
      <c r="C507" s="101"/>
      <c r="D507" s="101"/>
      <c r="E507" s="101"/>
      <c r="F507" s="101"/>
      <c r="G507" s="101"/>
      <c r="H507" s="101"/>
      <c r="I507" s="101"/>
      <c r="J507" s="101"/>
      <c r="K507" s="101"/>
      <c r="L507" s="101"/>
      <c r="M507" s="101"/>
    </row>
    <row r="508">
      <c r="A508" s="101"/>
      <c r="B508" s="101"/>
      <c r="C508" s="101"/>
      <c r="D508" s="101"/>
      <c r="E508" s="101"/>
      <c r="F508" s="101"/>
      <c r="G508" s="101"/>
      <c r="H508" s="101"/>
      <c r="I508" s="101"/>
      <c r="J508" s="101"/>
      <c r="K508" s="101"/>
      <c r="L508" s="101"/>
      <c r="M508" s="101"/>
    </row>
    <row r="509">
      <c r="A509" s="101"/>
      <c r="B509" s="101"/>
      <c r="C509" s="101"/>
      <c r="D509" s="101"/>
      <c r="E509" s="101"/>
      <c r="F509" s="101"/>
      <c r="G509" s="101"/>
      <c r="H509" s="101"/>
      <c r="I509" s="101"/>
      <c r="J509" s="101"/>
      <c r="K509" s="101"/>
      <c r="L509" s="101"/>
      <c r="M509" s="101"/>
    </row>
    <row r="510">
      <c r="A510" s="101"/>
      <c r="B510" s="101"/>
      <c r="C510" s="101"/>
      <c r="D510" s="101"/>
      <c r="E510" s="101"/>
      <c r="F510" s="101"/>
      <c r="G510" s="101"/>
      <c r="H510" s="101"/>
      <c r="I510" s="101"/>
      <c r="J510" s="101"/>
      <c r="K510" s="101"/>
      <c r="L510" s="101"/>
      <c r="M510" s="101"/>
    </row>
    <row r="511">
      <c r="A511" s="101"/>
      <c r="B511" s="101"/>
      <c r="C511" s="101"/>
      <c r="D511" s="101"/>
      <c r="E511" s="101"/>
      <c r="F511" s="101"/>
      <c r="G511" s="101"/>
      <c r="H511" s="101"/>
      <c r="I511" s="101"/>
      <c r="J511" s="101"/>
      <c r="K511" s="101"/>
      <c r="L511" s="101"/>
      <c r="M511" s="101"/>
    </row>
    <row r="512">
      <c r="A512" s="101"/>
      <c r="B512" s="101"/>
      <c r="C512" s="101"/>
      <c r="D512" s="101"/>
      <c r="E512" s="101"/>
      <c r="F512" s="101"/>
      <c r="G512" s="101"/>
      <c r="H512" s="101"/>
      <c r="I512" s="101"/>
      <c r="J512" s="101"/>
      <c r="K512" s="101"/>
      <c r="L512" s="101"/>
      <c r="M512" s="101"/>
    </row>
    <row r="513">
      <c r="A513" s="101"/>
      <c r="B513" s="101"/>
      <c r="C513" s="101"/>
      <c r="D513" s="101"/>
      <c r="E513" s="101"/>
      <c r="F513" s="101"/>
      <c r="G513" s="101"/>
      <c r="H513" s="101"/>
      <c r="I513" s="101"/>
      <c r="J513" s="101"/>
      <c r="K513" s="101"/>
      <c r="L513" s="101"/>
      <c r="M513" s="101"/>
    </row>
    <row r="514">
      <c r="A514" s="101"/>
      <c r="B514" s="101"/>
      <c r="C514" s="101"/>
      <c r="D514" s="101"/>
      <c r="E514" s="101"/>
      <c r="F514" s="101"/>
      <c r="G514" s="101"/>
      <c r="H514" s="101"/>
      <c r="I514" s="101"/>
      <c r="J514" s="101"/>
      <c r="K514" s="101"/>
      <c r="L514" s="101"/>
      <c r="M514" s="101"/>
    </row>
    <row r="515">
      <c r="A515" s="101"/>
      <c r="B515" s="101"/>
      <c r="C515" s="101"/>
      <c r="D515" s="101"/>
      <c r="E515" s="101"/>
      <c r="F515" s="101"/>
      <c r="G515" s="101"/>
      <c r="H515" s="101"/>
      <c r="I515" s="101"/>
      <c r="J515" s="101"/>
      <c r="K515" s="101"/>
      <c r="L515" s="101"/>
      <c r="M515" s="101"/>
    </row>
    <row r="516">
      <c r="A516" s="101"/>
      <c r="B516" s="101"/>
      <c r="C516" s="101"/>
      <c r="D516" s="101"/>
      <c r="E516" s="101"/>
      <c r="F516" s="101"/>
      <c r="G516" s="101"/>
      <c r="H516" s="101"/>
      <c r="I516" s="101"/>
      <c r="J516" s="101"/>
      <c r="K516" s="101"/>
      <c r="L516" s="101"/>
      <c r="M516" s="101"/>
    </row>
    <row r="517">
      <c r="A517" s="101"/>
      <c r="B517" s="101"/>
      <c r="C517" s="101"/>
      <c r="D517" s="101"/>
      <c r="E517" s="101"/>
      <c r="F517" s="101"/>
      <c r="G517" s="101"/>
      <c r="H517" s="101"/>
      <c r="I517" s="101"/>
      <c r="J517" s="101"/>
      <c r="K517" s="101"/>
      <c r="L517" s="101"/>
      <c r="M517" s="101"/>
    </row>
    <row r="518">
      <c r="A518" s="101"/>
      <c r="B518" s="101"/>
      <c r="C518" s="101"/>
      <c r="D518" s="101"/>
      <c r="E518" s="101"/>
      <c r="F518" s="101"/>
      <c r="G518" s="101"/>
      <c r="H518" s="101"/>
      <c r="I518" s="101"/>
      <c r="J518" s="101"/>
      <c r="K518" s="101"/>
      <c r="L518" s="101"/>
      <c r="M518" s="101"/>
    </row>
    <row r="519">
      <c r="A519" s="101"/>
      <c r="B519" s="101"/>
      <c r="C519" s="101"/>
      <c r="D519" s="101"/>
      <c r="E519" s="101"/>
      <c r="F519" s="101"/>
      <c r="G519" s="101"/>
      <c r="H519" s="101"/>
      <c r="I519" s="101"/>
      <c r="J519" s="101"/>
      <c r="K519" s="101"/>
      <c r="L519" s="101"/>
      <c r="M519" s="101"/>
    </row>
    <row r="520">
      <c r="A520" s="101"/>
      <c r="B520" s="101"/>
      <c r="C520" s="101"/>
      <c r="D520" s="101"/>
      <c r="E520" s="101"/>
      <c r="F520" s="101"/>
      <c r="G520" s="101"/>
      <c r="H520" s="101"/>
      <c r="I520" s="101"/>
      <c r="J520" s="101"/>
      <c r="K520" s="101"/>
      <c r="L520" s="101"/>
      <c r="M520" s="101"/>
    </row>
    <row r="521">
      <c r="A521" s="101"/>
      <c r="B521" s="101"/>
      <c r="C521" s="101"/>
      <c r="D521" s="101"/>
      <c r="E521" s="101"/>
      <c r="F521" s="101"/>
      <c r="G521" s="101"/>
      <c r="H521" s="101"/>
      <c r="I521" s="101"/>
      <c r="J521" s="101"/>
      <c r="K521" s="101"/>
      <c r="L521" s="101"/>
      <c r="M521" s="101"/>
    </row>
    <row r="522">
      <c r="A522" s="101"/>
      <c r="B522" s="101"/>
      <c r="C522" s="101"/>
      <c r="D522" s="101"/>
      <c r="E522" s="101"/>
      <c r="F522" s="101"/>
      <c r="G522" s="101"/>
      <c r="H522" s="101"/>
      <c r="I522" s="101"/>
      <c r="J522" s="101"/>
      <c r="K522" s="101"/>
      <c r="L522" s="101"/>
      <c r="M522" s="101"/>
    </row>
    <row r="523">
      <c r="A523" s="101"/>
      <c r="B523" s="101"/>
      <c r="C523" s="101"/>
      <c r="D523" s="101"/>
      <c r="E523" s="101"/>
      <c r="F523" s="101"/>
      <c r="G523" s="101"/>
      <c r="H523" s="101"/>
      <c r="I523" s="101"/>
      <c r="J523" s="101"/>
      <c r="K523" s="101"/>
      <c r="L523" s="101"/>
      <c r="M523" s="101"/>
    </row>
    <row r="524">
      <c r="A524" s="101"/>
      <c r="B524" s="101"/>
      <c r="C524" s="101"/>
      <c r="D524" s="101"/>
      <c r="E524" s="101"/>
      <c r="F524" s="101"/>
      <c r="G524" s="101"/>
      <c r="H524" s="101"/>
      <c r="I524" s="101"/>
      <c r="J524" s="101"/>
      <c r="K524" s="101"/>
      <c r="L524" s="101"/>
      <c r="M524" s="101"/>
    </row>
    <row r="525">
      <c r="A525" s="101"/>
      <c r="B525" s="101"/>
      <c r="C525" s="101"/>
      <c r="D525" s="101"/>
      <c r="E525" s="101"/>
      <c r="F525" s="101"/>
      <c r="G525" s="101"/>
      <c r="H525" s="101"/>
      <c r="I525" s="101"/>
      <c r="J525" s="101"/>
      <c r="K525" s="101"/>
      <c r="L525" s="101"/>
      <c r="M525" s="101"/>
    </row>
    <row r="526">
      <c r="A526" s="101"/>
      <c r="B526" s="101"/>
      <c r="C526" s="101"/>
      <c r="D526" s="101"/>
      <c r="E526" s="101"/>
      <c r="F526" s="101"/>
      <c r="G526" s="101"/>
      <c r="H526" s="101"/>
      <c r="I526" s="101"/>
      <c r="J526" s="101"/>
      <c r="K526" s="101"/>
      <c r="L526" s="101"/>
      <c r="M526" s="101"/>
    </row>
    <row r="527">
      <c r="A527" s="101"/>
      <c r="B527" s="101"/>
      <c r="C527" s="101"/>
      <c r="D527" s="101"/>
      <c r="E527" s="101"/>
      <c r="F527" s="101"/>
      <c r="G527" s="101"/>
      <c r="H527" s="101"/>
      <c r="I527" s="101"/>
      <c r="J527" s="101"/>
      <c r="K527" s="101"/>
      <c r="L527" s="101"/>
      <c r="M527" s="101"/>
    </row>
    <row r="528">
      <c r="A528" s="101"/>
      <c r="B528" s="101"/>
      <c r="C528" s="101"/>
      <c r="D528" s="101"/>
      <c r="E528" s="101"/>
      <c r="F528" s="101"/>
      <c r="G528" s="101"/>
      <c r="H528" s="101"/>
      <c r="I528" s="101"/>
      <c r="J528" s="101"/>
      <c r="K528" s="101"/>
      <c r="L528" s="101"/>
      <c r="M528" s="101"/>
    </row>
    <row r="529">
      <c r="A529" s="101"/>
      <c r="B529" s="101"/>
      <c r="C529" s="101"/>
      <c r="D529" s="101"/>
      <c r="E529" s="101"/>
      <c r="F529" s="101"/>
      <c r="G529" s="101"/>
      <c r="H529" s="101"/>
      <c r="I529" s="101"/>
      <c r="J529" s="101"/>
      <c r="K529" s="101"/>
      <c r="L529" s="101"/>
      <c r="M529" s="101"/>
    </row>
    <row r="530">
      <c r="A530" s="101"/>
      <c r="B530" s="101"/>
      <c r="C530" s="101"/>
      <c r="D530" s="101"/>
      <c r="E530" s="101"/>
      <c r="F530" s="101"/>
      <c r="G530" s="101"/>
      <c r="H530" s="101"/>
      <c r="I530" s="101"/>
      <c r="J530" s="101"/>
      <c r="K530" s="101"/>
      <c r="L530" s="101"/>
      <c r="M530" s="101"/>
    </row>
    <row r="531">
      <c r="A531" s="101"/>
      <c r="B531" s="101"/>
      <c r="C531" s="101"/>
      <c r="D531" s="101"/>
      <c r="E531" s="101"/>
      <c r="F531" s="101"/>
      <c r="G531" s="101"/>
      <c r="H531" s="101"/>
      <c r="I531" s="101"/>
      <c r="J531" s="101"/>
      <c r="K531" s="101"/>
      <c r="L531" s="101"/>
      <c r="M531" s="101"/>
    </row>
    <row r="532">
      <c r="A532" s="101"/>
      <c r="B532" s="101"/>
      <c r="C532" s="101"/>
      <c r="D532" s="101"/>
      <c r="E532" s="101"/>
      <c r="F532" s="101"/>
      <c r="G532" s="101"/>
      <c r="H532" s="101"/>
      <c r="I532" s="101"/>
      <c r="J532" s="101"/>
      <c r="K532" s="101"/>
      <c r="L532" s="101"/>
      <c r="M532" s="101"/>
    </row>
    <row r="533">
      <c r="A533" s="101"/>
      <c r="B533" s="101"/>
      <c r="C533" s="101"/>
      <c r="D533" s="101"/>
      <c r="E533" s="101"/>
      <c r="F533" s="101"/>
      <c r="G533" s="101"/>
      <c r="H533" s="101"/>
      <c r="I533" s="101"/>
      <c r="J533" s="101"/>
      <c r="K533" s="101"/>
      <c r="L533" s="101"/>
      <c r="M533" s="101"/>
    </row>
    <row r="534">
      <c r="A534" s="101"/>
      <c r="B534" s="101"/>
      <c r="C534" s="101"/>
      <c r="D534" s="101"/>
      <c r="E534" s="101"/>
      <c r="F534" s="101"/>
      <c r="G534" s="101"/>
      <c r="H534" s="101"/>
      <c r="I534" s="101"/>
      <c r="J534" s="101"/>
      <c r="K534" s="101"/>
      <c r="L534" s="101"/>
      <c r="M534" s="101"/>
    </row>
    <row r="535">
      <c r="A535" s="101"/>
      <c r="B535" s="101"/>
      <c r="C535" s="101"/>
      <c r="D535" s="101"/>
      <c r="E535" s="101"/>
      <c r="F535" s="101"/>
      <c r="G535" s="101"/>
      <c r="H535" s="101"/>
      <c r="I535" s="101"/>
      <c r="J535" s="101"/>
      <c r="K535" s="101"/>
      <c r="L535" s="101"/>
      <c r="M535" s="101"/>
    </row>
    <row r="536">
      <c r="A536" s="101"/>
      <c r="B536" s="101"/>
      <c r="C536" s="101"/>
      <c r="D536" s="101"/>
      <c r="E536" s="101"/>
      <c r="F536" s="101"/>
      <c r="G536" s="101"/>
      <c r="H536" s="101"/>
      <c r="I536" s="101"/>
      <c r="J536" s="101"/>
      <c r="K536" s="101"/>
      <c r="L536" s="101"/>
      <c r="M536" s="101"/>
    </row>
    <row r="537">
      <c r="A537" s="101"/>
      <c r="B537" s="101"/>
      <c r="C537" s="101"/>
      <c r="D537" s="101"/>
      <c r="E537" s="101"/>
      <c r="F537" s="101"/>
      <c r="G537" s="101"/>
      <c r="H537" s="101"/>
      <c r="I537" s="101"/>
      <c r="J537" s="101"/>
      <c r="K537" s="101"/>
      <c r="L537" s="101"/>
      <c r="M537" s="101"/>
    </row>
    <row r="538">
      <c r="A538" s="101"/>
      <c r="B538" s="101"/>
      <c r="C538" s="101"/>
      <c r="D538" s="101"/>
      <c r="E538" s="101"/>
      <c r="F538" s="101"/>
      <c r="G538" s="101"/>
      <c r="H538" s="101"/>
      <c r="I538" s="101"/>
      <c r="J538" s="101"/>
      <c r="K538" s="101"/>
      <c r="L538" s="101"/>
      <c r="M538" s="101"/>
    </row>
    <row r="539">
      <c r="A539" s="101"/>
      <c r="B539" s="101"/>
      <c r="C539" s="101"/>
      <c r="D539" s="101"/>
      <c r="E539" s="101"/>
      <c r="F539" s="101"/>
      <c r="G539" s="101"/>
      <c r="H539" s="101"/>
      <c r="I539" s="101"/>
      <c r="J539" s="101"/>
      <c r="K539" s="101"/>
      <c r="L539" s="101"/>
      <c r="M539" s="101"/>
    </row>
    <row r="540">
      <c r="A540" s="101"/>
      <c r="B540" s="101"/>
      <c r="C540" s="101"/>
      <c r="D540" s="101"/>
      <c r="E540" s="101"/>
      <c r="F540" s="101"/>
      <c r="G540" s="101"/>
      <c r="H540" s="101"/>
      <c r="I540" s="101"/>
      <c r="J540" s="101"/>
      <c r="K540" s="101"/>
      <c r="L540" s="101"/>
      <c r="M540" s="101"/>
    </row>
    <row r="541">
      <c r="A541" s="101"/>
      <c r="B541" s="101"/>
      <c r="C541" s="101"/>
      <c r="D541" s="101"/>
      <c r="E541" s="101"/>
      <c r="F541" s="101"/>
      <c r="G541" s="101"/>
      <c r="H541" s="101"/>
      <c r="I541" s="101"/>
      <c r="J541" s="101"/>
      <c r="K541" s="101"/>
      <c r="L541" s="101"/>
      <c r="M541" s="101"/>
    </row>
    <row r="542">
      <c r="A542" s="101"/>
      <c r="B542" s="101"/>
      <c r="C542" s="101"/>
      <c r="D542" s="101"/>
      <c r="E542" s="101"/>
      <c r="F542" s="101"/>
      <c r="G542" s="101"/>
      <c r="H542" s="101"/>
      <c r="I542" s="101"/>
      <c r="J542" s="101"/>
      <c r="K542" s="101"/>
      <c r="L542" s="101"/>
      <c r="M542" s="101"/>
    </row>
    <row r="543">
      <c r="A543" s="101"/>
      <c r="B543" s="101"/>
      <c r="C543" s="101"/>
      <c r="D543" s="101"/>
      <c r="E543" s="101"/>
      <c r="F543" s="101"/>
      <c r="G543" s="101"/>
      <c r="H543" s="101"/>
      <c r="I543" s="101"/>
      <c r="J543" s="101"/>
      <c r="K543" s="101"/>
      <c r="L543" s="101"/>
      <c r="M543" s="101"/>
    </row>
    <row r="544">
      <c r="A544" s="101"/>
      <c r="B544" s="101"/>
      <c r="C544" s="101"/>
      <c r="D544" s="101"/>
      <c r="E544" s="101"/>
      <c r="F544" s="101"/>
      <c r="G544" s="101"/>
      <c r="H544" s="101"/>
      <c r="I544" s="101"/>
      <c r="J544" s="101"/>
      <c r="K544" s="101"/>
      <c r="L544" s="101"/>
      <c r="M544" s="101"/>
    </row>
    <row r="545">
      <c r="A545" s="101"/>
      <c r="B545" s="101"/>
      <c r="C545" s="101"/>
      <c r="D545" s="101"/>
      <c r="E545" s="101"/>
      <c r="F545" s="101"/>
      <c r="G545" s="101"/>
      <c r="H545" s="101"/>
      <c r="I545" s="101"/>
      <c r="J545" s="101"/>
      <c r="K545" s="101"/>
      <c r="L545" s="101"/>
      <c r="M545" s="101"/>
    </row>
    <row r="546">
      <c r="A546" s="101"/>
      <c r="B546" s="101"/>
      <c r="C546" s="101"/>
      <c r="D546" s="101"/>
      <c r="E546" s="101"/>
      <c r="F546" s="101"/>
      <c r="G546" s="101"/>
      <c r="H546" s="101"/>
      <c r="I546" s="101"/>
      <c r="J546" s="101"/>
      <c r="K546" s="101"/>
      <c r="L546" s="101"/>
      <c r="M546" s="101"/>
    </row>
    <row r="547">
      <c r="A547" s="101"/>
      <c r="B547" s="101"/>
      <c r="C547" s="101"/>
      <c r="D547" s="101"/>
      <c r="E547" s="101"/>
      <c r="F547" s="101"/>
      <c r="G547" s="101"/>
      <c r="H547" s="101"/>
      <c r="I547" s="101"/>
      <c r="J547" s="101"/>
      <c r="K547" s="101"/>
      <c r="L547" s="101"/>
      <c r="M547" s="101"/>
    </row>
    <row r="548">
      <c r="A548" s="101"/>
      <c r="B548" s="101"/>
      <c r="C548" s="101"/>
      <c r="D548" s="101"/>
      <c r="E548" s="101"/>
      <c r="F548" s="101"/>
      <c r="G548" s="101"/>
      <c r="H548" s="101"/>
      <c r="I548" s="101"/>
      <c r="J548" s="101"/>
      <c r="K548" s="101"/>
      <c r="L548" s="101"/>
      <c r="M548" s="101"/>
    </row>
    <row r="549">
      <c r="A549" s="101"/>
      <c r="B549" s="101"/>
      <c r="C549" s="101"/>
      <c r="D549" s="101"/>
      <c r="E549" s="101"/>
      <c r="F549" s="101"/>
      <c r="G549" s="101"/>
      <c r="H549" s="101"/>
      <c r="I549" s="101"/>
      <c r="J549" s="101"/>
      <c r="K549" s="101"/>
      <c r="L549" s="101"/>
      <c r="M549" s="101"/>
    </row>
    <row r="550">
      <c r="A550" s="101"/>
      <c r="B550" s="101"/>
      <c r="C550" s="101"/>
      <c r="D550" s="101"/>
      <c r="E550" s="101"/>
      <c r="F550" s="101"/>
      <c r="G550" s="101"/>
      <c r="H550" s="101"/>
      <c r="I550" s="101"/>
      <c r="J550" s="101"/>
      <c r="K550" s="101"/>
      <c r="L550" s="101"/>
      <c r="M550" s="101"/>
    </row>
    <row r="551">
      <c r="A551" s="101"/>
      <c r="B551" s="101"/>
      <c r="C551" s="101"/>
      <c r="D551" s="101"/>
      <c r="E551" s="101"/>
      <c r="F551" s="101"/>
      <c r="G551" s="101"/>
      <c r="H551" s="101"/>
      <c r="I551" s="101"/>
      <c r="J551" s="101"/>
      <c r="K551" s="101"/>
      <c r="L551" s="101"/>
      <c r="M551" s="101"/>
    </row>
    <row r="552">
      <c r="A552" s="101"/>
      <c r="B552" s="101"/>
      <c r="C552" s="101"/>
      <c r="D552" s="101"/>
      <c r="E552" s="101"/>
      <c r="F552" s="101"/>
      <c r="G552" s="101"/>
      <c r="H552" s="101"/>
      <c r="I552" s="101"/>
      <c r="J552" s="101"/>
      <c r="K552" s="101"/>
      <c r="L552" s="101"/>
      <c r="M552" s="101"/>
    </row>
    <row r="553">
      <c r="A553" s="101"/>
      <c r="B553" s="101"/>
      <c r="C553" s="101"/>
      <c r="D553" s="101"/>
      <c r="E553" s="101"/>
      <c r="F553" s="101"/>
      <c r="G553" s="101"/>
      <c r="H553" s="101"/>
      <c r="I553" s="101"/>
      <c r="J553" s="101"/>
      <c r="K553" s="101"/>
      <c r="L553" s="101"/>
      <c r="M553" s="101"/>
    </row>
    <row r="554">
      <c r="A554" s="101"/>
      <c r="B554" s="101"/>
      <c r="C554" s="101"/>
      <c r="D554" s="101"/>
      <c r="E554" s="101"/>
      <c r="F554" s="101"/>
      <c r="G554" s="101"/>
      <c r="H554" s="101"/>
      <c r="I554" s="101"/>
      <c r="J554" s="101"/>
      <c r="K554" s="101"/>
      <c r="L554" s="101"/>
      <c r="M554" s="101"/>
    </row>
    <row r="555">
      <c r="A555" s="101"/>
      <c r="B555" s="101"/>
      <c r="C555" s="101"/>
      <c r="D555" s="101"/>
      <c r="E555" s="101"/>
      <c r="F555" s="101"/>
      <c r="G555" s="101"/>
      <c r="H555" s="101"/>
      <c r="I555" s="101"/>
      <c r="J555" s="101"/>
      <c r="K555" s="101"/>
      <c r="L555" s="101"/>
      <c r="M555" s="101"/>
    </row>
    <row r="556">
      <c r="A556" s="101"/>
      <c r="B556" s="101"/>
      <c r="C556" s="101"/>
      <c r="D556" s="101"/>
      <c r="E556" s="101"/>
      <c r="F556" s="101"/>
      <c r="G556" s="101"/>
      <c r="H556" s="101"/>
      <c r="I556" s="101"/>
      <c r="J556" s="101"/>
      <c r="K556" s="101"/>
      <c r="L556" s="101"/>
      <c r="M556" s="101"/>
    </row>
    <row r="557">
      <c r="A557" s="101"/>
      <c r="B557" s="101"/>
      <c r="C557" s="101"/>
      <c r="D557" s="101"/>
      <c r="E557" s="101"/>
      <c r="F557" s="101"/>
      <c r="G557" s="101"/>
      <c r="H557" s="101"/>
      <c r="I557" s="101"/>
      <c r="J557" s="101"/>
      <c r="K557" s="101"/>
      <c r="L557" s="101"/>
      <c r="M557" s="101"/>
    </row>
    <row r="558">
      <c r="A558" s="101"/>
      <c r="B558" s="101"/>
      <c r="C558" s="101"/>
      <c r="D558" s="101"/>
      <c r="E558" s="101"/>
      <c r="F558" s="101"/>
      <c r="G558" s="101"/>
      <c r="H558" s="101"/>
      <c r="I558" s="101"/>
      <c r="J558" s="101"/>
      <c r="K558" s="101"/>
      <c r="L558" s="101"/>
      <c r="M558" s="101"/>
    </row>
    <row r="559">
      <c r="A559" s="101"/>
      <c r="B559" s="101"/>
      <c r="C559" s="101"/>
      <c r="D559" s="101"/>
      <c r="E559" s="101"/>
      <c r="F559" s="101"/>
      <c r="G559" s="101"/>
      <c r="H559" s="101"/>
      <c r="I559" s="101"/>
      <c r="J559" s="101"/>
      <c r="K559" s="101"/>
      <c r="L559" s="101"/>
      <c r="M559" s="101"/>
    </row>
    <row r="560">
      <c r="A560" s="101"/>
      <c r="B560" s="101"/>
      <c r="C560" s="101"/>
      <c r="D560" s="101"/>
      <c r="E560" s="101"/>
      <c r="F560" s="101"/>
      <c r="G560" s="101"/>
      <c r="H560" s="101"/>
      <c r="I560" s="101"/>
      <c r="J560" s="101"/>
      <c r="K560" s="101"/>
      <c r="L560" s="101"/>
      <c r="M560" s="101"/>
    </row>
    <row r="561">
      <c r="A561" s="101"/>
      <c r="B561" s="101"/>
      <c r="C561" s="101"/>
      <c r="D561" s="101"/>
      <c r="E561" s="101"/>
      <c r="F561" s="101"/>
      <c r="G561" s="101"/>
      <c r="H561" s="101"/>
      <c r="I561" s="101"/>
      <c r="J561" s="101"/>
      <c r="K561" s="101"/>
      <c r="L561" s="101"/>
      <c r="M561" s="101"/>
    </row>
    <row r="562">
      <c r="A562" s="101"/>
      <c r="B562" s="101"/>
      <c r="C562" s="101"/>
      <c r="D562" s="101"/>
      <c r="E562" s="101"/>
      <c r="F562" s="101"/>
      <c r="G562" s="101"/>
      <c r="H562" s="101"/>
      <c r="I562" s="101"/>
      <c r="J562" s="101"/>
      <c r="K562" s="101"/>
      <c r="L562" s="101"/>
      <c r="M562" s="101"/>
    </row>
    <row r="563">
      <c r="A563" s="101"/>
      <c r="B563" s="101"/>
      <c r="C563" s="101"/>
      <c r="D563" s="101"/>
      <c r="E563" s="101"/>
      <c r="F563" s="101"/>
      <c r="G563" s="101"/>
      <c r="H563" s="101"/>
      <c r="I563" s="101"/>
      <c r="J563" s="101"/>
      <c r="K563" s="101"/>
      <c r="L563" s="101"/>
      <c r="M563" s="101"/>
    </row>
    <row r="564">
      <c r="A564" s="101"/>
      <c r="B564" s="101"/>
      <c r="C564" s="101"/>
      <c r="D564" s="101"/>
      <c r="E564" s="101"/>
      <c r="F564" s="101"/>
      <c r="G564" s="101"/>
      <c r="H564" s="101"/>
      <c r="I564" s="101"/>
      <c r="J564" s="101"/>
      <c r="K564" s="101"/>
      <c r="L564" s="101"/>
      <c r="M564" s="101"/>
    </row>
    <row r="565">
      <c r="A565" s="101"/>
      <c r="B565" s="101"/>
      <c r="C565" s="101"/>
      <c r="D565" s="101"/>
      <c r="E565" s="101"/>
      <c r="F565" s="101"/>
      <c r="G565" s="101"/>
      <c r="H565" s="101"/>
      <c r="I565" s="101"/>
      <c r="J565" s="101"/>
      <c r="K565" s="101"/>
      <c r="L565" s="101"/>
      <c r="M565" s="101"/>
    </row>
    <row r="566">
      <c r="A566" s="101"/>
      <c r="B566" s="101"/>
      <c r="C566" s="101"/>
      <c r="D566" s="101"/>
      <c r="E566" s="101"/>
      <c r="F566" s="101"/>
      <c r="G566" s="101"/>
      <c r="H566" s="101"/>
      <c r="I566" s="101"/>
      <c r="J566" s="101"/>
      <c r="K566" s="101"/>
      <c r="L566" s="101"/>
      <c r="M566" s="101"/>
    </row>
    <row r="567">
      <c r="A567" s="101"/>
      <c r="B567" s="101"/>
      <c r="C567" s="101"/>
      <c r="D567" s="101"/>
      <c r="E567" s="101"/>
      <c r="F567" s="101"/>
      <c r="G567" s="101"/>
      <c r="H567" s="101"/>
      <c r="I567" s="101"/>
      <c r="J567" s="101"/>
      <c r="K567" s="101"/>
      <c r="L567" s="101"/>
      <c r="M567" s="101"/>
    </row>
    <row r="568">
      <c r="A568" s="101"/>
      <c r="B568" s="101"/>
      <c r="C568" s="101"/>
      <c r="D568" s="101"/>
      <c r="E568" s="101"/>
      <c r="F568" s="101"/>
      <c r="G568" s="101"/>
      <c r="H568" s="101"/>
      <c r="I568" s="101"/>
      <c r="J568" s="101"/>
      <c r="K568" s="101"/>
      <c r="L568" s="101"/>
      <c r="M568" s="101"/>
    </row>
    <row r="569">
      <c r="A569" s="101"/>
      <c r="B569" s="101"/>
      <c r="C569" s="101"/>
      <c r="D569" s="101"/>
      <c r="E569" s="101"/>
      <c r="F569" s="101"/>
      <c r="G569" s="101"/>
      <c r="H569" s="101"/>
      <c r="I569" s="101"/>
      <c r="J569" s="101"/>
      <c r="K569" s="101"/>
      <c r="L569" s="101"/>
      <c r="M569" s="101"/>
    </row>
    <row r="570">
      <c r="A570" s="101"/>
      <c r="B570" s="101"/>
      <c r="C570" s="101"/>
      <c r="D570" s="101"/>
      <c r="E570" s="101"/>
      <c r="F570" s="101"/>
      <c r="G570" s="101"/>
      <c r="H570" s="101"/>
      <c r="I570" s="101"/>
      <c r="J570" s="101"/>
      <c r="K570" s="101"/>
      <c r="L570" s="101"/>
      <c r="M570" s="101"/>
    </row>
    <row r="571">
      <c r="A571" s="101"/>
      <c r="B571" s="101"/>
      <c r="C571" s="101"/>
      <c r="D571" s="101"/>
      <c r="E571" s="101"/>
      <c r="F571" s="101"/>
      <c r="G571" s="101"/>
      <c r="H571" s="101"/>
      <c r="I571" s="101"/>
      <c r="J571" s="101"/>
      <c r="K571" s="101"/>
      <c r="L571" s="101"/>
      <c r="M571" s="101"/>
    </row>
    <row r="572">
      <c r="A572" s="101"/>
      <c r="B572" s="101"/>
      <c r="C572" s="101"/>
      <c r="D572" s="101"/>
      <c r="E572" s="101"/>
      <c r="F572" s="101"/>
      <c r="G572" s="101"/>
      <c r="H572" s="101"/>
      <c r="I572" s="101"/>
      <c r="J572" s="101"/>
      <c r="K572" s="101"/>
      <c r="L572" s="101"/>
      <c r="M572" s="101"/>
    </row>
    <row r="573">
      <c r="A573" s="101"/>
      <c r="B573" s="101"/>
      <c r="C573" s="101"/>
      <c r="D573" s="101"/>
      <c r="E573" s="101"/>
      <c r="F573" s="101"/>
      <c r="G573" s="101"/>
      <c r="H573" s="101"/>
      <c r="I573" s="101"/>
      <c r="J573" s="101"/>
      <c r="K573" s="101"/>
      <c r="L573" s="101"/>
      <c r="M573" s="101"/>
    </row>
    <row r="574">
      <c r="A574" s="101"/>
      <c r="B574" s="101"/>
      <c r="C574" s="101"/>
      <c r="D574" s="101"/>
      <c r="E574" s="101"/>
      <c r="F574" s="101"/>
      <c r="G574" s="101"/>
      <c r="H574" s="101"/>
      <c r="I574" s="101"/>
      <c r="J574" s="101"/>
      <c r="K574" s="101"/>
      <c r="L574" s="101"/>
      <c r="M574" s="101"/>
    </row>
    <row r="575">
      <c r="A575" s="101"/>
      <c r="B575" s="101"/>
      <c r="C575" s="101"/>
      <c r="D575" s="101"/>
      <c r="E575" s="101"/>
      <c r="F575" s="101"/>
      <c r="G575" s="101"/>
      <c r="H575" s="101"/>
      <c r="I575" s="101"/>
      <c r="J575" s="101"/>
      <c r="K575" s="101"/>
      <c r="L575" s="101"/>
      <c r="M575" s="101"/>
    </row>
    <row r="576">
      <c r="A576" s="101"/>
      <c r="B576" s="101"/>
      <c r="C576" s="101"/>
      <c r="D576" s="101"/>
      <c r="E576" s="101"/>
      <c r="F576" s="101"/>
      <c r="G576" s="101"/>
      <c r="H576" s="101"/>
      <c r="I576" s="101"/>
      <c r="J576" s="101"/>
      <c r="K576" s="101"/>
      <c r="L576" s="101"/>
      <c r="M576" s="101"/>
    </row>
    <row r="577">
      <c r="A577" s="101"/>
      <c r="B577" s="101"/>
      <c r="C577" s="101"/>
      <c r="D577" s="101"/>
      <c r="E577" s="101"/>
      <c r="F577" s="101"/>
      <c r="G577" s="101"/>
      <c r="H577" s="101"/>
      <c r="I577" s="101"/>
      <c r="J577" s="101"/>
      <c r="K577" s="101"/>
      <c r="L577" s="101"/>
      <c r="M577" s="101"/>
    </row>
    <row r="578">
      <c r="A578" s="101"/>
      <c r="B578" s="101"/>
      <c r="C578" s="101"/>
      <c r="D578" s="101"/>
      <c r="E578" s="101"/>
      <c r="F578" s="101"/>
      <c r="G578" s="101"/>
      <c r="H578" s="101"/>
      <c r="I578" s="101"/>
      <c r="J578" s="101"/>
      <c r="K578" s="101"/>
      <c r="L578" s="101"/>
      <c r="M578" s="101"/>
    </row>
    <row r="579">
      <c r="A579" s="101"/>
      <c r="B579" s="101"/>
      <c r="C579" s="101"/>
      <c r="D579" s="101"/>
      <c r="E579" s="101"/>
      <c r="F579" s="101"/>
      <c r="G579" s="101"/>
      <c r="H579" s="101"/>
      <c r="I579" s="101"/>
      <c r="J579" s="101"/>
      <c r="K579" s="101"/>
      <c r="L579" s="101"/>
      <c r="M579" s="101"/>
    </row>
    <row r="580">
      <c r="A580" s="101"/>
      <c r="B580" s="101"/>
      <c r="C580" s="101"/>
      <c r="D580" s="101"/>
      <c r="E580" s="101"/>
      <c r="F580" s="101"/>
      <c r="G580" s="101"/>
      <c r="H580" s="101"/>
      <c r="I580" s="101"/>
      <c r="J580" s="101"/>
      <c r="K580" s="101"/>
      <c r="L580" s="101"/>
      <c r="M580" s="101"/>
    </row>
    <row r="581">
      <c r="A581" s="101"/>
      <c r="B581" s="101"/>
      <c r="C581" s="101"/>
      <c r="D581" s="101"/>
      <c r="E581" s="101"/>
      <c r="F581" s="101"/>
      <c r="G581" s="101"/>
      <c r="H581" s="101"/>
      <c r="I581" s="101"/>
      <c r="J581" s="101"/>
      <c r="K581" s="101"/>
      <c r="L581" s="101"/>
      <c r="M581" s="101"/>
    </row>
    <row r="582">
      <c r="A582" s="101"/>
      <c r="B582" s="101"/>
      <c r="C582" s="101"/>
      <c r="D582" s="101"/>
      <c r="E582" s="101"/>
      <c r="F582" s="101"/>
      <c r="G582" s="101"/>
      <c r="H582" s="101"/>
      <c r="I582" s="101"/>
      <c r="J582" s="101"/>
      <c r="K582" s="101"/>
      <c r="L582" s="101"/>
      <c r="M582" s="101"/>
    </row>
    <row r="583">
      <c r="A583" s="101"/>
      <c r="B583" s="101"/>
      <c r="C583" s="101"/>
      <c r="D583" s="101"/>
      <c r="E583" s="101"/>
      <c r="F583" s="101"/>
      <c r="G583" s="101"/>
      <c r="H583" s="101"/>
      <c r="I583" s="101"/>
      <c r="J583" s="101"/>
      <c r="K583" s="101"/>
      <c r="L583" s="101"/>
      <c r="M583" s="101"/>
    </row>
    <row r="584">
      <c r="A584" s="101"/>
      <c r="B584" s="101"/>
      <c r="C584" s="101"/>
      <c r="D584" s="101"/>
      <c r="E584" s="101"/>
      <c r="F584" s="101"/>
      <c r="G584" s="101"/>
      <c r="H584" s="101"/>
      <c r="I584" s="101"/>
      <c r="J584" s="101"/>
      <c r="K584" s="101"/>
      <c r="L584" s="101"/>
      <c r="M584" s="101"/>
    </row>
    <row r="585">
      <c r="A585" s="101"/>
      <c r="B585" s="101"/>
      <c r="C585" s="101"/>
      <c r="D585" s="101"/>
      <c r="E585" s="101"/>
      <c r="F585" s="101"/>
      <c r="G585" s="101"/>
      <c r="H585" s="101"/>
      <c r="I585" s="101"/>
      <c r="J585" s="101"/>
      <c r="K585" s="101"/>
      <c r="L585" s="101"/>
      <c r="M585" s="101"/>
    </row>
    <row r="586">
      <c r="A586" s="101"/>
      <c r="B586" s="101"/>
      <c r="C586" s="101"/>
      <c r="D586" s="101"/>
      <c r="E586" s="101"/>
      <c r="F586" s="101"/>
      <c r="G586" s="101"/>
      <c r="H586" s="101"/>
      <c r="I586" s="101"/>
      <c r="J586" s="101"/>
      <c r="K586" s="101"/>
      <c r="L586" s="101"/>
      <c r="M586" s="101"/>
    </row>
    <row r="587">
      <c r="A587" s="101"/>
      <c r="B587" s="101"/>
      <c r="C587" s="101"/>
      <c r="D587" s="101"/>
      <c r="E587" s="101"/>
      <c r="F587" s="101"/>
      <c r="G587" s="101"/>
      <c r="H587" s="101"/>
      <c r="I587" s="101"/>
      <c r="J587" s="101"/>
      <c r="K587" s="101"/>
      <c r="L587" s="101"/>
      <c r="M587" s="101"/>
    </row>
    <row r="588">
      <c r="A588" s="101"/>
      <c r="B588" s="101"/>
      <c r="C588" s="101"/>
      <c r="D588" s="101"/>
      <c r="E588" s="101"/>
      <c r="F588" s="101"/>
      <c r="G588" s="101"/>
      <c r="H588" s="101"/>
      <c r="I588" s="101"/>
      <c r="J588" s="101"/>
      <c r="K588" s="101"/>
      <c r="L588" s="101"/>
      <c r="M588" s="101"/>
    </row>
    <row r="589">
      <c r="A589" s="101"/>
      <c r="B589" s="101"/>
      <c r="C589" s="101"/>
      <c r="D589" s="101"/>
      <c r="E589" s="101"/>
      <c r="F589" s="101"/>
      <c r="G589" s="101"/>
      <c r="H589" s="101"/>
      <c r="I589" s="101"/>
      <c r="J589" s="101"/>
      <c r="K589" s="101"/>
      <c r="L589" s="101"/>
      <c r="M589" s="101"/>
    </row>
    <row r="590">
      <c r="A590" s="101"/>
      <c r="B590" s="101"/>
      <c r="C590" s="101"/>
      <c r="D590" s="101"/>
      <c r="E590" s="101"/>
      <c r="F590" s="101"/>
      <c r="G590" s="101"/>
      <c r="H590" s="101"/>
      <c r="I590" s="101"/>
      <c r="J590" s="101"/>
      <c r="K590" s="101"/>
      <c r="L590" s="101"/>
      <c r="M590" s="101"/>
    </row>
    <row r="591">
      <c r="A591" s="101"/>
      <c r="B591" s="101"/>
      <c r="C591" s="101"/>
      <c r="D591" s="101"/>
      <c r="E591" s="101"/>
      <c r="F591" s="101"/>
      <c r="G591" s="101"/>
      <c r="H591" s="101"/>
      <c r="I591" s="101"/>
      <c r="J591" s="101"/>
      <c r="K591" s="101"/>
      <c r="L591" s="101"/>
      <c r="M591" s="101"/>
    </row>
    <row r="592">
      <c r="A592" s="101"/>
      <c r="B592" s="101"/>
      <c r="C592" s="101"/>
      <c r="D592" s="101"/>
      <c r="E592" s="101"/>
      <c r="F592" s="101"/>
      <c r="G592" s="101"/>
      <c r="H592" s="101"/>
      <c r="I592" s="101"/>
      <c r="J592" s="101"/>
      <c r="K592" s="101"/>
      <c r="L592" s="101"/>
      <c r="M592" s="101"/>
    </row>
    <row r="593">
      <c r="A593" s="101"/>
      <c r="B593" s="101"/>
      <c r="C593" s="101"/>
      <c r="D593" s="101"/>
      <c r="E593" s="101"/>
      <c r="F593" s="101"/>
      <c r="G593" s="101"/>
      <c r="H593" s="101"/>
      <c r="I593" s="101"/>
      <c r="J593" s="101"/>
      <c r="K593" s="101"/>
      <c r="L593" s="101"/>
      <c r="M593" s="101"/>
    </row>
    <row r="594">
      <c r="A594" s="101"/>
      <c r="B594" s="101"/>
      <c r="C594" s="101"/>
      <c r="D594" s="101"/>
      <c r="E594" s="101"/>
      <c r="F594" s="101"/>
      <c r="G594" s="101"/>
      <c r="H594" s="101"/>
      <c r="I594" s="101"/>
      <c r="J594" s="101"/>
      <c r="K594" s="101"/>
      <c r="L594" s="101"/>
      <c r="M594" s="101"/>
    </row>
    <row r="595">
      <c r="A595" s="101"/>
      <c r="B595" s="101"/>
      <c r="C595" s="101"/>
      <c r="D595" s="101"/>
      <c r="E595" s="101"/>
      <c r="F595" s="101"/>
      <c r="G595" s="101"/>
      <c r="H595" s="101"/>
      <c r="I595" s="101"/>
      <c r="J595" s="101"/>
      <c r="K595" s="101"/>
      <c r="L595" s="101"/>
      <c r="M595" s="101"/>
    </row>
    <row r="596">
      <c r="A596" s="101"/>
      <c r="B596" s="101"/>
      <c r="C596" s="101"/>
      <c r="D596" s="101"/>
      <c r="E596" s="101"/>
      <c r="F596" s="101"/>
      <c r="G596" s="101"/>
      <c r="H596" s="101"/>
      <c r="I596" s="101"/>
      <c r="J596" s="101"/>
      <c r="K596" s="101"/>
      <c r="L596" s="101"/>
      <c r="M596" s="101"/>
    </row>
    <row r="597">
      <c r="A597" s="101"/>
      <c r="B597" s="101"/>
      <c r="C597" s="101"/>
      <c r="D597" s="101"/>
      <c r="E597" s="101"/>
      <c r="F597" s="101"/>
      <c r="G597" s="101"/>
      <c r="H597" s="101"/>
      <c r="I597" s="101"/>
      <c r="J597" s="101"/>
      <c r="K597" s="101"/>
      <c r="L597" s="101"/>
      <c r="M597" s="101"/>
    </row>
    <row r="598">
      <c r="A598" s="101"/>
      <c r="B598" s="101"/>
      <c r="C598" s="101"/>
      <c r="D598" s="101"/>
      <c r="E598" s="101"/>
      <c r="F598" s="101"/>
      <c r="G598" s="101"/>
      <c r="H598" s="101"/>
      <c r="I598" s="101"/>
      <c r="J598" s="101"/>
      <c r="K598" s="101"/>
      <c r="L598" s="101"/>
      <c r="M598" s="101"/>
    </row>
    <row r="599">
      <c r="A599" s="101"/>
      <c r="B599" s="101"/>
      <c r="C599" s="101"/>
      <c r="D599" s="101"/>
      <c r="E599" s="101"/>
      <c r="F599" s="101"/>
      <c r="G599" s="101"/>
      <c r="H599" s="101"/>
      <c r="I599" s="101"/>
      <c r="J599" s="101"/>
      <c r="K599" s="101"/>
      <c r="L599" s="101"/>
      <c r="M599" s="101"/>
    </row>
    <row r="600">
      <c r="A600" s="101"/>
      <c r="B600" s="101"/>
      <c r="C600" s="101"/>
      <c r="D600" s="101"/>
      <c r="E600" s="101"/>
      <c r="F600" s="101"/>
      <c r="G600" s="101"/>
      <c r="H600" s="101"/>
      <c r="I600" s="101"/>
      <c r="J600" s="101"/>
      <c r="K600" s="101"/>
      <c r="L600" s="101"/>
      <c r="M600" s="101"/>
    </row>
    <row r="601">
      <c r="A601" s="101"/>
      <c r="B601" s="101"/>
      <c r="C601" s="101"/>
      <c r="D601" s="101"/>
      <c r="E601" s="101"/>
      <c r="F601" s="101"/>
      <c r="G601" s="101"/>
      <c r="H601" s="101"/>
      <c r="I601" s="101"/>
      <c r="J601" s="101"/>
      <c r="K601" s="101"/>
      <c r="L601" s="101"/>
      <c r="M601" s="101"/>
    </row>
    <row r="602">
      <c r="A602" s="101"/>
      <c r="B602" s="101"/>
      <c r="C602" s="101"/>
      <c r="D602" s="101"/>
      <c r="E602" s="101"/>
      <c r="F602" s="101"/>
      <c r="G602" s="101"/>
      <c r="H602" s="101"/>
      <c r="I602" s="101"/>
      <c r="J602" s="101"/>
      <c r="K602" s="101"/>
      <c r="L602" s="101"/>
      <c r="M602" s="101"/>
    </row>
    <row r="603">
      <c r="A603" s="101"/>
      <c r="B603" s="101"/>
      <c r="C603" s="101"/>
      <c r="D603" s="101"/>
      <c r="E603" s="101"/>
      <c r="F603" s="101"/>
      <c r="G603" s="101"/>
      <c r="H603" s="101"/>
      <c r="I603" s="101"/>
      <c r="J603" s="101"/>
      <c r="K603" s="101"/>
      <c r="L603" s="101"/>
      <c r="M603" s="101"/>
    </row>
    <row r="604">
      <c r="A604" s="101"/>
      <c r="B604" s="101"/>
      <c r="C604" s="101"/>
      <c r="D604" s="101"/>
      <c r="E604" s="101"/>
      <c r="F604" s="101"/>
      <c r="G604" s="101"/>
      <c r="H604" s="101"/>
      <c r="I604" s="101"/>
      <c r="J604" s="101"/>
      <c r="K604" s="101"/>
      <c r="L604" s="101"/>
      <c r="M604" s="101"/>
    </row>
    <row r="605">
      <c r="A605" s="101"/>
      <c r="B605" s="101"/>
      <c r="C605" s="101"/>
      <c r="D605" s="101"/>
      <c r="E605" s="101"/>
      <c r="F605" s="101"/>
      <c r="G605" s="101"/>
      <c r="H605" s="101"/>
      <c r="I605" s="101"/>
      <c r="J605" s="101"/>
      <c r="K605" s="101"/>
      <c r="L605" s="101"/>
      <c r="M605" s="101"/>
    </row>
    <row r="606">
      <c r="A606" s="101"/>
      <c r="B606" s="101"/>
      <c r="C606" s="101"/>
      <c r="D606" s="101"/>
      <c r="E606" s="101"/>
      <c r="F606" s="101"/>
      <c r="G606" s="101"/>
      <c r="H606" s="101"/>
      <c r="I606" s="101"/>
      <c r="J606" s="101"/>
      <c r="K606" s="101"/>
      <c r="L606" s="101"/>
      <c r="M606" s="101"/>
    </row>
    <row r="607">
      <c r="A607" s="101"/>
      <c r="B607" s="101"/>
      <c r="C607" s="101"/>
      <c r="D607" s="101"/>
      <c r="E607" s="101"/>
      <c r="F607" s="101"/>
      <c r="G607" s="101"/>
      <c r="H607" s="101"/>
      <c r="I607" s="101"/>
      <c r="J607" s="101"/>
      <c r="K607" s="101"/>
      <c r="L607" s="101"/>
      <c r="M607" s="101"/>
    </row>
    <row r="608">
      <c r="A608" s="101"/>
      <c r="B608" s="101"/>
      <c r="C608" s="101"/>
      <c r="D608" s="101"/>
      <c r="E608" s="101"/>
      <c r="F608" s="101"/>
      <c r="G608" s="101"/>
      <c r="H608" s="101"/>
      <c r="I608" s="101"/>
      <c r="J608" s="101"/>
      <c r="K608" s="101"/>
      <c r="L608" s="101"/>
      <c r="M608" s="101"/>
    </row>
    <row r="609">
      <c r="A609" s="101"/>
      <c r="B609" s="101"/>
      <c r="C609" s="101"/>
      <c r="D609" s="101"/>
      <c r="E609" s="101"/>
      <c r="F609" s="101"/>
      <c r="G609" s="101"/>
      <c r="H609" s="101"/>
      <c r="I609" s="101"/>
      <c r="J609" s="101"/>
      <c r="K609" s="101"/>
      <c r="L609" s="101"/>
      <c r="M609" s="101"/>
    </row>
    <row r="610">
      <c r="A610" s="101"/>
      <c r="B610" s="101"/>
      <c r="C610" s="101"/>
      <c r="D610" s="101"/>
      <c r="E610" s="101"/>
      <c r="F610" s="101"/>
      <c r="G610" s="101"/>
      <c r="H610" s="101"/>
      <c r="I610" s="101"/>
      <c r="J610" s="101"/>
      <c r="K610" s="101"/>
      <c r="L610" s="101"/>
      <c r="M610" s="101"/>
    </row>
    <row r="611">
      <c r="A611" s="101"/>
      <c r="B611" s="101"/>
      <c r="C611" s="101"/>
      <c r="D611" s="101"/>
      <c r="E611" s="101"/>
      <c r="F611" s="101"/>
      <c r="G611" s="101"/>
      <c r="H611" s="101"/>
      <c r="I611" s="101"/>
      <c r="J611" s="101"/>
      <c r="K611" s="101"/>
      <c r="L611" s="101"/>
      <c r="M611" s="101"/>
    </row>
    <row r="612">
      <c r="A612" s="101"/>
      <c r="B612" s="101"/>
      <c r="C612" s="101"/>
      <c r="D612" s="101"/>
      <c r="E612" s="101"/>
      <c r="F612" s="101"/>
      <c r="G612" s="101"/>
      <c r="H612" s="101"/>
      <c r="I612" s="101"/>
      <c r="J612" s="101"/>
      <c r="K612" s="101"/>
      <c r="L612" s="101"/>
      <c r="M612" s="101"/>
    </row>
    <row r="613">
      <c r="A613" s="101"/>
      <c r="B613" s="101"/>
      <c r="C613" s="101"/>
      <c r="D613" s="101"/>
      <c r="E613" s="101"/>
      <c r="F613" s="101"/>
      <c r="G613" s="101"/>
      <c r="H613" s="101"/>
      <c r="I613" s="101"/>
      <c r="J613" s="101"/>
      <c r="K613" s="101"/>
      <c r="L613" s="101"/>
      <c r="M613" s="101"/>
    </row>
    <row r="614">
      <c r="A614" s="101"/>
      <c r="B614" s="101"/>
      <c r="C614" s="101"/>
      <c r="D614" s="101"/>
      <c r="E614" s="101"/>
      <c r="F614" s="101"/>
      <c r="G614" s="101"/>
      <c r="H614" s="101"/>
      <c r="I614" s="101"/>
      <c r="J614" s="101"/>
      <c r="K614" s="101"/>
      <c r="L614" s="101"/>
      <c r="M614" s="101"/>
    </row>
    <row r="615">
      <c r="A615" s="101"/>
      <c r="B615" s="101"/>
      <c r="C615" s="101"/>
      <c r="D615" s="101"/>
      <c r="E615" s="101"/>
      <c r="F615" s="101"/>
      <c r="G615" s="101"/>
      <c r="H615" s="101"/>
      <c r="I615" s="101"/>
      <c r="J615" s="101"/>
      <c r="K615" s="101"/>
      <c r="L615" s="101"/>
      <c r="M615" s="101"/>
    </row>
    <row r="616">
      <c r="A616" s="101"/>
      <c r="B616" s="101"/>
      <c r="C616" s="101"/>
      <c r="D616" s="101"/>
      <c r="E616" s="101"/>
      <c r="F616" s="101"/>
      <c r="G616" s="101"/>
      <c r="H616" s="101"/>
      <c r="I616" s="101"/>
      <c r="J616" s="101"/>
      <c r="K616" s="101"/>
      <c r="L616" s="101"/>
      <c r="M616" s="101"/>
    </row>
    <row r="617">
      <c r="A617" s="101"/>
      <c r="B617" s="101"/>
      <c r="C617" s="101"/>
      <c r="D617" s="101"/>
      <c r="E617" s="101"/>
      <c r="F617" s="101"/>
      <c r="G617" s="101"/>
      <c r="H617" s="101"/>
      <c r="I617" s="101"/>
      <c r="J617" s="101"/>
      <c r="K617" s="101"/>
      <c r="L617" s="101"/>
      <c r="M617" s="101"/>
    </row>
    <row r="618">
      <c r="A618" s="101"/>
      <c r="B618" s="101"/>
      <c r="C618" s="101"/>
      <c r="D618" s="101"/>
      <c r="E618" s="101"/>
      <c r="F618" s="101"/>
      <c r="G618" s="101"/>
      <c r="H618" s="101"/>
      <c r="I618" s="101"/>
      <c r="J618" s="101"/>
      <c r="K618" s="101"/>
      <c r="L618" s="101"/>
      <c r="M618" s="101"/>
    </row>
    <row r="619">
      <c r="A619" s="101"/>
      <c r="B619" s="101"/>
      <c r="C619" s="101"/>
      <c r="D619" s="101"/>
      <c r="E619" s="101"/>
      <c r="F619" s="101"/>
      <c r="G619" s="101"/>
      <c r="H619" s="101"/>
      <c r="I619" s="101"/>
      <c r="J619" s="101"/>
      <c r="K619" s="101"/>
      <c r="L619" s="101"/>
      <c r="M619" s="101"/>
    </row>
    <row r="620">
      <c r="A620" s="101"/>
      <c r="B620" s="101"/>
      <c r="C620" s="101"/>
      <c r="D620" s="101"/>
      <c r="E620" s="101"/>
      <c r="F620" s="101"/>
      <c r="G620" s="101"/>
      <c r="H620" s="101"/>
      <c r="I620" s="101"/>
      <c r="J620" s="101"/>
      <c r="K620" s="101"/>
      <c r="L620" s="101"/>
      <c r="M620" s="101"/>
    </row>
    <row r="621">
      <c r="A621" s="101"/>
      <c r="B621" s="101"/>
      <c r="C621" s="101"/>
      <c r="D621" s="101"/>
      <c r="E621" s="101"/>
      <c r="F621" s="101"/>
      <c r="G621" s="101"/>
      <c r="H621" s="101"/>
      <c r="I621" s="101"/>
      <c r="J621" s="101"/>
      <c r="K621" s="101"/>
      <c r="L621" s="101"/>
      <c r="M621" s="101"/>
    </row>
    <row r="622">
      <c r="A622" s="101"/>
      <c r="B622" s="101"/>
      <c r="C622" s="101"/>
      <c r="D622" s="101"/>
      <c r="E622" s="101"/>
      <c r="F622" s="101"/>
      <c r="G622" s="101"/>
      <c r="H622" s="101"/>
      <c r="I622" s="101"/>
      <c r="J622" s="101"/>
      <c r="K622" s="101"/>
      <c r="L622" s="101"/>
      <c r="M622" s="101"/>
    </row>
    <row r="623">
      <c r="A623" s="101"/>
      <c r="B623" s="101"/>
      <c r="C623" s="101"/>
      <c r="D623" s="101"/>
      <c r="E623" s="101"/>
      <c r="F623" s="101"/>
      <c r="G623" s="101"/>
      <c r="H623" s="101"/>
      <c r="I623" s="101"/>
      <c r="J623" s="101"/>
      <c r="K623" s="101"/>
      <c r="L623" s="101"/>
      <c r="M623" s="101"/>
    </row>
    <row r="624">
      <c r="A624" s="101"/>
      <c r="B624" s="101"/>
      <c r="C624" s="101"/>
      <c r="D624" s="101"/>
      <c r="E624" s="101"/>
      <c r="F624" s="101"/>
      <c r="G624" s="101"/>
      <c r="H624" s="101"/>
      <c r="I624" s="101"/>
      <c r="J624" s="101"/>
      <c r="K624" s="101"/>
      <c r="L624" s="101"/>
      <c r="M624" s="101"/>
    </row>
  </sheetData>
  <conditionalFormatting sqref="A1:M624">
    <cfRule type="cellIs" dxfId="0" priority="1" operator="between">
      <formula>0.001</formula>
      <formula>-0.001</formula>
    </cfRule>
  </conditionalFormatting>
  <conditionalFormatting sqref="A1:M624">
    <cfRule type="cellIs" dxfId="1" priority="2"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88"/>
    <col customWidth="1" min="2" max="3" width="21.88"/>
    <col customWidth="1" min="4" max="4" width="6.75"/>
  </cols>
  <sheetData>
    <row r="1">
      <c r="A1" s="163" t="str">
        <f>IFERROR(__xludf.DUMMYFUNCTION("ARRAYFORMULA({IF(IMPORTRANGE(""https://docs.google.com/spreadsheets/d/1t2pimo7Ih4U-zR6WGfj6GlQekm62EvrCvE7VaN8UNxA"",""Ekspor-BisaJual-BisaStok!A1:H1"")="""",,
IMPORTRANGE(""https://docs.google.com/spreadsheets/d/1t2pimo7Ih4U-zR6WGfj6GlQekm62EvrCvE7VaN8UN"&amp;"xA"",""Ekspor-BisaJual-BisaStok!A1:H1""));
SORT(IF(IMPORTRANGE(""https://docs.google.com/spreadsheets/d/1t2pimo7Ih4U-zR6WGfj6GlQekm62EvrCvE7VaN8UNxA"",""Ekspor-BisaJual-BisaStok!A2:H"")="""",,
IMPORTRANGE(""https://docs.google.com/spreadsheets/d/1t2pimo7I"&amp;"h4U-zR6WGfj6GlQekm62EvrCvE7VaN8UNxA"",""Ekspor-BisaJual-BisaStok!A2:H"")))})"),"SKU")</f>
        <v>SKU</v>
      </c>
      <c r="B1" s="163" t="str">
        <f>IFERROR(__xludf.DUMMYFUNCTION("""COMPUTED_VALUE"""),"Tanggal")</f>
        <v>Tanggal</v>
      </c>
      <c r="C1" s="163" t="str">
        <f>IFERROR(__xludf.DUMMYFUNCTION("""COMPUTED_VALUE"""),"Lokasi Gudang")</f>
        <v>Lokasi Gudang</v>
      </c>
      <c r="D1" s="164" t="str">
        <f>IFERROR(__xludf.DUMMYFUNCTION("""COMPUTED_VALUE"""),"Banyak
Terjual
(Buah)")</f>
        <v>Banyak
Terjual
(Buah)</v>
      </c>
    </row>
    <row r="2">
      <c r="A2" s="87" t="str">
        <f>IFERROR(__xludf.DUMMYFUNCTION("""COMPUTED_VALUE"""),"ITBISA-7SEGMENT-ANODE-RED-0.56-1BIT")</f>
        <v>ITBISA-7SEGMENT-ANODE-RED-0.56-1BIT</v>
      </c>
      <c r="B2" s="165">
        <f>IFERROR(__xludf.DUMMYFUNCTION("""COMPUTED_VALUE"""),45871.0)</f>
        <v>45871</v>
      </c>
      <c r="C2" s="165" t="str">
        <f>IFERROR(__xludf.DUMMYFUNCTION("""COMPUTED_VALUE"""),"KERTASARI CIAMIS")</f>
        <v>KERTASARI CIAMIS</v>
      </c>
      <c r="D2" s="94">
        <f>IFERROR(__xludf.DUMMYFUNCTION("""COMPUTED_VALUE"""),60.0)</f>
        <v>60</v>
      </c>
    </row>
    <row r="3">
      <c r="A3" s="87" t="str">
        <f>IFERROR(__xludf.DUMMYFUNCTION("""COMPUTED_VALUE"""),"ITBISA-7SEGMENT-ANODE-RED-0.56-1BIT")</f>
        <v>ITBISA-7SEGMENT-ANODE-RED-0.56-1BIT</v>
      </c>
      <c r="B3" s="165">
        <f>IFERROR(__xludf.DUMMYFUNCTION("""COMPUTED_VALUE"""),46026.0)</f>
        <v>46026</v>
      </c>
      <c r="C3" s="165" t="str">
        <f>IFERROR(__xludf.DUMMYFUNCTION("""COMPUTED_VALUE"""),"KYAI KONTONG")</f>
        <v>KYAI KONTONG</v>
      </c>
      <c r="D3" s="94">
        <f>IFERROR(__xludf.DUMMYFUNCTION("""COMPUTED_VALUE"""),10.0)</f>
        <v>10</v>
      </c>
    </row>
    <row r="4">
      <c r="A4" s="87" t="str">
        <f>IFERROR(__xludf.DUMMYFUNCTION("""COMPUTED_VALUE"""),"ITBISA-7SEGMENT-ANODE-RED-0.56-1BIT")</f>
        <v>ITBISA-7SEGMENT-ANODE-RED-0.56-1BIT</v>
      </c>
      <c r="B4" s="165">
        <f>IFERROR(__xludf.DUMMYFUNCTION("""COMPUTED_VALUE"""),46028.0)</f>
        <v>46028</v>
      </c>
      <c r="C4" s="165" t="str">
        <f>IFERROR(__xludf.DUMMYFUNCTION("""COMPUTED_VALUE"""),"KYAI KONTONG")</f>
        <v>KYAI KONTONG</v>
      </c>
      <c r="D4" s="94">
        <f>IFERROR(__xludf.DUMMYFUNCTION("""COMPUTED_VALUE"""),20.0)</f>
        <v>20</v>
      </c>
    </row>
    <row r="5">
      <c r="A5" s="87" t="str">
        <f>IFERROR(__xludf.DUMMYFUNCTION("""COMPUTED_VALUE"""),"ITBISA-7SEGMENT-ANODE-RED-0.56-1BIT")</f>
        <v>ITBISA-7SEGMENT-ANODE-RED-0.56-1BIT</v>
      </c>
      <c r="B5" s="165">
        <f>IFERROR(__xludf.DUMMYFUNCTION("""COMPUTED_VALUE"""),46034.0)</f>
        <v>46034</v>
      </c>
      <c r="C5" s="165" t="str">
        <f>IFERROR(__xludf.DUMMYFUNCTION("""COMPUTED_VALUE"""),"KYAI KONTONG")</f>
        <v>KYAI KONTONG</v>
      </c>
      <c r="D5" s="94">
        <f>IFERROR(__xludf.DUMMYFUNCTION("""COMPUTED_VALUE"""),50.0)</f>
        <v>50</v>
      </c>
    </row>
    <row r="6">
      <c r="A6" s="87" t="str">
        <f>IFERROR(__xludf.DUMMYFUNCTION("""COMPUTED_VALUE"""),"ITBISA-7SEGMENT-ANODE-RED-0.56-1BIT")</f>
        <v>ITBISA-7SEGMENT-ANODE-RED-0.56-1BIT</v>
      </c>
      <c r="B6" s="165">
        <f>IFERROR(__xludf.DUMMYFUNCTION("""COMPUTED_VALUE"""),46036.0)</f>
        <v>46036</v>
      </c>
      <c r="C6" s="165" t="str">
        <f>IFERROR(__xludf.DUMMYFUNCTION("""COMPUTED_VALUE"""),"KYAI KONTONG")</f>
        <v>KYAI KONTONG</v>
      </c>
      <c r="D6" s="94">
        <f>IFERROR(__xludf.DUMMYFUNCTION("""COMPUTED_VALUE"""),30.0)</f>
        <v>30</v>
      </c>
    </row>
    <row r="7">
      <c r="A7" s="87" t="str">
        <f>IFERROR(__xludf.DUMMYFUNCTION("""COMPUTED_VALUE"""),"ITBISA-7SEGMENT-ANODE-RED-0.56-1BIT")</f>
        <v>ITBISA-7SEGMENT-ANODE-RED-0.56-1BIT</v>
      </c>
      <c r="B7" s="165">
        <f>IFERROR(__xludf.DUMMYFUNCTION("""COMPUTED_VALUE"""),46036.0)</f>
        <v>46036</v>
      </c>
      <c r="C7" s="165" t="str">
        <f>IFERROR(__xludf.DUMMYFUNCTION("""COMPUTED_VALUE"""),"KYAI KONTONG")</f>
        <v>KYAI KONTONG</v>
      </c>
      <c r="D7" s="94">
        <f>IFERROR(__xludf.DUMMYFUNCTION("""COMPUTED_VALUE"""),30.0)</f>
        <v>30</v>
      </c>
    </row>
    <row r="8">
      <c r="A8" s="87" t="str">
        <f>IFERROR(__xludf.DUMMYFUNCTION("""COMPUTED_VALUE"""),"ITBISA-7SEGMENT-ANODE-RED-0.56-1BIT")</f>
        <v>ITBISA-7SEGMENT-ANODE-RED-0.56-1BIT</v>
      </c>
      <c r="B8" s="165">
        <f>IFERROR(__xludf.DUMMYFUNCTION("""COMPUTED_VALUE"""),46042.0)</f>
        <v>46042</v>
      </c>
      <c r="C8" s="165" t="str">
        <f>IFERROR(__xludf.DUMMYFUNCTION("""COMPUTED_VALUE"""),"KYAI KONTONG")</f>
        <v>KYAI KONTONG</v>
      </c>
      <c r="D8" s="94">
        <f>IFERROR(__xludf.DUMMYFUNCTION("""COMPUTED_VALUE"""),200.0)</f>
        <v>200</v>
      </c>
    </row>
    <row r="9">
      <c r="A9" s="87" t="str">
        <f>IFERROR(__xludf.DUMMYFUNCTION("""COMPUTED_VALUE"""),"ITBISA-7SEGMENT-ANODE-RED-0.56-1BIT")</f>
        <v>ITBISA-7SEGMENT-ANODE-RED-0.56-1BIT</v>
      </c>
      <c r="B9" s="165">
        <f>IFERROR(__xludf.DUMMYFUNCTION("""COMPUTED_VALUE"""),46043.0)</f>
        <v>46043</v>
      </c>
      <c r="C9" s="165" t="str">
        <f>IFERROR(__xludf.DUMMYFUNCTION("""COMPUTED_VALUE"""),"KYAI KONTONG")</f>
        <v>KYAI KONTONG</v>
      </c>
      <c r="D9" s="94">
        <f>IFERROR(__xludf.DUMMYFUNCTION("""COMPUTED_VALUE"""),10.0)</f>
        <v>10</v>
      </c>
    </row>
    <row r="10">
      <c r="A10" s="87" t="str">
        <f>IFERROR(__xludf.DUMMYFUNCTION("""COMPUTED_VALUE"""),"ITBISA-7SEGMENT-ANODE-RED-0.56-1BIT")</f>
        <v>ITBISA-7SEGMENT-ANODE-RED-0.56-1BIT</v>
      </c>
      <c r="B10" s="165">
        <f>IFERROR(__xludf.DUMMYFUNCTION("""COMPUTED_VALUE"""),46044.0)</f>
        <v>46044</v>
      </c>
      <c r="C10" s="165" t="str">
        <f>IFERROR(__xludf.DUMMYFUNCTION("""COMPUTED_VALUE"""),"KYAI KONTONG")</f>
        <v>KYAI KONTONG</v>
      </c>
      <c r="D10" s="94">
        <f>IFERROR(__xludf.DUMMYFUNCTION("""COMPUTED_VALUE"""),10.0)</f>
        <v>10</v>
      </c>
    </row>
    <row r="11">
      <c r="A11" s="87" t="str">
        <f>IFERROR(__xludf.DUMMYFUNCTION("""COMPUTED_VALUE"""),"ITBISA-7SEGMENT-ANODE-RED-0.56-1BIT")</f>
        <v>ITBISA-7SEGMENT-ANODE-RED-0.56-1BIT</v>
      </c>
      <c r="B11" s="165">
        <f>IFERROR(__xludf.DUMMYFUNCTION("""COMPUTED_VALUE"""),46044.0)</f>
        <v>46044</v>
      </c>
      <c r="C11" s="165" t="str">
        <f>IFERROR(__xludf.DUMMYFUNCTION("""COMPUTED_VALUE"""),"KYAI KONTONG")</f>
        <v>KYAI KONTONG</v>
      </c>
      <c r="D11" s="94">
        <f>IFERROR(__xludf.DUMMYFUNCTION("""COMPUTED_VALUE"""),80.0)</f>
        <v>80</v>
      </c>
    </row>
    <row r="12">
      <c r="A12" s="87" t="str">
        <f>IFERROR(__xludf.DUMMYFUNCTION("""COMPUTED_VALUE"""),"ITBISA-7SEGMENT-ANODE-RED-0.56-1BIT")</f>
        <v>ITBISA-7SEGMENT-ANODE-RED-0.56-1BIT</v>
      </c>
      <c r="B12" s="165">
        <f>IFERROR(__xludf.DUMMYFUNCTION("""COMPUTED_VALUE"""),46044.0)</f>
        <v>46044</v>
      </c>
      <c r="C12" s="165" t="str">
        <f>IFERROR(__xludf.DUMMYFUNCTION("""COMPUTED_VALUE"""),"KYAI KONTONG")</f>
        <v>KYAI KONTONG</v>
      </c>
      <c r="D12" s="94">
        <f>IFERROR(__xludf.DUMMYFUNCTION("""COMPUTED_VALUE"""),150.0)</f>
        <v>150</v>
      </c>
    </row>
    <row r="13">
      <c r="A13" s="87" t="str">
        <f>IFERROR(__xludf.DUMMYFUNCTION("""COMPUTED_VALUE"""),"ITBISA-7SEGMENT-ANODE-RED-0.56-1BIT")</f>
        <v>ITBISA-7SEGMENT-ANODE-RED-0.56-1BIT</v>
      </c>
      <c r="B13" s="165">
        <f>IFERROR(__xludf.DUMMYFUNCTION("""COMPUTED_VALUE"""),46060.0)</f>
        <v>46060</v>
      </c>
      <c r="C13" s="165" t="str">
        <f>IFERROR(__xludf.DUMMYFUNCTION("""COMPUTED_VALUE"""),"KYAI KONTONG")</f>
        <v>KYAI KONTONG</v>
      </c>
      <c r="D13" s="94">
        <f>IFERROR(__xludf.DUMMYFUNCTION("""COMPUTED_VALUE"""),60.0)</f>
        <v>60</v>
      </c>
    </row>
    <row r="14">
      <c r="A14" s="87" t="str">
        <f>IFERROR(__xludf.DUMMYFUNCTION("""COMPUTED_VALUE"""),"ITBISA-7SEGMENT-ANODE-RED-0.56-1BIT")</f>
        <v>ITBISA-7SEGMENT-ANODE-RED-0.56-1BIT</v>
      </c>
      <c r="B14" s="165">
        <f>IFERROR(__xludf.DUMMYFUNCTION("""COMPUTED_VALUE"""),46063.0)</f>
        <v>46063</v>
      </c>
      <c r="C14" s="165" t="str">
        <f>IFERROR(__xludf.DUMMYFUNCTION("""COMPUTED_VALUE"""),"KYAI KONTONG")</f>
        <v>KYAI KONTONG</v>
      </c>
      <c r="D14" s="94">
        <f>IFERROR(__xludf.DUMMYFUNCTION("""COMPUTED_VALUE"""),10.0)</f>
        <v>10</v>
      </c>
    </row>
    <row r="15">
      <c r="A15" s="87" t="str">
        <f>IFERROR(__xludf.DUMMYFUNCTION("""COMPUTED_VALUE"""),"ITBISA-7SEGMENT-ANODE-RED-0.56-1BIT")</f>
        <v>ITBISA-7SEGMENT-ANODE-RED-0.56-1BIT</v>
      </c>
      <c r="B15" s="165">
        <f>IFERROR(__xludf.DUMMYFUNCTION("""COMPUTED_VALUE"""),46065.0)</f>
        <v>46065</v>
      </c>
      <c r="C15" s="165" t="str">
        <f>IFERROR(__xludf.DUMMYFUNCTION("""COMPUTED_VALUE"""),"KYAI KONTONG")</f>
        <v>KYAI KONTONG</v>
      </c>
      <c r="D15" s="94">
        <f>IFERROR(__xludf.DUMMYFUNCTION("""COMPUTED_VALUE"""),60.0)</f>
        <v>60</v>
      </c>
    </row>
    <row r="16">
      <c r="A16" s="87" t="str">
        <f>IFERROR(__xludf.DUMMYFUNCTION("""COMPUTED_VALUE"""),"ITBISA-7SEGMENT-ANODE-RED-0.56-1BIT")</f>
        <v>ITBISA-7SEGMENT-ANODE-RED-0.56-1BIT</v>
      </c>
      <c r="B16" s="165">
        <f>IFERROR(__xludf.DUMMYFUNCTION("""COMPUTED_VALUE"""),46065.0)</f>
        <v>46065</v>
      </c>
      <c r="C16" s="165" t="str">
        <f>IFERROR(__xludf.DUMMYFUNCTION("""COMPUTED_VALUE"""),"KYAI KONTONG")</f>
        <v>KYAI KONTONG</v>
      </c>
      <c r="D16" s="94">
        <f>IFERROR(__xludf.DUMMYFUNCTION("""COMPUTED_VALUE"""),300.0)</f>
        <v>300</v>
      </c>
    </row>
    <row r="17">
      <c r="A17" s="87" t="str">
        <f>IFERROR(__xludf.DUMMYFUNCTION("""COMPUTED_VALUE"""),"ITBISA-7SEGMENT-ANODE-RED-0.56-1BIT")</f>
        <v>ITBISA-7SEGMENT-ANODE-RED-0.56-1BIT</v>
      </c>
      <c r="B17" s="165">
        <f>IFERROR(__xludf.DUMMYFUNCTION("""COMPUTED_VALUE"""),46067.0)</f>
        <v>46067</v>
      </c>
      <c r="C17" s="165" t="str">
        <f>IFERROR(__xludf.DUMMYFUNCTION("""COMPUTED_VALUE"""),"KYAI KONTONG")</f>
        <v>KYAI KONTONG</v>
      </c>
      <c r="D17" s="94">
        <f>IFERROR(__xludf.DUMMYFUNCTION("""COMPUTED_VALUE"""),12.0)</f>
        <v>12</v>
      </c>
    </row>
    <row r="18">
      <c r="A18" s="87" t="str">
        <f>IFERROR(__xludf.DUMMYFUNCTION("""COMPUTED_VALUE"""),"ITBISA-7SEGMENT-ANODE-RED-0.56-1BIT")</f>
        <v>ITBISA-7SEGMENT-ANODE-RED-0.56-1BIT</v>
      </c>
      <c r="B18" s="165">
        <f>IFERROR(__xludf.DUMMYFUNCTION("""COMPUTED_VALUE"""),46068.0)</f>
        <v>46068</v>
      </c>
      <c r="C18" s="165" t="str">
        <f>IFERROR(__xludf.DUMMYFUNCTION("""COMPUTED_VALUE"""),"KYAI KONTONG")</f>
        <v>KYAI KONTONG</v>
      </c>
      <c r="D18" s="94">
        <f>IFERROR(__xludf.DUMMYFUNCTION("""COMPUTED_VALUE"""),30.0)</f>
        <v>30</v>
      </c>
    </row>
    <row r="19">
      <c r="A19" s="87" t="str">
        <f>IFERROR(__xludf.DUMMYFUNCTION("""COMPUTED_VALUE"""),"ITBISA-7SEGMENT-ANODE-RED-0.56-1BIT")</f>
        <v>ITBISA-7SEGMENT-ANODE-RED-0.56-1BIT</v>
      </c>
      <c r="B19" s="165">
        <f>IFERROR(__xludf.DUMMYFUNCTION("""COMPUTED_VALUE"""),46077.0)</f>
        <v>46077</v>
      </c>
      <c r="C19" s="165" t="str">
        <f>IFERROR(__xludf.DUMMYFUNCTION("""COMPUTED_VALUE"""),"KERTASARI CIAMIS")</f>
        <v>KERTASARI CIAMIS</v>
      </c>
      <c r="D19" s="94">
        <f>IFERROR(__xludf.DUMMYFUNCTION("""COMPUTED_VALUE"""),272.0)</f>
        <v>272</v>
      </c>
    </row>
    <row r="20">
      <c r="A20" s="87" t="str">
        <f>IFERROR(__xludf.DUMMYFUNCTION("""COMPUTED_VALUE"""),"ITBISA-7SEGMENT-ANODE-RED-0.56-1BIT")</f>
        <v>ITBISA-7SEGMENT-ANODE-RED-0.56-1BIT</v>
      </c>
      <c r="B20" s="165">
        <f>IFERROR(__xludf.DUMMYFUNCTION("""COMPUTED_VALUE"""),46083.0)</f>
        <v>46083</v>
      </c>
      <c r="C20" s="165" t="str">
        <f>IFERROR(__xludf.DUMMYFUNCTION("""COMPUTED_VALUE"""),"KYAI KONTONG")</f>
        <v>KYAI KONTONG</v>
      </c>
      <c r="D20" s="94">
        <f>IFERROR(__xludf.DUMMYFUNCTION("""COMPUTED_VALUE"""),10.0)</f>
        <v>10</v>
      </c>
    </row>
    <row r="21">
      <c r="A21" s="87" t="str">
        <f>IFERROR(__xludf.DUMMYFUNCTION("""COMPUTED_VALUE"""),"ITBISA-7SEGMENT-ANODE-RED-0.56-1BIT")</f>
        <v>ITBISA-7SEGMENT-ANODE-RED-0.56-1BIT</v>
      </c>
      <c r="B21" s="165">
        <f>IFERROR(__xludf.DUMMYFUNCTION("""COMPUTED_VALUE"""),46115.0)</f>
        <v>46115</v>
      </c>
      <c r="C21" s="165" t="str">
        <f>IFERROR(__xludf.DUMMYFUNCTION("""COMPUTED_VALUE"""),"KYAI KONTONG")</f>
        <v>KYAI KONTONG</v>
      </c>
      <c r="D21" s="94">
        <f>IFERROR(__xludf.DUMMYFUNCTION("""COMPUTED_VALUE"""),320.0)</f>
        <v>320</v>
      </c>
    </row>
    <row r="22">
      <c r="A22" s="87" t="str">
        <f>IFERROR(__xludf.DUMMYFUNCTION("""COMPUTED_VALUE"""),"ITBISA-7SEGMENT-ANODE-RED-0.56-1BIT")</f>
        <v>ITBISA-7SEGMENT-ANODE-RED-0.56-1BIT</v>
      </c>
      <c r="B22" s="165">
        <f>IFERROR(__xludf.DUMMYFUNCTION("""COMPUTED_VALUE"""),46120.0)</f>
        <v>46120</v>
      </c>
      <c r="C22" s="165" t="str">
        <f>IFERROR(__xludf.DUMMYFUNCTION("""COMPUTED_VALUE"""),"KYAI KONTONG")</f>
        <v>KYAI KONTONG</v>
      </c>
      <c r="D22" s="94">
        <f>IFERROR(__xludf.DUMMYFUNCTION("""COMPUTED_VALUE"""),10.0)</f>
        <v>10</v>
      </c>
    </row>
    <row r="23">
      <c r="A23" s="87" t="str">
        <f>IFERROR(__xludf.DUMMYFUNCTION("""COMPUTED_VALUE"""),"ITBISA-7SEGMENT-ANODE-RED-0.56-1BIT")</f>
        <v>ITBISA-7SEGMENT-ANODE-RED-0.56-1BIT</v>
      </c>
      <c r="B23" s="165">
        <f>IFERROR(__xludf.DUMMYFUNCTION("""COMPUTED_VALUE"""),46125.0)</f>
        <v>46125</v>
      </c>
      <c r="C23" s="165" t="str">
        <f>IFERROR(__xludf.DUMMYFUNCTION("""COMPUTED_VALUE"""),"KYAI KONTONG")</f>
        <v>KYAI KONTONG</v>
      </c>
      <c r="D23" s="94">
        <f>IFERROR(__xludf.DUMMYFUNCTION("""COMPUTED_VALUE"""),10.0)</f>
        <v>10</v>
      </c>
    </row>
    <row r="24">
      <c r="A24" s="87" t="str">
        <f>IFERROR(__xludf.DUMMYFUNCTION("""COMPUTED_VALUE"""),"ITBISA-7SEGMENT-ANODE-RED-0.56-1BIT")</f>
        <v>ITBISA-7SEGMENT-ANODE-RED-0.56-1BIT</v>
      </c>
      <c r="B24" s="165">
        <f>IFERROR(__xludf.DUMMYFUNCTION("""COMPUTED_VALUE"""),46128.0)</f>
        <v>46128</v>
      </c>
      <c r="C24" s="165" t="str">
        <f>IFERROR(__xludf.DUMMYFUNCTION("""COMPUTED_VALUE"""),"KYAI KONTONG")</f>
        <v>KYAI KONTONG</v>
      </c>
      <c r="D24" s="94">
        <f>IFERROR(__xludf.DUMMYFUNCTION("""COMPUTED_VALUE"""),10.0)</f>
        <v>10</v>
      </c>
    </row>
    <row r="25">
      <c r="A25" s="87" t="str">
        <f>IFERROR(__xludf.DUMMYFUNCTION("""COMPUTED_VALUE"""),"ITBISA-7SEGMENT-ANODE-RED-0.56-1BIT")</f>
        <v>ITBISA-7SEGMENT-ANODE-RED-0.56-1BIT</v>
      </c>
      <c r="B25" s="165">
        <f>IFERROR(__xludf.DUMMYFUNCTION("""COMPUTED_VALUE"""),46128.0)</f>
        <v>46128</v>
      </c>
      <c r="C25" s="165" t="str">
        <f>IFERROR(__xludf.DUMMYFUNCTION("""COMPUTED_VALUE"""),"KYAI KONTONG")</f>
        <v>KYAI KONTONG</v>
      </c>
      <c r="D25" s="94">
        <f>IFERROR(__xludf.DUMMYFUNCTION("""COMPUTED_VALUE"""),80.0)</f>
        <v>80</v>
      </c>
    </row>
    <row r="26">
      <c r="A26" s="87" t="str">
        <f>IFERROR(__xludf.DUMMYFUNCTION("""COMPUTED_VALUE"""),"ITBISA-7SEGMENT-ANODE-RED-0.56-1BIT")</f>
        <v>ITBISA-7SEGMENT-ANODE-RED-0.56-1BIT</v>
      </c>
      <c r="B26" s="165">
        <f>IFERROR(__xludf.DUMMYFUNCTION("""COMPUTED_VALUE"""),46140.0)</f>
        <v>46140</v>
      </c>
      <c r="C26" s="165" t="str">
        <f>IFERROR(__xludf.DUMMYFUNCTION("""COMPUTED_VALUE"""),"KYAI KONTONG")</f>
        <v>KYAI KONTONG</v>
      </c>
      <c r="D26" s="94">
        <f>IFERROR(__xludf.DUMMYFUNCTION("""COMPUTED_VALUE"""),40.0)</f>
        <v>40</v>
      </c>
    </row>
    <row r="27">
      <c r="A27" s="87" t="str">
        <f>IFERROR(__xludf.DUMMYFUNCTION("""COMPUTED_VALUE"""),"ITBISA-7SEGMENT-ANODE-RED-0.56-1BIT")</f>
        <v>ITBISA-7SEGMENT-ANODE-RED-0.56-1BIT</v>
      </c>
      <c r="B27" s="165">
        <f>IFERROR(__xludf.DUMMYFUNCTION("""COMPUTED_VALUE"""),46144.0)</f>
        <v>46144</v>
      </c>
      <c r="C27" s="165" t="str">
        <f>IFERROR(__xludf.DUMMYFUNCTION("""COMPUTED_VALUE"""),"KYAI KONTONG")</f>
        <v>KYAI KONTONG</v>
      </c>
      <c r="D27" s="94">
        <f>IFERROR(__xludf.DUMMYFUNCTION("""COMPUTED_VALUE"""),10.0)</f>
        <v>10</v>
      </c>
    </row>
    <row r="28">
      <c r="A28" s="87" t="str">
        <f>IFERROR(__xludf.DUMMYFUNCTION("""COMPUTED_VALUE"""),"ITBISA-7SEGMENT-ANODE-RED-0.56-1BIT")</f>
        <v>ITBISA-7SEGMENT-ANODE-RED-0.56-1BIT</v>
      </c>
      <c r="B28" s="165">
        <f>IFERROR(__xludf.DUMMYFUNCTION("""COMPUTED_VALUE"""),46147.0)</f>
        <v>46147</v>
      </c>
      <c r="C28" s="165" t="str">
        <f>IFERROR(__xludf.DUMMYFUNCTION("""COMPUTED_VALUE"""),"KYAI KONTONG")</f>
        <v>KYAI KONTONG</v>
      </c>
      <c r="D28" s="94">
        <f>IFERROR(__xludf.DUMMYFUNCTION("""COMPUTED_VALUE"""),10.0)</f>
        <v>10</v>
      </c>
    </row>
    <row r="29">
      <c r="A29" s="87" t="str">
        <f>IFERROR(__xludf.DUMMYFUNCTION("""COMPUTED_VALUE"""),"ITBISA-7SEGMENT-ANODE-RED-0.56-1BIT")</f>
        <v>ITBISA-7SEGMENT-ANODE-RED-0.56-1BIT</v>
      </c>
      <c r="B29" s="165">
        <f>IFERROR(__xludf.DUMMYFUNCTION("""COMPUTED_VALUE"""),46156.0)</f>
        <v>46156</v>
      </c>
      <c r="C29" s="165" t="str">
        <f>IFERROR(__xludf.DUMMYFUNCTION("""COMPUTED_VALUE"""),"KYAI KONTONG")</f>
        <v>KYAI KONTONG</v>
      </c>
      <c r="D29" s="94">
        <f>IFERROR(__xludf.DUMMYFUNCTION("""COMPUTED_VALUE"""),10.0)</f>
        <v>10</v>
      </c>
    </row>
    <row r="30">
      <c r="A30" s="87" t="str">
        <f>IFERROR(__xludf.DUMMYFUNCTION("""COMPUTED_VALUE"""),"ITBISA-7SEGMENT-ANODE-RED-0.56-1BIT")</f>
        <v>ITBISA-7SEGMENT-ANODE-RED-0.56-1BIT</v>
      </c>
      <c r="B30" s="165">
        <f>IFERROR(__xludf.DUMMYFUNCTION("""COMPUTED_VALUE"""),46157.0)</f>
        <v>46157</v>
      </c>
      <c r="C30" s="165" t="str">
        <f>IFERROR(__xludf.DUMMYFUNCTION("""COMPUTED_VALUE"""),"KYAI KONTONG")</f>
        <v>KYAI KONTONG</v>
      </c>
      <c r="D30" s="94">
        <f>IFERROR(__xludf.DUMMYFUNCTION("""COMPUTED_VALUE"""),50.0)</f>
        <v>50</v>
      </c>
    </row>
    <row r="31">
      <c r="A31" s="87" t="str">
        <f>IFERROR(__xludf.DUMMYFUNCTION("""COMPUTED_VALUE"""),"ITBISA-7SEGMENT-ANODE-RED-0.56-1BIT")</f>
        <v>ITBISA-7SEGMENT-ANODE-RED-0.56-1BIT</v>
      </c>
      <c r="B31" s="165">
        <f>IFERROR(__xludf.DUMMYFUNCTION("""COMPUTED_VALUE"""),46158.0)</f>
        <v>46158</v>
      </c>
      <c r="C31" s="165" t="str">
        <f>IFERROR(__xludf.DUMMYFUNCTION("""COMPUTED_VALUE"""),"KYAI KONTONG")</f>
        <v>KYAI KONTONG</v>
      </c>
      <c r="D31" s="94">
        <f>IFERROR(__xludf.DUMMYFUNCTION("""COMPUTED_VALUE"""),20.0)</f>
        <v>20</v>
      </c>
    </row>
    <row r="32">
      <c r="A32" s="87" t="str">
        <f>IFERROR(__xludf.DUMMYFUNCTION("""COMPUTED_VALUE"""),"ITBISA-7SEGMENT-ANODE-RED-0.56-1BIT")</f>
        <v>ITBISA-7SEGMENT-ANODE-RED-0.56-1BIT</v>
      </c>
      <c r="B32" s="165">
        <f>IFERROR(__xludf.DUMMYFUNCTION("""COMPUTED_VALUE"""),46160.0)</f>
        <v>46160</v>
      </c>
      <c r="C32" s="165" t="str">
        <f>IFERROR(__xludf.DUMMYFUNCTION("""COMPUTED_VALUE"""),"KYAI KONTONG")</f>
        <v>KYAI KONTONG</v>
      </c>
      <c r="D32" s="94">
        <f>IFERROR(__xludf.DUMMYFUNCTION("""COMPUTED_VALUE"""),10.0)</f>
        <v>10</v>
      </c>
    </row>
    <row r="33">
      <c r="A33" s="87" t="str">
        <f>IFERROR(__xludf.DUMMYFUNCTION("""COMPUTED_VALUE"""),"ITBISA-7SEGMENT-ANODE-RED-0.56-1BIT")</f>
        <v>ITBISA-7SEGMENT-ANODE-RED-0.56-1BIT</v>
      </c>
      <c r="B33" s="165">
        <f>IFERROR(__xludf.DUMMYFUNCTION("""COMPUTED_VALUE"""),46163.0)</f>
        <v>46163</v>
      </c>
      <c r="C33" s="165" t="str">
        <f>IFERROR(__xludf.DUMMYFUNCTION("""COMPUTED_VALUE"""),"KYAI KONTONG")</f>
        <v>KYAI KONTONG</v>
      </c>
      <c r="D33" s="94">
        <f>IFERROR(__xludf.DUMMYFUNCTION("""COMPUTED_VALUE"""),10.0)</f>
        <v>10</v>
      </c>
    </row>
    <row r="34">
      <c r="A34" s="87" t="str">
        <f>IFERROR(__xludf.DUMMYFUNCTION("""COMPUTED_VALUE"""),"ITBISA-7SEGMENT-ANODE-RED-0.56-1BIT")</f>
        <v>ITBISA-7SEGMENT-ANODE-RED-0.56-1BIT</v>
      </c>
      <c r="B34" s="165">
        <f>IFERROR(__xludf.DUMMYFUNCTION("""COMPUTED_VALUE"""),46170.0)</f>
        <v>46170</v>
      </c>
      <c r="C34" s="165" t="str">
        <f>IFERROR(__xludf.DUMMYFUNCTION("""COMPUTED_VALUE"""),"KYAI KONTONG")</f>
        <v>KYAI KONTONG</v>
      </c>
      <c r="D34" s="94">
        <f>IFERROR(__xludf.DUMMYFUNCTION("""COMPUTED_VALUE"""),20.0)</f>
        <v>20</v>
      </c>
    </row>
    <row r="35">
      <c r="A35" s="87" t="str">
        <f>IFERROR(__xludf.DUMMYFUNCTION("""COMPUTED_VALUE"""),"ITBISA-7SEGMENT-ANODE-RED-0.56-1BIT")</f>
        <v>ITBISA-7SEGMENT-ANODE-RED-0.56-1BIT</v>
      </c>
      <c r="B35" s="165">
        <f>IFERROR(__xludf.DUMMYFUNCTION("""COMPUTED_VALUE"""),46172.0)</f>
        <v>46172</v>
      </c>
      <c r="C35" s="165" t="str">
        <f>IFERROR(__xludf.DUMMYFUNCTION("""COMPUTED_VALUE"""),"KYAI KONTONG")</f>
        <v>KYAI KONTONG</v>
      </c>
      <c r="D35" s="94">
        <f>IFERROR(__xludf.DUMMYFUNCTION("""COMPUTED_VALUE"""),500.0)</f>
        <v>500</v>
      </c>
    </row>
    <row r="36">
      <c r="A36" s="87" t="str">
        <f>IFERROR(__xludf.DUMMYFUNCTION("""COMPUTED_VALUE"""),"ITBISA-7SEGMENT-ANODE-RED-0.56-1BIT")</f>
        <v>ITBISA-7SEGMENT-ANODE-RED-0.56-1BIT</v>
      </c>
      <c r="B36" s="165">
        <f>IFERROR(__xludf.DUMMYFUNCTION("""COMPUTED_VALUE"""),46175.0)</f>
        <v>46175</v>
      </c>
      <c r="C36" s="165" t="str">
        <f>IFERROR(__xludf.DUMMYFUNCTION("""COMPUTED_VALUE"""),"KYAI KONTONG")</f>
        <v>KYAI KONTONG</v>
      </c>
      <c r="D36" s="94">
        <f>IFERROR(__xludf.DUMMYFUNCTION("""COMPUTED_VALUE"""),6.0)</f>
        <v>6</v>
      </c>
    </row>
    <row r="37">
      <c r="A37" s="87" t="str">
        <f>IFERROR(__xludf.DUMMYFUNCTION("""COMPUTED_VALUE"""),"ITBISA-7SEGMENT-ANODE-RED-0.56-1BIT")</f>
        <v>ITBISA-7SEGMENT-ANODE-RED-0.56-1BIT</v>
      </c>
      <c r="B37" s="165">
        <f>IFERROR(__xludf.DUMMYFUNCTION("""COMPUTED_VALUE"""),46177.0)</f>
        <v>46177</v>
      </c>
      <c r="C37" s="165" t="str">
        <f>IFERROR(__xludf.DUMMYFUNCTION("""COMPUTED_VALUE"""),"KYAI KONTONG")</f>
        <v>KYAI KONTONG</v>
      </c>
      <c r="D37" s="94">
        <f>IFERROR(__xludf.DUMMYFUNCTION("""COMPUTED_VALUE"""),7.0)</f>
        <v>7</v>
      </c>
    </row>
    <row r="38">
      <c r="A38" s="87" t="str">
        <f>IFERROR(__xludf.DUMMYFUNCTION("""COMPUTED_VALUE"""),"ITBISA-7SEGMENT-ANODE-RED-0.56-1BIT")</f>
        <v>ITBISA-7SEGMENT-ANODE-RED-0.56-1BIT</v>
      </c>
      <c r="B38" s="165">
        <f>IFERROR(__xludf.DUMMYFUNCTION("""COMPUTED_VALUE"""),46178.0)</f>
        <v>46178</v>
      </c>
      <c r="C38" s="165" t="str">
        <f>IFERROR(__xludf.DUMMYFUNCTION("""COMPUTED_VALUE"""),"KYAI KONTONG")</f>
        <v>KYAI KONTONG</v>
      </c>
      <c r="D38" s="94">
        <f>IFERROR(__xludf.DUMMYFUNCTION("""COMPUTED_VALUE"""),7.0)</f>
        <v>7</v>
      </c>
    </row>
    <row r="39">
      <c r="A39" s="87" t="str">
        <f>IFERROR(__xludf.DUMMYFUNCTION("""COMPUTED_VALUE"""),"ITBISA-7SEGMENT-ANODE-RED-0.56-1BIT")</f>
        <v>ITBISA-7SEGMENT-ANODE-RED-0.56-1BIT</v>
      </c>
      <c r="B39" s="165">
        <f>IFERROR(__xludf.DUMMYFUNCTION("""COMPUTED_VALUE"""),46178.0)</f>
        <v>46178</v>
      </c>
      <c r="C39" s="165" t="str">
        <f>IFERROR(__xludf.DUMMYFUNCTION("""COMPUTED_VALUE"""),"KYAI KONTONG")</f>
        <v>KYAI KONTONG</v>
      </c>
      <c r="D39" s="94">
        <f>IFERROR(__xludf.DUMMYFUNCTION("""COMPUTED_VALUE"""),10.0)</f>
        <v>10</v>
      </c>
    </row>
    <row r="40">
      <c r="A40" s="87" t="str">
        <f>IFERROR(__xludf.DUMMYFUNCTION("""COMPUTED_VALUE"""),"ITBISA-7SEGMENT-ANODE-RED-0.56-1BIT")</f>
        <v>ITBISA-7SEGMENT-ANODE-RED-0.56-1BIT</v>
      </c>
      <c r="B40" s="165">
        <f>IFERROR(__xludf.DUMMYFUNCTION("""COMPUTED_VALUE"""),46182.0)</f>
        <v>46182</v>
      </c>
      <c r="C40" s="165" t="str">
        <f>IFERROR(__xludf.DUMMYFUNCTION("""COMPUTED_VALUE"""),"KYAI KONTONG")</f>
        <v>KYAI KONTONG</v>
      </c>
      <c r="D40" s="94">
        <f>IFERROR(__xludf.DUMMYFUNCTION("""COMPUTED_VALUE"""),7.0)</f>
        <v>7</v>
      </c>
    </row>
    <row r="41">
      <c r="A41" s="87" t="str">
        <f>IFERROR(__xludf.DUMMYFUNCTION("""COMPUTED_VALUE"""),"ITBISA-7SEGMENT-ANODE-RED-0.56-1BIT")</f>
        <v>ITBISA-7SEGMENT-ANODE-RED-0.56-1BIT</v>
      </c>
      <c r="B41" s="165">
        <f>IFERROR(__xludf.DUMMYFUNCTION("""COMPUTED_VALUE"""),46183.0)</f>
        <v>46183</v>
      </c>
      <c r="C41" s="165" t="str">
        <f>IFERROR(__xludf.DUMMYFUNCTION("""COMPUTED_VALUE"""),"KYAI KONTONG")</f>
        <v>KYAI KONTONG</v>
      </c>
      <c r="D41" s="94">
        <f>IFERROR(__xludf.DUMMYFUNCTION("""COMPUTED_VALUE"""),100.0)</f>
        <v>100</v>
      </c>
    </row>
    <row r="42">
      <c r="A42" s="87" t="str">
        <f>IFERROR(__xludf.DUMMYFUNCTION("""COMPUTED_VALUE"""),"ITBISA-7SEGMENT-ANODE-RED-0.56-1BIT")</f>
        <v>ITBISA-7SEGMENT-ANODE-RED-0.56-1BIT</v>
      </c>
      <c r="B42" s="165">
        <f>IFERROR(__xludf.DUMMYFUNCTION("""COMPUTED_VALUE"""),46184.0)</f>
        <v>46184</v>
      </c>
      <c r="C42" s="165" t="str">
        <f>IFERROR(__xludf.DUMMYFUNCTION("""COMPUTED_VALUE"""),"KYAI KONTONG")</f>
        <v>KYAI KONTONG</v>
      </c>
      <c r="D42" s="94">
        <f>IFERROR(__xludf.DUMMYFUNCTION("""COMPUTED_VALUE"""),20.0)</f>
        <v>20</v>
      </c>
    </row>
    <row r="43">
      <c r="A43" s="87" t="str">
        <f>IFERROR(__xludf.DUMMYFUNCTION("""COMPUTED_VALUE"""),"ITBISA-7SEGMENT-ANODE-RED-0.56-1BIT")</f>
        <v>ITBISA-7SEGMENT-ANODE-RED-0.56-1BIT</v>
      </c>
      <c r="B43" s="165">
        <f>IFERROR(__xludf.DUMMYFUNCTION("""COMPUTED_VALUE"""),46184.0)</f>
        <v>46184</v>
      </c>
      <c r="C43" s="165" t="str">
        <f>IFERROR(__xludf.DUMMYFUNCTION("""COMPUTED_VALUE"""),"KYAI KONTONG")</f>
        <v>KYAI KONTONG</v>
      </c>
      <c r="D43" s="94">
        <f>IFERROR(__xludf.DUMMYFUNCTION("""COMPUTED_VALUE"""),30.0)</f>
        <v>30</v>
      </c>
    </row>
    <row r="44">
      <c r="A44" s="87" t="str">
        <f>IFERROR(__xludf.DUMMYFUNCTION("""COMPUTED_VALUE"""),"ITBISA-7SEGMENT-ANODE-RED-0.56-1BIT")</f>
        <v>ITBISA-7SEGMENT-ANODE-RED-0.56-1BIT</v>
      </c>
      <c r="B44" s="165">
        <f>IFERROR(__xludf.DUMMYFUNCTION("""COMPUTED_VALUE"""),46187.0)</f>
        <v>46187</v>
      </c>
      <c r="C44" s="165" t="str">
        <f>IFERROR(__xludf.DUMMYFUNCTION("""COMPUTED_VALUE"""),"KYAI KONTONG")</f>
        <v>KYAI KONTONG</v>
      </c>
      <c r="D44" s="94">
        <f>IFERROR(__xludf.DUMMYFUNCTION("""COMPUTED_VALUE"""),7.0)</f>
        <v>7</v>
      </c>
    </row>
    <row r="45">
      <c r="A45" s="87" t="str">
        <f>IFERROR(__xludf.DUMMYFUNCTION("""COMPUTED_VALUE"""),"ITBISA-7SEGMENT-ANODE-RED-0.56-1BIT")</f>
        <v>ITBISA-7SEGMENT-ANODE-RED-0.56-1BIT</v>
      </c>
      <c r="B45" s="165">
        <f>IFERROR(__xludf.DUMMYFUNCTION("""COMPUTED_VALUE"""),46188.0)</f>
        <v>46188</v>
      </c>
      <c r="C45" s="165" t="str">
        <f>IFERROR(__xludf.DUMMYFUNCTION("""COMPUTED_VALUE"""),"KYAI KONTONG")</f>
        <v>KYAI KONTONG</v>
      </c>
      <c r="D45" s="94">
        <f>IFERROR(__xludf.DUMMYFUNCTION("""COMPUTED_VALUE"""),7.0)</f>
        <v>7</v>
      </c>
    </row>
    <row r="46">
      <c r="A46" s="87" t="str">
        <f>IFERROR(__xludf.DUMMYFUNCTION("""COMPUTED_VALUE"""),"ITBISA-7SEGMENT-ANODE-RED-0.56-1BIT")</f>
        <v>ITBISA-7SEGMENT-ANODE-RED-0.56-1BIT</v>
      </c>
      <c r="B46" s="165">
        <f>IFERROR(__xludf.DUMMYFUNCTION("""COMPUTED_VALUE"""),46189.0)</f>
        <v>46189</v>
      </c>
      <c r="C46" s="165" t="str">
        <f>IFERROR(__xludf.DUMMYFUNCTION("""COMPUTED_VALUE"""),"KYAI KONTONG")</f>
        <v>KYAI KONTONG</v>
      </c>
      <c r="D46" s="94">
        <f>IFERROR(__xludf.DUMMYFUNCTION("""COMPUTED_VALUE"""),40.0)</f>
        <v>40</v>
      </c>
    </row>
    <row r="47">
      <c r="A47" s="87" t="str">
        <f>IFERROR(__xludf.DUMMYFUNCTION("""COMPUTED_VALUE"""),"ITBISA-7SEGMENT-ANODE-RED-0.56-1BIT")</f>
        <v>ITBISA-7SEGMENT-ANODE-RED-0.56-1BIT</v>
      </c>
      <c r="B47" s="165">
        <f>IFERROR(__xludf.DUMMYFUNCTION("""COMPUTED_VALUE"""),46193.0)</f>
        <v>46193</v>
      </c>
      <c r="C47" s="165" t="str">
        <f>IFERROR(__xludf.DUMMYFUNCTION("""COMPUTED_VALUE"""),"KYAI KONTONG")</f>
        <v>KYAI KONTONG</v>
      </c>
      <c r="D47" s="94">
        <f>IFERROR(__xludf.DUMMYFUNCTION("""COMPUTED_VALUE"""),50.0)</f>
        <v>50</v>
      </c>
    </row>
    <row r="48">
      <c r="A48" s="87" t="str">
        <f>IFERROR(__xludf.DUMMYFUNCTION("""COMPUTED_VALUE"""),"ITBISA-7SEGMENT-ANODE-RED-0.56-1BIT")</f>
        <v>ITBISA-7SEGMENT-ANODE-RED-0.56-1BIT</v>
      </c>
      <c r="B48" s="165">
        <f>IFERROR(__xludf.DUMMYFUNCTION("""COMPUTED_VALUE"""),46194.0)</f>
        <v>46194</v>
      </c>
      <c r="C48" s="165" t="str">
        <f>IFERROR(__xludf.DUMMYFUNCTION("""COMPUTED_VALUE"""),"KYAI KONTONG")</f>
        <v>KYAI KONTONG</v>
      </c>
      <c r="D48" s="94">
        <f>IFERROR(__xludf.DUMMYFUNCTION("""COMPUTED_VALUE"""),30.0)</f>
        <v>30</v>
      </c>
    </row>
    <row r="49">
      <c r="A49" s="87" t="str">
        <f>IFERROR(__xludf.DUMMYFUNCTION("""COMPUTED_VALUE"""),"ITBISA-7SEGMENT-ANODE-RED-0.56-1BIT")</f>
        <v>ITBISA-7SEGMENT-ANODE-RED-0.56-1BIT</v>
      </c>
      <c r="B49" s="165">
        <f>IFERROR(__xludf.DUMMYFUNCTION("""COMPUTED_VALUE"""),46196.0)</f>
        <v>46196</v>
      </c>
      <c r="C49" s="165" t="str">
        <f>IFERROR(__xludf.DUMMYFUNCTION("""COMPUTED_VALUE"""),"KYAI KONTONG")</f>
        <v>KYAI KONTONG</v>
      </c>
      <c r="D49" s="94">
        <f>IFERROR(__xludf.DUMMYFUNCTION("""COMPUTED_VALUE"""),40.0)</f>
        <v>40</v>
      </c>
    </row>
    <row r="50">
      <c r="A50" s="87" t="str">
        <f>IFERROR(__xludf.DUMMYFUNCTION("""COMPUTED_VALUE"""),"ITBISA-7SEGMENT-ANODE-RED-0.56-1BIT")</f>
        <v>ITBISA-7SEGMENT-ANODE-RED-0.56-1BIT</v>
      </c>
      <c r="B50" s="165">
        <f>IFERROR(__xludf.DUMMYFUNCTION("""COMPUTED_VALUE"""),46197.0)</f>
        <v>46197</v>
      </c>
      <c r="C50" s="165" t="str">
        <f>IFERROR(__xludf.DUMMYFUNCTION("""COMPUTED_VALUE"""),"KYAI KONTONG")</f>
        <v>KYAI KONTONG</v>
      </c>
      <c r="D50" s="94">
        <f>IFERROR(__xludf.DUMMYFUNCTION("""COMPUTED_VALUE"""),10.0)</f>
        <v>10</v>
      </c>
    </row>
    <row r="51">
      <c r="A51" s="87" t="str">
        <f>IFERROR(__xludf.DUMMYFUNCTION("""COMPUTED_VALUE"""),"ITBISA-7SEGMENT-ANODE-RED-0.56-1BIT")</f>
        <v>ITBISA-7SEGMENT-ANODE-RED-0.56-1BIT</v>
      </c>
      <c r="B51" s="165">
        <f>IFERROR(__xludf.DUMMYFUNCTION("""COMPUTED_VALUE"""),46197.0)</f>
        <v>46197</v>
      </c>
      <c r="C51" s="165" t="str">
        <f>IFERROR(__xludf.DUMMYFUNCTION("""COMPUTED_VALUE"""),"KYAI KONTONG")</f>
        <v>KYAI KONTONG</v>
      </c>
      <c r="D51" s="94">
        <f>IFERROR(__xludf.DUMMYFUNCTION("""COMPUTED_VALUE"""),18.0)</f>
        <v>18</v>
      </c>
    </row>
    <row r="52">
      <c r="A52" s="87" t="str">
        <f>IFERROR(__xludf.DUMMYFUNCTION("""COMPUTED_VALUE"""),"ITBISA-7SEGMENT-ANODE-RED-1.00-1BIT")</f>
        <v>ITBISA-7SEGMENT-ANODE-RED-1.00-1BIT</v>
      </c>
      <c r="B52" s="165">
        <f>IFERROR(__xludf.DUMMYFUNCTION("""COMPUTED_VALUE"""),45871.0)</f>
        <v>45871</v>
      </c>
      <c r="C52" s="165" t="str">
        <f>IFERROR(__xludf.DUMMYFUNCTION("""COMPUTED_VALUE"""),"KERTASARI CIAMIS")</f>
        <v>KERTASARI CIAMIS</v>
      </c>
      <c r="D52" s="94">
        <f>IFERROR(__xludf.DUMMYFUNCTION("""COMPUTED_VALUE"""),30.0)</f>
        <v>30</v>
      </c>
    </row>
    <row r="53">
      <c r="A53" s="87" t="str">
        <f>IFERROR(__xludf.DUMMYFUNCTION("""COMPUTED_VALUE"""),"ITBISA-7SEGMENT-ANODE-RED-1.00-1BIT")</f>
        <v>ITBISA-7SEGMENT-ANODE-RED-1.00-1BIT</v>
      </c>
      <c r="B53" s="165">
        <f>IFERROR(__xludf.DUMMYFUNCTION("""COMPUTED_VALUE"""),46034.0)</f>
        <v>46034</v>
      </c>
      <c r="C53" s="165" t="str">
        <f>IFERROR(__xludf.DUMMYFUNCTION("""COMPUTED_VALUE"""),"KYAI KONTONG")</f>
        <v>KYAI KONTONG</v>
      </c>
      <c r="D53" s="94">
        <f>IFERROR(__xludf.DUMMYFUNCTION("""COMPUTED_VALUE"""),10.0)</f>
        <v>10</v>
      </c>
    </row>
    <row r="54">
      <c r="A54" s="87" t="str">
        <f>IFERROR(__xludf.DUMMYFUNCTION("""COMPUTED_VALUE"""),"ITBISA-7SEGMENT-ANODE-RED-1.00-1BIT")</f>
        <v>ITBISA-7SEGMENT-ANODE-RED-1.00-1BIT</v>
      </c>
      <c r="B54" s="165">
        <f>IFERROR(__xludf.DUMMYFUNCTION("""COMPUTED_VALUE"""),46036.0)</f>
        <v>46036</v>
      </c>
      <c r="C54" s="165" t="str">
        <f>IFERROR(__xludf.DUMMYFUNCTION("""COMPUTED_VALUE"""),"KYAI KONTONG")</f>
        <v>KYAI KONTONG</v>
      </c>
      <c r="D54" s="94">
        <f>IFERROR(__xludf.DUMMYFUNCTION("""COMPUTED_VALUE"""),10.0)</f>
        <v>10</v>
      </c>
    </row>
    <row r="55">
      <c r="A55" s="87" t="str">
        <f>IFERROR(__xludf.DUMMYFUNCTION("""COMPUTED_VALUE"""),"ITBISA-7SEGMENT-ANODE-RED-1.00-1BIT")</f>
        <v>ITBISA-7SEGMENT-ANODE-RED-1.00-1BIT</v>
      </c>
      <c r="B55" s="165">
        <f>IFERROR(__xludf.DUMMYFUNCTION("""COMPUTED_VALUE"""),46057.0)</f>
        <v>46057</v>
      </c>
      <c r="C55" s="165" t="str">
        <f>IFERROR(__xludf.DUMMYFUNCTION("""COMPUTED_VALUE"""),"KERTASARI CIAMIS")</f>
        <v>KERTASARI CIAMIS</v>
      </c>
      <c r="D55" s="94">
        <f>IFERROR(__xludf.DUMMYFUNCTION("""COMPUTED_VALUE"""),10.0)</f>
        <v>10</v>
      </c>
    </row>
    <row r="56">
      <c r="A56" s="87" t="str">
        <f>IFERROR(__xludf.DUMMYFUNCTION("""COMPUTED_VALUE"""),"ITBISA-7SEGMENT-ANODE-RED-1.00-1BIT")</f>
        <v>ITBISA-7SEGMENT-ANODE-RED-1.00-1BIT</v>
      </c>
      <c r="B56" s="165">
        <f>IFERROR(__xludf.DUMMYFUNCTION("""COMPUTED_VALUE"""),46066.0)</f>
        <v>46066</v>
      </c>
      <c r="C56" s="165" t="str">
        <f>IFERROR(__xludf.DUMMYFUNCTION("""COMPUTED_VALUE"""),"KERTASARI CIAMIS")</f>
        <v>KERTASARI CIAMIS</v>
      </c>
      <c r="D56" s="94">
        <f>IFERROR(__xludf.DUMMYFUNCTION("""COMPUTED_VALUE"""),10.0)</f>
        <v>10</v>
      </c>
    </row>
    <row r="57">
      <c r="A57" s="87" t="str">
        <f>IFERROR(__xludf.DUMMYFUNCTION("""COMPUTED_VALUE"""),"ITBISA-7SEGMENT-ANODE-RED-1.00-1BIT")</f>
        <v>ITBISA-7SEGMENT-ANODE-RED-1.00-1BIT</v>
      </c>
      <c r="B57" s="165">
        <f>IFERROR(__xludf.DUMMYFUNCTION("""COMPUTED_VALUE"""),46078.0)</f>
        <v>46078</v>
      </c>
      <c r="C57" s="165" t="str">
        <f>IFERROR(__xludf.DUMMYFUNCTION("""COMPUTED_VALUE"""),"KYAI KONTONG")</f>
        <v>KYAI KONTONG</v>
      </c>
      <c r="D57" s="94">
        <f>IFERROR(__xludf.DUMMYFUNCTION("""COMPUTED_VALUE"""),6.0)</f>
        <v>6</v>
      </c>
    </row>
    <row r="58">
      <c r="A58" s="87" t="str">
        <f>IFERROR(__xludf.DUMMYFUNCTION("""COMPUTED_VALUE"""),"ITBISA-7SEGMENT-ANODE-RED-1.00-1BIT")</f>
        <v>ITBISA-7SEGMENT-ANODE-RED-1.00-1BIT</v>
      </c>
      <c r="B58" s="165">
        <f>IFERROR(__xludf.DUMMYFUNCTION("""COMPUTED_VALUE"""),46118.0)</f>
        <v>46118</v>
      </c>
      <c r="C58" s="165" t="str">
        <f>IFERROR(__xludf.DUMMYFUNCTION("""COMPUTED_VALUE"""),"KYAI KONTONG")</f>
        <v>KYAI KONTONG</v>
      </c>
      <c r="D58" s="94">
        <f>IFERROR(__xludf.DUMMYFUNCTION("""COMPUTED_VALUE"""),5.0)</f>
        <v>5</v>
      </c>
    </row>
    <row r="59">
      <c r="A59" s="87" t="str">
        <f>IFERROR(__xludf.DUMMYFUNCTION("""COMPUTED_VALUE"""),"ITBISA-7SEGMENT-ANODE-RED-1.00-1BIT")</f>
        <v>ITBISA-7SEGMENT-ANODE-RED-1.00-1BIT</v>
      </c>
      <c r="B59" s="165">
        <f>IFERROR(__xludf.DUMMYFUNCTION("""COMPUTED_VALUE"""),46147.0)</f>
        <v>46147</v>
      </c>
      <c r="C59" s="165" t="str">
        <f>IFERROR(__xludf.DUMMYFUNCTION("""COMPUTED_VALUE"""),"KYAI KONTONG")</f>
        <v>KYAI KONTONG</v>
      </c>
      <c r="D59" s="94">
        <f>IFERROR(__xludf.DUMMYFUNCTION("""COMPUTED_VALUE"""),5.0)</f>
        <v>5</v>
      </c>
    </row>
    <row r="60">
      <c r="A60" s="87" t="str">
        <f>IFERROR(__xludf.DUMMYFUNCTION("""COMPUTED_VALUE"""),"ITBISA-7SEGMENT-ANODE-RED-1.00-1BIT")</f>
        <v>ITBISA-7SEGMENT-ANODE-RED-1.00-1BIT</v>
      </c>
      <c r="B60" s="165">
        <f>IFERROR(__xludf.DUMMYFUNCTION("""COMPUTED_VALUE"""),46159.0)</f>
        <v>46159</v>
      </c>
      <c r="C60" s="165" t="str">
        <f>IFERROR(__xludf.DUMMYFUNCTION("""COMPUTED_VALUE"""),"KYAI KONTONG")</f>
        <v>KYAI KONTONG</v>
      </c>
      <c r="D60" s="94">
        <f>IFERROR(__xludf.DUMMYFUNCTION("""COMPUTED_VALUE"""),2.0)</f>
        <v>2</v>
      </c>
    </row>
    <row r="61">
      <c r="A61" s="87" t="str">
        <f>IFERROR(__xludf.DUMMYFUNCTION("""COMPUTED_VALUE"""),"ITBISA-7SEGMENT-ANODE-RED-1.00-1BIT")</f>
        <v>ITBISA-7SEGMENT-ANODE-RED-1.00-1BIT</v>
      </c>
      <c r="B61" s="165">
        <f>IFERROR(__xludf.DUMMYFUNCTION("""COMPUTED_VALUE"""),46160.0)</f>
        <v>46160</v>
      </c>
      <c r="C61" s="165" t="str">
        <f>IFERROR(__xludf.DUMMYFUNCTION("""COMPUTED_VALUE"""),"KYAI KONTONG")</f>
        <v>KYAI KONTONG</v>
      </c>
      <c r="D61" s="94">
        <f>IFERROR(__xludf.DUMMYFUNCTION("""COMPUTED_VALUE"""),5.0)</f>
        <v>5</v>
      </c>
    </row>
    <row r="62">
      <c r="A62" s="87" t="str">
        <f>IFERROR(__xludf.DUMMYFUNCTION("""COMPUTED_VALUE"""),"ITBISA-7SEGMENT-ANODE-RED-1.00-1BIT")</f>
        <v>ITBISA-7SEGMENT-ANODE-RED-1.00-1BIT</v>
      </c>
      <c r="B62" s="165">
        <f>IFERROR(__xludf.DUMMYFUNCTION("""COMPUTED_VALUE"""),46172.0)</f>
        <v>46172</v>
      </c>
      <c r="C62" s="165" t="str">
        <f>IFERROR(__xludf.DUMMYFUNCTION("""COMPUTED_VALUE"""),"KYAI KONTONG")</f>
        <v>KYAI KONTONG</v>
      </c>
      <c r="D62" s="94">
        <f>IFERROR(__xludf.DUMMYFUNCTION("""COMPUTED_VALUE"""),6.0)</f>
        <v>6</v>
      </c>
    </row>
    <row r="63">
      <c r="A63" s="87" t="str">
        <f>IFERROR(__xludf.DUMMYFUNCTION("""COMPUTED_VALUE"""),"ITBISA-7SEGMENT-ANODE-RED-1.00-1BIT")</f>
        <v>ITBISA-7SEGMENT-ANODE-RED-1.00-1BIT</v>
      </c>
      <c r="B63" s="165">
        <f>IFERROR(__xludf.DUMMYFUNCTION("""COMPUTED_VALUE"""),46192.0)</f>
        <v>46192</v>
      </c>
      <c r="C63" s="165" t="str">
        <f>IFERROR(__xludf.DUMMYFUNCTION("""COMPUTED_VALUE"""),"KYAI KONTONG")</f>
        <v>KYAI KONTONG</v>
      </c>
      <c r="D63" s="94">
        <f>IFERROR(__xludf.DUMMYFUNCTION("""COMPUTED_VALUE"""),4.0)</f>
        <v>4</v>
      </c>
    </row>
    <row r="64">
      <c r="A64" s="87" t="str">
        <f>IFERROR(__xludf.DUMMYFUNCTION("""COMPUTED_VALUE"""),"ITBISA-7SEGMENT-ANODE-RED-1.00-1BIT")</f>
        <v>ITBISA-7SEGMENT-ANODE-RED-1.00-1BIT</v>
      </c>
      <c r="B64" s="165">
        <f>IFERROR(__xludf.DUMMYFUNCTION("""COMPUTED_VALUE"""),46195.0)</f>
        <v>46195</v>
      </c>
      <c r="C64" s="165" t="str">
        <f>IFERROR(__xludf.DUMMYFUNCTION("""COMPUTED_VALUE"""),"KYAI KONTONG")</f>
        <v>KYAI KONTONG</v>
      </c>
      <c r="D64" s="94">
        <f>IFERROR(__xludf.DUMMYFUNCTION("""COMPUTED_VALUE"""),10.0)</f>
        <v>10</v>
      </c>
    </row>
    <row r="65">
      <c r="A65" s="87" t="str">
        <f>IFERROR(__xludf.DUMMYFUNCTION("""COMPUTED_VALUE"""),"ITBISA-7SEGMENT-ANODE-RED-1.00-1BIT")</f>
        <v>ITBISA-7SEGMENT-ANODE-RED-1.00-1BIT</v>
      </c>
      <c r="B65" s="165">
        <f>IFERROR(__xludf.DUMMYFUNCTION("""COMPUTED_VALUE"""),46196.0)</f>
        <v>46196</v>
      </c>
      <c r="C65" s="165" t="str">
        <f>IFERROR(__xludf.DUMMYFUNCTION("""COMPUTED_VALUE"""),"KYAI KONTONG")</f>
        <v>KYAI KONTONG</v>
      </c>
      <c r="D65" s="94">
        <f>IFERROR(__xludf.DUMMYFUNCTION("""COMPUTED_VALUE"""),30.0)</f>
        <v>30</v>
      </c>
    </row>
    <row r="66">
      <c r="A66" s="87" t="str">
        <f>IFERROR(__xludf.DUMMYFUNCTION("""COMPUTED_VALUE"""),"ITBISA-7SEGMENT-ANODE-RED-1.00-1BIT")</f>
        <v>ITBISA-7SEGMENT-ANODE-RED-1.00-1BIT</v>
      </c>
      <c r="B66" s="165">
        <f>IFERROR(__xludf.DUMMYFUNCTION("""COMPUTED_VALUE"""),46197.0)</f>
        <v>46197</v>
      </c>
      <c r="C66" s="165" t="str">
        <f>IFERROR(__xludf.DUMMYFUNCTION("""COMPUTED_VALUE"""),"KYAI KONTONG")</f>
        <v>KYAI KONTONG</v>
      </c>
      <c r="D66" s="94">
        <f>IFERROR(__xludf.DUMMYFUNCTION("""COMPUTED_VALUE"""),8.0)</f>
        <v>8</v>
      </c>
    </row>
    <row r="67">
      <c r="A67" s="87" t="str">
        <f>IFERROR(__xludf.DUMMYFUNCTION("""COMPUTED_VALUE"""),"ITBISA-7SEGMENT-ANODE-RED-1.20-1BIT")</f>
        <v>ITBISA-7SEGMENT-ANODE-RED-1.20-1BIT</v>
      </c>
      <c r="B67" s="165">
        <f>IFERROR(__xludf.DUMMYFUNCTION("""COMPUTED_VALUE"""),45871.0)</f>
        <v>45871</v>
      </c>
      <c r="C67" s="165" t="str">
        <f>IFERROR(__xludf.DUMMYFUNCTION("""COMPUTED_VALUE"""),"KERTASARI CIAMIS")</f>
        <v>KERTASARI CIAMIS</v>
      </c>
      <c r="D67" s="94">
        <f>IFERROR(__xludf.DUMMYFUNCTION("""COMPUTED_VALUE"""),12.0)</f>
        <v>12</v>
      </c>
    </row>
    <row r="68">
      <c r="A68" s="87" t="str">
        <f>IFERROR(__xludf.DUMMYFUNCTION("""COMPUTED_VALUE"""),"ITBISA-7SEGMENT-ANODE-RED-1.20-1BIT")</f>
        <v>ITBISA-7SEGMENT-ANODE-RED-1.20-1BIT</v>
      </c>
      <c r="B68" s="165">
        <f>IFERROR(__xludf.DUMMYFUNCTION("""COMPUTED_VALUE"""),46023.0)</f>
        <v>46023</v>
      </c>
      <c r="C68" s="165" t="str">
        <f>IFERROR(__xludf.DUMMYFUNCTION("""COMPUTED_VALUE"""),"KYAI KONTONG")</f>
        <v>KYAI KONTONG</v>
      </c>
      <c r="D68" s="94">
        <f>IFERROR(__xludf.DUMMYFUNCTION("""COMPUTED_VALUE"""),45.0)</f>
        <v>45</v>
      </c>
    </row>
    <row r="69">
      <c r="A69" s="87" t="str">
        <f>IFERROR(__xludf.DUMMYFUNCTION("""COMPUTED_VALUE"""),"ITBISA-7SEGMENT-ANODE-RED-1.20-1BIT")</f>
        <v>ITBISA-7SEGMENT-ANODE-RED-1.20-1BIT</v>
      </c>
      <c r="B69" s="165">
        <f>IFERROR(__xludf.DUMMYFUNCTION("""COMPUTED_VALUE"""),46027.0)</f>
        <v>46027</v>
      </c>
      <c r="C69" s="165" t="str">
        <f>IFERROR(__xludf.DUMMYFUNCTION("""COMPUTED_VALUE"""),"KYAI KONTONG")</f>
        <v>KYAI KONTONG</v>
      </c>
      <c r="D69" s="94">
        <f>IFERROR(__xludf.DUMMYFUNCTION("""COMPUTED_VALUE"""),100.0)</f>
        <v>100</v>
      </c>
    </row>
    <row r="70">
      <c r="A70" s="87" t="str">
        <f>IFERROR(__xludf.DUMMYFUNCTION("""COMPUTED_VALUE"""),"ITBISA-7SEGMENT-ANODE-RED-1.20-1BIT")</f>
        <v>ITBISA-7SEGMENT-ANODE-RED-1.20-1BIT</v>
      </c>
      <c r="B70" s="165">
        <f>IFERROR(__xludf.DUMMYFUNCTION("""COMPUTED_VALUE"""),46035.0)</f>
        <v>46035</v>
      </c>
      <c r="C70" s="165" t="str">
        <f>IFERROR(__xludf.DUMMYFUNCTION("""COMPUTED_VALUE"""),"KERTASARI CIAMIS")</f>
        <v>KERTASARI CIAMIS</v>
      </c>
      <c r="D70" s="94">
        <f>IFERROR(__xludf.DUMMYFUNCTION("""COMPUTED_VALUE"""),90.0)</f>
        <v>90</v>
      </c>
    </row>
    <row r="71">
      <c r="A71" s="87" t="str">
        <f>IFERROR(__xludf.DUMMYFUNCTION("""COMPUTED_VALUE"""),"ITBISA-7SEGMENT-ANODE-RED-1.20-1BIT")</f>
        <v>ITBISA-7SEGMENT-ANODE-RED-1.20-1BIT</v>
      </c>
      <c r="B71" s="165">
        <f>IFERROR(__xludf.DUMMYFUNCTION("""COMPUTED_VALUE"""),46044.0)</f>
        <v>46044</v>
      </c>
      <c r="C71" s="165" t="str">
        <f>IFERROR(__xludf.DUMMYFUNCTION("""COMPUTED_VALUE"""),"KYAI KONTONG")</f>
        <v>KYAI KONTONG</v>
      </c>
      <c r="D71" s="94">
        <f>IFERROR(__xludf.DUMMYFUNCTION("""COMPUTED_VALUE"""),10.0)</f>
        <v>10</v>
      </c>
    </row>
    <row r="72">
      <c r="A72" s="87" t="str">
        <f>IFERROR(__xludf.DUMMYFUNCTION("""COMPUTED_VALUE"""),"ITBISA-7SEGMENT-ANODE-RED-1.20-1BIT")</f>
        <v>ITBISA-7SEGMENT-ANODE-RED-1.20-1BIT</v>
      </c>
      <c r="B72" s="165">
        <f>IFERROR(__xludf.DUMMYFUNCTION("""COMPUTED_VALUE"""),46044.0)</f>
        <v>46044</v>
      </c>
      <c r="C72" s="165" t="str">
        <f>IFERROR(__xludf.DUMMYFUNCTION("""COMPUTED_VALUE"""),"KYAI KONTONG")</f>
        <v>KYAI KONTONG</v>
      </c>
      <c r="D72" s="94">
        <f>IFERROR(__xludf.DUMMYFUNCTION("""COMPUTED_VALUE"""),12.0)</f>
        <v>12</v>
      </c>
    </row>
    <row r="73">
      <c r="A73" s="87" t="str">
        <f>IFERROR(__xludf.DUMMYFUNCTION("""COMPUTED_VALUE"""),"ITBISA-7SEGMENT-ANODE-RED-1.20-1BIT")</f>
        <v>ITBISA-7SEGMENT-ANODE-RED-1.20-1BIT</v>
      </c>
      <c r="B73" s="165">
        <f>IFERROR(__xludf.DUMMYFUNCTION("""COMPUTED_VALUE"""),46064.0)</f>
        <v>46064</v>
      </c>
      <c r="C73" s="165" t="str">
        <f>IFERROR(__xludf.DUMMYFUNCTION("""COMPUTED_VALUE"""),"KERTASARI CIAMIS")</f>
        <v>KERTASARI CIAMIS</v>
      </c>
      <c r="D73" s="94">
        <f>IFERROR(__xludf.DUMMYFUNCTION("""COMPUTED_VALUE"""),304.0)</f>
        <v>304</v>
      </c>
    </row>
    <row r="74">
      <c r="A74" s="87" t="str">
        <f>IFERROR(__xludf.DUMMYFUNCTION("""COMPUTED_VALUE"""),"ITBISA-7SEGMENT-ANODE-RED-1.20-1BIT")</f>
        <v>ITBISA-7SEGMENT-ANODE-RED-1.20-1BIT</v>
      </c>
      <c r="B74" s="165">
        <f>IFERROR(__xludf.DUMMYFUNCTION("""COMPUTED_VALUE"""),46077.0)</f>
        <v>46077</v>
      </c>
      <c r="C74" s="165" t="str">
        <f>IFERROR(__xludf.DUMMYFUNCTION("""COMPUTED_VALUE"""),"KERTASARI CIAMIS")</f>
        <v>KERTASARI CIAMIS</v>
      </c>
      <c r="D74" s="94">
        <f>IFERROR(__xludf.DUMMYFUNCTION("""COMPUTED_VALUE"""),18.0)</f>
        <v>18</v>
      </c>
    </row>
    <row r="75">
      <c r="A75" s="87" t="str">
        <f>IFERROR(__xludf.DUMMYFUNCTION("""COMPUTED_VALUE"""),"ITBISA-7SEGMENT-ANODE-RED-1.20-1BIT")</f>
        <v>ITBISA-7SEGMENT-ANODE-RED-1.20-1BIT</v>
      </c>
      <c r="B75" s="165">
        <f>IFERROR(__xludf.DUMMYFUNCTION("""COMPUTED_VALUE"""),46094.0)</f>
        <v>46094</v>
      </c>
      <c r="C75" s="165" t="str">
        <f>IFERROR(__xludf.DUMMYFUNCTION("""COMPUTED_VALUE"""),"KYAI KONTONG")</f>
        <v>KYAI KONTONG</v>
      </c>
      <c r="D75" s="94">
        <f>IFERROR(__xludf.DUMMYFUNCTION("""COMPUTED_VALUE"""),5.0)</f>
        <v>5</v>
      </c>
    </row>
    <row r="76">
      <c r="A76" s="87" t="str">
        <f>IFERROR(__xludf.DUMMYFUNCTION("""COMPUTED_VALUE"""),"ITBISA-7SEGMENT-ANODE-RED-1.20-1BIT")</f>
        <v>ITBISA-7SEGMENT-ANODE-RED-1.20-1BIT</v>
      </c>
      <c r="B76" s="165">
        <f>IFERROR(__xludf.DUMMYFUNCTION("""COMPUTED_VALUE"""),46114.0)</f>
        <v>46114</v>
      </c>
      <c r="C76" s="165" t="str">
        <f>IFERROR(__xludf.DUMMYFUNCTION("""COMPUTED_VALUE"""),"KYAI KONTONG")</f>
        <v>KYAI KONTONG</v>
      </c>
      <c r="D76" s="94">
        <f>IFERROR(__xludf.DUMMYFUNCTION("""COMPUTED_VALUE"""),90.0)</f>
        <v>90</v>
      </c>
    </row>
    <row r="77">
      <c r="A77" s="87" t="str">
        <f>IFERROR(__xludf.DUMMYFUNCTION("""COMPUTED_VALUE"""),"ITBISA-7SEGMENT-ANODE-RED-1.20-1BIT")</f>
        <v>ITBISA-7SEGMENT-ANODE-RED-1.20-1BIT</v>
      </c>
      <c r="B77" s="165">
        <f>IFERROR(__xludf.DUMMYFUNCTION("""COMPUTED_VALUE"""),46116.0)</f>
        <v>46116</v>
      </c>
      <c r="C77" s="165" t="str">
        <f>IFERROR(__xludf.DUMMYFUNCTION("""COMPUTED_VALUE"""),"KYAI KONTONG")</f>
        <v>KYAI KONTONG</v>
      </c>
      <c r="D77" s="94">
        <f>IFERROR(__xludf.DUMMYFUNCTION("""COMPUTED_VALUE"""),10.0)</f>
        <v>10</v>
      </c>
    </row>
    <row r="78">
      <c r="A78" s="87" t="str">
        <f>IFERROR(__xludf.DUMMYFUNCTION("""COMPUTED_VALUE"""),"ITBISA-7SEGMENT-ANODE-RED-1.20-1BIT")</f>
        <v>ITBISA-7SEGMENT-ANODE-RED-1.20-1BIT</v>
      </c>
      <c r="B78" s="165">
        <f>IFERROR(__xludf.DUMMYFUNCTION("""COMPUTED_VALUE"""),46123.0)</f>
        <v>46123</v>
      </c>
      <c r="C78" s="165" t="str">
        <f>IFERROR(__xludf.DUMMYFUNCTION("""COMPUTED_VALUE"""),"KYAI KONTONG")</f>
        <v>KYAI KONTONG</v>
      </c>
      <c r="D78" s="94">
        <f>IFERROR(__xludf.DUMMYFUNCTION("""COMPUTED_VALUE"""),30.0)</f>
        <v>30</v>
      </c>
    </row>
    <row r="79">
      <c r="A79" s="87" t="str">
        <f>IFERROR(__xludf.DUMMYFUNCTION("""COMPUTED_VALUE"""),"ITBISA-7SEGMENT-ANODE-RED-1.20-1BIT")</f>
        <v>ITBISA-7SEGMENT-ANODE-RED-1.20-1BIT</v>
      </c>
      <c r="B79" s="165">
        <f>IFERROR(__xludf.DUMMYFUNCTION("""COMPUTED_VALUE"""),46131.0)</f>
        <v>46131</v>
      </c>
      <c r="C79" s="165" t="str">
        <f>IFERROR(__xludf.DUMMYFUNCTION("""COMPUTED_VALUE"""),"KYAI KONTONG")</f>
        <v>KYAI KONTONG</v>
      </c>
      <c r="D79" s="94">
        <f>IFERROR(__xludf.DUMMYFUNCTION("""COMPUTED_VALUE"""),5.0)</f>
        <v>5</v>
      </c>
    </row>
    <row r="80">
      <c r="A80" s="87" t="str">
        <f>IFERROR(__xludf.DUMMYFUNCTION("""COMPUTED_VALUE"""),"ITBISA-7SEGMENT-ANODE-RED-1.20-1BIT")</f>
        <v>ITBISA-7SEGMENT-ANODE-RED-1.20-1BIT</v>
      </c>
      <c r="B80" s="165">
        <f>IFERROR(__xludf.DUMMYFUNCTION("""COMPUTED_VALUE"""),46140.0)</f>
        <v>46140</v>
      </c>
      <c r="C80" s="165" t="str">
        <f>IFERROR(__xludf.DUMMYFUNCTION("""COMPUTED_VALUE"""),"KYAI KONTONG")</f>
        <v>KYAI KONTONG</v>
      </c>
      <c r="D80" s="94">
        <f>IFERROR(__xludf.DUMMYFUNCTION("""COMPUTED_VALUE"""),27.0)</f>
        <v>27</v>
      </c>
    </row>
    <row r="81">
      <c r="A81" s="87" t="str">
        <f>IFERROR(__xludf.DUMMYFUNCTION("""COMPUTED_VALUE"""),"ITBISA-7SEGMENT-ANODE-RED-1.20-1BIT")</f>
        <v>ITBISA-7SEGMENT-ANODE-RED-1.20-1BIT</v>
      </c>
      <c r="B81" s="165">
        <f>IFERROR(__xludf.DUMMYFUNCTION("""COMPUTED_VALUE"""),46144.0)</f>
        <v>46144</v>
      </c>
      <c r="C81" s="165" t="str">
        <f>IFERROR(__xludf.DUMMYFUNCTION("""COMPUTED_VALUE"""),"KYAI KONTONG")</f>
        <v>KYAI KONTONG</v>
      </c>
      <c r="D81" s="94">
        <f>IFERROR(__xludf.DUMMYFUNCTION("""COMPUTED_VALUE"""),5.0)</f>
        <v>5</v>
      </c>
    </row>
    <row r="82">
      <c r="A82" s="87" t="str">
        <f>IFERROR(__xludf.DUMMYFUNCTION("""COMPUTED_VALUE"""),"ITBISA-7SEGMENT-ANODE-RED-1.20-1BIT")</f>
        <v>ITBISA-7SEGMENT-ANODE-RED-1.20-1BIT</v>
      </c>
      <c r="B82" s="165">
        <f>IFERROR(__xludf.DUMMYFUNCTION("""COMPUTED_VALUE"""),46146.0)</f>
        <v>46146</v>
      </c>
      <c r="C82" s="165" t="str">
        <f>IFERROR(__xludf.DUMMYFUNCTION("""COMPUTED_VALUE"""),"KYAI KONTONG")</f>
        <v>KYAI KONTONG</v>
      </c>
      <c r="D82" s="94">
        <f>IFERROR(__xludf.DUMMYFUNCTION("""COMPUTED_VALUE"""),15.0)</f>
        <v>15</v>
      </c>
    </row>
    <row r="83">
      <c r="A83" s="87" t="str">
        <f>IFERROR(__xludf.DUMMYFUNCTION("""COMPUTED_VALUE"""),"ITBISA-7SEGMENT-ANODE-RED-1.20-1BIT")</f>
        <v>ITBISA-7SEGMENT-ANODE-RED-1.20-1BIT</v>
      </c>
      <c r="B83" s="165">
        <f>IFERROR(__xludf.DUMMYFUNCTION("""COMPUTED_VALUE"""),46148.0)</f>
        <v>46148</v>
      </c>
      <c r="C83" s="165" t="str">
        <f>IFERROR(__xludf.DUMMYFUNCTION("""COMPUTED_VALUE"""),"KYAI KONTONG")</f>
        <v>KYAI KONTONG</v>
      </c>
      <c r="D83" s="94">
        <f>IFERROR(__xludf.DUMMYFUNCTION("""COMPUTED_VALUE"""),2.0)</f>
        <v>2</v>
      </c>
    </row>
    <row r="84">
      <c r="A84" s="87" t="str">
        <f>IFERROR(__xludf.DUMMYFUNCTION("""COMPUTED_VALUE"""),"ITBISA-7SEGMENT-ANODE-RED-1.20-1BIT")</f>
        <v>ITBISA-7SEGMENT-ANODE-RED-1.20-1BIT</v>
      </c>
      <c r="B84" s="165">
        <f>IFERROR(__xludf.DUMMYFUNCTION("""COMPUTED_VALUE"""),46151.0)</f>
        <v>46151</v>
      </c>
      <c r="C84" s="165" t="str">
        <f>IFERROR(__xludf.DUMMYFUNCTION("""COMPUTED_VALUE"""),"KYAI KONTONG")</f>
        <v>KYAI KONTONG</v>
      </c>
      <c r="D84" s="94">
        <f>IFERROR(__xludf.DUMMYFUNCTION("""COMPUTED_VALUE"""),75.0)</f>
        <v>75</v>
      </c>
    </row>
    <row r="85">
      <c r="A85" s="87" t="str">
        <f>IFERROR(__xludf.DUMMYFUNCTION("""COMPUTED_VALUE"""),"ITBISA-7SEGMENT-ANODE-RED-1.20-1BIT")</f>
        <v>ITBISA-7SEGMENT-ANODE-RED-1.20-1BIT</v>
      </c>
      <c r="B85" s="165">
        <f>IFERROR(__xludf.DUMMYFUNCTION("""COMPUTED_VALUE"""),46155.0)</f>
        <v>46155</v>
      </c>
      <c r="C85" s="165" t="str">
        <f>IFERROR(__xludf.DUMMYFUNCTION("""COMPUTED_VALUE"""),"KYAI KONTONG")</f>
        <v>KYAI KONTONG</v>
      </c>
      <c r="D85" s="94">
        <f>IFERROR(__xludf.DUMMYFUNCTION("""COMPUTED_VALUE"""),5.0)</f>
        <v>5</v>
      </c>
    </row>
    <row r="86">
      <c r="A86" s="87" t="str">
        <f>IFERROR(__xludf.DUMMYFUNCTION("""COMPUTED_VALUE"""),"ITBISA-7SEGMENT-ANODE-RED-1.20-1BIT")</f>
        <v>ITBISA-7SEGMENT-ANODE-RED-1.20-1BIT</v>
      </c>
      <c r="B86" s="165">
        <f>IFERROR(__xludf.DUMMYFUNCTION("""COMPUTED_VALUE"""),46155.0)</f>
        <v>46155</v>
      </c>
      <c r="C86" s="165" t="str">
        <f>IFERROR(__xludf.DUMMYFUNCTION("""COMPUTED_VALUE"""),"KYAI KONTONG")</f>
        <v>KYAI KONTONG</v>
      </c>
      <c r="D86" s="94">
        <f>IFERROR(__xludf.DUMMYFUNCTION("""COMPUTED_VALUE"""),90.0)</f>
        <v>90</v>
      </c>
    </row>
    <row r="87">
      <c r="A87" s="87" t="str">
        <f>IFERROR(__xludf.DUMMYFUNCTION("""COMPUTED_VALUE"""),"ITBISA-7SEGMENT-ANODE-RED-1.20-1BIT")</f>
        <v>ITBISA-7SEGMENT-ANODE-RED-1.20-1BIT</v>
      </c>
      <c r="B87" s="165">
        <f>IFERROR(__xludf.DUMMYFUNCTION("""COMPUTED_VALUE"""),46156.0)</f>
        <v>46156</v>
      </c>
      <c r="C87" s="165" t="str">
        <f>IFERROR(__xludf.DUMMYFUNCTION("""COMPUTED_VALUE"""),"KYAI KONTONG")</f>
        <v>KYAI KONTONG</v>
      </c>
      <c r="D87" s="94">
        <f>IFERROR(__xludf.DUMMYFUNCTION("""COMPUTED_VALUE"""),5.0)</f>
        <v>5</v>
      </c>
    </row>
    <row r="88">
      <c r="A88" s="87" t="str">
        <f>IFERROR(__xludf.DUMMYFUNCTION("""COMPUTED_VALUE"""),"ITBISA-7SEGMENT-ANODE-RED-1.20-1BIT")</f>
        <v>ITBISA-7SEGMENT-ANODE-RED-1.20-1BIT</v>
      </c>
      <c r="B88" s="165">
        <f>IFERROR(__xludf.DUMMYFUNCTION("""COMPUTED_VALUE"""),46158.0)</f>
        <v>46158</v>
      </c>
      <c r="C88" s="165" t="str">
        <f>IFERROR(__xludf.DUMMYFUNCTION("""COMPUTED_VALUE"""),"KYAI KONTONG")</f>
        <v>KYAI KONTONG</v>
      </c>
      <c r="D88" s="94">
        <f>IFERROR(__xludf.DUMMYFUNCTION("""COMPUTED_VALUE"""),10.0)</f>
        <v>10</v>
      </c>
    </row>
    <row r="89">
      <c r="A89" s="87" t="str">
        <f>IFERROR(__xludf.DUMMYFUNCTION("""COMPUTED_VALUE"""),"ITBISA-7SEGMENT-ANODE-RED-1.20-1BIT")</f>
        <v>ITBISA-7SEGMENT-ANODE-RED-1.20-1BIT</v>
      </c>
      <c r="B89" s="165">
        <f>IFERROR(__xludf.DUMMYFUNCTION("""COMPUTED_VALUE"""),46161.0)</f>
        <v>46161</v>
      </c>
      <c r="C89" s="165" t="str">
        <f>IFERROR(__xludf.DUMMYFUNCTION("""COMPUTED_VALUE"""),"KYAI KONTONG")</f>
        <v>KYAI KONTONG</v>
      </c>
      <c r="D89" s="94">
        <f>IFERROR(__xludf.DUMMYFUNCTION("""COMPUTED_VALUE"""),5.0)</f>
        <v>5</v>
      </c>
    </row>
    <row r="90">
      <c r="A90" s="87" t="str">
        <f>IFERROR(__xludf.DUMMYFUNCTION("""COMPUTED_VALUE"""),"ITBISA-7SEGMENT-ANODE-RED-1.20-1BIT")</f>
        <v>ITBISA-7SEGMENT-ANODE-RED-1.20-1BIT</v>
      </c>
      <c r="B90" s="165">
        <f>IFERROR(__xludf.DUMMYFUNCTION("""COMPUTED_VALUE"""),46161.0)</f>
        <v>46161</v>
      </c>
      <c r="C90" s="165" t="str">
        <f>IFERROR(__xludf.DUMMYFUNCTION("""COMPUTED_VALUE"""),"KYAI KONTONG")</f>
        <v>KYAI KONTONG</v>
      </c>
      <c r="D90" s="94">
        <f>IFERROR(__xludf.DUMMYFUNCTION("""COMPUTED_VALUE"""),7.0)</f>
        <v>7</v>
      </c>
    </row>
    <row r="91">
      <c r="A91" s="87" t="str">
        <f>IFERROR(__xludf.DUMMYFUNCTION("""COMPUTED_VALUE"""),"ITBISA-7SEGMENT-ANODE-RED-1.20-1BIT")</f>
        <v>ITBISA-7SEGMENT-ANODE-RED-1.20-1BIT</v>
      </c>
      <c r="B91" s="165">
        <f>IFERROR(__xludf.DUMMYFUNCTION("""COMPUTED_VALUE"""),46162.0)</f>
        <v>46162</v>
      </c>
      <c r="C91" s="165" t="str">
        <f>IFERROR(__xludf.DUMMYFUNCTION("""COMPUTED_VALUE"""),"KYAI KONTONG")</f>
        <v>KYAI KONTONG</v>
      </c>
      <c r="D91" s="94">
        <f>IFERROR(__xludf.DUMMYFUNCTION("""COMPUTED_VALUE"""),75.0)</f>
        <v>75</v>
      </c>
    </row>
    <row r="92">
      <c r="A92" s="87" t="str">
        <f>IFERROR(__xludf.DUMMYFUNCTION("""COMPUTED_VALUE"""),"ITBISA-7SEGMENT-ANODE-RED-1.20-1BIT")</f>
        <v>ITBISA-7SEGMENT-ANODE-RED-1.20-1BIT</v>
      </c>
      <c r="B92" s="165">
        <f>IFERROR(__xludf.DUMMYFUNCTION("""COMPUTED_VALUE"""),46163.0)</f>
        <v>46163</v>
      </c>
      <c r="C92" s="165" t="str">
        <f>IFERROR(__xludf.DUMMYFUNCTION("""COMPUTED_VALUE"""),"KYAI KONTONG")</f>
        <v>KYAI KONTONG</v>
      </c>
      <c r="D92" s="94">
        <f>IFERROR(__xludf.DUMMYFUNCTION("""COMPUTED_VALUE"""),11.0)</f>
        <v>11</v>
      </c>
    </row>
    <row r="93">
      <c r="A93" s="87" t="str">
        <f>IFERROR(__xludf.DUMMYFUNCTION("""COMPUTED_VALUE"""),"ITBISA-7SEGMENT-ANODE-RED-1.20-1BIT")</f>
        <v>ITBISA-7SEGMENT-ANODE-RED-1.20-1BIT</v>
      </c>
      <c r="B93" s="165">
        <f>IFERROR(__xludf.DUMMYFUNCTION("""COMPUTED_VALUE"""),46166.0)</f>
        <v>46166</v>
      </c>
      <c r="C93" s="165" t="str">
        <f>IFERROR(__xludf.DUMMYFUNCTION("""COMPUTED_VALUE"""),"KYAI KONTONG")</f>
        <v>KYAI KONTONG</v>
      </c>
      <c r="D93" s="94">
        <f>IFERROR(__xludf.DUMMYFUNCTION("""COMPUTED_VALUE"""),75.0)</f>
        <v>75</v>
      </c>
    </row>
    <row r="94">
      <c r="A94" s="87" t="str">
        <f>IFERROR(__xludf.DUMMYFUNCTION("""COMPUTED_VALUE"""),"ITBISA-7SEGMENT-ANODE-RED-1.20-1BIT")</f>
        <v>ITBISA-7SEGMENT-ANODE-RED-1.20-1BIT</v>
      </c>
      <c r="B94" s="165">
        <f>IFERROR(__xludf.DUMMYFUNCTION("""COMPUTED_VALUE"""),46167.0)</f>
        <v>46167</v>
      </c>
      <c r="C94" s="165" t="str">
        <f>IFERROR(__xludf.DUMMYFUNCTION("""COMPUTED_VALUE"""),"KYAI KONTONG")</f>
        <v>KYAI KONTONG</v>
      </c>
      <c r="D94" s="94">
        <f>IFERROR(__xludf.DUMMYFUNCTION("""COMPUTED_VALUE"""),5.0)</f>
        <v>5</v>
      </c>
    </row>
    <row r="95">
      <c r="A95" s="87" t="str">
        <f>IFERROR(__xludf.DUMMYFUNCTION("""COMPUTED_VALUE"""),"ITBISA-7SEGMENT-ANODE-RED-1.20-1BIT")</f>
        <v>ITBISA-7SEGMENT-ANODE-RED-1.20-1BIT</v>
      </c>
      <c r="B95" s="165">
        <f>IFERROR(__xludf.DUMMYFUNCTION("""COMPUTED_VALUE"""),46167.0)</f>
        <v>46167</v>
      </c>
      <c r="C95" s="165" t="str">
        <f>IFERROR(__xludf.DUMMYFUNCTION("""COMPUTED_VALUE"""),"KYAI KONTONG")</f>
        <v>KYAI KONTONG</v>
      </c>
      <c r="D95" s="94">
        <f>IFERROR(__xludf.DUMMYFUNCTION("""COMPUTED_VALUE"""),75.0)</f>
        <v>75</v>
      </c>
    </row>
    <row r="96">
      <c r="A96" s="87" t="str">
        <f>IFERROR(__xludf.DUMMYFUNCTION("""COMPUTED_VALUE"""),"ITBISA-7SEGMENT-ANODE-RED-1.20-1BIT")</f>
        <v>ITBISA-7SEGMENT-ANODE-RED-1.20-1BIT</v>
      </c>
      <c r="B96" s="165">
        <f>IFERROR(__xludf.DUMMYFUNCTION("""COMPUTED_VALUE"""),46175.0)</f>
        <v>46175</v>
      </c>
      <c r="C96" s="165" t="str">
        <f>IFERROR(__xludf.DUMMYFUNCTION("""COMPUTED_VALUE"""),"KYAI KONTONG")</f>
        <v>KYAI KONTONG</v>
      </c>
      <c r="D96" s="94">
        <f>IFERROR(__xludf.DUMMYFUNCTION("""COMPUTED_VALUE"""),15.0)</f>
        <v>15</v>
      </c>
    </row>
    <row r="97">
      <c r="A97" s="87" t="str">
        <f>IFERROR(__xludf.DUMMYFUNCTION("""COMPUTED_VALUE"""),"ITBISA-7SEGMENT-ANODE-RED-1.20-1BIT")</f>
        <v>ITBISA-7SEGMENT-ANODE-RED-1.20-1BIT</v>
      </c>
      <c r="B97" s="165">
        <f>IFERROR(__xludf.DUMMYFUNCTION("""COMPUTED_VALUE"""),46181.0)</f>
        <v>46181</v>
      </c>
      <c r="C97" s="165" t="str">
        <f>IFERROR(__xludf.DUMMYFUNCTION("""COMPUTED_VALUE"""),"KYAI KONTONG")</f>
        <v>KYAI KONTONG</v>
      </c>
      <c r="D97" s="94">
        <f>IFERROR(__xludf.DUMMYFUNCTION("""COMPUTED_VALUE"""),5.0)</f>
        <v>5</v>
      </c>
    </row>
    <row r="98">
      <c r="A98" s="87" t="str">
        <f>IFERROR(__xludf.DUMMYFUNCTION("""COMPUTED_VALUE"""),"ITBISA-7SEGMENT-ANODE-RED-1.20-1BIT")</f>
        <v>ITBISA-7SEGMENT-ANODE-RED-1.20-1BIT</v>
      </c>
      <c r="B98" s="165">
        <f>IFERROR(__xludf.DUMMYFUNCTION("""COMPUTED_VALUE"""),46181.0)</f>
        <v>46181</v>
      </c>
      <c r="C98" s="165" t="str">
        <f>IFERROR(__xludf.DUMMYFUNCTION("""COMPUTED_VALUE"""),"KYAI KONTONG")</f>
        <v>KYAI KONTONG</v>
      </c>
      <c r="D98" s="94">
        <f>IFERROR(__xludf.DUMMYFUNCTION("""COMPUTED_VALUE"""),45.0)</f>
        <v>45</v>
      </c>
    </row>
    <row r="99">
      <c r="A99" s="87" t="str">
        <f>IFERROR(__xludf.DUMMYFUNCTION("""COMPUTED_VALUE"""),"ITBISA-7SEGMENT-ANODE-RED-1.20-1BIT")</f>
        <v>ITBISA-7SEGMENT-ANODE-RED-1.20-1BIT</v>
      </c>
      <c r="B99" s="165">
        <f>IFERROR(__xludf.DUMMYFUNCTION("""COMPUTED_VALUE"""),46182.0)</f>
        <v>46182</v>
      </c>
      <c r="C99" s="165" t="str">
        <f>IFERROR(__xludf.DUMMYFUNCTION("""COMPUTED_VALUE"""),"KYAI KONTONG")</f>
        <v>KYAI KONTONG</v>
      </c>
      <c r="D99" s="94">
        <f>IFERROR(__xludf.DUMMYFUNCTION("""COMPUTED_VALUE"""),5.0)</f>
        <v>5</v>
      </c>
    </row>
    <row r="100">
      <c r="A100" s="87" t="str">
        <f>IFERROR(__xludf.DUMMYFUNCTION("""COMPUTED_VALUE"""),"ITBISA-7SEGMENT-ANODE-RED-1.20-1BIT")</f>
        <v>ITBISA-7SEGMENT-ANODE-RED-1.20-1BIT</v>
      </c>
      <c r="B100" s="165">
        <f>IFERROR(__xludf.DUMMYFUNCTION("""COMPUTED_VALUE"""),46188.0)</f>
        <v>46188</v>
      </c>
      <c r="C100" s="165" t="str">
        <f>IFERROR(__xludf.DUMMYFUNCTION("""COMPUTED_VALUE"""),"KYAI KONTONG")</f>
        <v>KYAI KONTONG</v>
      </c>
      <c r="D100" s="94">
        <f>IFERROR(__xludf.DUMMYFUNCTION("""COMPUTED_VALUE"""),150.0)</f>
        <v>150</v>
      </c>
    </row>
    <row r="101">
      <c r="A101" s="87" t="str">
        <f>IFERROR(__xludf.DUMMYFUNCTION("""COMPUTED_VALUE"""),"ITBISA-7SEGMENT-ANODE-RED-1.20-1BIT")</f>
        <v>ITBISA-7SEGMENT-ANODE-RED-1.20-1BIT</v>
      </c>
      <c r="B101" s="165">
        <f>IFERROR(__xludf.DUMMYFUNCTION("""COMPUTED_VALUE"""),46193.0)</f>
        <v>46193</v>
      </c>
      <c r="C101" s="165" t="str">
        <f>IFERROR(__xludf.DUMMYFUNCTION("""COMPUTED_VALUE"""),"KYAI KONTONG")</f>
        <v>KYAI KONTONG</v>
      </c>
      <c r="D101" s="94">
        <f>IFERROR(__xludf.DUMMYFUNCTION("""COMPUTED_VALUE"""),60.0)</f>
        <v>60</v>
      </c>
    </row>
    <row r="102">
      <c r="A102" s="87" t="str">
        <f>IFERROR(__xludf.DUMMYFUNCTION("""COMPUTED_VALUE"""),"ITBISA-7SEGMENT-CATHODE-RED-0.56-1BIT")</f>
        <v>ITBISA-7SEGMENT-CATHODE-RED-0.56-1BIT</v>
      </c>
      <c r="B102" s="165">
        <f>IFERROR(__xludf.DUMMYFUNCTION("""COMPUTED_VALUE"""),46024.0)</f>
        <v>46024</v>
      </c>
      <c r="C102" s="165" t="str">
        <f>IFERROR(__xludf.DUMMYFUNCTION("""COMPUTED_VALUE"""),"KYAI KONTONG")</f>
        <v>KYAI KONTONG</v>
      </c>
      <c r="D102" s="94">
        <f>IFERROR(__xludf.DUMMYFUNCTION("""COMPUTED_VALUE"""),10.0)</f>
        <v>10</v>
      </c>
    </row>
    <row r="103">
      <c r="A103" s="87" t="str">
        <f>IFERROR(__xludf.DUMMYFUNCTION("""COMPUTED_VALUE"""),"ITBISA-7SEGMENT-CATHODE-RED-0.56-1BIT")</f>
        <v>ITBISA-7SEGMENT-CATHODE-RED-0.56-1BIT</v>
      </c>
      <c r="B103" s="165">
        <f>IFERROR(__xludf.DUMMYFUNCTION("""COMPUTED_VALUE"""),46025.0)</f>
        <v>46025</v>
      </c>
      <c r="C103" s="165" t="str">
        <f>IFERROR(__xludf.DUMMYFUNCTION("""COMPUTED_VALUE"""),"KERTASARI CIAMIS")</f>
        <v>KERTASARI CIAMIS</v>
      </c>
      <c r="D103" s="94">
        <f>IFERROR(__xludf.DUMMYFUNCTION("""COMPUTED_VALUE"""),20.0)</f>
        <v>20</v>
      </c>
    </row>
    <row r="104">
      <c r="A104" s="87" t="str">
        <f>IFERROR(__xludf.DUMMYFUNCTION("""COMPUTED_VALUE"""),"ITBISA-7SEGMENT-CATHODE-RED-0.56-1BIT")</f>
        <v>ITBISA-7SEGMENT-CATHODE-RED-0.56-1BIT</v>
      </c>
      <c r="B104" s="165">
        <f>IFERROR(__xludf.DUMMYFUNCTION("""COMPUTED_VALUE"""),46026.0)</f>
        <v>46026</v>
      </c>
      <c r="C104" s="165" t="str">
        <f>IFERROR(__xludf.DUMMYFUNCTION("""COMPUTED_VALUE"""),"KYAI KONTONG")</f>
        <v>KYAI KONTONG</v>
      </c>
      <c r="D104" s="94">
        <f>IFERROR(__xludf.DUMMYFUNCTION("""COMPUTED_VALUE"""),10.0)</f>
        <v>10</v>
      </c>
    </row>
    <row r="105">
      <c r="A105" s="87" t="str">
        <f>IFERROR(__xludf.DUMMYFUNCTION("""COMPUTED_VALUE"""),"ITBISA-7SEGMENT-CATHODE-RED-0.56-1BIT")</f>
        <v>ITBISA-7SEGMENT-CATHODE-RED-0.56-1BIT</v>
      </c>
      <c r="B105" s="165">
        <f>IFERROR(__xludf.DUMMYFUNCTION("""COMPUTED_VALUE"""),46028.0)</f>
        <v>46028</v>
      </c>
      <c r="C105" s="165" t="str">
        <f>IFERROR(__xludf.DUMMYFUNCTION("""COMPUTED_VALUE"""),"KYAI KONTONG")</f>
        <v>KYAI KONTONG</v>
      </c>
      <c r="D105" s="94">
        <f>IFERROR(__xludf.DUMMYFUNCTION("""COMPUTED_VALUE"""),20.0)</f>
        <v>20</v>
      </c>
    </row>
    <row r="106">
      <c r="A106" s="87" t="str">
        <f>IFERROR(__xludf.DUMMYFUNCTION("""COMPUTED_VALUE"""),"ITBISA-7SEGMENT-CATHODE-RED-0.56-1BIT")</f>
        <v>ITBISA-7SEGMENT-CATHODE-RED-0.56-1BIT</v>
      </c>
      <c r="B106" s="165">
        <f>IFERROR(__xludf.DUMMYFUNCTION("""COMPUTED_VALUE"""),46029.0)</f>
        <v>46029</v>
      </c>
      <c r="C106" s="165" t="str">
        <f>IFERROR(__xludf.DUMMYFUNCTION("""COMPUTED_VALUE"""),"KYAI KONTONG")</f>
        <v>KYAI KONTONG</v>
      </c>
      <c r="D106" s="94">
        <f>IFERROR(__xludf.DUMMYFUNCTION("""COMPUTED_VALUE"""),10.0)</f>
        <v>10</v>
      </c>
    </row>
    <row r="107">
      <c r="A107" s="87" t="str">
        <f>IFERROR(__xludf.DUMMYFUNCTION("""COMPUTED_VALUE"""),"ITBISA-7SEGMENT-CATHODE-RED-0.56-1BIT")</f>
        <v>ITBISA-7SEGMENT-CATHODE-RED-0.56-1BIT</v>
      </c>
      <c r="B107" s="165">
        <f>IFERROR(__xludf.DUMMYFUNCTION("""COMPUTED_VALUE"""),46030.0)</f>
        <v>46030</v>
      </c>
      <c r="C107" s="165" t="str">
        <f>IFERROR(__xludf.DUMMYFUNCTION("""COMPUTED_VALUE"""),"KYAI KONTONG")</f>
        <v>KYAI KONTONG</v>
      </c>
      <c r="D107" s="94">
        <f>IFERROR(__xludf.DUMMYFUNCTION("""COMPUTED_VALUE"""),5.0)</f>
        <v>5</v>
      </c>
    </row>
    <row r="108">
      <c r="A108" s="87" t="str">
        <f>IFERROR(__xludf.DUMMYFUNCTION("""COMPUTED_VALUE"""),"ITBISA-7SEGMENT-CATHODE-RED-0.56-1BIT")</f>
        <v>ITBISA-7SEGMENT-CATHODE-RED-0.56-1BIT</v>
      </c>
      <c r="B108" s="165">
        <f>IFERROR(__xludf.DUMMYFUNCTION("""COMPUTED_VALUE"""),46031.0)</f>
        <v>46031</v>
      </c>
      <c r="C108" s="165" t="str">
        <f>IFERROR(__xludf.DUMMYFUNCTION("""COMPUTED_VALUE"""),"KERTASARI CIAMIS")</f>
        <v>KERTASARI CIAMIS</v>
      </c>
      <c r="D108" s="94">
        <f>IFERROR(__xludf.DUMMYFUNCTION("""COMPUTED_VALUE"""),5.0)</f>
        <v>5</v>
      </c>
    </row>
    <row r="109">
      <c r="A109" s="87" t="str">
        <f>IFERROR(__xludf.DUMMYFUNCTION("""COMPUTED_VALUE"""),"ITBISA-7SEGMENT-CATHODE-RED-0.56-1BIT")</f>
        <v>ITBISA-7SEGMENT-CATHODE-RED-0.56-1BIT</v>
      </c>
      <c r="B109" s="165">
        <f>IFERROR(__xludf.DUMMYFUNCTION("""COMPUTED_VALUE"""),46031.0)</f>
        <v>46031</v>
      </c>
      <c r="C109" s="165" t="str">
        <f>IFERROR(__xludf.DUMMYFUNCTION("""COMPUTED_VALUE"""),"KYAI KONTONG")</f>
        <v>KYAI KONTONG</v>
      </c>
      <c r="D109" s="94">
        <f>IFERROR(__xludf.DUMMYFUNCTION("""COMPUTED_VALUE"""),5.0)</f>
        <v>5</v>
      </c>
    </row>
    <row r="110">
      <c r="A110" s="87" t="str">
        <f>IFERROR(__xludf.DUMMYFUNCTION("""COMPUTED_VALUE"""),"ITBISA-7SEGMENT-CATHODE-RED-0.56-1BIT")</f>
        <v>ITBISA-7SEGMENT-CATHODE-RED-0.56-1BIT</v>
      </c>
      <c r="B110" s="165">
        <f>IFERROR(__xludf.DUMMYFUNCTION("""COMPUTED_VALUE"""),46034.0)</f>
        <v>46034</v>
      </c>
      <c r="C110" s="165" t="str">
        <f>IFERROR(__xludf.DUMMYFUNCTION("""COMPUTED_VALUE"""),"KERTASARI CIAMIS")</f>
        <v>KERTASARI CIAMIS</v>
      </c>
      <c r="D110" s="94">
        <f>IFERROR(__xludf.DUMMYFUNCTION("""COMPUTED_VALUE"""),20.0)</f>
        <v>20</v>
      </c>
    </row>
    <row r="111">
      <c r="A111" s="87" t="str">
        <f>IFERROR(__xludf.DUMMYFUNCTION("""COMPUTED_VALUE"""),"ITBISA-7SEGMENT-CATHODE-RED-0.56-1BIT")</f>
        <v>ITBISA-7SEGMENT-CATHODE-RED-0.56-1BIT</v>
      </c>
      <c r="B111" s="165">
        <f>IFERROR(__xludf.DUMMYFUNCTION("""COMPUTED_VALUE"""),46034.0)</f>
        <v>46034</v>
      </c>
      <c r="C111" s="165" t="str">
        <f>IFERROR(__xludf.DUMMYFUNCTION("""COMPUTED_VALUE"""),"KYAI KONTONG")</f>
        <v>KYAI KONTONG</v>
      </c>
      <c r="D111" s="94">
        <f>IFERROR(__xludf.DUMMYFUNCTION("""COMPUTED_VALUE"""),5.0)</f>
        <v>5</v>
      </c>
    </row>
    <row r="112">
      <c r="A112" s="87" t="str">
        <f>IFERROR(__xludf.DUMMYFUNCTION("""COMPUTED_VALUE"""),"ITBISA-7SEGMENT-CATHODE-RED-0.56-1BIT")</f>
        <v>ITBISA-7SEGMENT-CATHODE-RED-0.56-1BIT</v>
      </c>
      <c r="B112" s="165">
        <f>IFERROR(__xludf.DUMMYFUNCTION("""COMPUTED_VALUE"""),46034.0)</f>
        <v>46034</v>
      </c>
      <c r="C112" s="165" t="str">
        <f>IFERROR(__xludf.DUMMYFUNCTION("""COMPUTED_VALUE"""),"KYAI KONTONG")</f>
        <v>KYAI KONTONG</v>
      </c>
      <c r="D112" s="94">
        <f>IFERROR(__xludf.DUMMYFUNCTION("""COMPUTED_VALUE"""),10.0)</f>
        <v>10</v>
      </c>
    </row>
    <row r="113">
      <c r="A113" s="87" t="str">
        <f>IFERROR(__xludf.DUMMYFUNCTION("""COMPUTED_VALUE"""),"ITBISA-7SEGMENT-CATHODE-RED-0.56-1BIT")</f>
        <v>ITBISA-7SEGMENT-CATHODE-RED-0.56-1BIT</v>
      </c>
      <c r="B113" s="165">
        <f>IFERROR(__xludf.DUMMYFUNCTION("""COMPUTED_VALUE"""),46034.0)</f>
        <v>46034</v>
      </c>
      <c r="C113" s="165" t="str">
        <f>IFERROR(__xludf.DUMMYFUNCTION("""COMPUTED_VALUE"""),"KYAI KONTONG")</f>
        <v>KYAI KONTONG</v>
      </c>
      <c r="D113" s="94">
        <f>IFERROR(__xludf.DUMMYFUNCTION("""COMPUTED_VALUE"""),50.0)</f>
        <v>50</v>
      </c>
    </row>
    <row r="114">
      <c r="A114" s="87" t="str">
        <f>IFERROR(__xludf.DUMMYFUNCTION("""COMPUTED_VALUE"""),"ITBISA-7SEGMENT-CATHODE-RED-0.56-1BIT")</f>
        <v>ITBISA-7SEGMENT-CATHODE-RED-0.56-1BIT</v>
      </c>
      <c r="B114" s="165">
        <f>IFERROR(__xludf.DUMMYFUNCTION("""COMPUTED_VALUE"""),46035.0)</f>
        <v>46035</v>
      </c>
      <c r="C114" s="165" t="str">
        <f>IFERROR(__xludf.DUMMYFUNCTION("""COMPUTED_VALUE"""),"KERTASARI CIAMIS")</f>
        <v>KERTASARI CIAMIS</v>
      </c>
      <c r="D114" s="94">
        <f>IFERROR(__xludf.DUMMYFUNCTION("""COMPUTED_VALUE"""),5.0)</f>
        <v>5</v>
      </c>
    </row>
    <row r="115">
      <c r="A115" s="87" t="str">
        <f>IFERROR(__xludf.DUMMYFUNCTION("""COMPUTED_VALUE"""),"ITBISA-7SEGMENT-CATHODE-RED-0.56-1BIT")</f>
        <v>ITBISA-7SEGMENT-CATHODE-RED-0.56-1BIT</v>
      </c>
      <c r="B115" s="165">
        <f>IFERROR(__xludf.DUMMYFUNCTION("""COMPUTED_VALUE"""),46035.0)</f>
        <v>46035</v>
      </c>
      <c r="C115" s="165" t="str">
        <f>IFERROR(__xludf.DUMMYFUNCTION("""COMPUTED_VALUE"""),"KERTASARI CIAMIS")</f>
        <v>KERTASARI CIAMIS</v>
      </c>
      <c r="D115" s="94">
        <f>IFERROR(__xludf.DUMMYFUNCTION("""COMPUTED_VALUE"""),5.0)</f>
        <v>5</v>
      </c>
    </row>
    <row r="116">
      <c r="A116" s="87" t="str">
        <f>IFERROR(__xludf.DUMMYFUNCTION("""COMPUTED_VALUE"""),"ITBISA-7SEGMENT-CATHODE-RED-0.56-1BIT")</f>
        <v>ITBISA-7SEGMENT-CATHODE-RED-0.56-1BIT</v>
      </c>
      <c r="B116" s="165">
        <f>IFERROR(__xludf.DUMMYFUNCTION("""COMPUTED_VALUE"""),46035.0)</f>
        <v>46035</v>
      </c>
      <c r="C116" s="165" t="str">
        <f>IFERROR(__xludf.DUMMYFUNCTION("""COMPUTED_VALUE"""),"KERTASARI CIAMIS")</f>
        <v>KERTASARI CIAMIS</v>
      </c>
      <c r="D116" s="94">
        <f>IFERROR(__xludf.DUMMYFUNCTION("""COMPUTED_VALUE"""),5.0)</f>
        <v>5</v>
      </c>
    </row>
    <row r="117">
      <c r="A117" s="87" t="str">
        <f>IFERROR(__xludf.DUMMYFUNCTION("""COMPUTED_VALUE"""),"ITBISA-7SEGMENT-CATHODE-RED-0.56-1BIT")</f>
        <v>ITBISA-7SEGMENT-CATHODE-RED-0.56-1BIT</v>
      </c>
      <c r="B117" s="165">
        <f>IFERROR(__xludf.DUMMYFUNCTION("""COMPUTED_VALUE"""),46035.0)</f>
        <v>46035</v>
      </c>
      <c r="C117" s="165" t="str">
        <f>IFERROR(__xludf.DUMMYFUNCTION("""COMPUTED_VALUE"""),"KERTASARI CIAMIS")</f>
        <v>KERTASARI CIAMIS</v>
      </c>
      <c r="D117" s="94">
        <f>IFERROR(__xludf.DUMMYFUNCTION("""COMPUTED_VALUE"""),50.0)</f>
        <v>50</v>
      </c>
    </row>
    <row r="118">
      <c r="A118" s="87" t="str">
        <f>IFERROR(__xludf.DUMMYFUNCTION("""COMPUTED_VALUE"""),"ITBISA-7SEGMENT-CATHODE-RED-0.56-1BIT")</f>
        <v>ITBISA-7SEGMENT-CATHODE-RED-0.56-1BIT</v>
      </c>
      <c r="B118" s="165">
        <f>IFERROR(__xludf.DUMMYFUNCTION("""COMPUTED_VALUE"""),46036.0)</f>
        <v>46036</v>
      </c>
      <c r="C118" s="165" t="str">
        <f>IFERROR(__xludf.DUMMYFUNCTION("""COMPUTED_VALUE"""),"KERTASARI CIAMIS")</f>
        <v>KERTASARI CIAMIS</v>
      </c>
      <c r="D118" s="94">
        <f>IFERROR(__xludf.DUMMYFUNCTION("""COMPUTED_VALUE"""),30.0)</f>
        <v>30</v>
      </c>
    </row>
    <row r="119">
      <c r="A119" s="87" t="str">
        <f>IFERROR(__xludf.DUMMYFUNCTION("""COMPUTED_VALUE"""),"ITBISA-7SEGMENT-CATHODE-RED-0.56-1BIT")</f>
        <v>ITBISA-7SEGMENT-CATHODE-RED-0.56-1BIT</v>
      </c>
      <c r="B119" s="165">
        <f>IFERROR(__xludf.DUMMYFUNCTION("""COMPUTED_VALUE"""),46036.0)</f>
        <v>46036</v>
      </c>
      <c r="C119" s="165" t="str">
        <f>IFERROR(__xludf.DUMMYFUNCTION("""COMPUTED_VALUE"""),"KYAI KONTONG")</f>
        <v>KYAI KONTONG</v>
      </c>
      <c r="D119" s="94">
        <f>IFERROR(__xludf.DUMMYFUNCTION("""COMPUTED_VALUE"""),10.0)</f>
        <v>10</v>
      </c>
    </row>
    <row r="120">
      <c r="A120" s="87" t="str">
        <f>IFERROR(__xludf.DUMMYFUNCTION("""COMPUTED_VALUE"""),"ITBISA-7SEGMENT-CATHODE-RED-0.56-1BIT")</f>
        <v>ITBISA-7SEGMENT-CATHODE-RED-0.56-1BIT</v>
      </c>
      <c r="B120" s="165">
        <f>IFERROR(__xludf.DUMMYFUNCTION("""COMPUTED_VALUE"""),46040.0)</f>
        <v>46040</v>
      </c>
      <c r="C120" s="165" t="str">
        <f>IFERROR(__xludf.DUMMYFUNCTION("""COMPUTED_VALUE"""),"KYAI KONTONG")</f>
        <v>KYAI KONTONG</v>
      </c>
      <c r="D120" s="94">
        <f>IFERROR(__xludf.DUMMYFUNCTION("""COMPUTED_VALUE"""),50.0)</f>
        <v>50</v>
      </c>
    </row>
    <row r="121">
      <c r="A121" s="87" t="str">
        <f>IFERROR(__xludf.DUMMYFUNCTION("""COMPUTED_VALUE"""),"ITBISA-7SEGMENT-CATHODE-RED-0.56-1BIT")</f>
        <v>ITBISA-7SEGMENT-CATHODE-RED-0.56-1BIT</v>
      </c>
      <c r="B121" s="165">
        <f>IFERROR(__xludf.DUMMYFUNCTION("""COMPUTED_VALUE"""),46042.0)</f>
        <v>46042</v>
      </c>
      <c r="C121" s="165" t="str">
        <f>IFERROR(__xludf.DUMMYFUNCTION("""COMPUTED_VALUE"""),"KYAI KONTONG")</f>
        <v>KYAI KONTONG</v>
      </c>
      <c r="D121" s="94">
        <f>IFERROR(__xludf.DUMMYFUNCTION("""COMPUTED_VALUE"""),300.0)</f>
        <v>300</v>
      </c>
    </row>
    <row r="122">
      <c r="A122" s="87" t="str">
        <f>IFERROR(__xludf.DUMMYFUNCTION("""COMPUTED_VALUE"""),"ITBISA-7SEGMENT-CATHODE-RED-0.56-1BIT")</f>
        <v>ITBISA-7SEGMENT-CATHODE-RED-0.56-1BIT</v>
      </c>
      <c r="B122" s="165">
        <f>IFERROR(__xludf.DUMMYFUNCTION("""COMPUTED_VALUE"""),46043.0)</f>
        <v>46043</v>
      </c>
      <c r="C122" s="165" t="str">
        <f>IFERROR(__xludf.DUMMYFUNCTION("""COMPUTED_VALUE"""),"KERTASARI CIAMIS")</f>
        <v>KERTASARI CIAMIS</v>
      </c>
      <c r="D122" s="94">
        <f>IFERROR(__xludf.DUMMYFUNCTION("""COMPUTED_VALUE"""),5.0)</f>
        <v>5</v>
      </c>
    </row>
    <row r="123">
      <c r="A123" s="87" t="str">
        <f>IFERROR(__xludf.DUMMYFUNCTION("""COMPUTED_VALUE"""),"ITBISA-7SEGMENT-CATHODE-RED-0.56-1BIT")</f>
        <v>ITBISA-7SEGMENT-CATHODE-RED-0.56-1BIT</v>
      </c>
      <c r="B123" s="165">
        <f>IFERROR(__xludf.DUMMYFUNCTION("""COMPUTED_VALUE"""),46045.0)</f>
        <v>46045</v>
      </c>
      <c r="C123" s="165" t="str">
        <f>IFERROR(__xludf.DUMMYFUNCTION("""COMPUTED_VALUE"""),"KYAI KONTONG")</f>
        <v>KYAI KONTONG</v>
      </c>
      <c r="D123" s="94">
        <f>IFERROR(__xludf.DUMMYFUNCTION("""COMPUTED_VALUE"""),100.0)</f>
        <v>100</v>
      </c>
    </row>
    <row r="124">
      <c r="A124" s="87" t="str">
        <f>IFERROR(__xludf.DUMMYFUNCTION("""COMPUTED_VALUE"""),"ITBISA-7SEGMENT-CATHODE-RED-0.56-1BIT")</f>
        <v>ITBISA-7SEGMENT-CATHODE-RED-0.56-1BIT</v>
      </c>
      <c r="B124" s="165">
        <f>IFERROR(__xludf.DUMMYFUNCTION("""COMPUTED_VALUE"""),46046.0)</f>
        <v>46046</v>
      </c>
      <c r="C124" s="165" t="str">
        <f>IFERROR(__xludf.DUMMYFUNCTION("""COMPUTED_VALUE"""),"KERTASARI CIAMIS")</f>
        <v>KERTASARI CIAMIS</v>
      </c>
      <c r="D124" s="94">
        <f>IFERROR(__xludf.DUMMYFUNCTION("""COMPUTED_VALUE"""),5.0)</f>
        <v>5</v>
      </c>
    </row>
    <row r="125">
      <c r="A125" s="87" t="str">
        <f>IFERROR(__xludf.DUMMYFUNCTION("""COMPUTED_VALUE"""),"ITBISA-7SEGMENT-CATHODE-RED-0.56-1BIT")</f>
        <v>ITBISA-7SEGMENT-CATHODE-RED-0.56-1BIT</v>
      </c>
      <c r="B125" s="165">
        <f>IFERROR(__xludf.DUMMYFUNCTION("""COMPUTED_VALUE"""),46050.0)</f>
        <v>46050</v>
      </c>
      <c r="C125" s="165" t="str">
        <f>IFERROR(__xludf.DUMMYFUNCTION("""COMPUTED_VALUE"""),"KYAI KONTONG")</f>
        <v>KYAI KONTONG</v>
      </c>
      <c r="D125" s="94">
        <f>IFERROR(__xludf.DUMMYFUNCTION("""COMPUTED_VALUE"""),6.0)</f>
        <v>6</v>
      </c>
    </row>
    <row r="126">
      <c r="A126" s="87" t="str">
        <f>IFERROR(__xludf.DUMMYFUNCTION("""COMPUTED_VALUE"""),"ITBISA-7SEGMENT-CATHODE-RED-0.56-1BIT")</f>
        <v>ITBISA-7SEGMENT-CATHODE-RED-0.56-1BIT</v>
      </c>
      <c r="B126" s="165">
        <f>IFERROR(__xludf.DUMMYFUNCTION("""COMPUTED_VALUE"""),46053.0)</f>
        <v>46053</v>
      </c>
      <c r="C126" s="165" t="str">
        <f>IFERROR(__xludf.DUMMYFUNCTION("""COMPUTED_VALUE"""),"KERTASARI CIAMIS")</f>
        <v>KERTASARI CIAMIS</v>
      </c>
      <c r="D126" s="94">
        <f>IFERROR(__xludf.DUMMYFUNCTION("""COMPUTED_VALUE"""),10.0)</f>
        <v>10</v>
      </c>
    </row>
    <row r="127">
      <c r="A127" s="87" t="str">
        <f>IFERROR(__xludf.DUMMYFUNCTION("""COMPUTED_VALUE"""),"ITBISA-7SEGMENT-CATHODE-RED-0.56-1BIT")</f>
        <v>ITBISA-7SEGMENT-CATHODE-RED-0.56-1BIT</v>
      </c>
      <c r="B127" s="165">
        <f>IFERROR(__xludf.DUMMYFUNCTION("""COMPUTED_VALUE"""),46054.0)</f>
        <v>46054</v>
      </c>
      <c r="C127" s="165" t="str">
        <f>IFERROR(__xludf.DUMMYFUNCTION("""COMPUTED_VALUE"""),"KYAI KONTONG")</f>
        <v>KYAI KONTONG</v>
      </c>
      <c r="D127" s="94">
        <f>IFERROR(__xludf.DUMMYFUNCTION("""COMPUTED_VALUE"""),5.0)</f>
        <v>5</v>
      </c>
    </row>
    <row r="128">
      <c r="A128" s="87" t="str">
        <f>IFERROR(__xludf.DUMMYFUNCTION("""COMPUTED_VALUE"""),"ITBISA-7SEGMENT-CATHODE-RED-0.56-1BIT")</f>
        <v>ITBISA-7SEGMENT-CATHODE-RED-0.56-1BIT</v>
      </c>
      <c r="B128" s="165">
        <f>IFERROR(__xludf.DUMMYFUNCTION("""COMPUTED_VALUE"""),46055.0)</f>
        <v>46055</v>
      </c>
      <c r="C128" s="165" t="str">
        <f>IFERROR(__xludf.DUMMYFUNCTION("""COMPUTED_VALUE"""),"KYAI KONTONG")</f>
        <v>KYAI KONTONG</v>
      </c>
      <c r="D128" s="94">
        <f>IFERROR(__xludf.DUMMYFUNCTION("""COMPUTED_VALUE"""),5.0)</f>
        <v>5</v>
      </c>
    </row>
    <row r="129">
      <c r="A129" s="87" t="str">
        <f>IFERROR(__xludf.DUMMYFUNCTION("""COMPUTED_VALUE"""),"ITBISA-7SEGMENT-CATHODE-RED-0.56-1BIT")</f>
        <v>ITBISA-7SEGMENT-CATHODE-RED-0.56-1BIT</v>
      </c>
      <c r="B129" s="165">
        <f>IFERROR(__xludf.DUMMYFUNCTION("""COMPUTED_VALUE"""),46056.0)</f>
        <v>46056</v>
      </c>
      <c r="C129" s="165" t="str">
        <f>IFERROR(__xludf.DUMMYFUNCTION("""COMPUTED_VALUE"""),"KYAI KONTONG")</f>
        <v>KYAI KONTONG</v>
      </c>
      <c r="D129" s="94">
        <f>IFERROR(__xludf.DUMMYFUNCTION("""COMPUTED_VALUE"""),20.0)</f>
        <v>20</v>
      </c>
    </row>
    <row r="130">
      <c r="A130" s="87" t="str">
        <f>IFERROR(__xludf.DUMMYFUNCTION("""COMPUTED_VALUE"""),"ITBISA-7SEGMENT-CATHODE-RED-0.56-1BIT")</f>
        <v>ITBISA-7SEGMENT-CATHODE-RED-0.56-1BIT</v>
      </c>
      <c r="B130" s="165">
        <f>IFERROR(__xludf.DUMMYFUNCTION("""COMPUTED_VALUE"""),46063.0)</f>
        <v>46063</v>
      </c>
      <c r="C130" s="165" t="str">
        <f>IFERROR(__xludf.DUMMYFUNCTION("""COMPUTED_VALUE"""),"KYAI KONTONG")</f>
        <v>KYAI KONTONG</v>
      </c>
      <c r="D130" s="94">
        <f>IFERROR(__xludf.DUMMYFUNCTION("""COMPUTED_VALUE"""),10.0)</f>
        <v>10</v>
      </c>
    </row>
    <row r="131">
      <c r="A131" s="87" t="str">
        <f>IFERROR(__xludf.DUMMYFUNCTION("""COMPUTED_VALUE"""),"ITBISA-7SEGMENT-CATHODE-RED-0.56-1BIT")</f>
        <v>ITBISA-7SEGMENT-CATHODE-RED-0.56-1BIT</v>
      </c>
      <c r="B131" s="165">
        <f>IFERROR(__xludf.DUMMYFUNCTION("""COMPUTED_VALUE"""),46073.0)</f>
        <v>46073</v>
      </c>
      <c r="C131" s="165" t="str">
        <f>IFERROR(__xludf.DUMMYFUNCTION("""COMPUTED_VALUE"""),"KYAI KONTONG")</f>
        <v>KYAI KONTONG</v>
      </c>
      <c r="D131" s="94">
        <f>IFERROR(__xludf.DUMMYFUNCTION("""COMPUTED_VALUE"""),50.0)</f>
        <v>50</v>
      </c>
    </row>
    <row r="132">
      <c r="A132" s="87" t="str">
        <f>IFERROR(__xludf.DUMMYFUNCTION("""COMPUTED_VALUE"""),"ITBISA-7SEGMENT-CATHODE-RED-0.56-1BIT")</f>
        <v>ITBISA-7SEGMENT-CATHODE-RED-0.56-1BIT</v>
      </c>
      <c r="B132" s="165">
        <f>IFERROR(__xludf.DUMMYFUNCTION("""COMPUTED_VALUE"""),46078.0)</f>
        <v>46078</v>
      </c>
      <c r="C132" s="165" t="str">
        <f>IFERROR(__xludf.DUMMYFUNCTION("""COMPUTED_VALUE"""),"KYAI KONTONG")</f>
        <v>KYAI KONTONG</v>
      </c>
      <c r="D132" s="94">
        <f>IFERROR(__xludf.DUMMYFUNCTION("""COMPUTED_VALUE"""),2.0)</f>
        <v>2</v>
      </c>
    </row>
    <row r="133">
      <c r="A133" s="87" t="str">
        <f>IFERROR(__xludf.DUMMYFUNCTION("""COMPUTED_VALUE"""),"ITBISA-7SEGMENT-CATHODE-RED-0.56-1BIT")</f>
        <v>ITBISA-7SEGMENT-CATHODE-RED-0.56-1BIT</v>
      </c>
      <c r="B133" s="165">
        <f>IFERROR(__xludf.DUMMYFUNCTION("""COMPUTED_VALUE"""),46091.0)</f>
        <v>46091</v>
      </c>
      <c r="C133" s="165" t="str">
        <f>IFERROR(__xludf.DUMMYFUNCTION("""COMPUTED_VALUE"""),"KYAI KONTONG")</f>
        <v>KYAI KONTONG</v>
      </c>
      <c r="D133" s="94">
        <f>IFERROR(__xludf.DUMMYFUNCTION("""COMPUTED_VALUE"""),300.0)</f>
        <v>300</v>
      </c>
    </row>
    <row r="134">
      <c r="A134" s="87" t="str">
        <f>IFERROR(__xludf.DUMMYFUNCTION("""COMPUTED_VALUE"""),"ITBISA-7SEGMENT-CATHODE-RED-0.56-1BIT")</f>
        <v>ITBISA-7SEGMENT-CATHODE-RED-0.56-1BIT</v>
      </c>
      <c r="B134" s="165">
        <f>IFERROR(__xludf.DUMMYFUNCTION("""COMPUTED_VALUE"""),46093.0)</f>
        <v>46093</v>
      </c>
      <c r="C134" s="165" t="str">
        <f>IFERROR(__xludf.DUMMYFUNCTION("""COMPUTED_VALUE"""),"KYAI KONTONG")</f>
        <v>KYAI KONTONG</v>
      </c>
      <c r="D134" s="94">
        <f>IFERROR(__xludf.DUMMYFUNCTION("""COMPUTED_VALUE"""),50.0)</f>
        <v>50</v>
      </c>
    </row>
    <row r="135">
      <c r="A135" s="87" t="str">
        <f>IFERROR(__xludf.DUMMYFUNCTION("""COMPUTED_VALUE"""),"ITBISA-7SEGMENT-CATHODE-RED-0.56-1BIT")</f>
        <v>ITBISA-7SEGMENT-CATHODE-RED-0.56-1BIT</v>
      </c>
      <c r="B135" s="165">
        <f>IFERROR(__xludf.DUMMYFUNCTION("""COMPUTED_VALUE"""),46102.0)</f>
        <v>46102</v>
      </c>
      <c r="C135" s="165" t="str">
        <f>IFERROR(__xludf.DUMMYFUNCTION("""COMPUTED_VALUE"""),"KYAI KONTONG")</f>
        <v>KYAI KONTONG</v>
      </c>
      <c r="D135" s="94">
        <f>IFERROR(__xludf.DUMMYFUNCTION("""COMPUTED_VALUE"""),10.0)</f>
        <v>10</v>
      </c>
    </row>
    <row r="136">
      <c r="A136" s="87" t="str">
        <f>IFERROR(__xludf.DUMMYFUNCTION("""COMPUTED_VALUE"""),"ITBISA-7SEGMENT-CATHODE-RED-0.56-1BIT")</f>
        <v>ITBISA-7SEGMENT-CATHODE-RED-0.56-1BIT</v>
      </c>
      <c r="B136" s="165">
        <f>IFERROR(__xludf.DUMMYFUNCTION("""COMPUTED_VALUE"""),46104.0)</f>
        <v>46104</v>
      </c>
      <c r="C136" s="165" t="str">
        <f>IFERROR(__xludf.DUMMYFUNCTION("""COMPUTED_VALUE"""),"KYAI KONTONG")</f>
        <v>KYAI KONTONG</v>
      </c>
      <c r="D136" s="94">
        <f>IFERROR(__xludf.DUMMYFUNCTION("""COMPUTED_VALUE"""),10.0)</f>
        <v>10</v>
      </c>
    </row>
    <row r="137">
      <c r="A137" s="87" t="str">
        <f>IFERROR(__xludf.DUMMYFUNCTION("""COMPUTED_VALUE"""),"ITBISA-7SEGMENT-CATHODE-RED-0.56-1BIT")</f>
        <v>ITBISA-7SEGMENT-CATHODE-RED-0.56-1BIT</v>
      </c>
      <c r="B137" s="165">
        <f>IFERROR(__xludf.DUMMYFUNCTION("""COMPUTED_VALUE"""),46115.0)</f>
        <v>46115</v>
      </c>
      <c r="C137" s="165" t="str">
        <f>IFERROR(__xludf.DUMMYFUNCTION("""COMPUTED_VALUE"""),"KYAI KONTONG")</f>
        <v>KYAI KONTONG</v>
      </c>
      <c r="D137" s="94">
        <f>IFERROR(__xludf.DUMMYFUNCTION("""COMPUTED_VALUE"""),25.0)</f>
        <v>25</v>
      </c>
    </row>
    <row r="138">
      <c r="A138" s="87" t="str">
        <f>IFERROR(__xludf.DUMMYFUNCTION("""COMPUTED_VALUE"""),"ITBISA-7SEGMENT-CATHODE-RED-0.56-1BIT")</f>
        <v>ITBISA-7SEGMENT-CATHODE-RED-0.56-1BIT</v>
      </c>
      <c r="B138" s="165">
        <f>IFERROR(__xludf.DUMMYFUNCTION("""COMPUTED_VALUE"""),46118.0)</f>
        <v>46118</v>
      </c>
      <c r="C138" s="165" t="str">
        <f>IFERROR(__xludf.DUMMYFUNCTION("""COMPUTED_VALUE"""),"KYAI KONTONG")</f>
        <v>KYAI KONTONG</v>
      </c>
      <c r="D138" s="94">
        <f>IFERROR(__xludf.DUMMYFUNCTION("""COMPUTED_VALUE"""),6.0)</f>
        <v>6</v>
      </c>
    </row>
    <row r="139">
      <c r="A139" s="87" t="str">
        <f>IFERROR(__xludf.DUMMYFUNCTION("""COMPUTED_VALUE"""),"ITBISA-7SEGMENT-CATHODE-RED-0.56-1BIT")</f>
        <v>ITBISA-7SEGMENT-CATHODE-RED-0.56-1BIT</v>
      </c>
      <c r="B139" s="165">
        <f>IFERROR(__xludf.DUMMYFUNCTION("""COMPUTED_VALUE"""),46119.0)</f>
        <v>46119</v>
      </c>
      <c r="C139" s="165" t="str">
        <f>IFERROR(__xludf.DUMMYFUNCTION("""COMPUTED_VALUE"""),"KYAI KONTONG")</f>
        <v>KYAI KONTONG</v>
      </c>
      <c r="D139" s="94">
        <f>IFERROR(__xludf.DUMMYFUNCTION("""COMPUTED_VALUE"""),5.0)</f>
        <v>5</v>
      </c>
    </row>
    <row r="140">
      <c r="A140" s="87" t="str">
        <f>IFERROR(__xludf.DUMMYFUNCTION("""COMPUTED_VALUE"""),"ITBISA-7SEGMENT-CATHODE-RED-0.56-1BIT")</f>
        <v>ITBISA-7SEGMENT-CATHODE-RED-0.56-1BIT</v>
      </c>
      <c r="B140" s="165">
        <f>IFERROR(__xludf.DUMMYFUNCTION("""COMPUTED_VALUE"""),46119.0)</f>
        <v>46119</v>
      </c>
      <c r="C140" s="165" t="str">
        <f>IFERROR(__xludf.DUMMYFUNCTION("""COMPUTED_VALUE"""),"KYAI KONTONG")</f>
        <v>KYAI KONTONG</v>
      </c>
      <c r="D140" s="94">
        <f>IFERROR(__xludf.DUMMYFUNCTION("""COMPUTED_VALUE"""),150.0)</f>
        <v>150</v>
      </c>
    </row>
    <row r="141">
      <c r="A141" s="87" t="str">
        <f>IFERROR(__xludf.DUMMYFUNCTION("""COMPUTED_VALUE"""),"ITBISA-7SEGMENT-CATHODE-RED-0.56-1BIT")</f>
        <v>ITBISA-7SEGMENT-CATHODE-RED-0.56-1BIT</v>
      </c>
      <c r="B141" s="165">
        <f>IFERROR(__xludf.DUMMYFUNCTION("""COMPUTED_VALUE"""),46128.0)</f>
        <v>46128</v>
      </c>
      <c r="C141" s="165" t="str">
        <f>IFERROR(__xludf.DUMMYFUNCTION("""COMPUTED_VALUE"""),"KYAI KONTONG")</f>
        <v>KYAI KONTONG</v>
      </c>
      <c r="D141" s="94">
        <f>IFERROR(__xludf.DUMMYFUNCTION("""COMPUTED_VALUE"""),10.0)</f>
        <v>10</v>
      </c>
    </row>
    <row r="142">
      <c r="A142" s="87" t="str">
        <f>IFERROR(__xludf.DUMMYFUNCTION("""COMPUTED_VALUE"""),"ITBISA-7SEGMENT-CATHODE-RED-0.56-1BIT")</f>
        <v>ITBISA-7SEGMENT-CATHODE-RED-0.56-1BIT</v>
      </c>
      <c r="B142" s="165">
        <f>IFERROR(__xludf.DUMMYFUNCTION("""COMPUTED_VALUE"""),46132.0)</f>
        <v>46132</v>
      </c>
      <c r="C142" s="165" t="str">
        <f>IFERROR(__xludf.DUMMYFUNCTION("""COMPUTED_VALUE"""),"KYAI KONTONG")</f>
        <v>KYAI KONTONG</v>
      </c>
      <c r="D142" s="94">
        <f>IFERROR(__xludf.DUMMYFUNCTION("""COMPUTED_VALUE"""),15.0)</f>
        <v>15</v>
      </c>
    </row>
    <row r="143">
      <c r="A143" s="87" t="str">
        <f>IFERROR(__xludf.DUMMYFUNCTION("""COMPUTED_VALUE"""),"ITBISA-7SEGMENT-CATHODE-RED-0.56-1BIT")</f>
        <v>ITBISA-7SEGMENT-CATHODE-RED-0.56-1BIT</v>
      </c>
      <c r="B143" s="165">
        <f>IFERROR(__xludf.DUMMYFUNCTION("""COMPUTED_VALUE"""),46132.0)</f>
        <v>46132</v>
      </c>
      <c r="C143" s="165" t="str">
        <f>IFERROR(__xludf.DUMMYFUNCTION("""COMPUTED_VALUE"""),"KYAI KONTONG")</f>
        <v>KYAI KONTONG</v>
      </c>
      <c r="D143" s="94">
        <f>IFERROR(__xludf.DUMMYFUNCTION("""COMPUTED_VALUE"""),100.0)</f>
        <v>100</v>
      </c>
    </row>
    <row r="144">
      <c r="A144" s="87" t="str">
        <f>IFERROR(__xludf.DUMMYFUNCTION("""COMPUTED_VALUE"""),"ITBISA-7SEGMENT-CATHODE-RED-0.56-1BIT")</f>
        <v>ITBISA-7SEGMENT-CATHODE-RED-0.56-1BIT</v>
      </c>
      <c r="B144" s="165">
        <f>IFERROR(__xludf.DUMMYFUNCTION("""COMPUTED_VALUE"""),46143.0)</f>
        <v>46143</v>
      </c>
      <c r="C144" s="165" t="str">
        <f>IFERROR(__xludf.DUMMYFUNCTION("""COMPUTED_VALUE"""),"KYAI KONTONG")</f>
        <v>KYAI KONTONG</v>
      </c>
      <c r="D144" s="94">
        <f>IFERROR(__xludf.DUMMYFUNCTION("""COMPUTED_VALUE"""),8.0)</f>
        <v>8</v>
      </c>
    </row>
    <row r="145">
      <c r="A145" s="87" t="str">
        <f>IFERROR(__xludf.DUMMYFUNCTION("""COMPUTED_VALUE"""),"ITBISA-7SEGMENT-CATHODE-RED-0.56-1BIT")</f>
        <v>ITBISA-7SEGMENT-CATHODE-RED-0.56-1BIT</v>
      </c>
      <c r="B145" s="165">
        <f>IFERROR(__xludf.DUMMYFUNCTION("""COMPUTED_VALUE"""),46143.0)</f>
        <v>46143</v>
      </c>
      <c r="C145" s="165" t="str">
        <f>IFERROR(__xludf.DUMMYFUNCTION("""COMPUTED_VALUE"""),"KYAI KONTONG")</f>
        <v>KYAI KONTONG</v>
      </c>
      <c r="D145" s="94">
        <f>IFERROR(__xludf.DUMMYFUNCTION("""COMPUTED_VALUE"""),150.0)</f>
        <v>150</v>
      </c>
    </row>
    <row r="146">
      <c r="A146" s="87" t="str">
        <f>IFERROR(__xludf.DUMMYFUNCTION("""COMPUTED_VALUE"""),"ITBISA-7SEGMENT-CATHODE-RED-0.56-1BIT")</f>
        <v>ITBISA-7SEGMENT-CATHODE-RED-0.56-1BIT</v>
      </c>
      <c r="B146" s="165">
        <f>IFERROR(__xludf.DUMMYFUNCTION("""COMPUTED_VALUE"""),46147.0)</f>
        <v>46147</v>
      </c>
      <c r="C146" s="165" t="str">
        <f>IFERROR(__xludf.DUMMYFUNCTION("""COMPUTED_VALUE"""),"KYAI KONTONG")</f>
        <v>KYAI KONTONG</v>
      </c>
      <c r="D146" s="94">
        <f>IFERROR(__xludf.DUMMYFUNCTION("""COMPUTED_VALUE"""),6.0)</f>
        <v>6</v>
      </c>
    </row>
    <row r="147">
      <c r="A147" s="87" t="str">
        <f>IFERROR(__xludf.DUMMYFUNCTION("""COMPUTED_VALUE"""),"ITBISA-7SEGMENT-CATHODE-RED-0.56-1BIT")</f>
        <v>ITBISA-7SEGMENT-CATHODE-RED-0.56-1BIT</v>
      </c>
      <c r="B147" s="165">
        <f>IFERROR(__xludf.DUMMYFUNCTION("""COMPUTED_VALUE"""),46148.0)</f>
        <v>46148</v>
      </c>
      <c r="C147" s="165" t="str">
        <f>IFERROR(__xludf.DUMMYFUNCTION("""COMPUTED_VALUE"""),"KYAI KONTONG")</f>
        <v>KYAI KONTONG</v>
      </c>
      <c r="D147" s="94">
        <f>IFERROR(__xludf.DUMMYFUNCTION("""COMPUTED_VALUE"""),5.0)</f>
        <v>5</v>
      </c>
    </row>
    <row r="148">
      <c r="A148" s="87" t="str">
        <f>IFERROR(__xludf.DUMMYFUNCTION("""COMPUTED_VALUE"""),"ITBISA-7SEGMENT-CATHODE-RED-0.56-1BIT")</f>
        <v>ITBISA-7SEGMENT-CATHODE-RED-0.56-1BIT</v>
      </c>
      <c r="B148" s="165">
        <f>IFERROR(__xludf.DUMMYFUNCTION("""COMPUTED_VALUE"""),46148.0)</f>
        <v>46148</v>
      </c>
      <c r="C148" s="165" t="str">
        <f>IFERROR(__xludf.DUMMYFUNCTION("""COMPUTED_VALUE"""),"KYAI KONTONG")</f>
        <v>KYAI KONTONG</v>
      </c>
      <c r="D148" s="94">
        <f>IFERROR(__xludf.DUMMYFUNCTION("""COMPUTED_VALUE"""),17.0)</f>
        <v>17</v>
      </c>
    </row>
    <row r="149">
      <c r="A149" s="87" t="str">
        <f>IFERROR(__xludf.DUMMYFUNCTION("""COMPUTED_VALUE"""),"ITBISA-7SEGMENT-CATHODE-RED-0.56-1BIT")</f>
        <v>ITBISA-7SEGMENT-CATHODE-RED-0.56-1BIT</v>
      </c>
      <c r="B149" s="165">
        <f>IFERROR(__xludf.DUMMYFUNCTION("""COMPUTED_VALUE"""),46150.0)</f>
        <v>46150</v>
      </c>
      <c r="C149" s="165" t="str">
        <f>IFERROR(__xludf.DUMMYFUNCTION("""COMPUTED_VALUE"""),"KYAI KONTONG")</f>
        <v>KYAI KONTONG</v>
      </c>
      <c r="D149" s="94">
        <f>IFERROR(__xludf.DUMMYFUNCTION("""COMPUTED_VALUE"""),5.0)</f>
        <v>5</v>
      </c>
    </row>
    <row r="150">
      <c r="A150" s="87" t="str">
        <f>IFERROR(__xludf.DUMMYFUNCTION("""COMPUTED_VALUE"""),"ITBISA-7SEGMENT-CATHODE-RED-0.56-1BIT")</f>
        <v>ITBISA-7SEGMENT-CATHODE-RED-0.56-1BIT</v>
      </c>
      <c r="B150" s="165">
        <f>IFERROR(__xludf.DUMMYFUNCTION("""COMPUTED_VALUE"""),46151.0)</f>
        <v>46151</v>
      </c>
      <c r="C150" s="165" t="str">
        <f>IFERROR(__xludf.DUMMYFUNCTION("""COMPUTED_VALUE"""),"KYAI KONTONG")</f>
        <v>KYAI KONTONG</v>
      </c>
      <c r="D150" s="94">
        <f>IFERROR(__xludf.DUMMYFUNCTION("""COMPUTED_VALUE"""),20.0)</f>
        <v>20</v>
      </c>
    </row>
    <row r="151">
      <c r="A151" s="87" t="str">
        <f>IFERROR(__xludf.DUMMYFUNCTION("""COMPUTED_VALUE"""),"ITBISA-7SEGMENT-CATHODE-RED-0.56-1BIT")</f>
        <v>ITBISA-7SEGMENT-CATHODE-RED-0.56-1BIT</v>
      </c>
      <c r="B151" s="165">
        <f>IFERROR(__xludf.DUMMYFUNCTION("""COMPUTED_VALUE"""),46155.0)</f>
        <v>46155</v>
      </c>
      <c r="C151" s="165" t="str">
        <f>IFERROR(__xludf.DUMMYFUNCTION("""COMPUTED_VALUE"""),"KYAI KONTONG")</f>
        <v>KYAI KONTONG</v>
      </c>
      <c r="D151" s="94">
        <f>IFERROR(__xludf.DUMMYFUNCTION("""COMPUTED_VALUE"""),100.0)</f>
        <v>100</v>
      </c>
    </row>
    <row r="152">
      <c r="A152" s="87" t="str">
        <f>IFERROR(__xludf.DUMMYFUNCTION("""COMPUTED_VALUE"""),"ITBISA-7SEGMENT-CATHODE-RED-0.56-1BIT")</f>
        <v>ITBISA-7SEGMENT-CATHODE-RED-0.56-1BIT</v>
      </c>
      <c r="B152" s="165">
        <f>IFERROR(__xludf.DUMMYFUNCTION("""COMPUTED_VALUE"""),46156.0)</f>
        <v>46156</v>
      </c>
      <c r="C152" s="165" t="str">
        <f>IFERROR(__xludf.DUMMYFUNCTION("""COMPUTED_VALUE"""),"KYAI KONTONG")</f>
        <v>KYAI KONTONG</v>
      </c>
      <c r="D152" s="94">
        <f>IFERROR(__xludf.DUMMYFUNCTION("""COMPUTED_VALUE"""),10.0)</f>
        <v>10</v>
      </c>
    </row>
    <row r="153">
      <c r="A153" s="87" t="str">
        <f>IFERROR(__xludf.DUMMYFUNCTION("""COMPUTED_VALUE"""),"ITBISA-7SEGMENT-CATHODE-RED-0.56-1BIT")</f>
        <v>ITBISA-7SEGMENT-CATHODE-RED-0.56-1BIT</v>
      </c>
      <c r="B153" s="165">
        <f>IFERROR(__xludf.DUMMYFUNCTION("""COMPUTED_VALUE"""),46157.0)</f>
        <v>46157</v>
      </c>
      <c r="C153" s="165" t="str">
        <f>IFERROR(__xludf.DUMMYFUNCTION("""COMPUTED_VALUE"""),"KYAI KONTONG")</f>
        <v>KYAI KONTONG</v>
      </c>
      <c r="D153" s="94">
        <f>IFERROR(__xludf.DUMMYFUNCTION("""COMPUTED_VALUE"""),5.0)</f>
        <v>5</v>
      </c>
    </row>
    <row r="154">
      <c r="A154" s="87" t="str">
        <f>IFERROR(__xludf.DUMMYFUNCTION("""COMPUTED_VALUE"""),"ITBISA-7SEGMENT-CATHODE-RED-0.56-1BIT")</f>
        <v>ITBISA-7SEGMENT-CATHODE-RED-0.56-1BIT</v>
      </c>
      <c r="B154" s="165">
        <f>IFERROR(__xludf.DUMMYFUNCTION("""COMPUTED_VALUE"""),46157.0)</f>
        <v>46157</v>
      </c>
      <c r="C154" s="165" t="str">
        <f>IFERROR(__xludf.DUMMYFUNCTION("""COMPUTED_VALUE"""),"KYAI KONTONG")</f>
        <v>KYAI KONTONG</v>
      </c>
      <c r="D154" s="94">
        <f>IFERROR(__xludf.DUMMYFUNCTION("""COMPUTED_VALUE"""),12.0)</f>
        <v>12</v>
      </c>
    </row>
    <row r="155">
      <c r="A155" s="87" t="str">
        <f>IFERROR(__xludf.DUMMYFUNCTION("""COMPUTED_VALUE"""),"ITBISA-7SEGMENT-CATHODE-RED-0.56-1BIT")</f>
        <v>ITBISA-7SEGMENT-CATHODE-RED-0.56-1BIT</v>
      </c>
      <c r="B155" s="165">
        <f>IFERROR(__xludf.DUMMYFUNCTION("""COMPUTED_VALUE"""),46157.0)</f>
        <v>46157</v>
      </c>
      <c r="C155" s="165" t="str">
        <f>IFERROR(__xludf.DUMMYFUNCTION("""COMPUTED_VALUE"""),"KYAI KONTONG")</f>
        <v>KYAI KONTONG</v>
      </c>
      <c r="D155" s="94">
        <f>IFERROR(__xludf.DUMMYFUNCTION("""COMPUTED_VALUE"""),50.0)</f>
        <v>50</v>
      </c>
    </row>
    <row r="156">
      <c r="A156" s="87" t="str">
        <f>IFERROR(__xludf.DUMMYFUNCTION("""COMPUTED_VALUE"""),"ITBISA-7SEGMENT-CATHODE-RED-0.56-1BIT")</f>
        <v>ITBISA-7SEGMENT-CATHODE-RED-0.56-1BIT</v>
      </c>
      <c r="B156" s="165">
        <f>IFERROR(__xludf.DUMMYFUNCTION("""COMPUTED_VALUE"""),46158.0)</f>
        <v>46158</v>
      </c>
      <c r="C156" s="165" t="str">
        <f>IFERROR(__xludf.DUMMYFUNCTION("""COMPUTED_VALUE"""),"KYAI KONTONG")</f>
        <v>KYAI KONTONG</v>
      </c>
      <c r="D156" s="94">
        <f>IFERROR(__xludf.DUMMYFUNCTION("""COMPUTED_VALUE"""),20.0)</f>
        <v>20</v>
      </c>
    </row>
    <row r="157">
      <c r="A157" s="87" t="str">
        <f>IFERROR(__xludf.DUMMYFUNCTION("""COMPUTED_VALUE"""),"ITBISA-7SEGMENT-CATHODE-RED-0.56-1BIT")</f>
        <v>ITBISA-7SEGMENT-CATHODE-RED-0.56-1BIT</v>
      </c>
      <c r="B157" s="165">
        <f>IFERROR(__xludf.DUMMYFUNCTION("""COMPUTED_VALUE"""),46159.0)</f>
        <v>46159</v>
      </c>
      <c r="C157" s="165" t="str">
        <f>IFERROR(__xludf.DUMMYFUNCTION("""COMPUTED_VALUE"""),"KYAI KONTONG")</f>
        <v>KYAI KONTONG</v>
      </c>
      <c r="D157" s="94">
        <f>IFERROR(__xludf.DUMMYFUNCTION("""COMPUTED_VALUE"""),10.0)</f>
        <v>10</v>
      </c>
    </row>
    <row r="158">
      <c r="A158" s="87" t="str">
        <f>IFERROR(__xludf.DUMMYFUNCTION("""COMPUTED_VALUE"""),"ITBISA-7SEGMENT-CATHODE-RED-0.56-1BIT")</f>
        <v>ITBISA-7SEGMENT-CATHODE-RED-0.56-1BIT</v>
      </c>
      <c r="B158" s="165">
        <f>IFERROR(__xludf.DUMMYFUNCTION("""COMPUTED_VALUE"""),46161.0)</f>
        <v>46161</v>
      </c>
      <c r="C158" s="165" t="str">
        <f>IFERROR(__xludf.DUMMYFUNCTION("""COMPUTED_VALUE"""),"KYAI KONTONG")</f>
        <v>KYAI KONTONG</v>
      </c>
      <c r="D158" s="94">
        <f>IFERROR(__xludf.DUMMYFUNCTION("""COMPUTED_VALUE"""),10.0)</f>
        <v>10</v>
      </c>
    </row>
    <row r="159">
      <c r="A159" s="87" t="str">
        <f>IFERROR(__xludf.DUMMYFUNCTION("""COMPUTED_VALUE"""),"ITBISA-7SEGMENT-CATHODE-RED-0.56-1BIT")</f>
        <v>ITBISA-7SEGMENT-CATHODE-RED-0.56-1BIT</v>
      </c>
      <c r="B159" s="165">
        <f>IFERROR(__xludf.DUMMYFUNCTION("""COMPUTED_VALUE"""),46162.0)</f>
        <v>46162</v>
      </c>
      <c r="C159" s="165" t="str">
        <f>IFERROR(__xludf.DUMMYFUNCTION("""COMPUTED_VALUE"""),"KYAI KONTONG")</f>
        <v>KYAI KONTONG</v>
      </c>
      <c r="D159" s="94">
        <f>IFERROR(__xludf.DUMMYFUNCTION("""COMPUTED_VALUE"""),25.0)</f>
        <v>25</v>
      </c>
    </row>
    <row r="160">
      <c r="A160" s="87" t="str">
        <f>IFERROR(__xludf.DUMMYFUNCTION("""COMPUTED_VALUE"""),"ITBISA-7SEGMENT-CATHODE-RED-0.56-1BIT")</f>
        <v>ITBISA-7SEGMENT-CATHODE-RED-0.56-1BIT</v>
      </c>
      <c r="B160" s="165">
        <f>IFERROR(__xludf.DUMMYFUNCTION("""COMPUTED_VALUE"""),46164.0)</f>
        <v>46164</v>
      </c>
      <c r="C160" s="165" t="str">
        <f>IFERROR(__xludf.DUMMYFUNCTION("""COMPUTED_VALUE"""),"KYAI KONTONG")</f>
        <v>KYAI KONTONG</v>
      </c>
      <c r="D160" s="94">
        <f>IFERROR(__xludf.DUMMYFUNCTION("""COMPUTED_VALUE"""),5.0)</f>
        <v>5</v>
      </c>
    </row>
    <row r="161">
      <c r="A161" s="87" t="str">
        <f>IFERROR(__xludf.DUMMYFUNCTION("""COMPUTED_VALUE"""),"ITBISA-7SEGMENT-CATHODE-RED-0.56-1BIT")</f>
        <v>ITBISA-7SEGMENT-CATHODE-RED-0.56-1BIT</v>
      </c>
      <c r="B161" s="165">
        <f>IFERROR(__xludf.DUMMYFUNCTION("""COMPUTED_VALUE"""),46165.0)</f>
        <v>46165</v>
      </c>
      <c r="C161" s="165" t="str">
        <f>IFERROR(__xludf.DUMMYFUNCTION("""COMPUTED_VALUE"""),"KYAI KONTONG")</f>
        <v>KYAI KONTONG</v>
      </c>
      <c r="D161" s="94">
        <f>IFERROR(__xludf.DUMMYFUNCTION("""COMPUTED_VALUE"""),5.0)</f>
        <v>5</v>
      </c>
    </row>
    <row r="162">
      <c r="A162" s="87" t="str">
        <f>IFERROR(__xludf.DUMMYFUNCTION("""COMPUTED_VALUE"""),"ITBISA-7SEGMENT-CATHODE-RED-0.56-1BIT")</f>
        <v>ITBISA-7SEGMENT-CATHODE-RED-0.56-1BIT</v>
      </c>
      <c r="B162" s="165">
        <f>IFERROR(__xludf.DUMMYFUNCTION("""COMPUTED_VALUE"""),46165.0)</f>
        <v>46165</v>
      </c>
      <c r="C162" s="165" t="str">
        <f>IFERROR(__xludf.DUMMYFUNCTION("""COMPUTED_VALUE"""),"KYAI KONTONG")</f>
        <v>KYAI KONTONG</v>
      </c>
      <c r="D162" s="94">
        <f>IFERROR(__xludf.DUMMYFUNCTION("""COMPUTED_VALUE"""),5.0)</f>
        <v>5</v>
      </c>
    </row>
    <row r="163">
      <c r="A163" s="87" t="str">
        <f>IFERROR(__xludf.DUMMYFUNCTION("""COMPUTED_VALUE"""),"ITBISA-7SEGMENT-CATHODE-RED-0.56-1BIT")</f>
        <v>ITBISA-7SEGMENT-CATHODE-RED-0.56-1BIT</v>
      </c>
      <c r="B163" s="165">
        <f>IFERROR(__xludf.DUMMYFUNCTION("""COMPUTED_VALUE"""),46167.0)</f>
        <v>46167</v>
      </c>
      <c r="C163" s="165" t="str">
        <f>IFERROR(__xludf.DUMMYFUNCTION("""COMPUTED_VALUE"""),"KYAI KONTONG")</f>
        <v>KYAI KONTONG</v>
      </c>
      <c r="D163" s="94">
        <f>IFERROR(__xludf.DUMMYFUNCTION("""COMPUTED_VALUE"""),10.0)</f>
        <v>10</v>
      </c>
    </row>
    <row r="164">
      <c r="A164" s="87" t="str">
        <f>IFERROR(__xludf.DUMMYFUNCTION("""COMPUTED_VALUE"""),"ITBISA-7SEGMENT-CATHODE-RED-0.56-1BIT")</f>
        <v>ITBISA-7SEGMENT-CATHODE-RED-0.56-1BIT</v>
      </c>
      <c r="B164" s="165">
        <f>IFERROR(__xludf.DUMMYFUNCTION("""COMPUTED_VALUE"""),46167.0)</f>
        <v>46167</v>
      </c>
      <c r="C164" s="165" t="str">
        <f>IFERROR(__xludf.DUMMYFUNCTION("""COMPUTED_VALUE"""),"KYAI KONTONG")</f>
        <v>KYAI KONTONG</v>
      </c>
      <c r="D164" s="94">
        <f>IFERROR(__xludf.DUMMYFUNCTION("""COMPUTED_VALUE"""),10.0)</f>
        <v>10</v>
      </c>
    </row>
    <row r="165">
      <c r="A165" s="87" t="str">
        <f>IFERROR(__xludf.DUMMYFUNCTION("""COMPUTED_VALUE"""),"ITBISA-7SEGMENT-CATHODE-RED-0.56-1BIT")</f>
        <v>ITBISA-7SEGMENT-CATHODE-RED-0.56-1BIT</v>
      </c>
      <c r="B165" s="165">
        <f>IFERROR(__xludf.DUMMYFUNCTION("""COMPUTED_VALUE"""),46168.0)</f>
        <v>46168</v>
      </c>
      <c r="C165" s="165" t="str">
        <f>IFERROR(__xludf.DUMMYFUNCTION("""COMPUTED_VALUE"""),"KYAI KONTONG")</f>
        <v>KYAI KONTONG</v>
      </c>
      <c r="D165" s="94">
        <f>IFERROR(__xludf.DUMMYFUNCTION("""COMPUTED_VALUE"""),5.0)</f>
        <v>5</v>
      </c>
    </row>
    <row r="166">
      <c r="A166" s="87" t="str">
        <f>IFERROR(__xludf.DUMMYFUNCTION("""COMPUTED_VALUE"""),"ITBISA-7SEGMENT-CATHODE-RED-0.56-1BIT")</f>
        <v>ITBISA-7SEGMENT-CATHODE-RED-0.56-1BIT</v>
      </c>
      <c r="B166" s="165">
        <f>IFERROR(__xludf.DUMMYFUNCTION("""COMPUTED_VALUE"""),46168.0)</f>
        <v>46168</v>
      </c>
      <c r="C166" s="165" t="str">
        <f>IFERROR(__xludf.DUMMYFUNCTION("""COMPUTED_VALUE"""),"KYAI KONTONG")</f>
        <v>KYAI KONTONG</v>
      </c>
      <c r="D166" s="94">
        <f>IFERROR(__xludf.DUMMYFUNCTION("""COMPUTED_VALUE"""),10.0)</f>
        <v>10</v>
      </c>
    </row>
    <row r="167">
      <c r="A167" s="87" t="str">
        <f>IFERROR(__xludf.DUMMYFUNCTION("""COMPUTED_VALUE"""),"ITBISA-7SEGMENT-CATHODE-RED-0.56-1BIT")</f>
        <v>ITBISA-7SEGMENT-CATHODE-RED-0.56-1BIT</v>
      </c>
      <c r="B167" s="165">
        <f>IFERROR(__xludf.DUMMYFUNCTION("""COMPUTED_VALUE"""),46169.0)</f>
        <v>46169</v>
      </c>
      <c r="C167" s="165" t="str">
        <f>IFERROR(__xludf.DUMMYFUNCTION("""COMPUTED_VALUE"""),"KYAI KONTONG")</f>
        <v>KYAI KONTONG</v>
      </c>
      <c r="D167" s="94">
        <f>IFERROR(__xludf.DUMMYFUNCTION("""COMPUTED_VALUE"""),10.0)</f>
        <v>10</v>
      </c>
    </row>
    <row r="168">
      <c r="A168" s="87" t="str">
        <f>IFERROR(__xludf.DUMMYFUNCTION("""COMPUTED_VALUE"""),"ITBISA-7SEGMENT-CATHODE-RED-0.56-1BIT")</f>
        <v>ITBISA-7SEGMENT-CATHODE-RED-0.56-1BIT</v>
      </c>
      <c r="B168" s="165">
        <f>IFERROR(__xludf.DUMMYFUNCTION("""COMPUTED_VALUE"""),46170.0)</f>
        <v>46170</v>
      </c>
      <c r="C168" s="165" t="str">
        <f>IFERROR(__xludf.DUMMYFUNCTION("""COMPUTED_VALUE"""),"KYAI KONTONG")</f>
        <v>KYAI KONTONG</v>
      </c>
      <c r="D168" s="94">
        <f>IFERROR(__xludf.DUMMYFUNCTION("""COMPUTED_VALUE"""),20.0)</f>
        <v>20</v>
      </c>
    </row>
    <row r="169">
      <c r="A169" s="87" t="str">
        <f>IFERROR(__xludf.DUMMYFUNCTION("""COMPUTED_VALUE"""),"ITBISA-7SEGMENT-CATHODE-RED-0.56-1BIT")</f>
        <v>ITBISA-7SEGMENT-CATHODE-RED-0.56-1BIT</v>
      </c>
      <c r="B169" s="165">
        <f>IFERROR(__xludf.DUMMYFUNCTION("""COMPUTED_VALUE"""),46172.0)</f>
        <v>46172</v>
      </c>
      <c r="C169" s="165" t="str">
        <f>IFERROR(__xludf.DUMMYFUNCTION("""COMPUTED_VALUE"""),"KYAI KONTONG")</f>
        <v>KYAI KONTONG</v>
      </c>
      <c r="D169" s="94">
        <f>IFERROR(__xludf.DUMMYFUNCTION("""COMPUTED_VALUE"""),5.0)</f>
        <v>5</v>
      </c>
    </row>
    <row r="170">
      <c r="A170" s="87" t="str">
        <f>IFERROR(__xludf.DUMMYFUNCTION("""COMPUTED_VALUE"""),"ITBISA-7SEGMENT-CATHODE-RED-0.56-1BIT")</f>
        <v>ITBISA-7SEGMENT-CATHODE-RED-0.56-1BIT</v>
      </c>
      <c r="B170" s="165">
        <f>IFERROR(__xludf.DUMMYFUNCTION("""COMPUTED_VALUE"""),46175.0)</f>
        <v>46175</v>
      </c>
      <c r="C170" s="165" t="str">
        <f>IFERROR(__xludf.DUMMYFUNCTION("""COMPUTED_VALUE"""),"KYAI KONTONG")</f>
        <v>KYAI KONTONG</v>
      </c>
      <c r="D170" s="94">
        <f>IFERROR(__xludf.DUMMYFUNCTION("""COMPUTED_VALUE"""),10.0)</f>
        <v>10</v>
      </c>
    </row>
    <row r="171">
      <c r="A171" s="87" t="str">
        <f>IFERROR(__xludf.DUMMYFUNCTION("""COMPUTED_VALUE"""),"ITBISA-7SEGMENT-CATHODE-RED-0.56-1BIT")</f>
        <v>ITBISA-7SEGMENT-CATHODE-RED-0.56-1BIT</v>
      </c>
      <c r="B171" s="165">
        <f>IFERROR(__xludf.DUMMYFUNCTION("""COMPUTED_VALUE"""),46175.0)</f>
        <v>46175</v>
      </c>
      <c r="C171" s="165" t="str">
        <f>IFERROR(__xludf.DUMMYFUNCTION("""COMPUTED_VALUE"""),"KYAI KONTONG")</f>
        <v>KYAI KONTONG</v>
      </c>
      <c r="D171" s="94">
        <f>IFERROR(__xludf.DUMMYFUNCTION("""COMPUTED_VALUE"""),15.0)</f>
        <v>15</v>
      </c>
    </row>
    <row r="172">
      <c r="A172" s="87" t="str">
        <f>IFERROR(__xludf.DUMMYFUNCTION("""COMPUTED_VALUE"""),"ITBISA-7SEGMENT-CATHODE-RED-0.56-1BIT")</f>
        <v>ITBISA-7SEGMENT-CATHODE-RED-0.56-1BIT</v>
      </c>
      <c r="B172" s="165">
        <f>IFERROR(__xludf.DUMMYFUNCTION("""COMPUTED_VALUE"""),46176.0)</f>
        <v>46176</v>
      </c>
      <c r="C172" s="165" t="str">
        <f>IFERROR(__xludf.DUMMYFUNCTION("""COMPUTED_VALUE"""),"KYAI KONTONG")</f>
        <v>KYAI KONTONG</v>
      </c>
      <c r="D172" s="94">
        <f>IFERROR(__xludf.DUMMYFUNCTION("""COMPUTED_VALUE"""),100.0)</f>
        <v>100</v>
      </c>
    </row>
    <row r="173">
      <c r="A173" s="87" t="str">
        <f>IFERROR(__xludf.DUMMYFUNCTION("""COMPUTED_VALUE"""),"ITBISA-7SEGMENT-CATHODE-RED-0.56-1BIT")</f>
        <v>ITBISA-7SEGMENT-CATHODE-RED-0.56-1BIT</v>
      </c>
      <c r="B173" s="165">
        <f>IFERROR(__xludf.DUMMYFUNCTION("""COMPUTED_VALUE"""),46177.0)</f>
        <v>46177</v>
      </c>
      <c r="C173" s="165" t="str">
        <f>IFERROR(__xludf.DUMMYFUNCTION("""COMPUTED_VALUE"""),"KYAI KONTONG")</f>
        <v>KYAI KONTONG</v>
      </c>
      <c r="D173" s="94">
        <f>IFERROR(__xludf.DUMMYFUNCTION("""COMPUTED_VALUE"""),20.0)</f>
        <v>20</v>
      </c>
    </row>
    <row r="174">
      <c r="A174" s="87" t="str">
        <f>IFERROR(__xludf.DUMMYFUNCTION("""COMPUTED_VALUE"""),"ITBISA-7SEGMENT-CATHODE-RED-0.56-1BIT")</f>
        <v>ITBISA-7SEGMENT-CATHODE-RED-0.56-1BIT</v>
      </c>
      <c r="B174" s="165">
        <f>IFERROR(__xludf.DUMMYFUNCTION("""COMPUTED_VALUE"""),46177.0)</f>
        <v>46177</v>
      </c>
      <c r="C174" s="165" t="str">
        <f>IFERROR(__xludf.DUMMYFUNCTION("""COMPUTED_VALUE"""),"KYAI KONTONG")</f>
        <v>KYAI KONTONG</v>
      </c>
      <c r="D174" s="94">
        <f>IFERROR(__xludf.DUMMYFUNCTION("""COMPUTED_VALUE"""),100.0)</f>
        <v>100</v>
      </c>
    </row>
    <row r="175">
      <c r="A175" s="87" t="str">
        <f>IFERROR(__xludf.DUMMYFUNCTION("""COMPUTED_VALUE"""),"ITBISA-7SEGMENT-CATHODE-RED-0.56-1BIT")</f>
        <v>ITBISA-7SEGMENT-CATHODE-RED-0.56-1BIT</v>
      </c>
      <c r="B175" s="165">
        <f>IFERROR(__xludf.DUMMYFUNCTION("""COMPUTED_VALUE"""),46178.0)</f>
        <v>46178</v>
      </c>
      <c r="C175" s="165" t="str">
        <f>IFERROR(__xludf.DUMMYFUNCTION("""COMPUTED_VALUE"""),"KYAI KONTONG")</f>
        <v>KYAI KONTONG</v>
      </c>
      <c r="D175" s="94">
        <f>IFERROR(__xludf.DUMMYFUNCTION("""COMPUTED_VALUE"""),10.0)</f>
        <v>10</v>
      </c>
    </row>
    <row r="176">
      <c r="A176" s="87" t="str">
        <f>IFERROR(__xludf.DUMMYFUNCTION("""COMPUTED_VALUE"""),"ITBISA-7SEGMENT-CATHODE-RED-0.56-1BIT")</f>
        <v>ITBISA-7SEGMENT-CATHODE-RED-0.56-1BIT</v>
      </c>
      <c r="B176" s="165">
        <f>IFERROR(__xludf.DUMMYFUNCTION("""COMPUTED_VALUE"""),46178.0)</f>
        <v>46178</v>
      </c>
      <c r="C176" s="165" t="str">
        <f>IFERROR(__xludf.DUMMYFUNCTION("""COMPUTED_VALUE"""),"KYAI KONTONG")</f>
        <v>KYAI KONTONG</v>
      </c>
      <c r="D176" s="94">
        <f>IFERROR(__xludf.DUMMYFUNCTION("""COMPUTED_VALUE"""),10.0)</f>
        <v>10</v>
      </c>
    </row>
    <row r="177">
      <c r="A177" s="87" t="str">
        <f>IFERROR(__xludf.DUMMYFUNCTION("""COMPUTED_VALUE"""),"ITBISA-7SEGMENT-CATHODE-RED-0.56-1BIT")</f>
        <v>ITBISA-7SEGMENT-CATHODE-RED-0.56-1BIT</v>
      </c>
      <c r="B177" s="165">
        <f>IFERROR(__xludf.DUMMYFUNCTION("""COMPUTED_VALUE"""),46179.0)</f>
        <v>46179</v>
      </c>
      <c r="C177" s="165" t="str">
        <f>IFERROR(__xludf.DUMMYFUNCTION("""COMPUTED_VALUE"""),"KYAI KONTONG")</f>
        <v>KYAI KONTONG</v>
      </c>
      <c r="D177" s="94">
        <f>IFERROR(__xludf.DUMMYFUNCTION("""COMPUTED_VALUE"""),13.0)</f>
        <v>13</v>
      </c>
    </row>
    <row r="178">
      <c r="A178" s="87" t="str">
        <f>IFERROR(__xludf.DUMMYFUNCTION("""COMPUTED_VALUE"""),"ITBISA-7SEGMENT-CATHODE-RED-0.56-1BIT")</f>
        <v>ITBISA-7SEGMENT-CATHODE-RED-0.56-1BIT</v>
      </c>
      <c r="B178" s="165">
        <f>IFERROR(__xludf.DUMMYFUNCTION("""COMPUTED_VALUE"""),46182.0)</f>
        <v>46182</v>
      </c>
      <c r="C178" s="165" t="str">
        <f>IFERROR(__xludf.DUMMYFUNCTION("""COMPUTED_VALUE"""),"KYAI KONTONG")</f>
        <v>KYAI KONTONG</v>
      </c>
      <c r="D178" s="94">
        <f>IFERROR(__xludf.DUMMYFUNCTION("""COMPUTED_VALUE"""),16.0)</f>
        <v>16</v>
      </c>
    </row>
    <row r="179">
      <c r="A179" s="87" t="str">
        <f>IFERROR(__xludf.DUMMYFUNCTION("""COMPUTED_VALUE"""),"ITBISA-7SEGMENT-CATHODE-RED-0.56-1BIT")</f>
        <v>ITBISA-7SEGMENT-CATHODE-RED-0.56-1BIT</v>
      </c>
      <c r="B179" s="165">
        <f>IFERROR(__xludf.DUMMYFUNCTION("""COMPUTED_VALUE"""),46184.0)</f>
        <v>46184</v>
      </c>
      <c r="C179" s="165" t="str">
        <f>IFERROR(__xludf.DUMMYFUNCTION("""COMPUTED_VALUE"""),"KYAI KONTONG")</f>
        <v>KYAI KONTONG</v>
      </c>
      <c r="D179" s="94">
        <f>IFERROR(__xludf.DUMMYFUNCTION("""COMPUTED_VALUE"""),10.0)</f>
        <v>10</v>
      </c>
    </row>
    <row r="180">
      <c r="A180" s="87" t="str">
        <f>IFERROR(__xludf.DUMMYFUNCTION("""COMPUTED_VALUE"""),"ITBISA-7SEGMENT-CATHODE-RED-0.56-1BIT")</f>
        <v>ITBISA-7SEGMENT-CATHODE-RED-0.56-1BIT</v>
      </c>
      <c r="B180" s="165">
        <f>IFERROR(__xludf.DUMMYFUNCTION("""COMPUTED_VALUE"""),46185.0)</f>
        <v>46185</v>
      </c>
      <c r="C180" s="165" t="str">
        <f>IFERROR(__xludf.DUMMYFUNCTION("""COMPUTED_VALUE"""),"KYAI KONTONG")</f>
        <v>KYAI KONTONG</v>
      </c>
      <c r="D180" s="94">
        <f>IFERROR(__xludf.DUMMYFUNCTION("""COMPUTED_VALUE"""),10.0)</f>
        <v>10</v>
      </c>
    </row>
    <row r="181">
      <c r="A181" s="87" t="str">
        <f>IFERROR(__xludf.DUMMYFUNCTION("""COMPUTED_VALUE"""),"ITBISA-7SEGMENT-CATHODE-RED-0.56-1BIT")</f>
        <v>ITBISA-7SEGMENT-CATHODE-RED-0.56-1BIT</v>
      </c>
      <c r="B181" s="165">
        <f>IFERROR(__xludf.DUMMYFUNCTION("""COMPUTED_VALUE"""),46186.0)</f>
        <v>46186</v>
      </c>
      <c r="C181" s="165" t="str">
        <f>IFERROR(__xludf.DUMMYFUNCTION("""COMPUTED_VALUE"""),"KYAI KONTONG")</f>
        <v>KYAI KONTONG</v>
      </c>
      <c r="D181" s="94">
        <f>IFERROR(__xludf.DUMMYFUNCTION("""COMPUTED_VALUE"""),90.0)</f>
        <v>90</v>
      </c>
    </row>
    <row r="182">
      <c r="A182" s="87" t="str">
        <f>IFERROR(__xludf.DUMMYFUNCTION("""COMPUTED_VALUE"""),"ITBISA-7SEGMENT-CATHODE-RED-0.56-1BIT")</f>
        <v>ITBISA-7SEGMENT-CATHODE-RED-0.56-1BIT</v>
      </c>
      <c r="B182" s="165">
        <f>IFERROR(__xludf.DUMMYFUNCTION("""COMPUTED_VALUE"""),46194.0)</f>
        <v>46194</v>
      </c>
      <c r="C182" s="165" t="str">
        <f>IFERROR(__xludf.DUMMYFUNCTION("""COMPUTED_VALUE"""),"KYAI KONTONG")</f>
        <v>KYAI KONTONG</v>
      </c>
      <c r="D182" s="94">
        <f>IFERROR(__xludf.DUMMYFUNCTION("""COMPUTED_VALUE"""),13.0)</f>
        <v>13</v>
      </c>
    </row>
    <row r="183">
      <c r="A183" s="87" t="str">
        <f>IFERROR(__xludf.DUMMYFUNCTION("""COMPUTED_VALUE"""),"ITBISA-7SEGMENT-CATHODE-RED-0.56-1BIT")</f>
        <v>ITBISA-7SEGMENT-CATHODE-RED-0.56-1BIT</v>
      </c>
      <c r="B183" s="165">
        <f>IFERROR(__xludf.DUMMYFUNCTION("""COMPUTED_VALUE"""),46194.0)</f>
        <v>46194</v>
      </c>
      <c r="C183" s="165" t="str">
        <f>IFERROR(__xludf.DUMMYFUNCTION("""COMPUTED_VALUE"""),"KYAI KONTONG")</f>
        <v>KYAI KONTONG</v>
      </c>
      <c r="D183" s="94">
        <f>IFERROR(__xludf.DUMMYFUNCTION("""COMPUTED_VALUE"""),30.0)</f>
        <v>30</v>
      </c>
    </row>
    <row r="184">
      <c r="A184" s="87" t="str">
        <f>IFERROR(__xludf.DUMMYFUNCTION("""COMPUTED_VALUE"""),"ITBISA-7SEGMENT-CATHODE-RED-0.56-1BIT")</f>
        <v>ITBISA-7SEGMENT-CATHODE-RED-0.56-1BIT</v>
      </c>
      <c r="B184" s="165">
        <f>IFERROR(__xludf.DUMMYFUNCTION("""COMPUTED_VALUE"""),46196.0)</f>
        <v>46196</v>
      </c>
      <c r="C184" s="165" t="str">
        <f>IFERROR(__xludf.DUMMYFUNCTION("""COMPUTED_VALUE"""),"KYAI KONTONG")</f>
        <v>KYAI KONTONG</v>
      </c>
      <c r="D184" s="94">
        <f>IFERROR(__xludf.DUMMYFUNCTION("""COMPUTED_VALUE"""),40.0)</f>
        <v>40</v>
      </c>
    </row>
    <row r="185">
      <c r="A185" s="87" t="str">
        <f>IFERROR(__xludf.DUMMYFUNCTION("""COMPUTED_VALUE"""),"ITBISA-7SEGMENT-CATHODE-RED-1.20-1BIT")</f>
        <v>ITBISA-7SEGMENT-CATHODE-RED-1.20-1BIT</v>
      </c>
      <c r="B185" s="165">
        <f>IFERROR(__xludf.DUMMYFUNCTION("""COMPUTED_VALUE"""),46029.0)</f>
        <v>46029</v>
      </c>
      <c r="C185" s="165" t="str">
        <f>IFERROR(__xludf.DUMMYFUNCTION("""COMPUTED_VALUE"""),"KYAI KONTONG")</f>
        <v>KYAI KONTONG</v>
      </c>
      <c r="D185" s="94">
        <f>IFERROR(__xludf.DUMMYFUNCTION("""COMPUTED_VALUE"""),5.0)</f>
        <v>5</v>
      </c>
    </row>
    <row r="186">
      <c r="A186" s="87" t="str">
        <f>IFERROR(__xludf.DUMMYFUNCTION("""COMPUTED_VALUE"""),"ITBISA-7SEGMENT-CATHODE-RED-1.20-1BIT")</f>
        <v>ITBISA-7SEGMENT-CATHODE-RED-1.20-1BIT</v>
      </c>
      <c r="B186" s="165">
        <f>IFERROR(__xludf.DUMMYFUNCTION("""COMPUTED_VALUE"""),46034.0)</f>
        <v>46034</v>
      </c>
      <c r="C186" s="165" t="str">
        <f>IFERROR(__xludf.DUMMYFUNCTION("""COMPUTED_VALUE"""),"KYAI KONTONG")</f>
        <v>KYAI KONTONG</v>
      </c>
      <c r="D186" s="94">
        <f>IFERROR(__xludf.DUMMYFUNCTION("""COMPUTED_VALUE"""),10.0)</f>
        <v>10</v>
      </c>
    </row>
    <row r="187">
      <c r="A187" s="87" t="str">
        <f>IFERROR(__xludf.DUMMYFUNCTION("""COMPUTED_VALUE"""),"ITBISA-7SEGMENT-CATHODE-RED-1.20-1BIT")</f>
        <v>ITBISA-7SEGMENT-CATHODE-RED-1.20-1BIT</v>
      </c>
      <c r="B187" s="165">
        <f>IFERROR(__xludf.DUMMYFUNCTION("""COMPUTED_VALUE"""),46044.0)</f>
        <v>46044</v>
      </c>
      <c r="C187" s="165" t="str">
        <f>IFERROR(__xludf.DUMMYFUNCTION("""COMPUTED_VALUE"""),"KYAI KONTONG")</f>
        <v>KYAI KONTONG</v>
      </c>
      <c r="D187" s="94">
        <f>IFERROR(__xludf.DUMMYFUNCTION("""COMPUTED_VALUE"""),2.0)</f>
        <v>2</v>
      </c>
    </row>
    <row r="188">
      <c r="A188" s="87" t="str">
        <f>IFERROR(__xludf.DUMMYFUNCTION("""COMPUTED_VALUE"""),"ITBISA-7SEGMENT-CATHODE-RED-1.20-1BIT")</f>
        <v>ITBISA-7SEGMENT-CATHODE-RED-1.20-1BIT</v>
      </c>
      <c r="B188" s="165">
        <f>IFERROR(__xludf.DUMMYFUNCTION("""COMPUTED_VALUE"""),46047.0)</f>
        <v>46047</v>
      </c>
      <c r="C188" s="165" t="str">
        <f>IFERROR(__xludf.DUMMYFUNCTION("""COMPUTED_VALUE"""),"KYAI KONTONG")</f>
        <v>KYAI KONTONG</v>
      </c>
      <c r="D188" s="94">
        <f>IFERROR(__xludf.DUMMYFUNCTION("""COMPUTED_VALUE"""),1.0)</f>
        <v>1</v>
      </c>
    </row>
    <row r="189">
      <c r="A189" s="87" t="str">
        <f>IFERROR(__xludf.DUMMYFUNCTION("""COMPUTED_VALUE"""),"ITBISA-7SEGMENT-CATHODE-RED-1.20-1BIT")</f>
        <v>ITBISA-7SEGMENT-CATHODE-RED-1.20-1BIT</v>
      </c>
      <c r="B189" s="165">
        <f>IFERROR(__xludf.DUMMYFUNCTION("""COMPUTED_VALUE"""),46047.0)</f>
        <v>46047</v>
      </c>
      <c r="C189" s="165" t="str">
        <f>IFERROR(__xludf.DUMMYFUNCTION("""COMPUTED_VALUE"""),"KYAI KONTONG")</f>
        <v>KYAI KONTONG</v>
      </c>
      <c r="D189" s="94">
        <f>IFERROR(__xludf.DUMMYFUNCTION("""COMPUTED_VALUE"""),45.0)</f>
        <v>45</v>
      </c>
    </row>
    <row r="190">
      <c r="A190" s="87" t="str">
        <f>IFERROR(__xludf.DUMMYFUNCTION("""COMPUTED_VALUE"""),"ITBISA-7SEGMENT-CATHODE-RED-1.20-1BIT")</f>
        <v>ITBISA-7SEGMENT-CATHODE-RED-1.20-1BIT</v>
      </c>
      <c r="B190" s="165">
        <f>IFERROR(__xludf.DUMMYFUNCTION("""COMPUTED_VALUE"""),46057.0)</f>
        <v>46057</v>
      </c>
      <c r="C190" s="165" t="str">
        <f>IFERROR(__xludf.DUMMYFUNCTION("""COMPUTED_VALUE"""),"KERTASARI CIAMIS")</f>
        <v>KERTASARI CIAMIS</v>
      </c>
      <c r="D190" s="94">
        <f>IFERROR(__xludf.DUMMYFUNCTION("""COMPUTED_VALUE"""),7.0)</f>
        <v>7</v>
      </c>
    </row>
    <row r="191">
      <c r="A191" s="87" t="str">
        <f>IFERROR(__xludf.DUMMYFUNCTION("""COMPUTED_VALUE"""),"ITBISA-7SEGMENT-CATHODE-RED-1.20-1BIT")</f>
        <v>ITBISA-7SEGMENT-CATHODE-RED-1.20-1BIT</v>
      </c>
      <c r="B191" s="165">
        <f>IFERROR(__xludf.DUMMYFUNCTION("""COMPUTED_VALUE"""),46058.0)</f>
        <v>46058</v>
      </c>
      <c r="C191" s="165" t="str">
        <f>IFERROR(__xludf.DUMMYFUNCTION("""COMPUTED_VALUE"""),"KYAI KONTONG")</f>
        <v>KYAI KONTONG</v>
      </c>
      <c r="D191" s="94">
        <f>IFERROR(__xludf.DUMMYFUNCTION("""COMPUTED_VALUE"""),2.0)</f>
        <v>2</v>
      </c>
    </row>
    <row r="192">
      <c r="A192" s="87" t="str">
        <f>IFERROR(__xludf.DUMMYFUNCTION("""COMPUTED_VALUE"""),"ITBISA-7SEGMENT-CATHODE-RED-1.20-1BIT")</f>
        <v>ITBISA-7SEGMENT-CATHODE-RED-1.20-1BIT</v>
      </c>
      <c r="B192" s="165">
        <f>IFERROR(__xludf.DUMMYFUNCTION("""COMPUTED_VALUE"""),46058.0)</f>
        <v>46058</v>
      </c>
      <c r="C192" s="165" t="str">
        <f>IFERROR(__xludf.DUMMYFUNCTION("""COMPUTED_VALUE"""),"KYAI KONTONG")</f>
        <v>KYAI KONTONG</v>
      </c>
      <c r="D192" s="94">
        <f>IFERROR(__xludf.DUMMYFUNCTION("""COMPUTED_VALUE"""),15.0)</f>
        <v>15</v>
      </c>
    </row>
    <row r="193">
      <c r="A193" s="87" t="str">
        <f>IFERROR(__xludf.DUMMYFUNCTION("""COMPUTED_VALUE"""),"ITBISA-7SEGMENT-CATHODE-RED-1.20-1BIT")</f>
        <v>ITBISA-7SEGMENT-CATHODE-RED-1.20-1BIT</v>
      </c>
      <c r="B193" s="165">
        <f>IFERROR(__xludf.DUMMYFUNCTION("""COMPUTED_VALUE"""),46060.0)</f>
        <v>46060</v>
      </c>
      <c r="C193" s="165" t="str">
        <f>IFERROR(__xludf.DUMMYFUNCTION("""COMPUTED_VALUE"""),"KYAI KONTONG")</f>
        <v>KYAI KONTONG</v>
      </c>
      <c r="D193" s="94">
        <f>IFERROR(__xludf.DUMMYFUNCTION("""COMPUTED_VALUE"""),10.0)</f>
        <v>10</v>
      </c>
    </row>
    <row r="194">
      <c r="A194" s="87" t="str">
        <f>IFERROR(__xludf.DUMMYFUNCTION("""COMPUTED_VALUE"""),"ITBISA-7SEGMENT-CATHODE-RED-1.20-1BIT")</f>
        <v>ITBISA-7SEGMENT-CATHODE-RED-1.20-1BIT</v>
      </c>
      <c r="B194" s="165">
        <f>IFERROR(__xludf.DUMMYFUNCTION("""COMPUTED_VALUE"""),46066.0)</f>
        <v>46066</v>
      </c>
      <c r="C194" s="165" t="str">
        <f>IFERROR(__xludf.DUMMYFUNCTION("""COMPUTED_VALUE"""),"KYAI KONTONG")</f>
        <v>KYAI KONTONG</v>
      </c>
      <c r="D194" s="94">
        <f>IFERROR(__xludf.DUMMYFUNCTION("""COMPUTED_VALUE"""),10.0)</f>
        <v>10</v>
      </c>
    </row>
    <row r="195">
      <c r="A195" s="87" t="str">
        <f>IFERROR(__xludf.DUMMYFUNCTION("""COMPUTED_VALUE"""),"ITBISA-7SEGMENT-CATHODE-RED-1.20-1BIT")</f>
        <v>ITBISA-7SEGMENT-CATHODE-RED-1.20-1BIT</v>
      </c>
      <c r="B195" s="165">
        <f>IFERROR(__xludf.DUMMYFUNCTION("""COMPUTED_VALUE"""),46070.0)</f>
        <v>46070</v>
      </c>
      <c r="C195" s="165" t="str">
        <f>IFERROR(__xludf.DUMMYFUNCTION("""COMPUTED_VALUE"""),"KERTASARI CIAMIS")</f>
        <v>KERTASARI CIAMIS</v>
      </c>
      <c r="D195" s="94">
        <f>IFERROR(__xludf.DUMMYFUNCTION("""COMPUTED_VALUE"""),2.0)</f>
        <v>2</v>
      </c>
    </row>
    <row r="196">
      <c r="A196" s="87" t="str">
        <f>IFERROR(__xludf.DUMMYFUNCTION("""COMPUTED_VALUE"""),"ITBISA-7SEGMENT-CATHODE-RED-1.20-1BIT")</f>
        <v>ITBISA-7SEGMENT-CATHODE-RED-1.20-1BIT</v>
      </c>
      <c r="B196" s="165">
        <f>IFERROR(__xludf.DUMMYFUNCTION("""COMPUTED_VALUE"""),46076.0)</f>
        <v>46076</v>
      </c>
      <c r="C196" s="165" t="str">
        <f>IFERROR(__xludf.DUMMYFUNCTION("""COMPUTED_VALUE"""),"KYAI KONTONG")</f>
        <v>KYAI KONTONG</v>
      </c>
      <c r="D196" s="94">
        <f>IFERROR(__xludf.DUMMYFUNCTION("""COMPUTED_VALUE"""),13.0)</f>
        <v>13</v>
      </c>
    </row>
    <row r="197">
      <c r="A197" s="87" t="str">
        <f>IFERROR(__xludf.DUMMYFUNCTION("""COMPUTED_VALUE"""),"ITBISA-7SEGMENT-CATHODE-RED-1.20-1BIT")</f>
        <v>ITBISA-7SEGMENT-CATHODE-RED-1.20-1BIT</v>
      </c>
      <c r="B197" s="165">
        <f>IFERROR(__xludf.DUMMYFUNCTION("""COMPUTED_VALUE"""),46076.0)</f>
        <v>46076</v>
      </c>
      <c r="C197" s="165" t="str">
        <f>IFERROR(__xludf.DUMMYFUNCTION("""COMPUTED_VALUE"""),"KYAI KONTONG")</f>
        <v>KYAI KONTONG</v>
      </c>
      <c r="D197" s="94">
        <f>IFERROR(__xludf.DUMMYFUNCTION("""COMPUTED_VALUE"""),20.0)</f>
        <v>20</v>
      </c>
    </row>
    <row r="198">
      <c r="A198" s="87" t="str">
        <f>IFERROR(__xludf.DUMMYFUNCTION("""COMPUTED_VALUE"""),"ITBISA-7SEGMENT-CATHODE-RED-1.20-1BIT")</f>
        <v>ITBISA-7SEGMENT-CATHODE-RED-1.20-1BIT</v>
      </c>
      <c r="B198" s="165">
        <f>IFERROR(__xludf.DUMMYFUNCTION("""COMPUTED_VALUE"""),46077.0)</f>
        <v>46077</v>
      </c>
      <c r="C198" s="165" t="str">
        <f>IFERROR(__xludf.DUMMYFUNCTION("""COMPUTED_VALUE"""),"KERTASARI CIAMIS")</f>
        <v>KERTASARI CIAMIS</v>
      </c>
      <c r="D198" s="94">
        <f>IFERROR(__xludf.DUMMYFUNCTION("""COMPUTED_VALUE"""),1.0)</f>
        <v>1</v>
      </c>
    </row>
    <row r="199">
      <c r="A199" s="87" t="str">
        <f>IFERROR(__xludf.DUMMYFUNCTION("""COMPUTED_VALUE"""),"ITBISA-7SEGMENT-CATHODE-RED-1.20-1BIT")</f>
        <v>ITBISA-7SEGMENT-CATHODE-RED-1.20-1BIT</v>
      </c>
      <c r="B199" s="165">
        <f>IFERROR(__xludf.DUMMYFUNCTION("""COMPUTED_VALUE"""),46077.0)</f>
        <v>46077</v>
      </c>
      <c r="C199" s="165" t="str">
        <f>IFERROR(__xludf.DUMMYFUNCTION("""COMPUTED_VALUE"""),"KYAI KONTONG")</f>
        <v>KYAI KONTONG</v>
      </c>
      <c r="D199" s="94">
        <f>IFERROR(__xludf.DUMMYFUNCTION("""COMPUTED_VALUE"""),34.0)</f>
        <v>34</v>
      </c>
    </row>
    <row r="200">
      <c r="A200" s="87" t="str">
        <f>IFERROR(__xludf.DUMMYFUNCTION("""COMPUTED_VALUE"""),"ITBISA-7SEGMENT-CATHODE-RED-1.20-1BIT")</f>
        <v>ITBISA-7SEGMENT-CATHODE-RED-1.20-1BIT</v>
      </c>
      <c r="B200" s="165">
        <f>IFERROR(__xludf.DUMMYFUNCTION("""COMPUTED_VALUE"""),46085.0)</f>
        <v>46085</v>
      </c>
      <c r="C200" s="165" t="str">
        <f>IFERROR(__xludf.DUMMYFUNCTION("""COMPUTED_VALUE"""),"KERTASARI CIAMIS")</f>
        <v>KERTASARI CIAMIS</v>
      </c>
      <c r="D200" s="94">
        <f>IFERROR(__xludf.DUMMYFUNCTION("""COMPUTED_VALUE"""),20.0)</f>
        <v>20</v>
      </c>
    </row>
    <row r="201">
      <c r="A201" s="87" t="str">
        <f>IFERROR(__xludf.DUMMYFUNCTION("""COMPUTED_VALUE"""),"ITBISA-7SEGMENT-CATHODE-RED-1.20-1BIT")</f>
        <v>ITBISA-7SEGMENT-CATHODE-RED-1.20-1BIT</v>
      </c>
      <c r="B201" s="165">
        <f>IFERROR(__xludf.DUMMYFUNCTION("""COMPUTED_VALUE"""),46117.0)</f>
        <v>46117</v>
      </c>
      <c r="C201" s="165" t="str">
        <f>IFERROR(__xludf.DUMMYFUNCTION("""COMPUTED_VALUE"""),"KYAI KONTONG")</f>
        <v>KYAI KONTONG</v>
      </c>
      <c r="D201" s="94">
        <f>IFERROR(__xludf.DUMMYFUNCTION("""COMPUTED_VALUE"""),1.0)</f>
        <v>1</v>
      </c>
    </row>
    <row r="202">
      <c r="A202" s="87" t="str">
        <f>IFERROR(__xludf.DUMMYFUNCTION("""COMPUTED_VALUE"""),"ITBISA-7SEGMENT-CATHODE-RED-1.20-1BIT")</f>
        <v>ITBISA-7SEGMENT-CATHODE-RED-1.20-1BIT</v>
      </c>
      <c r="B202" s="165">
        <f>IFERROR(__xludf.DUMMYFUNCTION("""COMPUTED_VALUE"""),46123.0)</f>
        <v>46123</v>
      </c>
      <c r="C202" s="165" t="str">
        <f>IFERROR(__xludf.DUMMYFUNCTION("""COMPUTED_VALUE"""),"KYAI KONTONG")</f>
        <v>KYAI KONTONG</v>
      </c>
      <c r="D202" s="94">
        <f>IFERROR(__xludf.DUMMYFUNCTION("""COMPUTED_VALUE"""),1.0)</f>
        <v>1</v>
      </c>
    </row>
    <row r="203">
      <c r="A203" s="87" t="str">
        <f>IFERROR(__xludf.DUMMYFUNCTION("""COMPUTED_VALUE"""),"ITBISA-7SEGMENT-CATHODE-RED-1.20-1BIT")</f>
        <v>ITBISA-7SEGMENT-CATHODE-RED-1.20-1BIT</v>
      </c>
      <c r="B203" s="165">
        <f>IFERROR(__xludf.DUMMYFUNCTION("""COMPUTED_VALUE"""),46131.0)</f>
        <v>46131</v>
      </c>
      <c r="C203" s="165" t="str">
        <f>IFERROR(__xludf.DUMMYFUNCTION("""COMPUTED_VALUE"""),"KYAI KONTONG")</f>
        <v>KYAI KONTONG</v>
      </c>
      <c r="D203" s="94">
        <f>IFERROR(__xludf.DUMMYFUNCTION("""COMPUTED_VALUE"""),1.0)</f>
        <v>1</v>
      </c>
    </row>
    <row r="204">
      <c r="A204" s="87" t="str">
        <f>IFERROR(__xludf.DUMMYFUNCTION("""COMPUTED_VALUE"""),"ITBISA-7SEGMENT-CATHODE-RED-1.20-1BIT")</f>
        <v>ITBISA-7SEGMENT-CATHODE-RED-1.20-1BIT</v>
      </c>
      <c r="B204" s="165">
        <f>IFERROR(__xludf.DUMMYFUNCTION("""COMPUTED_VALUE"""),46147.0)</f>
        <v>46147</v>
      </c>
      <c r="C204" s="165" t="str">
        <f>IFERROR(__xludf.DUMMYFUNCTION("""COMPUTED_VALUE"""),"KYAI KONTONG")</f>
        <v>KYAI KONTONG</v>
      </c>
      <c r="D204" s="94">
        <f>IFERROR(__xludf.DUMMYFUNCTION("""COMPUTED_VALUE"""),2.0)</f>
        <v>2</v>
      </c>
    </row>
    <row r="205">
      <c r="A205" s="87" t="str">
        <f>IFERROR(__xludf.DUMMYFUNCTION("""COMPUTED_VALUE"""),"ITBISA-7SEGMENT-CATHODE-RED-1.20-1BIT")</f>
        <v>ITBISA-7SEGMENT-CATHODE-RED-1.20-1BIT</v>
      </c>
      <c r="B205" s="165">
        <f>IFERROR(__xludf.DUMMYFUNCTION("""COMPUTED_VALUE"""),46147.0)</f>
        <v>46147</v>
      </c>
      <c r="C205" s="165" t="str">
        <f>IFERROR(__xludf.DUMMYFUNCTION("""COMPUTED_VALUE"""),"KYAI KONTONG")</f>
        <v>KYAI KONTONG</v>
      </c>
      <c r="D205" s="94">
        <f>IFERROR(__xludf.DUMMYFUNCTION("""COMPUTED_VALUE"""),10.0)</f>
        <v>10</v>
      </c>
    </row>
    <row r="206">
      <c r="A206" s="87" t="str">
        <f>IFERROR(__xludf.DUMMYFUNCTION("""COMPUTED_VALUE"""),"ITBISA-7SEGMENT-CATHODE-RED-1.20-1BIT")</f>
        <v>ITBISA-7SEGMENT-CATHODE-RED-1.20-1BIT</v>
      </c>
      <c r="B206" s="165">
        <f>IFERROR(__xludf.DUMMYFUNCTION("""COMPUTED_VALUE"""),46148.0)</f>
        <v>46148</v>
      </c>
      <c r="C206" s="165" t="str">
        <f>IFERROR(__xludf.DUMMYFUNCTION("""COMPUTED_VALUE"""),"KYAI KONTONG")</f>
        <v>KYAI KONTONG</v>
      </c>
      <c r="D206" s="94">
        <f>IFERROR(__xludf.DUMMYFUNCTION("""COMPUTED_VALUE"""),1.0)</f>
        <v>1</v>
      </c>
    </row>
    <row r="207">
      <c r="A207" s="87" t="str">
        <f>IFERROR(__xludf.DUMMYFUNCTION("""COMPUTED_VALUE"""),"ITBISA-7SEGMENT-CATHODE-RED-1.20-1BIT")</f>
        <v>ITBISA-7SEGMENT-CATHODE-RED-1.20-1BIT</v>
      </c>
      <c r="B207" s="165">
        <f>IFERROR(__xludf.DUMMYFUNCTION("""COMPUTED_VALUE"""),46151.0)</f>
        <v>46151</v>
      </c>
      <c r="C207" s="165" t="str">
        <f>IFERROR(__xludf.DUMMYFUNCTION("""COMPUTED_VALUE"""),"KYAI KONTONG")</f>
        <v>KYAI KONTONG</v>
      </c>
      <c r="D207" s="94">
        <f>IFERROR(__xludf.DUMMYFUNCTION("""COMPUTED_VALUE"""),12.0)</f>
        <v>12</v>
      </c>
    </row>
    <row r="208">
      <c r="A208" s="87" t="str">
        <f>IFERROR(__xludf.DUMMYFUNCTION("""COMPUTED_VALUE"""),"ITBISA-7SEGMENT-CATHODE-RED-1.20-1BIT")</f>
        <v>ITBISA-7SEGMENT-CATHODE-RED-1.20-1BIT</v>
      </c>
      <c r="B208" s="165">
        <f>IFERROR(__xludf.DUMMYFUNCTION("""COMPUTED_VALUE"""),46152.0)</f>
        <v>46152</v>
      </c>
      <c r="C208" s="165" t="str">
        <f>IFERROR(__xludf.DUMMYFUNCTION("""COMPUTED_VALUE"""),"KYAI KONTONG")</f>
        <v>KYAI KONTONG</v>
      </c>
      <c r="D208" s="94">
        <f>IFERROR(__xludf.DUMMYFUNCTION("""COMPUTED_VALUE"""),10.0)</f>
        <v>10</v>
      </c>
    </row>
    <row r="209">
      <c r="A209" s="87" t="str">
        <f>IFERROR(__xludf.DUMMYFUNCTION("""COMPUTED_VALUE"""),"ITBISA-7SEGMENT-CATHODE-RED-1.20-1BIT")</f>
        <v>ITBISA-7SEGMENT-CATHODE-RED-1.20-1BIT</v>
      </c>
      <c r="B209" s="165">
        <f>IFERROR(__xludf.DUMMYFUNCTION("""COMPUTED_VALUE"""),46154.0)</f>
        <v>46154</v>
      </c>
      <c r="C209" s="165" t="str">
        <f>IFERROR(__xludf.DUMMYFUNCTION("""COMPUTED_VALUE"""),"KYAI KONTONG")</f>
        <v>KYAI KONTONG</v>
      </c>
      <c r="D209" s="94">
        <f>IFERROR(__xludf.DUMMYFUNCTION("""COMPUTED_VALUE"""),8.0)</f>
        <v>8</v>
      </c>
    </row>
    <row r="210">
      <c r="A210" s="87" t="str">
        <f>IFERROR(__xludf.DUMMYFUNCTION("""COMPUTED_VALUE"""),"ITBISA-7SEGMENT-CATHODE-RED-1.20-1BIT")</f>
        <v>ITBISA-7SEGMENT-CATHODE-RED-1.20-1BIT</v>
      </c>
      <c r="B210" s="165">
        <f>IFERROR(__xludf.DUMMYFUNCTION("""COMPUTED_VALUE"""),46154.0)</f>
        <v>46154</v>
      </c>
      <c r="C210" s="165" t="str">
        <f>IFERROR(__xludf.DUMMYFUNCTION("""COMPUTED_VALUE"""),"KYAI KONTONG")</f>
        <v>KYAI KONTONG</v>
      </c>
      <c r="D210" s="94">
        <f>IFERROR(__xludf.DUMMYFUNCTION("""COMPUTED_VALUE"""),16.0)</f>
        <v>16</v>
      </c>
    </row>
    <row r="211">
      <c r="A211" s="87" t="str">
        <f>IFERROR(__xludf.DUMMYFUNCTION("""COMPUTED_VALUE"""),"ITBISA-7SEGMENT-CATHODE-RED-1.20-1BIT")</f>
        <v>ITBISA-7SEGMENT-CATHODE-RED-1.20-1BIT</v>
      </c>
      <c r="B211" s="165">
        <f>IFERROR(__xludf.DUMMYFUNCTION("""COMPUTED_VALUE"""),46156.0)</f>
        <v>46156</v>
      </c>
      <c r="C211" s="165" t="str">
        <f>IFERROR(__xludf.DUMMYFUNCTION("""COMPUTED_VALUE"""),"KYAI KONTONG")</f>
        <v>KYAI KONTONG</v>
      </c>
      <c r="D211" s="94">
        <f>IFERROR(__xludf.DUMMYFUNCTION("""COMPUTED_VALUE"""),2.0)</f>
        <v>2</v>
      </c>
    </row>
    <row r="212">
      <c r="A212" s="87" t="str">
        <f>IFERROR(__xludf.DUMMYFUNCTION("""COMPUTED_VALUE"""),"ITBISA-7SEGMENT-CATHODE-RED-1.20-1BIT")</f>
        <v>ITBISA-7SEGMENT-CATHODE-RED-1.20-1BIT</v>
      </c>
      <c r="B212" s="165">
        <f>IFERROR(__xludf.DUMMYFUNCTION("""COMPUTED_VALUE"""),46156.0)</f>
        <v>46156</v>
      </c>
      <c r="C212" s="165" t="str">
        <f>IFERROR(__xludf.DUMMYFUNCTION("""COMPUTED_VALUE"""),"KYAI KONTONG")</f>
        <v>KYAI KONTONG</v>
      </c>
      <c r="D212" s="94">
        <f>IFERROR(__xludf.DUMMYFUNCTION("""COMPUTED_VALUE"""),4.0)</f>
        <v>4</v>
      </c>
    </row>
    <row r="213">
      <c r="A213" s="87" t="str">
        <f>IFERROR(__xludf.DUMMYFUNCTION("""COMPUTED_VALUE"""),"ITBISA-7SEGMENT-CATHODE-RED-1.20-1BIT")</f>
        <v>ITBISA-7SEGMENT-CATHODE-RED-1.20-1BIT</v>
      </c>
      <c r="B213" s="165">
        <f>IFERROR(__xludf.DUMMYFUNCTION("""COMPUTED_VALUE"""),46157.0)</f>
        <v>46157</v>
      </c>
      <c r="C213" s="165" t="str">
        <f>IFERROR(__xludf.DUMMYFUNCTION("""COMPUTED_VALUE"""),"KYAI KONTONG")</f>
        <v>KYAI KONTONG</v>
      </c>
      <c r="D213" s="94">
        <f>IFERROR(__xludf.DUMMYFUNCTION("""COMPUTED_VALUE"""),30.0)</f>
        <v>30</v>
      </c>
    </row>
    <row r="214">
      <c r="A214" s="87" t="str">
        <f>IFERROR(__xludf.DUMMYFUNCTION("""COMPUTED_VALUE"""),"ITBISA-7SEGMENT-CATHODE-RED-1.20-1BIT")</f>
        <v>ITBISA-7SEGMENT-CATHODE-RED-1.20-1BIT</v>
      </c>
      <c r="B214" s="165">
        <f>IFERROR(__xludf.DUMMYFUNCTION("""COMPUTED_VALUE"""),46159.0)</f>
        <v>46159</v>
      </c>
      <c r="C214" s="165" t="str">
        <f>IFERROR(__xludf.DUMMYFUNCTION("""COMPUTED_VALUE"""),"KYAI KONTONG")</f>
        <v>KYAI KONTONG</v>
      </c>
      <c r="D214" s="94">
        <f>IFERROR(__xludf.DUMMYFUNCTION("""COMPUTED_VALUE"""),6.0)</f>
        <v>6</v>
      </c>
    </row>
    <row r="215">
      <c r="A215" s="87" t="str">
        <f>IFERROR(__xludf.DUMMYFUNCTION("""COMPUTED_VALUE"""),"ITBISA-7SEGMENT-CATHODE-RED-1.20-1BIT")</f>
        <v>ITBISA-7SEGMENT-CATHODE-RED-1.20-1BIT</v>
      </c>
      <c r="B215" s="165">
        <f>IFERROR(__xludf.DUMMYFUNCTION("""COMPUTED_VALUE"""),46166.0)</f>
        <v>46166</v>
      </c>
      <c r="C215" s="165" t="str">
        <f>IFERROR(__xludf.DUMMYFUNCTION("""COMPUTED_VALUE"""),"KYAI KONTONG")</f>
        <v>KYAI KONTONG</v>
      </c>
      <c r="D215" s="94">
        <f>IFERROR(__xludf.DUMMYFUNCTION("""COMPUTED_VALUE"""),32.0)</f>
        <v>32</v>
      </c>
    </row>
    <row r="216">
      <c r="A216" s="87" t="str">
        <f>IFERROR(__xludf.DUMMYFUNCTION("""COMPUTED_VALUE"""),"ITBISA-7SEGMENT-CATHODE-RED-1.20-1BIT")</f>
        <v>ITBISA-7SEGMENT-CATHODE-RED-1.20-1BIT</v>
      </c>
      <c r="B216" s="165">
        <f>IFERROR(__xludf.DUMMYFUNCTION("""COMPUTED_VALUE"""),46167.0)</f>
        <v>46167</v>
      </c>
      <c r="C216" s="165" t="str">
        <f>IFERROR(__xludf.DUMMYFUNCTION("""COMPUTED_VALUE"""),"KYAI KONTONG")</f>
        <v>KYAI KONTONG</v>
      </c>
      <c r="D216" s="94">
        <f>IFERROR(__xludf.DUMMYFUNCTION("""COMPUTED_VALUE"""),5.0)</f>
        <v>5</v>
      </c>
    </row>
    <row r="217">
      <c r="A217" s="87" t="str">
        <f>IFERROR(__xludf.DUMMYFUNCTION("""COMPUTED_VALUE"""),"ITBISA-7SEGMENT-CATHODE-RED-1.20-1BIT")</f>
        <v>ITBISA-7SEGMENT-CATHODE-RED-1.20-1BIT</v>
      </c>
      <c r="B217" s="165">
        <f>IFERROR(__xludf.DUMMYFUNCTION("""COMPUTED_VALUE"""),46167.0)</f>
        <v>46167</v>
      </c>
      <c r="C217" s="165" t="str">
        <f>IFERROR(__xludf.DUMMYFUNCTION("""COMPUTED_VALUE"""),"KYAI KONTONG")</f>
        <v>KYAI KONTONG</v>
      </c>
      <c r="D217" s="94">
        <f>IFERROR(__xludf.DUMMYFUNCTION("""COMPUTED_VALUE"""),20.0)</f>
        <v>20</v>
      </c>
    </row>
    <row r="218">
      <c r="A218" s="87" t="str">
        <f>IFERROR(__xludf.DUMMYFUNCTION("""COMPUTED_VALUE"""),"ITBISA-7SEGMENT-CATHODE-RED-1.20-1BIT")</f>
        <v>ITBISA-7SEGMENT-CATHODE-RED-1.20-1BIT</v>
      </c>
      <c r="B218" s="165">
        <f>IFERROR(__xludf.DUMMYFUNCTION("""COMPUTED_VALUE"""),46176.0)</f>
        <v>46176</v>
      </c>
      <c r="C218" s="165" t="str">
        <f>IFERROR(__xludf.DUMMYFUNCTION("""COMPUTED_VALUE"""),"KYAI KONTONG")</f>
        <v>KYAI KONTONG</v>
      </c>
      <c r="D218" s="94">
        <f>IFERROR(__xludf.DUMMYFUNCTION("""COMPUTED_VALUE"""),12.0)</f>
        <v>12</v>
      </c>
    </row>
    <row r="219">
      <c r="A219" s="87" t="str">
        <f>IFERROR(__xludf.DUMMYFUNCTION("""COMPUTED_VALUE"""),"ITBISA-7SEGMENT-CATHODE-RED-2.30-1BIT")</f>
        <v>ITBISA-7SEGMENT-CATHODE-RED-2.30-1BIT</v>
      </c>
      <c r="B219" s="165">
        <f>IFERROR(__xludf.DUMMYFUNCTION("""COMPUTED_VALUE"""),46025.0)</f>
        <v>46025</v>
      </c>
      <c r="C219" s="165" t="str">
        <f>IFERROR(__xludf.DUMMYFUNCTION("""COMPUTED_VALUE"""),"KYAI KONTONG")</f>
        <v>KYAI KONTONG</v>
      </c>
      <c r="D219" s="94">
        <f>IFERROR(__xludf.DUMMYFUNCTION("""COMPUTED_VALUE"""),2.0)</f>
        <v>2</v>
      </c>
    </row>
    <row r="220">
      <c r="A220" s="87" t="str">
        <f>IFERROR(__xludf.DUMMYFUNCTION("""COMPUTED_VALUE"""),"ITBISA-7SEGMENT-CATHODE-RED-2.30-1BIT")</f>
        <v>ITBISA-7SEGMENT-CATHODE-RED-2.30-1BIT</v>
      </c>
      <c r="B220" s="165">
        <f>IFERROR(__xludf.DUMMYFUNCTION("""COMPUTED_VALUE"""),46034.0)</f>
        <v>46034</v>
      </c>
      <c r="C220" s="165" t="str">
        <f>IFERROR(__xludf.DUMMYFUNCTION("""COMPUTED_VALUE"""),"KYAI KONTONG")</f>
        <v>KYAI KONTONG</v>
      </c>
      <c r="D220" s="94">
        <f>IFERROR(__xludf.DUMMYFUNCTION("""COMPUTED_VALUE"""),2.0)</f>
        <v>2</v>
      </c>
    </row>
    <row r="221">
      <c r="A221" s="87" t="str">
        <f>IFERROR(__xludf.DUMMYFUNCTION("""COMPUTED_VALUE"""),"ITBISA-7SEGMENT-CATHODE-RED-2.30-1BIT")</f>
        <v>ITBISA-7SEGMENT-CATHODE-RED-2.30-1BIT</v>
      </c>
      <c r="B221" s="165">
        <f>IFERROR(__xludf.DUMMYFUNCTION("""COMPUTED_VALUE"""),46041.0)</f>
        <v>46041</v>
      </c>
      <c r="C221" s="165" t="str">
        <f>IFERROR(__xludf.DUMMYFUNCTION("""COMPUTED_VALUE"""),"KYAI KONTONG")</f>
        <v>KYAI KONTONG</v>
      </c>
      <c r="D221" s="94">
        <f>IFERROR(__xludf.DUMMYFUNCTION("""COMPUTED_VALUE"""),4.0)</f>
        <v>4</v>
      </c>
    </row>
    <row r="222">
      <c r="A222" s="87" t="str">
        <f>IFERROR(__xludf.DUMMYFUNCTION("""COMPUTED_VALUE"""),"ITBISA-7SEGMENT-CATHODE-RED-2.30-1BIT")</f>
        <v>ITBISA-7SEGMENT-CATHODE-RED-2.30-1BIT</v>
      </c>
      <c r="B222" s="165">
        <f>IFERROR(__xludf.DUMMYFUNCTION("""COMPUTED_VALUE"""),46042.0)</f>
        <v>46042</v>
      </c>
      <c r="C222" s="165" t="str">
        <f>IFERROR(__xludf.DUMMYFUNCTION("""COMPUTED_VALUE"""),"KYAI KONTONG")</f>
        <v>KYAI KONTONG</v>
      </c>
      <c r="D222" s="94">
        <f>IFERROR(__xludf.DUMMYFUNCTION("""COMPUTED_VALUE"""),2.0)</f>
        <v>2</v>
      </c>
    </row>
    <row r="223">
      <c r="A223" s="87" t="str">
        <f>IFERROR(__xludf.DUMMYFUNCTION("""COMPUTED_VALUE"""),"ITBISA-7SEGMENT-CATHODE-RED-2.30-1BIT")</f>
        <v>ITBISA-7SEGMENT-CATHODE-RED-2.30-1BIT</v>
      </c>
      <c r="B223" s="165">
        <f>IFERROR(__xludf.DUMMYFUNCTION("""COMPUTED_VALUE"""),46045.0)</f>
        <v>46045</v>
      </c>
      <c r="C223" s="165" t="str">
        <f>IFERROR(__xludf.DUMMYFUNCTION("""COMPUTED_VALUE"""),"KYAI KONTONG")</f>
        <v>KYAI KONTONG</v>
      </c>
      <c r="D223" s="94">
        <f>IFERROR(__xludf.DUMMYFUNCTION("""COMPUTED_VALUE"""),2.0)</f>
        <v>2</v>
      </c>
    </row>
    <row r="224">
      <c r="A224" s="87" t="str">
        <f>IFERROR(__xludf.DUMMYFUNCTION("""COMPUTED_VALUE"""),"ITBISA-7SEGMENT-CATHODE-RED-2.30-1BIT")</f>
        <v>ITBISA-7SEGMENT-CATHODE-RED-2.30-1BIT</v>
      </c>
      <c r="B224" s="165">
        <f>IFERROR(__xludf.DUMMYFUNCTION("""COMPUTED_VALUE"""),46046.0)</f>
        <v>46046</v>
      </c>
      <c r="C224" s="165" t="str">
        <f>IFERROR(__xludf.DUMMYFUNCTION("""COMPUTED_VALUE"""),"KYAI KONTONG")</f>
        <v>KYAI KONTONG</v>
      </c>
      <c r="D224" s="94">
        <f>IFERROR(__xludf.DUMMYFUNCTION("""COMPUTED_VALUE"""),1.0)</f>
        <v>1</v>
      </c>
    </row>
    <row r="225">
      <c r="A225" s="87" t="str">
        <f>IFERROR(__xludf.DUMMYFUNCTION("""COMPUTED_VALUE"""),"ITBISA-7SEGMENT-CATHODE-RED-2.30-1BIT")</f>
        <v>ITBISA-7SEGMENT-CATHODE-RED-2.30-1BIT</v>
      </c>
      <c r="B225" s="165">
        <f>IFERROR(__xludf.DUMMYFUNCTION("""COMPUTED_VALUE"""),46051.0)</f>
        <v>46051</v>
      </c>
      <c r="C225" s="165" t="str">
        <f>IFERROR(__xludf.DUMMYFUNCTION("""COMPUTED_VALUE"""),"KYAI KONTONG")</f>
        <v>KYAI KONTONG</v>
      </c>
      <c r="D225" s="94">
        <f>IFERROR(__xludf.DUMMYFUNCTION("""COMPUTED_VALUE"""),1.0)</f>
        <v>1</v>
      </c>
    </row>
    <row r="226">
      <c r="A226" s="87" t="str">
        <f>IFERROR(__xludf.DUMMYFUNCTION("""COMPUTED_VALUE"""),"ITBISA-7SEGMENT-CATHODE-RED-2.30-1BIT")</f>
        <v>ITBISA-7SEGMENT-CATHODE-RED-2.30-1BIT</v>
      </c>
      <c r="B226" s="165">
        <f>IFERROR(__xludf.DUMMYFUNCTION("""COMPUTED_VALUE"""),46055.0)</f>
        <v>46055</v>
      </c>
      <c r="C226" s="165" t="str">
        <f>IFERROR(__xludf.DUMMYFUNCTION("""COMPUTED_VALUE"""),"KYAI KONTONG")</f>
        <v>KYAI KONTONG</v>
      </c>
      <c r="D226" s="94">
        <f>IFERROR(__xludf.DUMMYFUNCTION("""COMPUTED_VALUE"""),1.0)</f>
        <v>1</v>
      </c>
    </row>
    <row r="227">
      <c r="A227" s="87" t="str">
        <f>IFERROR(__xludf.DUMMYFUNCTION("""COMPUTED_VALUE"""),"ITBISA-7SEGMENT-CATHODE-RED-2.30-1BIT")</f>
        <v>ITBISA-7SEGMENT-CATHODE-RED-2.30-1BIT</v>
      </c>
      <c r="B227" s="165">
        <f>IFERROR(__xludf.DUMMYFUNCTION("""COMPUTED_VALUE"""),46055.0)</f>
        <v>46055</v>
      </c>
      <c r="C227" s="165" t="str">
        <f>IFERROR(__xludf.DUMMYFUNCTION("""COMPUTED_VALUE"""),"KYAI KONTONG")</f>
        <v>KYAI KONTONG</v>
      </c>
      <c r="D227" s="94">
        <f>IFERROR(__xludf.DUMMYFUNCTION("""COMPUTED_VALUE"""),2.0)</f>
        <v>2</v>
      </c>
    </row>
    <row r="228">
      <c r="A228" s="87" t="str">
        <f>IFERROR(__xludf.DUMMYFUNCTION("""COMPUTED_VALUE"""),"ITBISA-7SEGMENT-CATHODE-RED-2.30-1BIT")</f>
        <v>ITBISA-7SEGMENT-CATHODE-RED-2.30-1BIT</v>
      </c>
      <c r="B228" s="165">
        <f>IFERROR(__xludf.DUMMYFUNCTION("""COMPUTED_VALUE"""),46058.0)</f>
        <v>46058</v>
      </c>
      <c r="C228" s="165" t="str">
        <f>IFERROR(__xludf.DUMMYFUNCTION("""COMPUTED_VALUE"""),"KYAI KONTONG")</f>
        <v>KYAI KONTONG</v>
      </c>
      <c r="D228" s="94">
        <f>IFERROR(__xludf.DUMMYFUNCTION("""COMPUTED_VALUE"""),2.0)</f>
        <v>2</v>
      </c>
    </row>
    <row r="229">
      <c r="A229" s="87" t="str">
        <f>IFERROR(__xludf.DUMMYFUNCTION("""COMPUTED_VALUE"""),"ITBISA-7SEGMENT-CATHODE-RED-2.30-1BIT")</f>
        <v>ITBISA-7SEGMENT-CATHODE-RED-2.30-1BIT</v>
      </c>
      <c r="B229" s="165">
        <f>IFERROR(__xludf.DUMMYFUNCTION("""COMPUTED_VALUE"""),46061.0)</f>
        <v>46061</v>
      </c>
      <c r="C229" s="165" t="str">
        <f>IFERROR(__xludf.DUMMYFUNCTION("""COMPUTED_VALUE"""),"KERTASARI CIAMIS")</f>
        <v>KERTASARI CIAMIS</v>
      </c>
      <c r="D229" s="94">
        <f>IFERROR(__xludf.DUMMYFUNCTION("""COMPUTED_VALUE"""),6.0)</f>
        <v>6</v>
      </c>
    </row>
    <row r="230">
      <c r="A230" s="87" t="str">
        <f>IFERROR(__xludf.DUMMYFUNCTION("""COMPUTED_VALUE"""),"ITBISA-7SEGMENT-CATHODE-RED-2.30-1BIT")</f>
        <v>ITBISA-7SEGMENT-CATHODE-RED-2.30-1BIT</v>
      </c>
      <c r="B230" s="165">
        <f>IFERROR(__xludf.DUMMYFUNCTION("""COMPUTED_VALUE"""),46078.0)</f>
        <v>46078</v>
      </c>
      <c r="C230" s="165" t="str">
        <f>IFERROR(__xludf.DUMMYFUNCTION("""COMPUTED_VALUE"""),"KYAI KONTONG")</f>
        <v>KYAI KONTONG</v>
      </c>
      <c r="D230" s="94">
        <f>IFERROR(__xludf.DUMMYFUNCTION("""COMPUTED_VALUE"""),2.0)</f>
        <v>2</v>
      </c>
    </row>
    <row r="231">
      <c r="A231" s="87" t="str">
        <f>IFERROR(__xludf.DUMMYFUNCTION("""COMPUTED_VALUE"""),"ITBISA-7SEGMENT-CATHODE-RED-2.30-1BIT")</f>
        <v>ITBISA-7SEGMENT-CATHODE-RED-2.30-1BIT</v>
      </c>
      <c r="B231" s="165">
        <f>IFERROR(__xludf.DUMMYFUNCTION("""COMPUTED_VALUE"""),46078.0)</f>
        <v>46078</v>
      </c>
      <c r="C231" s="165" t="str">
        <f>IFERROR(__xludf.DUMMYFUNCTION("""COMPUTED_VALUE"""),"KYAI KONTONG")</f>
        <v>KYAI KONTONG</v>
      </c>
      <c r="D231" s="94">
        <f>IFERROR(__xludf.DUMMYFUNCTION("""COMPUTED_VALUE"""),2.0)</f>
        <v>2</v>
      </c>
    </row>
    <row r="232">
      <c r="A232" s="87" t="str">
        <f>IFERROR(__xludf.DUMMYFUNCTION("""COMPUTED_VALUE"""),"ITBISA-7SEGMENT-CATHODE-RED-2.30-1BIT")</f>
        <v>ITBISA-7SEGMENT-CATHODE-RED-2.30-1BIT</v>
      </c>
      <c r="B232" s="165">
        <f>IFERROR(__xludf.DUMMYFUNCTION("""COMPUTED_VALUE"""),46085.0)</f>
        <v>46085</v>
      </c>
      <c r="C232" s="165" t="str">
        <f>IFERROR(__xludf.DUMMYFUNCTION("""COMPUTED_VALUE"""),"KYAI KONTONG")</f>
        <v>KYAI KONTONG</v>
      </c>
      <c r="D232" s="94">
        <f>IFERROR(__xludf.DUMMYFUNCTION("""COMPUTED_VALUE"""),4.0)</f>
        <v>4</v>
      </c>
    </row>
    <row r="233">
      <c r="A233" s="87" t="str">
        <f>IFERROR(__xludf.DUMMYFUNCTION("""COMPUTED_VALUE"""),"ITBISA-7SEGMENT-CATHODE-RED-2.30-1BIT")</f>
        <v>ITBISA-7SEGMENT-CATHODE-RED-2.30-1BIT</v>
      </c>
      <c r="B233" s="165">
        <f>IFERROR(__xludf.DUMMYFUNCTION("""COMPUTED_VALUE"""),46087.0)</f>
        <v>46087</v>
      </c>
      <c r="C233" s="165" t="str">
        <f>IFERROR(__xludf.DUMMYFUNCTION("""COMPUTED_VALUE"""),"KYAI KONTONG")</f>
        <v>KYAI KONTONG</v>
      </c>
      <c r="D233" s="94">
        <f>IFERROR(__xludf.DUMMYFUNCTION("""COMPUTED_VALUE"""),2.0)</f>
        <v>2</v>
      </c>
    </row>
    <row r="234">
      <c r="A234" s="87" t="str">
        <f>IFERROR(__xludf.DUMMYFUNCTION("""COMPUTED_VALUE"""),"ITBISA-7SEGMENT-CATHODE-RED-2.30-1BIT")</f>
        <v>ITBISA-7SEGMENT-CATHODE-RED-2.30-1BIT</v>
      </c>
      <c r="B234" s="165">
        <f>IFERROR(__xludf.DUMMYFUNCTION("""COMPUTED_VALUE"""),46092.0)</f>
        <v>46092</v>
      </c>
      <c r="C234" s="165" t="str">
        <f>IFERROR(__xludf.DUMMYFUNCTION("""COMPUTED_VALUE"""),"KYAI KONTONG")</f>
        <v>KYAI KONTONG</v>
      </c>
      <c r="D234" s="94">
        <f>IFERROR(__xludf.DUMMYFUNCTION("""COMPUTED_VALUE"""),2.0)</f>
        <v>2</v>
      </c>
    </row>
    <row r="235">
      <c r="A235" s="87" t="str">
        <f>IFERROR(__xludf.DUMMYFUNCTION("""COMPUTED_VALUE"""),"ITBISA-7SEGMENT-CATHODE-RED-2.30-1BIT")</f>
        <v>ITBISA-7SEGMENT-CATHODE-RED-2.30-1BIT</v>
      </c>
      <c r="B235" s="165">
        <f>IFERROR(__xludf.DUMMYFUNCTION("""COMPUTED_VALUE"""),46092.0)</f>
        <v>46092</v>
      </c>
      <c r="C235" s="165" t="str">
        <f>IFERROR(__xludf.DUMMYFUNCTION("""COMPUTED_VALUE"""),"KYAI KONTONG")</f>
        <v>KYAI KONTONG</v>
      </c>
      <c r="D235" s="94">
        <f>IFERROR(__xludf.DUMMYFUNCTION("""COMPUTED_VALUE"""),2.0)</f>
        <v>2</v>
      </c>
    </row>
    <row r="236">
      <c r="A236" s="87" t="str">
        <f>IFERROR(__xludf.DUMMYFUNCTION("""COMPUTED_VALUE"""),"ITBISA-7SEGMENT-CATHODE-RED-2.30-1BIT")</f>
        <v>ITBISA-7SEGMENT-CATHODE-RED-2.30-1BIT</v>
      </c>
      <c r="B236" s="165">
        <f>IFERROR(__xludf.DUMMYFUNCTION("""COMPUTED_VALUE"""),46092.0)</f>
        <v>46092</v>
      </c>
      <c r="C236" s="165" t="str">
        <f>IFERROR(__xludf.DUMMYFUNCTION("""COMPUTED_VALUE"""),"KYAI KONTONG")</f>
        <v>KYAI KONTONG</v>
      </c>
      <c r="D236" s="94">
        <f>IFERROR(__xludf.DUMMYFUNCTION("""COMPUTED_VALUE"""),2.0)</f>
        <v>2</v>
      </c>
    </row>
    <row r="237">
      <c r="A237" s="87" t="str">
        <f>IFERROR(__xludf.DUMMYFUNCTION("""COMPUTED_VALUE"""),"ITBISA-7SEGMENT-CATHODE-RED-2.30-1BIT")</f>
        <v>ITBISA-7SEGMENT-CATHODE-RED-2.30-1BIT</v>
      </c>
      <c r="B237" s="165">
        <f>IFERROR(__xludf.DUMMYFUNCTION("""COMPUTED_VALUE"""),46094.0)</f>
        <v>46094</v>
      </c>
      <c r="C237" s="165" t="str">
        <f>IFERROR(__xludf.DUMMYFUNCTION("""COMPUTED_VALUE"""),"KYAI KONTONG")</f>
        <v>KYAI KONTONG</v>
      </c>
      <c r="D237" s="94">
        <f>IFERROR(__xludf.DUMMYFUNCTION("""COMPUTED_VALUE"""),2.0)</f>
        <v>2</v>
      </c>
    </row>
    <row r="238">
      <c r="A238" s="87" t="str">
        <f>IFERROR(__xludf.DUMMYFUNCTION("""COMPUTED_VALUE"""),"ITBISA-7SEGMENT-CATHODE-RED-2.30-1BIT")</f>
        <v>ITBISA-7SEGMENT-CATHODE-RED-2.30-1BIT</v>
      </c>
      <c r="B238" s="165">
        <f>IFERROR(__xludf.DUMMYFUNCTION("""COMPUTED_VALUE"""),46095.0)</f>
        <v>46095</v>
      </c>
      <c r="C238" s="165" t="str">
        <f>IFERROR(__xludf.DUMMYFUNCTION("""COMPUTED_VALUE"""),"KYAI KONTONG")</f>
        <v>KYAI KONTONG</v>
      </c>
      <c r="D238" s="94">
        <f>IFERROR(__xludf.DUMMYFUNCTION("""COMPUTED_VALUE"""),1.0)</f>
        <v>1</v>
      </c>
    </row>
    <row r="239">
      <c r="A239" s="87" t="str">
        <f>IFERROR(__xludf.DUMMYFUNCTION("""COMPUTED_VALUE"""),"ITBISA-7SEGMENT-CATHODE-RED-2.30-1BIT")</f>
        <v>ITBISA-7SEGMENT-CATHODE-RED-2.30-1BIT</v>
      </c>
      <c r="B239" s="165">
        <f>IFERROR(__xludf.DUMMYFUNCTION("""COMPUTED_VALUE"""),46099.0)</f>
        <v>46099</v>
      </c>
      <c r="C239" s="165" t="str">
        <f>IFERROR(__xludf.DUMMYFUNCTION("""COMPUTED_VALUE"""),"KYAI KONTONG")</f>
        <v>KYAI KONTONG</v>
      </c>
      <c r="D239" s="94">
        <f>IFERROR(__xludf.DUMMYFUNCTION("""COMPUTED_VALUE"""),2.0)</f>
        <v>2</v>
      </c>
    </row>
    <row r="240">
      <c r="A240" s="87" t="str">
        <f>IFERROR(__xludf.DUMMYFUNCTION("""COMPUTED_VALUE"""),"ITBISA-7SEGMENT-CATHODE-RED-2.30-1BIT")</f>
        <v>ITBISA-7SEGMENT-CATHODE-RED-2.30-1BIT</v>
      </c>
      <c r="B240" s="165">
        <f>IFERROR(__xludf.DUMMYFUNCTION("""COMPUTED_VALUE"""),46114.0)</f>
        <v>46114</v>
      </c>
      <c r="C240" s="165" t="str">
        <f>IFERROR(__xludf.DUMMYFUNCTION("""COMPUTED_VALUE"""),"KYAI KONTONG")</f>
        <v>KYAI KONTONG</v>
      </c>
      <c r="D240" s="94">
        <f>IFERROR(__xludf.DUMMYFUNCTION("""COMPUTED_VALUE"""),2.0)</f>
        <v>2</v>
      </c>
    </row>
    <row r="241">
      <c r="A241" s="87" t="str">
        <f>IFERROR(__xludf.DUMMYFUNCTION("""COMPUTED_VALUE"""),"ITBISA-7SEGMENT-CATHODE-RED-2.30-1BIT")</f>
        <v>ITBISA-7SEGMENT-CATHODE-RED-2.30-1BIT</v>
      </c>
      <c r="B241" s="165">
        <f>IFERROR(__xludf.DUMMYFUNCTION("""COMPUTED_VALUE"""),46115.0)</f>
        <v>46115</v>
      </c>
      <c r="C241" s="165" t="str">
        <f>IFERROR(__xludf.DUMMYFUNCTION("""COMPUTED_VALUE"""),"KYAI KONTONG")</f>
        <v>KYAI KONTONG</v>
      </c>
      <c r="D241" s="94">
        <f>IFERROR(__xludf.DUMMYFUNCTION("""COMPUTED_VALUE"""),4.0)</f>
        <v>4</v>
      </c>
    </row>
    <row r="242">
      <c r="A242" s="87" t="str">
        <f>IFERROR(__xludf.DUMMYFUNCTION("""COMPUTED_VALUE"""),"ITBISA-7SEGMENT-CATHODE-RED-2.30-1BIT")</f>
        <v>ITBISA-7SEGMENT-CATHODE-RED-2.30-1BIT</v>
      </c>
      <c r="B242" s="165">
        <f>IFERROR(__xludf.DUMMYFUNCTION("""COMPUTED_VALUE"""),46131.0)</f>
        <v>46131</v>
      </c>
      <c r="C242" s="165" t="str">
        <f>IFERROR(__xludf.DUMMYFUNCTION("""COMPUTED_VALUE"""),"KYAI KONTONG")</f>
        <v>KYAI KONTONG</v>
      </c>
      <c r="D242" s="94">
        <f>IFERROR(__xludf.DUMMYFUNCTION("""COMPUTED_VALUE"""),2.0)</f>
        <v>2</v>
      </c>
    </row>
    <row r="243">
      <c r="A243" s="87" t="str">
        <f>IFERROR(__xludf.DUMMYFUNCTION("""COMPUTED_VALUE"""),"ITBISA-7SEGMENT-CATHODE-RED-2.30-1BIT")</f>
        <v>ITBISA-7SEGMENT-CATHODE-RED-2.30-1BIT</v>
      </c>
      <c r="B243" s="165">
        <f>IFERROR(__xludf.DUMMYFUNCTION("""COMPUTED_VALUE"""),46132.0)</f>
        <v>46132</v>
      </c>
      <c r="C243" s="165" t="str">
        <f>IFERROR(__xludf.DUMMYFUNCTION("""COMPUTED_VALUE"""),"KYAI KONTONG")</f>
        <v>KYAI KONTONG</v>
      </c>
      <c r="D243" s="94">
        <f>IFERROR(__xludf.DUMMYFUNCTION("""COMPUTED_VALUE"""),4.0)</f>
        <v>4</v>
      </c>
    </row>
    <row r="244">
      <c r="A244" s="87" t="str">
        <f>IFERROR(__xludf.DUMMYFUNCTION("""COMPUTED_VALUE"""),"ITBISA-7SEGMENT-CATHODE-RED-2.30-1BIT")</f>
        <v>ITBISA-7SEGMENT-CATHODE-RED-2.30-1BIT</v>
      </c>
      <c r="B244" s="165">
        <f>IFERROR(__xludf.DUMMYFUNCTION("""COMPUTED_VALUE"""),46132.0)</f>
        <v>46132</v>
      </c>
      <c r="C244" s="165" t="str">
        <f>IFERROR(__xludf.DUMMYFUNCTION("""COMPUTED_VALUE"""),"KYAI KONTONG")</f>
        <v>KYAI KONTONG</v>
      </c>
      <c r="D244" s="94">
        <f>IFERROR(__xludf.DUMMYFUNCTION("""COMPUTED_VALUE"""),10.0)</f>
        <v>10</v>
      </c>
    </row>
    <row r="245">
      <c r="A245" s="87" t="str">
        <f>IFERROR(__xludf.DUMMYFUNCTION("""COMPUTED_VALUE"""),"ITBISA-7SEGMENT-CATHODE-RED-2.30-1BIT")</f>
        <v>ITBISA-7SEGMENT-CATHODE-RED-2.30-1BIT</v>
      </c>
      <c r="B245" s="165">
        <f>IFERROR(__xludf.DUMMYFUNCTION("""COMPUTED_VALUE"""),46142.0)</f>
        <v>46142</v>
      </c>
      <c r="C245" s="165" t="str">
        <f>IFERROR(__xludf.DUMMYFUNCTION("""COMPUTED_VALUE"""),"KYAI KONTONG")</f>
        <v>KYAI KONTONG</v>
      </c>
      <c r="D245" s="94">
        <f>IFERROR(__xludf.DUMMYFUNCTION("""COMPUTED_VALUE"""),8.0)</f>
        <v>8</v>
      </c>
    </row>
    <row r="246">
      <c r="A246" s="87" t="str">
        <f>IFERROR(__xludf.DUMMYFUNCTION("""COMPUTED_VALUE"""),"ITBISA-7SEGMENT-CATHODE-RED-2.30-1BIT")</f>
        <v>ITBISA-7SEGMENT-CATHODE-RED-2.30-1BIT</v>
      </c>
      <c r="B246" s="165">
        <f>IFERROR(__xludf.DUMMYFUNCTION("""COMPUTED_VALUE"""),46143.0)</f>
        <v>46143</v>
      </c>
      <c r="C246" s="165" t="str">
        <f>IFERROR(__xludf.DUMMYFUNCTION("""COMPUTED_VALUE"""),"KYAI KONTONG")</f>
        <v>KYAI KONTONG</v>
      </c>
      <c r="D246" s="94">
        <f>IFERROR(__xludf.DUMMYFUNCTION("""COMPUTED_VALUE"""),1.0)</f>
        <v>1</v>
      </c>
    </row>
    <row r="247">
      <c r="A247" s="87" t="str">
        <f>IFERROR(__xludf.DUMMYFUNCTION("""COMPUTED_VALUE"""),"ITBISA-7SEGMENT-CATHODE-RED-2.30-1BIT")</f>
        <v>ITBISA-7SEGMENT-CATHODE-RED-2.30-1BIT</v>
      </c>
      <c r="B247" s="165">
        <f>IFERROR(__xludf.DUMMYFUNCTION("""COMPUTED_VALUE"""),46144.0)</f>
        <v>46144</v>
      </c>
      <c r="C247" s="165" t="str">
        <f>IFERROR(__xludf.DUMMYFUNCTION("""COMPUTED_VALUE"""),"KYAI KONTONG")</f>
        <v>KYAI KONTONG</v>
      </c>
      <c r="D247" s="94">
        <f>IFERROR(__xludf.DUMMYFUNCTION("""COMPUTED_VALUE"""),6.0)</f>
        <v>6</v>
      </c>
    </row>
    <row r="248">
      <c r="A248" s="87" t="str">
        <f>IFERROR(__xludf.DUMMYFUNCTION("""COMPUTED_VALUE"""),"ITBISA-7SEGMENT-CATHODE-RED-2.30-1BIT")</f>
        <v>ITBISA-7SEGMENT-CATHODE-RED-2.30-1BIT</v>
      </c>
      <c r="B248" s="165">
        <f>IFERROR(__xludf.DUMMYFUNCTION("""COMPUTED_VALUE"""),46151.0)</f>
        <v>46151</v>
      </c>
      <c r="C248" s="165" t="str">
        <f>IFERROR(__xludf.DUMMYFUNCTION("""COMPUTED_VALUE"""),"KYAI KONTONG")</f>
        <v>KYAI KONTONG</v>
      </c>
      <c r="D248" s="94">
        <f>IFERROR(__xludf.DUMMYFUNCTION("""COMPUTED_VALUE"""),6.0)</f>
        <v>6</v>
      </c>
    </row>
    <row r="249">
      <c r="A249" s="87" t="str">
        <f>IFERROR(__xludf.DUMMYFUNCTION("""COMPUTED_VALUE"""),"ITBISA-7SEGMENT-CATHODE-RED-2.30-1BIT")</f>
        <v>ITBISA-7SEGMENT-CATHODE-RED-2.30-1BIT</v>
      </c>
      <c r="B249" s="165">
        <f>IFERROR(__xludf.DUMMYFUNCTION("""COMPUTED_VALUE"""),46154.0)</f>
        <v>46154</v>
      </c>
      <c r="C249" s="165" t="str">
        <f>IFERROR(__xludf.DUMMYFUNCTION("""COMPUTED_VALUE"""),"KYAI KONTONG")</f>
        <v>KYAI KONTONG</v>
      </c>
      <c r="D249" s="94">
        <f>IFERROR(__xludf.DUMMYFUNCTION("""COMPUTED_VALUE"""),1.0)</f>
        <v>1</v>
      </c>
    </row>
    <row r="250">
      <c r="A250" s="87" t="str">
        <f>IFERROR(__xludf.DUMMYFUNCTION("""COMPUTED_VALUE"""),"ITBISA-7SEGMENT-CATHODE-RED-2.30-1BIT")</f>
        <v>ITBISA-7SEGMENT-CATHODE-RED-2.30-1BIT</v>
      </c>
      <c r="B250" s="165">
        <f>IFERROR(__xludf.DUMMYFUNCTION("""COMPUTED_VALUE"""),46158.0)</f>
        <v>46158</v>
      </c>
      <c r="C250" s="165" t="str">
        <f>IFERROR(__xludf.DUMMYFUNCTION("""COMPUTED_VALUE"""),"KYAI KONTONG")</f>
        <v>KYAI KONTONG</v>
      </c>
      <c r="D250" s="94">
        <f>IFERROR(__xludf.DUMMYFUNCTION("""COMPUTED_VALUE"""),3.0)</f>
        <v>3</v>
      </c>
    </row>
    <row r="251">
      <c r="A251" s="87" t="str">
        <f>IFERROR(__xludf.DUMMYFUNCTION("""COMPUTED_VALUE"""),"ITBISA-7SEGMENT-CATHODE-RED-2.30-1BIT")</f>
        <v>ITBISA-7SEGMENT-CATHODE-RED-2.30-1BIT</v>
      </c>
      <c r="B251" s="165">
        <f>IFERROR(__xludf.DUMMYFUNCTION("""COMPUTED_VALUE"""),46170.0)</f>
        <v>46170</v>
      </c>
      <c r="C251" s="165" t="str">
        <f>IFERROR(__xludf.DUMMYFUNCTION("""COMPUTED_VALUE"""),"KYAI KONTONG")</f>
        <v>KYAI KONTONG</v>
      </c>
      <c r="D251" s="94">
        <f>IFERROR(__xludf.DUMMYFUNCTION("""COMPUTED_VALUE"""),5.0)</f>
        <v>5</v>
      </c>
    </row>
    <row r="252">
      <c r="A252" s="87" t="str">
        <f>IFERROR(__xludf.DUMMYFUNCTION("""COMPUTED_VALUE"""),"ITBISA-7SEGMENT-CATHODE-RED-2.30-1BIT")</f>
        <v>ITBISA-7SEGMENT-CATHODE-RED-2.30-1BIT</v>
      </c>
      <c r="B252" s="165">
        <f>IFERROR(__xludf.DUMMYFUNCTION("""COMPUTED_VALUE"""),46179.0)</f>
        <v>46179</v>
      </c>
      <c r="C252" s="165" t="str">
        <f>IFERROR(__xludf.DUMMYFUNCTION("""COMPUTED_VALUE"""),"KYAI KONTONG")</f>
        <v>KYAI KONTONG</v>
      </c>
      <c r="D252" s="94">
        <f>IFERROR(__xludf.DUMMYFUNCTION("""COMPUTED_VALUE"""),2.0)</f>
        <v>2</v>
      </c>
    </row>
    <row r="253">
      <c r="A253" s="87" t="str">
        <f>IFERROR(__xludf.DUMMYFUNCTION("""COMPUTED_VALUE"""),"ITBISA-ABC-BATERAI-9V-POWER")</f>
        <v>ITBISA-ABC-BATERAI-9V-POWER</v>
      </c>
      <c r="B253" s="165">
        <f>IFERROR(__xludf.DUMMYFUNCTION("""COMPUTED_VALUE"""),45993.0)</f>
        <v>45993</v>
      </c>
      <c r="C253" s="165" t="str">
        <f>IFERROR(__xludf.DUMMYFUNCTION("""COMPUTED_VALUE"""),"KYAI KONTONG")</f>
        <v>KYAI KONTONG</v>
      </c>
      <c r="D253" s="94">
        <f>IFERROR(__xludf.DUMMYFUNCTION("""COMPUTED_VALUE"""),1.0)</f>
        <v>1</v>
      </c>
    </row>
    <row r="254">
      <c r="A254" s="87" t="str">
        <f>IFERROR(__xludf.DUMMYFUNCTION("""COMPUTED_VALUE"""),"ITBISA-ABC-BATERAI-9V-POWER")</f>
        <v>ITBISA-ABC-BATERAI-9V-POWER</v>
      </c>
      <c r="B254" s="165">
        <f>IFERROR(__xludf.DUMMYFUNCTION("""COMPUTED_VALUE"""),46025.0)</f>
        <v>46025</v>
      </c>
      <c r="C254" s="165" t="str">
        <f>IFERROR(__xludf.DUMMYFUNCTION("""COMPUTED_VALUE"""),"KERTASARI CIAMIS")</f>
        <v>KERTASARI CIAMIS</v>
      </c>
      <c r="D254" s="94">
        <f>IFERROR(__xludf.DUMMYFUNCTION("""COMPUTED_VALUE"""),1.0)</f>
        <v>1</v>
      </c>
    </row>
    <row r="255">
      <c r="A255" s="87" t="str">
        <f>IFERROR(__xludf.DUMMYFUNCTION("""COMPUTED_VALUE"""),"ITBISA-ABC-BATERAI-9V-POWER")</f>
        <v>ITBISA-ABC-BATERAI-9V-POWER</v>
      </c>
      <c r="B255" s="165">
        <f>IFERROR(__xludf.DUMMYFUNCTION("""COMPUTED_VALUE"""),46026.0)</f>
        <v>46026</v>
      </c>
      <c r="C255" s="165" t="str">
        <f>IFERROR(__xludf.DUMMYFUNCTION("""COMPUTED_VALUE"""),"KERTASARI CIAMIS")</f>
        <v>KERTASARI CIAMIS</v>
      </c>
      <c r="D255" s="94">
        <f>IFERROR(__xludf.DUMMYFUNCTION("""COMPUTED_VALUE"""),1.0)</f>
        <v>1</v>
      </c>
    </row>
    <row r="256">
      <c r="A256" s="87" t="str">
        <f>IFERROR(__xludf.DUMMYFUNCTION("""COMPUTED_VALUE"""),"ITBISA-ABC-BATERAI-9V-POWER")</f>
        <v>ITBISA-ABC-BATERAI-9V-POWER</v>
      </c>
      <c r="B256" s="165">
        <f>IFERROR(__xludf.DUMMYFUNCTION("""COMPUTED_VALUE"""),46054.0)</f>
        <v>46054</v>
      </c>
      <c r="C256" s="165" t="str">
        <f>IFERROR(__xludf.DUMMYFUNCTION("""COMPUTED_VALUE"""),"KYAI KONTONG")</f>
        <v>KYAI KONTONG</v>
      </c>
      <c r="D256" s="94">
        <f>IFERROR(__xludf.DUMMYFUNCTION("""COMPUTED_VALUE"""),1.0)</f>
        <v>1</v>
      </c>
    </row>
    <row r="257">
      <c r="A257" s="87" t="str">
        <f>IFERROR(__xludf.DUMMYFUNCTION("""COMPUTED_VALUE"""),"ITBISA-ABC-BATERAI-9V-POWER")</f>
        <v>ITBISA-ABC-BATERAI-9V-POWER</v>
      </c>
      <c r="B257" s="165">
        <f>IFERROR(__xludf.DUMMYFUNCTION("""COMPUTED_VALUE"""),46061.0)</f>
        <v>46061</v>
      </c>
      <c r="C257" s="165" t="str">
        <f>IFERROR(__xludf.DUMMYFUNCTION("""COMPUTED_VALUE"""),"KYAI KONTONG")</f>
        <v>KYAI KONTONG</v>
      </c>
      <c r="D257" s="94">
        <f>IFERROR(__xludf.DUMMYFUNCTION("""COMPUTED_VALUE"""),2.0)</f>
        <v>2</v>
      </c>
    </row>
    <row r="258">
      <c r="A258" s="87" t="str">
        <f>IFERROR(__xludf.DUMMYFUNCTION("""COMPUTED_VALUE"""),"ITBISA-ABC-BATERAI-9V-POWER")</f>
        <v>ITBISA-ABC-BATERAI-9V-POWER</v>
      </c>
      <c r="B258" s="165">
        <f>IFERROR(__xludf.DUMMYFUNCTION("""COMPUTED_VALUE"""),46082.0)</f>
        <v>46082</v>
      </c>
      <c r="C258" s="165" t="str">
        <f>IFERROR(__xludf.DUMMYFUNCTION("""COMPUTED_VALUE"""),"KYAI KONTONG")</f>
        <v>KYAI KONTONG</v>
      </c>
      <c r="D258" s="94">
        <f>IFERROR(__xludf.DUMMYFUNCTION("""COMPUTED_VALUE"""),1.0)</f>
        <v>1</v>
      </c>
    </row>
    <row r="259">
      <c r="A259" s="87" t="str">
        <f>IFERROR(__xludf.DUMMYFUNCTION("""COMPUTED_VALUE"""),"ITBISA-ABC-BATERAI-9V-POWER")</f>
        <v>ITBISA-ABC-BATERAI-9V-POWER</v>
      </c>
      <c r="B259" s="165">
        <f>IFERROR(__xludf.DUMMYFUNCTION("""COMPUTED_VALUE"""),46133.0)</f>
        <v>46133</v>
      </c>
      <c r="C259" s="165" t="str">
        <f>IFERROR(__xludf.DUMMYFUNCTION("""COMPUTED_VALUE"""),"KYAI KONTONG")</f>
        <v>KYAI KONTONG</v>
      </c>
      <c r="D259" s="94">
        <f>IFERROR(__xludf.DUMMYFUNCTION("""COMPUTED_VALUE"""),1.0)</f>
        <v>1</v>
      </c>
    </row>
    <row r="260">
      <c r="A260" s="87" t="str">
        <f>IFERROR(__xludf.DUMMYFUNCTION("""COMPUTED_VALUE"""),"ITBISA-ABC-BATERAI-9V-POWER")</f>
        <v>ITBISA-ABC-BATERAI-9V-POWER</v>
      </c>
      <c r="B260" s="165">
        <f>IFERROR(__xludf.DUMMYFUNCTION("""COMPUTED_VALUE"""),46134.0)</f>
        <v>46134</v>
      </c>
      <c r="C260" s="165" t="str">
        <f>IFERROR(__xludf.DUMMYFUNCTION("""COMPUTED_VALUE"""),"KYAI KONTONG")</f>
        <v>KYAI KONTONG</v>
      </c>
      <c r="D260" s="94">
        <f>IFERROR(__xludf.DUMMYFUNCTION("""COMPUTED_VALUE"""),1.0)</f>
        <v>1</v>
      </c>
    </row>
    <row r="261">
      <c r="A261" s="87" t="str">
        <f>IFERROR(__xludf.DUMMYFUNCTION("""COMPUTED_VALUE"""),"ITBISA-ABC-BATERAI-9V-POWER")</f>
        <v>ITBISA-ABC-BATERAI-9V-POWER</v>
      </c>
      <c r="B261" s="165">
        <f>IFERROR(__xludf.DUMMYFUNCTION("""COMPUTED_VALUE"""),46134.0)</f>
        <v>46134</v>
      </c>
      <c r="C261" s="165" t="str">
        <f>IFERROR(__xludf.DUMMYFUNCTION("""COMPUTED_VALUE"""),"KYAI KONTONG")</f>
        <v>KYAI KONTONG</v>
      </c>
      <c r="D261" s="94">
        <f>IFERROR(__xludf.DUMMYFUNCTION("""COMPUTED_VALUE"""),1.0)</f>
        <v>1</v>
      </c>
    </row>
    <row r="262">
      <c r="A262" s="87" t="str">
        <f>IFERROR(__xludf.DUMMYFUNCTION("""COMPUTED_VALUE"""),"ITBISA-ABC-BATERAI-9V-POWER")</f>
        <v>ITBISA-ABC-BATERAI-9V-POWER</v>
      </c>
      <c r="B262" s="165">
        <f>IFERROR(__xludf.DUMMYFUNCTION("""COMPUTED_VALUE"""),46135.0)</f>
        <v>46135</v>
      </c>
      <c r="C262" s="165" t="str">
        <f>IFERROR(__xludf.DUMMYFUNCTION("""COMPUTED_VALUE"""),"KYAI KONTONG")</f>
        <v>KYAI KONTONG</v>
      </c>
      <c r="D262" s="94">
        <f>IFERROR(__xludf.DUMMYFUNCTION("""COMPUTED_VALUE"""),2.0)</f>
        <v>2</v>
      </c>
    </row>
    <row r="263">
      <c r="A263" s="87" t="str">
        <f>IFERROR(__xludf.DUMMYFUNCTION("""COMPUTED_VALUE"""),"ITBISA-ABC-BATERAI-9V-POWER")</f>
        <v>ITBISA-ABC-BATERAI-9V-POWER</v>
      </c>
      <c r="B263" s="165">
        <f>IFERROR(__xludf.DUMMYFUNCTION("""COMPUTED_VALUE"""),46139.0)</f>
        <v>46139</v>
      </c>
      <c r="C263" s="165" t="str">
        <f>IFERROR(__xludf.DUMMYFUNCTION("""COMPUTED_VALUE"""),"KYAI KONTONG")</f>
        <v>KYAI KONTONG</v>
      </c>
      <c r="D263" s="94">
        <f>IFERROR(__xludf.DUMMYFUNCTION("""COMPUTED_VALUE"""),10.0)</f>
        <v>10</v>
      </c>
    </row>
    <row r="264">
      <c r="A264" s="87" t="str">
        <f>IFERROR(__xludf.DUMMYFUNCTION("""COMPUTED_VALUE"""),"ITBISA-ABC-BATERAI-9V-POWER")</f>
        <v>ITBISA-ABC-BATERAI-9V-POWER</v>
      </c>
      <c r="B264" s="165">
        <f>IFERROR(__xludf.DUMMYFUNCTION("""COMPUTED_VALUE"""),46145.0)</f>
        <v>46145</v>
      </c>
      <c r="C264" s="165" t="str">
        <f>IFERROR(__xludf.DUMMYFUNCTION("""COMPUTED_VALUE"""),"KYAI KONTONG")</f>
        <v>KYAI KONTONG</v>
      </c>
      <c r="D264" s="94">
        <f>IFERROR(__xludf.DUMMYFUNCTION("""COMPUTED_VALUE"""),1.0)</f>
        <v>1</v>
      </c>
    </row>
    <row r="265">
      <c r="A265" s="87" t="str">
        <f>IFERROR(__xludf.DUMMYFUNCTION("""COMPUTED_VALUE"""),"ITBISA-ABC-BATERAI-9V-POWER")</f>
        <v>ITBISA-ABC-BATERAI-9V-POWER</v>
      </c>
      <c r="B265" s="165">
        <f>IFERROR(__xludf.DUMMYFUNCTION("""COMPUTED_VALUE"""),46150.0)</f>
        <v>46150</v>
      </c>
      <c r="C265" s="165" t="str">
        <f>IFERROR(__xludf.DUMMYFUNCTION("""COMPUTED_VALUE"""),"KYAI KONTONG")</f>
        <v>KYAI KONTONG</v>
      </c>
      <c r="D265" s="94">
        <f>IFERROR(__xludf.DUMMYFUNCTION("""COMPUTED_VALUE"""),2.0)</f>
        <v>2</v>
      </c>
    </row>
    <row r="266">
      <c r="A266" s="87" t="str">
        <f>IFERROR(__xludf.DUMMYFUNCTION("""COMPUTED_VALUE"""),"ITBISA-ABC-BATERAI-9V-POWER")</f>
        <v>ITBISA-ABC-BATERAI-9V-POWER</v>
      </c>
      <c r="B266" s="165">
        <f>IFERROR(__xludf.DUMMYFUNCTION("""COMPUTED_VALUE"""),46152.0)</f>
        <v>46152</v>
      </c>
      <c r="C266" s="165" t="str">
        <f>IFERROR(__xludf.DUMMYFUNCTION("""COMPUTED_VALUE"""),"KYAI KONTONG")</f>
        <v>KYAI KONTONG</v>
      </c>
      <c r="D266" s="94">
        <f>IFERROR(__xludf.DUMMYFUNCTION("""COMPUTED_VALUE"""),1.0)</f>
        <v>1</v>
      </c>
    </row>
    <row r="267">
      <c r="A267" s="87" t="str">
        <f>IFERROR(__xludf.DUMMYFUNCTION("""COMPUTED_VALUE"""),"ITBISA-ABC-BATERAI-9V-POWER")</f>
        <v>ITBISA-ABC-BATERAI-9V-POWER</v>
      </c>
      <c r="B267" s="165">
        <f>IFERROR(__xludf.DUMMYFUNCTION("""COMPUTED_VALUE"""),46167.0)</f>
        <v>46167</v>
      </c>
      <c r="C267" s="165" t="str">
        <f>IFERROR(__xludf.DUMMYFUNCTION("""COMPUTED_VALUE"""),"KYAI KONTONG")</f>
        <v>KYAI KONTONG</v>
      </c>
      <c r="D267" s="94">
        <f>IFERROR(__xludf.DUMMYFUNCTION("""COMPUTED_VALUE"""),2.0)</f>
        <v>2</v>
      </c>
    </row>
    <row r="268">
      <c r="A268" s="87" t="str">
        <f>IFERROR(__xludf.DUMMYFUNCTION("""COMPUTED_VALUE"""),"ITBISA-ABC-BATERAI-9V-POWER")</f>
        <v>ITBISA-ABC-BATERAI-9V-POWER</v>
      </c>
      <c r="B268" s="165">
        <f>IFERROR(__xludf.DUMMYFUNCTION("""COMPUTED_VALUE"""),46176.0)</f>
        <v>46176</v>
      </c>
      <c r="C268" s="165" t="str">
        <f>IFERROR(__xludf.DUMMYFUNCTION("""COMPUTED_VALUE"""),"KYAI KONTONG")</f>
        <v>KYAI KONTONG</v>
      </c>
      <c r="D268" s="94">
        <f>IFERROR(__xludf.DUMMYFUNCTION("""COMPUTED_VALUE"""),1.0)</f>
        <v>1</v>
      </c>
    </row>
    <row r="269">
      <c r="A269" s="87" t="str">
        <f>IFERROR(__xludf.DUMMYFUNCTION("""COMPUTED_VALUE"""),"ITBISA-ABC-BATERAI-9V-POWER")</f>
        <v>ITBISA-ABC-BATERAI-9V-POWER</v>
      </c>
      <c r="B269" s="165">
        <f>IFERROR(__xludf.DUMMYFUNCTION("""COMPUTED_VALUE"""),46184.0)</f>
        <v>46184</v>
      </c>
      <c r="C269" s="165" t="str">
        <f>IFERROR(__xludf.DUMMYFUNCTION("""COMPUTED_VALUE"""),"KYAI KONTONG")</f>
        <v>KYAI KONTONG</v>
      </c>
      <c r="D269" s="94">
        <f>IFERROR(__xludf.DUMMYFUNCTION("""COMPUTED_VALUE"""),3.0)</f>
        <v>3</v>
      </c>
    </row>
    <row r="270">
      <c r="A270" s="87" t="str">
        <f>IFERROR(__xludf.DUMMYFUNCTION("""COMPUTED_VALUE"""),"ITBISA-ABC-BATERAI-9V-POWER")</f>
        <v>ITBISA-ABC-BATERAI-9V-POWER</v>
      </c>
      <c r="B270" s="165">
        <f>IFERROR(__xludf.DUMMYFUNCTION("""COMPUTED_VALUE"""),46186.0)</f>
        <v>46186</v>
      </c>
      <c r="C270" s="165" t="str">
        <f>IFERROR(__xludf.DUMMYFUNCTION("""COMPUTED_VALUE"""),"KYAI KONTONG")</f>
        <v>KYAI KONTONG</v>
      </c>
      <c r="D270" s="94">
        <f>IFERROR(__xludf.DUMMYFUNCTION("""COMPUTED_VALUE"""),1.0)</f>
        <v>1</v>
      </c>
    </row>
    <row r="271">
      <c r="A271" s="87" t="str">
        <f>IFERROR(__xludf.DUMMYFUNCTION("""COMPUTED_VALUE"""),"ITBISA-ABC-BATERAI-9V-POWER")</f>
        <v>ITBISA-ABC-BATERAI-9V-POWER</v>
      </c>
      <c r="B271" s="165">
        <f>IFERROR(__xludf.DUMMYFUNCTION("""COMPUTED_VALUE"""),46186.0)</f>
        <v>46186</v>
      </c>
      <c r="C271" s="165" t="str">
        <f>IFERROR(__xludf.DUMMYFUNCTION("""COMPUTED_VALUE"""),"KYAI KONTONG")</f>
        <v>KYAI KONTONG</v>
      </c>
      <c r="D271" s="94">
        <f>IFERROR(__xludf.DUMMYFUNCTION("""COMPUTED_VALUE"""),2.0)</f>
        <v>2</v>
      </c>
    </row>
    <row r="272">
      <c r="A272" s="87" t="str">
        <f>IFERROR(__xludf.DUMMYFUNCTION("""COMPUTED_VALUE"""),"ITBISA-ABC-BATERAI-9V-POWER")</f>
        <v>ITBISA-ABC-BATERAI-9V-POWER</v>
      </c>
      <c r="B272" s="165">
        <f>IFERROR(__xludf.DUMMYFUNCTION("""COMPUTED_VALUE"""),46186.0)</f>
        <v>46186</v>
      </c>
      <c r="C272" s="165" t="str">
        <f>IFERROR(__xludf.DUMMYFUNCTION("""COMPUTED_VALUE"""),"KYAI KONTONG")</f>
        <v>KYAI KONTONG</v>
      </c>
      <c r="D272" s="94">
        <f>IFERROR(__xludf.DUMMYFUNCTION("""COMPUTED_VALUE"""),5.0)</f>
        <v>5</v>
      </c>
    </row>
    <row r="273">
      <c r="A273" s="87" t="str">
        <f>IFERROR(__xludf.DUMMYFUNCTION("""COMPUTED_VALUE"""),"ITBISA-ABC-BATERAI-9V-POWER")</f>
        <v>ITBISA-ABC-BATERAI-9V-POWER</v>
      </c>
      <c r="B273" s="165">
        <f>IFERROR(__xludf.DUMMYFUNCTION("""COMPUTED_VALUE"""),46192.0)</f>
        <v>46192</v>
      </c>
      <c r="C273" s="165" t="str">
        <f>IFERROR(__xludf.DUMMYFUNCTION("""COMPUTED_VALUE"""),"KYAI KONTONG")</f>
        <v>KYAI KONTONG</v>
      </c>
      <c r="D273" s="94">
        <f>IFERROR(__xludf.DUMMYFUNCTION("""COMPUTED_VALUE"""),2.0)</f>
        <v>2</v>
      </c>
    </row>
    <row r="274">
      <c r="A274" s="87" t="str">
        <f>IFERROR(__xludf.DUMMYFUNCTION("""COMPUTED_VALUE"""),"ITBISA-ABC-BATERAI-AA-ALKALINE")</f>
        <v>ITBISA-ABC-BATERAI-AA-ALKALINE</v>
      </c>
      <c r="B274" s="165">
        <f>IFERROR(__xludf.DUMMYFUNCTION("""COMPUTED_VALUE"""),46023.0)</f>
        <v>46023</v>
      </c>
      <c r="C274" s="165" t="str">
        <f>IFERROR(__xludf.DUMMYFUNCTION("""COMPUTED_VALUE"""),"KYAI KONTONG")</f>
        <v>KYAI KONTONG</v>
      </c>
      <c r="D274" s="94">
        <f>IFERROR(__xludf.DUMMYFUNCTION("""COMPUTED_VALUE"""),1.0)</f>
        <v>1</v>
      </c>
    </row>
    <row r="275">
      <c r="A275" s="87" t="str">
        <f>IFERROR(__xludf.DUMMYFUNCTION("""COMPUTED_VALUE"""),"ITBISA-ABC-BATERAI-AA-ALKALINE")</f>
        <v>ITBISA-ABC-BATERAI-AA-ALKALINE</v>
      </c>
      <c r="B275" s="165">
        <f>IFERROR(__xludf.DUMMYFUNCTION("""COMPUTED_VALUE"""),46023.0)</f>
        <v>46023</v>
      </c>
      <c r="C275" s="165" t="str">
        <f>IFERROR(__xludf.DUMMYFUNCTION("""COMPUTED_VALUE"""),"KYAI KONTONG")</f>
        <v>KYAI KONTONG</v>
      </c>
      <c r="D275" s="94">
        <f>IFERROR(__xludf.DUMMYFUNCTION("""COMPUTED_VALUE"""),1.0)</f>
        <v>1</v>
      </c>
    </row>
    <row r="276">
      <c r="A276" s="87" t="str">
        <f>IFERROR(__xludf.DUMMYFUNCTION("""COMPUTED_VALUE"""),"ITBISA-ABC-BATERAI-AA-ALKALINE")</f>
        <v>ITBISA-ABC-BATERAI-AA-ALKALINE</v>
      </c>
      <c r="B276" s="165">
        <f>IFERROR(__xludf.DUMMYFUNCTION("""COMPUTED_VALUE"""),46023.0)</f>
        <v>46023</v>
      </c>
      <c r="C276" s="165" t="str">
        <f>IFERROR(__xludf.DUMMYFUNCTION("""COMPUTED_VALUE"""),"KYAI KONTONG")</f>
        <v>KYAI KONTONG</v>
      </c>
      <c r="D276" s="94">
        <f>IFERROR(__xludf.DUMMYFUNCTION("""COMPUTED_VALUE"""),1.0)</f>
        <v>1</v>
      </c>
    </row>
    <row r="277">
      <c r="A277" s="87" t="str">
        <f>IFERROR(__xludf.DUMMYFUNCTION("""COMPUTED_VALUE"""),"ITBISA-ABC-BATERAI-AA-ALKALINE")</f>
        <v>ITBISA-ABC-BATERAI-AA-ALKALINE</v>
      </c>
      <c r="B277" s="165">
        <f>IFERROR(__xludf.DUMMYFUNCTION("""COMPUTED_VALUE"""),46023.0)</f>
        <v>46023</v>
      </c>
      <c r="C277" s="165" t="str">
        <f>IFERROR(__xludf.DUMMYFUNCTION("""COMPUTED_VALUE"""),"KYAI KONTONG")</f>
        <v>KYAI KONTONG</v>
      </c>
      <c r="D277" s="94">
        <f>IFERROR(__xludf.DUMMYFUNCTION("""COMPUTED_VALUE"""),1.0)</f>
        <v>1</v>
      </c>
    </row>
    <row r="278">
      <c r="A278" s="87" t="str">
        <f>IFERROR(__xludf.DUMMYFUNCTION("""COMPUTED_VALUE"""),"ITBISA-ABC-BATERAI-AA-ALKALINE")</f>
        <v>ITBISA-ABC-BATERAI-AA-ALKALINE</v>
      </c>
      <c r="B278" s="165">
        <f>IFERROR(__xludf.DUMMYFUNCTION("""COMPUTED_VALUE"""),46023.0)</f>
        <v>46023</v>
      </c>
      <c r="C278" s="165" t="str">
        <f>IFERROR(__xludf.DUMMYFUNCTION("""COMPUTED_VALUE"""),"KYAI KONTONG")</f>
        <v>KYAI KONTONG</v>
      </c>
      <c r="D278" s="94">
        <f>IFERROR(__xludf.DUMMYFUNCTION("""COMPUTED_VALUE"""),1.0)</f>
        <v>1</v>
      </c>
    </row>
    <row r="279">
      <c r="A279" s="87" t="str">
        <f>IFERROR(__xludf.DUMMYFUNCTION("""COMPUTED_VALUE"""),"ITBISA-ABC-BATERAI-AA-ALKALINE")</f>
        <v>ITBISA-ABC-BATERAI-AA-ALKALINE</v>
      </c>
      <c r="B279" s="165">
        <f>IFERROR(__xludf.DUMMYFUNCTION("""COMPUTED_VALUE"""),46023.0)</f>
        <v>46023</v>
      </c>
      <c r="C279" s="165" t="str">
        <f>IFERROR(__xludf.DUMMYFUNCTION("""COMPUTED_VALUE"""),"KYAI KONTONG")</f>
        <v>KYAI KONTONG</v>
      </c>
      <c r="D279" s="94">
        <f>IFERROR(__xludf.DUMMYFUNCTION("""COMPUTED_VALUE"""),1.0)</f>
        <v>1</v>
      </c>
    </row>
    <row r="280">
      <c r="A280" s="87" t="str">
        <f>IFERROR(__xludf.DUMMYFUNCTION("""COMPUTED_VALUE"""),"ITBISA-ABC-BATERAI-AA-ALKALINE")</f>
        <v>ITBISA-ABC-BATERAI-AA-ALKALINE</v>
      </c>
      <c r="B280" s="165">
        <f>IFERROR(__xludf.DUMMYFUNCTION("""COMPUTED_VALUE"""),46023.0)</f>
        <v>46023</v>
      </c>
      <c r="C280" s="165" t="str">
        <f>IFERROR(__xludf.DUMMYFUNCTION("""COMPUTED_VALUE"""),"KYAI KONTONG")</f>
        <v>KYAI KONTONG</v>
      </c>
      <c r="D280" s="94">
        <f>IFERROR(__xludf.DUMMYFUNCTION("""COMPUTED_VALUE"""),1.0)</f>
        <v>1</v>
      </c>
    </row>
    <row r="281">
      <c r="A281" s="87" t="str">
        <f>IFERROR(__xludf.DUMMYFUNCTION("""COMPUTED_VALUE"""),"ITBISA-ABC-BATERAI-AA-ALKALINE")</f>
        <v>ITBISA-ABC-BATERAI-AA-ALKALINE</v>
      </c>
      <c r="B281" s="165">
        <f>IFERROR(__xludf.DUMMYFUNCTION("""COMPUTED_VALUE"""),46023.0)</f>
        <v>46023</v>
      </c>
      <c r="C281" s="165" t="str">
        <f>IFERROR(__xludf.DUMMYFUNCTION("""COMPUTED_VALUE"""),"KYAI KONTONG")</f>
        <v>KYAI KONTONG</v>
      </c>
      <c r="D281" s="94">
        <f>IFERROR(__xludf.DUMMYFUNCTION("""COMPUTED_VALUE"""),2.0)</f>
        <v>2</v>
      </c>
    </row>
    <row r="282">
      <c r="A282" s="87" t="str">
        <f>IFERROR(__xludf.DUMMYFUNCTION("""COMPUTED_VALUE"""),"ITBISA-ABC-BATERAI-AA-ALKALINE")</f>
        <v>ITBISA-ABC-BATERAI-AA-ALKALINE</v>
      </c>
      <c r="B282" s="165">
        <f>IFERROR(__xludf.DUMMYFUNCTION("""COMPUTED_VALUE"""),46023.0)</f>
        <v>46023</v>
      </c>
      <c r="C282" s="165" t="str">
        <f>IFERROR(__xludf.DUMMYFUNCTION("""COMPUTED_VALUE"""),"KYAI KONTONG")</f>
        <v>KYAI KONTONG</v>
      </c>
      <c r="D282" s="94">
        <f>IFERROR(__xludf.DUMMYFUNCTION("""COMPUTED_VALUE"""),2.0)</f>
        <v>2</v>
      </c>
    </row>
    <row r="283">
      <c r="A283" s="87" t="str">
        <f>IFERROR(__xludf.DUMMYFUNCTION("""COMPUTED_VALUE"""),"ITBISA-ABC-BATERAI-AA-ALKALINE")</f>
        <v>ITBISA-ABC-BATERAI-AA-ALKALINE</v>
      </c>
      <c r="B283" s="165">
        <f>IFERROR(__xludf.DUMMYFUNCTION("""COMPUTED_VALUE"""),46023.0)</f>
        <v>46023</v>
      </c>
      <c r="C283" s="165" t="str">
        <f>IFERROR(__xludf.DUMMYFUNCTION("""COMPUTED_VALUE"""),"KYAI KONTONG")</f>
        <v>KYAI KONTONG</v>
      </c>
      <c r="D283" s="94">
        <f>IFERROR(__xludf.DUMMYFUNCTION("""COMPUTED_VALUE"""),2.0)</f>
        <v>2</v>
      </c>
    </row>
    <row r="284">
      <c r="A284" s="87" t="str">
        <f>IFERROR(__xludf.DUMMYFUNCTION("""COMPUTED_VALUE"""),"ITBISA-ABC-BATERAI-AA-ALKALINE")</f>
        <v>ITBISA-ABC-BATERAI-AA-ALKALINE</v>
      </c>
      <c r="B284" s="165">
        <f>IFERROR(__xludf.DUMMYFUNCTION("""COMPUTED_VALUE"""),46024.0)</f>
        <v>46024</v>
      </c>
      <c r="C284" s="165" t="str">
        <f>IFERROR(__xludf.DUMMYFUNCTION("""COMPUTED_VALUE"""),"KYAI KONTONG")</f>
        <v>KYAI KONTONG</v>
      </c>
      <c r="D284" s="94">
        <f>IFERROR(__xludf.DUMMYFUNCTION("""COMPUTED_VALUE"""),1.0)</f>
        <v>1</v>
      </c>
    </row>
    <row r="285">
      <c r="A285" s="87" t="str">
        <f>IFERROR(__xludf.DUMMYFUNCTION("""COMPUTED_VALUE"""),"ITBISA-ABC-BATERAI-AA-ALKALINE")</f>
        <v>ITBISA-ABC-BATERAI-AA-ALKALINE</v>
      </c>
      <c r="B285" s="165">
        <f>IFERROR(__xludf.DUMMYFUNCTION("""COMPUTED_VALUE"""),46024.0)</f>
        <v>46024</v>
      </c>
      <c r="C285" s="165" t="str">
        <f>IFERROR(__xludf.DUMMYFUNCTION("""COMPUTED_VALUE"""),"KYAI KONTONG")</f>
        <v>KYAI KONTONG</v>
      </c>
      <c r="D285" s="94">
        <f>IFERROR(__xludf.DUMMYFUNCTION("""COMPUTED_VALUE"""),1.0)</f>
        <v>1</v>
      </c>
    </row>
    <row r="286">
      <c r="A286" s="87" t="str">
        <f>IFERROR(__xludf.DUMMYFUNCTION("""COMPUTED_VALUE"""),"ITBISA-ABC-BATERAI-AA-ALKALINE")</f>
        <v>ITBISA-ABC-BATERAI-AA-ALKALINE</v>
      </c>
      <c r="B286" s="165">
        <f>IFERROR(__xludf.DUMMYFUNCTION("""COMPUTED_VALUE"""),46024.0)</f>
        <v>46024</v>
      </c>
      <c r="C286" s="165" t="str">
        <f>IFERROR(__xludf.DUMMYFUNCTION("""COMPUTED_VALUE"""),"KYAI KONTONG")</f>
        <v>KYAI KONTONG</v>
      </c>
      <c r="D286" s="94">
        <f>IFERROR(__xludf.DUMMYFUNCTION("""COMPUTED_VALUE"""),2.0)</f>
        <v>2</v>
      </c>
    </row>
    <row r="287">
      <c r="A287" s="87" t="str">
        <f>IFERROR(__xludf.DUMMYFUNCTION("""COMPUTED_VALUE"""),"ITBISA-ABC-BATERAI-AA-ALKALINE")</f>
        <v>ITBISA-ABC-BATERAI-AA-ALKALINE</v>
      </c>
      <c r="B287" s="165">
        <f>IFERROR(__xludf.DUMMYFUNCTION("""COMPUTED_VALUE"""),46024.0)</f>
        <v>46024</v>
      </c>
      <c r="C287" s="165" t="str">
        <f>IFERROR(__xludf.DUMMYFUNCTION("""COMPUTED_VALUE"""),"KYAI KONTONG")</f>
        <v>KYAI KONTONG</v>
      </c>
      <c r="D287" s="94">
        <f>IFERROR(__xludf.DUMMYFUNCTION("""COMPUTED_VALUE"""),2.0)</f>
        <v>2</v>
      </c>
    </row>
    <row r="288">
      <c r="A288" s="87" t="str">
        <f>IFERROR(__xludf.DUMMYFUNCTION("""COMPUTED_VALUE"""),"ITBISA-ABC-BATERAI-AA-ALKALINE")</f>
        <v>ITBISA-ABC-BATERAI-AA-ALKALINE</v>
      </c>
      <c r="B288" s="165">
        <f>IFERROR(__xludf.DUMMYFUNCTION("""COMPUTED_VALUE"""),46024.0)</f>
        <v>46024</v>
      </c>
      <c r="C288" s="165" t="str">
        <f>IFERROR(__xludf.DUMMYFUNCTION("""COMPUTED_VALUE"""),"KYAI KONTONG")</f>
        <v>KYAI KONTONG</v>
      </c>
      <c r="D288" s="94">
        <f>IFERROR(__xludf.DUMMYFUNCTION("""COMPUTED_VALUE"""),2.0)</f>
        <v>2</v>
      </c>
    </row>
    <row r="289">
      <c r="A289" s="87" t="str">
        <f>IFERROR(__xludf.DUMMYFUNCTION("""COMPUTED_VALUE"""),"ITBISA-ABC-BATERAI-AA-ALKALINE")</f>
        <v>ITBISA-ABC-BATERAI-AA-ALKALINE</v>
      </c>
      <c r="B289" s="165">
        <f>IFERROR(__xludf.DUMMYFUNCTION("""COMPUTED_VALUE"""),46025.0)</f>
        <v>46025</v>
      </c>
      <c r="C289" s="165" t="str">
        <f>IFERROR(__xludf.DUMMYFUNCTION("""COMPUTED_VALUE"""),"KYAI KONTONG")</f>
        <v>KYAI KONTONG</v>
      </c>
      <c r="D289" s="94">
        <f>IFERROR(__xludf.DUMMYFUNCTION("""COMPUTED_VALUE"""),1.0)</f>
        <v>1</v>
      </c>
    </row>
    <row r="290">
      <c r="A290" s="87" t="str">
        <f>IFERROR(__xludf.DUMMYFUNCTION("""COMPUTED_VALUE"""),"ITBISA-ABC-BATERAI-AA-ALKALINE")</f>
        <v>ITBISA-ABC-BATERAI-AA-ALKALINE</v>
      </c>
      <c r="B290" s="165">
        <f>IFERROR(__xludf.DUMMYFUNCTION("""COMPUTED_VALUE"""),46025.0)</f>
        <v>46025</v>
      </c>
      <c r="C290" s="165" t="str">
        <f>IFERROR(__xludf.DUMMYFUNCTION("""COMPUTED_VALUE"""),"KYAI KONTONG")</f>
        <v>KYAI KONTONG</v>
      </c>
      <c r="D290" s="94">
        <f>IFERROR(__xludf.DUMMYFUNCTION("""COMPUTED_VALUE"""),1.0)</f>
        <v>1</v>
      </c>
    </row>
    <row r="291">
      <c r="A291" s="87" t="str">
        <f>IFERROR(__xludf.DUMMYFUNCTION("""COMPUTED_VALUE"""),"ITBISA-ABC-BATERAI-AA-ALKALINE")</f>
        <v>ITBISA-ABC-BATERAI-AA-ALKALINE</v>
      </c>
      <c r="B291" s="165">
        <f>IFERROR(__xludf.DUMMYFUNCTION("""COMPUTED_VALUE"""),46025.0)</f>
        <v>46025</v>
      </c>
      <c r="C291" s="165" t="str">
        <f>IFERROR(__xludf.DUMMYFUNCTION("""COMPUTED_VALUE"""),"KYAI KONTONG")</f>
        <v>KYAI KONTONG</v>
      </c>
      <c r="D291" s="94">
        <f>IFERROR(__xludf.DUMMYFUNCTION("""COMPUTED_VALUE"""),6.0)</f>
        <v>6</v>
      </c>
    </row>
    <row r="292">
      <c r="A292" s="87" t="str">
        <f>IFERROR(__xludf.DUMMYFUNCTION("""COMPUTED_VALUE"""),"ITBISA-ABC-BATERAI-AA-ALKALINE")</f>
        <v>ITBISA-ABC-BATERAI-AA-ALKALINE</v>
      </c>
      <c r="B292" s="165">
        <f>IFERROR(__xludf.DUMMYFUNCTION("""COMPUTED_VALUE"""),46027.0)</f>
        <v>46027</v>
      </c>
      <c r="C292" s="165" t="str">
        <f>IFERROR(__xludf.DUMMYFUNCTION("""COMPUTED_VALUE"""),"KERTASARI CIAMIS")</f>
        <v>KERTASARI CIAMIS</v>
      </c>
      <c r="D292" s="94">
        <f>IFERROR(__xludf.DUMMYFUNCTION("""COMPUTED_VALUE"""),2.0)</f>
        <v>2</v>
      </c>
    </row>
    <row r="293">
      <c r="A293" s="87" t="str">
        <f>IFERROR(__xludf.DUMMYFUNCTION("""COMPUTED_VALUE"""),"ITBISA-ABC-BATERAI-AA-ALKALINE")</f>
        <v>ITBISA-ABC-BATERAI-AA-ALKALINE</v>
      </c>
      <c r="B293" s="165">
        <f>IFERROR(__xludf.DUMMYFUNCTION("""COMPUTED_VALUE"""),46027.0)</f>
        <v>46027</v>
      </c>
      <c r="C293" s="165" t="str">
        <f>IFERROR(__xludf.DUMMYFUNCTION("""COMPUTED_VALUE"""),"KERTASARI CIAMIS")</f>
        <v>KERTASARI CIAMIS</v>
      </c>
      <c r="D293" s="94">
        <f>IFERROR(__xludf.DUMMYFUNCTION("""COMPUTED_VALUE"""),2.0)</f>
        <v>2</v>
      </c>
    </row>
    <row r="294">
      <c r="A294" s="87" t="str">
        <f>IFERROR(__xludf.DUMMYFUNCTION("""COMPUTED_VALUE"""),"ITBISA-ABC-BATERAI-AA-ALKALINE")</f>
        <v>ITBISA-ABC-BATERAI-AA-ALKALINE</v>
      </c>
      <c r="B294" s="165">
        <f>IFERROR(__xludf.DUMMYFUNCTION("""COMPUTED_VALUE"""),46027.0)</f>
        <v>46027</v>
      </c>
      <c r="C294" s="165" t="str">
        <f>IFERROR(__xludf.DUMMYFUNCTION("""COMPUTED_VALUE"""),"KERTASARI CIAMIS")</f>
        <v>KERTASARI CIAMIS</v>
      </c>
      <c r="D294" s="94">
        <f>IFERROR(__xludf.DUMMYFUNCTION("""COMPUTED_VALUE"""),3.0)</f>
        <v>3</v>
      </c>
    </row>
    <row r="295">
      <c r="A295" s="87" t="str">
        <f>IFERROR(__xludf.DUMMYFUNCTION("""COMPUTED_VALUE"""),"ITBISA-ABC-BATERAI-AA-ALKALINE")</f>
        <v>ITBISA-ABC-BATERAI-AA-ALKALINE</v>
      </c>
      <c r="B295" s="165">
        <f>IFERROR(__xludf.DUMMYFUNCTION("""COMPUTED_VALUE"""),46027.0)</f>
        <v>46027</v>
      </c>
      <c r="C295" s="165" t="str">
        <f>IFERROR(__xludf.DUMMYFUNCTION("""COMPUTED_VALUE"""),"KYAI KONTONG")</f>
        <v>KYAI KONTONG</v>
      </c>
      <c r="D295" s="94">
        <f>IFERROR(__xludf.DUMMYFUNCTION("""COMPUTED_VALUE"""),8.0)</f>
        <v>8</v>
      </c>
    </row>
    <row r="296">
      <c r="A296" s="87" t="str">
        <f>IFERROR(__xludf.DUMMYFUNCTION("""COMPUTED_VALUE"""),"ITBISA-ABC-BATERAI-AA-ALKALINE")</f>
        <v>ITBISA-ABC-BATERAI-AA-ALKALINE</v>
      </c>
      <c r="B296" s="165">
        <f>IFERROR(__xludf.DUMMYFUNCTION("""COMPUTED_VALUE"""),46028.0)</f>
        <v>46028</v>
      </c>
      <c r="C296" s="165" t="str">
        <f>IFERROR(__xludf.DUMMYFUNCTION("""COMPUTED_VALUE"""),"KYAI KONTONG")</f>
        <v>KYAI KONTONG</v>
      </c>
      <c r="D296" s="94">
        <f>IFERROR(__xludf.DUMMYFUNCTION("""COMPUTED_VALUE"""),1.0)</f>
        <v>1</v>
      </c>
    </row>
    <row r="297">
      <c r="A297" s="87" t="str">
        <f>IFERROR(__xludf.DUMMYFUNCTION("""COMPUTED_VALUE"""),"ITBISA-ABC-BATERAI-AA-ALKALINE")</f>
        <v>ITBISA-ABC-BATERAI-AA-ALKALINE</v>
      </c>
      <c r="B297" s="165">
        <f>IFERROR(__xludf.DUMMYFUNCTION("""COMPUTED_VALUE"""),46029.0)</f>
        <v>46029</v>
      </c>
      <c r="C297" s="165" t="str">
        <f>IFERROR(__xludf.DUMMYFUNCTION("""COMPUTED_VALUE"""),"KERTASARI CIAMIS")</f>
        <v>KERTASARI CIAMIS</v>
      </c>
      <c r="D297" s="94">
        <f>IFERROR(__xludf.DUMMYFUNCTION("""COMPUTED_VALUE"""),1.0)</f>
        <v>1</v>
      </c>
    </row>
    <row r="298">
      <c r="A298" s="87" t="str">
        <f>IFERROR(__xludf.DUMMYFUNCTION("""COMPUTED_VALUE"""),"ITBISA-ABC-BATERAI-AA-ALKALINE")</f>
        <v>ITBISA-ABC-BATERAI-AA-ALKALINE</v>
      </c>
      <c r="B298" s="165">
        <f>IFERROR(__xludf.DUMMYFUNCTION("""COMPUTED_VALUE"""),46029.0)</f>
        <v>46029</v>
      </c>
      <c r="C298" s="165" t="str">
        <f>IFERROR(__xludf.DUMMYFUNCTION("""COMPUTED_VALUE"""),"KERTASARI CIAMIS")</f>
        <v>KERTASARI CIAMIS</v>
      </c>
      <c r="D298" s="94">
        <f>IFERROR(__xludf.DUMMYFUNCTION("""COMPUTED_VALUE"""),3.0)</f>
        <v>3</v>
      </c>
    </row>
    <row r="299">
      <c r="A299" s="87" t="str">
        <f>IFERROR(__xludf.DUMMYFUNCTION("""COMPUTED_VALUE"""),"ITBISA-ABC-BATERAI-AA-ALKALINE")</f>
        <v>ITBISA-ABC-BATERAI-AA-ALKALINE</v>
      </c>
      <c r="B299" s="165">
        <f>IFERROR(__xludf.DUMMYFUNCTION("""COMPUTED_VALUE"""),46029.0)</f>
        <v>46029</v>
      </c>
      <c r="C299" s="165" t="str">
        <f>IFERROR(__xludf.DUMMYFUNCTION("""COMPUTED_VALUE"""),"KYAI KONTONG")</f>
        <v>KYAI KONTONG</v>
      </c>
      <c r="D299" s="94">
        <f>IFERROR(__xludf.DUMMYFUNCTION("""COMPUTED_VALUE"""),4.0)</f>
        <v>4</v>
      </c>
    </row>
    <row r="300">
      <c r="A300" s="87" t="str">
        <f>IFERROR(__xludf.DUMMYFUNCTION("""COMPUTED_VALUE"""),"ITBISA-ABC-BATERAI-AA-ALKALINE")</f>
        <v>ITBISA-ABC-BATERAI-AA-ALKALINE</v>
      </c>
      <c r="B300" s="165">
        <f>IFERROR(__xludf.DUMMYFUNCTION("""COMPUTED_VALUE"""),46030.0)</f>
        <v>46030</v>
      </c>
      <c r="C300" s="165" t="str">
        <f>IFERROR(__xludf.DUMMYFUNCTION("""COMPUTED_VALUE"""),"KERTASARI CIAMIS")</f>
        <v>KERTASARI CIAMIS</v>
      </c>
      <c r="D300" s="94">
        <f>IFERROR(__xludf.DUMMYFUNCTION("""COMPUTED_VALUE"""),1.0)</f>
        <v>1</v>
      </c>
    </row>
    <row r="301">
      <c r="A301" s="87" t="str">
        <f>IFERROR(__xludf.DUMMYFUNCTION("""COMPUTED_VALUE"""),"ITBISA-ABC-BATERAI-AA-ALKALINE")</f>
        <v>ITBISA-ABC-BATERAI-AA-ALKALINE</v>
      </c>
      <c r="B301" s="165">
        <f>IFERROR(__xludf.DUMMYFUNCTION("""COMPUTED_VALUE"""),46031.0)</f>
        <v>46031</v>
      </c>
      <c r="C301" s="165" t="str">
        <f>IFERROR(__xludf.DUMMYFUNCTION("""COMPUTED_VALUE"""),"KYAI KONTONG")</f>
        <v>KYAI KONTONG</v>
      </c>
      <c r="D301" s="94">
        <f>IFERROR(__xludf.DUMMYFUNCTION("""COMPUTED_VALUE"""),2.0)</f>
        <v>2</v>
      </c>
    </row>
    <row r="302">
      <c r="A302" s="87" t="str">
        <f>IFERROR(__xludf.DUMMYFUNCTION("""COMPUTED_VALUE"""),"ITBISA-ABC-BATERAI-AA-ALKALINE")</f>
        <v>ITBISA-ABC-BATERAI-AA-ALKALINE</v>
      </c>
      <c r="B302" s="165">
        <f>IFERROR(__xludf.DUMMYFUNCTION("""COMPUTED_VALUE"""),46031.0)</f>
        <v>46031</v>
      </c>
      <c r="C302" s="165" t="str">
        <f>IFERROR(__xludf.DUMMYFUNCTION("""COMPUTED_VALUE"""),"KYAI KONTONG")</f>
        <v>KYAI KONTONG</v>
      </c>
      <c r="D302" s="94">
        <f>IFERROR(__xludf.DUMMYFUNCTION("""COMPUTED_VALUE"""),2.0)</f>
        <v>2</v>
      </c>
    </row>
    <row r="303">
      <c r="A303" s="87" t="str">
        <f>IFERROR(__xludf.DUMMYFUNCTION("""COMPUTED_VALUE"""),"ITBISA-ABC-BATERAI-AA-ALKALINE")</f>
        <v>ITBISA-ABC-BATERAI-AA-ALKALINE</v>
      </c>
      <c r="B303" s="165">
        <f>IFERROR(__xludf.DUMMYFUNCTION("""COMPUTED_VALUE"""),46031.0)</f>
        <v>46031</v>
      </c>
      <c r="C303" s="165" t="str">
        <f>IFERROR(__xludf.DUMMYFUNCTION("""COMPUTED_VALUE"""),"KYAI KONTONG")</f>
        <v>KYAI KONTONG</v>
      </c>
      <c r="D303" s="94">
        <f>IFERROR(__xludf.DUMMYFUNCTION("""COMPUTED_VALUE"""),2.0)</f>
        <v>2</v>
      </c>
    </row>
    <row r="304">
      <c r="A304" s="87" t="str">
        <f>IFERROR(__xludf.DUMMYFUNCTION("""COMPUTED_VALUE"""),"ITBISA-ABC-BATERAI-AA-ALKALINE")</f>
        <v>ITBISA-ABC-BATERAI-AA-ALKALINE</v>
      </c>
      <c r="B304" s="165">
        <f>IFERROR(__xludf.DUMMYFUNCTION("""COMPUTED_VALUE"""),46032.0)</f>
        <v>46032</v>
      </c>
      <c r="C304" s="165" t="str">
        <f>IFERROR(__xludf.DUMMYFUNCTION("""COMPUTED_VALUE"""),"KERTASARI CIAMIS")</f>
        <v>KERTASARI CIAMIS</v>
      </c>
      <c r="D304" s="94">
        <f>IFERROR(__xludf.DUMMYFUNCTION("""COMPUTED_VALUE"""),1.0)</f>
        <v>1</v>
      </c>
    </row>
    <row r="305">
      <c r="A305" s="87" t="str">
        <f>IFERROR(__xludf.DUMMYFUNCTION("""COMPUTED_VALUE"""),"ITBISA-ABC-BATERAI-AA-ALKALINE")</f>
        <v>ITBISA-ABC-BATERAI-AA-ALKALINE</v>
      </c>
      <c r="B305" s="165">
        <f>IFERROR(__xludf.DUMMYFUNCTION("""COMPUTED_VALUE"""),46032.0)</f>
        <v>46032</v>
      </c>
      <c r="C305" s="165" t="str">
        <f>IFERROR(__xludf.DUMMYFUNCTION("""COMPUTED_VALUE"""),"KERTASARI CIAMIS")</f>
        <v>KERTASARI CIAMIS</v>
      </c>
      <c r="D305" s="94">
        <f>IFERROR(__xludf.DUMMYFUNCTION("""COMPUTED_VALUE"""),2.0)</f>
        <v>2</v>
      </c>
    </row>
    <row r="306">
      <c r="A306" s="87" t="str">
        <f>IFERROR(__xludf.DUMMYFUNCTION("""COMPUTED_VALUE"""),"ITBISA-ABC-BATERAI-AA-ALKALINE")</f>
        <v>ITBISA-ABC-BATERAI-AA-ALKALINE</v>
      </c>
      <c r="B306" s="165">
        <f>IFERROR(__xludf.DUMMYFUNCTION("""COMPUTED_VALUE"""),46032.0)</f>
        <v>46032</v>
      </c>
      <c r="C306" s="165" t="str">
        <f>IFERROR(__xludf.DUMMYFUNCTION("""COMPUTED_VALUE"""),"KERTASARI CIAMIS")</f>
        <v>KERTASARI CIAMIS</v>
      </c>
      <c r="D306" s="94">
        <f>IFERROR(__xludf.DUMMYFUNCTION("""COMPUTED_VALUE"""),2.0)</f>
        <v>2</v>
      </c>
    </row>
    <row r="307">
      <c r="A307" s="87" t="str">
        <f>IFERROR(__xludf.DUMMYFUNCTION("""COMPUTED_VALUE"""),"ITBISA-ABC-BATERAI-AA-ALKALINE")</f>
        <v>ITBISA-ABC-BATERAI-AA-ALKALINE</v>
      </c>
      <c r="B307" s="165">
        <f>IFERROR(__xludf.DUMMYFUNCTION("""COMPUTED_VALUE"""),46033.0)</f>
        <v>46033</v>
      </c>
      <c r="C307" s="165" t="str">
        <f>IFERROR(__xludf.DUMMYFUNCTION("""COMPUTED_VALUE"""),"KERTASARI CIAMIS")</f>
        <v>KERTASARI CIAMIS</v>
      </c>
      <c r="D307" s="94">
        <f>IFERROR(__xludf.DUMMYFUNCTION("""COMPUTED_VALUE"""),2.0)</f>
        <v>2</v>
      </c>
    </row>
    <row r="308">
      <c r="A308" s="87" t="str">
        <f>IFERROR(__xludf.DUMMYFUNCTION("""COMPUTED_VALUE"""),"ITBISA-ABC-BATERAI-AA-ALKALINE")</f>
        <v>ITBISA-ABC-BATERAI-AA-ALKALINE</v>
      </c>
      <c r="B308" s="165">
        <f>IFERROR(__xludf.DUMMYFUNCTION("""COMPUTED_VALUE"""),46034.0)</f>
        <v>46034</v>
      </c>
      <c r="C308" s="165" t="str">
        <f>IFERROR(__xludf.DUMMYFUNCTION("""COMPUTED_VALUE"""),"KERTASARI CIAMIS")</f>
        <v>KERTASARI CIAMIS</v>
      </c>
      <c r="D308" s="94">
        <f>IFERROR(__xludf.DUMMYFUNCTION("""COMPUTED_VALUE"""),2.0)</f>
        <v>2</v>
      </c>
    </row>
    <row r="309">
      <c r="A309" s="87" t="str">
        <f>IFERROR(__xludf.DUMMYFUNCTION("""COMPUTED_VALUE"""),"ITBISA-ABC-BATERAI-AA-ALKALINE")</f>
        <v>ITBISA-ABC-BATERAI-AA-ALKALINE</v>
      </c>
      <c r="B309" s="165">
        <f>IFERROR(__xludf.DUMMYFUNCTION("""COMPUTED_VALUE"""),46034.0)</f>
        <v>46034</v>
      </c>
      <c r="C309" s="165" t="str">
        <f>IFERROR(__xludf.DUMMYFUNCTION("""COMPUTED_VALUE"""),"KYAI KONTONG")</f>
        <v>KYAI KONTONG</v>
      </c>
      <c r="D309" s="94">
        <f>IFERROR(__xludf.DUMMYFUNCTION("""COMPUTED_VALUE"""),2.0)</f>
        <v>2</v>
      </c>
    </row>
    <row r="310">
      <c r="A310" s="87" t="str">
        <f>IFERROR(__xludf.DUMMYFUNCTION("""COMPUTED_VALUE"""),"ITBISA-ABC-BATERAI-AA-ALKALINE")</f>
        <v>ITBISA-ABC-BATERAI-AA-ALKALINE</v>
      </c>
      <c r="B310" s="165">
        <f>IFERROR(__xludf.DUMMYFUNCTION("""COMPUTED_VALUE"""),46035.0)</f>
        <v>46035</v>
      </c>
      <c r="C310" s="165" t="str">
        <f>IFERROR(__xludf.DUMMYFUNCTION("""COMPUTED_VALUE"""),"KERTASARI CIAMIS")</f>
        <v>KERTASARI CIAMIS</v>
      </c>
      <c r="D310" s="94">
        <f>IFERROR(__xludf.DUMMYFUNCTION("""COMPUTED_VALUE"""),1.0)</f>
        <v>1</v>
      </c>
    </row>
    <row r="311">
      <c r="A311" s="87" t="str">
        <f>IFERROR(__xludf.DUMMYFUNCTION("""COMPUTED_VALUE"""),"ITBISA-ABC-BATERAI-AA-ALKALINE")</f>
        <v>ITBISA-ABC-BATERAI-AA-ALKALINE</v>
      </c>
      <c r="B311" s="165">
        <f>IFERROR(__xludf.DUMMYFUNCTION("""COMPUTED_VALUE"""),46035.0)</f>
        <v>46035</v>
      </c>
      <c r="C311" s="165" t="str">
        <f>IFERROR(__xludf.DUMMYFUNCTION("""COMPUTED_VALUE"""),"KERTASARI CIAMIS")</f>
        <v>KERTASARI CIAMIS</v>
      </c>
      <c r="D311" s="94">
        <f>IFERROR(__xludf.DUMMYFUNCTION("""COMPUTED_VALUE"""),2.0)</f>
        <v>2</v>
      </c>
    </row>
    <row r="312">
      <c r="A312" s="87" t="str">
        <f>IFERROR(__xludf.DUMMYFUNCTION("""COMPUTED_VALUE"""),"ITBISA-ABC-BATERAI-AA-ALKALINE")</f>
        <v>ITBISA-ABC-BATERAI-AA-ALKALINE</v>
      </c>
      <c r="B312" s="165">
        <f>IFERROR(__xludf.DUMMYFUNCTION("""COMPUTED_VALUE"""),46035.0)</f>
        <v>46035</v>
      </c>
      <c r="C312" s="165" t="str">
        <f>IFERROR(__xludf.DUMMYFUNCTION("""COMPUTED_VALUE"""),"KYAI KONTONG")</f>
        <v>KYAI KONTONG</v>
      </c>
      <c r="D312" s="94">
        <f>IFERROR(__xludf.DUMMYFUNCTION("""COMPUTED_VALUE"""),5.0)</f>
        <v>5</v>
      </c>
    </row>
    <row r="313">
      <c r="A313" s="87" t="str">
        <f>IFERROR(__xludf.DUMMYFUNCTION("""COMPUTED_VALUE"""),"ITBISA-ABC-BATERAI-AA-ALKALINE")</f>
        <v>ITBISA-ABC-BATERAI-AA-ALKALINE</v>
      </c>
      <c r="B313" s="165">
        <f>IFERROR(__xludf.DUMMYFUNCTION("""COMPUTED_VALUE"""),46036.0)</f>
        <v>46036</v>
      </c>
      <c r="C313" s="165" t="str">
        <f>IFERROR(__xludf.DUMMYFUNCTION("""COMPUTED_VALUE"""),"KERTASARI CIAMIS")</f>
        <v>KERTASARI CIAMIS</v>
      </c>
      <c r="D313" s="94">
        <f>IFERROR(__xludf.DUMMYFUNCTION("""COMPUTED_VALUE"""),2.0)</f>
        <v>2</v>
      </c>
    </row>
    <row r="314">
      <c r="A314" s="87" t="str">
        <f>IFERROR(__xludf.DUMMYFUNCTION("""COMPUTED_VALUE"""),"ITBISA-ABC-BATERAI-AA-ALKALINE")</f>
        <v>ITBISA-ABC-BATERAI-AA-ALKALINE</v>
      </c>
      <c r="B314" s="165">
        <f>IFERROR(__xludf.DUMMYFUNCTION("""COMPUTED_VALUE"""),46036.0)</f>
        <v>46036</v>
      </c>
      <c r="C314" s="165" t="str">
        <f>IFERROR(__xludf.DUMMYFUNCTION("""COMPUTED_VALUE"""),"KERTASARI CIAMIS")</f>
        <v>KERTASARI CIAMIS</v>
      </c>
      <c r="D314" s="94">
        <f>IFERROR(__xludf.DUMMYFUNCTION("""COMPUTED_VALUE"""),2.0)</f>
        <v>2</v>
      </c>
    </row>
    <row r="315">
      <c r="A315" s="87" t="str">
        <f>IFERROR(__xludf.DUMMYFUNCTION("""COMPUTED_VALUE"""),"ITBISA-ABC-BATERAI-AA-ALKALINE")</f>
        <v>ITBISA-ABC-BATERAI-AA-ALKALINE</v>
      </c>
      <c r="B315" s="165">
        <f>IFERROR(__xludf.DUMMYFUNCTION("""COMPUTED_VALUE"""),46036.0)</f>
        <v>46036</v>
      </c>
      <c r="C315" s="165" t="str">
        <f>IFERROR(__xludf.DUMMYFUNCTION("""COMPUTED_VALUE"""),"KYAI KONTONG")</f>
        <v>KYAI KONTONG</v>
      </c>
      <c r="D315" s="94">
        <f>IFERROR(__xludf.DUMMYFUNCTION("""COMPUTED_VALUE"""),120.0)</f>
        <v>120</v>
      </c>
    </row>
    <row r="316">
      <c r="A316" s="87" t="str">
        <f>IFERROR(__xludf.DUMMYFUNCTION("""COMPUTED_VALUE"""),"ITBISA-ABC-BATERAI-AA-ALKALINE")</f>
        <v>ITBISA-ABC-BATERAI-AA-ALKALINE</v>
      </c>
      <c r="B316" s="165">
        <f>IFERROR(__xludf.DUMMYFUNCTION("""COMPUTED_VALUE"""),46037.0)</f>
        <v>46037</v>
      </c>
      <c r="C316" s="165" t="str">
        <f>IFERROR(__xludf.DUMMYFUNCTION("""COMPUTED_VALUE"""),"KERTASARI CIAMIS")</f>
        <v>KERTASARI CIAMIS</v>
      </c>
      <c r="D316" s="94">
        <f>IFERROR(__xludf.DUMMYFUNCTION("""COMPUTED_VALUE"""),1.0)</f>
        <v>1</v>
      </c>
    </row>
    <row r="317">
      <c r="A317" s="87" t="str">
        <f>IFERROR(__xludf.DUMMYFUNCTION("""COMPUTED_VALUE"""),"ITBISA-ABC-BATERAI-AA-ALKALINE")</f>
        <v>ITBISA-ABC-BATERAI-AA-ALKALINE</v>
      </c>
      <c r="B317" s="165">
        <f>IFERROR(__xludf.DUMMYFUNCTION("""COMPUTED_VALUE"""),46037.0)</f>
        <v>46037</v>
      </c>
      <c r="C317" s="165" t="str">
        <f>IFERROR(__xludf.DUMMYFUNCTION("""COMPUTED_VALUE"""),"KERTASARI CIAMIS")</f>
        <v>KERTASARI CIAMIS</v>
      </c>
      <c r="D317" s="94">
        <f>IFERROR(__xludf.DUMMYFUNCTION("""COMPUTED_VALUE"""),2.0)</f>
        <v>2</v>
      </c>
    </row>
    <row r="318">
      <c r="A318" s="87" t="str">
        <f>IFERROR(__xludf.DUMMYFUNCTION("""COMPUTED_VALUE"""),"ITBISA-ABC-BATERAI-AA-ALKALINE")</f>
        <v>ITBISA-ABC-BATERAI-AA-ALKALINE</v>
      </c>
      <c r="B318" s="165">
        <f>IFERROR(__xludf.DUMMYFUNCTION("""COMPUTED_VALUE"""),46037.0)</f>
        <v>46037</v>
      </c>
      <c r="C318" s="165" t="str">
        <f>IFERROR(__xludf.DUMMYFUNCTION("""COMPUTED_VALUE"""),"KERTASARI CIAMIS")</f>
        <v>KERTASARI CIAMIS</v>
      </c>
      <c r="D318" s="94">
        <f>IFERROR(__xludf.DUMMYFUNCTION("""COMPUTED_VALUE"""),2.0)</f>
        <v>2</v>
      </c>
    </row>
    <row r="319">
      <c r="A319" s="87" t="str">
        <f>IFERROR(__xludf.DUMMYFUNCTION("""COMPUTED_VALUE"""),"ITBISA-ABC-BATERAI-AA-ALKALINE")</f>
        <v>ITBISA-ABC-BATERAI-AA-ALKALINE</v>
      </c>
      <c r="B319" s="165">
        <f>IFERROR(__xludf.DUMMYFUNCTION("""COMPUTED_VALUE"""),46037.0)</f>
        <v>46037</v>
      </c>
      <c r="C319" s="165" t="str">
        <f>IFERROR(__xludf.DUMMYFUNCTION("""COMPUTED_VALUE"""),"KERTASARI CIAMIS")</f>
        <v>KERTASARI CIAMIS</v>
      </c>
      <c r="D319" s="94">
        <f>IFERROR(__xludf.DUMMYFUNCTION("""COMPUTED_VALUE"""),2.0)</f>
        <v>2</v>
      </c>
    </row>
    <row r="320">
      <c r="A320" s="87" t="str">
        <f>IFERROR(__xludf.DUMMYFUNCTION("""COMPUTED_VALUE"""),"ITBISA-ABC-BATERAI-AA-ALKALINE")</f>
        <v>ITBISA-ABC-BATERAI-AA-ALKALINE</v>
      </c>
      <c r="B320" s="165">
        <f>IFERROR(__xludf.DUMMYFUNCTION("""COMPUTED_VALUE"""),46037.0)</f>
        <v>46037</v>
      </c>
      <c r="C320" s="165" t="str">
        <f>IFERROR(__xludf.DUMMYFUNCTION("""COMPUTED_VALUE"""),"KYAI KONTONG")</f>
        <v>KYAI KONTONG</v>
      </c>
      <c r="D320" s="94">
        <f>IFERROR(__xludf.DUMMYFUNCTION("""COMPUTED_VALUE"""),2.0)</f>
        <v>2</v>
      </c>
    </row>
    <row r="321">
      <c r="A321" s="87" t="str">
        <f>IFERROR(__xludf.DUMMYFUNCTION("""COMPUTED_VALUE"""),"ITBISA-ABC-BATERAI-AA-ALKALINE")</f>
        <v>ITBISA-ABC-BATERAI-AA-ALKALINE</v>
      </c>
      <c r="B321" s="165">
        <f>IFERROR(__xludf.DUMMYFUNCTION("""COMPUTED_VALUE"""),46038.0)</f>
        <v>46038</v>
      </c>
      <c r="C321" s="165" t="str">
        <f>IFERROR(__xludf.DUMMYFUNCTION("""COMPUTED_VALUE"""),"KERTASARI CIAMIS")</f>
        <v>KERTASARI CIAMIS</v>
      </c>
      <c r="D321" s="94">
        <f>IFERROR(__xludf.DUMMYFUNCTION("""COMPUTED_VALUE"""),2.0)</f>
        <v>2</v>
      </c>
    </row>
    <row r="322">
      <c r="A322" s="87" t="str">
        <f>IFERROR(__xludf.DUMMYFUNCTION("""COMPUTED_VALUE"""),"ITBISA-ABC-BATERAI-AA-ALKALINE")</f>
        <v>ITBISA-ABC-BATERAI-AA-ALKALINE</v>
      </c>
      <c r="B322" s="165">
        <f>IFERROR(__xludf.DUMMYFUNCTION("""COMPUTED_VALUE"""),46038.0)</f>
        <v>46038</v>
      </c>
      <c r="C322" s="165" t="str">
        <f>IFERROR(__xludf.DUMMYFUNCTION("""COMPUTED_VALUE"""),"KERTASARI CIAMIS")</f>
        <v>KERTASARI CIAMIS</v>
      </c>
      <c r="D322" s="94">
        <f>IFERROR(__xludf.DUMMYFUNCTION("""COMPUTED_VALUE"""),2.0)</f>
        <v>2</v>
      </c>
    </row>
    <row r="323">
      <c r="A323" s="87" t="str">
        <f>IFERROR(__xludf.DUMMYFUNCTION("""COMPUTED_VALUE"""),"ITBISA-ABC-BATERAI-AA-ALKALINE")</f>
        <v>ITBISA-ABC-BATERAI-AA-ALKALINE</v>
      </c>
      <c r="B323" s="165">
        <f>IFERROR(__xludf.DUMMYFUNCTION("""COMPUTED_VALUE"""),46038.0)</f>
        <v>46038</v>
      </c>
      <c r="C323" s="165" t="str">
        <f>IFERROR(__xludf.DUMMYFUNCTION("""COMPUTED_VALUE"""),"KERTASARI CIAMIS")</f>
        <v>KERTASARI CIAMIS</v>
      </c>
      <c r="D323" s="94">
        <f>IFERROR(__xludf.DUMMYFUNCTION("""COMPUTED_VALUE"""),48.0)</f>
        <v>48</v>
      </c>
    </row>
    <row r="324">
      <c r="A324" s="87" t="str">
        <f>IFERROR(__xludf.DUMMYFUNCTION("""COMPUTED_VALUE"""),"ITBISA-ABC-BATERAI-AA-ALKALINE")</f>
        <v>ITBISA-ABC-BATERAI-AA-ALKALINE</v>
      </c>
      <c r="B324" s="165">
        <f>IFERROR(__xludf.DUMMYFUNCTION("""COMPUTED_VALUE"""),46039.0)</f>
        <v>46039</v>
      </c>
      <c r="C324" s="165" t="str">
        <f>IFERROR(__xludf.DUMMYFUNCTION("""COMPUTED_VALUE"""),"KERTASARI CIAMIS")</f>
        <v>KERTASARI CIAMIS</v>
      </c>
      <c r="D324" s="94">
        <f>IFERROR(__xludf.DUMMYFUNCTION("""COMPUTED_VALUE"""),1.0)</f>
        <v>1</v>
      </c>
    </row>
    <row r="325">
      <c r="A325" s="87" t="str">
        <f>IFERROR(__xludf.DUMMYFUNCTION("""COMPUTED_VALUE"""),"ITBISA-ABC-BATERAI-AA-ALKALINE")</f>
        <v>ITBISA-ABC-BATERAI-AA-ALKALINE</v>
      </c>
      <c r="B325" s="165">
        <f>IFERROR(__xludf.DUMMYFUNCTION("""COMPUTED_VALUE"""),46039.0)</f>
        <v>46039</v>
      </c>
      <c r="C325" s="165" t="str">
        <f>IFERROR(__xludf.DUMMYFUNCTION("""COMPUTED_VALUE"""),"KERTASARI CIAMIS")</f>
        <v>KERTASARI CIAMIS</v>
      </c>
      <c r="D325" s="94">
        <f>IFERROR(__xludf.DUMMYFUNCTION("""COMPUTED_VALUE"""),2.0)</f>
        <v>2</v>
      </c>
    </row>
    <row r="326">
      <c r="A326" s="87" t="str">
        <f>IFERROR(__xludf.DUMMYFUNCTION("""COMPUTED_VALUE"""),"ITBISA-ABC-BATERAI-AA-ALKALINE")</f>
        <v>ITBISA-ABC-BATERAI-AA-ALKALINE</v>
      </c>
      <c r="B326" s="165">
        <f>IFERROR(__xludf.DUMMYFUNCTION("""COMPUTED_VALUE"""),46040.0)</f>
        <v>46040</v>
      </c>
      <c r="C326" s="165" t="str">
        <f>IFERROR(__xludf.DUMMYFUNCTION("""COMPUTED_VALUE"""),"KERTASARI CIAMIS")</f>
        <v>KERTASARI CIAMIS</v>
      </c>
      <c r="D326" s="94">
        <f>IFERROR(__xludf.DUMMYFUNCTION("""COMPUTED_VALUE"""),2.0)</f>
        <v>2</v>
      </c>
    </row>
    <row r="327">
      <c r="A327" s="87" t="str">
        <f>IFERROR(__xludf.DUMMYFUNCTION("""COMPUTED_VALUE"""),"ITBISA-ABC-BATERAI-AA-ALKALINE")</f>
        <v>ITBISA-ABC-BATERAI-AA-ALKALINE</v>
      </c>
      <c r="B327" s="165">
        <f>IFERROR(__xludf.DUMMYFUNCTION("""COMPUTED_VALUE"""),46040.0)</f>
        <v>46040</v>
      </c>
      <c r="C327" s="165" t="str">
        <f>IFERROR(__xludf.DUMMYFUNCTION("""COMPUTED_VALUE"""),"KYAI KONTONG")</f>
        <v>KYAI KONTONG</v>
      </c>
      <c r="D327" s="94">
        <f>IFERROR(__xludf.DUMMYFUNCTION("""COMPUTED_VALUE"""),1.0)</f>
        <v>1</v>
      </c>
    </row>
    <row r="328">
      <c r="A328" s="87" t="str">
        <f>IFERROR(__xludf.DUMMYFUNCTION("""COMPUTED_VALUE"""),"ITBISA-ABC-BATERAI-AA-ALKALINE")</f>
        <v>ITBISA-ABC-BATERAI-AA-ALKALINE</v>
      </c>
      <c r="B328" s="165">
        <f>IFERROR(__xludf.DUMMYFUNCTION("""COMPUTED_VALUE"""),46040.0)</f>
        <v>46040</v>
      </c>
      <c r="C328" s="165" t="str">
        <f>IFERROR(__xludf.DUMMYFUNCTION("""COMPUTED_VALUE"""),"KYAI KONTONG")</f>
        <v>KYAI KONTONG</v>
      </c>
      <c r="D328" s="94">
        <f>IFERROR(__xludf.DUMMYFUNCTION("""COMPUTED_VALUE"""),2.0)</f>
        <v>2</v>
      </c>
    </row>
    <row r="329">
      <c r="A329" s="87" t="str">
        <f>IFERROR(__xludf.DUMMYFUNCTION("""COMPUTED_VALUE"""),"ITBISA-ABC-BATERAI-AA-ALKALINE")</f>
        <v>ITBISA-ABC-BATERAI-AA-ALKALINE</v>
      </c>
      <c r="B329" s="165">
        <f>IFERROR(__xludf.DUMMYFUNCTION("""COMPUTED_VALUE"""),46040.0)</f>
        <v>46040</v>
      </c>
      <c r="C329" s="165" t="str">
        <f>IFERROR(__xludf.DUMMYFUNCTION("""COMPUTED_VALUE"""),"KYAI KONTONG")</f>
        <v>KYAI KONTONG</v>
      </c>
      <c r="D329" s="94">
        <f>IFERROR(__xludf.DUMMYFUNCTION("""COMPUTED_VALUE"""),3.0)</f>
        <v>3</v>
      </c>
    </row>
    <row r="330">
      <c r="A330" s="87" t="str">
        <f>IFERROR(__xludf.DUMMYFUNCTION("""COMPUTED_VALUE"""),"ITBISA-ABC-BATERAI-AA-ALKALINE")</f>
        <v>ITBISA-ABC-BATERAI-AA-ALKALINE</v>
      </c>
      <c r="B330" s="165">
        <f>IFERROR(__xludf.DUMMYFUNCTION("""COMPUTED_VALUE"""),46040.0)</f>
        <v>46040</v>
      </c>
      <c r="C330" s="165" t="str">
        <f>IFERROR(__xludf.DUMMYFUNCTION("""COMPUTED_VALUE"""),"KYAI KONTONG")</f>
        <v>KYAI KONTONG</v>
      </c>
      <c r="D330" s="94">
        <f>IFERROR(__xludf.DUMMYFUNCTION("""COMPUTED_VALUE"""),8.0)</f>
        <v>8</v>
      </c>
    </row>
    <row r="331">
      <c r="A331" s="87" t="str">
        <f>IFERROR(__xludf.DUMMYFUNCTION("""COMPUTED_VALUE"""),"ITBISA-ABC-BATERAI-AA-ALKALINE")</f>
        <v>ITBISA-ABC-BATERAI-AA-ALKALINE</v>
      </c>
      <c r="B331" s="165">
        <f>IFERROR(__xludf.DUMMYFUNCTION("""COMPUTED_VALUE"""),46041.0)</f>
        <v>46041</v>
      </c>
      <c r="C331" s="165" t="str">
        <f>IFERROR(__xludf.DUMMYFUNCTION("""COMPUTED_VALUE"""),"KERTASARI CIAMIS")</f>
        <v>KERTASARI CIAMIS</v>
      </c>
      <c r="D331" s="94">
        <f>IFERROR(__xludf.DUMMYFUNCTION("""COMPUTED_VALUE"""),1.0)</f>
        <v>1</v>
      </c>
    </row>
    <row r="332">
      <c r="A332" s="87" t="str">
        <f>IFERROR(__xludf.DUMMYFUNCTION("""COMPUTED_VALUE"""),"ITBISA-ABC-BATERAI-AA-ALKALINE")</f>
        <v>ITBISA-ABC-BATERAI-AA-ALKALINE</v>
      </c>
      <c r="B332" s="165">
        <f>IFERROR(__xludf.DUMMYFUNCTION("""COMPUTED_VALUE"""),46041.0)</f>
        <v>46041</v>
      </c>
      <c r="C332" s="165" t="str">
        <f>IFERROR(__xludf.DUMMYFUNCTION("""COMPUTED_VALUE"""),"KERTASARI CIAMIS")</f>
        <v>KERTASARI CIAMIS</v>
      </c>
      <c r="D332" s="94">
        <f>IFERROR(__xludf.DUMMYFUNCTION("""COMPUTED_VALUE"""),2.0)</f>
        <v>2</v>
      </c>
    </row>
    <row r="333">
      <c r="A333" s="87" t="str">
        <f>IFERROR(__xludf.DUMMYFUNCTION("""COMPUTED_VALUE"""),"ITBISA-ABC-BATERAI-AA-ALKALINE")</f>
        <v>ITBISA-ABC-BATERAI-AA-ALKALINE</v>
      </c>
      <c r="B333" s="165">
        <f>IFERROR(__xludf.DUMMYFUNCTION("""COMPUTED_VALUE"""),46041.0)</f>
        <v>46041</v>
      </c>
      <c r="C333" s="165" t="str">
        <f>IFERROR(__xludf.DUMMYFUNCTION("""COMPUTED_VALUE"""),"KYAI KONTONG")</f>
        <v>KYAI KONTONG</v>
      </c>
      <c r="D333" s="94">
        <f>IFERROR(__xludf.DUMMYFUNCTION("""COMPUTED_VALUE"""),2.0)</f>
        <v>2</v>
      </c>
    </row>
    <row r="334">
      <c r="A334" s="87" t="str">
        <f>IFERROR(__xludf.DUMMYFUNCTION("""COMPUTED_VALUE"""),"ITBISA-ABC-BATERAI-AA-ALKALINE")</f>
        <v>ITBISA-ABC-BATERAI-AA-ALKALINE</v>
      </c>
      <c r="B334" s="165">
        <f>IFERROR(__xludf.DUMMYFUNCTION("""COMPUTED_VALUE"""),46043.0)</f>
        <v>46043</v>
      </c>
      <c r="C334" s="165" t="str">
        <f>IFERROR(__xludf.DUMMYFUNCTION("""COMPUTED_VALUE"""),"KYAI KONTONG")</f>
        <v>KYAI KONTONG</v>
      </c>
      <c r="D334" s="94">
        <f>IFERROR(__xludf.DUMMYFUNCTION("""COMPUTED_VALUE"""),2.0)</f>
        <v>2</v>
      </c>
    </row>
    <row r="335">
      <c r="A335" s="87" t="str">
        <f>IFERROR(__xludf.DUMMYFUNCTION("""COMPUTED_VALUE"""),"ITBISA-ABC-BATERAI-AA-ALKALINE")</f>
        <v>ITBISA-ABC-BATERAI-AA-ALKALINE</v>
      </c>
      <c r="B335" s="165">
        <f>IFERROR(__xludf.DUMMYFUNCTION("""COMPUTED_VALUE"""),46044.0)</f>
        <v>46044</v>
      </c>
      <c r="C335" s="165" t="str">
        <f>IFERROR(__xludf.DUMMYFUNCTION("""COMPUTED_VALUE"""),"KYAI KONTONG")</f>
        <v>KYAI KONTONG</v>
      </c>
      <c r="D335" s="94">
        <f>IFERROR(__xludf.DUMMYFUNCTION("""COMPUTED_VALUE"""),2.0)</f>
        <v>2</v>
      </c>
    </row>
    <row r="336">
      <c r="A336" s="87" t="str">
        <f>IFERROR(__xludf.DUMMYFUNCTION("""COMPUTED_VALUE"""),"ITBISA-ABC-BATERAI-AA-ALKALINE")</f>
        <v>ITBISA-ABC-BATERAI-AA-ALKALINE</v>
      </c>
      <c r="B336" s="165">
        <f>IFERROR(__xludf.DUMMYFUNCTION("""COMPUTED_VALUE"""),46047.0)</f>
        <v>46047</v>
      </c>
      <c r="C336" s="165" t="str">
        <f>IFERROR(__xludf.DUMMYFUNCTION("""COMPUTED_VALUE"""),"KYAI KONTONG")</f>
        <v>KYAI KONTONG</v>
      </c>
      <c r="D336" s="94">
        <f>IFERROR(__xludf.DUMMYFUNCTION("""COMPUTED_VALUE"""),1.0)</f>
        <v>1</v>
      </c>
    </row>
    <row r="337">
      <c r="A337" s="87" t="str">
        <f>IFERROR(__xludf.DUMMYFUNCTION("""COMPUTED_VALUE"""),"ITBISA-ABC-BATERAI-AA-ALKALINE")</f>
        <v>ITBISA-ABC-BATERAI-AA-ALKALINE</v>
      </c>
      <c r="B337" s="165">
        <f>IFERROR(__xludf.DUMMYFUNCTION("""COMPUTED_VALUE"""),46047.0)</f>
        <v>46047</v>
      </c>
      <c r="C337" s="165" t="str">
        <f>IFERROR(__xludf.DUMMYFUNCTION("""COMPUTED_VALUE"""),"KYAI KONTONG")</f>
        <v>KYAI KONTONG</v>
      </c>
      <c r="D337" s="94">
        <f>IFERROR(__xludf.DUMMYFUNCTION("""COMPUTED_VALUE"""),1.0)</f>
        <v>1</v>
      </c>
    </row>
    <row r="338">
      <c r="A338" s="87" t="str">
        <f>IFERROR(__xludf.DUMMYFUNCTION("""COMPUTED_VALUE"""),"ITBISA-ABC-BATERAI-AA-ALKALINE")</f>
        <v>ITBISA-ABC-BATERAI-AA-ALKALINE</v>
      </c>
      <c r="B338" s="165">
        <f>IFERROR(__xludf.DUMMYFUNCTION("""COMPUTED_VALUE"""),46047.0)</f>
        <v>46047</v>
      </c>
      <c r="C338" s="165" t="str">
        <f>IFERROR(__xludf.DUMMYFUNCTION("""COMPUTED_VALUE"""),"KYAI KONTONG")</f>
        <v>KYAI KONTONG</v>
      </c>
      <c r="D338" s="94">
        <f>IFERROR(__xludf.DUMMYFUNCTION("""COMPUTED_VALUE"""),1.0)</f>
        <v>1</v>
      </c>
    </row>
    <row r="339">
      <c r="A339" s="87" t="str">
        <f>IFERROR(__xludf.DUMMYFUNCTION("""COMPUTED_VALUE"""),"ITBISA-ABC-BATERAI-AA-ALKALINE")</f>
        <v>ITBISA-ABC-BATERAI-AA-ALKALINE</v>
      </c>
      <c r="B339" s="165">
        <f>IFERROR(__xludf.DUMMYFUNCTION("""COMPUTED_VALUE"""),46047.0)</f>
        <v>46047</v>
      </c>
      <c r="C339" s="165" t="str">
        <f>IFERROR(__xludf.DUMMYFUNCTION("""COMPUTED_VALUE"""),"KYAI KONTONG")</f>
        <v>KYAI KONTONG</v>
      </c>
      <c r="D339" s="94">
        <f>IFERROR(__xludf.DUMMYFUNCTION("""COMPUTED_VALUE"""),8.0)</f>
        <v>8</v>
      </c>
    </row>
    <row r="340">
      <c r="A340" s="87" t="str">
        <f>IFERROR(__xludf.DUMMYFUNCTION("""COMPUTED_VALUE"""),"ITBISA-ABC-BATERAI-AA-ALKALINE")</f>
        <v>ITBISA-ABC-BATERAI-AA-ALKALINE</v>
      </c>
      <c r="B340" s="165">
        <f>IFERROR(__xludf.DUMMYFUNCTION("""COMPUTED_VALUE"""),46048.0)</f>
        <v>46048</v>
      </c>
      <c r="C340" s="165" t="str">
        <f>IFERROR(__xludf.DUMMYFUNCTION("""COMPUTED_VALUE"""),"KYAI KONTONG")</f>
        <v>KYAI KONTONG</v>
      </c>
      <c r="D340" s="94">
        <f>IFERROR(__xludf.DUMMYFUNCTION("""COMPUTED_VALUE"""),3.0)</f>
        <v>3</v>
      </c>
    </row>
    <row r="341">
      <c r="A341" s="87" t="str">
        <f>IFERROR(__xludf.DUMMYFUNCTION("""COMPUTED_VALUE"""),"ITBISA-ABC-BATERAI-AA-ALKALINE")</f>
        <v>ITBISA-ABC-BATERAI-AA-ALKALINE</v>
      </c>
      <c r="B341" s="165">
        <f>IFERROR(__xludf.DUMMYFUNCTION("""COMPUTED_VALUE"""),46050.0)</f>
        <v>46050</v>
      </c>
      <c r="C341" s="165" t="str">
        <f>IFERROR(__xludf.DUMMYFUNCTION("""COMPUTED_VALUE"""),"KERTASARI CIAMIS")</f>
        <v>KERTASARI CIAMIS</v>
      </c>
      <c r="D341" s="94">
        <f>IFERROR(__xludf.DUMMYFUNCTION("""COMPUTED_VALUE"""),1.0)</f>
        <v>1</v>
      </c>
    </row>
    <row r="342">
      <c r="A342" s="87" t="str">
        <f>IFERROR(__xludf.DUMMYFUNCTION("""COMPUTED_VALUE"""),"ITBISA-ABC-BATERAI-AA-ALKALINE")</f>
        <v>ITBISA-ABC-BATERAI-AA-ALKALINE</v>
      </c>
      <c r="B342" s="165">
        <f>IFERROR(__xludf.DUMMYFUNCTION("""COMPUTED_VALUE"""),46050.0)</f>
        <v>46050</v>
      </c>
      <c r="C342" s="165" t="str">
        <f>IFERROR(__xludf.DUMMYFUNCTION("""COMPUTED_VALUE"""),"KERTASARI CIAMIS")</f>
        <v>KERTASARI CIAMIS</v>
      </c>
      <c r="D342" s="94">
        <f>IFERROR(__xludf.DUMMYFUNCTION("""COMPUTED_VALUE"""),1.0)</f>
        <v>1</v>
      </c>
    </row>
    <row r="343">
      <c r="A343" s="87" t="str">
        <f>IFERROR(__xludf.DUMMYFUNCTION("""COMPUTED_VALUE"""),"ITBISA-ABC-BATERAI-AA-ALKALINE")</f>
        <v>ITBISA-ABC-BATERAI-AA-ALKALINE</v>
      </c>
      <c r="B343" s="165">
        <f>IFERROR(__xludf.DUMMYFUNCTION("""COMPUTED_VALUE"""),46051.0)</f>
        <v>46051</v>
      </c>
      <c r="C343" s="165" t="str">
        <f>IFERROR(__xludf.DUMMYFUNCTION("""COMPUTED_VALUE"""),"KERTASARI CIAMIS")</f>
        <v>KERTASARI CIAMIS</v>
      </c>
      <c r="D343" s="94">
        <f>IFERROR(__xludf.DUMMYFUNCTION("""COMPUTED_VALUE"""),1.0)</f>
        <v>1</v>
      </c>
    </row>
    <row r="344">
      <c r="A344" s="87" t="str">
        <f>IFERROR(__xludf.DUMMYFUNCTION("""COMPUTED_VALUE"""),"ITBISA-ABC-BATERAI-AA-ALKALINE")</f>
        <v>ITBISA-ABC-BATERAI-AA-ALKALINE</v>
      </c>
      <c r="B344" s="165">
        <f>IFERROR(__xludf.DUMMYFUNCTION("""COMPUTED_VALUE"""),46054.0)</f>
        <v>46054</v>
      </c>
      <c r="C344" s="165" t="str">
        <f>IFERROR(__xludf.DUMMYFUNCTION("""COMPUTED_VALUE"""),"KERTASARI CIAMIS")</f>
        <v>KERTASARI CIAMIS</v>
      </c>
      <c r="D344" s="94">
        <f>IFERROR(__xludf.DUMMYFUNCTION("""COMPUTED_VALUE"""),2.0)</f>
        <v>2</v>
      </c>
    </row>
    <row r="345">
      <c r="A345" s="87" t="str">
        <f>IFERROR(__xludf.DUMMYFUNCTION("""COMPUTED_VALUE"""),"ITBISA-ABC-BATERAI-AA-ALKALINE")</f>
        <v>ITBISA-ABC-BATERAI-AA-ALKALINE</v>
      </c>
      <c r="B345" s="165">
        <f>IFERROR(__xludf.DUMMYFUNCTION("""COMPUTED_VALUE"""),46054.0)</f>
        <v>46054</v>
      </c>
      <c r="C345" s="165" t="str">
        <f>IFERROR(__xludf.DUMMYFUNCTION("""COMPUTED_VALUE"""),"KERTASARI CIAMIS")</f>
        <v>KERTASARI CIAMIS</v>
      </c>
      <c r="D345" s="94">
        <f>IFERROR(__xludf.DUMMYFUNCTION("""COMPUTED_VALUE"""),8.0)</f>
        <v>8</v>
      </c>
    </row>
    <row r="346">
      <c r="A346" s="87" t="str">
        <f>IFERROR(__xludf.DUMMYFUNCTION("""COMPUTED_VALUE"""),"ITBISA-ABC-BATERAI-AA-ALKALINE")</f>
        <v>ITBISA-ABC-BATERAI-AA-ALKALINE</v>
      </c>
      <c r="B346" s="165">
        <f>IFERROR(__xludf.DUMMYFUNCTION("""COMPUTED_VALUE"""),46055.0)</f>
        <v>46055</v>
      </c>
      <c r="C346" s="165" t="str">
        <f>IFERROR(__xludf.DUMMYFUNCTION("""COMPUTED_VALUE"""),"KERTASARI CIAMIS")</f>
        <v>KERTASARI CIAMIS</v>
      </c>
      <c r="D346" s="94">
        <f>IFERROR(__xludf.DUMMYFUNCTION("""COMPUTED_VALUE"""),1.0)</f>
        <v>1</v>
      </c>
    </row>
    <row r="347">
      <c r="A347" s="87" t="str">
        <f>IFERROR(__xludf.DUMMYFUNCTION("""COMPUTED_VALUE"""),"ITBISA-ABC-BATERAI-AA-ALKALINE")</f>
        <v>ITBISA-ABC-BATERAI-AA-ALKALINE</v>
      </c>
      <c r="B347" s="165">
        <f>IFERROR(__xludf.DUMMYFUNCTION("""COMPUTED_VALUE"""),46055.0)</f>
        <v>46055</v>
      </c>
      <c r="C347" s="165" t="str">
        <f>IFERROR(__xludf.DUMMYFUNCTION("""COMPUTED_VALUE"""),"KERTASARI CIAMIS")</f>
        <v>KERTASARI CIAMIS</v>
      </c>
      <c r="D347" s="94">
        <f>IFERROR(__xludf.DUMMYFUNCTION("""COMPUTED_VALUE"""),1.0)</f>
        <v>1</v>
      </c>
    </row>
    <row r="348">
      <c r="A348" s="87" t="str">
        <f>IFERROR(__xludf.DUMMYFUNCTION("""COMPUTED_VALUE"""),"ITBISA-ABC-BATERAI-AA-ALKALINE")</f>
        <v>ITBISA-ABC-BATERAI-AA-ALKALINE</v>
      </c>
      <c r="B348" s="165">
        <f>IFERROR(__xludf.DUMMYFUNCTION("""COMPUTED_VALUE"""),46055.0)</f>
        <v>46055</v>
      </c>
      <c r="C348" s="165" t="str">
        <f>IFERROR(__xludf.DUMMYFUNCTION("""COMPUTED_VALUE"""),"KERTASARI CIAMIS")</f>
        <v>KERTASARI CIAMIS</v>
      </c>
      <c r="D348" s="94">
        <f>IFERROR(__xludf.DUMMYFUNCTION("""COMPUTED_VALUE"""),2.0)</f>
        <v>2</v>
      </c>
    </row>
    <row r="349">
      <c r="A349" s="87" t="str">
        <f>IFERROR(__xludf.DUMMYFUNCTION("""COMPUTED_VALUE"""),"ITBISA-ABC-BATERAI-AA-ALKALINE")</f>
        <v>ITBISA-ABC-BATERAI-AA-ALKALINE</v>
      </c>
      <c r="B349" s="165">
        <f>IFERROR(__xludf.DUMMYFUNCTION("""COMPUTED_VALUE"""),46055.0)</f>
        <v>46055</v>
      </c>
      <c r="C349" s="165" t="str">
        <f>IFERROR(__xludf.DUMMYFUNCTION("""COMPUTED_VALUE"""),"KYAI KONTONG")</f>
        <v>KYAI KONTONG</v>
      </c>
      <c r="D349" s="94">
        <f>IFERROR(__xludf.DUMMYFUNCTION("""COMPUTED_VALUE"""),1.0)</f>
        <v>1</v>
      </c>
    </row>
    <row r="350">
      <c r="A350" s="87" t="str">
        <f>IFERROR(__xludf.DUMMYFUNCTION("""COMPUTED_VALUE"""),"ITBISA-ABC-BATERAI-AA-ALKALINE")</f>
        <v>ITBISA-ABC-BATERAI-AA-ALKALINE</v>
      </c>
      <c r="B350" s="165">
        <f>IFERROR(__xludf.DUMMYFUNCTION("""COMPUTED_VALUE"""),46055.0)</f>
        <v>46055</v>
      </c>
      <c r="C350" s="165" t="str">
        <f>IFERROR(__xludf.DUMMYFUNCTION("""COMPUTED_VALUE"""),"KYAI KONTONG")</f>
        <v>KYAI KONTONG</v>
      </c>
      <c r="D350" s="94">
        <f>IFERROR(__xludf.DUMMYFUNCTION("""COMPUTED_VALUE"""),2.0)</f>
        <v>2</v>
      </c>
    </row>
    <row r="351">
      <c r="A351" s="87" t="str">
        <f>IFERROR(__xludf.DUMMYFUNCTION("""COMPUTED_VALUE"""),"ITBISA-ABC-BATERAI-AA-ALKALINE")</f>
        <v>ITBISA-ABC-BATERAI-AA-ALKALINE</v>
      </c>
      <c r="B351" s="165">
        <f>IFERROR(__xludf.DUMMYFUNCTION("""COMPUTED_VALUE"""),46055.0)</f>
        <v>46055</v>
      </c>
      <c r="C351" s="165" t="str">
        <f>IFERROR(__xludf.DUMMYFUNCTION("""COMPUTED_VALUE"""),"KYAI KONTONG")</f>
        <v>KYAI KONTONG</v>
      </c>
      <c r="D351" s="94">
        <f>IFERROR(__xludf.DUMMYFUNCTION("""COMPUTED_VALUE"""),2.0)</f>
        <v>2</v>
      </c>
    </row>
    <row r="352">
      <c r="A352" s="87" t="str">
        <f>IFERROR(__xludf.DUMMYFUNCTION("""COMPUTED_VALUE"""),"ITBISA-ABC-BATERAI-AA-ALKALINE")</f>
        <v>ITBISA-ABC-BATERAI-AA-ALKALINE</v>
      </c>
      <c r="B352" s="165">
        <f>IFERROR(__xludf.DUMMYFUNCTION("""COMPUTED_VALUE"""),46056.0)</f>
        <v>46056</v>
      </c>
      <c r="C352" s="165" t="str">
        <f>IFERROR(__xludf.DUMMYFUNCTION("""COMPUTED_VALUE"""),"KERTASARI CIAMIS")</f>
        <v>KERTASARI CIAMIS</v>
      </c>
      <c r="D352" s="94">
        <f>IFERROR(__xludf.DUMMYFUNCTION("""COMPUTED_VALUE"""),2.0)</f>
        <v>2</v>
      </c>
    </row>
    <row r="353">
      <c r="A353" s="87" t="str">
        <f>IFERROR(__xludf.DUMMYFUNCTION("""COMPUTED_VALUE"""),"ITBISA-ABC-BATERAI-AA-ALKALINE")</f>
        <v>ITBISA-ABC-BATERAI-AA-ALKALINE</v>
      </c>
      <c r="B353" s="165">
        <f>IFERROR(__xludf.DUMMYFUNCTION("""COMPUTED_VALUE"""),46057.0)</f>
        <v>46057</v>
      </c>
      <c r="C353" s="165" t="str">
        <f>IFERROR(__xludf.DUMMYFUNCTION("""COMPUTED_VALUE"""),"KERTASARI CIAMIS")</f>
        <v>KERTASARI CIAMIS</v>
      </c>
      <c r="D353" s="94">
        <f>IFERROR(__xludf.DUMMYFUNCTION("""COMPUTED_VALUE"""),1.0)</f>
        <v>1</v>
      </c>
    </row>
    <row r="354">
      <c r="A354" s="87" t="str">
        <f>IFERROR(__xludf.DUMMYFUNCTION("""COMPUTED_VALUE"""),"ITBISA-ABC-BATERAI-AA-ALKALINE")</f>
        <v>ITBISA-ABC-BATERAI-AA-ALKALINE</v>
      </c>
      <c r="B354" s="165">
        <f>IFERROR(__xludf.DUMMYFUNCTION("""COMPUTED_VALUE"""),46064.0)</f>
        <v>46064</v>
      </c>
      <c r="C354" s="165" t="str">
        <f>IFERROR(__xludf.DUMMYFUNCTION("""COMPUTED_VALUE"""),"KERTASARI CIAMIS")</f>
        <v>KERTASARI CIAMIS</v>
      </c>
      <c r="D354" s="94">
        <f>IFERROR(__xludf.DUMMYFUNCTION("""COMPUTED_VALUE"""),8.0)</f>
        <v>8</v>
      </c>
    </row>
    <row r="355">
      <c r="A355" s="87" t="str">
        <f>IFERROR(__xludf.DUMMYFUNCTION("""COMPUTED_VALUE"""),"ITBISA-ABC-BATERAI-AA-ALKALINE")</f>
        <v>ITBISA-ABC-BATERAI-AA-ALKALINE</v>
      </c>
      <c r="B355" s="165">
        <f>IFERROR(__xludf.DUMMYFUNCTION("""COMPUTED_VALUE"""),46068.0)</f>
        <v>46068</v>
      </c>
      <c r="C355" s="165" t="str">
        <f>IFERROR(__xludf.DUMMYFUNCTION("""COMPUTED_VALUE"""),"KERTASARI CIAMIS")</f>
        <v>KERTASARI CIAMIS</v>
      </c>
      <c r="D355" s="94">
        <f>IFERROR(__xludf.DUMMYFUNCTION("""COMPUTED_VALUE"""),2.0)</f>
        <v>2</v>
      </c>
    </row>
    <row r="356">
      <c r="A356" s="87" t="str">
        <f>IFERROR(__xludf.DUMMYFUNCTION("""COMPUTED_VALUE"""),"ITBISA-ABC-BATERAI-AA-ALKALINE")</f>
        <v>ITBISA-ABC-BATERAI-AA-ALKALINE</v>
      </c>
      <c r="B356" s="165">
        <f>IFERROR(__xludf.DUMMYFUNCTION("""COMPUTED_VALUE"""),46068.0)</f>
        <v>46068</v>
      </c>
      <c r="C356" s="165" t="str">
        <f>IFERROR(__xludf.DUMMYFUNCTION("""COMPUTED_VALUE"""),"KERTASARI CIAMIS")</f>
        <v>KERTASARI CIAMIS</v>
      </c>
      <c r="D356" s="94">
        <f>IFERROR(__xludf.DUMMYFUNCTION("""COMPUTED_VALUE"""),8.0)</f>
        <v>8</v>
      </c>
    </row>
    <row r="357">
      <c r="A357" s="87" t="str">
        <f>IFERROR(__xludf.DUMMYFUNCTION("""COMPUTED_VALUE"""),"ITBISA-ABC-BATERAI-AA-ALKALINE")</f>
        <v>ITBISA-ABC-BATERAI-AA-ALKALINE</v>
      </c>
      <c r="B357" s="165">
        <f>IFERROR(__xludf.DUMMYFUNCTION("""COMPUTED_VALUE"""),46068.0)</f>
        <v>46068</v>
      </c>
      <c r="C357" s="165" t="str">
        <f>IFERROR(__xludf.DUMMYFUNCTION("""COMPUTED_VALUE"""),"KERTASARI CIAMIS")</f>
        <v>KERTASARI CIAMIS</v>
      </c>
      <c r="D357" s="94">
        <f>IFERROR(__xludf.DUMMYFUNCTION("""COMPUTED_VALUE"""),8.0)</f>
        <v>8</v>
      </c>
    </row>
    <row r="358">
      <c r="A358" s="87" t="str">
        <f>IFERROR(__xludf.DUMMYFUNCTION("""COMPUTED_VALUE"""),"ITBISA-ABC-BATERAI-AA-ALKALINE")</f>
        <v>ITBISA-ABC-BATERAI-AA-ALKALINE</v>
      </c>
      <c r="B358" s="165">
        <f>IFERROR(__xludf.DUMMYFUNCTION("""COMPUTED_VALUE"""),46070.0)</f>
        <v>46070</v>
      </c>
      <c r="C358" s="165" t="str">
        <f>IFERROR(__xludf.DUMMYFUNCTION("""COMPUTED_VALUE"""),"KERTASARI CIAMIS")</f>
        <v>KERTASARI CIAMIS</v>
      </c>
      <c r="D358" s="94">
        <f>IFERROR(__xludf.DUMMYFUNCTION("""COMPUTED_VALUE"""),1.0)</f>
        <v>1</v>
      </c>
    </row>
    <row r="359">
      <c r="A359" s="87" t="str">
        <f>IFERROR(__xludf.DUMMYFUNCTION("""COMPUTED_VALUE"""),"ITBISA-ABC-BATERAI-AA-ALKALINE")</f>
        <v>ITBISA-ABC-BATERAI-AA-ALKALINE</v>
      </c>
      <c r="B359" s="165">
        <f>IFERROR(__xludf.DUMMYFUNCTION("""COMPUTED_VALUE"""),46070.0)</f>
        <v>46070</v>
      </c>
      <c r="C359" s="165" t="str">
        <f>IFERROR(__xludf.DUMMYFUNCTION("""COMPUTED_VALUE"""),"KERTASARI CIAMIS")</f>
        <v>KERTASARI CIAMIS</v>
      </c>
      <c r="D359" s="94">
        <f>IFERROR(__xludf.DUMMYFUNCTION("""COMPUTED_VALUE"""),8.0)</f>
        <v>8</v>
      </c>
    </row>
    <row r="360">
      <c r="A360" s="87" t="str">
        <f>IFERROR(__xludf.DUMMYFUNCTION("""COMPUTED_VALUE"""),"ITBISA-ABC-BATERAI-AA-ALKALINE")</f>
        <v>ITBISA-ABC-BATERAI-AA-ALKALINE</v>
      </c>
      <c r="B360" s="165">
        <f>IFERROR(__xludf.DUMMYFUNCTION("""COMPUTED_VALUE"""),46071.0)</f>
        <v>46071</v>
      </c>
      <c r="C360" s="165" t="str">
        <f>IFERROR(__xludf.DUMMYFUNCTION("""COMPUTED_VALUE"""),"KYAI KONTONG")</f>
        <v>KYAI KONTONG</v>
      </c>
      <c r="D360" s="94">
        <f>IFERROR(__xludf.DUMMYFUNCTION("""COMPUTED_VALUE"""),8.0)</f>
        <v>8</v>
      </c>
    </row>
    <row r="361">
      <c r="A361" s="87" t="str">
        <f>IFERROR(__xludf.DUMMYFUNCTION("""COMPUTED_VALUE"""),"ITBISA-ABC-BATERAI-AA-ALKALINE")</f>
        <v>ITBISA-ABC-BATERAI-AA-ALKALINE</v>
      </c>
      <c r="B361" s="165">
        <f>IFERROR(__xludf.DUMMYFUNCTION("""COMPUTED_VALUE"""),46072.0)</f>
        <v>46072</v>
      </c>
      <c r="C361" s="165" t="str">
        <f>IFERROR(__xludf.DUMMYFUNCTION("""COMPUTED_VALUE"""),"KERTASARI CIAMIS")</f>
        <v>KERTASARI CIAMIS</v>
      </c>
      <c r="D361" s="94">
        <f>IFERROR(__xludf.DUMMYFUNCTION("""COMPUTED_VALUE"""),1.0)</f>
        <v>1</v>
      </c>
    </row>
    <row r="362">
      <c r="A362" s="87" t="str">
        <f>IFERROR(__xludf.DUMMYFUNCTION("""COMPUTED_VALUE"""),"ITBISA-ABC-BATERAI-AA-ALKALINE")</f>
        <v>ITBISA-ABC-BATERAI-AA-ALKALINE</v>
      </c>
      <c r="B362" s="165">
        <f>IFERROR(__xludf.DUMMYFUNCTION("""COMPUTED_VALUE"""),46072.0)</f>
        <v>46072</v>
      </c>
      <c r="C362" s="165" t="str">
        <f>IFERROR(__xludf.DUMMYFUNCTION("""COMPUTED_VALUE"""),"KYAI KONTONG")</f>
        <v>KYAI KONTONG</v>
      </c>
      <c r="D362" s="94">
        <f>IFERROR(__xludf.DUMMYFUNCTION("""COMPUTED_VALUE"""),80.0)</f>
        <v>80</v>
      </c>
    </row>
    <row r="363">
      <c r="A363" s="87" t="str">
        <f>IFERROR(__xludf.DUMMYFUNCTION("""COMPUTED_VALUE"""),"ITBISA-ABC-BATERAI-AA-ALKALINE")</f>
        <v>ITBISA-ABC-BATERAI-AA-ALKALINE</v>
      </c>
      <c r="B363" s="165">
        <f>IFERROR(__xludf.DUMMYFUNCTION("""COMPUTED_VALUE"""),46075.0)</f>
        <v>46075</v>
      </c>
      <c r="C363" s="165" t="str">
        <f>IFERROR(__xludf.DUMMYFUNCTION("""COMPUTED_VALUE"""),"KERTASARI CIAMIS")</f>
        <v>KERTASARI CIAMIS</v>
      </c>
      <c r="D363" s="94">
        <f>IFERROR(__xludf.DUMMYFUNCTION("""COMPUTED_VALUE"""),2.0)</f>
        <v>2</v>
      </c>
    </row>
    <row r="364">
      <c r="A364" s="87" t="str">
        <f>IFERROR(__xludf.DUMMYFUNCTION("""COMPUTED_VALUE"""),"ITBISA-ABC-BATERAI-AA-ALKALINE")</f>
        <v>ITBISA-ABC-BATERAI-AA-ALKALINE</v>
      </c>
      <c r="B364" s="165">
        <f>IFERROR(__xludf.DUMMYFUNCTION("""COMPUTED_VALUE"""),46076.0)</f>
        <v>46076</v>
      </c>
      <c r="C364" s="165" t="str">
        <f>IFERROR(__xludf.DUMMYFUNCTION("""COMPUTED_VALUE"""),"KERTASARI CIAMIS")</f>
        <v>KERTASARI CIAMIS</v>
      </c>
      <c r="D364" s="94">
        <f>IFERROR(__xludf.DUMMYFUNCTION("""COMPUTED_VALUE"""),1.0)</f>
        <v>1</v>
      </c>
    </row>
    <row r="365">
      <c r="A365" s="87" t="str">
        <f>IFERROR(__xludf.DUMMYFUNCTION("""COMPUTED_VALUE"""),"ITBISA-ABC-BATERAI-AA-ALKALINE")</f>
        <v>ITBISA-ABC-BATERAI-AA-ALKALINE</v>
      </c>
      <c r="B365" s="165">
        <f>IFERROR(__xludf.DUMMYFUNCTION("""COMPUTED_VALUE"""),46078.0)</f>
        <v>46078</v>
      </c>
      <c r="C365" s="165" t="str">
        <f>IFERROR(__xludf.DUMMYFUNCTION("""COMPUTED_VALUE"""),"KYAI KONTONG")</f>
        <v>KYAI KONTONG</v>
      </c>
      <c r="D365" s="94">
        <f>IFERROR(__xludf.DUMMYFUNCTION("""COMPUTED_VALUE"""),2.0)</f>
        <v>2</v>
      </c>
    </row>
    <row r="366">
      <c r="A366" s="87" t="str">
        <f>IFERROR(__xludf.DUMMYFUNCTION("""COMPUTED_VALUE"""),"ITBISA-ABC-BATERAI-AA-ALKALINE")</f>
        <v>ITBISA-ABC-BATERAI-AA-ALKALINE</v>
      </c>
      <c r="B366" s="165">
        <f>IFERROR(__xludf.DUMMYFUNCTION("""COMPUTED_VALUE"""),46079.0)</f>
        <v>46079</v>
      </c>
      <c r="C366" s="165" t="str">
        <f>IFERROR(__xludf.DUMMYFUNCTION("""COMPUTED_VALUE"""),"KYAI KONTONG")</f>
        <v>KYAI KONTONG</v>
      </c>
      <c r="D366" s="94">
        <f>IFERROR(__xludf.DUMMYFUNCTION("""COMPUTED_VALUE"""),1.0)</f>
        <v>1</v>
      </c>
    </row>
    <row r="367">
      <c r="A367" s="87" t="str">
        <f>IFERROR(__xludf.DUMMYFUNCTION("""COMPUTED_VALUE"""),"ITBISA-ABC-BATERAI-AA-ALKALINE")</f>
        <v>ITBISA-ABC-BATERAI-AA-ALKALINE</v>
      </c>
      <c r="B367" s="165">
        <f>IFERROR(__xludf.DUMMYFUNCTION("""COMPUTED_VALUE"""),46082.0)</f>
        <v>46082</v>
      </c>
      <c r="C367" s="165" t="str">
        <f>IFERROR(__xludf.DUMMYFUNCTION("""COMPUTED_VALUE"""),"KYAI KONTONG")</f>
        <v>KYAI KONTONG</v>
      </c>
      <c r="D367" s="94">
        <f>IFERROR(__xludf.DUMMYFUNCTION("""COMPUTED_VALUE"""),1.0)</f>
        <v>1</v>
      </c>
    </row>
    <row r="368">
      <c r="A368" s="87" t="str">
        <f>IFERROR(__xludf.DUMMYFUNCTION("""COMPUTED_VALUE"""),"ITBISA-ABC-BATERAI-AA-ALKALINE")</f>
        <v>ITBISA-ABC-BATERAI-AA-ALKALINE</v>
      </c>
      <c r="B368" s="165">
        <f>IFERROR(__xludf.DUMMYFUNCTION("""COMPUTED_VALUE"""),46084.0)</f>
        <v>46084</v>
      </c>
      <c r="C368" s="165" t="str">
        <f>IFERROR(__xludf.DUMMYFUNCTION("""COMPUTED_VALUE"""),"KYAI KONTONG")</f>
        <v>KYAI KONTONG</v>
      </c>
      <c r="D368" s="94">
        <f>IFERROR(__xludf.DUMMYFUNCTION("""COMPUTED_VALUE"""),1.0)</f>
        <v>1</v>
      </c>
    </row>
    <row r="369">
      <c r="A369" s="87" t="str">
        <f>IFERROR(__xludf.DUMMYFUNCTION("""COMPUTED_VALUE"""),"ITBISA-ABC-BATERAI-AA-ALKALINE")</f>
        <v>ITBISA-ABC-BATERAI-AA-ALKALINE</v>
      </c>
      <c r="B369" s="165">
        <f>IFERROR(__xludf.DUMMYFUNCTION("""COMPUTED_VALUE"""),46084.0)</f>
        <v>46084</v>
      </c>
      <c r="C369" s="165" t="str">
        <f>IFERROR(__xludf.DUMMYFUNCTION("""COMPUTED_VALUE"""),"KYAI KONTONG")</f>
        <v>KYAI KONTONG</v>
      </c>
      <c r="D369" s="94">
        <f>IFERROR(__xludf.DUMMYFUNCTION("""COMPUTED_VALUE"""),1.0)</f>
        <v>1</v>
      </c>
    </row>
    <row r="370">
      <c r="A370" s="87" t="str">
        <f>IFERROR(__xludf.DUMMYFUNCTION("""COMPUTED_VALUE"""),"ITBISA-ABC-BATERAI-AA-ALKALINE")</f>
        <v>ITBISA-ABC-BATERAI-AA-ALKALINE</v>
      </c>
      <c r="B370" s="165">
        <f>IFERROR(__xludf.DUMMYFUNCTION("""COMPUTED_VALUE"""),46085.0)</f>
        <v>46085</v>
      </c>
      <c r="C370" s="165" t="str">
        <f>IFERROR(__xludf.DUMMYFUNCTION("""COMPUTED_VALUE"""),"KYAI KONTONG")</f>
        <v>KYAI KONTONG</v>
      </c>
      <c r="D370" s="94">
        <f>IFERROR(__xludf.DUMMYFUNCTION("""COMPUTED_VALUE"""),1.0)</f>
        <v>1</v>
      </c>
    </row>
    <row r="371">
      <c r="A371" s="87" t="str">
        <f>IFERROR(__xludf.DUMMYFUNCTION("""COMPUTED_VALUE"""),"ITBISA-ABC-BATERAI-AA-ALKALINE")</f>
        <v>ITBISA-ABC-BATERAI-AA-ALKALINE</v>
      </c>
      <c r="B371" s="165">
        <f>IFERROR(__xludf.DUMMYFUNCTION("""COMPUTED_VALUE"""),46086.0)</f>
        <v>46086</v>
      </c>
      <c r="C371" s="165" t="str">
        <f>IFERROR(__xludf.DUMMYFUNCTION("""COMPUTED_VALUE"""),"KERTASARI CIAMIS")</f>
        <v>KERTASARI CIAMIS</v>
      </c>
      <c r="D371" s="94">
        <f>IFERROR(__xludf.DUMMYFUNCTION("""COMPUTED_VALUE"""),2.0)</f>
        <v>2</v>
      </c>
    </row>
    <row r="372">
      <c r="A372" s="87" t="str">
        <f>IFERROR(__xludf.DUMMYFUNCTION("""COMPUTED_VALUE"""),"ITBISA-ABC-BATERAI-AA-ALKALINE")</f>
        <v>ITBISA-ABC-BATERAI-AA-ALKALINE</v>
      </c>
      <c r="B372" s="165">
        <f>IFERROR(__xludf.DUMMYFUNCTION("""COMPUTED_VALUE"""),46086.0)</f>
        <v>46086</v>
      </c>
      <c r="C372" s="165" t="str">
        <f>IFERROR(__xludf.DUMMYFUNCTION("""COMPUTED_VALUE"""),"KYAI KONTONG")</f>
        <v>KYAI KONTONG</v>
      </c>
      <c r="D372" s="94">
        <f>IFERROR(__xludf.DUMMYFUNCTION("""COMPUTED_VALUE"""),1.0)</f>
        <v>1</v>
      </c>
    </row>
    <row r="373">
      <c r="A373" s="87" t="str">
        <f>IFERROR(__xludf.DUMMYFUNCTION("""COMPUTED_VALUE"""),"ITBISA-ABC-BATERAI-AA-ALKALINE")</f>
        <v>ITBISA-ABC-BATERAI-AA-ALKALINE</v>
      </c>
      <c r="B373" s="165">
        <f>IFERROR(__xludf.DUMMYFUNCTION("""COMPUTED_VALUE"""),46087.0)</f>
        <v>46087</v>
      </c>
      <c r="C373" s="165" t="str">
        <f>IFERROR(__xludf.DUMMYFUNCTION("""COMPUTED_VALUE"""),"KYAI KONTONG")</f>
        <v>KYAI KONTONG</v>
      </c>
      <c r="D373" s="94">
        <f>IFERROR(__xludf.DUMMYFUNCTION("""COMPUTED_VALUE"""),1.0)</f>
        <v>1</v>
      </c>
    </row>
    <row r="374">
      <c r="A374" s="87" t="str">
        <f>IFERROR(__xludf.DUMMYFUNCTION("""COMPUTED_VALUE"""),"ITBISA-ABC-BATERAI-AA-ALKALINE")</f>
        <v>ITBISA-ABC-BATERAI-AA-ALKALINE</v>
      </c>
      <c r="B374" s="165">
        <f>IFERROR(__xludf.DUMMYFUNCTION("""COMPUTED_VALUE"""),46088.0)</f>
        <v>46088</v>
      </c>
      <c r="C374" s="165" t="str">
        <f>IFERROR(__xludf.DUMMYFUNCTION("""COMPUTED_VALUE"""),"KYAI KONTONG")</f>
        <v>KYAI KONTONG</v>
      </c>
      <c r="D374" s="94">
        <f>IFERROR(__xludf.DUMMYFUNCTION("""COMPUTED_VALUE"""),1.0)</f>
        <v>1</v>
      </c>
    </row>
    <row r="375">
      <c r="A375" s="87" t="str">
        <f>IFERROR(__xludf.DUMMYFUNCTION("""COMPUTED_VALUE"""),"ITBISA-ABC-BATERAI-AA-ALKALINE")</f>
        <v>ITBISA-ABC-BATERAI-AA-ALKALINE</v>
      </c>
      <c r="B375" s="165">
        <f>IFERROR(__xludf.DUMMYFUNCTION("""COMPUTED_VALUE"""),46088.0)</f>
        <v>46088</v>
      </c>
      <c r="C375" s="165" t="str">
        <f>IFERROR(__xludf.DUMMYFUNCTION("""COMPUTED_VALUE"""),"KYAI KONTONG")</f>
        <v>KYAI KONTONG</v>
      </c>
      <c r="D375" s="94">
        <f>IFERROR(__xludf.DUMMYFUNCTION("""COMPUTED_VALUE"""),1.0)</f>
        <v>1</v>
      </c>
    </row>
    <row r="376">
      <c r="A376" s="87" t="str">
        <f>IFERROR(__xludf.DUMMYFUNCTION("""COMPUTED_VALUE"""),"ITBISA-ABC-BATERAI-AA-ALKALINE")</f>
        <v>ITBISA-ABC-BATERAI-AA-ALKALINE</v>
      </c>
      <c r="B376" s="165">
        <f>IFERROR(__xludf.DUMMYFUNCTION("""COMPUTED_VALUE"""),46088.0)</f>
        <v>46088</v>
      </c>
      <c r="C376" s="165" t="str">
        <f>IFERROR(__xludf.DUMMYFUNCTION("""COMPUTED_VALUE"""),"KYAI KONTONG")</f>
        <v>KYAI KONTONG</v>
      </c>
      <c r="D376" s="94">
        <f>IFERROR(__xludf.DUMMYFUNCTION("""COMPUTED_VALUE"""),1.0)</f>
        <v>1</v>
      </c>
    </row>
    <row r="377">
      <c r="A377" s="87" t="str">
        <f>IFERROR(__xludf.DUMMYFUNCTION("""COMPUTED_VALUE"""),"ITBISA-ABC-BATERAI-AA-ALKALINE")</f>
        <v>ITBISA-ABC-BATERAI-AA-ALKALINE</v>
      </c>
      <c r="B377" s="165">
        <f>IFERROR(__xludf.DUMMYFUNCTION("""COMPUTED_VALUE"""),46088.0)</f>
        <v>46088</v>
      </c>
      <c r="C377" s="165" t="str">
        <f>IFERROR(__xludf.DUMMYFUNCTION("""COMPUTED_VALUE"""),"KYAI KONTONG")</f>
        <v>KYAI KONTONG</v>
      </c>
      <c r="D377" s="94">
        <f>IFERROR(__xludf.DUMMYFUNCTION("""COMPUTED_VALUE"""),1.0)</f>
        <v>1</v>
      </c>
    </row>
    <row r="378">
      <c r="A378" s="87" t="str">
        <f>IFERROR(__xludf.DUMMYFUNCTION("""COMPUTED_VALUE"""),"ITBISA-ABC-BATERAI-AA-ALKALINE")</f>
        <v>ITBISA-ABC-BATERAI-AA-ALKALINE</v>
      </c>
      <c r="B378" s="165">
        <f>IFERROR(__xludf.DUMMYFUNCTION("""COMPUTED_VALUE"""),46089.0)</f>
        <v>46089</v>
      </c>
      <c r="C378" s="165" t="str">
        <f>IFERROR(__xludf.DUMMYFUNCTION("""COMPUTED_VALUE"""),"KYAI KONTONG")</f>
        <v>KYAI KONTONG</v>
      </c>
      <c r="D378" s="94">
        <f>IFERROR(__xludf.DUMMYFUNCTION("""COMPUTED_VALUE"""),1.0)</f>
        <v>1</v>
      </c>
    </row>
    <row r="379">
      <c r="A379" s="87" t="str">
        <f>IFERROR(__xludf.DUMMYFUNCTION("""COMPUTED_VALUE"""),"ITBISA-ABC-BATERAI-AA-ALKALINE")</f>
        <v>ITBISA-ABC-BATERAI-AA-ALKALINE</v>
      </c>
      <c r="B379" s="165">
        <f>IFERROR(__xludf.DUMMYFUNCTION("""COMPUTED_VALUE"""),46089.0)</f>
        <v>46089</v>
      </c>
      <c r="C379" s="165" t="str">
        <f>IFERROR(__xludf.DUMMYFUNCTION("""COMPUTED_VALUE"""),"KYAI KONTONG")</f>
        <v>KYAI KONTONG</v>
      </c>
      <c r="D379" s="94">
        <f>IFERROR(__xludf.DUMMYFUNCTION("""COMPUTED_VALUE"""),2.0)</f>
        <v>2</v>
      </c>
    </row>
    <row r="380">
      <c r="A380" s="87" t="str">
        <f>IFERROR(__xludf.DUMMYFUNCTION("""COMPUTED_VALUE"""),"ITBISA-ABC-BATERAI-AA-ALKALINE")</f>
        <v>ITBISA-ABC-BATERAI-AA-ALKALINE</v>
      </c>
      <c r="B380" s="165">
        <f>IFERROR(__xludf.DUMMYFUNCTION("""COMPUTED_VALUE"""),46089.0)</f>
        <v>46089</v>
      </c>
      <c r="C380" s="165" t="str">
        <f>IFERROR(__xludf.DUMMYFUNCTION("""COMPUTED_VALUE"""),"KYAI KONTONG")</f>
        <v>KYAI KONTONG</v>
      </c>
      <c r="D380" s="94">
        <f>IFERROR(__xludf.DUMMYFUNCTION("""COMPUTED_VALUE"""),2.0)</f>
        <v>2</v>
      </c>
    </row>
    <row r="381">
      <c r="A381" s="87" t="str">
        <f>IFERROR(__xludf.DUMMYFUNCTION("""COMPUTED_VALUE"""),"ITBISA-ABC-BATERAI-AA-ALKALINE")</f>
        <v>ITBISA-ABC-BATERAI-AA-ALKALINE</v>
      </c>
      <c r="B381" s="165">
        <f>IFERROR(__xludf.DUMMYFUNCTION("""COMPUTED_VALUE"""),46090.0)</f>
        <v>46090</v>
      </c>
      <c r="C381" s="165" t="str">
        <f>IFERROR(__xludf.DUMMYFUNCTION("""COMPUTED_VALUE"""),"KYAI KONTONG")</f>
        <v>KYAI KONTONG</v>
      </c>
      <c r="D381" s="94">
        <f>IFERROR(__xludf.DUMMYFUNCTION("""COMPUTED_VALUE"""),1.0)</f>
        <v>1</v>
      </c>
    </row>
    <row r="382">
      <c r="A382" s="87" t="str">
        <f>IFERROR(__xludf.DUMMYFUNCTION("""COMPUTED_VALUE"""),"ITBISA-ABC-BATERAI-AA-ALKALINE")</f>
        <v>ITBISA-ABC-BATERAI-AA-ALKALINE</v>
      </c>
      <c r="B382" s="165">
        <f>IFERROR(__xludf.DUMMYFUNCTION("""COMPUTED_VALUE"""),46090.0)</f>
        <v>46090</v>
      </c>
      <c r="C382" s="165" t="str">
        <f>IFERROR(__xludf.DUMMYFUNCTION("""COMPUTED_VALUE"""),"KYAI KONTONG")</f>
        <v>KYAI KONTONG</v>
      </c>
      <c r="D382" s="94">
        <f>IFERROR(__xludf.DUMMYFUNCTION("""COMPUTED_VALUE"""),1.0)</f>
        <v>1</v>
      </c>
    </row>
    <row r="383">
      <c r="A383" s="87" t="str">
        <f>IFERROR(__xludf.DUMMYFUNCTION("""COMPUTED_VALUE"""),"ITBISA-ABC-BATERAI-AA-ALKALINE")</f>
        <v>ITBISA-ABC-BATERAI-AA-ALKALINE</v>
      </c>
      <c r="B383" s="165">
        <f>IFERROR(__xludf.DUMMYFUNCTION("""COMPUTED_VALUE"""),46090.0)</f>
        <v>46090</v>
      </c>
      <c r="C383" s="165" t="str">
        <f>IFERROR(__xludf.DUMMYFUNCTION("""COMPUTED_VALUE"""),"KYAI KONTONG")</f>
        <v>KYAI KONTONG</v>
      </c>
      <c r="D383" s="94">
        <f>IFERROR(__xludf.DUMMYFUNCTION("""COMPUTED_VALUE"""),1.0)</f>
        <v>1</v>
      </c>
    </row>
    <row r="384">
      <c r="A384" s="87" t="str">
        <f>IFERROR(__xludf.DUMMYFUNCTION("""COMPUTED_VALUE"""),"ITBISA-ABC-BATERAI-AA-ALKALINE")</f>
        <v>ITBISA-ABC-BATERAI-AA-ALKALINE</v>
      </c>
      <c r="B384" s="165">
        <f>IFERROR(__xludf.DUMMYFUNCTION("""COMPUTED_VALUE"""),46092.0)</f>
        <v>46092</v>
      </c>
      <c r="C384" s="165" t="str">
        <f>IFERROR(__xludf.DUMMYFUNCTION("""COMPUTED_VALUE"""),"KYAI KONTONG")</f>
        <v>KYAI KONTONG</v>
      </c>
      <c r="D384" s="94">
        <f>IFERROR(__xludf.DUMMYFUNCTION("""COMPUTED_VALUE"""),2.0)</f>
        <v>2</v>
      </c>
    </row>
    <row r="385">
      <c r="A385" s="87" t="str">
        <f>IFERROR(__xludf.DUMMYFUNCTION("""COMPUTED_VALUE"""),"ITBISA-ABC-BATERAI-AA-ALKALINE")</f>
        <v>ITBISA-ABC-BATERAI-AA-ALKALINE</v>
      </c>
      <c r="B385" s="165">
        <f>IFERROR(__xludf.DUMMYFUNCTION("""COMPUTED_VALUE"""),46096.0)</f>
        <v>46096</v>
      </c>
      <c r="C385" s="165" t="str">
        <f>IFERROR(__xludf.DUMMYFUNCTION("""COMPUTED_VALUE"""),"KYAI KONTONG")</f>
        <v>KYAI KONTONG</v>
      </c>
      <c r="D385" s="94">
        <f>IFERROR(__xludf.DUMMYFUNCTION("""COMPUTED_VALUE"""),1.0)</f>
        <v>1</v>
      </c>
    </row>
    <row r="386">
      <c r="A386" s="87" t="str">
        <f>IFERROR(__xludf.DUMMYFUNCTION("""COMPUTED_VALUE"""),"ITBISA-ABC-BATERAI-AA-ALKALINE")</f>
        <v>ITBISA-ABC-BATERAI-AA-ALKALINE</v>
      </c>
      <c r="B386" s="165">
        <f>IFERROR(__xludf.DUMMYFUNCTION("""COMPUTED_VALUE"""),46098.0)</f>
        <v>46098</v>
      </c>
      <c r="C386" s="165" t="str">
        <f>IFERROR(__xludf.DUMMYFUNCTION("""COMPUTED_VALUE"""),"KYAI KONTONG")</f>
        <v>KYAI KONTONG</v>
      </c>
      <c r="D386" s="94">
        <f>IFERROR(__xludf.DUMMYFUNCTION("""COMPUTED_VALUE"""),1.0)</f>
        <v>1</v>
      </c>
    </row>
    <row r="387">
      <c r="A387" s="87" t="str">
        <f>IFERROR(__xludf.DUMMYFUNCTION("""COMPUTED_VALUE"""),"ITBISA-ABC-BATERAI-AA-ALKALINE")</f>
        <v>ITBISA-ABC-BATERAI-AA-ALKALINE</v>
      </c>
      <c r="B387" s="165">
        <f>IFERROR(__xludf.DUMMYFUNCTION("""COMPUTED_VALUE"""),46098.0)</f>
        <v>46098</v>
      </c>
      <c r="C387" s="165" t="str">
        <f>IFERROR(__xludf.DUMMYFUNCTION("""COMPUTED_VALUE"""),"KYAI KONTONG")</f>
        <v>KYAI KONTONG</v>
      </c>
      <c r="D387" s="94">
        <f>IFERROR(__xludf.DUMMYFUNCTION("""COMPUTED_VALUE"""),1.0)</f>
        <v>1</v>
      </c>
    </row>
    <row r="388">
      <c r="A388" s="87" t="str">
        <f>IFERROR(__xludf.DUMMYFUNCTION("""COMPUTED_VALUE"""),"ITBISA-ABC-BATERAI-AA-ALKALINE")</f>
        <v>ITBISA-ABC-BATERAI-AA-ALKALINE</v>
      </c>
      <c r="B388" s="165">
        <f>IFERROR(__xludf.DUMMYFUNCTION("""COMPUTED_VALUE"""),46098.0)</f>
        <v>46098</v>
      </c>
      <c r="C388" s="165" t="str">
        <f>IFERROR(__xludf.DUMMYFUNCTION("""COMPUTED_VALUE"""),"KYAI KONTONG")</f>
        <v>KYAI KONTONG</v>
      </c>
      <c r="D388" s="94">
        <f>IFERROR(__xludf.DUMMYFUNCTION("""COMPUTED_VALUE"""),1.0)</f>
        <v>1</v>
      </c>
    </row>
    <row r="389">
      <c r="A389" s="87" t="str">
        <f>IFERROR(__xludf.DUMMYFUNCTION("""COMPUTED_VALUE"""),"ITBISA-ABC-BATERAI-AA-ALKALINE")</f>
        <v>ITBISA-ABC-BATERAI-AA-ALKALINE</v>
      </c>
      <c r="B389" s="165">
        <f>IFERROR(__xludf.DUMMYFUNCTION("""COMPUTED_VALUE"""),46098.0)</f>
        <v>46098</v>
      </c>
      <c r="C389" s="165" t="str">
        <f>IFERROR(__xludf.DUMMYFUNCTION("""COMPUTED_VALUE"""),"KYAI KONTONG")</f>
        <v>KYAI KONTONG</v>
      </c>
      <c r="D389" s="94">
        <f>IFERROR(__xludf.DUMMYFUNCTION("""COMPUTED_VALUE"""),1.0)</f>
        <v>1</v>
      </c>
    </row>
    <row r="390">
      <c r="A390" s="87" t="str">
        <f>IFERROR(__xludf.DUMMYFUNCTION("""COMPUTED_VALUE"""),"ITBISA-ABC-BATERAI-AA-ALKALINE")</f>
        <v>ITBISA-ABC-BATERAI-AA-ALKALINE</v>
      </c>
      <c r="B390" s="165">
        <f>IFERROR(__xludf.DUMMYFUNCTION("""COMPUTED_VALUE"""),46098.0)</f>
        <v>46098</v>
      </c>
      <c r="C390" s="165" t="str">
        <f>IFERROR(__xludf.DUMMYFUNCTION("""COMPUTED_VALUE"""),"KYAI KONTONG")</f>
        <v>KYAI KONTONG</v>
      </c>
      <c r="D390" s="94">
        <f>IFERROR(__xludf.DUMMYFUNCTION("""COMPUTED_VALUE"""),1.0)</f>
        <v>1</v>
      </c>
    </row>
    <row r="391">
      <c r="A391" s="87" t="str">
        <f>IFERROR(__xludf.DUMMYFUNCTION("""COMPUTED_VALUE"""),"ITBISA-ABC-BATERAI-AA-ALKALINE")</f>
        <v>ITBISA-ABC-BATERAI-AA-ALKALINE</v>
      </c>
      <c r="B391" s="165">
        <f>IFERROR(__xludf.DUMMYFUNCTION("""COMPUTED_VALUE"""),46098.0)</f>
        <v>46098</v>
      </c>
      <c r="C391" s="165" t="str">
        <f>IFERROR(__xludf.DUMMYFUNCTION("""COMPUTED_VALUE"""),"KYAI KONTONG")</f>
        <v>KYAI KONTONG</v>
      </c>
      <c r="D391" s="94">
        <f>IFERROR(__xludf.DUMMYFUNCTION("""COMPUTED_VALUE"""),1.0)</f>
        <v>1</v>
      </c>
    </row>
    <row r="392">
      <c r="A392" s="87" t="str">
        <f>IFERROR(__xludf.DUMMYFUNCTION("""COMPUTED_VALUE"""),"ITBISA-ABC-BATERAI-AA-ALKALINE")</f>
        <v>ITBISA-ABC-BATERAI-AA-ALKALINE</v>
      </c>
      <c r="B392" s="165">
        <f>IFERROR(__xludf.DUMMYFUNCTION("""COMPUTED_VALUE"""),46100.0)</f>
        <v>46100</v>
      </c>
      <c r="C392" s="165" t="str">
        <f>IFERROR(__xludf.DUMMYFUNCTION("""COMPUTED_VALUE"""),"KYAI KONTONG")</f>
        <v>KYAI KONTONG</v>
      </c>
      <c r="D392" s="94">
        <f>IFERROR(__xludf.DUMMYFUNCTION("""COMPUTED_VALUE"""),1.0)</f>
        <v>1</v>
      </c>
    </row>
    <row r="393">
      <c r="A393" s="87" t="str">
        <f>IFERROR(__xludf.DUMMYFUNCTION("""COMPUTED_VALUE"""),"ITBISA-ABC-BATERAI-AA-ALKALINE")</f>
        <v>ITBISA-ABC-BATERAI-AA-ALKALINE</v>
      </c>
      <c r="B393" s="165">
        <f>IFERROR(__xludf.DUMMYFUNCTION("""COMPUTED_VALUE"""),46100.0)</f>
        <v>46100</v>
      </c>
      <c r="C393" s="165" t="str">
        <f>IFERROR(__xludf.DUMMYFUNCTION("""COMPUTED_VALUE"""),"KYAI KONTONG")</f>
        <v>KYAI KONTONG</v>
      </c>
      <c r="D393" s="94">
        <f>IFERROR(__xludf.DUMMYFUNCTION("""COMPUTED_VALUE"""),1.0)</f>
        <v>1</v>
      </c>
    </row>
    <row r="394">
      <c r="A394" s="87" t="str">
        <f>IFERROR(__xludf.DUMMYFUNCTION("""COMPUTED_VALUE"""),"ITBISA-ABC-BATERAI-AA-ALKALINE")</f>
        <v>ITBISA-ABC-BATERAI-AA-ALKALINE</v>
      </c>
      <c r="B394" s="165">
        <f>IFERROR(__xludf.DUMMYFUNCTION("""COMPUTED_VALUE"""),46101.0)</f>
        <v>46101</v>
      </c>
      <c r="C394" s="165" t="str">
        <f>IFERROR(__xludf.DUMMYFUNCTION("""COMPUTED_VALUE"""),"KYAI KONTONG")</f>
        <v>KYAI KONTONG</v>
      </c>
      <c r="D394" s="94">
        <f>IFERROR(__xludf.DUMMYFUNCTION("""COMPUTED_VALUE"""),1.0)</f>
        <v>1</v>
      </c>
    </row>
    <row r="395">
      <c r="A395" s="87" t="str">
        <f>IFERROR(__xludf.DUMMYFUNCTION("""COMPUTED_VALUE"""),"ITBISA-ABC-BATERAI-AA-ALKALINE")</f>
        <v>ITBISA-ABC-BATERAI-AA-ALKALINE</v>
      </c>
      <c r="B395" s="165">
        <f>IFERROR(__xludf.DUMMYFUNCTION("""COMPUTED_VALUE"""),46101.0)</f>
        <v>46101</v>
      </c>
      <c r="C395" s="165" t="str">
        <f>IFERROR(__xludf.DUMMYFUNCTION("""COMPUTED_VALUE"""),"KYAI KONTONG")</f>
        <v>KYAI KONTONG</v>
      </c>
      <c r="D395" s="94">
        <f>IFERROR(__xludf.DUMMYFUNCTION("""COMPUTED_VALUE"""),1.0)</f>
        <v>1</v>
      </c>
    </row>
    <row r="396">
      <c r="A396" s="87" t="str">
        <f>IFERROR(__xludf.DUMMYFUNCTION("""COMPUTED_VALUE"""),"ITBISA-ABC-BATERAI-AA-ALKALINE")</f>
        <v>ITBISA-ABC-BATERAI-AA-ALKALINE</v>
      </c>
      <c r="B396" s="165">
        <f>IFERROR(__xludf.DUMMYFUNCTION("""COMPUTED_VALUE"""),46102.0)</f>
        <v>46102</v>
      </c>
      <c r="C396" s="165" t="str">
        <f>IFERROR(__xludf.DUMMYFUNCTION("""COMPUTED_VALUE"""),"KYAI KONTONG")</f>
        <v>KYAI KONTONG</v>
      </c>
      <c r="D396" s="94">
        <f>IFERROR(__xludf.DUMMYFUNCTION("""COMPUTED_VALUE"""),2.0)</f>
        <v>2</v>
      </c>
    </row>
    <row r="397">
      <c r="A397" s="87" t="str">
        <f>IFERROR(__xludf.DUMMYFUNCTION("""COMPUTED_VALUE"""),"ITBISA-ABC-BATERAI-AA-ALKALINE")</f>
        <v>ITBISA-ABC-BATERAI-AA-ALKALINE</v>
      </c>
      <c r="B397" s="165">
        <f>IFERROR(__xludf.DUMMYFUNCTION("""COMPUTED_VALUE"""),46103.0)</f>
        <v>46103</v>
      </c>
      <c r="C397" s="165" t="str">
        <f>IFERROR(__xludf.DUMMYFUNCTION("""COMPUTED_VALUE"""),"KYAI KONTONG")</f>
        <v>KYAI KONTONG</v>
      </c>
      <c r="D397" s="94">
        <f>IFERROR(__xludf.DUMMYFUNCTION("""COMPUTED_VALUE"""),1.0)</f>
        <v>1</v>
      </c>
    </row>
    <row r="398">
      <c r="A398" s="87" t="str">
        <f>IFERROR(__xludf.DUMMYFUNCTION("""COMPUTED_VALUE"""),"ITBISA-ABC-BATERAI-AA-ALKALINE")</f>
        <v>ITBISA-ABC-BATERAI-AA-ALKALINE</v>
      </c>
      <c r="B398" s="165">
        <f>IFERROR(__xludf.DUMMYFUNCTION("""COMPUTED_VALUE"""),46103.0)</f>
        <v>46103</v>
      </c>
      <c r="C398" s="165" t="str">
        <f>IFERROR(__xludf.DUMMYFUNCTION("""COMPUTED_VALUE"""),"KYAI KONTONG")</f>
        <v>KYAI KONTONG</v>
      </c>
      <c r="D398" s="94">
        <f>IFERROR(__xludf.DUMMYFUNCTION("""COMPUTED_VALUE"""),1.0)</f>
        <v>1</v>
      </c>
    </row>
    <row r="399">
      <c r="A399" s="87" t="str">
        <f>IFERROR(__xludf.DUMMYFUNCTION("""COMPUTED_VALUE"""),"ITBISA-ABC-BATERAI-AA-ALKALINE")</f>
        <v>ITBISA-ABC-BATERAI-AA-ALKALINE</v>
      </c>
      <c r="B399" s="165">
        <f>IFERROR(__xludf.DUMMYFUNCTION("""COMPUTED_VALUE"""),46103.0)</f>
        <v>46103</v>
      </c>
      <c r="C399" s="165" t="str">
        <f>IFERROR(__xludf.DUMMYFUNCTION("""COMPUTED_VALUE"""),"KYAI KONTONG")</f>
        <v>KYAI KONTONG</v>
      </c>
      <c r="D399" s="94">
        <f>IFERROR(__xludf.DUMMYFUNCTION("""COMPUTED_VALUE"""),1.0)</f>
        <v>1</v>
      </c>
    </row>
    <row r="400">
      <c r="A400" s="87" t="str">
        <f>IFERROR(__xludf.DUMMYFUNCTION("""COMPUTED_VALUE"""),"ITBISA-ABC-BATERAI-AA-ALKALINE")</f>
        <v>ITBISA-ABC-BATERAI-AA-ALKALINE</v>
      </c>
      <c r="B400" s="165">
        <f>IFERROR(__xludf.DUMMYFUNCTION("""COMPUTED_VALUE"""),46103.0)</f>
        <v>46103</v>
      </c>
      <c r="C400" s="165" t="str">
        <f>IFERROR(__xludf.DUMMYFUNCTION("""COMPUTED_VALUE"""),"KYAI KONTONG")</f>
        <v>KYAI KONTONG</v>
      </c>
      <c r="D400" s="94">
        <f>IFERROR(__xludf.DUMMYFUNCTION("""COMPUTED_VALUE"""),2.0)</f>
        <v>2</v>
      </c>
    </row>
    <row r="401">
      <c r="A401" s="87" t="str">
        <f>IFERROR(__xludf.DUMMYFUNCTION("""COMPUTED_VALUE"""),"ITBISA-ABC-BATERAI-AA-ALKALINE")</f>
        <v>ITBISA-ABC-BATERAI-AA-ALKALINE</v>
      </c>
      <c r="B401" s="165">
        <f>IFERROR(__xludf.DUMMYFUNCTION("""COMPUTED_VALUE"""),46115.0)</f>
        <v>46115</v>
      </c>
      <c r="C401" s="165" t="str">
        <f>IFERROR(__xludf.DUMMYFUNCTION("""COMPUTED_VALUE"""),"KYAI KONTONG")</f>
        <v>KYAI KONTONG</v>
      </c>
      <c r="D401" s="94">
        <f>IFERROR(__xludf.DUMMYFUNCTION("""COMPUTED_VALUE"""),2.0)</f>
        <v>2</v>
      </c>
    </row>
    <row r="402">
      <c r="A402" s="87" t="str">
        <f>IFERROR(__xludf.DUMMYFUNCTION("""COMPUTED_VALUE"""),"ITBISA-ABC-BATERAI-AA-ALKALINE")</f>
        <v>ITBISA-ABC-BATERAI-AA-ALKALINE</v>
      </c>
      <c r="B402" s="165">
        <f>IFERROR(__xludf.DUMMYFUNCTION("""COMPUTED_VALUE"""),46116.0)</f>
        <v>46116</v>
      </c>
      <c r="C402" s="165" t="str">
        <f>IFERROR(__xludf.DUMMYFUNCTION("""COMPUTED_VALUE"""),"KYAI KONTONG")</f>
        <v>KYAI KONTONG</v>
      </c>
      <c r="D402" s="94">
        <f>IFERROR(__xludf.DUMMYFUNCTION("""COMPUTED_VALUE"""),1.0)</f>
        <v>1</v>
      </c>
    </row>
    <row r="403">
      <c r="A403" s="87" t="str">
        <f>IFERROR(__xludf.DUMMYFUNCTION("""COMPUTED_VALUE"""),"ITBISA-ABC-BATERAI-AA-ALKALINE")</f>
        <v>ITBISA-ABC-BATERAI-AA-ALKALINE</v>
      </c>
      <c r="B403" s="165">
        <f>IFERROR(__xludf.DUMMYFUNCTION("""COMPUTED_VALUE"""),46116.0)</f>
        <v>46116</v>
      </c>
      <c r="C403" s="165" t="str">
        <f>IFERROR(__xludf.DUMMYFUNCTION("""COMPUTED_VALUE"""),"KYAI KONTONG")</f>
        <v>KYAI KONTONG</v>
      </c>
      <c r="D403" s="94">
        <f>IFERROR(__xludf.DUMMYFUNCTION("""COMPUTED_VALUE"""),1.0)</f>
        <v>1</v>
      </c>
    </row>
    <row r="404">
      <c r="A404" s="87" t="str">
        <f>IFERROR(__xludf.DUMMYFUNCTION("""COMPUTED_VALUE"""),"ITBISA-ABC-BATERAI-AA-ALKALINE")</f>
        <v>ITBISA-ABC-BATERAI-AA-ALKALINE</v>
      </c>
      <c r="B404" s="165">
        <f>IFERROR(__xludf.DUMMYFUNCTION("""COMPUTED_VALUE"""),46118.0)</f>
        <v>46118</v>
      </c>
      <c r="C404" s="165" t="str">
        <f>IFERROR(__xludf.DUMMYFUNCTION("""COMPUTED_VALUE"""),"KYAI KONTONG")</f>
        <v>KYAI KONTONG</v>
      </c>
      <c r="D404" s="94">
        <f>IFERROR(__xludf.DUMMYFUNCTION("""COMPUTED_VALUE"""),2.0)</f>
        <v>2</v>
      </c>
    </row>
    <row r="405">
      <c r="A405" s="87" t="str">
        <f>IFERROR(__xludf.DUMMYFUNCTION("""COMPUTED_VALUE"""),"ITBISA-ABC-BATERAI-AA-ALKALINE")</f>
        <v>ITBISA-ABC-BATERAI-AA-ALKALINE</v>
      </c>
      <c r="B405" s="165">
        <f>IFERROR(__xludf.DUMMYFUNCTION("""COMPUTED_VALUE"""),46118.0)</f>
        <v>46118</v>
      </c>
      <c r="C405" s="165" t="str">
        <f>IFERROR(__xludf.DUMMYFUNCTION("""COMPUTED_VALUE"""),"KYAI KONTONG")</f>
        <v>KYAI KONTONG</v>
      </c>
      <c r="D405" s="94">
        <f>IFERROR(__xludf.DUMMYFUNCTION("""COMPUTED_VALUE"""),2.0)</f>
        <v>2</v>
      </c>
    </row>
    <row r="406">
      <c r="A406" s="87" t="str">
        <f>IFERROR(__xludf.DUMMYFUNCTION("""COMPUTED_VALUE"""),"ITBISA-ABC-BATERAI-AA-ALKALINE")</f>
        <v>ITBISA-ABC-BATERAI-AA-ALKALINE</v>
      </c>
      <c r="B406" s="165">
        <f>IFERROR(__xludf.DUMMYFUNCTION("""COMPUTED_VALUE"""),46120.0)</f>
        <v>46120</v>
      </c>
      <c r="C406" s="165" t="str">
        <f>IFERROR(__xludf.DUMMYFUNCTION("""COMPUTED_VALUE"""),"KYAI KONTONG")</f>
        <v>KYAI KONTONG</v>
      </c>
      <c r="D406" s="94">
        <f>IFERROR(__xludf.DUMMYFUNCTION("""COMPUTED_VALUE"""),1.0)</f>
        <v>1</v>
      </c>
    </row>
    <row r="407">
      <c r="A407" s="87" t="str">
        <f>IFERROR(__xludf.DUMMYFUNCTION("""COMPUTED_VALUE"""),"ITBISA-ABC-BATERAI-AA-ALKALINE")</f>
        <v>ITBISA-ABC-BATERAI-AA-ALKALINE</v>
      </c>
      <c r="B407" s="165">
        <f>IFERROR(__xludf.DUMMYFUNCTION("""COMPUTED_VALUE"""),46120.0)</f>
        <v>46120</v>
      </c>
      <c r="C407" s="165" t="str">
        <f>IFERROR(__xludf.DUMMYFUNCTION("""COMPUTED_VALUE"""),"KYAI KONTONG")</f>
        <v>KYAI KONTONG</v>
      </c>
      <c r="D407" s="94">
        <f>IFERROR(__xludf.DUMMYFUNCTION("""COMPUTED_VALUE"""),2.0)</f>
        <v>2</v>
      </c>
    </row>
    <row r="408">
      <c r="A408" s="87" t="str">
        <f>IFERROR(__xludf.DUMMYFUNCTION("""COMPUTED_VALUE"""),"ITBISA-ABC-BATERAI-AA-ALKALINE")</f>
        <v>ITBISA-ABC-BATERAI-AA-ALKALINE</v>
      </c>
      <c r="B408" s="165">
        <f>IFERROR(__xludf.DUMMYFUNCTION("""COMPUTED_VALUE"""),46120.0)</f>
        <v>46120</v>
      </c>
      <c r="C408" s="165" t="str">
        <f>IFERROR(__xludf.DUMMYFUNCTION("""COMPUTED_VALUE"""),"KYAI KONTONG")</f>
        <v>KYAI KONTONG</v>
      </c>
      <c r="D408" s="94">
        <f>IFERROR(__xludf.DUMMYFUNCTION("""COMPUTED_VALUE"""),11.0)</f>
        <v>11</v>
      </c>
    </row>
    <row r="409">
      <c r="A409" s="87" t="str">
        <f>IFERROR(__xludf.DUMMYFUNCTION("""COMPUTED_VALUE"""),"ITBISA-ABC-BATERAI-AA-ALKALINE")</f>
        <v>ITBISA-ABC-BATERAI-AA-ALKALINE</v>
      </c>
      <c r="B409" s="165">
        <f>IFERROR(__xludf.DUMMYFUNCTION("""COMPUTED_VALUE"""),46121.0)</f>
        <v>46121</v>
      </c>
      <c r="C409" s="165" t="str">
        <f>IFERROR(__xludf.DUMMYFUNCTION("""COMPUTED_VALUE"""),"KYAI KONTONG")</f>
        <v>KYAI KONTONG</v>
      </c>
      <c r="D409" s="94">
        <f>IFERROR(__xludf.DUMMYFUNCTION("""COMPUTED_VALUE"""),1.0)</f>
        <v>1</v>
      </c>
    </row>
    <row r="410">
      <c r="A410" s="87" t="str">
        <f>IFERROR(__xludf.DUMMYFUNCTION("""COMPUTED_VALUE"""),"ITBISA-ABC-BATERAI-AA-ALKALINE")</f>
        <v>ITBISA-ABC-BATERAI-AA-ALKALINE</v>
      </c>
      <c r="B410" s="165">
        <f>IFERROR(__xludf.DUMMYFUNCTION("""COMPUTED_VALUE"""),46124.0)</f>
        <v>46124</v>
      </c>
      <c r="C410" s="165" t="str">
        <f>IFERROR(__xludf.DUMMYFUNCTION("""COMPUTED_VALUE"""),"KYAI KONTONG")</f>
        <v>KYAI KONTONG</v>
      </c>
      <c r="D410" s="94">
        <f>IFERROR(__xludf.DUMMYFUNCTION("""COMPUTED_VALUE"""),2.0)</f>
        <v>2</v>
      </c>
    </row>
    <row r="411">
      <c r="A411" s="87" t="str">
        <f>IFERROR(__xludf.DUMMYFUNCTION("""COMPUTED_VALUE"""),"ITBISA-ABC-BATERAI-AA-ALKALINE")</f>
        <v>ITBISA-ABC-BATERAI-AA-ALKALINE</v>
      </c>
      <c r="B411" s="165">
        <f>IFERROR(__xludf.DUMMYFUNCTION("""COMPUTED_VALUE"""),46124.0)</f>
        <v>46124</v>
      </c>
      <c r="C411" s="165" t="str">
        <f>IFERROR(__xludf.DUMMYFUNCTION("""COMPUTED_VALUE"""),"KYAI KONTONG")</f>
        <v>KYAI KONTONG</v>
      </c>
      <c r="D411" s="94">
        <f>IFERROR(__xludf.DUMMYFUNCTION("""COMPUTED_VALUE"""),2.0)</f>
        <v>2</v>
      </c>
    </row>
    <row r="412">
      <c r="A412" s="87" t="str">
        <f>IFERROR(__xludf.DUMMYFUNCTION("""COMPUTED_VALUE"""),"ITBISA-ABC-BATERAI-AA-ALKALINE")</f>
        <v>ITBISA-ABC-BATERAI-AA-ALKALINE</v>
      </c>
      <c r="B412" s="165">
        <f>IFERROR(__xludf.DUMMYFUNCTION("""COMPUTED_VALUE"""),46125.0)</f>
        <v>46125</v>
      </c>
      <c r="C412" s="165" t="str">
        <f>IFERROR(__xludf.DUMMYFUNCTION("""COMPUTED_VALUE"""),"KYAI KONTONG")</f>
        <v>KYAI KONTONG</v>
      </c>
      <c r="D412" s="94">
        <f>IFERROR(__xludf.DUMMYFUNCTION("""COMPUTED_VALUE"""),1.0)</f>
        <v>1</v>
      </c>
    </row>
    <row r="413">
      <c r="A413" s="87" t="str">
        <f>IFERROR(__xludf.DUMMYFUNCTION("""COMPUTED_VALUE"""),"ITBISA-ABC-BATERAI-AA-ALKALINE")</f>
        <v>ITBISA-ABC-BATERAI-AA-ALKALINE</v>
      </c>
      <c r="B413" s="165">
        <f>IFERROR(__xludf.DUMMYFUNCTION("""COMPUTED_VALUE"""),46125.0)</f>
        <v>46125</v>
      </c>
      <c r="C413" s="165" t="str">
        <f>IFERROR(__xludf.DUMMYFUNCTION("""COMPUTED_VALUE"""),"KYAI KONTONG")</f>
        <v>KYAI KONTONG</v>
      </c>
      <c r="D413" s="94">
        <f>IFERROR(__xludf.DUMMYFUNCTION("""COMPUTED_VALUE"""),1.0)</f>
        <v>1</v>
      </c>
    </row>
    <row r="414">
      <c r="A414" s="87" t="str">
        <f>IFERROR(__xludf.DUMMYFUNCTION("""COMPUTED_VALUE"""),"ITBISA-ABC-BATERAI-AA-ALKALINE")</f>
        <v>ITBISA-ABC-BATERAI-AA-ALKALINE</v>
      </c>
      <c r="B414" s="165">
        <f>IFERROR(__xludf.DUMMYFUNCTION("""COMPUTED_VALUE"""),46128.0)</f>
        <v>46128</v>
      </c>
      <c r="C414" s="165" t="str">
        <f>IFERROR(__xludf.DUMMYFUNCTION("""COMPUTED_VALUE"""),"KYAI KONTONG")</f>
        <v>KYAI KONTONG</v>
      </c>
      <c r="D414" s="94">
        <f>IFERROR(__xludf.DUMMYFUNCTION("""COMPUTED_VALUE"""),1.0)</f>
        <v>1</v>
      </c>
    </row>
    <row r="415">
      <c r="A415" s="87" t="str">
        <f>IFERROR(__xludf.DUMMYFUNCTION("""COMPUTED_VALUE"""),"ITBISA-ABC-BATERAI-AA-ALKALINE")</f>
        <v>ITBISA-ABC-BATERAI-AA-ALKALINE</v>
      </c>
      <c r="B415" s="165">
        <f>IFERROR(__xludf.DUMMYFUNCTION("""COMPUTED_VALUE"""),46128.0)</f>
        <v>46128</v>
      </c>
      <c r="C415" s="165" t="str">
        <f>IFERROR(__xludf.DUMMYFUNCTION("""COMPUTED_VALUE"""),"KYAI KONTONG")</f>
        <v>KYAI KONTONG</v>
      </c>
      <c r="D415" s="94">
        <f>IFERROR(__xludf.DUMMYFUNCTION("""COMPUTED_VALUE"""),1.0)</f>
        <v>1</v>
      </c>
    </row>
    <row r="416">
      <c r="A416" s="87" t="str">
        <f>IFERROR(__xludf.DUMMYFUNCTION("""COMPUTED_VALUE"""),"ITBISA-ABC-BATERAI-AA-ALKALINE")</f>
        <v>ITBISA-ABC-BATERAI-AA-ALKALINE</v>
      </c>
      <c r="B416" s="165">
        <f>IFERROR(__xludf.DUMMYFUNCTION("""COMPUTED_VALUE"""),46128.0)</f>
        <v>46128</v>
      </c>
      <c r="C416" s="165" t="str">
        <f>IFERROR(__xludf.DUMMYFUNCTION("""COMPUTED_VALUE"""),"KYAI KONTONG")</f>
        <v>KYAI KONTONG</v>
      </c>
      <c r="D416" s="94">
        <f>IFERROR(__xludf.DUMMYFUNCTION("""COMPUTED_VALUE"""),2.0)</f>
        <v>2</v>
      </c>
    </row>
    <row r="417">
      <c r="A417" s="87" t="str">
        <f>IFERROR(__xludf.DUMMYFUNCTION("""COMPUTED_VALUE"""),"ITBISA-ABC-BATERAI-AA-ALKALINE")</f>
        <v>ITBISA-ABC-BATERAI-AA-ALKALINE</v>
      </c>
      <c r="B417" s="165">
        <f>IFERROR(__xludf.DUMMYFUNCTION("""COMPUTED_VALUE"""),46130.0)</f>
        <v>46130</v>
      </c>
      <c r="C417" s="165" t="str">
        <f>IFERROR(__xludf.DUMMYFUNCTION("""COMPUTED_VALUE"""),"KYAI KONTONG")</f>
        <v>KYAI KONTONG</v>
      </c>
      <c r="D417" s="94">
        <f>IFERROR(__xludf.DUMMYFUNCTION("""COMPUTED_VALUE"""),1.0)</f>
        <v>1</v>
      </c>
    </row>
    <row r="418">
      <c r="A418" s="87" t="str">
        <f>IFERROR(__xludf.DUMMYFUNCTION("""COMPUTED_VALUE"""),"ITBISA-ABC-BATERAI-AA-ALKALINE")</f>
        <v>ITBISA-ABC-BATERAI-AA-ALKALINE</v>
      </c>
      <c r="B418" s="165">
        <f>IFERROR(__xludf.DUMMYFUNCTION("""COMPUTED_VALUE"""),46130.0)</f>
        <v>46130</v>
      </c>
      <c r="C418" s="165" t="str">
        <f>IFERROR(__xludf.DUMMYFUNCTION("""COMPUTED_VALUE"""),"KYAI KONTONG")</f>
        <v>KYAI KONTONG</v>
      </c>
      <c r="D418" s="94">
        <f>IFERROR(__xludf.DUMMYFUNCTION("""COMPUTED_VALUE"""),3.0)</f>
        <v>3</v>
      </c>
    </row>
    <row r="419">
      <c r="A419" s="87" t="str">
        <f>IFERROR(__xludf.DUMMYFUNCTION("""COMPUTED_VALUE"""),"ITBISA-ABC-BATERAI-AA-ALKALINE")</f>
        <v>ITBISA-ABC-BATERAI-AA-ALKALINE</v>
      </c>
      <c r="B419" s="165">
        <f>IFERROR(__xludf.DUMMYFUNCTION("""COMPUTED_VALUE"""),46133.0)</f>
        <v>46133</v>
      </c>
      <c r="C419" s="165" t="str">
        <f>IFERROR(__xludf.DUMMYFUNCTION("""COMPUTED_VALUE"""),"KYAI KONTONG")</f>
        <v>KYAI KONTONG</v>
      </c>
      <c r="D419" s="94">
        <f>IFERROR(__xludf.DUMMYFUNCTION("""COMPUTED_VALUE"""),2.0)</f>
        <v>2</v>
      </c>
    </row>
    <row r="420">
      <c r="A420" s="87" t="str">
        <f>IFERROR(__xludf.DUMMYFUNCTION("""COMPUTED_VALUE"""),"ITBISA-ABC-BATERAI-AA-ALKALINE")</f>
        <v>ITBISA-ABC-BATERAI-AA-ALKALINE</v>
      </c>
      <c r="B420" s="165">
        <f>IFERROR(__xludf.DUMMYFUNCTION("""COMPUTED_VALUE"""),46133.0)</f>
        <v>46133</v>
      </c>
      <c r="C420" s="165" t="str">
        <f>IFERROR(__xludf.DUMMYFUNCTION("""COMPUTED_VALUE"""),"KYAI KONTONG")</f>
        <v>KYAI KONTONG</v>
      </c>
      <c r="D420" s="94">
        <f>IFERROR(__xludf.DUMMYFUNCTION("""COMPUTED_VALUE"""),4.0)</f>
        <v>4</v>
      </c>
    </row>
    <row r="421">
      <c r="A421" s="87" t="str">
        <f>IFERROR(__xludf.DUMMYFUNCTION("""COMPUTED_VALUE"""),"ITBISA-ABC-BATERAI-AA-ALKALINE")</f>
        <v>ITBISA-ABC-BATERAI-AA-ALKALINE</v>
      </c>
      <c r="B421" s="165">
        <f>IFERROR(__xludf.DUMMYFUNCTION("""COMPUTED_VALUE"""),46133.0)</f>
        <v>46133</v>
      </c>
      <c r="C421" s="165" t="str">
        <f>IFERROR(__xludf.DUMMYFUNCTION("""COMPUTED_VALUE"""),"KYAI KONTONG")</f>
        <v>KYAI KONTONG</v>
      </c>
      <c r="D421" s="94">
        <f>IFERROR(__xludf.DUMMYFUNCTION("""COMPUTED_VALUE"""),8.0)</f>
        <v>8</v>
      </c>
    </row>
    <row r="422">
      <c r="A422" s="87" t="str">
        <f>IFERROR(__xludf.DUMMYFUNCTION("""COMPUTED_VALUE"""),"ITBISA-ABC-BATERAI-AA-ALKALINE")</f>
        <v>ITBISA-ABC-BATERAI-AA-ALKALINE</v>
      </c>
      <c r="B422" s="165">
        <f>IFERROR(__xludf.DUMMYFUNCTION("""COMPUTED_VALUE"""),46135.0)</f>
        <v>46135</v>
      </c>
      <c r="C422" s="165" t="str">
        <f>IFERROR(__xludf.DUMMYFUNCTION("""COMPUTED_VALUE"""),"KYAI KONTONG")</f>
        <v>KYAI KONTONG</v>
      </c>
      <c r="D422" s="94">
        <f>IFERROR(__xludf.DUMMYFUNCTION("""COMPUTED_VALUE"""),2.0)</f>
        <v>2</v>
      </c>
    </row>
    <row r="423">
      <c r="A423" s="87" t="str">
        <f>IFERROR(__xludf.DUMMYFUNCTION("""COMPUTED_VALUE"""),"ITBISA-ABC-BATERAI-AA-ALKALINE")</f>
        <v>ITBISA-ABC-BATERAI-AA-ALKALINE</v>
      </c>
      <c r="B423" s="165">
        <f>IFERROR(__xludf.DUMMYFUNCTION("""COMPUTED_VALUE"""),46135.0)</f>
        <v>46135</v>
      </c>
      <c r="C423" s="165" t="str">
        <f>IFERROR(__xludf.DUMMYFUNCTION("""COMPUTED_VALUE"""),"KYAI KONTONG")</f>
        <v>KYAI KONTONG</v>
      </c>
      <c r="D423" s="94">
        <f>IFERROR(__xludf.DUMMYFUNCTION("""COMPUTED_VALUE"""),2.0)</f>
        <v>2</v>
      </c>
    </row>
    <row r="424">
      <c r="A424" s="87" t="str">
        <f>IFERROR(__xludf.DUMMYFUNCTION("""COMPUTED_VALUE"""),"ITBISA-ABC-BATERAI-AA-ALKALINE")</f>
        <v>ITBISA-ABC-BATERAI-AA-ALKALINE</v>
      </c>
      <c r="B424" s="165">
        <f>IFERROR(__xludf.DUMMYFUNCTION("""COMPUTED_VALUE"""),46136.0)</f>
        <v>46136</v>
      </c>
      <c r="C424" s="165" t="str">
        <f>IFERROR(__xludf.DUMMYFUNCTION("""COMPUTED_VALUE"""),"KYAI KONTONG")</f>
        <v>KYAI KONTONG</v>
      </c>
      <c r="D424" s="94">
        <f>IFERROR(__xludf.DUMMYFUNCTION("""COMPUTED_VALUE"""),2.0)</f>
        <v>2</v>
      </c>
    </row>
    <row r="425">
      <c r="A425" s="87" t="str">
        <f>IFERROR(__xludf.DUMMYFUNCTION("""COMPUTED_VALUE"""),"ITBISA-ABC-BATERAI-AA-ALKALINE")</f>
        <v>ITBISA-ABC-BATERAI-AA-ALKALINE</v>
      </c>
      <c r="B425" s="165">
        <f>IFERROR(__xludf.DUMMYFUNCTION("""COMPUTED_VALUE"""),46137.0)</f>
        <v>46137</v>
      </c>
      <c r="C425" s="165" t="str">
        <f>IFERROR(__xludf.DUMMYFUNCTION("""COMPUTED_VALUE"""),"KYAI KONTONG")</f>
        <v>KYAI KONTONG</v>
      </c>
      <c r="D425" s="94">
        <f>IFERROR(__xludf.DUMMYFUNCTION("""COMPUTED_VALUE"""),2.0)</f>
        <v>2</v>
      </c>
    </row>
    <row r="426">
      <c r="A426" s="87" t="str">
        <f>IFERROR(__xludf.DUMMYFUNCTION("""COMPUTED_VALUE"""),"ITBISA-ABC-BATERAI-AA-ALKALINE")</f>
        <v>ITBISA-ABC-BATERAI-AA-ALKALINE</v>
      </c>
      <c r="B426" s="165">
        <f>IFERROR(__xludf.DUMMYFUNCTION("""COMPUTED_VALUE"""),46138.0)</f>
        <v>46138</v>
      </c>
      <c r="C426" s="165" t="str">
        <f>IFERROR(__xludf.DUMMYFUNCTION("""COMPUTED_VALUE"""),"KYAI KONTONG")</f>
        <v>KYAI KONTONG</v>
      </c>
      <c r="D426" s="94">
        <f>IFERROR(__xludf.DUMMYFUNCTION("""COMPUTED_VALUE"""),2.0)</f>
        <v>2</v>
      </c>
    </row>
    <row r="427">
      <c r="A427" s="87" t="str">
        <f>IFERROR(__xludf.DUMMYFUNCTION("""COMPUTED_VALUE"""),"ITBISA-ABC-BATERAI-AA-ALKALINE")</f>
        <v>ITBISA-ABC-BATERAI-AA-ALKALINE</v>
      </c>
      <c r="B427" s="165">
        <f>IFERROR(__xludf.DUMMYFUNCTION("""COMPUTED_VALUE"""),46139.0)</f>
        <v>46139</v>
      </c>
      <c r="C427" s="165" t="str">
        <f>IFERROR(__xludf.DUMMYFUNCTION("""COMPUTED_VALUE"""),"KYAI KONTONG")</f>
        <v>KYAI KONTONG</v>
      </c>
      <c r="D427" s="94">
        <f>IFERROR(__xludf.DUMMYFUNCTION("""COMPUTED_VALUE"""),2.0)</f>
        <v>2</v>
      </c>
    </row>
    <row r="428">
      <c r="A428" s="87" t="str">
        <f>IFERROR(__xludf.DUMMYFUNCTION("""COMPUTED_VALUE"""),"ITBISA-ABC-BATERAI-AA-ALKALINE")</f>
        <v>ITBISA-ABC-BATERAI-AA-ALKALINE</v>
      </c>
      <c r="B428" s="165">
        <f>IFERROR(__xludf.DUMMYFUNCTION("""COMPUTED_VALUE"""),46143.0)</f>
        <v>46143</v>
      </c>
      <c r="C428" s="165" t="str">
        <f>IFERROR(__xludf.DUMMYFUNCTION("""COMPUTED_VALUE"""),"KYAI KONTONG")</f>
        <v>KYAI KONTONG</v>
      </c>
      <c r="D428" s="94">
        <f>IFERROR(__xludf.DUMMYFUNCTION("""COMPUTED_VALUE"""),2.0)</f>
        <v>2</v>
      </c>
    </row>
    <row r="429">
      <c r="A429" s="87" t="str">
        <f>IFERROR(__xludf.DUMMYFUNCTION("""COMPUTED_VALUE"""),"ITBISA-ABC-BATERAI-AA-ALKALINE")</f>
        <v>ITBISA-ABC-BATERAI-AA-ALKALINE</v>
      </c>
      <c r="B429" s="165">
        <f>IFERROR(__xludf.DUMMYFUNCTION("""COMPUTED_VALUE"""),46144.0)</f>
        <v>46144</v>
      </c>
      <c r="C429" s="165" t="str">
        <f>IFERROR(__xludf.DUMMYFUNCTION("""COMPUTED_VALUE"""),"KYAI KONTONG")</f>
        <v>KYAI KONTONG</v>
      </c>
      <c r="D429" s="94">
        <f>IFERROR(__xludf.DUMMYFUNCTION("""COMPUTED_VALUE"""),2.0)</f>
        <v>2</v>
      </c>
    </row>
    <row r="430">
      <c r="A430" s="87" t="str">
        <f>IFERROR(__xludf.DUMMYFUNCTION("""COMPUTED_VALUE"""),"ITBISA-ABC-BATERAI-AA-ALKALINE")</f>
        <v>ITBISA-ABC-BATERAI-AA-ALKALINE</v>
      </c>
      <c r="B430" s="165">
        <f>IFERROR(__xludf.DUMMYFUNCTION("""COMPUTED_VALUE"""),46147.0)</f>
        <v>46147</v>
      </c>
      <c r="C430" s="165" t="str">
        <f>IFERROR(__xludf.DUMMYFUNCTION("""COMPUTED_VALUE"""),"KYAI KONTONG")</f>
        <v>KYAI KONTONG</v>
      </c>
      <c r="D430" s="94">
        <f>IFERROR(__xludf.DUMMYFUNCTION("""COMPUTED_VALUE"""),2.0)</f>
        <v>2</v>
      </c>
    </row>
    <row r="431">
      <c r="A431" s="87" t="str">
        <f>IFERROR(__xludf.DUMMYFUNCTION("""COMPUTED_VALUE"""),"ITBISA-ABC-BATERAI-AA-ALKALINE")</f>
        <v>ITBISA-ABC-BATERAI-AA-ALKALINE</v>
      </c>
      <c r="B431" s="165">
        <f>IFERROR(__xludf.DUMMYFUNCTION("""COMPUTED_VALUE"""),46148.0)</f>
        <v>46148</v>
      </c>
      <c r="C431" s="165" t="str">
        <f>IFERROR(__xludf.DUMMYFUNCTION("""COMPUTED_VALUE"""),"KYAI KONTONG")</f>
        <v>KYAI KONTONG</v>
      </c>
      <c r="D431" s="94">
        <f>IFERROR(__xludf.DUMMYFUNCTION("""COMPUTED_VALUE"""),2.0)</f>
        <v>2</v>
      </c>
    </row>
    <row r="432">
      <c r="A432" s="87" t="str">
        <f>IFERROR(__xludf.DUMMYFUNCTION("""COMPUTED_VALUE"""),"ITBISA-ABC-BATERAI-AA-ALKALINE")</f>
        <v>ITBISA-ABC-BATERAI-AA-ALKALINE</v>
      </c>
      <c r="B432" s="165">
        <f>IFERROR(__xludf.DUMMYFUNCTION("""COMPUTED_VALUE"""),46151.0)</f>
        <v>46151</v>
      </c>
      <c r="C432" s="165" t="str">
        <f>IFERROR(__xludf.DUMMYFUNCTION("""COMPUTED_VALUE"""),"KYAI KONTONG")</f>
        <v>KYAI KONTONG</v>
      </c>
      <c r="D432" s="94">
        <f>IFERROR(__xludf.DUMMYFUNCTION("""COMPUTED_VALUE"""),2.0)</f>
        <v>2</v>
      </c>
    </row>
    <row r="433">
      <c r="A433" s="87" t="str">
        <f>IFERROR(__xludf.DUMMYFUNCTION("""COMPUTED_VALUE"""),"ITBISA-ABC-BATERAI-AA-ALKALINE")</f>
        <v>ITBISA-ABC-BATERAI-AA-ALKALINE</v>
      </c>
      <c r="B433" s="165">
        <f>IFERROR(__xludf.DUMMYFUNCTION("""COMPUTED_VALUE"""),46152.0)</f>
        <v>46152</v>
      </c>
      <c r="C433" s="165" t="str">
        <f>IFERROR(__xludf.DUMMYFUNCTION("""COMPUTED_VALUE"""),"KYAI KONTONG")</f>
        <v>KYAI KONTONG</v>
      </c>
      <c r="D433" s="94">
        <f>IFERROR(__xludf.DUMMYFUNCTION("""COMPUTED_VALUE"""),2.0)</f>
        <v>2</v>
      </c>
    </row>
    <row r="434">
      <c r="A434" s="87" t="str">
        <f>IFERROR(__xludf.DUMMYFUNCTION("""COMPUTED_VALUE"""),"ITBISA-ABC-BATERAI-AA-ALKALINE")</f>
        <v>ITBISA-ABC-BATERAI-AA-ALKALINE</v>
      </c>
      <c r="B434" s="165">
        <f>IFERROR(__xludf.DUMMYFUNCTION("""COMPUTED_VALUE"""),46153.0)</f>
        <v>46153</v>
      </c>
      <c r="C434" s="165" t="str">
        <f>IFERROR(__xludf.DUMMYFUNCTION("""COMPUTED_VALUE"""),"KYAI KONTONG")</f>
        <v>KYAI KONTONG</v>
      </c>
      <c r="D434" s="94">
        <f>IFERROR(__xludf.DUMMYFUNCTION("""COMPUTED_VALUE"""),2.0)</f>
        <v>2</v>
      </c>
    </row>
    <row r="435">
      <c r="A435" s="87" t="str">
        <f>IFERROR(__xludf.DUMMYFUNCTION("""COMPUTED_VALUE"""),"ITBISA-ABC-BATERAI-AA-ALKALINE")</f>
        <v>ITBISA-ABC-BATERAI-AA-ALKALINE</v>
      </c>
      <c r="B435" s="165">
        <f>IFERROR(__xludf.DUMMYFUNCTION("""COMPUTED_VALUE"""),46155.0)</f>
        <v>46155</v>
      </c>
      <c r="C435" s="165" t="str">
        <f>IFERROR(__xludf.DUMMYFUNCTION("""COMPUTED_VALUE"""),"KYAI KONTONG")</f>
        <v>KYAI KONTONG</v>
      </c>
      <c r="D435" s="94">
        <f>IFERROR(__xludf.DUMMYFUNCTION("""COMPUTED_VALUE"""),2.0)</f>
        <v>2</v>
      </c>
    </row>
    <row r="436">
      <c r="A436" s="87" t="str">
        <f>IFERROR(__xludf.DUMMYFUNCTION("""COMPUTED_VALUE"""),"ITBISA-ABC-BATERAI-AA-ALKALINE")</f>
        <v>ITBISA-ABC-BATERAI-AA-ALKALINE</v>
      </c>
      <c r="B436" s="165">
        <f>IFERROR(__xludf.DUMMYFUNCTION("""COMPUTED_VALUE"""),46155.0)</f>
        <v>46155</v>
      </c>
      <c r="C436" s="165" t="str">
        <f>IFERROR(__xludf.DUMMYFUNCTION("""COMPUTED_VALUE"""),"KYAI KONTONG")</f>
        <v>KYAI KONTONG</v>
      </c>
      <c r="D436" s="94">
        <f>IFERROR(__xludf.DUMMYFUNCTION("""COMPUTED_VALUE"""),6.0)</f>
        <v>6</v>
      </c>
    </row>
    <row r="437">
      <c r="A437" s="87" t="str">
        <f>IFERROR(__xludf.DUMMYFUNCTION("""COMPUTED_VALUE"""),"ITBISA-ABC-BATERAI-AA-ALKALINE")</f>
        <v>ITBISA-ABC-BATERAI-AA-ALKALINE</v>
      </c>
      <c r="B437" s="165">
        <f>IFERROR(__xludf.DUMMYFUNCTION("""COMPUTED_VALUE"""),46155.0)</f>
        <v>46155</v>
      </c>
      <c r="C437" s="165" t="str">
        <f>IFERROR(__xludf.DUMMYFUNCTION("""COMPUTED_VALUE"""),"KYAI KONTONG")</f>
        <v>KYAI KONTONG</v>
      </c>
      <c r="D437" s="94">
        <f>IFERROR(__xludf.DUMMYFUNCTION("""COMPUTED_VALUE"""),8.0)</f>
        <v>8</v>
      </c>
    </row>
    <row r="438">
      <c r="A438" s="87" t="str">
        <f>IFERROR(__xludf.DUMMYFUNCTION("""COMPUTED_VALUE"""),"ITBISA-ABC-BATERAI-AA-ALKALINE")</f>
        <v>ITBISA-ABC-BATERAI-AA-ALKALINE</v>
      </c>
      <c r="B438" s="165">
        <f>IFERROR(__xludf.DUMMYFUNCTION("""COMPUTED_VALUE"""),46155.0)</f>
        <v>46155</v>
      </c>
      <c r="C438" s="165" t="str">
        <f>IFERROR(__xludf.DUMMYFUNCTION("""COMPUTED_VALUE"""),"KYAI KONTONG")</f>
        <v>KYAI KONTONG</v>
      </c>
      <c r="D438" s="94">
        <f>IFERROR(__xludf.DUMMYFUNCTION("""COMPUTED_VALUE"""),16.0)</f>
        <v>16</v>
      </c>
    </row>
    <row r="439">
      <c r="A439" s="87" t="str">
        <f>IFERROR(__xludf.DUMMYFUNCTION("""COMPUTED_VALUE"""),"ITBISA-ABC-BATERAI-AA-ALKALINE")</f>
        <v>ITBISA-ABC-BATERAI-AA-ALKALINE</v>
      </c>
      <c r="B439" s="165">
        <f>IFERROR(__xludf.DUMMYFUNCTION("""COMPUTED_VALUE"""),46156.0)</f>
        <v>46156</v>
      </c>
      <c r="C439" s="165" t="str">
        <f>IFERROR(__xludf.DUMMYFUNCTION("""COMPUTED_VALUE"""),"KYAI KONTONG")</f>
        <v>KYAI KONTONG</v>
      </c>
      <c r="D439" s="94">
        <f>IFERROR(__xludf.DUMMYFUNCTION("""COMPUTED_VALUE"""),2.0)</f>
        <v>2</v>
      </c>
    </row>
    <row r="440">
      <c r="A440" s="87" t="str">
        <f>IFERROR(__xludf.DUMMYFUNCTION("""COMPUTED_VALUE"""),"ITBISA-ABC-BATERAI-AA-ALKALINE")</f>
        <v>ITBISA-ABC-BATERAI-AA-ALKALINE</v>
      </c>
      <c r="B440" s="165">
        <f>IFERROR(__xludf.DUMMYFUNCTION("""COMPUTED_VALUE"""),46157.0)</f>
        <v>46157</v>
      </c>
      <c r="C440" s="165" t="str">
        <f>IFERROR(__xludf.DUMMYFUNCTION("""COMPUTED_VALUE"""),"KYAI KONTONG")</f>
        <v>KYAI KONTONG</v>
      </c>
      <c r="D440" s="94">
        <f>IFERROR(__xludf.DUMMYFUNCTION("""COMPUTED_VALUE"""),2.0)</f>
        <v>2</v>
      </c>
    </row>
    <row r="441">
      <c r="A441" s="87" t="str">
        <f>IFERROR(__xludf.DUMMYFUNCTION("""COMPUTED_VALUE"""),"ITBISA-ABC-BATERAI-AA-ALKALINE")</f>
        <v>ITBISA-ABC-BATERAI-AA-ALKALINE</v>
      </c>
      <c r="B441" s="165">
        <f>IFERROR(__xludf.DUMMYFUNCTION("""COMPUTED_VALUE"""),46157.0)</f>
        <v>46157</v>
      </c>
      <c r="C441" s="165" t="str">
        <f>IFERROR(__xludf.DUMMYFUNCTION("""COMPUTED_VALUE"""),"KYAI KONTONG")</f>
        <v>KYAI KONTONG</v>
      </c>
      <c r="D441" s="94">
        <f>IFERROR(__xludf.DUMMYFUNCTION("""COMPUTED_VALUE"""),2.0)</f>
        <v>2</v>
      </c>
    </row>
    <row r="442">
      <c r="A442" s="87" t="str">
        <f>IFERROR(__xludf.DUMMYFUNCTION("""COMPUTED_VALUE"""),"ITBISA-ABC-BATERAI-AA-ALKALINE")</f>
        <v>ITBISA-ABC-BATERAI-AA-ALKALINE</v>
      </c>
      <c r="B442" s="165">
        <f>IFERROR(__xludf.DUMMYFUNCTION("""COMPUTED_VALUE"""),46158.0)</f>
        <v>46158</v>
      </c>
      <c r="C442" s="165" t="str">
        <f>IFERROR(__xludf.DUMMYFUNCTION("""COMPUTED_VALUE"""),"KYAI KONTONG")</f>
        <v>KYAI KONTONG</v>
      </c>
      <c r="D442" s="94">
        <f>IFERROR(__xludf.DUMMYFUNCTION("""COMPUTED_VALUE"""),2.0)</f>
        <v>2</v>
      </c>
    </row>
    <row r="443">
      <c r="A443" s="87" t="str">
        <f>IFERROR(__xludf.DUMMYFUNCTION("""COMPUTED_VALUE"""),"ITBISA-ABC-BATERAI-AA-ALKALINE")</f>
        <v>ITBISA-ABC-BATERAI-AA-ALKALINE</v>
      </c>
      <c r="B443" s="165">
        <f>IFERROR(__xludf.DUMMYFUNCTION("""COMPUTED_VALUE"""),46158.0)</f>
        <v>46158</v>
      </c>
      <c r="C443" s="165" t="str">
        <f>IFERROR(__xludf.DUMMYFUNCTION("""COMPUTED_VALUE"""),"KYAI KONTONG")</f>
        <v>KYAI KONTONG</v>
      </c>
      <c r="D443" s="94">
        <f>IFERROR(__xludf.DUMMYFUNCTION("""COMPUTED_VALUE"""),8.0)</f>
        <v>8</v>
      </c>
    </row>
    <row r="444">
      <c r="A444" s="87" t="str">
        <f>IFERROR(__xludf.DUMMYFUNCTION("""COMPUTED_VALUE"""),"ITBISA-ABC-BATERAI-AA-ALKALINE")</f>
        <v>ITBISA-ABC-BATERAI-AA-ALKALINE</v>
      </c>
      <c r="B444" s="165">
        <f>IFERROR(__xludf.DUMMYFUNCTION("""COMPUTED_VALUE"""),46158.0)</f>
        <v>46158</v>
      </c>
      <c r="C444" s="165" t="str">
        <f>IFERROR(__xludf.DUMMYFUNCTION("""COMPUTED_VALUE"""),"KYAI KONTONG")</f>
        <v>KYAI KONTONG</v>
      </c>
      <c r="D444" s="94">
        <f>IFERROR(__xludf.DUMMYFUNCTION("""COMPUTED_VALUE"""),40.0)</f>
        <v>40</v>
      </c>
    </row>
    <row r="445">
      <c r="A445" s="87" t="str">
        <f>IFERROR(__xludf.DUMMYFUNCTION("""COMPUTED_VALUE"""),"ITBISA-ABC-BATERAI-AA-ALKALINE")</f>
        <v>ITBISA-ABC-BATERAI-AA-ALKALINE</v>
      </c>
      <c r="B445" s="165">
        <f>IFERROR(__xludf.DUMMYFUNCTION("""COMPUTED_VALUE"""),46159.0)</f>
        <v>46159</v>
      </c>
      <c r="C445" s="165" t="str">
        <f>IFERROR(__xludf.DUMMYFUNCTION("""COMPUTED_VALUE"""),"KYAI KONTONG")</f>
        <v>KYAI KONTONG</v>
      </c>
      <c r="D445" s="94">
        <f>IFERROR(__xludf.DUMMYFUNCTION("""COMPUTED_VALUE"""),2.0)</f>
        <v>2</v>
      </c>
    </row>
    <row r="446">
      <c r="A446" s="87" t="str">
        <f>IFERROR(__xludf.DUMMYFUNCTION("""COMPUTED_VALUE"""),"ITBISA-ABC-BATERAI-AA-ALKALINE")</f>
        <v>ITBISA-ABC-BATERAI-AA-ALKALINE</v>
      </c>
      <c r="B446" s="165">
        <f>IFERROR(__xludf.DUMMYFUNCTION("""COMPUTED_VALUE"""),46159.0)</f>
        <v>46159</v>
      </c>
      <c r="C446" s="165" t="str">
        <f>IFERROR(__xludf.DUMMYFUNCTION("""COMPUTED_VALUE"""),"KYAI KONTONG")</f>
        <v>KYAI KONTONG</v>
      </c>
      <c r="D446" s="94">
        <f>IFERROR(__xludf.DUMMYFUNCTION("""COMPUTED_VALUE"""),2.0)</f>
        <v>2</v>
      </c>
    </row>
    <row r="447">
      <c r="A447" s="87" t="str">
        <f>IFERROR(__xludf.DUMMYFUNCTION("""COMPUTED_VALUE"""),"ITBISA-ABC-BATERAI-AA-ALKALINE")</f>
        <v>ITBISA-ABC-BATERAI-AA-ALKALINE</v>
      </c>
      <c r="B447" s="165">
        <f>IFERROR(__xludf.DUMMYFUNCTION("""COMPUTED_VALUE"""),46159.0)</f>
        <v>46159</v>
      </c>
      <c r="C447" s="165" t="str">
        <f>IFERROR(__xludf.DUMMYFUNCTION("""COMPUTED_VALUE"""),"KYAI KONTONG")</f>
        <v>KYAI KONTONG</v>
      </c>
      <c r="D447" s="94">
        <f>IFERROR(__xludf.DUMMYFUNCTION("""COMPUTED_VALUE"""),8.0)</f>
        <v>8</v>
      </c>
    </row>
    <row r="448">
      <c r="A448" s="87" t="str">
        <f>IFERROR(__xludf.DUMMYFUNCTION("""COMPUTED_VALUE"""),"ITBISA-ABC-BATERAI-AA-ALKALINE")</f>
        <v>ITBISA-ABC-BATERAI-AA-ALKALINE</v>
      </c>
      <c r="B448" s="165">
        <f>IFERROR(__xludf.DUMMYFUNCTION("""COMPUTED_VALUE"""),46159.0)</f>
        <v>46159</v>
      </c>
      <c r="C448" s="165" t="str">
        <f>IFERROR(__xludf.DUMMYFUNCTION("""COMPUTED_VALUE"""),"KYAI KONTONG")</f>
        <v>KYAI KONTONG</v>
      </c>
      <c r="D448" s="94">
        <f>IFERROR(__xludf.DUMMYFUNCTION("""COMPUTED_VALUE"""),32.0)</f>
        <v>32</v>
      </c>
    </row>
    <row r="449">
      <c r="A449" s="87" t="str">
        <f>IFERROR(__xludf.DUMMYFUNCTION("""COMPUTED_VALUE"""),"ITBISA-ABC-BATERAI-AA-ALKALINE")</f>
        <v>ITBISA-ABC-BATERAI-AA-ALKALINE</v>
      </c>
      <c r="B449" s="165">
        <f>IFERROR(__xludf.DUMMYFUNCTION("""COMPUTED_VALUE"""),46160.0)</f>
        <v>46160</v>
      </c>
      <c r="C449" s="165" t="str">
        <f>IFERROR(__xludf.DUMMYFUNCTION("""COMPUTED_VALUE"""),"KYAI KONTONG")</f>
        <v>KYAI KONTONG</v>
      </c>
      <c r="D449" s="94">
        <f>IFERROR(__xludf.DUMMYFUNCTION("""COMPUTED_VALUE"""),2.0)</f>
        <v>2</v>
      </c>
    </row>
    <row r="450">
      <c r="A450" s="87" t="str">
        <f>IFERROR(__xludf.DUMMYFUNCTION("""COMPUTED_VALUE"""),"ITBISA-ABC-BATERAI-AA-ALKALINE")</f>
        <v>ITBISA-ABC-BATERAI-AA-ALKALINE</v>
      </c>
      <c r="B450" s="165">
        <f>IFERROR(__xludf.DUMMYFUNCTION("""COMPUTED_VALUE"""),46160.0)</f>
        <v>46160</v>
      </c>
      <c r="C450" s="165" t="str">
        <f>IFERROR(__xludf.DUMMYFUNCTION("""COMPUTED_VALUE"""),"KYAI KONTONG")</f>
        <v>KYAI KONTONG</v>
      </c>
      <c r="D450" s="94">
        <f>IFERROR(__xludf.DUMMYFUNCTION("""COMPUTED_VALUE"""),8.0)</f>
        <v>8</v>
      </c>
    </row>
    <row r="451">
      <c r="A451" s="87" t="str">
        <f>IFERROR(__xludf.DUMMYFUNCTION("""COMPUTED_VALUE"""),"ITBISA-ABC-BATERAI-AA-ALKALINE")</f>
        <v>ITBISA-ABC-BATERAI-AA-ALKALINE</v>
      </c>
      <c r="B451" s="165">
        <f>IFERROR(__xludf.DUMMYFUNCTION("""COMPUTED_VALUE"""),46160.0)</f>
        <v>46160</v>
      </c>
      <c r="C451" s="165" t="str">
        <f>IFERROR(__xludf.DUMMYFUNCTION("""COMPUTED_VALUE"""),"KYAI KONTONG")</f>
        <v>KYAI KONTONG</v>
      </c>
      <c r="D451" s="94">
        <f>IFERROR(__xludf.DUMMYFUNCTION("""COMPUTED_VALUE"""),80.0)</f>
        <v>80</v>
      </c>
    </row>
    <row r="452">
      <c r="A452" s="87" t="str">
        <f>IFERROR(__xludf.DUMMYFUNCTION("""COMPUTED_VALUE"""),"ITBISA-ABC-BATERAI-AA-ALKALINE")</f>
        <v>ITBISA-ABC-BATERAI-AA-ALKALINE</v>
      </c>
      <c r="B452" s="165">
        <f>IFERROR(__xludf.DUMMYFUNCTION("""COMPUTED_VALUE"""),46161.0)</f>
        <v>46161</v>
      </c>
      <c r="C452" s="165" t="str">
        <f>IFERROR(__xludf.DUMMYFUNCTION("""COMPUTED_VALUE"""),"KYAI KONTONG")</f>
        <v>KYAI KONTONG</v>
      </c>
      <c r="D452" s="94">
        <f>IFERROR(__xludf.DUMMYFUNCTION("""COMPUTED_VALUE"""),8.0)</f>
        <v>8</v>
      </c>
    </row>
    <row r="453">
      <c r="A453" s="87" t="str">
        <f>IFERROR(__xludf.DUMMYFUNCTION("""COMPUTED_VALUE"""),"ITBISA-ABC-BATERAI-AA-ALKALINE")</f>
        <v>ITBISA-ABC-BATERAI-AA-ALKALINE</v>
      </c>
      <c r="B453" s="165">
        <f>IFERROR(__xludf.DUMMYFUNCTION("""COMPUTED_VALUE"""),46161.0)</f>
        <v>46161</v>
      </c>
      <c r="C453" s="165" t="str">
        <f>IFERROR(__xludf.DUMMYFUNCTION("""COMPUTED_VALUE"""),"KYAI KONTONG")</f>
        <v>KYAI KONTONG</v>
      </c>
      <c r="D453" s="94">
        <f>IFERROR(__xludf.DUMMYFUNCTION("""COMPUTED_VALUE"""),8.0)</f>
        <v>8</v>
      </c>
    </row>
    <row r="454">
      <c r="A454" s="87" t="str">
        <f>IFERROR(__xludf.DUMMYFUNCTION("""COMPUTED_VALUE"""),"ITBISA-ABC-BATERAI-AA-ALKALINE")</f>
        <v>ITBISA-ABC-BATERAI-AA-ALKALINE</v>
      </c>
      <c r="B454" s="165">
        <f>IFERROR(__xludf.DUMMYFUNCTION("""COMPUTED_VALUE"""),46161.0)</f>
        <v>46161</v>
      </c>
      <c r="C454" s="165" t="str">
        <f>IFERROR(__xludf.DUMMYFUNCTION("""COMPUTED_VALUE"""),"KYAI KONTONG")</f>
        <v>KYAI KONTONG</v>
      </c>
      <c r="D454" s="94">
        <f>IFERROR(__xludf.DUMMYFUNCTION("""COMPUTED_VALUE"""),16.0)</f>
        <v>16</v>
      </c>
    </row>
    <row r="455">
      <c r="A455" s="87" t="str">
        <f>IFERROR(__xludf.DUMMYFUNCTION("""COMPUTED_VALUE"""),"ITBISA-ABC-BATERAI-AA-ALKALINE")</f>
        <v>ITBISA-ABC-BATERAI-AA-ALKALINE</v>
      </c>
      <c r="B455" s="165">
        <f>IFERROR(__xludf.DUMMYFUNCTION("""COMPUTED_VALUE"""),46162.0)</f>
        <v>46162</v>
      </c>
      <c r="C455" s="165" t="str">
        <f>IFERROR(__xludf.DUMMYFUNCTION("""COMPUTED_VALUE"""),"KYAI KONTONG")</f>
        <v>KYAI KONTONG</v>
      </c>
      <c r="D455" s="94">
        <f>IFERROR(__xludf.DUMMYFUNCTION("""COMPUTED_VALUE"""),2.0)</f>
        <v>2</v>
      </c>
    </row>
    <row r="456">
      <c r="A456" s="87" t="str">
        <f>IFERROR(__xludf.DUMMYFUNCTION("""COMPUTED_VALUE"""),"ITBISA-ABC-BATERAI-AA-ALKALINE")</f>
        <v>ITBISA-ABC-BATERAI-AA-ALKALINE</v>
      </c>
      <c r="B456" s="165">
        <f>IFERROR(__xludf.DUMMYFUNCTION("""COMPUTED_VALUE"""),46162.0)</f>
        <v>46162</v>
      </c>
      <c r="C456" s="165" t="str">
        <f>IFERROR(__xludf.DUMMYFUNCTION("""COMPUTED_VALUE"""),"KYAI KONTONG")</f>
        <v>KYAI KONTONG</v>
      </c>
      <c r="D456" s="94">
        <f>IFERROR(__xludf.DUMMYFUNCTION("""COMPUTED_VALUE"""),6.0)</f>
        <v>6</v>
      </c>
    </row>
    <row r="457">
      <c r="A457" s="87" t="str">
        <f>IFERROR(__xludf.DUMMYFUNCTION("""COMPUTED_VALUE"""),"ITBISA-ABC-BATERAI-AA-ALKALINE")</f>
        <v>ITBISA-ABC-BATERAI-AA-ALKALINE</v>
      </c>
      <c r="B457" s="165">
        <f>IFERROR(__xludf.DUMMYFUNCTION("""COMPUTED_VALUE"""),46162.0)</f>
        <v>46162</v>
      </c>
      <c r="C457" s="165" t="str">
        <f>IFERROR(__xludf.DUMMYFUNCTION("""COMPUTED_VALUE"""),"KYAI KONTONG")</f>
        <v>KYAI KONTONG</v>
      </c>
      <c r="D457" s="94">
        <f>IFERROR(__xludf.DUMMYFUNCTION("""COMPUTED_VALUE"""),8.0)</f>
        <v>8</v>
      </c>
    </row>
    <row r="458">
      <c r="A458" s="87" t="str">
        <f>IFERROR(__xludf.DUMMYFUNCTION("""COMPUTED_VALUE"""),"ITBISA-ABC-BATERAI-AA-ALKALINE")</f>
        <v>ITBISA-ABC-BATERAI-AA-ALKALINE</v>
      </c>
      <c r="B458" s="165">
        <f>IFERROR(__xludf.DUMMYFUNCTION("""COMPUTED_VALUE"""),46162.0)</f>
        <v>46162</v>
      </c>
      <c r="C458" s="165" t="str">
        <f>IFERROR(__xludf.DUMMYFUNCTION("""COMPUTED_VALUE"""),"KYAI KONTONG")</f>
        <v>KYAI KONTONG</v>
      </c>
      <c r="D458" s="94">
        <f>IFERROR(__xludf.DUMMYFUNCTION("""COMPUTED_VALUE"""),30.0)</f>
        <v>30</v>
      </c>
    </row>
    <row r="459">
      <c r="A459" s="87" t="str">
        <f>IFERROR(__xludf.DUMMYFUNCTION("""COMPUTED_VALUE"""),"ITBISA-ABC-BATERAI-AA-ALKALINE")</f>
        <v>ITBISA-ABC-BATERAI-AA-ALKALINE</v>
      </c>
      <c r="B459" s="165">
        <f>IFERROR(__xludf.DUMMYFUNCTION("""COMPUTED_VALUE"""),46163.0)</f>
        <v>46163</v>
      </c>
      <c r="C459" s="165" t="str">
        <f>IFERROR(__xludf.DUMMYFUNCTION("""COMPUTED_VALUE"""),"KYAI KONTONG")</f>
        <v>KYAI KONTONG</v>
      </c>
      <c r="D459" s="94">
        <f>IFERROR(__xludf.DUMMYFUNCTION("""COMPUTED_VALUE"""),8.0)</f>
        <v>8</v>
      </c>
    </row>
    <row r="460">
      <c r="A460" s="87" t="str">
        <f>IFERROR(__xludf.DUMMYFUNCTION("""COMPUTED_VALUE"""),"ITBISA-ABC-BATERAI-AA-ALKALINE")</f>
        <v>ITBISA-ABC-BATERAI-AA-ALKALINE</v>
      </c>
      <c r="B460" s="165">
        <f>IFERROR(__xludf.DUMMYFUNCTION("""COMPUTED_VALUE"""),46164.0)</f>
        <v>46164</v>
      </c>
      <c r="C460" s="165" t="str">
        <f>IFERROR(__xludf.DUMMYFUNCTION("""COMPUTED_VALUE"""),"KYAI KONTONG")</f>
        <v>KYAI KONTONG</v>
      </c>
      <c r="D460" s="94">
        <f>IFERROR(__xludf.DUMMYFUNCTION("""COMPUTED_VALUE"""),8.0)</f>
        <v>8</v>
      </c>
    </row>
    <row r="461">
      <c r="A461" s="87" t="str">
        <f>IFERROR(__xludf.DUMMYFUNCTION("""COMPUTED_VALUE"""),"ITBISA-ABC-BATERAI-AA-ALKALINE")</f>
        <v>ITBISA-ABC-BATERAI-AA-ALKALINE</v>
      </c>
      <c r="B461" s="165">
        <f>IFERROR(__xludf.DUMMYFUNCTION("""COMPUTED_VALUE"""),46164.0)</f>
        <v>46164</v>
      </c>
      <c r="C461" s="165" t="str">
        <f>IFERROR(__xludf.DUMMYFUNCTION("""COMPUTED_VALUE"""),"KYAI KONTONG")</f>
        <v>KYAI KONTONG</v>
      </c>
      <c r="D461" s="94">
        <f>IFERROR(__xludf.DUMMYFUNCTION("""COMPUTED_VALUE"""),24.0)</f>
        <v>24</v>
      </c>
    </row>
    <row r="462">
      <c r="A462" s="87" t="str">
        <f>IFERROR(__xludf.DUMMYFUNCTION("""COMPUTED_VALUE"""),"ITBISA-ABC-BATERAI-AA-ALKALINE")</f>
        <v>ITBISA-ABC-BATERAI-AA-ALKALINE</v>
      </c>
      <c r="B462" s="165">
        <f>IFERROR(__xludf.DUMMYFUNCTION("""COMPUTED_VALUE"""),46165.0)</f>
        <v>46165</v>
      </c>
      <c r="C462" s="165" t="str">
        <f>IFERROR(__xludf.DUMMYFUNCTION("""COMPUTED_VALUE"""),"KYAI KONTONG")</f>
        <v>KYAI KONTONG</v>
      </c>
      <c r="D462" s="94">
        <f>IFERROR(__xludf.DUMMYFUNCTION("""COMPUTED_VALUE"""),8.0)</f>
        <v>8</v>
      </c>
    </row>
    <row r="463">
      <c r="A463" s="87" t="str">
        <f>IFERROR(__xludf.DUMMYFUNCTION("""COMPUTED_VALUE"""),"ITBISA-ABC-BATERAI-AA-ALKALINE")</f>
        <v>ITBISA-ABC-BATERAI-AA-ALKALINE</v>
      </c>
      <c r="B463" s="165">
        <f>IFERROR(__xludf.DUMMYFUNCTION("""COMPUTED_VALUE"""),46165.0)</f>
        <v>46165</v>
      </c>
      <c r="C463" s="165" t="str">
        <f>IFERROR(__xludf.DUMMYFUNCTION("""COMPUTED_VALUE"""),"KYAI KONTONG")</f>
        <v>KYAI KONTONG</v>
      </c>
      <c r="D463" s="94">
        <f>IFERROR(__xludf.DUMMYFUNCTION("""COMPUTED_VALUE"""),8.0)</f>
        <v>8</v>
      </c>
    </row>
    <row r="464">
      <c r="A464" s="87" t="str">
        <f>IFERROR(__xludf.DUMMYFUNCTION("""COMPUTED_VALUE"""),"ITBISA-ABC-BATERAI-AA-ALKALINE")</f>
        <v>ITBISA-ABC-BATERAI-AA-ALKALINE</v>
      </c>
      <c r="B464" s="165">
        <f>IFERROR(__xludf.DUMMYFUNCTION("""COMPUTED_VALUE"""),46165.0)</f>
        <v>46165</v>
      </c>
      <c r="C464" s="165" t="str">
        <f>IFERROR(__xludf.DUMMYFUNCTION("""COMPUTED_VALUE"""),"KYAI KONTONG")</f>
        <v>KYAI KONTONG</v>
      </c>
      <c r="D464" s="94">
        <f>IFERROR(__xludf.DUMMYFUNCTION("""COMPUTED_VALUE"""),8.0)</f>
        <v>8</v>
      </c>
    </row>
    <row r="465">
      <c r="A465" s="87" t="str">
        <f>IFERROR(__xludf.DUMMYFUNCTION("""COMPUTED_VALUE"""),"ITBISA-ABC-BATERAI-AA-ALKALINE")</f>
        <v>ITBISA-ABC-BATERAI-AA-ALKALINE</v>
      </c>
      <c r="B465" s="165">
        <f>IFERROR(__xludf.DUMMYFUNCTION("""COMPUTED_VALUE"""),46165.0)</f>
        <v>46165</v>
      </c>
      <c r="C465" s="165" t="str">
        <f>IFERROR(__xludf.DUMMYFUNCTION("""COMPUTED_VALUE"""),"KYAI KONTONG")</f>
        <v>KYAI KONTONG</v>
      </c>
      <c r="D465" s="94">
        <f>IFERROR(__xludf.DUMMYFUNCTION("""COMPUTED_VALUE"""),8.0)</f>
        <v>8</v>
      </c>
    </row>
    <row r="466">
      <c r="A466" s="87" t="str">
        <f>IFERROR(__xludf.DUMMYFUNCTION("""COMPUTED_VALUE"""),"ITBISA-ABC-BATERAI-AA-ALKALINE")</f>
        <v>ITBISA-ABC-BATERAI-AA-ALKALINE</v>
      </c>
      <c r="B466" s="165">
        <f>IFERROR(__xludf.DUMMYFUNCTION("""COMPUTED_VALUE"""),46166.0)</f>
        <v>46166</v>
      </c>
      <c r="C466" s="165" t="str">
        <f>IFERROR(__xludf.DUMMYFUNCTION("""COMPUTED_VALUE"""),"KYAI KONTONG")</f>
        <v>KYAI KONTONG</v>
      </c>
      <c r="D466" s="94">
        <f>IFERROR(__xludf.DUMMYFUNCTION("""COMPUTED_VALUE"""),2.0)</f>
        <v>2</v>
      </c>
    </row>
    <row r="467">
      <c r="A467" s="87" t="str">
        <f>IFERROR(__xludf.DUMMYFUNCTION("""COMPUTED_VALUE"""),"ITBISA-ABC-BATERAI-AA-ALKALINE")</f>
        <v>ITBISA-ABC-BATERAI-AA-ALKALINE</v>
      </c>
      <c r="B467" s="165">
        <f>IFERROR(__xludf.DUMMYFUNCTION("""COMPUTED_VALUE"""),46166.0)</f>
        <v>46166</v>
      </c>
      <c r="C467" s="165" t="str">
        <f>IFERROR(__xludf.DUMMYFUNCTION("""COMPUTED_VALUE"""),"KYAI KONTONG")</f>
        <v>KYAI KONTONG</v>
      </c>
      <c r="D467" s="94">
        <f>IFERROR(__xludf.DUMMYFUNCTION("""COMPUTED_VALUE"""),2.0)</f>
        <v>2</v>
      </c>
    </row>
    <row r="468">
      <c r="A468" s="87" t="str">
        <f>IFERROR(__xludf.DUMMYFUNCTION("""COMPUTED_VALUE"""),"ITBISA-ABC-BATERAI-AA-ALKALINE")</f>
        <v>ITBISA-ABC-BATERAI-AA-ALKALINE</v>
      </c>
      <c r="B468" s="165">
        <f>IFERROR(__xludf.DUMMYFUNCTION("""COMPUTED_VALUE"""),46166.0)</f>
        <v>46166</v>
      </c>
      <c r="C468" s="165" t="str">
        <f>IFERROR(__xludf.DUMMYFUNCTION("""COMPUTED_VALUE"""),"KYAI KONTONG")</f>
        <v>KYAI KONTONG</v>
      </c>
      <c r="D468" s="94">
        <f>IFERROR(__xludf.DUMMYFUNCTION("""COMPUTED_VALUE"""),8.0)</f>
        <v>8</v>
      </c>
    </row>
    <row r="469">
      <c r="A469" s="87" t="str">
        <f>IFERROR(__xludf.DUMMYFUNCTION("""COMPUTED_VALUE"""),"ITBISA-ABC-BATERAI-AA-ALKALINE")</f>
        <v>ITBISA-ABC-BATERAI-AA-ALKALINE</v>
      </c>
      <c r="B469" s="165">
        <f>IFERROR(__xludf.DUMMYFUNCTION("""COMPUTED_VALUE"""),46166.0)</f>
        <v>46166</v>
      </c>
      <c r="C469" s="165" t="str">
        <f>IFERROR(__xludf.DUMMYFUNCTION("""COMPUTED_VALUE"""),"KYAI KONTONG")</f>
        <v>KYAI KONTONG</v>
      </c>
      <c r="D469" s="94">
        <f>IFERROR(__xludf.DUMMYFUNCTION("""COMPUTED_VALUE"""),8.0)</f>
        <v>8</v>
      </c>
    </row>
    <row r="470">
      <c r="A470" s="87" t="str">
        <f>IFERROR(__xludf.DUMMYFUNCTION("""COMPUTED_VALUE"""),"ITBISA-ABC-BATERAI-AA-ALKALINE")</f>
        <v>ITBISA-ABC-BATERAI-AA-ALKALINE</v>
      </c>
      <c r="B470" s="165">
        <f>IFERROR(__xludf.DUMMYFUNCTION("""COMPUTED_VALUE"""),46166.0)</f>
        <v>46166</v>
      </c>
      <c r="C470" s="165" t="str">
        <f>IFERROR(__xludf.DUMMYFUNCTION("""COMPUTED_VALUE"""),"KYAI KONTONG")</f>
        <v>KYAI KONTONG</v>
      </c>
      <c r="D470" s="94">
        <f>IFERROR(__xludf.DUMMYFUNCTION("""COMPUTED_VALUE"""),8.0)</f>
        <v>8</v>
      </c>
    </row>
    <row r="471">
      <c r="A471" s="87" t="str">
        <f>IFERROR(__xludf.DUMMYFUNCTION("""COMPUTED_VALUE"""),"ITBISA-ABC-BATERAI-AA-ALKALINE")</f>
        <v>ITBISA-ABC-BATERAI-AA-ALKALINE</v>
      </c>
      <c r="B471" s="165">
        <f>IFERROR(__xludf.DUMMYFUNCTION("""COMPUTED_VALUE"""),46167.0)</f>
        <v>46167</v>
      </c>
      <c r="C471" s="165" t="str">
        <f>IFERROR(__xludf.DUMMYFUNCTION("""COMPUTED_VALUE"""),"KYAI KONTONG")</f>
        <v>KYAI KONTONG</v>
      </c>
      <c r="D471" s="94">
        <f>IFERROR(__xludf.DUMMYFUNCTION("""COMPUTED_VALUE"""),8.0)</f>
        <v>8</v>
      </c>
    </row>
    <row r="472">
      <c r="A472" s="87" t="str">
        <f>IFERROR(__xludf.DUMMYFUNCTION("""COMPUTED_VALUE"""),"ITBISA-ABC-BATERAI-AA-ALKALINE")</f>
        <v>ITBISA-ABC-BATERAI-AA-ALKALINE</v>
      </c>
      <c r="B472" s="165">
        <f>IFERROR(__xludf.DUMMYFUNCTION("""COMPUTED_VALUE"""),46167.0)</f>
        <v>46167</v>
      </c>
      <c r="C472" s="165" t="str">
        <f>IFERROR(__xludf.DUMMYFUNCTION("""COMPUTED_VALUE"""),"KYAI KONTONG")</f>
        <v>KYAI KONTONG</v>
      </c>
      <c r="D472" s="94">
        <f>IFERROR(__xludf.DUMMYFUNCTION("""COMPUTED_VALUE"""),8.0)</f>
        <v>8</v>
      </c>
    </row>
    <row r="473">
      <c r="A473" s="87" t="str">
        <f>IFERROR(__xludf.DUMMYFUNCTION("""COMPUTED_VALUE"""),"ITBISA-ABC-BATERAI-AA-ALKALINE")</f>
        <v>ITBISA-ABC-BATERAI-AA-ALKALINE</v>
      </c>
      <c r="B473" s="165">
        <f>IFERROR(__xludf.DUMMYFUNCTION("""COMPUTED_VALUE"""),46167.0)</f>
        <v>46167</v>
      </c>
      <c r="C473" s="165" t="str">
        <f>IFERROR(__xludf.DUMMYFUNCTION("""COMPUTED_VALUE"""),"KYAI KONTONG")</f>
        <v>KYAI KONTONG</v>
      </c>
      <c r="D473" s="94">
        <f>IFERROR(__xludf.DUMMYFUNCTION("""COMPUTED_VALUE"""),8.0)</f>
        <v>8</v>
      </c>
    </row>
    <row r="474">
      <c r="A474" s="87" t="str">
        <f>IFERROR(__xludf.DUMMYFUNCTION("""COMPUTED_VALUE"""),"ITBISA-ABC-BATERAI-AA-ALKALINE")</f>
        <v>ITBISA-ABC-BATERAI-AA-ALKALINE</v>
      </c>
      <c r="B474" s="165">
        <f>IFERROR(__xludf.DUMMYFUNCTION("""COMPUTED_VALUE"""),46167.0)</f>
        <v>46167</v>
      </c>
      <c r="C474" s="165" t="str">
        <f>IFERROR(__xludf.DUMMYFUNCTION("""COMPUTED_VALUE"""),"KYAI KONTONG")</f>
        <v>KYAI KONTONG</v>
      </c>
      <c r="D474" s="94">
        <f>IFERROR(__xludf.DUMMYFUNCTION("""COMPUTED_VALUE"""),16.0)</f>
        <v>16</v>
      </c>
    </row>
    <row r="475">
      <c r="A475" s="87" t="str">
        <f>IFERROR(__xludf.DUMMYFUNCTION("""COMPUTED_VALUE"""),"ITBISA-ABC-BATERAI-AA-ALKALINE")</f>
        <v>ITBISA-ABC-BATERAI-AA-ALKALINE</v>
      </c>
      <c r="B475" s="165">
        <f>IFERROR(__xludf.DUMMYFUNCTION("""COMPUTED_VALUE"""),46167.0)</f>
        <v>46167</v>
      </c>
      <c r="C475" s="165" t="str">
        <f>IFERROR(__xludf.DUMMYFUNCTION("""COMPUTED_VALUE"""),"KYAI KONTONG")</f>
        <v>KYAI KONTONG</v>
      </c>
      <c r="D475" s="94">
        <f>IFERROR(__xludf.DUMMYFUNCTION("""COMPUTED_VALUE"""),24.0)</f>
        <v>24</v>
      </c>
    </row>
    <row r="476">
      <c r="A476" s="87" t="str">
        <f>IFERROR(__xludf.DUMMYFUNCTION("""COMPUTED_VALUE"""),"ITBISA-ABC-BATERAI-AA-ALKALINE")</f>
        <v>ITBISA-ABC-BATERAI-AA-ALKALINE</v>
      </c>
      <c r="B476" s="165">
        <f>IFERROR(__xludf.DUMMYFUNCTION("""COMPUTED_VALUE"""),46167.0)</f>
        <v>46167</v>
      </c>
      <c r="C476" s="165" t="str">
        <f>IFERROR(__xludf.DUMMYFUNCTION("""COMPUTED_VALUE"""),"KYAI KONTONG")</f>
        <v>KYAI KONTONG</v>
      </c>
      <c r="D476" s="94">
        <f>IFERROR(__xludf.DUMMYFUNCTION("""COMPUTED_VALUE"""),24.0)</f>
        <v>24</v>
      </c>
    </row>
    <row r="477">
      <c r="A477" s="87" t="str">
        <f>IFERROR(__xludf.DUMMYFUNCTION("""COMPUTED_VALUE"""),"ITBISA-ABC-BATERAI-AA-ALKALINE")</f>
        <v>ITBISA-ABC-BATERAI-AA-ALKALINE</v>
      </c>
      <c r="B477" s="165">
        <f>IFERROR(__xludf.DUMMYFUNCTION("""COMPUTED_VALUE"""),46168.0)</f>
        <v>46168</v>
      </c>
      <c r="C477" s="165" t="str">
        <f>IFERROR(__xludf.DUMMYFUNCTION("""COMPUTED_VALUE"""),"KYAI KONTONG")</f>
        <v>KYAI KONTONG</v>
      </c>
      <c r="D477" s="94">
        <f>IFERROR(__xludf.DUMMYFUNCTION("""COMPUTED_VALUE"""),6.0)</f>
        <v>6</v>
      </c>
    </row>
    <row r="478">
      <c r="A478" s="87" t="str">
        <f>IFERROR(__xludf.DUMMYFUNCTION("""COMPUTED_VALUE"""),"ITBISA-ABC-BATERAI-AA-ALKALINE")</f>
        <v>ITBISA-ABC-BATERAI-AA-ALKALINE</v>
      </c>
      <c r="B478" s="165">
        <f>IFERROR(__xludf.DUMMYFUNCTION("""COMPUTED_VALUE"""),46169.0)</f>
        <v>46169</v>
      </c>
      <c r="C478" s="165" t="str">
        <f>IFERROR(__xludf.DUMMYFUNCTION("""COMPUTED_VALUE"""),"KYAI KONTONG")</f>
        <v>KYAI KONTONG</v>
      </c>
      <c r="D478" s="94">
        <f>IFERROR(__xludf.DUMMYFUNCTION("""COMPUTED_VALUE"""),2.0)</f>
        <v>2</v>
      </c>
    </row>
    <row r="479">
      <c r="A479" s="87" t="str">
        <f>IFERROR(__xludf.DUMMYFUNCTION("""COMPUTED_VALUE"""),"ITBISA-ABC-BATERAI-AA-ALKALINE")</f>
        <v>ITBISA-ABC-BATERAI-AA-ALKALINE</v>
      </c>
      <c r="B479" s="165">
        <f>IFERROR(__xludf.DUMMYFUNCTION("""COMPUTED_VALUE"""),46170.0)</f>
        <v>46170</v>
      </c>
      <c r="C479" s="165" t="str">
        <f>IFERROR(__xludf.DUMMYFUNCTION("""COMPUTED_VALUE"""),"KYAI KONTONG")</f>
        <v>KYAI KONTONG</v>
      </c>
      <c r="D479" s="94">
        <f>IFERROR(__xludf.DUMMYFUNCTION("""COMPUTED_VALUE"""),2.0)</f>
        <v>2</v>
      </c>
    </row>
    <row r="480">
      <c r="A480" s="87" t="str">
        <f>IFERROR(__xludf.DUMMYFUNCTION("""COMPUTED_VALUE"""),"ITBISA-ABC-BATERAI-AA-ALKALINE")</f>
        <v>ITBISA-ABC-BATERAI-AA-ALKALINE</v>
      </c>
      <c r="B480" s="165">
        <f>IFERROR(__xludf.DUMMYFUNCTION("""COMPUTED_VALUE"""),46171.0)</f>
        <v>46171</v>
      </c>
      <c r="C480" s="165" t="str">
        <f>IFERROR(__xludf.DUMMYFUNCTION("""COMPUTED_VALUE"""),"KYAI KONTONG")</f>
        <v>KYAI KONTONG</v>
      </c>
      <c r="D480" s="94">
        <f>IFERROR(__xludf.DUMMYFUNCTION("""COMPUTED_VALUE"""),8.0)</f>
        <v>8</v>
      </c>
    </row>
    <row r="481">
      <c r="A481" s="87" t="str">
        <f>IFERROR(__xludf.DUMMYFUNCTION("""COMPUTED_VALUE"""),"ITBISA-ABC-BATERAI-AA-ALKALINE")</f>
        <v>ITBISA-ABC-BATERAI-AA-ALKALINE</v>
      </c>
      <c r="B481" s="165">
        <f>IFERROR(__xludf.DUMMYFUNCTION("""COMPUTED_VALUE"""),46172.0)</f>
        <v>46172</v>
      </c>
      <c r="C481" s="165" t="str">
        <f>IFERROR(__xludf.DUMMYFUNCTION("""COMPUTED_VALUE"""),"KYAI KONTONG")</f>
        <v>KYAI KONTONG</v>
      </c>
      <c r="D481" s="94">
        <f>IFERROR(__xludf.DUMMYFUNCTION("""COMPUTED_VALUE"""),16.0)</f>
        <v>16</v>
      </c>
    </row>
    <row r="482">
      <c r="A482" s="87" t="str">
        <f>IFERROR(__xludf.DUMMYFUNCTION("""COMPUTED_VALUE"""),"ITBISA-ABC-BATERAI-AA-ALKALINE")</f>
        <v>ITBISA-ABC-BATERAI-AA-ALKALINE</v>
      </c>
      <c r="B482" s="165">
        <f>IFERROR(__xludf.DUMMYFUNCTION("""COMPUTED_VALUE"""),46174.0)</f>
        <v>46174</v>
      </c>
      <c r="C482" s="165" t="str">
        <f>IFERROR(__xludf.DUMMYFUNCTION("""COMPUTED_VALUE"""),"KYAI KONTONG")</f>
        <v>KYAI KONTONG</v>
      </c>
      <c r="D482" s="94">
        <f>IFERROR(__xludf.DUMMYFUNCTION("""COMPUTED_VALUE"""),2.0)</f>
        <v>2</v>
      </c>
    </row>
    <row r="483">
      <c r="A483" s="87" t="str">
        <f>IFERROR(__xludf.DUMMYFUNCTION("""COMPUTED_VALUE"""),"ITBISA-ABC-BATERAI-AA-ALKALINE")</f>
        <v>ITBISA-ABC-BATERAI-AA-ALKALINE</v>
      </c>
      <c r="B483" s="165">
        <f>IFERROR(__xludf.DUMMYFUNCTION("""COMPUTED_VALUE"""),46174.0)</f>
        <v>46174</v>
      </c>
      <c r="C483" s="165" t="str">
        <f>IFERROR(__xludf.DUMMYFUNCTION("""COMPUTED_VALUE"""),"KYAI KONTONG")</f>
        <v>KYAI KONTONG</v>
      </c>
      <c r="D483" s="94">
        <f>IFERROR(__xludf.DUMMYFUNCTION("""COMPUTED_VALUE"""),8.0)</f>
        <v>8</v>
      </c>
    </row>
    <row r="484">
      <c r="A484" s="87" t="str">
        <f>IFERROR(__xludf.DUMMYFUNCTION("""COMPUTED_VALUE"""),"ITBISA-ABC-BATERAI-AA-ALKALINE")</f>
        <v>ITBISA-ABC-BATERAI-AA-ALKALINE</v>
      </c>
      <c r="B484" s="165">
        <f>IFERROR(__xludf.DUMMYFUNCTION("""COMPUTED_VALUE"""),46176.0)</f>
        <v>46176</v>
      </c>
      <c r="C484" s="165" t="str">
        <f>IFERROR(__xludf.DUMMYFUNCTION("""COMPUTED_VALUE"""),"KYAI KONTONG")</f>
        <v>KYAI KONTONG</v>
      </c>
      <c r="D484" s="94">
        <f>IFERROR(__xludf.DUMMYFUNCTION("""COMPUTED_VALUE"""),8.0)</f>
        <v>8</v>
      </c>
    </row>
    <row r="485">
      <c r="A485" s="87" t="str">
        <f>IFERROR(__xludf.DUMMYFUNCTION("""COMPUTED_VALUE"""),"ITBISA-ABC-BATERAI-AA-ALKALINE")</f>
        <v>ITBISA-ABC-BATERAI-AA-ALKALINE</v>
      </c>
      <c r="B485" s="165">
        <f>IFERROR(__xludf.DUMMYFUNCTION("""COMPUTED_VALUE"""),46176.0)</f>
        <v>46176</v>
      </c>
      <c r="C485" s="165" t="str">
        <f>IFERROR(__xludf.DUMMYFUNCTION("""COMPUTED_VALUE"""),"KYAI KONTONG")</f>
        <v>KYAI KONTONG</v>
      </c>
      <c r="D485" s="94">
        <f>IFERROR(__xludf.DUMMYFUNCTION("""COMPUTED_VALUE"""),16.0)</f>
        <v>16</v>
      </c>
    </row>
    <row r="486">
      <c r="A486" s="87" t="str">
        <f>IFERROR(__xludf.DUMMYFUNCTION("""COMPUTED_VALUE"""),"ITBISA-ABC-BATERAI-AA-ALKALINE")</f>
        <v>ITBISA-ABC-BATERAI-AA-ALKALINE</v>
      </c>
      <c r="B486" s="165">
        <f>IFERROR(__xludf.DUMMYFUNCTION("""COMPUTED_VALUE"""),46178.0)</f>
        <v>46178</v>
      </c>
      <c r="C486" s="165" t="str">
        <f>IFERROR(__xludf.DUMMYFUNCTION("""COMPUTED_VALUE"""),"KYAI KONTONG")</f>
        <v>KYAI KONTONG</v>
      </c>
      <c r="D486" s="94">
        <f>IFERROR(__xludf.DUMMYFUNCTION("""COMPUTED_VALUE"""),2.0)</f>
        <v>2</v>
      </c>
    </row>
    <row r="487">
      <c r="A487" s="87" t="str">
        <f>IFERROR(__xludf.DUMMYFUNCTION("""COMPUTED_VALUE"""),"ITBISA-ABC-BATERAI-AA-ALKALINE")</f>
        <v>ITBISA-ABC-BATERAI-AA-ALKALINE</v>
      </c>
      <c r="B487" s="165">
        <f>IFERROR(__xludf.DUMMYFUNCTION("""COMPUTED_VALUE"""),46179.0)</f>
        <v>46179</v>
      </c>
      <c r="C487" s="165" t="str">
        <f>IFERROR(__xludf.DUMMYFUNCTION("""COMPUTED_VALUE"""),"KYAI KONTONG")</f>
        <v>KYAI KONTONG</v>
      </c>
      <c r="D487" s="94">
        <f>IFERROR(__xludf.DUMMYFUNCTION("""COMPUTED_VALUE"""),2.0)</f>
        <v>2</v>
      </c>
    </row>
    <row r="488">
      <c r="A488" s="87" t="str">
        <f>IFERROR(__xludf.DUMMYFUNCTION("""COMPUTED_VALUE"""),"ITBISA-ABC-BATERAI-AA-ALKALINE")</f>
        <v>ITBISA-ABC-BATERAI-AA-ALKALINE</v>
      </c>
      <c r="B488" s="165">
        <f>IFERROR(__xludf.DUMMYFUNCTION("""COMPUTED_VALUE"""),46179.0)</f>
        <v>46179</v>
      </c>
      <c r="C488" s="165" t="str">
        <f>IFERROR(__xludf.DUMMYFUNCTION("""COMPUTED_VALUE"""),"KYAI KONTONG")</f>
        <v>KYAI KONTONG</v>
      </c>
      <c r="D488" s="94">
        <f>IFERROR(__xludf.DUMMYFUNCTION("""COMPUTED_VALUE"""),2.0)</f>
        <v>2</v>
      </c>
    </row>
    <row r="489">
      <c r="A489" s="87" t="str">
        <f>IFERROR(__xludf.DUMMYFUNCTION("""COMPUTED_VALUE"""),"ITBISA-ABC-BATERAI-AA-ALKALINE")</f>
        <v>ITBISA-ABC-BATERAI-AA-ALKALINE</v>
      </c>
      <c r="B489" s="165">
        <f>IFERROR(__xludf.DUMMYFUNCTION("""COMPUTED_VALUE"""),46180.0)</f>
        <v>46180</v>
      </c>
      <c r="C489" s="165" t="str">
        <f>IFERROR(__xludf.DUMMYFUNCTION("""COMPUTED_VALUE"""),"KYAI KONTONG")</f>
        <v>KYAI KONTONG</v>
      </c>
      <c r="D489" s="94">
        <f>IFERROR(__xludf.DUMMYFUNCTION("""COMPUTED_VALUE"""),2.0)</f>
        <v>2</v>
      </c>
    </row>
    <row r="490">
      <c r="A490" s="87" t="str">
        <f>IFERROR(__xludf.DUMMYFUNCTION("""COMPUTED_VALUE"""),"ITBISA-ABC-BATERAI-AA-ALKALINE")</f>
        <v>ITBISA-ABC-BATERAI-AA-ALKALINE</v>
      </c>
      <c r="B490" s="165">
        <f>IFERROR(__xludf.DUMMYFUNCTION("""COMPUTED_VALUE"""),46183.0)</f>
        <v>46183</v>
      </c>
      <c r="C490" s="165" t="str">
        <f>IFERROR(__xludf.DUMMYFUNCTION("""COMPUTED_VALUE"""),"KYAI KONTONG")</f>
        <v>KYAI KONTONG</v>
      </c>
      <c r="D490" s="94">
        <f>IFERROR(__xludf.DUMMYFUNCTION("""COMPUTED_VALUE"""),2.0)</f>
        <v>2</v>
      </c>
    </row>
    <row r="491">
      <c r="A491" s="87" t="str">
        <f>IFERROR(__xludf.DUMMYFUNCTION("""COMPUTED_VALUE"""),"ITBISA-ABC-BATERAI-AA-ALKALINE")</f>
        <v>ITBISA-ABC-BATERAI-AA-ALKALINE</v>
      </c>
      <c r="B491" s="165">
        <f>IFERROR(__xludf.DUMMYFUNCTION("""COMPUTED_VALUE"""),46183.0)</f>
        <v>46183</v>
      </c>
      <c r="C491" s="165" t="str">
        <f>IFERROR(__xludf.DUMMYFUNCTION("""COMPUTED_VALUE"""),"KYAI KONTONG")</f>
        <v>KYAI KONTONG</v>
      </c>
      <c r="D491" s="94">
        <f>IFERROR(__xludf.DUMMYFUNCTION("""COMPUTED_VALUE"""),12.0)</f>
        <v>12</v>
      </c>
    </row>
    <row r="492">
      <c r="A492" s="87" t="str">
        <f>IFERROR(__xludf.DUMMYFUNCTION("""COMPUTED_VALUE"""),"ITBISA-ABC-BATERAI-AA-ALKALINE")</f>
        <v>ITBISA-ABC-BATERAI-AA-ALKALINE</v>
      </c>
      <c r="B492" s="165">
        <f>IFERROR(__xludf.DUMMYFUNCTION("""COMPUTED_VALUE"""),46184.0)</f>
        <v>46184</v>
      </c>
      <c r="C492" s="165" t="str">
        <f>IFERROR(__xludf.DUMMYFUNCTION("""COMPUTED_VALUE"""),"KYAI KONTONG")</f>
        <v>KYAI KONTONG</v>
      </c>
      <c r="D492" s="94">
        <f>IFERROR(__xludf.DUMMYFUNCTION("""COMPUTED_VALUE"""),2.0)</f>
        <v>2</v>
      </c>
    </row>
    <row r="493">
      <c r="A493" s="87" t="str">
        <f>IFERROR(__xludf.DUMMYFUNCTION("""COMPUTED_VALUE"""),"ITBISA-ABC-BATERAI-AA-ALKALINE")</f>
        <v>ITBISA-ABC-BATERAI-AA-ALKALINE</v>
      </c>
      <c r="B493" s="165">
        <f>IFERROR(__xludf.DUMMYFUNCTION("""COMPUTED_VALUE"""),46184.0)</f>
        <v>46184</v>
      </c>
      <c r="C493" s="165" t="str">
        <f>IFERROR(__xludf.DUMMYFUNCTION("""COMPUTED_VALUE"""),"KYAI KONTONG")</f>
        <v>KYAI KONTONG</v>
      </c>
      <c r="D493" s="94">
        <f>IFERROR(__xludf.DUMMYFUNCTION("""COMPUTED_VALUE"""),8.0)</f>
        <v>8</v>
      </c>
    </row>
    <row r="494">
      <c r="A494" s="87" t="str">
        <f>IFERROR(__xludf.DUMMYFUNCTION("""COMPUTED_VALUE"""),"ITBISA-ABC-BATERAI-AA-ALKALINE")</f>
        <v>ITBISA-ABC-BATERAI-AA-ALKALINE</v>
      </c>
      <c r="B494" s="165">
        <f>IFERROR(__xludf.DUMMYFUNCTION("""COMPUTED_VALUE"""),46185.0)</f>
        <v>46185</v>
      </c>
      <c r="C494" s="165" t="str">
        <f>IFERROR(__xludf.DUMMYFUNCTION("""COMPUTED_VALUE"""),"KYAI KONTONG")</f>
        <v>KYAI KONTONG</v>
      </c>
      <c r="D494" s="94">
        <f>IFERROR(__xludf.DUMMYFUNCTION("""COMPUTED_VALUE"""),2.0)</f>
        <v>2</v>
      </c>
    </row>
    <row r="495">
      <c r="A495" s="87" t="str">
        <f>IFERROR(__xludf.DUMMYFUNCTION("""COMPUTED_VALUE"""),"ITBISA-ABC-BATERAI-AA-ALKALINE")</f>
        <v>ITBISA-ABC-BATERAI-AA-ALKALINE</v>
      </c>
      <c r="B495" s="165">
        <f>IFERROR(__xludf.DUMMYFUNCTION("""COMPUTED_VALUE"""),46186.0)</f>
        <v>46186</v>
      </c>
      <c r="C495" s="165" t="str">
        <f>IFERROR(__xludf.DUMMYFUNCTION("""COMPUTED_VALUE"""),"KYAI KONTONG")</f>
        <v>KYAI KONTONG</v>
      </c>
      <c r="D495" s="94">
        <f>IFERROR(__xludf.DUMMYFUNCTION("""COMPUTED_VALUE"""),2.0)</f>
        <v>2</v>
      </c>
    </row>
    <row r="496">
      <c r="A496" s="87" t="str">
        <f>IFERROR(__xludf.DUMMYFUNCTION("""COMPUTED_VALUE"""),"ITBISA-ABC-BATERAI-AA-ALKALINE")</f>
        <v>ITBISA-ABC-BATERAI-AA-ALKALINE</v>
      </c>
      <c r="B496" s="165">
        <f>IFERROR(__xludf.DUMMYFUNCTION("""COMPUTED_VALUE"""),46186.0)</f>
        <v>46186</v>
      </c>
      <c r="C496" s="165" t="str">
        <f>IFERROR(__xludf.DUMMYFUNCTION("""COMPUTED_VALUE"""),"KYAI KONTONG")</f>
        <v>KYAI KONTONG</v>
      </c>
      <c r="D496" s="94">
        <f>IFERROR(__xludf.DUMMYFUNCTION("""COMPUTED_VALUE"""),8.0)</f>
        <v>8</v>
      </c>
    </row>
    <row r="497">
      <c r="A497" s="87" t="str">
        <f>IFERROR(__xludf.DUMMYFUNCTION("""COMPUTED_VALUE"""),"ITBISA-ABC-BATERAI-AA-ALKALINE")</f>
        <v>ITBISA-ABC-BATERAI-AA-ALKALINE</v>
      </c>
      <c r="B497" s="165">
        <f>IFERROR(__xludf.DUMMYFUNCTION("""COMPUTED_VALUE"""),46189.0)</f>
        <v>46189</v>
      </c>
      <c r="C497" s="165" t="str">
        <f>IFERROR(__xludf.DUMMYFUNCTION("""COMPUTED_VALUE"""),"KYAI KONTONG")</f>
        <v>KYAI KONTONG</v>
      </c>
      <c r="D497" s="94">
        <f>IFERROR(__xludf.DUMMYFUNCTION("""COMPUTED_VALUE"""),2.0)</f>
        <v>2</v>
      </c>
    </row>
    <row r="498">
      <c r="A498" s="87" t="str">
        <f>IFERROR(__xludf.DUMMYFUNCTION("""COMPUTED_VALUE"""),"ITBISA-ABC-BATERAI-AA-ALKALINE")</f>
        <v>ITBISA-ABC-BATERAI-AA-ALKALINE</v>
      </c>
      <c r="B498" s="165">
        <f>IFERROR(__xludf.DUMMYFUNCTION("""COMPUTED_VALUE"""),46189.0)</f>
        <v>46189</v>
      </c>
      <c r="C498" s="165" t="str">
        <f>IFERROR(__xludf.DUMMYFUNCTION("""COMPUTED_VALUE"""),"KYAI KONTONG")</f>
        <v>KYAI KONTONG</v>
      </c>
      <c r="D498" s="94">
        <f>IFERROR(__xludf.DUMMYFUNCTION("""COMPUTED_VALUE"""),40.0)</f>
        <v>40</v>
      </c>
    </row>
    <row r="499">
      <c r="A499" s="87" t="str">
        <f>IFERROR(__xludf.DUMMYFUNCTION("""COMPUTED_VALUE"""),"ITBISA-ABC-BATERAI-AA-ALKALINE")</f>
        <v>ITBISA-ABC-BATERAI-AA-ALKALINE</v>
      </c>
      <c r="B499" s="165">
        <f>IFERROR(__xludf.DUMMYFUNCTION("""COMPUTED_VALUE"""),46191.0)</f>
        <v>46191</v>
      </c>
      <c r="C499" s="165" t="str">
        <f>IFERROR(__xludf.DUMMYFUNCTION("""COMPUTED_VALUE"""),"KYAI KONTONG")</f>
        <v>KYAI KONTONG</v>
      </c>
      <c r="D499" s="94">
        <f>IFERROR(__xludf.DUMMYFUNCTION("""COMPUTED_VALUE"""),8.0)</f>
        <v>8</v>
      </c>
    </row>
    <row r="500">
      <c r="A500" s="87" t="str">
        <f>IFERROR(__xludf.DUMMYFUNCTION("""COMPUTED_VALUE"""),"ITBISA-ABC-BATERAI-AA-ALKALINE")</f>
        <v>ITBISA-ABC-BATERAI-AA-ALKALINE</v>
      </c>
      <c r="B500" s="165">
        <f>IFERROR(__xludf.DUMMYFUNCTION("""COMPUTED_VALUE"""),46192.0)</f>
        <v>46192</v>
      </c>
      <c r="C500" s="165" t="str">
        <f>IFERROR(__xludf.DUMMYFUNCTION("""COMPUTED_VALUE"""),"KYAI KONTONG")</f>
        <v>KYAI KONTONG</v>
      </c>
      <c r="D500" s="94">
        <f>IFERROR(__xludf.DUMMYFUNCTION("""COMPUTED_VALUE"""),2.0)</f>
        <v>2</v>
      </c>
    </row>
    <row r="501">
      <c r="A501" s="87" t="str">
        <f>IFERROR(__xludf.DUMMYFUNCTION("""COMPUTED_VALUE"""),"ITBISA-ABC-BATERAI-AA-ALKALINE")</f>
        <v>ITBISA-ABC-BATERAI-AA-ALKALINE</v>
      </c>
      <c r="B501" s="165">
        <f>IFERROR(__xludf.DUMMYFUNCTION("""COMPUTED_VALUE"""),46192.0)</f>
        <v>46192</v>
      </c>
      <c r="C501" s="165" t="str">
        <f>IFERROR(__xludf.DUMMYFUNCTION("""COMPUTED_VALUE"""),"KYAI KONTONG")</f>
        <v>KYAI KONTONG</v>
      </c>
      <c r="D501" s="94">
        <f>IFERROR(__xludf.DUMMYFUNCTION("""COMPUTED_VALUE"""),2.0)</f>
        <v>2</v>
      </c>
    </row>
    <row r="502">
      <c r="A502" s="87" t="str">
        <f>IFERROR(__xludf.DUMMYFUNCTION("""COMPUTED_VALUE"""),"ITBISA-ABC-BATERAI-AA-ALKALINE")</f>
        <v>ITBISA-ABC-BATERAI-AA-ALKALINE</v>
      </c>
      <c r="B502" s="165">
        <f>IFERROR(__xludf.DUMMYFUNCTION("""COMPUTED_VALUE"""),46194.0)</f>
        <v>46194</v>
      </c>
      <c r="C502" s="165" t="str">
        <f>IFERROR(__xludf.DUMMYFUNCTION("""COMPUTED_VALUE"""),"KYAI KONTONG")</f>
        <v>KYAI KONTONG</v>
      </c>
      <c r="D502" s="94">
        <f>IFERROR(__xludf.DUMMYFUNCTION("""COMPUTED_VALUE"""),2.0)</f>
        <v>2</v>
      </c>
    </row>
    <row r="503">
      <c r="A503" s="87" t="str">
        <f>IFERROR(__xludf.DUMMYFUNCTION("""COMPUTED_VALUE"""),"ITBISA-ABC-BATERAI-AA-ALKALINE")</f>
        <v>ITBISA-ABC-BATERAI-AA-ALKALINE</v>
      </c>
      <c r="B503" s="165">
        <f>IFERROR(__xludf.DUMMYFUNCTION("""COMPUTED_VALUE"""),46195.0)</f>
        <v>46195</v>
      </c>
      <c r="C503" s="165" t="str">
        <f>IFERROR(__xludf.DUMMYFUNCTION("""COMPUTED_VALUE"""),"KYAI KONTONG")</f>
        <v>KYAI KONTONG</v>
      </c>
      <c r="D503" s="94">
        <f>IFERROR(__xludf.DUMMYFUNCTION("""COMPUTED_VALUE"""),2.0)</f>
        <v>2</v>
      </c>
    </row>
    <row r="504">
      <c r="A504" s="87" t="str">
        <f>IFERROR(__xludf.DUMMYFUNCTION("""COMPUTED_VALUE"""),"ITBISA-ABC-BATERAI-AA-ALKALINE")</f>
        <v>ITBISA-ABC-BATERAI-AA-ALKALINE</v>
      </c>
      <c r="B504" s="165">
        <f>IFERROR(__xludf.DUMMYFUNCTION("""COMPUTED_VALUE"""),46195.0)</f>
        <v>46195</v>
      </c>
      <c r="C504" s="165" t="str">
        <f>IFERROR(__xludf.DUMMYFUNCTION("""COMPUTED_VALUE"""),"KYAI KONTONG")</f>
        <v>KYAI KONTONG</v>
      </c>
      <c r="D504" s="94">
        <f>IFERROR(__xludf.DUMMYFUNCTION("""COMPUTED_VALUE"""),2.0)</f>
        <v>2</v>
      </c>
    </row>
    <row r="505">
      <c r="A505" s="87" t="str">
        <f>IFERROR(__xludf.DUMMYFUNCTION("""COMPUTED_VALUE"""),"ITBISA-ABC-BATERAI-AA-ALKALINE")</f>
        <v>ITBISA-ABC-BATERAI-AA-ALKALINE</v>
      </c>
      <c r="B505" s="165">
        <f>IFERROR(__xludf.DUMMYFUNCTION("""COMPUTED_VALUE"""),46195.0)</f>
        <v>46195</v>
      </c>
      <c r="C505" s="165" t="str">
        <f>IFERROR(__xludf.DUMMYFUNCTION("""COMPUTED_VALUE"""),"KYAI KONTONG")</f>
        <v>KYAI KONTONG</v>
      </c>
      <c r="D505" s="94">
        <f>IFERROR(__xludf.DUMMYFUNCTION("""COMPUTED_VALUE"""),6.0)</f>
        <v>6</v>
      </c>
    </row>
    <row r="506">
      <c r="A506" s="87" t="str">
        <f>IFERROR(__xludf.DUMMYFUNCTION("""COMPUTED_VALUE"""),"ITBISA-ABC-BATERAI-AA-ALKALINE")</f>
        <v>ITBISA-ABC-BATERAI-AA-ALKALINE</v>
      </c>
      <c r="B506" s="165">
        <f>IFERROR(__xludf.DUMMYFUNCTION("""COMPUTED_VALUE"""),46195.0)</f>
        <v>46195</v>
      </c>
      <c r="C506" s="165" t="str">
        <f>IFERROR(__xludf.DUMMYFUNCTION("""COMPUTED_VALUE"""),"KYAI KONTONG")</f>
        <v>KYAI KONTONG</v>
      </c>
      <c r="D506" s="94">
        <f>IFERROR(__xludf.DUMMYFUNCTION("""COMPUTED_VALUE"""),16.0)</f>
        <v>16</v>
      </c>
    </row>
    <row r="507">
      <c r="A507" s="87" t="str">
        <f>IFERROR(__xludf.DUMMYFUNCTION("""COMPUTED_VALUE"""),"ITBISA-ABC-BATERAI-AA-ALKALINE")</f>
        <v>ITBISA-ABC-BATERAI-AA-ALKALINE</v>
      </c>
      <c r="B507" s="165">
        <f>IFERROR(__xludf.DUMMYFUNCTION("""COMPUTED_VALUE"""),46198.0)</f>
        <v>46198</v>
      </c>
      <c r="C507" s="165" t="str">
        <f>IFERROR(__xludf.DUMMYFUNCTION("""COMPUTED_VALUE"""),"KYAI KONTONG")</f>
        <v>KYAI KONTONG</v>
      </c>
      <c r="D507" s="94">
        <f>IFERROR(__xludf.DUMMYFUNCTION("""COMPUTED_VALUE"""),2.0)</f>
        <v>2</v>
      </c>
    </row>
    <row r="508">
      <c r="A508" s="87" t="str">
        <f>IFERROR(__xludf.DUMMYFUNCTION("""COMPUTED_VALUE"""),"ITBISA-ABC-BATERAI-AAA-ALKALINE")</f>
        <v>ITBISA-ABC-BATERAI-AAA-ALKALINE</v>
      </c>
      <c r="B508" s="165">
        <f>IFERROR(__xludf.DUMMYFUNCTION("""COMPUTED_VALUE"""),46028.0)</f>
        <v>46028</v>
      </c>
      <c r="C508" s="165" t="str">
        <f>IFERROR(__xludf.DUMMYFUNCTION("""COMPUTED_VALUE"""),"KYAI KONTONG")</f>
        <v>KYAI KONTONG</v>
      </c>
      <c r="D508" s="94">
        <f>IFERROR(__xludf.DUMMYFUNCTION("""COMPUTED_VALUE"""),8.0)</f>
        <v>8</v>
      </c>
    </row>
    <row r="509">
      <c r="A509" s="87" t="str">
        <f>IFERROR(__xludf.DUMMYFUNCTION("""COMPUTED_VALUE"""),"ITBISA-ABC-BATERAI-AAA-ALKALINE")</f>
        <v>ITBISA-ABC-BATERAI-AAA-ALKALINE</v>
      </c>
      <c r="B509" s="165">
        <f>IFERROR(__xludf.DUMMYFUNCTION("""COMPUTED_VALUE"""),46029.0)</f>
        <v>46029</v>
      </c>
      <c r="C509" s="165" t="str">
        <f>IFERROR(__xludf.DUMMYFUNCTION("""COMPUTED_VALUE"""),"KYAI KONTONG")</f>
        <v>KYAI KONTONG</v>
      </c>
      <c r="D509" s="94">
        <f>IFERROR(__xludf.DUMMYFUNCTION("""COMPUTED_VALUE"""),2.0)</f>
        <v>2</v>
      </c>
    </row>
    <row r="510">
      <c r="A510" s="87" t="str">
        <f>IFERROR(__xludf.DUMMYFUNCTION("""COMPUTED_VALUE"""),"ITBISA-ABC-BATERAI-AAA-ALKALINE")</f>
        <v>ITBISA-ABC-BATERAI-AAA-ALKALINE</v>
      </c>
      <c r="B510" s="165">
        <f>IFERROR(__xludf.DUMMYFUNCTION("""COMPUTED_VALUE"""),46029.0)</f>
        <v>46029</v>
      </c>
      <c r="C510" s="165" t="str">
        <f>IFERROR(__xludf.DUMMYFUNCTION("""COMPUTED_VALUE"""),"KYAI KONTONG")</f>
        <v>KYAI KONTONG</v>
      </c>
      <c r="D510" s="94">
        <f>IFERROR(__xludf.DUMMYFUNCTION("""COMPUTED_VALUE"""),6.0)</f>
        <v>6</v>
      </c>
    </row>
    <row r="511">
      <c r="A511" s="87" t="str">
        <f>IFERROR(__xludf.DUMMYFUNCTION("""COMPUTED_VALUE"""),"ITBISA-ABC-BATERAI-AAA-ALKALINE")</f>
        <v>ITBISA-ABC-BATERAI-AAA-ALKALINE</v>
      </c>
      <c r="B511" s="165">
        <f>IFERROR(__xludf.DUMMYFUNCTION("""COMPUTED_VALUE"""),46031.0)</f>
        <v>46031</v>
      </c>
      <c r="C511" s="165" t="str">
        <f>IFERROR(__xludf.DUMMYFUNCTION("""COMPUTED_VALUE"""),"KYAI KONTONG")</f>
        <v>KYAI KONTONG</v>
      </c>
      <c r="D511" s="94">
        <f>IFERROR(__xludf.DUMMYFUNCTION("""COMPUTED_VALUE"""),8.0)</f>
        <v>8</v>
      </c>
    </row>
    <row r="512">
      <c r="A512" s="87" t="str">
        <f>IFERROR(__xludf.DUMMYFUNCTION("""COMPUTED_VALUE"""),"ITBISA-ABC-BATERAI-AAA-ALKALINE")</f>
        <v>ITBISA-ABC-BATERAI-AAA-ALKALINE</v>
      </c>
      <c r="B512" s="165">
        <f>IFERROR(__xludf.DUMMYFUNCTION("""COMPUTED_VALUE"""),46036.0)</f>
        <v>46036</v>
      </c>
      <c r="C512" s="165" t="str">
        <f>IFERROR(__xludf.DUMMYFUNCTION("""COMPUTED_VALUE"""),"KYAI KONTONG")</f>
        <v>KYAI KONTONG</v>
      </c>
      <c r="D512" s="94">
        <f>IFERROR(__xludf.DUMMYFUNCTION("""COMPUTED_VALUE"""),120.0)</f>
        <v>120</v>
      </c>
    </row>
    <row r="513">
      <c r="A513" s="87" t="str">
        <f>IFERROR(__xludf.DUMMYFUNCTION("""COMPUTED_VALUE"""),"ITBISA-ABC-BATERAI-AAA-ALKALINE")</f>
        <v>ITBISA-ABC-BATERAI-AAA-ALKALINE</v>
      </c>
      <c r="B513" s="165">
        <f>IFERROR(__xludf.DUMMYFUNCTION("""COMPUTED_VALUE"""),46040.0)</f>
        <v>46040</v>
      </c>
      <c r="C513" s="165" t="str">
        <f>IFERROR(__xludf.DUMMYFUNCTION("""COMPUTED_VALUE"""),"KYAI KONTONG")</f>
        <v>KYAI KONTONG</v>
      </c>
      <c r="D513" s="94">
        <f>IFERROR(__xludf.DUMMYFUNCTION("""COMPUTED_VALUE"""),8.0)</f>
        <v>8</v>
      </c>
    </row>
    <row r="514">
      <c r="A514" s="87" t="str">
        <f>IFERROR(__xludf.DUMMYFUNCTION("""COMPUTED_VALUE"""),"ITBISA-ABC-BATERAI-AAA-ALKALINE")</f>
        <v>ITBISA-ABC-BATERAI-AAA-ALKALINE</v>
      </c>
      <c r="B514" s="165">
        <f>IFERROR(__xludf.DUMMYFUNCTION("""COMPUTED_VALUE"""),46046.0)</f>
        <v>46046</v>
      </c>
      <c r="C514" s="165" t="str">
        <f>IFERROR(__xludf.DUMMYFUNCTION("""COMPUTED_VALUE"""),"KYAI KONTONG")</f>
        <v>KYAI KONTONG</v>
      </c>
      <c r="D514" s="94">
        <f>IFERROR(__xludf.DUMMYFUNCTION("""COMPUTED_VALUE"""),1.0)</f>
        <v>1</v>
      </c>
    </row>
    <row r="515">
      <c r="A515" s="87" t="str">
        <f>IFERROR(__xludf.DUMMYFUNCTION("""COMPUTED_VALUE"""),"ITBISA-ABC-BATERAI-AAA-ALKALINE")</f>
        <v>ITBISA-ABC-BATERAI-AAA-ALKALINE</v>
      </c>
      <c r="B515" s="165">
        <f>IFERROR(__xludf.DUMMYFUNCTION("""COMPUTED_VALUE"""),46047.0)</f>
        <v>46047</v>
      </c>
      <c r="C515" s="165" t="str">
        <f>IFERROR(__xludf.DUMMYFUNCTION("""COMPUTED_VALUE"""),"KYAI KONTONG")</f>
        <v>KYAI KONTONG</v>
      </c>
      <c r="D515" s="94">
        <f>IFERROR(__xludf.DUMMYFUNCTION("""COMPUTED_VALUE"""),1.0)</f>
        <v>1</v>
      </c>
    </row>
    <row r="516">
      <c r="A516" s="87" t="str">
        <f>IFERROR(__xludf.DUMMYFUNCTION("""COMPUTED_VALUE"""),"ITBISA-ABC-BATERAI-AAA-ALKALINE")</f>
        <v>ITBISA-ABC-BATERAI-AAA-ALKALINE</v>
      </c>
      <c r="B516" s="165">
        <f>IFERROR(__xludf.DUMMYFUNCTION("""COMPUTED_VALUE"""),46047.0)</f>
        <v>46047</v>
      </c>
      <c r="C516" s="165" t="str">
        <f>IFERROR(__xludf.DUMMYFUNCTION("""COMPUTED_VALUE"""),"KYAI KONTONG")</f>
        <v>KYAI KONTONG</v>
      </c>
      <c r="D516" s="94">
        <f>IFERROR(__xludf.DUMMYFUNCTION("""COMPUTED_VALUE"""),2.0)</f>
        <v>2</v>
      </c>
    </row>
    <row r="517">
      <c r="A517" s="87" t="str">
        <f>IFERROR(__xludf.DUMMYFUNCTION("""COMPUTED_VALUE"""),"ITBISA-ABC-BATERAI-AAA-ALKALINE")</f>
        <v>ITBISA-ABC-BATERAI-AAA-ALKALINE</v>
      </c>
      <c r="B517" s="165">
        <f>IFERROR(__xludf.DUMMYFUNCTION("""COMPUTED_VALUE"""),46048.0)</f>
        <v>46048</v>
      </c>
      <c r="C517" s="165" t="str">
        <f>IFERROR(__xludf.DUMMYFUNCTION("""COMPUTED_VALUE"""),"KYAI KONTONG")</f>
        <v>KYAI KONTONG</v>
      </c>
      <c r="D517" s="94">
        <f>IFERROR(__xludf.DUMMYFUNCTION("""COMPUTED_VALUE"""),2.0)</f>
        <v>2</v>
      </c>
    </row>
    <row r="518">
      <c r="A518" s="87" t="str">
        <f>IFERROR(__xludf.DUMMYFUNCTION("""COMPUTED_VALUE"""),"ITBISA-ABC-BATERAI-AAA-ALKALINE")</f>
        <v>ITBISA-ABC-BATERAI-AAA-ALKALINE</v>
      </c>
      <c r="B518" s="165">
        <f>IFERROR(__xludf.DUMMYFUNCTION("""COMPUTED_VALUE"""),46049.0)</f>
        <v>46049</v>
      </c>
      <c r="C518" s="165" t="str">
        <f>IFERROR(__xludf.DUMMYFUNCTION("""COMPUTED_VALUE"""),"KYAI KONTONG")</f>
        <v>KYAI KONTONG</v>
      </c>
      <c r="D518" s="94">
        <f>IFERROR(__xludf.DUMMYFUNCTION("""COMPUTED_VALUE"""),2.0)</f>
        <v>2</v>
      </c>
    </row>
    <row r="519">
      <c r="A519" s="87" t="str">
        <f>IFERROR(__xludf.DUMMYFUNCTION("""COMPUTED_VALUE"""),"ITBISA-ABC-BATERAI-AAA-ALKALINE")</f>
        <v>ITBISA-ABC-BATERAI-AAA-ALKALINE</v>
      </c>
      <c r="B519" s="165">
        <f>IFERROR(__xludf.DUMMYFUNCTION("""COMPUTED_VALUE"""),46052.0)</f>
        <v>46052</v>
      </c>
      <c r="C519" s="165" t="str">
        <f>IFERROR(__xludf.DUMMYFUNCTION("""COMPUTED_VALUE"""),"KYAI KONTONG")</f>
        <v>KYAI KONTONG</v>
      </c>
      <c r="D519" s="94">
        <f>IFERROR(__xludf.DUMMYFUNCTION("""COMPUTED_VALUE"""),6.0)</f>
        <v>6</v>
      </c>
    </row>
    <row r="520">
      <c r="A520" s="87" t="str">
        <f>IFERROR(__xludf.DUMMYFUNCTION("""COMPUTED_VALUE"""),"ITBISA-ABC-BATERAI-AAA-ALKALINE")</f>
        <v>ITBISA-ABC-BATERAI-AAA-ALKALINE</v>
      </c>
      <c r="B520" s="165">
        <f>IFERROR(__xludf.DUMMYFUNCTION("""COMPUTED_VALUE"""),46061.0)</f>
        <v>46061</v>
      </c>
      <c r="C520" s="165" t="str">
        <f>IFERROR(__xludf.DUMMYFUNCTION("""COMPUTED_VALUE"""),"KYAI KONTONG")</f>
        <v>KYAI KONTONG</v>
      </c>
      <c r="D520" s="94">
        <f>IFERROR(__xludf.DUMMYFUNCTION("""COMPUTED_VALUE"""),2.0)</f>
        <v>2</v>
      </c>
    </row>
    <row r="521">
      <c r="A521" s="87" t="str">
        <f>IFERROR(__xludf.DUMMYFUNCTION("""COMPUTED_VALUE"""),"ITBISA-ABC-BATERAI-AAA-ALKALINE")</f>
        <v>ITBISA-ABC-BATERAI-AAA-ALKALINE</v>
      </c>
      <c r="B521" s="165">
        <f>IFERROR(__xludf.DUMMYFUNCTION("""COMPUTED_VALUE"""),46061.0)</f>
        <v>46061</v>
      </c>
      <c r="C521" s="165" t="str">
        <f>IFERROR(__xludf.DUMMYFUNCTION("""COMPUTED_VALUE"""),"KYAI KONTONG")</f>
        <v>KYAI KONTONG</v>
      </c>
      <c r="D521" s="94">
        <f>IFERROR(__xludf.DUMMYFUNCTION("""COMPUTED_VALUE"""),6.0)</f>
        <v>6</v>
      </c>
    </row>
    <row r="522">
      <c r="A522" s="87" t="str">
        <f>IFERROR(__xludf.DUMMYFUNCTION("""COMPUTED_VALUE"""),"ITBISA-ABC-BATERAI-AAA-ALKALINE")</f>
        <v>ITBISA-ABC-BATERAI-AAA-ALKALINE</v>
      </c>
      <c r="B522" s="165">
        <f>IFERROR(__xludf.DUMMYFUNCTION("""COMPUTED_VALUE"""),46064.0)</f>
        <v>46064</v>
      </c>
      <c r="C522" s="165" t="str">
        <f>IFERROR(__xludf.DUMMYFUNCTION("""COMPUTED_VALUE"""),"KYAI KONTONG")</f>
        <v>KYAI KONTONG</v>
      </c>
      <c r="D522" s="94">
        <f>IFERROR(__xludf.DUMMYFUNCTION("""COMPUTED_VALUE"""),1.0)</f>
        <v>1</v>
      </c>
    </row>
    <row r="523">
      <c r="A523" s="87" t="str">
        <f>IFERROR(__xludf.DUMMYFUNCTION("""COMPUTED_VALUE"""),"ITBISA-ABC-BATERAI-AAA-ALKALINE")</f>
        <v>ITBISA-ABC-BATERAI-AAA-ALKALINE</v>
      </c>
      <c r="B523" s="165">
        <f>IFERROR(__xludf.DUMMYFUNCTION("""COMPUTED_VALUE"""),46064.0)</f>
        <v>46064</v>
      </c>
      <c r="C523" s="165" t="str">
        <f>IFERROR(__xludf.DUMMYFUNCTION("""COMPUTED_VALUE"""),"KYAI KONTONG")</f>
        <v>KYAI KONTONG</v>
      </c>
      <c r="D523" s="94">
        <f>IFERROR(__xludf.DUMMYFUNCTION("""COMPUTED_VALUE"""),12.0)</f>
        <v>12</v>
      </c>
    </row>
    <row r="524">
      <c r="A524" s="87" t="str">
        <f>IFERROR(__xludf.DUMMYFUNCTION("""COMPUTED_VALUE"""),"ITBISA-ABC-BATERAI-AAA-ALKALINE")</f>
        <v>ITBISA-ABC-BATERAI-AAA-ALKALINE</v>
      </c>
      <c r="B524" s="165">
        <f>IFERROR(__xludf.DUMMYFUNCTION("""COMPUTED_VALUE"""),46066.0)</f>
        <v>46066</v>
      </c>
      <c r="C524" s="165" t="str">
        <f>IFERROR(__xludf.DUMMYFUNCTION("""COMPUTED_VALUE"""),"KYAI KONTONG")</f>
        <v>KYAI KONTONG</v>
      </c>
      <c r="D524" s="94">
        <f>IFERROR(__xludf.DUMMYFUNCTION("""COMPUTED_VALUE"""),1.0)</f>
        <v>1</v>
      </c>
    </row>
    <row r="525">
      <c r="A525" s="87" t="str">
        <f>IFERROR(__xludf.DUMMYFUNCTION("""COMPUTED_VALUE"""),"ITBISA-ABC-BATERAI-AAA-ALKALINE")</f>
        <v>ITBISA-ABC-BATERAI-AAA-ALKALINE</v>
      </c>
      <c r="B525" s="165">
        <f>IFERROR(__xludf.DUMMYFUNCTION("""COMPUTED_VALUE"""),46069.0)</f>
        <v>46069</v>
      </c>
      <c r="C525" s="165" t="str">
        <f>IFERROR(__xludf.DUMMYFUNCTION("""COMPUTED_VALUE"""),"KYAI KONTONG")</f>
        <v>KYAI KONTONG</v>
      </c>
      <c r="D525" s="94">
        <f>IFERROR(__xludf.DUMMYFUNCTION("""COMPUTED_VALUE"""),1.0)</f>
        <v>1</v>
      </c>
    </row>
    <row r="526">
      <c r="A526" s="87" t="str">
        <f>IFERROR(__xludf.DUMMYFUNCTION("""COMPUTED_VALUE"""),"ITBISA-ABC-BATERAI-AAA-ALKALINE")</f>
        <v>ITBISA-ABC-BATERAI-AAA-ALKALINE</v>
      </c>
      <c r="B526" s="165">
        <f>IFERROR(__xludf.DUMMYFUNCTION("""COMPUTED_VALUE"""),46070.0)</f>
        <v>46070</v>
      </c>
      <c r="C526" s="165" t="str">
        <f>IFERROR(__xludf.DUMMYFUNCTION("""COMPUTED_VALUE"""),"KYAI KONTONG")</f>
        <v>KYAI KONTONG</v>
      </c>
      <c r="D526" s="94">
        <f>IFERROR(__xludf.DUMMYFUNCTION("""COMPUTED_VALUE"""),1.0)</f>
        <v>1</v>
      </c>
    </row>
    <row r="527">
      <c r="A527" s="87" t="str">
        <f>IFERROR(__xludf.DUMMYFUNCTION("""COMPUTED_VALUE"""),"ITBISA-ABC-BATERAI-AAA-ALKALINE")</f>
        <v>ITBISA-ABC-BATERAI-AAA-ALKALINE</v>
      </c>
      <c r="B527" s="165">
        <f>IFERROR(__xludf.DUMMYFUNCTION("""COMPUTED_VALUE"""),46071.0)</f>
        <v>46071</v>
      </c>
      <c r="C527" s="165" t="str">
        <f>IFERROR(__xludf.DUMMYFUNCTION("""COMPUTED_VALUE"""),"KYAI KONTONG")</f>
        <v>KYAI KONTONG</v>
      </c>
      <c r="D527" s="94">
        <f>IFERROR(__xludf.DUMMYFUNCTION("""COMPUTED_VALUE"""),2.0)</f>
        <v>2</v>
      </c>
    </row>
    <row r="528">
      <c r="A528" s="87" t="str">
        <f>IFERROR(__xludf.DUMMYFUNCTION("""COMPUTED_VALUE"""),"ITBISA-ABC-BATERAI-AAA-ALKALINE")</f>
        <v>ITBISA-ABC-BATERAI-AAA-ALKALINE</v>
      </c>
      <c r="B528" s="165">
        <f>IFERROR(__xludf.DUMMYFUNCTION("""COMPUTED_VALUE"""),46072.0)</f>
        <v>46072</v>
      </c>
      <c r="C528" s="165" t="str">
        <f>IFERROR(__xludf.DUMMYFUNCTION("""COMPUTED_VALUE"""),"KYAI KONTONG")</f>
        <v>KYAI KONTONG</v>
      </c>
      <c r="D528" s="94">
        <f>IFERROR(__xludf.DUMMYFUNCTION("""COMPUTED_VALUE"""),6.0)</f>
        <v>6</v>
      </c>
    </row>
    <row r="529">
      <c r="A529" s="87" t="str">
        <f>IFERROR(__xludf.DUMMYFUNCTION("""COMPUTED_VALUE"""),"ITBISA-ABC-BATERAI-AAA-ALKALINE")</f>
        <v>ITBISA-ABC-BATERAI-AAA-ALKALINE</v>
      </c>
      <c r="B529" s="165">
        <f>IFERROR(__xludf.DUMMYFUNCTION("""COMPUTED_VALUE"""),46074.0)</f>
        <v>46074</v>
      </c>
      <c r="C529" s="165" t="str">
        <f>IFERROR(__xludf.DUMMYFUNCTION("""COMPUTED_VALUE"""),"KYAI KONTONG")</f>
        <v>KYAI KONTONG</v>
      </c>
      <c r="D529" s="94">
        <f>IFERROR(__xludf.DUMMYFUNCTION("""COMPUTED_VALUE"""),6.0)</f>
        <v>6</v>
      </c>
    </row>
    <row r="530">
      <c r="A530" s="87" t="str">
        <f>IFERROR(__xludf.DUMMYFUNCTION("""COMPUTED_VALUE"""),"ITBISA-ABC-BATERAI-AAA-ALKALINE")</f>
        <v>ITBISA-ABC-BATERAI-AAA-ALKALINE</v>
      </c>
      <c r="B530" s="165">
        <f>IFERROR(__xludf.DUMMYFUNCTION("""COMPUTED_VALUE"""),46077.0)</f>
        <v>46077</v>
      </c>
      <c r="C530" s="165" t="str">
        <f>IFERROR(__xludf.DUMMYFUNCTION("""COMPUTED_VALUE"""),"KYAI KONTONG")</f>
        <v>KYAI KONTONG</v>
      </c>
      <c r="D530" s="94">
        <f>IFERROR(__xludf.DUMMYFUNCTION("""COMPUTED_VALUE"""),1.0)</f>
        <v>1</v>
      </c>
    </row>
    <row r="531">
      <c r="A531" s="87" t="str">
        <f>IFERROR(__xludf.DUMMYFUNCTION("""COMPUTED_VALUE"""),"ITBISA-ABC-BATERAI-AAA-ALKALINE")</f>
        <v>ITBISA-ABC-BATERAI-AAA-ALKALINE</v>
      </c>
      <c r="B531" s="165">
        <f>IFERROR(__xludf.DUMMYFUNCTION("""COMPUTED_VALUE"""),46077.0)</f>
        <v>46077</v>
      </c>
      <c r="C531" s="165" t="str">
        <f>IFERROR(__xludf.DUMMYFUNCTION("""COMPUTED_VALUE"""),"KYAI KONTONG")</f>
        <v>KYAI KONTONG</v>
      </c>
      <c r="D531" s="94">
        <f>IFERROR(__xludf.DUMMYFUNCTION("""COMPUTED_VALUE"""),6.0)</f>
        <v>6</v>
      </c>
    </row>
    <row r="532">
      <c r="A532" s="87" t="str">
        <f>IFERROR(__xludf.DUMMYFUNCTION("""COMPUTED_VALUE"""),"ITBISA-ABC-BATERAI-AAA-ALKALINE")</f>
        <v>ITBISA-ABC-BATERAI-AAA-ALKALINE</v>
      </c>
      <c r="B532" s="165">
        <f>IFERROR(__xludf.DUMMYFUNCTION("""COMPUTED_VALUE"""),46079.0)</f>
        <v>46079</v>
      </c>
      <c r="C532" s="165" t="str">
        <f>IFERROR(__xludf.DUMMYFUNCTION("""COMPUTED_VALUE"""),"KYAI KONTONG")</f>
        <v>KYAI KONTONG</v>
      </c>
      <c r="D532" s="94">
        <f>IFERROR(__xludf.DUMMYFUNCTION("""COMPUTED_VALUE"""),1.0)</f>
        <v>1</v>
      </c>
    </row>
    <row r="533">
      <c r="A533" s="87" t="str">
        <f>IFERROR(__xludf.DUMMYFUNCTION("""COMPUTED_VALUE"""),"ITBISA-ABC-BATERAI-AAA-ALKALINE")</f>
        <v>ITBISA-ABC-BATERAI-AAA-ALKALINE</v>
      </c>
      <c r="B533" s="165">
        <f>IFERROR(__xludf.DUMMYFUNCTION("""COMPUTED_VALUE"""),46080.0)</f>
        <v>46080</v>
      </c>
      <c r="C533" s="165" t="str">
        <f>IFERROR(__xludf.DUMMYFUNCTION("""COMPUTED_VALUE"""),"KYAI KONTONG")</f>
        <v>KYAI KONTONG</v>
      </c>
      <c r="D533" s="94">
        <f>IFERROR(__xludf.DUMMYFUNCTION("""COMPUTED_VALUE"""),1.0)</f>
        <v>1</v>
      </c>
    </row>
    <row r="534">
      <c r="A534" s="87" t="str">
        <f>IFERROR(__xludf.DUMMYFUNCTION("""COMPUTED_VALUE"""),"ITBISA-ABC-BATERAI-AAA-ALKALINE")</f>
        <v>ITBISA-ABC-BATERAI-AAA-ALKALINE</v>
      </c>
      <c r="B534" s="165">
        <f>IFERROR(__xludf.DUMMYFUNCTION("""COMPUTED_VALUE"""),46081.0)</f>
        <v>46081</v>
      </c>
      <c r="C534" s="165" t="str">
        <f>IFERROR(__xludf.DUMMYFUNCTION("""COMPUTED_VALUE"""),"KERTASARI CIAMIS")</f>
        <v>KERTASARI CIAMIS</v>
      </c>
      <c r="D534" s="94">
        <f>IFERROR(__xludf.DUMMYFUNCTION("""COMPUTED_VALUE"""),1.0)</f>
        <v>1</v>
      </c>
    </row>
    <row r="535">
      <c r="A535" s="87" t="str">
        <f>IFERROR(__xludf.DUMMYFUNCTION("""COMPUTED_VALUE"""),"ITBISA-ABC-BATERAI-AAA-ALKALINE")</f>
        <v>ITBISA-ABC-BATERAI-AAA-ALKALINE</v>
      </c>
      <c r="B535" s="165">
        <f>IFERROR(__xludf.DUMMYFUNCTION("""COMPUTED_VALUE"""),46081.0)</f>
        <v>46081</v>
      </c>
      <c r="C535" s="165" t="str">
        <f>IFERROR(__xludf.DUMMYFUNCTION("""COMPUTED_VALUE"""),"KERTASARI CIAMIS")</f>
        <v>KERTASARI CIAMIS</v>
      </c>
      <c r="D535" s="94">
        <f>IFERROR(__xludf.DUMMYFUNCTION("""COMPUTED_VALUE"""),1.0)</f>
        <v>1</v>
      </c>
    </row>
    <row r="536">
      <c r="A536" s="87" t="str">
        <f>IFERROR(__xludf.DUMMYFUNCTION("""COMPUTED_VALUE"""),"ITBISA-ABC-BATERAI-AAA-ALKALINE")</f>
        <v>ITBISA-ABC-BATERAI-AAA-ALKALINE</v>
      </c>
      <c r="B536" s="165">
        <f>IFERROR(__xludf.DUMMYFUNCTION("""COMPUTED_VALUE"""),46082.0)</f>
        <v>46082</v>
      </c>
      <c r="C536" s="165" t="str">
        <f>IFERROR(__xludf.DUMMYFUNCTION("""COMPUTED_VALUE"""),"KYAI KONTONG")</f>
        <v>KYAI KONTONG</v>
      </c>
      <c r="D536" s="94">
        <f>IFERROR(__xludf.DUMMYFUNCTION("""COMPUTED_VALUE"""),1.0)</f>
        <v>1</v>
      </c>
    </row>
    <row r="537">
      <c r="A537" s="87" t="str">
        <f>IFERROR(__xludf.DUMMYFUNCTION("""COMPUTED_VALUE"""),"ITBISA-ABC-BATERAI-AAA-ALKALINE")</f>
        <v>ITBISA-ABC-BATERAI-AAA-ALKALINE</v>
      </c>
      <c r="B537" s="165">
        <f>IFERROR(__xludf.DUMMYFUNCTION("""COMPUTED_VALUE"""),46082.0)</f>
        <v>46082</v>
      </c>
      <c r="C537" s="165" t="str">
        <f>IFERROR(__xludf.DUMMYFUNCTION("""COMPUTED_VALUE"""),"KYAI KONTONG")</f>
        <v>KYAI KONTONG</v>
      </c>
      <c r="D537" s="94">
        <f>IFERROR(__xludf.DUMMYFUNCTION("""COMPUTED_VALUE"""),1.0)</f>
        <v>1</v>
      </c>
    </row>
    <row r="538">
      <c r="A538" s="87" t="str">
        <f>IFERROR(__xludf.DUMMYFUNCTION("""COMPUTED_VALUE"""),"ITBISA-ABC-BATERAI-AAA-ALKALINE")</f>
        <v>ITBISA-ABC-BATERAI-AAA-ALKALINE</v>
      </c>
      <c r="B538" s="165">
        <f>IFERROR(__xludf.DUMMYFUNCTION("""COMPUTED_VALUE"""),46082.0)</f>
        <v>46082</v>
      </c>
      <c r="C538" s="165" t="str">
        <f>IFERROR(__xludf.DUMMYFUNCTION("""COMPUTED_VALUE"""),"KYAI KONTONG")</f>
        <v>KYAI KONTONG</v>
      </c>
      <c r="D538" s="94">
        <f>IFERROR(__xludf.DUMMYFUNCTION("""COMPUTED_VALUE"""),1.0)</f>
        <v>1</v>
      </c>
    </row>
    <row r="539">
      <c r="A539" s="87" t="str">
        <f>IFERROR(__xludf.DUMMYFUNCTION("""COMPUTED_VALUE"""),"ITBISA-ABC-BATERAI-AAA-ALKALINE")</f>
        <v>ITBISA-ABC-BATERAI-AAA-ALKALINE</v>
      </c>
      <c r="B539" s="165">
        <f>IFERROR(__xludf.DUMMYFUNCTION("""COMPUTED_VALUE"""),46083.0)</f>
        <v>46083</v>
      </c>
      <c r="C539" s="165" t="str">
        <f>IFERROR(__xludf.DUMMYFUNCTION("""COMPUTED_VALUE"""),"KYAI KONTONG")</f>
        <v>KYAI KONTONG</v>
      </c>
      <c r="D539" s="94">
        <f>IFERROR(__xludf.DUMMYFUNCTION("""COMPUTED_VALUE"""),1.0)</f>
        <v>1</v>
      </c>
    </row>
    <row r="540">
      <c r="A540" s="87" t="str">
        <f>IFERROR(__xludf.DUMMYFUNCTION("""COMPUTED_VALUE"""),"ITBISA-ABC-BATERAI-AAA-ALKALINE")</f>
        <v>ITBISA-ABC-BATERAI-AAA-ALKALINE</v>
      </c>
      <c r="B540" s="165">
        <f>IFERROR(__xludf.DUMMYFUNCTION("""COMPUTED_VALUE"""),46084.0)</f>
        <v>46084</v>
      </c>
      <c r="C540" s="165" t="str">
        <f>IFERROR(__xludf.DUMMYFUNCTION("""COMPUTED_VALUE"""),"KERTASARI CIAMIS")</f>
        <v>KERTASARI CIAMIS</v>
      </c>
      <c r="D540" s="94">
        <f>IFERROR(__xludf.DUMMYFUNCTION("""COMPUTED_VALUE"""),1.0)</f>
        <v>1</v>
      </c>
    </row>
    <row r="541">
      <c r="A541" s="87" t="str">
        <f>IFERROR(__xludf.DUMMYFUNCTION("""COMPUTED_VALUE"""),"ITBISA-ABC-BATERAI-AAA-ALKALINE")</f>
        <v>ITBISA-ABC-BATERAI-AAA-ALKALINE</v>
      </c>
      <c r="B541" s="165">
        <f>IFERROR(__xludf.DUMMYFUNCTION("""COMPUTED_VALUE"""),46084.0)</f>
        <v>46084</v>
      </c>
      <c r="C541" s="165" t="str">
        <f>IFERROR(__xludf.DUMMYFUNCTION("""COMPUTED_VALUE"""),"KYAI KONTONG")</f>
        <v>KYAI KONTONG</v>
      </c>
      <c r="D541" s="94">
        <f>IFERROR(__xludf.DUMMYFUNCTION("""COMPUTED_VALUE"""),1.0)</f>
        <v>1</v>
      </c>
    </row>
    <row r="542">
      <c r="A542" s="87" t="str">
        <f>IFERROR(__xludf.DUMMYFUNCTION("""COMPUTED_VALUE"""),"ITBISA-ABC-BATERAI-AAA-ALKALINE")</f>
        <v>ITBISA-ABC-BATERAI-AAA-ALKALINE</v>
      </c>
      <c r="B542" s="165">
        <f>IFERROR(__xludf.DUMMYFUNCTION("""COMPUTED_VALUE"""),46084.0)</f>
        <v>46084</v>
      </c>
      <c r="C542" s="165" t="str">
        <f>IFERROR(__xludf.DUMMYFUNCTION("""COMPUTED_VALUE"""),"KYAI KONTONG")</f>
        <v>KYAI KONTONG</v>
      </c>
      <c r="D542" s="94">
        <f>IFERROR(__xludf.DUMMYFUNCTION("""COMPUTED_VALUE"""),2.0)</f>
        <v>2</v>
      </c>
    </row>
    <row r="543">
      <c r="A543" s="87" t="str">
        <f>IFERROR(__xludf.DUMMYFUNCTION("""COMPUTED_VALUE"""),"ITBISA-ABC-BATERAI-AAA-ALKALINE")</f>
        <v>ITBISA-ABC-BATERAI-AAA-ALKALINE</v>
      </c>
      <c r="B543" s="165">
        <f>IFERROR(__xludf.DUMMYFUNCTION("""COMPUTED_VALUE"""),46085.0)</f>
        <v>46085</v>
      </c>
      <c r="C543" s="165" t="str">
        <f>IFERROR(__xludf.DUMMYFUNCTION("""COMPUTED_VALUE"""),"KERTASARI CIAMIS")</f>
        <v>KERTASARI CIAMIS</v>
      </c>
      <c r="D543" s="94">
        <f>IFERROR(__xludf.DUMMYFUNCTION("""COMPUTED_VALUE"""),1.0)</f>
        <v>1</v>
      </c>
    </row>
    <row r="544">
      <c r="A544" s="87" t="str">
        <f>IFERROR(__xludf.DUMMYFUNCTION("""COMPUTED_VALUE"""),"ITBISA-ABC-BATERAI-AAA-ALKALINE")</f>
        <v>ITBISA-ABC-BATERAI-AAA-ALKALINE</v>
      </c>
      <c r="B544" s="165">
        <f>IFERROR(__xludf.DUMMYFUNCTION("""COMPUTED_VALUE"""),46085.0)</f>
        <v>46085</v>
      </c>
      <c r="C544" s="165" t="str">
        <f>IFERROR(__xludf.DUMMYFUNCTION("""COMPUTED_VALUE"""),"KERTASARI CIAMIS")</f>
        <v>KERTASARI CIAMIS</v>
      </c>
      <c r="D544" s="94">
        <f>IFERROR(__xludf.DUMMYFUNCTION("""COMPUTED_VALUE"""),2.0)</f>
        <v>2</v>
      </c>
    </row>
    <row r="545">
      <c r="A545" s="87" t="str">
        <f>IFERROR(__xludf.DUMMYFUNCTION("""COMPUTED_VALUE"""),"ITBISA-ABC-BATERAI-AAA-ALKALINE")</f>
        <v>ITBISA-ABC-BATERAI-AAA-ALKALINE</v>
      </c>
      <c r="B545" s="165">
        <f>IFERROR(__xludf.DUMMYFUNCTION("""COMPUTED_VALUE"""),46086.0)</f>
        <v>46086</v>
      </c>
      <c r="C545" s="165" t="str">
        <f>IFERROR(__xludf.DUMMYFUNCTION("""COMPUTED_VALUE"""),"KYAI KONTONG")</f>
        <v>KYAI KONTONG</v>
      </c>
      <c r="D545" s="94">
        <f>IFERROR(__xludf.DUMMYFUNCTION("""COMPUTED_VALUE"""),6.0)</f>
        <v>6</v>
      </c>
    </row>
    <row r="546">
      <c r="A546" s="87" t="str">
        <f>IFERROR(__xludf.DUMMYFUNCTION("""COMPUTED_VALUE"""),"ITBISA-ABC-BATERAI-AAA-ALKALINE")</f>
        <v>ITBISA-ABC-BATERAI-AAA-ALKALINE</v>
      </c>
      <c r="B546" s="165">
        <f>IFERROR(__xludf.DUMMYFUNCTION("""COMPUTED_VALUE"""),46088.0)</f>
        <v>46088</v>
      </c>
      <c r="C546" s="165" t="str">
        <f>IFERROR(__xludf.DUMMYFUNCTION("""COMPUTED_VALUE"""),"KYAI KONTONG")</f>
        <v>KYAI KONTONG</v>
      </c>
      <c r="D546" s="94">
        <f>IFERROR(__xludf.DUMMYFUNCTION("""COMPUTED_VALUE"""),1.0)</f>
        <v>1</v>
      </c>
    </row>
    <row r="547">
      <c r="A547" s="87" t="str">
        <f>IFERROR(__xludf.DUMMYFUNCTION("""COMPUTED_VALUE"""),"ITBISA-ABC-BATERAI-AAA-ALKALINE")</f>
        <v>ITBISA-ABC-BATERAI-AAA-ALKALINE</v>
      </c>
      <c r="B547" s="165">
        <f>IFERROR(__xludf.DUMMYFUNCTION("""COMPUTED_VALUE"""),46089.0)</f>
        <v>46089</v>
      </c>
      <c r="C547" s="165" t="str">
        <f>IFERROR(__xludf.DUMMYFUNCTION("""COMPUTED_VALUE"""),"KYAI KONTONG")</f>
        <v>KYAI KONTONG</v>
      </c>
      <c r="D547" s="94">
        <f>IFERROR(__xludf.DUMMYFUNCTION("""COMPUTED_VALUE"""),6.0)</f>
        <v>6</v>
      </c>
    </row>
    <row r="548">
      <c r="A548" s="87" t="str">
        <f>IFERROR(__xludf.DUMMYFUNCTION("""COMPUTED_VALUE"""),"ITBISA-ABC-BATERAI-AAA-ALKALINE")</f>
        <v>ITBISA-ABC-BATERAI-AAA-ALKALINE</v>
      </c>
      <c r="B548" s="165">
        <f>IFERROR(__xludf.DUMMYFUNCTION("""COMPUTED_VALUE"""),46090.0)</f>
        <v>46090</v>
      </c>
      <c r="C548" s="165" t="str">
        <f>IFERROR(__xludf.DUMMYFUNCTION("""COMPUTED_VALUE"""),"KYAI KONTONG")</f>
        <v>KYAI KONTONG</v>
      </c>
      <c r="D548" s="94">
        <f>IFERROR(__xludf.DUMMYFUNCTION("""COMPUTED_VALUE"""),6.0)</f>
        <v>6</v>
      </c>
    </row>
    <row r="549">
      <c r="A549" s="87" t="str">
        <f>IFERROR(__xludf.DUMMYFUNCTION("""COMPUTED_VALUE"""),"ITBISA-ABC-BATERAI-AAA-ALKALINE")</f>
        <v>ITBISA-ABC-BATERAI-AAA-ALKALINE</v>
      </c>
      <c r="B549" s="165">
        <f>IFERROR(__xludf.DUMMYFUNCTION("""COMPUTED_VALUE"""),46091.0)</f>
        <v>46091</v>
      </c>
      <c r="C549" s="165" t="str">
        <f>IFERROR(__xludf.DUMMYFUNCTION("""COMPUTED_VALUE"""),"KYAI KONTONG")</f>
        <v>KYAI KONTONG</v>
      </c>
      <c r="D549" s="94">
        <f>IFERROR(__xludf.DUMMYFUNCTION("""COMPUTED_VALUE"""),1.0)</f>
        <v>1</v>
      </c>
    </row>
    <row r="550">
      <c r="A550" s="87" t="str">
        <f>IFERROR(__xludf.DUMMYFUNCTION("""COMPUTED_VALUE"""),"ITBISA-ABC-BATERAI-AAA-ALKALINE")</f>
        <v>ITBISA-ABC-BATERAI-AAA-ALKALINE</v>
      </c>
      <c r="B550" s="165">
        <f>IFERROR(__xludf.DUMMYFUNCTION("""COMPUTED_VALUE"""),46092.0)</f>
        <v>46092</v>
      </c>
      <c r="C550" s="165" t="str">
        <f>IFERROR(__xludf.DUMMYFUNCTION("""COMPUTED_VALUE"""),"KYAI KONTONG")</f>
        <v>KYAI KONTONG</v>
      </c>
      <c r="D550" s="94">
        <f>IFERROR(__xludf.DUMMYFUNCTION("""COMPUTED_VALUE"""),1.0)</f>
        <v>1</v>
      </c>
    </row>
    <row r="551">
      <c r="A551" s="87" t="str">
        <f>IFERROR(__xludf.DUMMYFUNCTION("""COMPUTED_VALUE"""),"ITBISA-ABC-BATERAI-AAA-ALKALINE")</f>
        <v>ITBISA-ABC-BATERAI-AAA-ALKALINE</v>
      </c>
      <c r="B551" s="165">
        <f>IFERROR(__xludf.DUMMYFUNCTION("""COMPUTED_VALUE"""),46093.0)</f>
        <v>46093</v>
      </c>
      <c r="C551" s="165" t="str">
        <f>IFERROR(__xludf.DUMMYFUNCTION("""COMPUTED_VALUE"""),"KYAI KONTONG")</f>
        <v>KYAI KONTONG</v>
      </c>
      <c r="D551" s="94">
        <f>IFERROR(__xludf.DUMMYFUNCTION("""COMPUTED_VALUE"""),1.0)</f>
        <v>1</v>
      </c>
    </row>
    <row r="552">
      <c r="A552" s="87" t="str">
        <f>IFERROR(__xludf.DUMMYFUNCTION("""COMPUTED_VALUE"""),"ITBISA-ABC-BATERAI-AAA-ALKALINE")</f>
        <v>ITBISA-ABC-BATERAI-AAA-ALKALINE</v>
      </c>
      <c r="B552" s="165">
        <f>IFERROR(__xludf.DUMMYFUNCTION("""COMPUTED_VALUE"""),46094.0)</f>
        <v>46094</v>
      </c>
      <c r="C552" s="165" t="str">
        <f>IFERROR(__xludf.DUMMYFUNCTION("""COMPUTED_VALUE"""),"KYAI KONTONG")</f>
        <v>KYAI KONTONG</v>
      </c>
      <c r="D552" s="94">
        <f>IFERROR(__xludf.DUMMYFUNCTION("""COMPUTED_VALUE"""),1.0)</f>
        <v>1</v>
      </c>
    </row>
    <row r="553">
      <c r="A553" s="87" t="str">
        <f>IFERROR(__xludf.DUMMYFUNCTION("""COMPUTED_VALUE"""),"ITBISA-ABC-BATERAI-AAA-ALKALINE")</f>
        <v>ITBISA-ABC-BATERAI-AAA-ALKALINE</v>
      </c>
      <c r="B553" s="165">
        <f>IFERROR(__xludf.DUMMYFUNCTION("""COMPUTED_VALUE"""),46096.0)</f>
        <v>46096</v>
      </c>
      <c r="C553" s="165" t="str">
        <f>IFERROR(__xludf.DUMMYFUNCTION("""COMPUTED_VALUE"""),"KYAI KONTONG")</f>
        <v>KYAI KONTONG</v>
      </c>
      <c r="D553" s="94">
        <f>IFERROR(__xludf.DUMMYFUNCTION("""COMPUTED_VALUE"""),1.0)</f>
        <v>1</v>
      </c>
    </row>
    <row r="554">
      <c r="A554" s="87" t="str">
        <f>IFERROR(__xludf.DUMMYFUNCTION("""COMPUTED_VALUE"""),"ITBISA-ABC-BATERAI-AAA-ALKALINE")</f>
        <v>ITBISA-ABC-BATERAI-AAA-ALKALINE</v>
      </c>
      <c r="B554" s="165">
        <f>IFERROR(__xludf.DUMMYFUNCTION("""COMPUTED_VALUE"""),46097.0)</f>
        <v>46097</v>
      </c>
      <c r="C554" s="165" t="str">
        <f>IFERROR(__xludf.DUMMYFUNCTION("""COMPUTED_VALUE"""),"KYAI KONTONG")</f>
        <v>KYAI KONTONG</v>
      </c>
      <c r="D554" s="94">
        <f>IFERROR(__xludf.DUMMYFUNCTION("""COMPUTED_VALUE"""),1.0)</f>
        <v>1</v>
      </c>
    </row>
    <row r="555">
      <c r="A555" s="87" t="str">
        <f>IFERROR(__xludf.DUMMYFUNCTION("""COMPUTED_VALUE"""),"ITBISA-ABC-BATERAI-AAA-ALKALINE")</f>
        <v>ITBISA-ABC-BATERAI-AAA-ALKALINE</v>
      </c>
      <c r="B555" s="165">
        <f>IFERROR(__xludf.DUMMYFUNCTION("""COMPUTED_VALUE"""),46098.0)</f>
        <v>46098</v>
      </c>
      <c r="C555" s="165" t="str">
        <f>IFERROR(__xludf.DUMMYFUNCTION("""COMPUTED_VALUE"""),"KYAI KONTONG")</f>
        <v>KYAI KONTONG</v>
      </c>
      <c r="D555" s="94">
        <f>IFERROR(__xludf.DUMMYFUNCTION("""COMPUTED_VALUE"""),1.0)</f>
        <v>1</v>
      </c>
    </row>
    <row r="556">
      <c r="A556" s="87" t="str">
        <f>IFERROR(__xludf.DUMMYFUNCTION("""COMPUTED_VALUE"""),"ITBISA-ABC-BATERAI-AAA-ALKALINE")</f>
        <v>ITBISA-ABC-BATERAI-AAA-ALKALINE</v>
      </c>
      <c r="B556" s="165">
        <f>IFERROR(__xludf.DUMMYFUNCTION("""COMPUTED_VALUE"""),46098.0)</f>
        <v>46098</v>
      </c>
      <c r="C556" s="165" t="str">
        <f>IFERROR(__xludf.DUMMYFUNCTION("""COMPUTED_VALUE"""),"KYAI KONTONG")</f>
        <v>KYAI KONTONG</v>
      </c>
      <c r="D556" s="94">
        <f>IFERROR(__xludf.DUMMYFUNCTION("""COMPUTED_VALUE"""),1.0)</f>
        <v>1</v>
      </c>
    </row>
    <row r="557">
      <c r="A557" s="87" t="str">
        <f>IFERROR(__xludf.DUMMYFUNCTION("""COMPUTED_VALUE"""),"ITBISA-ABC-BATERAI-AAA-ALKALINE")</f>
        <v>ITBISA-ABC-BATERAI-AAA-ALKALINE</v>
      </c>
      <c r="B557" s="165">
        <f>IFERROR(__xludf.DUMMYFUNCTION("""COMPUTED_VALUE"""),46099.0)</f>
        <v>46099</v>
      </c>
      <c r="C557" s="165" t="str">
        <f>IFERROR(__xludf.DUMMYFUNCTION("""COMPUTED_VALUE"""),"KYAI KONTONG")</f>
        <v>KYAI KONTONG</v>
      </c>
      <c r="D557" s="94">
        <f>IFERROR(__xludf.DUMMYFUNCTION("""COMPUTED_VALUE"""),1.0)</f>
        <v>1</v>
      </c>
    </row>
    <row r="558">
      <c r="A558" s="87" t="str">
        <f>IFERROR(__xludf.DUMMYFUNCTION("""COMPUTED_VALUE"""),"ITBISA-ABC-BATERAI-AAA-ALKALINE")</f>
        <v>ITBISA-ABC-BATERAI-AAA-ALKALINE</v>
      </c>
      <c r="B558" s="165">
        <f>IFERROR(__xludf.DUMMYFUNCTION("""COMPUTED_VALUE"""),46119.0)</f>
        <v>46119</v>
      </c>
      <c r="C558" s="165" t="str">
        <f>IFERROR(__xludf.DUMMYFUNCTION("""COMPUTED_VALUE"""),"KYAI KONTONG")</f>
        <v>KYAI KONTONG</v>
      </c>
      <c r="D558" s="94">
        <f>IFERROR(__xludf.DUMMYFUNCTION("""COMPUTED_VALUE"""),1.0)</f>
        <v>1</v>
      </c>
    </row>
    <row r="559">
      <c r="A559" s="87" t="str">
        <f>IFERROR(__xludf.DUMMYFUNCTION("""COMPUTED_VALUE"""),"ITBISA-ABC-BATERAI-AAA-ALKALINE")</f>
        <v>ITBISA-ABC-BATERAI-AAA-ALKALINE</v>
      </c>
      <c r="B559" s="165">
        <f>IFERROR(__xludf.DUMMYFUNCTION("""COMPUTED_VALUE"""),46121.0)</f>
        <v>46121</v>
      </c>
      <c r="C559" s="165" t="str">
        <f>IFERROR(__xludf.DUMMYFUNCTION("""COMPUTED_VALUE"""),"KYAI KONTONG")</f>
        <v>KYAI KONTONG</v>
      </c>
      <c r="D559" s="94">
        <f>IFERROR(__xludf.DUMMYFUNCTION("""COMPUTED_VALUE"""),1.0)</f>
        <v>1</v>
      </c>
    </row>
    <row r="560">
      <c r="A560" s="87" t="str">
        <f>IFERROR(__xludf.DUMMYFUNCTION("""COMPUTED_VALUE"""),"ITBISA-ABC-BATERAI-AAA-ALKALINE")</f>
        <v>ITBISA-ABC-BATERAI-AAA-ALKALINE</v>
      </c>
      <c r="B560" s="165">
        <f>IFERROR(__xludf.DUMMYFUNCTION("""COMPUTED_VALUE"""),46122.0)</f>
        <v>46122</v>
      </c>
      <c r="C560" s="165" t="str">
        <f>IFERROR(__xludf.DUMMYFUNCTION("""COMPUTED_VALUE"""),"KYAI KONTONG")</f>
        <v>KYAI KONTONG</v>
      </c>
      <c r="D560" s="94">
        <f>IFERROR(__xludf.DUMMYFUNCTION("""COMPUTED_VALUE"""),6.0)</f>
        <v>6</v>
      </c>
    </row>
    <row r="561">
      <c r="A561" s="87" t="str">
        <f>IFERROR(__xludf.DUMMYFUNCTION("""COMPUTED_VALUE"""),"ITBISA-ABC-BATERAI-AAA-ALKALINE")</f>
        <v>ITBISA-ABC-BATERAI-AAA-ALKALINE</v>
      </c>
      <c r="B561" s="165">
        <f>IFERROR(__xludf.DUMMYFUNCTION("""COMPUTED_VALUE"""),46124.0)</f>
        <v>46124</v>
      </c>
      <c r="C561" s="165" t="str">
        <f>IFERROR(__xludf.DUMMYFUNCTION("""COMPUTED_VALUE"""),"KYAI KONTONG")</f>
        <v>KYAI KONTONG</v>
      </c>
      <c r="D561" s="94">
        <f>IFERROR(__xludf.DUMMYFUNCTION("""COMPUTED_VALUE"""),6.0)</f>
        <v>6</v>
      </c>
    </row>
    <row r="562">
      <c r="A562" s="87" t="str">
        <f>IFERROR(__xludf.DUMMYFUNCTION("""COMPUTED_VALUE"""),"ITBISA-ABC-BATERAI-AAA-ALKALINE")</f>
        <v>ITBISA-ABC-BATERAI-AAA-ALKALINE</v>
      </c>
      <c r="B562" s="165">
        <f>IFERROR(__xludf.DUMMYFUNCTION("""COMPUTED_VALUE"""),46126.0)</f>
        <v>46126</v>
      </c>
      <c r="C562" s="165" t="str">
        <f>IFERROR(__xludf.DUMMYFUNCTION("""COMPUTED_VALUE"""),"KYAI KONTONG")</f>
        <v>KYAI KONTONG</v>
      </c>
      <c r="D562" s="94">
        <f>IFERROR(__xludf.DUMMYFUNCTION("""COMPUTED_VALUE"""),4.0)</f>
        <v>4</v>
      </c>
    </row>
    <row r="563">
      <c r="A563" s="87" t="str">
        <f>IFERROR(__xludf.DUMMYFUNCTION("""COMPUTED_VALUE"""),"ITBISA-ABC-BATERAI-AAA-ALKALINE")</f>
        <v>ITBISA-ABC-BATERAI-AAA-ALKALINE</v>
      </c>
      <c r="B563" s="165">
        <f>IFERROR(__xludf.DUMMYFUNCTION("""COMPUTED_VALUE"""),46126.0)</f>
        <v>46126</v>
      </c>
      <c r="C563" s="165" t="str">
        <f>IFERROR(__xludf.DUMMYFUNCTION("""COMPUTED_VALUE"""),"KYAI KONTONG")</f>
        <v>KYAI KONTONG</v>
      </c>
      <c r="D563" s="94">
        <f>IFERROR(__xludf.DUMMYFUNCTION("""COMPUTED_VALUE"""),6.0)</f>
        <v>6</v>
      </c>
    </row>
    <row r="564">
      <c r="A564" s="87" t="str">
        <f>IFERROR(__xludf.DUMMYFUNCTION("""COMPUTED_VALUE"""),"ITBISA-ABC-BATERAI-AAA-ALKALINE")</f>
        <v>ITBISA-ABC-BATERAI-AAA-ALKALINE</v>
      </c>
      <c r="B564" s="165">
        <f>IFERROR(__xludf.DUMMYFUNCTION("""COMPUTED_VALUE"""),46127.0)</f>
        <v>46127</v>
      </c>
      <c r="C564" s="165" t="str">
        <f>IFERROR(__xludf.DUMMYFUNCTION("""COMPUTED_VALUE"""),"KYAI KONTONG")</f>
        <v>KYAI KONTONG</v>
      </c>
      <c r="D564" s="94">
        <f>IFERROR(__xludf.DUMMYFUNCTION("""COMPUTED_VALUE"""),6.0)</f>
        <v>6</v>
      </c>
    </row>
    <row r="565">
      <c r="A565" s="87" t="str">
        <f>IFERROR(__xludf.DUMMYFUNCTION("""COMPUTED_VALUE"""),"ITBISA-ABC-BATERAI-AAA-ALKALINE")</f>
        <v>ITBISA-ABC-BATERAI-AAA-ALKALINE</v>
      </c>
      <c r="B565" s="165">
        <f>IFERROR(__xludf.DUMMYFUNCTION("""COMPUTED_VALUE"""),46134.0)</f>
        <v>46134</v>
      </c>
      <c r="C565" s="165" t="str">
        <f>IFERROR(__xludf.DUMMYFUNCTION("""COMPUTED_VALUE"""),"KYAI KONTONG")</f>
        <v>KYAI KONTONG</v>
      </c>
      <c r="D565" s="94">
        <f>IFERROR(__xludf.DUMMYFUNCTION("""COMPUTED_VALUE"""),6.0)</f>
        <v>6</v>
      </c>
    </row>
    <row r="566">
      <c r="A566" s="87" t="str">
        <f>IFERROR(__xludf.DUMMYFUNCTION("""COMPUTED_VALUE"""),"ITBISA-ABC-BATERAI-AAA-ALKALINE")</f>
        <v>ITBISA-ABC-BATERAI-AAA-ALKALINE</v>
      </c>
      <c r="B566" s="165">
        <f>IFERROR(__xludf.DUMMYFUNCTION("""COMPUTED_VALUE"""),46139.0)</f>
        <v>46139</v>
      </c>
      <c r="C566" s="165" t="str">
        <f>IFERROR(__xludf.DUMMYFUNCTION("""COMPUTED_VALUE"""),"KYAI KONTONG")</f>
        <v>KYAI KONTONG</v>
      </c>
      <c r="D566" s="94">
        <f>IFERROR(__xludf.DUMMYFUNCTION("""COMPUTED_VALUE"""),2.0)</f>
        <v>2</v>
      </c>
    </row>
    <row r="567">
      <c r="A567" s="87" t="str">
        <f>IFERROR(__xludf.DUMMYFUNCTION("""COMPUTED_VALUE"""),"ITBISA-ABC-BATERAI-AAA-ALKALINE")</f>
        <v>ITBISA-ABC-BATERAI-AAA-ALKALINE</v>
      </c>
      <c r="B567" s="165">
        <f>IFERROR(__xludf.DUMMYFUNCTION("""COMPUTED_VALUE"""),46140.0)</f>
        <v>46140</v>
      </c>
      <c r="C567" s="165" t="str">
        <f>IFERROR(__xludf.DUMMYFUNCTION("""COMPUTED_VALUE"""),"KYAI KONTONG")</f>
        <v>KYAI KONTONG</v>
      </c>
      <c r="D567" s="94">
        <f>IFERROR(__xludf.DUMMYFUNCTION("""COMPUTED_VALUE"""),2.0)</f>
        <v>2</v>
      </c>
    </row>
    <row r="568">
      <c r="A568" s="87" t="str">
        <f>IFERROR(__xludf.DUMMYFUNCTION("""COMPUTED_VALUE"""),"ITBISA-ABC-BATERAI-AAA-ALKALINE")</f>
        <v>ITBISA-ABC-BATERAI-AAA-ALKALINE</v>
      </c>
      <c r="B568" s="165">
        <f>IFERROR(__xludf.DUMMYFUNCTION("""COMPUTED_VALUE"""),46143.0)</f>
        <v>46143</v>
      </c>
      <c r="C568" s="165" t="str">
        <f>IFERROR(__xludf.DUMMYFUNCTION("""COMPUTED_VALUE"""),"KYAI KONTONG")</f>
        <v>KYAI KONTONG</v>
      </c>
      <c r="D568" s="94">
        <f>IFERROR(__xludf.DUMMYFUNCTION("""COMPUTED_VALUE"""),2.0)</f>
        <v>2</v>
      </c>
    </row>
    <row r="569">
      <c r="A569" s="87" t="str">
        <f>IFERROR(__xludf.DUMMYFUNCTION("""COMPUTED_VALUE"""),"ITBISA-ABC-BATERAI-AAA-ALKALINE")</f>
        <v>ITBISA-ABC-BATERAI-AAA-ALKALINE</v>
      </c>
      <c r="B569" s="165">
        <f>IFERROR(__xludf.DUMMYFUNCTION("""COMPUTED_VALUE"""),46144.0)</f>
        <v>46144</v>
      </c>
      <c r="C569" s="165" t="str">
        <f>IFERROR(__xludf.DUMMYFUNCTION("""COMPUTED_VALUE"""),"KYAI KONTONG")</f>
        <v>KYAI KONTONG</v>
      </c>
      <c r="D569" s="94">
        <f>IFERROR(__xludf.DUMMYFUNCTION("""COMPUTED_VALUE"""),2.0)</f>
        <v>2</v>
      </c>
    </row>
    <row r="570">
      <c r="A570" s="87" t="str">
        <f>IFERROR(__xludf.DUMMYFUNCTION("""COMPUTED_VALUE"""),"ITBISA-ABC-BATERAI-AAA-ALKALINE")</f>
        <v>ITBISA-ABC-BATERAI-AAA-ALKALINE</v>
      </c>
      <c r="B570" s="165">
        <f>IFERROR(__xludf.DUMMYFUNCTION("""COMPUTED_VALUE"""),46149.0)</f>
        <v>46149</v>
      </c>
      <c r="C570" s="165" t="str">
        <f>IFERROR(__xludf.DUMMYFUNCTION("""COMPUTED_VALUE"""),"KYAI KONTONG")</f>
        <v>KYAI KONTONG</v>
      </c>
      <c r="D570" s="94">
        <f>IFERROR(__xludf.DUMMYFUNCTION("""COMPUTED_VALUE"""),2.0)</f>
        <v>2</v>
      </c>
    </row>
    <row r="571">
      <c r="A571" s="87" t="str">
        <f>IFERROR(__xludf.DUMMYFUNCTION("""COMPUTED_VALUE"""),"ITBISA-ABC-BATERAI-AAA-ALKALINE")</f>
        <v>ITBISA-ABC-BATERAI-AAA-ALKALINE</v>
      </c>
      <c r="B571" s="165">
        <f>IFERROR(__xludf.DUMMYFUNCTION("""COMPUTED_VALUE"""),46150.0)</f>
        <v>46150</v>
      </c>
      <c r="C571" s="165" t="str">
        <f>IFERROR(__xludf.DUMMYFUNCTION("""COMPUTED_VALUE"""),"KYAI KONTONG")</f>
        <v>KYAI KONTONG</v>
      </c>
      <c r="D571" s="94">
        <f>IFERROR(__xludf.DUMMYFUNCTION("""COMPUTED_VALUE"""),1.0)</f>
        <v>1</v>
      </c>
    </row>
    <row r="572">
      <c r="A572" s="87" t="str">
        <f>IFERROR(__xludf.DUMMYFUNCTION("""COMPUTED_VALUE"""),"ITBISA-ABC-BATERAI-AAA-ALKALINE")</f>
        <v>ITBISA-ABC-BATERAI-AAA-ALKALINE</v>
      </c>
      <c r="B572" s="165">
        <f>IFERROR(__xludf.DUMMYFUNCTION("""COMPUTED_VALUE"""),46151.0)</f>
        <v>46151</v>
      </c>
      <c r="C572" s="165" t="str">
        <f>IFERROR(__xludf.DUMMYFUNCTION("""COMPUTED_VALUE"""),"KYAI KONTONG")</f>
        <v>KYAI KONTONG</v>
      </c>
      <c r="D572" s="94">
        <f>IFERROR(__xludf.DUMMYFUNCTION("""COMPUTED_VALUE"""),2.0)</f>
        <v>2</v>
      </c>
    </row>
    <row r="573">
      <c r="A573" s="87" t="str">
        <f>IFERROR(__xludf.DUMMYFUNCTION("""COMPUTED_VALUE"""),"ITBISA-ABC-BATERAI-AAA-ALKALINE")</f>
        <v>ITBISA-ABC-BATERAI-AAA-ALKALINE</v>
      </c>
      <c r="B573" s="165">
        <f>IFERROR(__xludf.DUMMYFUNCTION("""COMPUTED_VALUE"""),46153.0)</f>
        <v>46153</v>
      </c>
      <c r="C573" s="165" t="str">
        <f>IFERROR(__xludf.DUMMYFUNCTION("""COMPUTED_VALUE"""),"KYAI KONTONG")</f>
        <v>KYAI KONTONG</v>
      </c>
      <c r="D573" s="94">
        <f>IFERROR(__xludf.DUMMYFUNCTION("""COMPUTED_VALUE"""),2.0)</f>
        <v>2</v>
      </c>
    </row>
    <row r="574">
      <c r="A574" s="87" t="str">
        <f>IFERROR(__xludf.DUMMYFUNCTION("""COMPUTED_VALUE"""),"ITBISA-ABC-BATERAI-AAA-ALKALINE")</f>
        <v>ITBISA-ABC-BATERAI-AAA-ALKALINE</v>
      </c>
      <c r="B574" s="165">
        <f>IFERROR(__xludf.DUMMYFUNCTION("""COMPUTED_VALUE"""),46153.0)</f>
        <v>46153</v>
      </c>
      <c r="C574" s="165" t="str">
        <f>IFERROR(__xludf.DUMMYFUNCTION("""COMPUTED_VALUE"""),"KYAI KONTONG")</f>
        <v>KYAI KONTONG</v>
      </c>
      <c r="D574" s="94">
        <f>IFERROR(__xludf.DUMMYFUNCTION("""COMPUTED_VALUE"""),2.0)</f>
        <v>2</v>
      </c>
    </row>
    <row r="575">
      <c r="A575" s="87" t="str">
        <f>IFERROR(__xludf.DUMMYFUNCTION("""COMPUTED_VALUE"""),"ITBISA-ABC-BATERAI-AAA-ALKALINE")</f>
        <v>ITBISA-ABC-BATERAI-AAA-ALKALINE</v>
      </c>
      <c r="B575" s="165">
        <f>IFERROR(__xludf.DUMMYFUNCTION("""COMPUTED_VALUE"""),46153.0)</f>
        <v>46153</v>
      </c>
      <c r="C575" s="165" t="str">
        <f>IFERROR(__xludf.DUMMYFUNCTION("""COMPUTED_VALUE"""),"KYAI KONTONG")</f>
        <v>KYAI KONTONG</v>
      </c>
      <c r="D575" s="94">
        <f>IFERROR(__xludf.DUMMYFUNCTION("""COMPUTED_VALUE"""),4.0)</f>
        <v>4</v>
      </c>
    </row>
    <row r="576">
      <c r="A576" s="87" t="str">
        <f>IFERROR(__xludf.DUMMYFUNCTION("""COMPUTED_VALUE"""),"ITBISA-ABC-BATERAI-AAA-ALKALINE")</f>
        <v>ITBISA-ABC-BATERAI-AAA-ALKALINE</v>
      </c>
      <c r="B576" s="165">
        <f>IFERROR(__xludf.DUMMYFUNCTION("""COMPUTED_VALUE"""),46156.0)</f>
        <v>46156</v>
      </c>
      <c r="C576" s="165" t="str">
        <f>IFERROR(__xludf.DUMMYFUNCTION("""COMPUTED_VALUE"""),"KYAI KONTONG")</f>
        <v>KYAI KONTONG</v>
      </c>
      <c r="D576" s="94">
        <f>IFERROR(__xludf.DUMMYFUNCTION("""COMPUTED_VALUE"""),1.0)</f>
        <v>1</v>
      </c>
    </row>
    <row r="577">
      <c r="A577" s="87" t="str">
        <f>IFERROR(__xludf.DUMMYFUNCTION("""COMPUTED_VALUE"""),"ITBISA-ABC-BATERAI-AAA-ALKALINE")</f>
        <v>ITBISA-ABC-BATERAI-AAA-ALKALINE</v>
      </c>
      <c r="B577" s="165">
        <f>IFERROR(__xludf.DUMMYFUNCTION("""COMPUTED_VALUE"""),46157.0)</f>
        <v>46157</v>
      </c>
      <c r="C577" s="165" t="str">
        <f>IFERROR(__xludf.DUMMYFUNCTION("""COMPUTED_VALUE"""),"KYAI KONTONG")</f>
        <v>KYAI KONTONG</v>
      </c>
      <c r="D577" s="94">
        <f>IFERROR(__xludf.DUMMYFUNCTION("""COMPUTED_VALUE"""),1.0)</f>
        <v>1</v>
      </c>
    </row>
    <row r="578">
      <c r="A578" s="87" t="str">
        <f>IFERROR(__xludf.DUMMYFUNCTION("""COMPUTED_VALUE"""),"ITBISA-ABC-BATERAI-AAA-ALKALINE")</f>
        <v>ITBISA-ABC-BATERAI-AAA-ALKALINE</v>
      </c>
      <c r="B578" s="165">
        <f>IFERROR(__xludf.DUMMYFUNCTION("""COMPUTED_VALUE"""),46157.0)</f>
        <v>46157</v>
      </c>
      <c r="C578" s="165" t="str">
        <f>IFERROR(__xludf.DUMMYFUNCTION("""COMPUTED_VALUE"""),"KYAI KONTONG")</f>
        <v>KYAI KONTONG</v>
      </c>
      <c r="D578" s="94">
        <f>IFERROR(__xludf.DUMMYFUNCTION("""COMPUTED_VALUE"""),6.0)</f>
        <v>6</v>
      </c>
    </row>
    <row r="579">
      <c r="A579" s="87" t="str">
        <f>IFERROR(__xludf.DUMMYFUNCTION("""COMPUTED_VALUE"""),"ITBISA-ABC-BATERAI-AAA-ALKALINE")</f>
        <v>ITBISA-ABC-BATERAI-AAA-ALKALINE</v>
      </c>
      <c r="B579" s="165">
        <f>IFERROR(__xludf.DUMMYFUNCTION("""COMPUTED_VALUE"""),46157.0)</f>
        <v>46157</v>
      </c>
      <c r="C579" s="165" t="str">
        <f>IFERROR(__xludf.DUMMYFUNCTION("""COMPUTED_VALUE"""),"KYAI KONTONG")</f>
        <v>KYAI KONTONG</v>
      </c>
      <c r="D579" s="94">
        <f>IFERROR(__xludf.DUMMYFUNCTION("""COMPUTED_VALUE"""),8.0)</f>
        <v>8</v>
      </c>
    </row>
    <row r="580">
      <c r="A580" s="87" t="str">
        <f>IFERROR(__xludf.DUMMYFUNCTION("""COMPUTED_VALUE"""),"ITBISA-ABC-BATERAI-AAA-ALKALINE")</f>
        <v>ITBISA-ABC-BATERAI-AAA-ALKALINE</v>
      </c>
      <c r="B580" s="165">
        <f>IFERROR(__xludf.DUMMYFUNCTION("""COMPUTED_VALUE"""),46158.0)</f>
        <v>46158</v>
      </c>
      <c r="C580" s="165" t="str">
        <f>IFERROR(__xludf.DUMMYFUNCTION("""COMPUTED_VALUE"""),"KYAI KONTONG")</f>
        <v>KYAI KONTONG</v>
      </c>
      <c r="D580" s="94">
        <f>IFERROR(__xludf.DUMMYFUNCTION("""COMPUTED_VALUE"""),2.0)</f>
        <v>2</v>
      </c>
    </row>
    <row r="581">
      <c r="A581" s="87" t="str">
        <f>IFERROR(__xludf.DUMMYFUNCTION("""COMPUTED_VALUE"""),"ITBISA-ABC-BATERAI-AAA-ALKALINE")</f>
        <v>ITBISA-ABC-BATERAI-AAA-ALKALINE</v>
      </c>
      <c r="B581" s="165">
        <f>IFERROR(__xludf.DUMMYFUNCTION("""COMPUTED_VALUE"""),46159.0)</f>
        <v>46159</v>
      </c>
      <c r="C581" s="165" t="str">
        <f>IFERROR(__xludf.DUMMYFUNCTION("""COMPUTED_VALUE"""),"KYAI KONTONG")</f>
        <v>KYAI KONTONG</v>
      </c>
      <c r="D581" s="94">
        <f>IFERROR(__xludf.DUMMYFUNCTION("""COMPUTED_VALUE"""),8.0)</f>
        <v>8</v>
      </c>
    </row>
    <row r="582">
      <c r="A582" s="87" t="str">
        <f>IFERROR(__xludf.DUMMYFUNCTION("""COMPUTED_VALUE"""),"ITBISA-ABC-BATERAI-AAA-ALKALINE")</f>
        <v>ITBISA-ABC-BATERAI-AAA-ALKALINE</v>
      </c>
      <c r="B582" s="165">
        <f>IFERROR(__xludf.DUMMYFUNCTION("""COMPUTED_VALUE"""),46159.0)</f>
        <v>46159</v>
      </c>
      <c r="C582" s="165" t="str">
        <f>IFERROR(__xludf.DUMMYFUNCTION("""COMPUTED_VALUE"""),"KYAI KONTONG")</f>
        <v>KYAI KONTONG</v>
      </c>
      <c r="D582" s="94">
        <f>IFERROR(__xludf.DUMMYFUNCTION("""COMPUTED_VALUE"""),40.0)</f>
        <v>40</v>
      </c>
    </row>
    <row r="583">
      <c r="A583" s="87" t="str">
        <f>IFERROR(__xludf.DUMMYFUNCTION("""COMPUTED_VALUE"""),"ITBISA-ABC-BATERAI-AAA-ALKALINE")</f>
        <v>ITBISA-ABC-BATERAI-AAA-ALKALINE</v>
      </c>
      <c r="B583" s="165">
        <f>IFERROR(__xludf.DUMMYFUNCTION("""COMPUTED_VALUE"""),46161.0)</f>
        <v>46161</v>
      </c>
      <c r="C583" s="165" t="str">
        <f>IFERROR(__xludf.DUMMYFUNCTION("""COMPUTED_VALUE"""),"KYAI KONTONG")</f>
        <v>KYAI KONTONG</v>
      </c>
      <c r="D583" s="94">
        <f>IFERROR(__xludf.DUMMYFUNCTION("""COMPUTED_VALUE"""),6.0)</f>
        <v>6</v>
      </c>
    </row>
    <row r="584">
      <c r="A584" s="87" t="str">
        <f>IFERROR(__xludf.DUMMYFUNCTION("""COMPUTED_VALUE"""),"ITBISA-ABC-BATERAI-AAA-ALKALINE")</f>
        <v>ITBISA-ABC-BATERAI-AAA-ALKALINE</v>
      </c>
      <c r="B584" s="165">
        <f>IFERROR(__xludf.DUMMYFUNCTION("""COMPUTED_VALUE"""),46161.0)</f>
        <v>46161</v>
      </c>
      <c r="C584" s="165" t="str">
        <f>IFERROR(__xludf.DUMMYFUNCTION("""COMPUTED_VALUE"""),"KYAI KONTONG")</f>
        <v>KYAI KONTONG</v>
      </c>
      <c r="D584" s="94">
        <f>IFERROR(__xludf.DUMMYFUNCTION("""COMPUTED_VALUE"""),16.0)</f>
        <v>16</v>
      </c>
    </row>
    <row r="585">
      <c r="A585" s="87" t="str">
        <f>IFERROR(__xludf.DUMMYFUNCTION("""COMPUTED_VALUE"""),"ITBISA-ABC-BATERAI-AAA-ALKALINE")</f>
        <v>ITBISA-ABC-BATERAI-AAA-ALKALINE</v>
      </c>
      <c r="B585" s="165">
        <f>IFERROR(__xludf.DUMMYFUNCTION("""COMPUTED_VALUE"""),46161.0)</f>
        <v>46161</v>
      </c>
      <c r="C585" s="165" t="str">
        <f>IFERROR(__xludf.DUMMYFUNCTION("""COMPUTED_VALUE"""),"KYAI KONTONG")</f>
        <v>KYAI KONTONG</v>
      </c>
      <c r="D585" s="94">
        <f>IFERROR(__xludf.DUMMYFUNCTION("""COMPUTED_VALUE"""),24.0)</f>
        <v>24</v>
      </c>
    </row>
    <row r="586">
      <c r="A586" s="87" t="str">
        <f>IFERROR(__xludf.DUMMYFUNCTION("""COMPUTED_VALUE"""),"ITBISA-ABC-BATERAI-AAA-ALKALINE")</f>
        <v>ITBISA-ABC-BATERAI-AAA-ALKALINE</v>
      </c>
      <c r="B586" s="165">
        <f>IFERROR(__xludf.DUMMYFUNCTION("""COMPUTED_VALUE"""),46162.0)</f>
        <v>46162</v>
      </c>
      <c r="C586" s="165" t="str">
        <f>IFERROR(__xludf.DUMMYFUNCTION("""COMPUTED_VALUE"""),"KYAI KONTONG")</f>
        <v>KYAI KONTONG</v>
      </c>
      <c r="D586" s="94">
        <f>IFERROR(__xludf.DUMMYFUNCTION("""COMPUTED_VALUE"""),6.0)</f>
        <v>6</v>
      </c>
    </row>
    <row r="587">
      <c r="A587" s="87" t="str">
        <f>IFERROR(__xludf.DUMMYFUNCTION("""COMPUTED_VALUE"""),"ITBISA-ABC-BATERAI-AAA-ALKALINE")</f>
        <v>ITBISA-ABC-BATERAI-AAA-ALKALINE</v>
      </c>
      <c r="B587" s="165">
        <f>IFERROR(__xludf.DUMMYFUNCTION("""COMPUTED_VALUE"""),46162.0)</f>
        <v>46162</v>
      </c>
      <c r="C587" s="165" t="str">
        <f>IFERROR(__xludf.DUMMYFUNCTION("""COMPUTED_VALUE"""),"KYAI KONTONG")</f>
        <v>KYAI KONTONG</v>
      </c>
      <c r="D587" s="94">
        <f>IFERROR(__xludf.DUMMYFUNCTION("""COMPUTED_VALUE"""),6.0)</f>
        <v>6</v>
      </c>
    </row>
    <row r="588">
      <c r="A588" s="87" t="str">
        <f>IFERROR(__xludf.DUMMYFUNCTION("""COMPUTED_VALUE"""),"ITBISA-ABC-BATERAI-AAA-ALKALINE")</f>
        <v>ITBISA-ABC-BATERAI-AAA-ALKALINE</v>
      </c>
      <c r="B588" s="165">
        <f>IFERROR(__xludf.DUMMYFUNCTION("""COMPUTED_VALUE"""),46162.0)</f>
        <v>46162</v>
      </c>
      <c r="C588" s="165" t="str">
        <f>IFERROR(__xludf.DUMMYFUNCTION("""COMPUTED_VALUE"""),"KYAI KONTONG")</f>
        <v>KYAI KONTONG</v>
      </c>
      <c r="D588" s="94">
        <f>IFERROR(__xludf.DUMMYFUNCTION("""COMPUTED_VALUE"""),72.0)</f>
        <v>72</v>
      </c>
    </row>
    <row r="589">
      <c r="A589" s="87" t="str">
        <f>IFERROR(__xludf.DUMMYFUNCTION("""COMPUTED_VALUE"""),"ITBISA-ABC-BATERAI-AAA-ALKALINE")</f>
        <v>ITBISA-ABC-BATERAI-AAA-ALKALINE</v>
      </c>
      <c r="B589" s="165">
        <f>IFERROR(__xludf.DUMMYFUNCTION("""COMPUTED_VALUE"""),46164.0)</f>
        <v>46164</v>
      </c>
      <c r="C589" s="165" t="str">
        <f>IFERROR(__xludf.DUMMYFUNCTION("""COMPUTED_VALUE"""),"KYAI KONTONG")</f>
        <v>KYAI KONTONG</v>
      </c>
      <c r="D589" s="94">
        <f>IFERROR(__xludf.DUMMYFUNCTION("""COMPUTED_VALUE"""),2.0)</f>
        <v>2</v>
      </c>
    </row>
    <row r="590">
      <c r="A590" s="87" t="str">
        <f>IFERROR(__xludf.DUMMYFUNCTION("""COMPUTED_VALUE"""),"ITBISA-ABC-BATERAI-AAA-ALKALINE")</f>
        <v>ITBISA-ABC-BATERAI-AAA-ALKALINE</v>
      </c>
      <c r="B590" s="165">
        <f>IFERROR(__xludf.DUMMYFUNCTION("""COMPUTED_VALUE"""),46164.0)</f>
        <v>46164</v>
      </c>
      <c r="C590" s="165" t="str">
        <f>IFERROR(__xludf.DUMMYFUNCTION("""COMPUTED_VALUE"""),"KYAI KONTONG")</f>
        <v>KYAI KONTONG</v>
      </c>
      <c r="D590" s="94">
        <f>IFERROR(__xludf.DUMMYFUNCTION("""COMPUTED_VALUE"""),8.0)</f>
        <v>8</v>
      </c>
    </row>
    <row r="591">
      <c r="A591" s="87" t="str">
        <f>IFERROR(__xludf.DUMMYFUNCTION("""COMPUTED_VALUE"""),"ITBISA-ABC-BATERAI-AAA-ALKALINE")</f>
        <v>ITBISA-ABC-BATERAI-AAA-ALKALINE</v>
      </c>
      <c r="B591" s="165">
        <f>IFERROR(__xludf.DUMMYFUNCTION("""COMPUTED_VALUE"""),46164.0)</f>
        <v>46164</v>
      </c>
      <c r="C591" s="165" t="str">
        <f>IFERROR(__xludf.DUMMYFUNCTION("""COMPUTED_VALUE"""),"KYAI KONTONG")</f>
        <v>KYAI KONTONG</v>
      </c>
      <c r="D591" s="94">
        <f>IFERROR(__xludf.DUMMYFUNCTION("""COMPUTED_VALUE"""),48.0)</f>
        <v>48</v>
      </c>
    </row>
    <row r="592">
      <c r="A592" s="87" t="str">
        <f>IFERROR(__xludf.DUMMYFUNCTION("""COMPUTED_VALUE"""),"ITBISA-ABC-BATERAI-AAA-ALKALINE")</f>
        <v>ITBISA-ABC-BATERAI-AAA-ALKALINE</v>
      </c>
      <c r="B592" s="165">
        <f>IFERROR(__xludf.DUMMYFUNCTION("""COMPUTED_VALUE"""),46165.0)</f>
        <v>46165</v>
      </c>
      <c r="C592" s="165" t="str">
        <f>IFERROR(__xludf.DUMMYFUNCTION("""COMPUTED_VALUE"""),"KYAI KONTONG")</f>
        <v>KYAI KONTONG</v>
      </c>
      <c r="D592" s="94">
        <f>IFERROR(__xludf.DUMMYFUNCTION("""COMPUTED_VALUE"""),6.0)</f>
        <v>6</v>
      </c>
    </row>
    <row r="593">
      <c r="A593" s="87" t="str">
        <f>IFERROR(__xludf.DUMMYFUNCTION("""COMPUTED_VALUE"""),"ITBISA-ABC-BATERAI-AAA-ALKALINE")</f>
        <v>ITBISA-ABC-BATERAI-AAA-ALKALINE</v>
      </c>
      <c r="B593" s="165">
        <f>IFERROR(__xludf.DUMMYFUNCTION("""COMPUTED_VALUE"""),46165.0)</f>
        <v>46165</v>
      </c>
      <c r="C593" s="165" t="str">
        <f>IFERROR(__xludf.DUMMYFUNCTION("""COMPUTED_VALUE"""),"KYAI KONTONG")</f>
        <v>KYAI KONTONG</v>
      </c>
      <c r="D593" s="94">
        <f>IFERROR(__xludf.DUMMYFUNCTION("""COMPUTED_VALUE"""),12.0)</f>
        <v>12</v>
      </c>
    </row>
    <row r="594">
      <c r="A594" s="87" t="str">
        <f>IFERROR(__xludf.DUMMYFUNCTION("""COMPUTED_VALUE"""),"ITBISA-ABC-BATERAI-AAA-ALKALINE")</f>
        <v>ITBISA-ABC-BATERAI-AAA-ALKALINE</v>
      </c>
      <c r="B594" s="165">
        <f>IFERROR(__xludf.DUMMYFUNCTION("""COMPUTED_VALUE"""),46166.0)</f>
        <v>46166</v>
      </c>
      <c r="C594" s="165" t="str">
        <f>IFERROR(__xludf.DUMMYFUNCTION("""COMPUTED_VALUE"""),"KYAI KONTONG")</f>
        <v>KYAI KONTONG</v>
      </c>
      <c r="D594" s="94">
        <f>IFERROR(__xludf.DUMMYFUNCTION("""COMPUTED_VALUE"""),6.0)</f>
        <v>6</v>
      </c>
    </row>
    <row r="595">
      <c r="A595" s="87" t="str">
        <f>IFERROR(__xludf.DUMMYFUNCTION("""COMPUTED_VALUE"""),"ITBISA-ABC-BATERAI-AAA-ALKALINE")</f>
        <v>ITBISA-ABC-BATERAI-AAA-ALKALINE</v>
      </c>
      <c r="B595" s="165">
        <f>IFERROR(__xludf.DUMMYFUNCTION("""COMPUTED_VALUE"""),46166.0)</f>
        <v>46166</v>
      </c>
      <c r="C595" s="165" t="str">
        <f>IFERROR(__xludf.DUMMYFUNCTION("""COMPUTED_VALUE"""),"KYAI KONTONG")</f>
        <v>KYAI KONTONG</v>
      </c>
      <c r="D595" s="94">
        <f>IFERROR(__xludf.DUMMYFUNCTION("""COMPUTED_VALUE"""),6.0)</f>
        <v>6</v>
      </c>
    </row>
    <row r="596">
      <c r="A596" s="87" t="str">
        <f>IFERROR(__xludf.DUMMYFUNCTION("""COMPUTED_VALUE"""),"ITBISA-ABC-BATERAI-AAA-ALKALINE")</f>
        <v>ITBISA-ABC-BATERAI-AAA-ALKALINE</v>
      </c>
      <c r="B596" s="165">
        <f>IFERROR(__xludf.DUMMYFUNCTION("""COMPUTED_VALUE"""),46166.0)</f>
        <v>46166</v>
      </c>
      <c r="C596" s="165" t="str">
        <f>IFERROR(__xludf.DUMMYFUNCTION("""COMPUTED_VALUE"""),"KYAI KONTONG")</f>
        <v>KYAI KONTONG</v>
      </c>
      <c r="D596" s="94">
        <f>IFERROR(__xludf.DUMMYFUNCTION("""COMPUTED_VALUE"""),24.0)</f>
        <v>24</v>
      </c>
    </row>
    <row r="597">
      <c r="A597" s="87" t="str">
        <f>IFERROR(__xludf.DUMMYFUNCTION("""COMPUTED_VALUE"""),"ITBISA-ABC-BATERAI-AAA-ALKALINE")</f>
        <v>ITBISA-ABC-BATERAI-AAA-ALKALINE</v>
      </c>
      <c r="B597" s="165">
        <f>IFERROR(__xludf.DUMMYFUNCTION("""COMPUTED_VALUE"""),46166.0)</f>
        <v>46166</v>
      </c>
      <c r="C597" s="165" t="str">
        <f>IFERROR(__xludf.DUMMYFUNCTION("""COMPUTED_VALUE"""),"KYAI KONTONG")</f>
        <v>KYAI KONTONG</v>
      </c>
      <c r="D597" s="94">
        <f>IFERROR(__xludf.DUMMYFUNCTION("""COMPUTED_VALUE"""),40.0)</f>
        <v>40</v>
      </c>
    </row>
    <row r="598">
      <c r="A598" s="87" t="str">
        <f>IFERROR(__xludf.DUMMYFUNCTION("""COMPUTED_VALUE"""),"ITBISA-ABC-BATERAI-AAA-ALKALINE")</f>
        <v>ITBISA-ABC-BATERAI-AAA-ALKALINE</v>
      </c>
      <c r="B598" s="165">
        <f>IFERROR(__xludf.DUMMYFUNCTION("""COMPUTED_VALUE"""),46167.0)</f>
        <v>46167</v>
      </c>
      <c r="C598" s="165" t="str">
        <f>IFERROR(__xludf.DUMMYFUNCTION("""COMPUTED_VALUE"""),"KYAI KONTONG")</f>
        <v>KYAI KONTONG</v>
      </c>
      <c r="D598" s="94">
        <f>IFERROR(__xludf.DUMMYFUNCTION("""COMPUTED_VALUE"""),6.0)</f>
        <v>6</v>
      </c>
    </row>
    <row r="599">
      <c r="A599" s="87" t="str">
        <f>IFERROR(__xludf.DUMMYFUNCTION("""COMPUTED_VALUE"""),"ITBISA-ABC-BATERAI-AAA-ALKALINE")</f>
        <v>ITBISA-ABC-BATERAI-AAA-ALKALINE</v>
      </c>
      <c r="B599" s="165">
        <f>IFERROR(__xludf.DUMMYFUNCTION("""COMPUTED_VALUE"""),46167.0)</f>
        <v>46167</v>
      </c>
      <c r="C599" s="165" t="str">
        <f>IFERROR(__xludf.DUMMYFUNCTION("""COMPUTED_VALUE"""),"KYAI KONTONG")</f>
        <v>KYAI KONTONG</v>
      </c>
      <c r="D599" s="94">
        <f>IFERROR(__xludf.DUMMYFUNCTION("""COMPUTED_VALUE"""),6.0)</f>
        <v>6</v>
      </c>
    </row>
    <row r="600">
      <c r="A600" s="87" t="str">
        <f>IFERROR(__xludf.DUMMYFUNCTION("""COMPUTED_VALUE"""),"ITBISA-ABC-BATERAI-AAA-ALKALINE")</f>
        <v>ITBISA-ABC-BATERAI-AAA-ALKALINE</v>
      </c>
      <c r="B600" s="165">
        <f>IFERROR(__xludf.DUMMYFUNCTION("""COMPUTED_VALUE"""),46167.0)</f>
        <v>46167</v>
      </c>
      <c r="C600" s="165" t="str">
        <f>IFERROR(__xludf.DUMMYFUNCTION("""COMPUTED_VALUE"""),"KYAI KONTONG")</f>
        <v>KYAI KONTONG</v>
      </c>
      <c r="D600" s="94">
        <f>IFERROR(__xludf.DUMMYFUNCTION("""COMPUTED_VALUE"""),8.0)</f>
        <v>8</v>
      </c>
    </row>
    <row r="601">
      <c r="A601" s="87" t="str">
        <f>IFERROR(__xludf.DUMMYFUNCTION("""COMPUTED_VALUE"""),"ITBISA-ABC-BATERAI-AAA-ALKALINE")</f>
        <v>ITBISA-ABC-BATERAI-AAA-ALKALINE</v>
      </c>
      <c r="B601" s="165">
        <f>IFERROR(__xludf.DUMMYFUNCTION("""COMPUTED_VALUE"""),46167.0)</f>
        <v>46167</v>
      </c>
      <c r="C601" s="165" t="str">
        <f>IFERROR(__xludf.DUMMYFUNCTION("""COMPUTED_VALUE"""),"KYAI KONTONG")</f>
        <v>KYAI KONTONG</v>
      </c>
      <c r="D601" s="94">
        <f>IFERROR(__xludf.DUMMYFUNCTION("""COMPUTED_VALUE"""),12.0)</f>
        <v>12</v>
      </c>
    </row>
    <row r="602">
      <c r="A602" s="87" t="str">
        <f>IFERROR(__xludf.DUMMYFUNCTION("""COMPUTED_VALUE"""),"ITBISA-ABC-BATERAI-AAA-ALKALINE")</f>
        <v>ITBISA-ABC-BATERAI-AAA-ALKALINE</v>
      </c>
      <c r="B602" s="165">
        <f>IFERROR(__xludf.DUMMYFUNCTION("""COMPUTED_VALUE"""),46167.0)</f>
        <v>46167</v>
      </c>
      <c r="C602" s="165" t="str">
        <f>IFERROR(__xludf.DUMMYFUNCTION("""COMPUTED_VALUE"""),"KYAI KONTONG")</f>
        <v>KYAI KONTONG</v>
      </c>
      <c r="D602" s="94">
        <f>IFERROR(__xludf.DUMMYFUNCTION("""COMPUTED_VALUE"""),12.0)</f>
        <v>12</v>
      </c>
    </row>
    <row r="603">
      <c r="A603" s="87" t="str">
        <f>IFERROR(__xludf.DUMMYFUNCTION("""COMPUTED_VALUE"""),"ITBISA-ABC-BATERAI-AAA-ALKALINE")</f>
        <v>ITBISA-ABC-BATERAI-AAA-ALKALINE</v>
      </c>
      <c r="B603" s="165">
        <f>IFERROR(__xludf.DUMMYFUNCTION("""COMPUTED_VALUE"""),46168.0)</f>
        <v>46168</v>
      </c>
      <c r="C603" s="165" t="str">
        <f>IFERROR(__xludf.DUMMYFUNCTION("""COMPUTED_VALUE"""),"KYAI KONTONG")</f>
        <v>KYAI KONTONG</v>
      </c>
      <c r="D603" s="94">
        <f>IFERROR(__xludf.DUMMYFUNCTION("""COMPUTED_VALUE"""),8.0)</f>
        <v>8</v>
      </c>
    </row>
    <row r="604">
      <c r="A604" s="87" t="str">
        <f>IFERROR(__xludf.DUMMYFUNCTION("""COMPUTED_VALUE"""),"ITBISA-ABC-BATERAI-AAA-ALKALINE")</f>
        <v>ITBISA-ABC-BATERAI-AAA-ALKALINE</v>
      </c>
      <c r="B604" s="165">
        <f>IFERROR(__xludf.DUMMYFUNCTION("""COMPUTED_VALUE"""),46168.0)</f>
        <v>46168</v>
      </c>
      <c r="C604" s="165" t="str">
        <f>IFERROR(__xludf.DUMMYFUNCTION("""COMPUTED_VALUE"""),"KYAI KONTONG")</f>
        <v>KYAI KONTONG</v>
      </c>
      <c r="D604" s="94">
        <f>IFERROR(__xludf.DUMMYFUNCTION("""COMPUTED_VALUE"""),16.0)</f>
        <v>16</v>
      </c>
    </row>
    <row r="605">
      <c r="A605" s="87" t="str">
        <f>IFERROR(__xludf.DUMMYFUNCTION("""COMPUTED_VALUE"""),"ITBISA-ABC-BATERAI-AAA-ALKALINE")</f>
        <v>ITBISA-ABC-BATERAI-AAA-ALKALINE</v>
      </c>
      <c r="B605" s="165">
        <f>IFERROR(__xludf.DUMMYFUNCTION("""COMPUTED_VALUE"""),46171.0)</f>
        <v>46171</v>
      </c>
      <c r="C605" s="165" t="str">
        <f>IFERROR(__xludf.DUMMYFUNCTION("""COMPUTED_VALUE"""),"KYAI KONTONG")</f>
        <v>KYAI KONTONG</v>
      </c>
      <c r="D605" s="94">
        <f>IFERROR(__xludf.DUMMYFUNCTION("""COMPUTED_VALUE"""),8.0)</f>
        <v>8</v>
      </c>
    </row>
    <row r="606">
      <c r="A606" s="87" t="str">
        <f>IFERROR(__xludf.DUMMYFUNCTION("""COMPUTED_VALUE"""),"ITBISA-ABC-BATERAI-AAA-ALKALINE")</f>
        <v>ITBISA-ABC-BATERAI-AAA-ALKALINE</v>
      </c>
      <c r="B606" s="165">
        <f>IFERROR(__xludf.DUMMYFUNCTION("""COMPUTED_VALUE"""),46171.0)</f>
        <v>46171</v>
      </c>
      <c r="C606" s="165" t="str">
        <f>IFERROR(__xludf.DUMMYFUNCTION("""COMPUTED_VALUE"""),"KYAI KONTONG")</f>
        <v>KYAI KONTONG</v>
      </c>
      <c r="D606" s="94">
        <f>IFERROR(__xludf.DUMMYFUNCTION("""COMPUTED_VALUE"""),8.0)</f>
        <v>8</v>
      </c>
    </row>
    <row r="607">
      <c r="A607" s="87" t="str">
        <f>IFERROR(__xludf.DUMMYFUNCTION("""COMPUTED_VALUE"""),"ITBISA-ABC-BATERAI-AAA-ALKALINE")</f>
        <v>ITBISA-ABC-BATERAI-AAA-ALKALINE</v>
      </c>
      <c r="B607" s="165">
        <f>IFERROR(__xludf.DUMMYFUNCTION("""COMPUTED_VALUE"""),46172.0)</f>
        <v>46172</v>
      </c>
      <c r="C607" s="165" t="str">
        <f>IFERROR(__xludf.DUMMYFUNCTION("""COMPUTED_VALUE"""),"KYAI KONTONG")</f>
        <v>KYAI KONTONG</v>
      </c>
      <c r="D607" s="94">
        <f>IFERROR(__xludf.DUMMYFUNCTION("""COMPUTED_VALUE"""),1.0)</f>
        <v>1</v>
      </c>
    </row>
    <row r="608">
      <c r="A608" s="87" t="str">
        <f>IFERROR(__xludf.DUMMYFUNCTION("""COMPUTED_VALUE"""),"ITBISA-ABC-BATERAI-AAA-ALKALINE")</f>
        <v>ITBISA-ABC-BATERAI-AAA-ALKALINE</v>
      </c>
      <c r="B608" s="165">
        <f>IFERROR(__xludf.DUMMYFUNCTION("""COMPUTED_VALUE"""),46172.0)</f>
        <v>46172</v>
      </c>
      <c r="C608" s="165" t="str">
        <f>IFERROR(__xludf.DUMMYFUNCTION("""COMPUTED_VALUE"""),"KYAI KONTONG")</f>
        <v>KYAI KONTONG</v>
      </c>
      <c r="D608" s="94">
        <f>IFERROR(__xludf.DUMMYFUNCTION("""COMPUTED_VALUE"""),3.0)</f>
        <v>3</v>
      </c>
    </row>
    <row r="609">
      <c r="A609" s="87" t="str">
        <f>IFERROR(__xludf.DUMMYFUNCTION("""COMPUTED_VALUE"""),"ITBISA-ABC-BATERAI-AAA-ALKALINE")</f>
        <v>ITBISA-ABC-BATERAI-AAA-ALKALINE</v>
      </c>
      <c r="B609" s="165">
        <f>IFERROR(__xludf.DUMMYFUNCTION("""COMPUTED_VALUE"""),46172.0)</f>
        <v>46172</v>
      </c>
      <c r="C609" s="165" t="str">
        <f>IFERROR(__xludf.DUMMYFUNCTION("""COMPUTED_VALUE"""),"KYAI KONTONG")</f>
        <v>KYAI KONTONG</v>
      </c>
      <c r="D609" s="94">
        <f>IFERROR(__xludf.DUMMYFUNCTION("""COMPUTED_VALUE"""),8.0)</f>
        <v>8</v>
      </c>
    </row>
    <row r="610">
      <c r="A610" s="87" t="str">
        <f>IFERROR(__xludf.DUMMYFUNCTION("""COMPUTED_VALUE"""),"ITBISA-ABC-BATERAI-AAA-ALKALINE")</f>
        <v>ITBISA-ABC-BATERAI-AAA-ALKALINE</v>
      </c>
      <c r="B610" s="165">
        <f>IFERROR(__xludf.DUMMYFUNCTION("""COMPUTED_VALUE"""),46175.0)</f>
        <v>46175</v>
      </c>
      <c r="C610" s="165" t="str">
        <f>IFERROR(__xludf.DUMMYFUNCTION("""COMPUTED_VALUE"""),"KYAI KONTONG")</f>
        <v>KYAI KONTONG</v>
      </c>
      <c r="D610" s="94">
        <f>IFERROR(__xludf.DUMMYFUNCTION("""COMPUTED_VALUE"""),1.0)</f>
        <v>1</v>
      </c>
    </row>
    <row r="611">
      <c r="A611" s="87" t="str">
        <f>IFERROR(__xludf.DUMMYFUNCTION("""COMPUTED_VALUE"""),"ITBISA-ABC-BATERAI-AAA-ALKALINE")</f>
        <v>ITBISA-ABC-BATERAI-AAA-ALKALINE</v>
      </c>
      <c r="B611" s="165">
        <f>IFERROR(__xludf.DUMMYFUNCTION("""COMPUTED_VALUE"""),46175.0)</f>
        <v>46175</v>
      </c>
      <c r="C611" s="165" t="str">
        <f>IFERROR(__xludf.DUMMYFUNCTION("""COMPUTED_VALUE"""),"KYAI KONTONG")</f>
        <v>KYAI KONTONG</v>
      </c>
      <c r="D611" s="94">
        <f>IFERROR(__xludf.DUMMYFUNCTION("""COMPUTED_VALUE"""),2.0)</f>
        <v>2</v>
      </c>
    </row>
    <row r="612">
      <c r="A612" s="87" t="str">
        <f>IFERROR(__xludf.DUMMYFUNCTION("""COMPUTED_VALUE"""),"ITBISA-ABC-BATERAI-AAA-ALKALINE")</f>
        <v>ITBISA-ABC-BATERAI-AAA-ALKALINE</v>
      </c>
      <c r="B612" s="165">
        <f>IFERROR(__xludf.DUMMYFUNCTION("""COMPUTED_VALUE"""),46176.0)</f>
        <v>46176</v>
      </c>
      <c r="C612" s="165" t="str">
        <f>IFERROR(__xludf.DUMMYFUNCTION("""COMPUTED_VALUE"""),"KYAI KONTONG")</f>
        <v>KYAI KONTONG</v>
      </c>
      <c r="D612" s="94">
        <f>IFERROR(__xludf.DUMMYFUNCTION("""COMPUTED_VALUE"""),16.0)</f>
        <v>16</v>
      </c>
    </row>
    <row r="613">
      <c r="A613" s="87" t="str">
        <f>IFERROR(__xludf.DUMMYFUNCTION("""COMPUTED_VALUE"""),"ITBISA-ABC-BATERAI-AAA-ALKALINE")</f>
        <v>ITBISA-ABC-BATERAI-AAA-ALKALINE</v>
      </c>
      <c r="B613" s="165">
        <f>IFERROR(__xludf.DUMMYFUNCTION("""COMPUTED_VALUE"""),46176.0)</f>
        <v>46176</v>
      </c>
      <c r="C613" s="165" t="str">
        <f>IFERROR(__xludf.DUMMYFUNCTION("""COMPUTED_VALUE"""),"KYAI KONTONG")</f>
        <v>KYAI KONTONG</v>
      </c>
      <c r="D613" s="94">
        <f>IFERROR(__xludf.DUMMYFUNCTION("""COMPUTED_VALUE"""),16.0)</f>
        <v>16</v>
      </c>
    </row>
    <row r="614">
      <c r="A614" s="87" t="str">
        <f>IFERROR(__xludf.DUMMYFUNCTION("""COMPUTED_VALUE"""),"ITBISA-ABC-BATERAI-AAA-ALKALINE")</f>
        <v>ITBISA-ABC-BATERAI-AAA-ALKALINE</v>
      </c>
      <c r="B614" s="165">
        <f>IFERROR(__xludf.DUMMYFUNCTION("""COMPUTED_VALUE"""),46177.0)</f>
        <v>46177</v>
      </c>
      <c r="C614" s="165" t="str">
        <f>IFERROR(__xludf.DUMMYFUNCTION("""COMPUTED_VALUE"""),"KYAI KONTONG")</f>
        <v>KYAI KONTONG</v>
      </c>
      <c r="D614" s="94">
        <f>IFERROR(__xludf.DUMMYFUNCTION("""COMPUTED_VALUE"""),2.0)</f>
        <v>2</v>
      </c>
    </row>
    <row r="615">
      <c r="A615" s="87" t="str">
        <f>IFERROR(__xludf.DUMMYFUNCTION("""COMPUTED_VALUE"""),"ITBISA-ABC-BATERAI-AAA-ALKALINE")</f>
        <v>ITBISA-ABC-BATERAI-AAA-ALKALINE</v>
      </c>
      <c r="B615" s="165">
        <f>IFERROR(__xludf.DUMMYFUNCTION("""COMPUTED_VALUE"""),46178.0)</f>
        <v>46178</v>
      </c>
      <c r="C615" s="165" t="str">
        <f>IFERROR(__xludf.DUMMYFUNCTION("""COMPUTED_VALUE"""),"KYAI KONTONG")</f>
        <v>KYAI KONTONG</v>
      </c>
      <c r="D615" s="94">
        <f>IFERROR(__xludf.DUMMYFUNCTION("""COMPUTED_VALUE"""),2.0)</f>
        <v>2</v>
      </c>
    </row>
    <row r="616">
      <c r="A616" s="87" t="str">
        <f>IFERROR(__xludf.DUMMYFUNCTION("""COMPUTED_VALUE"""),"ITBISA-ABC-BATERAI-AAA-ALKALINE")</f>
        <v>ITBISA-ABC-BATERAI-AAA-ALKALINE</v>
      </c>
      <c r="B616" s="165">
        <f>IFERROR(__xludf.DUMMYFUNCTION("""COMPUTED_VALUE"""),46179.0)</f>
        <v>46179</v>
      </c>
      <c r="C616" s="165" t="str">
        <f>IFERROR(__xludf.DUMMYFUNCTION("""COMPUTED_VALUE"""),"KYAI KONTONG")</f>
        <v>KYAI KONTONG</v>
      </c>
      <c r="D616" s="94">
        <f>IFERROR(__xludf.DUMMYFUNCTION("""COMPUTED_VALUE"""),8.0)</f>
        <v>8</v>
      </c>
    </row>
    <row r="617">
      <c r="A617" s="87" t="str">
        <f>IFERROR(__xludf.DUMMYFUNCTION("""COMPUTED_VALUE"""),"ITBISA-ABC-BATERAI-AAA-ALKALINE")</f>
        <v>ITBISA-ABC-BATERAI-AAA-ALKALINE</v>
      </c>
      <c r="B617" s="165">
        <f>IFERROR(__xludf.DUMMYFUNCTION("""COMPUTED_VALUE"""),46180.0)</f>
        <v>46180</v>
      </c>
      <c r="C617" s="165" t="str">
        <f>IFERROR(__xludf.DUMMYFUNCTION("""COMPUTED_VALUE"""),"KYAI KONTONG")</f>
        <v>KYAI KONTONG</v>
      </c>
      <c r="D617" s="94">
        <f>IFERROR(__xludf.DUMMYFUNCTION("""COMPUTED_VALUE"""),2.0)</f>
        <v>2</v>
      </c>
    </row>
    <row r="618">
      <c r="A618" s="87" t="str">
        <f>IFERROR(__xludf.DUMMYFUNCTION("""COMPUTED_VALUE"""),"ITBISA-ABC-BATERAI-AAA-ALKALINE")</f>
        <v>ITBISA-ABC-BATERAI-AAA-ALKALINE</v>
      </c>
      <c r="B618" s="165">
        <f>IFERROR(__xludf.DUMMYFUNCTION("""COMPUTED_VALUE"""),46183.0)</f>
        <v>46183</v>
      </c>
      <c r="C618" s="165" t="str">
        <f>IFERROR(__xludf.DUMMYFUNCTION("""COMPUTED_VALUE"""),"KYAI KONTONG")</f>
        <v>KYAI KONTONG</v>
      </c>
      <c r="D618" s="94">
        <f>IFERROR(__xludf.DUMMYFUNCTION("""COMPUTED_VALUE"""),6.0)</f>
        <v>6</v>
      </c>
    </row>
    <row r="619">
      <c r="A619" s="87" t="str">
        <f>IFERROR(__xludf.DUMMYFUNCTION("""COMPUTED_VALUE"""),"ITBISA-ABC-BATERAI-AAA-ALKALINE")</f>
        <v>ITBISA-ABC-BATERAI-AAA-ALKALINE</v>
      </c>
      <c r="B619" s="165">
        <f>IFERROR(__xludf.DUMMYFUNCTION("""COMPUTED_VALUE"""),46186.0)</f>
        <v>46186</v>
      </c>
      <c r="C619" s="165" t="str">
        <f>IFERROR(__xludf.DUMMYFUNCTION("""COMPUTED_VALUE"""),"KYAI KONTONG")</f>
        <v>KYAI KONTONG</v>
      </c>
      <c r="D619" s="94">
        <f>IFERROR(__xludf.DUMMYFUNCTION("""COMPUTED_VALUE"""),1.0)</f>
        <v>1</v>
      </c>
    </row>
    <row r="620">
      <c r="A620" s="87" t="str">
        <f>IFERROR(__xludf.DUMMYFUNCTION("""COMPUTED_VALUE"""),"ITBISA-ABC-BATERAI-AAA-ALKALINE")</f>
        <v>ITBISA-ABC-BATERAI-AAA-ALKALINE</v>
      </c>
      <c r="B620" s="165">
        <f>IFERROR(__xludf.DUMMYFUNCTION("""COMPUTED_VALUE"""),46187.0)</f>
        <v>46187</v>
      </c>
      <c r="C620" s="165" t="str">
        <f>IFERROR(__xludf.DUMMYFUNCTION("""COMPUTED_VALUE"""),"KYAI KONTONG")</f>
        <v>KYAI KONTONG</v>
      </c>
      <c r="D620" s="94">
        <f>IFERROR(__xludf.DUMMYFUNCTION("""COMPUTED_VALUE"""),1.0)</f>
        <v>1</v>
      </c>
    </row>
    <row r="621">
      <c r="A621" s="87" t="str">
        <f>IFERROR(__xludf.DUMMYFUNCTION("""COMPUTED_VALUE"""),"ITBISA-ABC-BATERAI-AAA-ALKALINE")</f>
        <v>ITBISA-ABC-BATERAI-AAA-ALKALINE</v>
      </c>
      <c r="B621" s="165">
        <f>IFERROR(__xludf.DUMMYFUNCTION("""COMPUTED_VALUE"""),46189.0)</f>
        <v>46189</v>
      </c>
      <c r="C621" s="165" t="str">
        <f>IFERROR(__xludf.DUMMYFUNCTION("""COMPUTED_VALUE"""),"KYAI KONTONG")</f>
        <v>KYAI KONTONG</v>
      </c>
      <c r="D621" s="94">
        <f>IFERROR(__xludf.DUMMYFUNCTION("""COMPUTED_VALUE"""),6.0)</f>
        <v>6</v>
      </c>
    </row>
    <row r="622">
      <c r="A622" s="87" t="str">
        <f>IFERROR(__xludf.DUMMYFUNCTION("""COMPUTED_VALUE"""),"ITBISA-ABC-BATERAI-AAA-ALKALINE")</f>
        <v>ITBISA-ABC-BATERAI-AAA-ALKALINE</v>
      </c>
      <c r="B622" s="165">
        <f>IFERROR(__xludf.DUMMYFUNCTION("""COMPUTED_VALUE"""),46189.0)</f>
        <v>46189</v>
      </c>
      <c r="C622" s="165" t="str">
        <f>IFERROR(__xludf.DUMMYFUNCTION("""COMPUTED_VALUE"""),"KYAI KONTONG")</f>
        <v>KYAI KONTONG</v>
      </c>
      <c r="D622" s="94">
        <f>IFERROR(__xludf.DUMMYFUNCTION("""COMPUTED_VALUE"""),32.0)</f>
        <v>32</v>
      </c>
    </row>
    <row r="623">
      <c r="A623" s="87" t="str">
        <f>IFERROR(__xludf.DUMMYFUNCTION("""COMPUTED_VALUE"""),"ITBISA-ABC-BATERAI-AAA-ALKALINE")</f>
        <v>ITBISA-ABC-BATERAI-AAA-ALKALINE</v>
      </c>
      <c r="B623" s="165">
        <f>IFERROR(__xludf.DUMMYFUNCTION("""COMPUTED_VALUE"""),46190.0)</f>
        <v>46190</v>
      </c>
      <c r="C623" s="165" t="str">
        <f>IFERROR(__xludf.DUMMYFUNCTION("""COMPUTED_VALUE"""),"KYAI KONTONG")</f>
        <v>KYAI KONTONG</v>
      </c>
      <c r="D623" s="94">
        <f>IFERROR(__xludf.DUMMYFUNCTION("""COMPUTED_VALUE"""),2.0)</f>
        <v>2</v>
      </c>
    </row>
    <row r="624">
      <c r="A624" s="87" t="str">
        <f>IFERROR(__xludf.DUMMYFUNCTION("""COMPUTED_VALUE"""),"ITBISA-ABC-BATERAI-AAA-ALKALINE")</f>
        <v>ITBISA-ABC-BATERAI-AAA-ALKALINE</v>
      </c>
      <c r="B624" s="165">
        <f>IFERROR(__xludf.DUMMYFUNCTION("""COMPUTED_VALUE"""),46191.0)</f>
        <v>46191</v>
      </c>
      <c r="C624" s="165" t="str">
        <f>IFERROR(__xludf.DUMMYFUNCTION("""COMPUTED_VALUE"""),"KYAI KONTONG")</f>
        <v>KYAI KONTONG</v>
      </c>
      <c r="D624" s="94">
        <f>IFERROR(__xludf.DUMMYFUNCTION("""COMPUTED_VALUE"""),2.0)</f>
        <v>2</v>
      </c>
    </row>
    <row r="625">
      <c r="A625" s="87" t="str">
        <f>IFERROR(__xludf.DUMMYFUNCTION("""COMPUTED_VALUE"""),"ITBISA-ABC-BATERAI-AAA-ALKALINE")</f>
        <v>ITBISA-ABC-BATERAI-AAA-ALKALINE</v>
      </c>
      <c r="B625" s="165">
        <f>IFERROR(__xludf.DUMMYFUNCTION("""COMPUTED_VALUE"""),46191.0)</f>
        <v>46191</v>
      </c>
      <c r="C625" s="165" t="str">
        <f>IFERROR(__xludf.DUMMYFUNCTION("""COMPUTED_VALUE"""),"KYAI KONTONG")</f>
        <v>KYAI KONTONG</v>
      </c>
      <c r="D625" s="94">
        <f>IFERROR(__xludf.DUMMYFUNCTION("""COMPUTED_VALUE"""),8.0)</f>
        <v>8</v>
      </c>
    </row>
    <row r="626">
      <c r="A626" s="87" t="str">
        <f>IFERROR(__xludf.DUMMYFUNCTION("""COMPUTED_VALUE"""),"ITBISA-ABC-BATERAI-AAA-ALKALINE")</f>
        <v>ITBISA-ABC-BATERAI-AAA-ALKALINE</v>
      </c>
      <c r="B626" s="165">
        <f>IFERROR(__xludf.DUMMYFUNCTION("""COMPUTED_VALUE"""),46195.0)</f>
        <v>46195</v>
      </c>
      <c r="C626" s="165" t="str">
        <f>IFERROR(__xludf.DUMMYFUNCTION("""COMPUTED_VALUE"""),"KYAI KONTONG")</f>
        <v>KYAI KONTONG</v>
      </c>
      <c r="D626" s="94">
        <f>IFERROR(__xludf.DUMMYFUNCTION("""COMPUTED_VALUE"""),6.0)</f>
        <v>6</v>
      </c>
    </row>
    <row r="627">
      <c r="A627" s="87" t="str">
        <f>IFERROR(__xludf.DUMMYFUNCTION("""COMPUTED_VALUE"""),"ITBISA-ABC-BATERAI-AAA-ALKALINE")</f>
        <v>ITBISA-ABC-BATERAI-AAA-ALKALINE</v>
      </c>
      <c r="B627" s="165">
        <f>IFERROR(__xludf.DUMMYFUNCTION("""COMPUTED_VALUE"""),46195.0)</f>
        <v>46195</v>
      </c>
      <c r="C627" s="165" t="str">
        <f>IFERROR(__xludf.DUMMYFUNCTION("""COMPUTED_VALUE"""),"KYAI KONTONG")</f>
        <v>KYAI KONTONG</v>
      </c>
      <c r="D627" s="94">
        <f>IFERROR(__xludf.DUMMYFUNCTION("""COMPUTED_VALUE"""),6.0)</f>
        <v>6</v>
      </c>
    </row>
    <row r="628">
      <c r="A628" s="87" t="str">
        <f>IFERROR(__xludf.DUMMYFUNCTION("""COMPUTED_VALUE"""),"ITBISA-ABC-BATERAI-AAA-ALKALINE")</f>
        <v>ITBISA-ABC-BATERAI-AAA-ALKALINE</v>
      </c>
      <c r="B628" s="165">
        <f>IFERROR(__xludf.DUMMYFUNCTION("""COMPUTED_VALUE"""),46195.0)</f>
        <v>46195</v>
      </c>
      <c r="C628" s="165" t="str">
        <f>IFERROR(__xludf.DUMMYFUNCTION("""COMPUTED_VALUE"""),"KYAI KONTONG")</f>
        <v>KYAI KONTONG</v>
      </c>
      <c r="D628" s="94">
        <f>IFERROR(__xludf.DUMMYFUNCTION("""COMPUTED_VALUE"""),16.0)</f>
        <v>16</v>
      </c>
    </row>
    <row r="629">
      <c r="A629" s="87" t="str">
        <f>IFERROR(__xludf.DUMMYFUNCTION("""COMPUTED_VALUE"""),"ITBISA-ABC-BATERAI-AAA-ALKALINE")</f>
        <v>ITBISA-ABC-BATERAI-AAA-ALKALINE</v>
      </c>
      <c r="B629" s="165">
        <f>IFERROR(__xludf.DUMMYFUNCTION("""COMPUTED_VALUE"""),46195.0)</f>
        <v>46195</v>
      </c>
      <c r="C629" s="165" t="str">
        <f>IFERROR(__xludf.DUMMYFUNCTION("""COMPUTED_VALUE"""),"KYAI KONTONG")</f>
        <v>KYAI KONTONG</v>
      </c>
      <c r="D629" s="94">
        <f>IFERROR(__xludf.DUMMYFUNCTION("""COMPUTED_VALUE"""),40.0)</f>
        <v>40</v>
      </c>
    </row>
    <row r="630">
      <c r="A630" s="87" t="str">
        <f>IFERROR(__xludf.DUMMYFUNCTION("""COMPUTED_VALUE"""),"ITBISA-ABC-BATERAI-AAA-ALKALINE")</f>
        <v>ITBISA-ABC-BATERAI-AAA-ALKALINE</v>
      </c>
      <c r="B630" s="165">
        <f>IFERROR(__xludf.DUMMYFUNCTION("""COMPUTED_VALUE"""),46196.0)</f>
        <v>46196</v>
      </c>
      <c r="C630" s="165" t="str">
        <f>IFERROR(__xludf.DUMMYFUNCTION("""COMPUTED_VALUE"""),"KYAI KONTONG")</f>
        <v>KYAI KONTONG</v>
      </c>
      <c r="D630" s="94">
        <f>IFERROR(__xludf.DUMMYFUNCTION("""COMPUTED_VALUE"""),6.0)</f>
        <v>6</v>
      </c>
    </row>
    <row r="631">
      <c r="A631" s="87" t="str">
        <f>IFERROR(__xludf.DUMMYFUNCTION("""COMPUTED_VALUE"""),"ITBISA-ABC-BATERAI-AAA-ALKALINE")</f>
        <v>ITBISA-ABC-BATERAI-AAA-ALKALINE</v>
      </c>
      <c r="B631" s="165">
        <f>IFERROR(__xludf.DUMMYFUNCTION("""COMPUTED_VALUE"""),46197.0)</f>
        <v>46197</v>
      </c>
      <c r="C631" s="165" t="str">
        <f>IFERROR(__xludf.DUMMYFUNCTION("""COMPUTED_VALUE"""),"KYAI KONTONG")</f>
        <v>KYAI KONTONG</v>
      </c>
      <c r="D631" s="94">
        <f>IFERROR(__xludf.DUMMYFUNCTION("""COMPUTED_VALUE"""),2.0)</f>
        <v>2</v>
      </c>
    </row>
    <row r="632">
      <c r="A632" s="87" t="str">
        <f>IFERROR(__xludf.DUMMYFUNCTION("""COMPUTED_VALUE"""),"ITBISA-ABC-BATERAI-AAA-ALKALINE")</f>
        <v>ITBISA-ABC-BATERAI-AAA-ALKALINE</v>
      </c>
      <c r="B632" s="165">
        <f>IFERROR(__xludf.DUMMYFUNCTION("""COMPUTED_VALUE"""),46197.0)</f>
        <v>46197</v>
      </c>
      <c r="C632" s="165" t="str">
        <f>IFERROR(__xludf.DUMMYFUNCTION("""COMPUTED_VALUE"""),"KYAI KONTONG")</f>
        <v>KYAI KONTONG</v>
      </c>
      <c r="D632" s="94">
        <f>IFERROR(__xludf.DUMMYFUNCTION("""COMPUTED_VALUE"""),2.0)</f>
        <v>2</v>
      </c>
    </row>
    <row r="633">
      <c r="A633" s="87" t="str">
        <f>IFERROR(__xludf.DUMMYFUNCTION("""COMPUTED_VALUE"""),"ITBISA-ABC-BATERAI-AAA-ALKALINE")</f>
        <v>ITBISA-ABC-BATERAI-AAA-ALKALINE</v>
      </c>
      <c r="B633" s="165">
        <f>IFERROR(__xludf.DUMMYFUNCTION("""COMPUTED_VALUE"""),46197.0)</f>
        <v>46197</v>
      </c>
      <c r="C633" s="165" t="str">
        <f>IFERROR(__xludf.DUMMYFUNCTION("""COMPUTED_VALUE"""),"KYAI KONTONG")</f>
        <v>KYAI KONTONG</v>
      </c>
      <c r="D633" s="94">
        <f>IFERROR(__xludf.DUMMYFUNCTION("""COMPUTED_VALUE"""),6.0)</f>
        <v>6</v>
      </c>
    </row>
    <row r="634">
      <c r="A634" s="87" t="str">
        <f>IFERROR(__xludf.DUMMYFUNCTION("""COMPUTED_VALUE"""),"ITBISA-ABC-BATERAI-AAA-ALKALINE")</f>
        <v>ITBISA-ABC-BATERAI-AAA-ALKALINE</v>
      </c>
      <c r="B634" s="165">
        <f>IFERROR(__xludf.DUMMYFUNCTION("""COMPUTED_VALUE"""),46198.0)</f>
        <v>46198</v>
      </c>
      <c r="C634" s="165" t="str">
        <f>IFERROR(__xludf.DUMMYFUNCTION("""COMPUTED_VALUE"""),"KYAI KONTONG")</f>
        <v>KYAI KONTONG</v>
      </c>
      <c r="D634" s="94">
        <f>IFERROR(__xludf.DUMMYFUNCTION("""COMPUTED_VALUE"""),1.0)</f>
        <v>1</v>
      </c>
    </row>
    <row r="635">
      <c r="A635" s="87" t="str">
        <f>IFERROR(__xludf.DUMMYFUNCTION("""COMPUTED_VALUE"""),"ITBISA-ABC-BATERAI-AAA-ALKALINE")</f>
        <v>ITBISA-ABC-BATERAI-AAA-ALKALINE</v>
      </c>
      <c r="B635" s="165">
        <f>IFERROR(__xludf.DUMMYFUNCTION("""COMPUTED_VALUE"""),46198.0)</f>
        <v>46198</v>
      </c>
      <c r="C635" s="165" t="str">
        <f>IFERROR(__xludf.DUMMYFUNCTION("""COMPUTED_VALUE"""),"KYAI KONTONG")</f>
        <v>KYAI KONTONG</v>
      </c>
      <c r="D635" s="94">
        <f>IFERROR(__xludf.DUMMYFUNCTION("""COMPUTED_VALUE"""),1.0)</f>
        <v>1</v>
      </c>
    </row>
    <row r="636">
      <c r="A636" s="87" t="str">
        <f>IFERROR(__xludf.DUMMYFUNCTION("""COMPUTED_VALUE"""),"ITBISA-ABC-BATERAI-AAA-ALKALINE")</f>
        <v>ITBISA-ABC-BATERAI-AAA-ALKALINE</v>
      </c>
      <c r="B636" s="165">
        <f>IFERROR(__xludf.DUMMYFUNCTION("""COMPUTED_VALUE"""),46198.0)</f>
        <v>46198</v>
      </c>
      <c r="C636" s="165" t="str">
        <f>IFERROR(__xludf.DUMMYFUNCTION("""COMPUTED_VALUE"""),"KYAI KONTONG")</f>
        <v>KYAI KONTONG</v>
      </c>
      <c r="D636" s="94">
        <f>IFERROR(__xludf.DUMMYFUNCTION("""COMPUTED_VALUE"""),2.0)</f>
        <v>2</v>
      </c>
    </row>
    <row r="637">
      <c r="A637" s="87" t="str">
        <f>IFERROR(__xludf.DUMMYFUNCTION("""COMPUTED_VALUE"""),"ITBISA-ABC-BATERAI-AAA-ALKALINE")</f>
        <v>ITBISA-ABC-BATERAI-AAA-ALKALINE</v>
      </c>
      <c r="B637" s="165">
        <f>IFERROR(__xludf.DUMMYFUNCTION("""COMPUTED_VALUE"""),46198.0)</f>
        <v>46198</v>
      </c>
      <c r="C637" s="165" t="str">
        <f>IFERROR(__xludf.DUMMYFUNCTION("""COMPUTED_VALUE"""),"KYAI KONTONG")</f>
        <v>KYAI KONTONG</v>
      </c>
      <c r="D637" s="94">
        <f>IFERROR(__xludf.DUMMYFUNCTION("""COMPUTED_VALUE"""),30.0)</f>
        <v>30</v>
      </c>
    </row>
    <row r="638">
      <c r="A638" s="87" t="str">
        <f>IFERROR(__xludf.DUMMYFUNCTION("""COMPUTED_VALUE"""),"ITBISA-ARDUINO-UNO-R3-328P-SMD")</f>
        <v>ITBISA-ARDUINO-UNO-R3-328P-SMD</v>
      </c>
      <c r="B638" s="165">
        <f>IFERROR(__xludf.DUMMYFUNCTION("""COMPUTED_VALUE"""),45993.0)</f>
        <v>45993</v>
      </c>
      <c r="C638" s="165" t="str">
        <f>IFERROR(__xludf.DUMMYFUNCTION("""COMPUTED_VALUE"""),"KYAI KONTONG")</f>
        <v>KYAI KONTONG</v>
      </c>
      <c r="D638" s="94">
        <f>IFERROR(__xludf.DUMMYFUNCTION("""COMPUTED_VALUE"""),1.0)</f>
        <v>1</v>
      </c>
    </row>
    <row r="639">
      <c r="A639" s="87" t="str">
        <f>IFERROR(__xludf.DUMMYFUNCTION("""COMPUTED_VALUE"""),"ITBISA-ARDUINO-UNO-R3-328P-SMD")</f>
        <v>ITBISA-ARDUINO-UNO-R3-328P-SMD</v>
      </c>
      <c r="B639" s="165">
        <f>IFERROR(__xludf.DUMMYFUNCTION("""COMPUTED_VALUE"""),46033.0)</f>
        <v>46033</v>
      </c>
      <c r="C639" s="165" t="str">
        <f>IFERROR(__xludf.DUMMYFUNCTION("""COMPUTED_VALUE"""),"KYAI KONTONG")</f>
        <v>KYAI KONTONG</v>
      </c>
      <c r="D639" s="94">
        <f>IFERROR(__xludf.DUMMYFUNCTION("""COMPUTED_VALUE"""),1.0)</f>
        <v>1</v>
      </c>
    </row>
    <row r="640">
      <c r="A640" s="87" t="str">
        <f>IFERROR(__xludf.DUMMYFUNCTION("""COMPUTED_VALUE"""),"ITBISA-ARDUINO-UNO-R3-328P-SMD")</f>
        <v>ITBISA-ARDUINO-UNO-R3-328P-SMD</v>
      </c>
      <c r="B640" s="165">
        <f>IFERROR(__xludf.DUMMYFUNCTION("""COMPUTED_VALUE"""),46036.0)</f>
        <v>46036</v>
      </c>
      <c r="C640" s="165" t="str">
        <f>IFERROR(__xludf.DUMMYFUNCTION("""COMPUTED_VALUE"""),"KYAI KONTONG")</f>
        <v>KYAI KONTONG</v>
      </c>
      <c r="D640" s="94">
        <f>IFERROR(__xludf.DUMMYFUNCTION("""COMPUTED_VALUE"""),1.0)</f>
        <v>1</v>
      </c>
    </row>
    <row r="641">
      <c r="A641" s="87" t="str">
        <f>IFERROR(__xludf.DUMMYFUNCTION("""COMPUTED_VALUE"""),"ITBISA-ARDUINO-UNO-R3-328P-SMD")</f>
        <v>ITBISA-ARDUINO-UNO-R3-328P-SMD</v>
      </c>
      <c r="B641" s="165">
        <f>IFERROR(__xludf.DUMMYFUNCTION("""COMPUTED_VALUE"""),46038.0)</f>
        <v>46038</v>
      </c>
      <c r="C641" s="165" t="str">
        <f>IFERROR(__xludf.DUMMYFUNCTION("""COMPUTED_VALUE"""),"KERTASARI CIAMIS")</f>
        <v>KERTASARI CIAMIS</v>
      </c>
      <c r="D641" s="94">
        <f>IFERROR(__xludf.DUMMYFUNCTION("""COMPUTED_VALUE"""),1.0)</f>
        <v>1</v>
      </c>
    </row>
    <row r="642">
      <c r="A642" s="87" t="str">
        <f>IFERROR(__xludf.DUMMYFUNCTION("""COMPUTED_VALUE"""),"ITBISA-ARDUINO-UNO-R3-328P-SMD")</f>
        <v>ITBISA-ARDUINO-UNO-R3-328P-SMD</v>
      </c>
      <c r="B642" s="165">
        <f>IFERROR(__xludf.DUMMYFUNCTION("""COMPUTED_VALUE"""),46046.0)</f>
        <v>46046</v>
      </c>
      <c r="C642" s="165" t="str">
        <f>IFERROR(__xludf.DUMMYFUNCTION("""COMPUTED_VALUE"""),"KYAI KONTONG")</f>
        <v>KYAI KONTONG</v>
      </c>
      <c r="D642" s="94">
        <f>IFERROR(__xludf.DUMMYFUNCTION("""COMPUTED_VALUE"""),1.0)</f>
        <v>1</v>
      </c>
    </row>
    <row r="643">
      <c r="A643" s="87" t="str">
        <f>IFERROR(__xludf.DUMMYFUNCTION("""COMPUTED_VALUE"""),"ITBISA-ARDUINO-UNO-R3-328P-SMD")</f>
        <v>ITBISA-ARDUINO-UNO-R3-328P-SMD</v>
      </c>
      <c r="B643" s="165">
        <f>IFERROR(__xludf.DUMMYFUNCTION("""COMPUTED_VALUE"""),46088.0)</f>
        <v>46088</v>
      </c>
      <c r="C643" s="165" t="str">
        <f>IFERROR(__xludf.DUMMYFUNCTION("""COMPUTED_VALUE"""),"KERTASARI CIAMIS")</f>
        <v>KERTASARI CIAMIS</v>
      </c>
      <c r="D643" s="94">
        <f>IFERROR(__xludf.DUMMYFUNCTION("""COMPUTED_VALUE"""),2.0)</f>
        <v>2</v>
      </c>
    </row>
    <row r="644">
      <c r="A644" s="87" t="str">
        <f>IFERROR(__xludf.DUMMYFUNCTION("""COMPUTED_VALUE"""),"ITBISA-ARDUINO-UNO-R3-328P-SMD")</f>
        <v>ITBISA-ARDUINO-UNO-R3-328P-SMD</v>
      </c>
      <c r="B644" s="165">
        <f>IFERROR(__xludf.DUMMYFUNCTION("""COMPUTED_VALUE"""),46125.0)</f>
        <v>46125</v>
      </c>
      <c r="C644" s="165" t="str">
        <f>IFERROR(__xludf.DUMMYFUNCTION("""COMPUTED_VALUE"""),"KYAI KONTONG")</f>
        <v>KYAI KONTONG</v>
      </c>
      <c r="D644" s="94">
        <f>IFERROR(__xludf.DUMMYFUNCTION("""COMPUTED_VALUE"""),1.0)</f>
        <v>1</v>
      </c>
    </row>
    <row r="645">
      <c r="A645" s="87" t="str">
        <f>IFERROR(__xludf.DUMMYFUNCTION("""COMPUTED_VALUE"""),"ITBISA-ARDUINO-UNO-R3-328P-SMD")</f>
        <v>ITBISA-ARDUINO-UNO-R3-328P-SMD</v>
      </c>
      <c r="B645" s="165">
        <f>IFERROR(__xludf.DUMMYFUNCTION("""COMPUTED_VALUE"""),46132.0)</f>
        <v>46132</v>
      </c>
      <c r="C645" s="165" t="str">
        <f>IFERROR(__xludf.DUMMYFUNCTION("""COMPUTED_VALUE"""),"KYAI KONTONG")</f>
        <v>KYAI KONTONG</v>
      </c>
      <c r="D645" s="94">
        <f>IFERROR(__xludf.DUMMYFUNCTION("""COMPUTED_VALUE"""),1.0)</f>
        <v>1</v>
      </c>
    </row>
    <row r="646">
      <c r="A646" s="87" t="str">
        <f>IFERROR(__xludf.DUMMYFUNCTION("""COMPUTED_VALUE"""),"ITBISA-ARDUINO-UNO-R3-328P-SMD")</f>
        <v>ITBISA-ARDUINO-UNO-R3-328P-SMD</v>
      </c>
      <c r="B646" s="165">
        <f>IFERROR(__xludf.DUMMYFUNCTION("""COMPUTED_VALUE"""),46140.0)</f>
        <v>46140</v>
      </c>
      <c r="C646" s="165" t="str">
        <f>IFERROR(__xludf.DUMMYFUNCTION("""COMPUTED_VALUE"""),"KYAI KONTONG")</f>
        <v>KYAI KONTONG</v>
      </c>
      <c r="D646" s="94">
        <f>IFERROR(__xludf.DUMMYFUNCTION("""COMPUTED_VALUE"""),1.0)</f>
        <v>1</v>
      </c>
    </row>
    <row r="647">
      <c r="A647" s="87" t="str">
        <f>IFERROR(__xludf.DUMMYFUNCTION("""COMPUTED_VALUE"""),"ITBISA-ARDUINO-UNO-R3-328P-SMD")</f>
        <v>ITBISA-ARDUINO-UNO-R3-328P-SMD</v>
      </c>
      <c r="B647" s="165">
        <f>IFERROR(__xludf.DUMMYFUNCTION("""COMPUTED_VALUE"""),46150.0)</f>
        <v>46150</v>
      </c>
      <c r="C647" s="165" t="str">
        <f>IFERROR(__xludf.DUMMYFUNCTION("""COMPUTED_VALUE"""),"KYAI KONTONG")</f>
        <v>KYAI KONTONG</v>
      </c>
      <c r="D647" s="94">
        <f>IFERROR(__xludf.DUMMYFUNCTION("""COMPUTED_VALUE"""),1.0)</f>
        <v>1</v>
      </c>
    </row>
    <row r="648">
      <c r="A648" s="87" t="str">
        <f>IFERROR(__xludf.DUMMYFUNCTION("""COMPUTED_VALUE"""),"ITBISA-ARDUINO-UNO-R3-328P-SMD")</f>
        <v>ITBISA-ARDUINO-UNO-R3-328P-SMD</v>
      </c>
      <c r="B648" s="165">
        <f>IFERROR(__xludf.DUMMYFUNCTION("""COMPUTED_VALUE"""),46154.0)</f>
        <v>46154</v>
      </c>
      <c r="C648" s="165" t="str">
        <f>IFERROR(__xludf.DUMMYFUNCTION("""COMPUTED_VALUE"""),"KYAI KONTONG")</f>
        <v>KYAI KONTONG</v>
      </c>
      <c r="D648" s="94">
        <f>IFERROR(__xludf.DUMMYFUNCTION("""COMPUTED_VALUE"""),1.0)</f>
        <v>1</v>
      </c>
    </row>
    <row r="649">
      <c r="A649" s="87" t="str">
        <f>IFERROR(__xludf.DUMMYFUNCTION("""COMPUTED_VALUE"""),"ITBISA-ARDUINO-UNO-R3-328P-SMD")</f>
        <v>ITBISA-ARDUINO-UNO-R3-328P-SMD</v>
      </c>
      <c r="B649" s="165">
        <f>IFERROR(__xludf.DUMMYFUNCTION("""COMPUTED_VALUE"""),46157.0)</f>
        <v>46157</v>
      </c>
      <c r="C649" s="165" t="str">
        <f>IFERROR(__xludf.DUMMYFUNCTION("""COMPUTED_VALUE"""),"KYAI KONTONG")</f>
        <v>KYAI KONTONG</v>
      </c>
      <c r="D649" s="94">
        <f>IFERROR(__xludf.DUMMYFUNCTION("""COMPUTED_VALUE"""),1.0)</f>
        <v>1</v>
      </c>
    </row>
    <row r="650">
      <c r="A650" s="87" t="str">
        <f>IFERROR(__xludf.DUMMYFUNCTION("""COMPUTED_VALUE"""),"ITBISA-ARDUINO-UNO-R3-328P-SMD")</f>
        <v>ITBISA-ARDUINO-UNO-R3-328P-SMD</v>
      </c>
      <c r="B650" s="165">
        <f>IFERROR(__xludf.DUMMYFUNCTION("""COMPUTED_VALUE"""),46158.0)</f>
        <v>46158</v>
      </c>
      <c r="C650" s="165" t="str">
        <f>IFERROR(__xludf.DUMMYFUNCTION("""COMPUTED_VALUE"""),"KYAI KONTONG")</f>
        <v>KYAI KONTONG</v>
      </c>
      <c r="D650" s="94">
        <f>IFERROR(__xludf.DUMMYFUNCTION("""COMPUTED_VALUE"""),8.0)</f>
        <v>8</v>
      </c>
    </row>
    <row r="651">
      <c r="A651" s="87" t="str">
        <f>IFERROR(__xludf.DUMMYFUNCTION("""COMPUTED_VALUE"""),"ITBISA-ARDUINO-UNO-R3-328P-SMD")</f>
        <v>ITBISA-ARDUINO-UNO-R3-328P-SMD</v>
      </c>
      <c r="B651" s="165">
        <f>IFERROR(__xludf.DUMMYFUNCTION("""COMPUTED_VALUE"""),46162.0)</f>
        <v>46162</v>
      </c>
      <c r="C651" s="165" t="str">
        <f>IFERROR(__xludf.DUMMYFUNCTION("""COMPUTED_VALUE"""),"KYAI KONTONG")</f>
        <v>KYAI KONTONG</v>
      </c>
      <c r="D651" s="94">
        <f>IFERROR(__xludf.DUMMYFUNCTION("""COMPUTED_VALUE"""),1.0)</f>
        <v>1</v>
      </c>
    </row>
    <row r="652">
      <c r="A652" s="87" t="str">
        <f>IFERROR(__xludf.DUMMYFUNCTION("""COMPUTED_VALUE"""),"ITBISA-ARDUINO-UNO-R3-328P-SMD")</f>
        <v>ITBISA-ARDUINO-UNO-R3-328P-SMD</v>
      </c>
      <c r="B652" s="165">
        <f>IFERROR(__xludf.DUMMYFUNCTION("""COMPUTED_VALUE"""),46167.0)</f>
        <v>46167</v>
      </c>
      <c r="C652" s="165" t="str">
        <f>IFERROR(__xludf.DUMMYFUNCTION("""COMPUTED_VALUE"""),"KYAI KONTONG")</f>
        <v>KYAI KONTONG</v>
      </c>
      <c r="D652" s="94">
        <f>IFERROR(__xludf.DUMMYFUNCTION("""COMPUTED_VALUE"""),1.0)</f>
        <v>1</v>
      </c>
    </row>
    <row r="653">
      <c r="A653" s="87" t="str">
        <f>IFERROR(__xludf.DUMMYFUNCTION("""COMPUTED_VALUE"""),"ITBISA-ARDUINO-UNO-R3-328P-SMD")</f>
        <v>ITBISA-ARDUINO-UNO-R3-328P-SMD</v>
      </c>
      <c r="B653" s="165">
        <f>IFERROR(__xludf.DUMMYFUNCTION("""COMPUTED_VALUE"""),46167.0)</f>
        <v>46167</v>
      </c>
      <c r="C653" s="165" t="str">
        <f>IFERROR(__xludf.DUMMYFUNCTION("""COMPUTED_VALUE"""),"KYAI KONTONG")</f>
        <v>KYAI KONTONG</v>
      </c>
      <c r="D653" s="94">
        <f>IFERROR(__xludf.DUMMYFUNCTION("""COMPUTED_VALUE"""),1.0)</f>
        <v>1</v>
      </c>
    </row>
    <row r="654">
      <c r="A654" s="87" t="str">
        <f>IFERROR(__xludf.DUMMYFUNCTION("""COMPUTED_VALUE"""),"ITBISA-ARDUINO-UNO-R3-328P-SMD")</f>
        <v>ITBISA-ARDUINO-UNO-R3-328P-SMD</v>
      </c>
      <c r="B654" s="165">
        <f>IFERROR(__xludf.DUMMYFUNCTION("""COMPUTED_VALUE"""),46167.0)</f>
        <v>46167</v>
      </c>
      <c r="C654" s="165" t="str">
        <f>IFERROR(__xludf.DUMMYFUNCTION("""COMPUTED_VALUE"""),"KYAI KONTONG")</f>
        <v>KYAI KONTONG</v>
      </c>
      <c r="D654" s="94">
        <f>IFERROR(__xludf.DUMMYFUNCTION("""COMPUTED_VALUE"""),4.0)</f>
        <v>4</v>
      </c>
    </row>
    <row r="655">
      <c r="A655" s="87" t="str">
        <f>IFERROR(__xludf.DUMMYFUNCTION("""COMPUTED_VALUE"""),"ITBISA-ARDUINO-UNO-R3-328P-SMD")</f>
        <v>ITBISA-ARDUINO-UNO-R3-328P-SMD</v>
      </c>
      <c r="B655" s="165">
        <f>IFERROR(__xludf.DUMMYFUNCTION("""COMPUTED_VALUE"""),46168.0)</f>
        <v>46168</v>
      </c>
      <c r="C655" s="165" t="str">
        <f>IFERROR(__xludf.DUMMYFUNCTION("""COMPUTED_VALUE"""),"KYAI KONTONG")</f>
        <v>KYAI KONTONG</v>
      </c>
      <c r="D655" s="94">
        <f>IFERROR(__xludf.DUMMYFUNCTION("""COMPUTED_VALUE"""),6.0)</f>
        <v>6</v>
      </c>
    </row>
    <row r="656">
      <c r="A656" s="87" t="str">
        <f>IFERROR(__xludf.DUMMYFUNCTION("""COMPUTED_VALUE"""),"ITBISA-ARDUINO-UNO-R3-328P-SMD")</f>
        <v>ITBISA-ARDUINO-UNO-R3-328P-SMD</v>
      </c>
      <c r="B656" s="165">
        <f>IFERROR(__xludf.DUMMYFUNCTION("""COMPUTED_VALUE"""),46170.0)</f>
        <v>46170</v>
      </c>
      <c r="C656" s="165" t="str">
        <f>IFERROR(__xludf.DUMMYFUNCTION("""COMPUTED_VALUE"""),"KYAI KONTONG")</f>
        <v>KYAI KONTONG</v>
      </c>
      <c r="D656" s="94">
        <f>IFERROR(__xludf.DUMMYFUNCTION("""COMPUTED_VALUE"""),1.0)</f>
        <v>1</v>
      </c>
    </row>
    <row r="657">
      <c r="A657" s="87" t="str">
        <f>IFERROR(__xludf.DUMMYFUNCTION("""COMPUTED_VALUE"""),"ITBISA-ARDUINO-UNO-R3-328P-SMD")</f>
        <v>ITBISA-ARDUINO-UNO-R3-328P-SMD</v>
      </c>
      <c r="B657" s="165">
        <f>IFERROR(__xludf.DUMMYFUNCTION("""COMPUTED_VALUE"""),46177.0)</f>
        <v>46177</v>
      </c>
      <c r="C657" s="165" t="str">
        <f>IFERROR(__xludf.DUMMYFUNCTION("""COMPUTED_VALUE"""),"KYAI KONTONG")</f>
        <v>KYAI KONTONG</v>
      </c>
      <c r="D657" s="94">
        <f>IFERROR(__xludf.DUMMYFUNCTION("""COMPUTED_VALUE"""),1.0)</f>
        <v>1</v>
      </c>
    </row>
    <row r="658">
      <c r="A658" s="87" t="str">
        <f>IFERROR(__xludf.DUMMYFUNCTION("""COMPUTED_VALUE"""),"ITBISA-ARDUINO-UNO-R3-328P-SMD")</f>
        <v>ITBISA-ARDUINO-UNO-R3-328P-SMD</v>
      </c>
      <c r="B658" s="165">
        <f>IFERROR(__xludf.DUMMYFUNCTION("""COMPUTED_VALUE"""),46178.0)</f>
        <v>46178</v>
      </c>
      <c r="C658" s="165" t="str">
        <f>IFERROR(__xludf.DUMMYFUNCTION("""COMPUTED_VALUE"""),"KYAI KONTONG")</f>
        <v>KYAI KONTONG</v>
      </c>
      <c r="D658" s="94">
        <f>IFERROR(__xludf.DUMMYFUNCTION("""COMPUTED_VALUE"""),1.0)</f>
        <v>1</v>
      </c>
    </row>
    <row r="659">
      <c r="A659" s="87" t="str">
        <f>IFERROR(__xludf.DUMMYFUNCTION("""COMPUTED_VALUE"""),"ITBISA-ARDUINO-UNO-R3-328P-SMD")</f>
        <v>ITBISA-ARDUINO-UNO-R3-328P-SMD</v>
      </c>
      <c r="B659" s="165">
        <f>IFERROR(__xludf.DUMMYFUNCTION("""COMPUTED_VALUE"""),46196.0)</f>
        <v>46196</v>
      </c>
      <c r="C659" s="165" t="str">
        <f>IFERROR(__xludf.DUMMYFUNCTION("""COMPUTED_VALUE"""),"KYAI KONTONG")</f>
        <v>KYAI KONTONG</v>
      </c>
      <c r="D659" s="94">
        <f>IFERROR(__xludf.DUMMYFUNCTION("""COMPUTED_VALUE"""),1.0)</f>
        <v>1</v>
      </c>
    </row>
    <row r="660">
      <c r="A660" s="87" t="str">
        <f>IFERROR(__xludf.DUMMYFUNCTION("""COMPUTED_VALUE"""),"ITBISA-BLUETOOTH-MODULE-HC05")</f>
        <v>ITBISA-BLUETOOTH-MODULE-HC05</v>
      </c>
      <c r="B660" s="165">
        <f>IFERROR(__xludf.DUMMYFUNCTION("""COMPUTED_VALUE"""),46025.0)</f>
        <v>46025</v>
      </c>
      <c r="C660" s="165" t="str">
        <f>IFERROR(__xludf.DUMMYFUNCTION("""COMPUTED_VALUE"""),"KYAI KONTONG")</f>
        <v>KYAI KONTONG</v>
      </c>
      <c r="D660" s="94">
        <f>IFERROR(__xludf.DUMMYFUNCTION("""COMPUTED_VALUE"""),1.0)</f>
        <v>1</v>
      </c>
    </row>
    <row r="661">
      <c r="A661" s="87" t="str">
        <f>IFERROR(__xludf.DUMMYFUNCTION("""COMPUTED_VALUE"""),"ITBISA-BLUETOOTH-MODULE-HC05")</f>
        <v>ITBISA-BLUETOOTH-MODULE-HC05</v>
      </c>
      <c r="B661" s="165">
        <f>IFERROR(__xludf.DUMMYFUNCTION("""COMPUTED_VALUE"""),46029.0)</f>
        <v>46029</v>
      </c>
      <c r="C661" s="165" t="str">
        <f>IFERROR(__xludf.DUMMYFUNCTION("""COMPUTED_VALUE"""),"KYAI KONTONG")</f>
        <v>KYAI KONTONG</v>
      </c>
      <c r="D661" s="94">
        <f>IFERROR(__xludf.DUMMYFUNCTION("""COMPUTED_VALUE"""),10.0)</f>
        <v>10</v>
      </c>
    </row>
    <row r="662">
      <c r="A662" s="87" t="str">
        <f>IFERROR(__xludf.DUMMYFUNCTION("""COMPUTED_VALUE"""),"ITBISA-BLUETOOTH-MODULE-HC05")</f>
        <v>ITBISA-BLUETOOTH-MODULE-HC05</v>
      </c>
      <c r="B662" s="165">
        <f>IFERROR(__xludf.DUMMYFUNCTION("""COMPUTED_VALUE"""),46050.0)</f>
        <v>46050</v>
      </c>
      <c r="C662" s="165" t="str">
        <f>IFERROR(__xludf.DUMMYFUNCTION("""COMPUTED_VALUE"""),"KYAI KONTONG")</f>
        <v>KYAI KONTONG</v>
      </c>
      <c r="D662" s="94">
        <f>IFERROR(__xludf.DUMMYFUNCTION("""COMPUTED_VALUE"""),8.0)</f>
        <v>8</v>
      </c>
    </row>
    <row r="663">
      <c r="A663" s="87" t="str">
        <f>IFERROR(__xludf.DUMMYFUNCTION("""COMPUTED_VALUE"""),"ITBISA-BLUETOOTH-MODULE-HC05")</f>
        <v>ITBISA-BLUETOOTH-MODULE-HC05</v>
      </c>
      <c r="B663" s="165">
        <f>IFERROR(__xludf.DUMMYFUNCTION("""COMPUTED_VALUE"""),46068.0)</f>
        <v>46068</v>
      </c>
      <c r="C663" s="165" t="str">
        <f>IFERROR(__xludf.DUMMYFUNCTION("""COMPUTED_VALUE"""),"KERTASARI CIAMIS")</f>
        <v>KERTASARI CIAMIS</v>
      </c>
      <c r="D663" s="94">
        <f>IFERROR(__xludf.DUMMYFUNCTION("""COMPUTED_VALUE"""),1.0)</f>
        <v>1</v>
      </c>
    </row>
    <row r="664">
      <c r="A664" s="87" t="str">
        <f>IFERROR(__xludf.DUMMYFUNCTION("""COMPUTED_VALUE"""),"ITBISA-BLUETOOTH-MODULE-HC05")</f>
        <v>ITBISA-BLUETOOTH-MODULE-HC05</v>
      </c>
      <c r="B664" s="165">
        <f>IFERROR(__xludf.DUMMYFUNCTION("""COMPUTED_VALUE"""),46073.0)</f>
        <v>46073</v>
      </c>
      <c r="C664" s="165" t="str">
        <f>IFERROR(__xludf.DUMMYFUNCTION("""COMPUTED_VALUE"""),"KYAI KONTONG")</f>
        <v>KYAI KONTONG</v>
      </c>
      <c r="D664" s="94">
        <f>IFERROR(__xludf.DUMMYFUNCTION("""COMPUTED_VALUE"""),6.0)</f>
        <v>6</v>
      </c>
    </row>
    <row r="665">
      <c r="A665" s="87" t="str">
        <f>IFERROR(__xludf.DUMMYFUNCTION("""COMPUTED_VALUE"""),"ITBISA-BLUETOOTH-MODULE-HC05")</f>
        <v>ITBISA-BLUETOOTH-MODULE-HC05</v>
      </c>
      <c r="B665" s="165">
        <f>IFERROR(__xludf.DUMMYFUNCTION("""COMPUTED_VALUE"""),46088.0)</f>
        <v>46088</v>
      </c>
      <c r="C665" s="165" t="str">
        <f>IFERROR(__xludf.DUMMYFUNCTION("""COMPUTED_VALUE"""),"KERTASARI CIAMIS")</f>
        <v>KERTASARI CIAMIS</v>
      </c>
      <c r="D665" s="94">
        <f>IFERROR(__xludf.DUMMYFUNCTION("""COMPUTED_VALUE"""),5.0)</f>
        <v>5</v>
      </c>
    </row>
    <row r="666">
      <c r="A666" s="87" t="str">
        <f>IFERROR(__xludf.DUMMYFUNCTION("""COMPUTED_VALUE"""),"ITBISA-BLUETOOTH-MODULE-HC05")</f>
        <v>ITBISA-BLUETOOTH-MODULE-HC05</v>
      </c>
      <c r="B666" s="165">
        <f>IFERROR(__xludf.DUMMYFUNCTION("""COMPUTED_VALUE"""),46189.0)</f>
        <v>46189</v>
      </c>
      <c r="C666" s="165" t="str">
        <f>IFERROR(__xludf.DUMMYFUNCTION("""COMPUTED_VALUE"""),"KYAI KONTONG")</f>
        <v>KYAI KONTONG</v>
      </c>
      <c r="D666" s="94">
        <f>IFERROR(__xludf.DUMMYFUNCTION("""COMPUTED_VALUE"""),1.0)</f>
        <v>1</v>
      </c>
    </row>
    <row r="667">
      <c r="A667" s="87" t="str">
        <f>IFERROR(__xludf.DUMMYFUNCTION("""COMPUTED_VALUE"""),"ITBISA-BLUETOOTH-MODULE-HC05")</f>
        <v>ITBISA-BLUETOOTH-MODULE-HC05</v>
      </c>
      <c r="B667" s="165">
        <f>IFERROR(__xludf.DUMMYFUNCTION("""COMPUTED_VALUE"""),46189.0)</f>
        <v>46189</v>
      </c>
      <c r="C667" s="165" t="str">
        <f>IFERROR(__xludf.DUMMYFUNCTION("""COMPUTED_VALUE"""),"KYAI KONTONG")</f>
        <v>KYAI KONTONG</v>
      </c>
      <c r="D667" s="94">
        <f>IFERROR(__xludf.DUMMYFUNCTION("""COMPUTED_VALUE"""),1.0)</f>
        <v>1</v>
      </c>
    </row>
    <row r="668">
      <c r="A668" s="87" t="str">
        <f>IFERROR(__xludf.DUMMYFUNCTION("""COMPUTED_VALUE"""),"ITBISA-BLUETOOTH-MODULE-HC05")</f>
        <v>ITBISA-BLUETOOTH-MODULE-HC05</v>
      </c>
      <c r="B668" s="165">
        <f>IFERROR(__xludf.DUMMYFUNCTION("""COMPUTED_VALUE"""),46196.0)</f>
        <v>46196</v>
      </c>
      <c r="C668" s="165" t="str">
        <f>IFERROR(__xludf.DUMMYFUNCTION("""COMPUTED_VALUE"""),"KYAI KONTONG")</f>
        <v>KYAI KONTONG</v>
      </c>
      <c r="D668" s="94">
        <f>IFERROR(__xludf.DUMMYFUNCTION("""COMPUTED_VALUE"""),1.0)</f>
        <v>1</v>
      </c>
    </row>
    <row r="669">
      <c r="A669" s="87" t="str">
        <f>IFERROR(__xludf.DUMMYFUNCTION("""COMPUTED_VALUE"""),"ITBISA-BREADBOARD-830HOLE-MB102")</f>
        <v>ITBISA-BREADBOARD-830HOLE-MB102</v>
      </c>
      <c r="B669" s="165">
        <f>IFERROR(__xludf.DUMMYFUNCTION("""COMPUTED_VALUE"""),46037.0)</f>
        <v>46037</v>
      </c>
      <c r="C669" s="165" t="str">
        <f>IFERROR(__xludf.DUMMYFUNCTION("""COMPUTED_VALUE"""),"KYAI KONTONG")</f>
        <v>KYAI KONTONG</v>
      </c>
      <c r="D669" s="94">
        <f>IFERROR(__xludf.DUMMYFUNCTION("""COMPUTED_VALUE"""),1.0)</f>
        <v>1</v>
      </c>
    </row>
    <row r="670">
      <c r="A670" s="87" t="str">
        <f>IFERROR(__xludf.DUMMYFUNCTION("""COMPUTED_VALUE"""),"ITBISA-BREADBOARD-830HOLE-MB102")</f>
        <v>ITBISA-BREADBOARD-830HOLE-MB102</v>
      </c>
      <c r="B670" s="165">
        <f>IFERROR(__xludf.DUMMYFUNCTION("""COMPUTED_VALUE"""),46038.0)</f>
        <v>46038</v>
      </c>
      <c r="C670" s="165" t="str">
        <f>IFERROR(__xludf.DUMMYFUNCTION("""COMPUTED_VALUE"""),"KERTASARI CIAMIS")</f>
        <v>KERTASARI CIAMIS</v>
      </c>
      <c r="D670" s="94">
        <f>IFERROR(__xludf.DUMMYFUNCTION("""COMPUTED_VALUE"""),1.0)</f>
        <v>1</v>
      </c>
    </row>
    <row r="671">
      <c r="A671" s="87" t="str">
        <f>IFERROR(__xludf.DUMMYFUNCTION("""COMPUTED_VALUE"""),"ITBISA-BREADBOARD-830HOLE-MB102")</f>
        <v>ITBISA-BREADBOARD-830HOLE-MB102</v>
      </c>
      <c r="B671" s="165">
        <f>IFERROR(__xludf.DUMMYFUNCTION("""COMPUTED_VALUE"""),46050.0)</f>
        <v>46050</v>
      </c>
      <c r="C671" s="165" t="str">
        <f>IFERROR(__xludf.DUMMYFUNCTION("""COMPUTED_VALUE"""),"KYAI KONTONG")</f>
        <v>KYAI KONTONG</v>
      </c>
      <c r="D671" s="94">
        <f>IFERROR(__xludf.DUMMYFUNCTION("""COMPUTED_VALUE"""),2.0)</f>
        <v>2</v>
      </c>
    </row>
    <row r="672">
      <c r="A672" s="87" t="str">
        <f>IFERROR(__xludf.DUMMYFUNCTION("""COMPUTED_VALUE"""),"ITBISA-BREADBOARD-830HOLE-MB102")</f>
        <v>ITBISA-BREADBOARD-830HOLE-MB102</v>
      </c>
      <c r="B672" s="165">
        <f>IFERROR(__xludf.DUMMYFUNCTION("""COMPUTED_VALUE"""),46056.0)</f>
        <v>46056</v>
      </c>
      <c r="C672" s="165" t="str">
        <f>IFERROR(__xludf.DUMMYFUNCTION("""COMPUTED_VALUE"""),"KYAI KONTONG")</f>
        <v>KYAI KONTONG</v>
      </c>
      <c r="D672" s="94">
        <f>IFERROR(__xludf.DUMMYFUNCTION("""COMPUTED_VALUE"""),1.0)</f>
        <v>1</v>
      </c>
    </row>
    <row r="673">
      <c r="A673" s="87" t="str">
        <f>IFERROR(__xludf.DUMMYFUNCTION("""COMPUTED_VALUE"""),"ITBISA-BREADBOARD-830HOLE-MB102")</f>
        <v>ITBISA-BREADBOARD-830HOLE-MB102</v>
      </c>
      <c r="B673" s="165">
        <f>IFERROR(__xludf.DUMMYFUNCTION("""COMPUTED_VALUE"""),46087.0)</f>
        <v>46087</v>
      </c>
      <c r="C673" s="165" t="str">
        <f>IFERROR(__xludf.DUMMYFUNCTION("""COMPUTED_VALUE"""),"KYAI KONTONG")</f>
        <v>KYAI KONTONG</v>
      </c>
      <c r="D673" s="94">
        <f>IFERROR(__xludf.DUMMYFUNCTION("""COMPUTED_VALUE"""),1.0)</f>
        <v>1</v>
      </c>
    </row>
    <row r="674">
      <c r="A674" s="87" t="str">
        <f>IFERROR(__xludf.DUMMYFUNCTION("""COMPUTED_VALUE"""),"ITBISA-BREADBOARD-830HOLE-MB102")</f>
        <v>ITBISA-BREADBOARD-830HOLE-MB102</v>
      </c>
      <c r="B674" s="165">
        <f>IFERROR(__xludf.DUMMYFUNCTION("""COMPUTED_VALUE"""),46114.0)</f>
        <v>46114</v>
      </c>
      <c r="C674" s="165" t="str">
        <f>IFERROR(__xludf.DUMMYFUNCTION("""COMPUTED_VALUE"""),"KYAI KONTONG")</f>
        <v>KYAI KONTONG</v>
      </c>
      <c r="D674" s="94">
        <f>IFERROR(__xludf.DUMMYFUNCTION("""COMPUTED_VALUE"""),1.0)</f>
        <v>1</v>
      </c>
    </row>
    <row r="675">
      <c r="A675" s="87" t="str">
        <f>IFERROR(__xludf.DUMMYFUNCTION("""COMPUTED_VALUE"""),"ITBISA-BREADBOARD-830HOLE-MB102")</f>
        <v>ITBISA-BREADBOARD-830HOLE-MB102</v>
      </c>
      <c r="B675" s="165">
        <f>IFERROR(__xludf.DUMMYFUNCTION("""COMPUTED_VALUE"""),46117.0)</f>
        <v>46117</v>
      </c>
      <c r="C675" s="165" t="str">
        <f>IFERROR(__xludf.DUMMYFUNCTION("""COMPUTED_VALUE"""),"KYAI KONTONG")</f>
        <v>KYAI KONTONG</v>
      </c>
      <c r="D675" s="94">
        <f>IFERROR(__xludf.DUMMYFUNCTION("""COMPUTED_VALUE"""),1.0)</f>
        <v>1</v>
      </c>
    </row>
    <row r="676">
      <c r="A676" s="87" t="str">
        <f>IFERROR(__xludf.DUMMYFUNCTION("""COMPUTED_VALUE"""),"ITBISA-BREADBOARD-830HOLE-MB102")</f>
        <v>ITBISA-BREADBOARD-830HOLE-MB102</v>
      </c>
      <c r="B676" s="165">
        <f>IFERROR(__xludf.DUMMYFUNCTION("""COMPUTED_VALUE"""),46119.0)</f>
        <v>46119</v>
      </c>
      <c r="C676" s="165" t="str">
        <f>IFERROR(__xludf.DUMMYFUNCTION("""COMPUTED_VALUE"""),"KYAI KONTONG")</f>
        <v>KYAI KONTONG</v>
      </c>
      <c r="D676" s="94">
        <f>IFERROR(__xludf.DUMMYFUNCTION("""COMPUTED_VALUE"""),1.0)</f>
        <v>1</v>
      </c>
    </row>
    <row r="677">
      <c r="A677" s="87" t="str">
        <f>IFERROR(__xludf.DUMMYFUNCTION("""COMPUTED_VALUE"""),"ITBISA-BREADBOARD-830HOLE-MB102")</f>
        <v>ITBISA-BREADBOARD-830HOLE-MB102</v>
      </c>
      <c r="B677" s="165">
        <f>IFERROR(__xludf.DUMMYFUNCTION("""COMPUTED_VALUE"""),46132.0)</f>
        <v>46132</v>
      </c>
      <c r="C677" s="165" t="str">
        <f>IFERROR(__xludf.DUMMYFUNCTION("""COMPUTED_VALUE"""),"KYAI KONTONG")</f>
        <v>KYAI KONTONG</v>
      </c>
      <c r="D677" s="94">
        <f>IFERROR(__xludf.DUMMYFUNCTION("""COMPUTED_VALUE"""),1.0)</f>
        <v>1</v>
      </c>
    </row>
    <row r="678">
      <c r="A678" s="87" t="str">
        <f>IFERROR(__xludf.DUMMYFUNCTION("""COMPUTED_VALUE"""),"ITBISA-BREADBOARD-830HOLE-MB102")</f>
        <v>ITBISA-BREADBOARD-830HOLE-MB102</v>
      </c>
      <c r="B678" s="165">
        <f>IFERROR(__xludf.DUMMYFUNCTION("""COMPUTED_VALUE"""),46134.0)</f>
        <v>46134</v>
      </c>
      <c r="C678" s="165" t="str">
        <f>IFERROR(__xludf.DUMMYFUNCTION("""COMPUTED_VALUE"""),"KYAI KONTONG")</f>
        <v>KYAI KONTONG</v>
      </c>
      <c r="D678" s="94">
        <f>IFERROR(__xludf.DUMMYFUNCTION("""COMPUTED_VALUE"""),1.0)</f>
        <v>1</v>
      </c>
    </row>
    <row r="679">
      <c r="A679" s="87" t="str">
        <f>IFERROR(__xludf.DUMMYFUNCTION("""COMPUTED_VALUE"""),"ITBISA-BREADBOARD-830HOLE-MB102")</f>
        <v>ITBISA-BREADBOARD-830HOLE-MB102</v>
      </c>
      <c r="B679" s="165">
        <f>IFERROR(__xludf.DUMMYFUNCTION("""COMPUTED_VALUE"""),46142.0)</f>
        <v>46142</v>
      </c>
      <c r="C679" s="165" t="str">
        <f>IFERROR(__xludf.DUMMYFUNCTION("""COMPUTED_VALUE"""),"KYAI KONTONG")</f>
        <v>KYAI KONTONG</v>
      </c>
      <c r="D679" s="94">
        <f>IFERROR(__xludf.DUMMYFUNCTION("""COMPUTED_VALUE"""),1.0)</f>
        <v>1</v>
      </c>
    </row>
    <row r="680">
      <c r="A680" s="87" t="str">
        <f>IFERROR(__xludf.DUMMYFUNCTION("""COMPUTED_VALUE"""),"ITBISA-BREADBOARD-830HOLE-MB102")</f>
        <v>ITBISA-BREADBOARD-830HOLE-MB102</v>
      </c>
      <c r="B680" s="165">
        <f>IFERROR(__xludf.DUMMYFUNCTION("""COMPUTED_VALUE"""),46152.0)</f>
        <v>46152</v>
      </c>
      <c r="C680" s="165" t="str">
        <f>IFERROR(__xludf.DUMMYFUNCTION("""COMPUTED_VALUE"""),"KYAI KONTONG")</f>
        <v>KYAI KONTONG</v>
      </c>
      <c r="D680" s="94">
        <f>IFERROR(__xludf.DUMMYFUNCTION("""COMPUTED_VALUE"""),1.0)</f>
        <v>1</v>
      </c>
    </row>
    <row r="681">
      <c r="A681" s="87" t="str">
        <f>IFERROR(__xludf.DUMMYFUNCTION("""COMPUTED_VALUE"""),"ITBISA-BREADBOARD-830HOLE-MB102")</f>
        <v>ITBISA-BREADBOARD-830HOLE-MB102</v>
      </c>
      <c r="B681" s="165">
        <f>IFERROR(__xludf.DUMMYFUNCTION("""COMPUTED_VALUE"""),46154.0)</f>
        <v>46154</v>
      </c>
      <c r="C681" s="165" t="str">
        <f>IFERROR(__xludf.DUMMYFUNCTION("""COMPUTED_VALUE"""),"KYAI KONTONG")</f>
        <v>KYAI KONTONG</v>
      </c>
      <c r="D681" s="94">
        <f>IFERROR(__xludf.DUMMYFUNCTION("""COMPUTED_VALUE"""),1.0)</f>
        <v>1</v>
      </c>
    </row>
    <row r="682">
      <c r="A682" s="87" t="str">
        <f>IFERROR(__xludf.DUMMYFUNCTION("""COMPUTED_VALUE"""),"ITBISA-BREADBOARD-830HOLE-MB102")</f>
        <v>ITBISA-BREADBOARD-830HOLE-MB102</v>
      </c>
      <c r="B682" s="165">
        <f>IFERROR(__xludf.DUMMYFUNCTION("""COMPUTED_VALUE"""),46154.0)</f>
        <v>46154</v>
      </c>
      <c r="C682" s="165" t="str">
        <f>IFERROR(__xludf.DUMMYFUNCTION("""COMPUTED_VALUE"""),"KYAI KONTONG")</f>
        <v>KYAI KONTONG</v>
      </c>
      <c r="D682" s="94">
        <f>IFERROR(__xludf.DUMMYFUNCTION("""COMPUTED_VALUE"""),1.0)</f>
        <v>1</v>
      </c>
    </row>
    <row r="683">
      <c r="A683" s="87" t="str">
        <f>IFERROR(__xludf.DUMMYFUNCTION("""COMPUTED_VALUE"""),"ITBISA-BREADBOARD-830HOLE-MB102")</f>
        <v>ITBISA-BREADBOARD-830HOLE-MB102</v>
      </c>
      <c r="B683" s="165">
        <f>IFERROR(__xludf.DUMMYFUNCTION("""COMPUTED_VALUE"""),46155.0)</f>
        <v>46155</v>
      </c>
      <c r="C683" s="165" t="str">
        <f>IFERROR(__xludf.DUMMYFUNCTION("""COMPUTED_VALUE"""),"KYAI KONTONG")</f>
        <v>KYAI KONTONG</v>
      </c>
      <c r="D683" s="94">
        <f>IFERROR(__xludf.DUMMYFUNCTION("""COMPUTED_VALUE"""),1.0)</f>
        <v>1</v>
      </c>
    </row>
    <row r="684">
      <c r="A684" s="87" t="str">
        <f>IFERROR(__xludf.DUMMYFUNCTION("""COMPUTED_VALUE"""),"ITBISA-BREADBOARD-830HOLE-MB102")</f>
        <v>ITBISA-BREADBOARD-830HOLE-MB102</v>
      </c>
      <c r="B684" s="165">
        <f>IFERROR(__xludf.DUMMYFUNCTION("""COMPUTED_VALUE"""),46157.0)</f>
        <v>46157</v>
      </c>
      <c r="C684" s="165" t="str">
        <f>IFERROR(__xludf.DUMMYFUNCTION("""COMPUTED_VALUE"""),"KYAI KONTONG")</f>
        <v>KYAI KONTONG</v>
      </c>
      <c r="D684" s="94">
        <f>IFERROR(__xludf.DUMMYFUNCTION("""COMPUTED_VALUE"""),1.0)</f>
        <v>1</v>
      </c>
    </row>
    <row r="685">
      <c r="A685" s="87" t="str">
        <f>IFERROR(__xludf.DUMMYFUNCTION("""COMPUTED_VALUE"""),"ITBISA-BREADBOARD-830HOLE-MB102")</f>
        <v>ITBISA-BREADBOARD-830HOLE-MB102</v>
      </c>
      <c r="B685" s="165">
        <f>IFERROR(__xludf.DUMMYFUNCTION("""COMPUTED_VALUE"""),46160.0)</f>
        <v>46160</v>
      </c>
      <c r="C685" s="165" t="str">
        <f>IFERROR(__xludf.DUMMYFUNCTION("""COMPUTED_VALUE"""),"KYAI KONTONG")</f>
        <v>KYAI KONTONG</v>
      </c>
      <c r="D685" s="94">
        <f>IFERROR(__xludf.DUMMYFUNCTION("""COMPUTED_VALUE"""),1.0)</f>
        <v>1</v>
      </c>
    </row>
    <row r="686">
      <c r="A686" s="87" t="str">
        <f>IFERROR(__xludf.DUMMYFUNCTION("""COMPUTED_VALUE"""),"ITBISA-BREADBOARD-830HOLE-MB102")</f>
        <v>ITBISA-BREADBOARD-830HOLE-MB102</v>
      </c>
      <c r="B686" s="165">
        <f>IFERROR(__xludf.DUMMYFUNCTION("""COMPUTED_VALUE"""),46162.0)</f>
        <v>46162</v>
      </c>
      <c r="C686" s="165" t="str">
        <f>IFERROR(__xludf.DUMMYFUNCTION("""COMPUTED_VALUE"""),"KYAI KONTONG")</f>
        <v>KYAI KONTONG</v>
      </c>
      <c r="D686" s="94">
        <f>IFERROR(__xludf.DUMMYFUNCTION("""COMPUTED_VALUE"""),1.0)</f>
        <v>1</v>
      </c>
    </row>
    <row r="687">
      <c r="A687" s="87" t="str">
        <f>IFERROR(__xludf.DUMMYFUNCTION("""COMPUTED_VALUE"""),"ITBISA-BREADBOARD-830HOLE-MB102")</f>
        <v>ITBISA-BREADBOARD-830HOLE-MB102</v>
      </c>
      <c r="B687" s="165">
        <f>IFERROR(__xludf.DUMMYFUNCTION("""COMPUTED_VALUE"""),46163.0)</f>
        <v>46163</v>
      </c>
      <c r="C687" s="165" t="str">
        <f>IFERROR(__xludf.DUMMYFUNCTION("""COMPUTED_VALUE"""),"KYAI KONTONG")</f>
        <v>KYAI KONTONG</v>
      </c>
      <c r="D687" s="94">
        <f>IFERROR(__xludf.DUMMYFUNCTION("""COMPUTED_VALUE"""),1.0)</f>
        <v>1</v>
      </c>
    </row>
    <row r="688">
      <c r="A688" s="87" t="str">
        <f>IFERROR(__xludf.DUMMYFUNCTION("""COMPUTED_VALUE"""),"ITBISA-BREADBOARD-830HOLE-MB102")</f>
        <v>ITBISA-BREADBOARD-830HOLE-MB102</v>
      </c>
      <c r="B688" s="165">
        <f>IFERROR(__xludf.DUMMYFUNCTION("""COMPUTED_VALUE"""),46164.0)</f>
        <v>46164</v>
      </c>
      <c r="C688" s="165" t="str">
        <f>IFERROR(__xludf.DUMMYFUNCTION("""COMPUTED_VALUE"""),"KYAI KONTONG")</f>
        <v>KYAI KONTONG</v>
      </c>
      <c r="D688" s="94">
        <f>IFERROR(__xludf.DUMMYFUNCTION("""COMPUTED_VALUE"""),2.0)</f>
        <v>2</v>
      </c>
    </row>
    <row r="689">
      <c r="A689" s="87" t="str">
        <f>IFERROR(__xludf.DUMMYFUNCTION("""COMPUTED_VALUE"""),"ITBISA-BREADBOARD-830HOLE-MB102")</f>
        <v>ITBISA-BREADBOARD-830HOLE-MB102</v>
      </c>
      <c r="B689" s="165">
        <f>IFERROR(__xludf.DUMMYFUNCTION("""COMPUTED_VALUE"""),46167.0)</f>
        <v>46167</v>
      </c>
      <c r="C689" s="165" t="str">
        <f>IFERROR(__xludf.DUMMYFUNCTION("""COMPUTED_VALUE"""),"KYAI KONTONG")</f>
        <v>KYAI KONTONG</v>
      </c>
      <c r="D689" s="94">
        <f>IFERROR(__xludf.DUMMYFUNCTION("""COMPUTED_VALUE"""),1.0)</f>
        <v>1</v>
      </c>
    </row>
    <row r="690">
      <c r="A690" s="87" t="str">
        <f>IFERROR(__xludf.DUMMYFUNCTION("""COMPUTED_VALUE"""),"ITBISA-BREADBOARD-830HOLE-MB102")</f>
        <v>ITBISA-BREADBOARD-830HOLE-MB102</v>
      </c>
      <c r="B690" s="165">
        <f>IFERROR(__xludf.DUMMYFUNCTION("""COMPUTED_VALUE"""),46167.0)</f>
        <v>46167</v>
      </c>
      <c r="C690" s="165" t="str">
        <f>IFERROR(__xludf.DUMMYFUNCTION("""COMPUTED_VALUE"""),"KYAI KONTONG")</f>
        <v>KYAI KONTONG</v>
      </c>
      <c r="D690" s="94">
        <f>IFERROR(__xludf.DUMMYFUNCTION("""COMPUTED_VALUE"""),1.0)</f>
        <v>1</v>
      </c>
    </row>
    <row r="691">
      <c r="A691" s="87" t="str">
        <f>IFERROR(__xludf.DUMMYFUNCTION("""COMPUTED_VALUE"""),"ITBISA-BREADBOARD-830HOLE-MB102")</f>
        <v>ITBISA-BREADBOARD-830HOLE-MB102</v>
      </c>
      <c r="B691" s="165">
        <f>IFERROR(__xludf.DUMMYFUNCTION("""COMPUTED_VALUE"""),46172.0)</f>
        <v>46172</v>
      </c>
      <c r="C691" s="165" t="str">
        <f>IFERROR(__xludf.DUMMYFUNCTION("""COMPUTED_VALUE"""),"KYAI KONTONG")</f>
        <v>KYAI KONTONG</v>
      </c>
      <c r="D691" s="94">
        <f>IFERROR(__xludf.DUMMYFUNCTION("""COMPUTED_VALUE"""),1.0)</f>
        <v>1</v>
      </c>
    </row>
    <row r="692">
      <c r="A692" s="87" t="str">
        <f>IFERROR(__xludf.DUMMYFUNCTION("""COMPUTED_VALUE"""),"ITBISA-BREADBOARD-830HOLE-MB102")</f>
        <v>ITBISA-BREADBOARD-830HOLE-MB102</v>
      </c>
      <c r="B692" s="165">
        <f>IFERROR(__xludf.DUMMYFUNCTION("""COMPUTED_VALUE"""),46173.0)</f>
        <v>46173</v>
      </c>
      <c r="C692" s="165" t="str">
        <f>IFERROR(__xludf.DUMMYFUNCTION("""COMPUTED_VALUE"""),"KYAI KONTONG")</f>
        <v>KYAI KONTONG</v>
      </c>
      <c r="D692" s="94">
        <f>IFERROR(__xludf.DUMMYFUNCTION("""COMPUTED_VALUE"""),1.0)</f>
        <v>1</v>
      </c>
    </row>
    <row r="693">
      <c r="A693" s="87" t="str">
        <f>IFERROR(__xludf.DUMMYFUNCTION("""COMPUTED_VALUE"""),"ITBISA-BREADBOARD-830HOLE-MB102")</f>
        <v>ITBISA-BREADBOARD-830HOLE-MB102</v>
      </c>
      <c r="B693" s="165">
        <f>IFERROR(__xludf.DUMMYFUNCTION("""COMPUTED_VALUE"""),46174.0)</f>
        <v>46174</v>
      </c>
      <c r="C693" s="165" t="str">
        <f>IFERROR(__xludf.DUMMYFUNCTION("""COMPUTED_VALUE"""),"KYAI KONTONG")</f>
        <v>KYAI KONTONG</v>
      </c>
      <c r="D693" s="94">
        <f>IFERROR(__xludf.DUMMYFUNCTION("""COMPUTED_VALUE"""),2.0)</f>
        <v>2</v>
      </c>
    </row>
    <row r="694">
      <c r="A694" s="87" t="str">
        <f>IFERROR(__xludf.DUMMYFUNCTION("""COMPUTED_VALUE"""),"ITBISA-BREADBOARD-830HOLE-MB102")</f>
        <v>ITBISA-BREADBOARD-830HOLE-MB102</v>
      </c>
      <c r="B694" s="165">
        <f>IFERROR(__xludf.DUMMYFUNCTION("""COMPUTED_VALUE"""),46175.0)</f>
        <v>46175</v>
      </c>
      <c r="C694" s="165" t="str">
        <f>IFERROR(__xludf.DUMMYFUNCTION("""COMPUTED_VALUE"""),"KYAI KONTONG")</f>
        <v>KYAI KONTONG</v>
      </c>
      <c r="D694" s="94">
        <f>IFERROR(__xludf.DUMMYFUNCTION("""COMPUTED_VALUE"""),1.0)</f>
        <v>1</v>
      </c>
    </row>
    <row r="695">
      <c r="A695" s="87" t="str">
        <f>IFERROR(__xludf.DUMMYFUNCTION("""COMPUTED_VALUE"""),"ITBISA-BREADBOARD-830HOLE-MB102")</f>
        <v>ITBISA-BREADBOARD-830HOLE-MB102</v>
      </c>
      <c r="B695" s="165">
        <f>IFERROR(__xludf.DUMMYFUNCTION("""COMPUTED_VALUE"""),46175.0)</f>
        <v>46175</v>
      </c>
      <c r="C695" s="165" t="str">
        <f>IFERROR(__xludf.DUMMYFUNCTION("""COMPUTED_VALUE"""),"KYAI KONTONG")</f>
        <v>KYAI KONTONG</v>
      </c>
      <c r="D695" s="94">
        <f>IFERROR(__xludf.DUMMYFUNCTION("""COMPUTED_VALUE"""),6.0)</f>
        <v>6</v>
      </c>
    </row>
    <row r="696">
      <c r="A696" s="87" t="str">
        <f>IFERROR(__xludf.DUMMYFUNCTION("""COMPUTED_VALUE"""),"ITBISA-BREADBOARD-830HOLE-MB102")</f>
        <v>ITBISA-BREADBOARD-830HOLE-MB102</v>
      </c>
      <c r="B696" s="165">
        <f>IFERROR(__xludf.DUMMYFUNCTION("""COMPUTED_VALUE"""),46176.0)</f>
        <v>46176</v>
      </c>
      <c r="C696" s="165" t="str">
        <f>IFERROR(__xludf.DUMMYFUNCTION("""COMPUTED_VALUE"""),"KYAI KONTONG")</f>
        <v>KYAI KONTONG</v>
      </c>
      <c r="D696" s="94">
        <f>IFERROR(__xludf.DUMMYFUNCTION("""COMPUTED_VALUE"""),1.0)</f>
        <v>1</v>
      </c>
    </row>
    <row r="697">
      <c r="A697" s="87" t="str">
        <f>IFERROR(__xludf.DUMMYFUNCTION("""COMPUTED_VALUE"""),"ITBISA-BREADBOARD-830HOLE-MB102")</f>
        <v>ITBISA-BREADBOARD-830HOLE-MB102</v>
      </c>
      <c r="B697" s="165">
        <f>IFERROR(__xludf.DUMMYFUNCTION("""COMPUTED_VALUE"""),46177.0)</f>
        <v>46177</v>
      </c>
      <c r="C697" s="165" t="str">
        <f>IFERROR(__xludf.DUMMYFUNCTION("""COMPUTED_VALUE"""),"KYAI KONTONG")</f>
        <v>KYAI KONTONG</v>
      </c>
      <c r="D697" s="94">
        <f>IFERROR(__xludf.DUMMYFUNCTION("""COMPUTED_VALUE"""),1.0)</f>
        <v>1</v>
      </c>
    </row>
    <row r="698">
      <c r="A698" s="87" t="str">
        <f>IFERROR(__xludf.DUMMYFUNCTION("""COMPUTED_VALUE"""),"ITBISA-BREADBOARD-830HOLE-MB102")</f>
        <v>ITBISA-BREADBOARD-830HOLE-MB102</v>
      </c>
      <c r="B698" s="165">
        <f>IFERROR(__xludf.DUMMYFUNCTION("""COMPUTED_VALUE"""),46177.0)</f>
        <v>46177</v>
      </c>
      <c r="C698" s="165" t="str">
        <f>IFERROR(__xludf.DUMMYFUNCTION("""COMPUTED_VALUE"""),"KYAI KONTONG")</f>
        <v>KYAI KONTONG</v>
      </c>
      <c r="D698" s="94">
        <f>IFERROR(__xludf.DUMMYFUNCTION("""COMPUTED_VALUE"""),1.0)</f>
        <v>1</v>
      </c>
    </row>
    <row r="699">
      <c r="A699" s="87" t="str">
        <f>IFERROR(__xludf.DUMMYFUNCTION("""COMPUTED_VALUE"""),"ITBISA-BREADBOARD-830HOLE-MB102")</f>
        <v>ITBISA-BREADBOARD-830HOLE-MB102</v>
      </c>
      <c r="B699" s="165">
        <f>IFERROR(__xludf.DUMMYFUNCTION("""COMPUTED_VALUE"""),46179.0)</f>
        <v>46179</v>
      </c>
      <c r="C699" s="165" t="str">
        <f>IFERROR(__xludf.DUMMYFUNCTION("""COMPUTED_VALUE"""),"KYAI KONTONG")</f>
        <v>KYAI KONTONG</v>
      </c>
      <c r="D699" s="94">
        <f>IFERROR(__xludf.DUMMYFUNCTION("""COMPUTED_VALUE"""),1.0)</f>
        <v>1</v>
      </c>
    </row>
    <row r="700">
      <c r="A700" s="87" t="str">
        <f>IFERROR(__xludf.DUMMYFUNCTION("""COMPUTED_VALUE"""),"ITBISA-BREADBOARD-830HOLE-MB102")</f>
        <v>ITBISA-BREADBOARD-830HOLE-MB102</v>
      </c>
      <c r="B700" s="165">
        <f>IFERROR(__xludf.DUMMYFUNCTION("""COMPUTED_VALUE"""),46179.0)</f>
        <v>46179</v>
      </c>
      <c r="C700" s="165" t="str">
        <f>IFERROR(__xludf.DUMMYFUNCTION("""COMPUTED_VALUE"""),"KYAI KONTONG")</f>
        <v>KYAI KONTONG</v>
      </c>
      <c r="D700" s="94">
        <f>IFERROR(__xludf.DUMMYFUNCTION("""COMPUTED_VALUE"""),1.0)</f>
        <v>1</v>
      </c>
    </row>
    <row r="701">
      <c r="A701" s="87" t="str">
        <f>IFERROR(__xludf.DUMMYFUNCTION("""COMPUTED_VALUE"""),"ITBISA-BREADBOARD-830HOLE-MB102")</f>
        <v>ITBISA-BREADBOARD-830HOLE-MB102</v>
      </c>
      <c r="B701" s="165">
        <f>IFERROR(__xludf.DUMMYFUNCTION("""COMPUTED_VALUE"""),46179.0)</f>
        <v>46179</v>
      </c>
      <c r="C701" s="165" t="str">
        <f>IFERROR(__xludf.DUMMYFUNCTION("""COMPUTED_VALUE"""),"KYAI KONTONG")</f>
        <v>KYAI KONTONG</v>
      </c>
      <c r="D701" s="94">
        <f>IFERROR(__xludf.DUMMYFUNCTION("""COMPUTED_VALUE"""),1.0)</f>
        <v>1</v>
      </c>
    </row>
    <row r="702">
      <c r="A702" s="87" t="str">
        <f>IFERROR(__xludf.DUMMYFUNCTION("""COMPUTED_VALUE"""),"ITBISA-BREADBOARD-830HOLE-MB102")</f>
        <v>ITBISA-BREADBOARD-830HOLE-MB102</v>
      </c>
      <c r="B702" s="165">
        <f>IFERROR(__xludf.DUMMYFUNCTION("""COMPUTED_VALUE"""),46179.0)</f>
        <v>46179</v>
      </c>
      <c r="C702" s="165" t="str">
        <f>IFERROR(__xludf.DUMMYFUNCTION("""COMPUTED_VALUE"""),"KYAI KONTONG")</f>
        <v>KYAI KONTONG</v>
      </c>
      <c r="D702" s="94">
        <f>IFERROR(__xludf.DUMMYFUNCTION("""COMPUTED_VALUE"""),2.0)</f>
        <v>2</v>
      </c>
    </row>
    <row r="703">
      <c r="A703" s="87" t="str">
        <f>IFERROR(__xludf.DUMMYFUNCTION("""COMPUTED_VALUE"""),"ITBISA-BREADBOARD-830HOLE-MB102")</f>
        <v>ITBISA-BREADBOARD-830HOLE-MB102</v>
      </c>
      <c r="B703" s="165">
        <f>IFERROR(__xludf.DUMMYFUNCTION("""COMPUTED_VALUE"""),46182.0)</f>
        <v>46182</v>
      </c>
      <c r="C703" s="165" t="str">
        <f>IFERROR(__xludf.DUMMYFUNCTION("""COMPUTED_VALUE"""),"KYAI KONTONG")</f>
        <v>KYAI KONTONG</v>
      </c>
      <c r="D703" s="94">
        <f>IFERROR(__xludf.DUMMYFUNCTION("""COMPUTED_VALUE"""),25.0)</f>
        <v>25</v>
      </c>
    </row>
    <row r="704">
      <c r="A704" s="87" t="str">
        <f>IFERROR(__xludf.DUMMYFUNCTION("""COMPUTED_VALUE"""),"ITBISA-BREADBOARD-830HOLE-MB102")</f>
        <v>ITBISA-BREADBOARD-830HOLE-MB102</v>
      </c>
      <c r="B704" s="165">
        <f>IFERROR(__xludf.DUMMYFUNCTION("""COMPUTED_VALUE"""),46183.0)</f>
        <v>46183</v>
      </c>
      <c r="C704" s="165" t="str">
        <f>IFERROR(__xludf.DUMMYFUNCTION("""COMPUTED_VALUE"""),"KYAI KONTONG")</f>
        <v>KYAI KONTONG</v>
      </c>
      <c r="D704" s="94">
        <f>IFERROR(__xludf.DUMMYFUNCTION("""COMPUTED_VALUE"""),1.0)</f>
        <v>1</v>
      </c>
    </row>
    <row r="705">
      <c r="A705" s="87" t="str">
        <f>IFERROR(__xludf.DUMMYFUNCTION("""COMPUTED_VALUE"""),"ITBISA-BREADBOARD-830HOLE-MB102")</f>
        <v>ITBISA-BREADBOARD-830HOLE-MB102</v>
      </c>
      <c r="B705" s="165">
        <f>IFERROR(__xludf.DUMMYFUNCTION("""COMPUTED_VALUE"""),46183.0)</f>
        <v>46183</v>
      </c>
      <c r="C705" s="165" t="str">
        <f>IFERROR(__xludf.DUMMYFUNCTION("""COMPUTED_VALUE"""),"KYAI KONTONG")</f>
        <v>KYAI KONTONG</v>
      </c>
      <c r="D705" s="94">
        <f>IFERROR(__xludf.DUMMYFUNCTION("""COMPUTED_VALUE"""),1.0)</f>
        <v>1</v>
      </c>
    </row>
    <row r="706">
      <c r="A706" s="87" t="str">
        <f>IFERROR(__xludf.DUMMYFUNCTION("""COMPUTED_VALUE"""),"ITBISA-BREADBOARD-830HOLE-MB102")</f>
        <v>ITBISA-BREADBOARD-830HOLE-MB102</v>
      </c>
      <c r="B706" s="165">
        <f>IFERROR(__xludf.DUMMYFUNCTION("""COMPUTED_VALUE"""),46184.0)</f>
        <v>46184</v>
      </c>
      <c r="C706" s="165" t="str">
        <f>IFERROR(__xludf.DUMMYFUNCTION("""COMPUTED_VALUE"""),"KYAI KONTONG")</f>
        <v>KYAI KONTONG</v>
      </c>
      <c r="D706" s="94">
        <f>IFERROR(__xludf.DUMMYFUNCTION("""COMPUTED_VALUE"""),1.0)</f>
        <v>1</v>
      </c>
    </row>
    <row r="707">
      <c r="A707" s="87" t="str">
        <f>IFERROR(__xludf.DUMMYFUNCTION("""COMPUTED_VALUE"""),"ITBISA-BREADBOARD-830HOLE-MB102")</f>
        <v>ITBISA-BREADBOARD-830HOLE-MB102</v>
      </c>
      <c r="B707" s="165">
        <f>IFERROR(__xludf.DUMMYFUNCTION("""COMPUTED_VALUE"""),46184.0)</f>
        <v>46184</v>
      </c>
      <c r="C707" s="165" t="str">
        <f>IFERROR(__xludf.DUMMYFUNCTION("""COMPUTED_VALUE"""),"KYAI KONTONG")</f>
        <v>KYAI KONTONG</v>
      </c>
      <c r="D707" s="94">
        <f>IFERROR(__xludf.DUMMYFUNCTION("""COMPUTED_VALUE"""),1.0)</f>
        <v>1</v>
      </c>
    </row>
    <row r="708">
      <c r="A708" s="87" t="str">
        <f>IFERROR(__xludf.DUMMYFUNCTION("""COMPUTED_VALUE"""),"ITBISA-BREADBOARD-830HOLE-MB102")</f>
        <v>ITBISA-BREADBOARD-830HOLE-MB102</v>
      </c>
      <c r="B708" s="165">
        <f>IFERROR(__xludf.DUMMYFUNCTION("""COMPUTED_VALUE"""),46184.0)</f>
        <v>46184</v>
      </c>
      <c r="C708" s="165" t="str">
        <f>IFERROR(__xludf.DUMMYFUNCTION("""COMPUTED_VALUE"""),"KYAI KONTONG")</f>
        <v>KYAI KONTONG</v>
      </c>
      <c r="D708" s="94">
        <f>IFERROR(__xludf.DUMMYFUNCTION("""COMPUTED_VALUE"""),10.0)</f>
        <v>10</v>
      </c>
    </row>
    <row r="709">
      <c r="A709" s="87" t="str">
        <f>IFERROR(__xludf.DUMMYFUNCTION("""COMPUTED_VALUE"""),"ITBISA-BREADBOARD-830HOLE-MB102")</f>
        <v>ITBISA-BREADBOARD-830HOLE-MB102</v>
      </c>
      <c r="B709" s="165">
        <f>IFERROR(__xludf.DUMMYFUNCTION("""COMPUTED_VALUE"""),46187.0)</f>
        <v>46187</v>
      </c>
      <c r="C709" s="165" t="str">
        <f>IFERROR(__xludf.DUMMYFUNCTION("""COMPUTED_VALUE"""),"KYAI KONTONG")</f>
        <v>KYAI KONTONG</v>
      </c>
      <c r="D709" s="94">
        <f>IFERROR(__xludf.DUMMYFUNCTION("""COMPUTED_VALUE"""),1.0)</f>
        <v>1</v>
      </c>
    </row>
    <row r="710">
      <c r="A710" s="87" t="str">
        <f>IFERROR(__xludf.DUMMYFUNCTION("""COMPUTED_VALUE"""),"ITBISA-BREADBOARD-830HOLE-MB102")</f>
        <v>ITBISA-BREADBOARD-830HOLE-MB102</v>
      </c>
      <c r="B710" s="165">
        <f>IFERROR(__xludf.DUMMYFUNCTION("""COMPUTED_VALUE"""),46188.0)</f>
        <v>46188</v>
      </c>
      <c r="C710" s="165" t="str">
        <f>IFERROR(__xludf.DUMMYFUNCTION("""COMPUTED_VALUE"""),"KYAI KONTONG")</f>
        <v>KYAI KONTONG</v>
      </c>
      <c r="D710" s="94">
        <f>IFERROR(__xludf.DUMMYFUNCTION("""COMPUTED_VALUE"""),25.0)</f>
        <v>25</v>
      </c>
    </row>
    <row r="711">
      <c r="A711" s="87" t="str">
        <f>IFERROR(__xludf.DUMMYFUNCTION("""COMPUTED_VALUE"""),"ITBISA-BREADBOARD-830HOLE-MB102")</f>
        <v>ITBISA-BREADBOARD-830HOLE-MB102</v>
      </c>
      <c r="B711" s="165">
        <f>IFERROR(__xludf.DUMMYFUNCTION("""COMPUTED_VALUE"""),46189.0)</f>
        <v>46189</v>
      </c>
      <c r="C711" s="165" t="str">
        <f>IFERROR(__xludf.DUMMYFUNCTION("""COMPUTED_VALUE"""),"KYAI KONTONG")</f>
        <v>KYAI KONTONG</v>
      </c>
      <c r="D711" s="94">
        <f>IFERROR(__xludf.DUMMYFUNCTION("""COMPUTED_VALUE"""),1.0)</f>
        <v>1</v>
      </c>
    </row>
    <row r="712">
      <c r="A712" s="87" t="str">
        <f>IFERROR(__xludf.DUMMYFUNCTION("""COMPUTED_VALUE"""),"ITBISA-BREADBOARD-830HOLE-MB102")</f>
        <v>ITBISA-BREADBOARD-830HOLE-MB102</v>
      </c>
      <c r="B712" s="165">
        <f>IFERROR(__xludf.DUMMYFUNCTION("""COMPUTED_VALUE"""),46190.0)</f>
        <v>46190</v>
      </c>
      <c r="C712" s="165" t="str">
        <f>IFERROR(__xludf.DUMMYFUNCTION("""COMPUTED_VALUE"""),"KYAI KONTONG")</f>
        <v>KYAI KONTONG</v>
      </c>
      <c r="D712" s="94">
        <f>IFERROR(__xludf.DUMMYFUNCTION("""COMPUTED_VALUE"""),1.0)</f>
        <v>1</v>
      </c>
    </row>
    <row r="713">
      <c r="A713" s="87" t="str">
        <f>IFERROR(__xludf.DUMMYFUNCTION("""COMPUTED_VALUE"""),"ITBISA-BREADBOARD-830HOLE-MB102")</f>
        <v>ITBISA-BREADBOARD-830HOLE-MB102</v>
      </c>
      <c r="B713" s="165">
        <f>IFERROR(__xludf.DUMMYFUNCTION("""COMPUTED_VALUE"""),46190.0)</f>
        <v>46190</v>
      </c>
      <c r="C713" s="165" t="str">
        <f>IFERROR(__xludf.DUMMYFUNCTION("""COMPUTED_VALUE"""),"KYAI KONTONG")</f>
        <v>KYAI KONTONG</v>
      </c>
      <c r="D713" s="94">
        <f>IFERROR(__xludf.DUMMYFUNCTION("""COMPUTED_VALUE"""),1.0)</f>
        <v>1</v>
      </c>
    </row>
    <row r="714">
      <c r="A714" s="87" t="str">
        <f>IFERROR(__xludf.DUMMYFUNCTION("""COMPUTED_VALUE"""),"ITBISA-BREADBOARD-830HOLE-MB102")</f>
        <v>ITBISA-BREADBOARD-830HOLE-MB102</v>
      </c>
      <c r="B714" s="165">
        <f>IFERROR(__xludf.DUMMYFUNCTION("""COMPUTED_VALUE"""),46190.0)</f>
        <v>46190</v>
      </c>
      <c r="C714" s="165" t="str">
        <f>IFERROR(__xludf.DUMMYFUNCTION("""COMPUTED_VALUE"""),"KYAI KONTONG")</f>
        <v>KYAI KONTONG</v>
      </c>
      <c r="D714" s="94">
        <f>IFERROR(__xludf.DUMMYFUNCTION("""COMPUTED_VALUE"""),1.0)</f>
        <v>1</v>
      </c>
    </row>
    <row r="715">
      <c r="A715" s="87" t="str">
        <f>IFERROR(__xludf.DUMMYFUNCTION("""COMPUTED_VALUE"""),"ITBISA-BREADBOARD-830HOLE-MB102")</f>
        <v>ITBISA-BREADBOARD-830HOLE-MB102</v>
      </c>
      <c r="B715" s="165">
        <f>IFERROR(__xludf.DUMMYFUNCTION("""COMPUTED_VALUE"""),46191.0)</f>
        <v>46191</v>
      </c>
      <c r="C715" s="165" t="str">
        <f>IFERROR(__xludf.DUMMYFUNCTION("""COMPUTED_VALUE"""),"KYAI KONTONG")</f>
        <v>KYAI KONTONG</v>
      </c>
      <c r="D715" s="94">
        <f>IFERROR(__xludf.DUMMYFUNCTION("""COMPUTED_VALUE"""),1.0)</f>
        <v>1</v>
      </c>
    </row>
    <row r="716">
      <c r="A716" s="87" t="str">
        <f>IFERROR(__xludf.DUMMYFUNCTION("""COMPUTED_VALUE"""),"ITBISA-BREADBOARD-830HOLE-MB102")</f>
        <v>ITBISA-BREADBOARD-830HOLE-MB102</v>
      </c>
      <c r="B716" s="165">
        <f>IFERROR(__xludf.DUMMYFUNCTION("""COMPUTED_VALUE"""),46191.0)</f>
        <v>46191</v>
      </c>
      <c r="C716" s="165" t="str">
        <f>IFERROR(__xludf.DUMMYFUNCTION("""COMPUTED_VALUE"""),"KYAI KONTONG")</f>
        <v>KYAI KONTONG</v>
      </c>
      <c r="D716" s="94">
        <f>IFERROR(__xludf.DUMMYFUNCTION("""COMPUTED_VALUE"""),15.0)</f>
        <v>15</v>
      </c>
    </row>
    <row r="717">
      <c r="A717" s="87" t="str">
        <f>IFERROR(__xludf.DUMMYFUNCTION("""COMPUTED_VALUE"""),"ITBISA-BREADBOARD-830HOLE-MB102")</f>
        <v>ITBISA-BREADBOARD-830HOLE-MB102</v>
      </c>
      <c r="B717" s="165">
        <f>IFERROR(__xludf.DUMMYFUNCTION("""COMPUTED_VALUE"""),46192.0)</f>
        <v>46192</v>
      </c>
      <c r="C717" s="165" t="str">
        <f>IFERROR(__xludf.DUMMYFUNCTION("""COMPUTED_VALUE"""),"KYAI KONTONG")</f>
        <v>KYAI KONTONG</v>
      </c>
      <c r="D717" s="94">
        <f>IFERROR(__xludf.DUMMYFUNCTION("""COMPUTED_VALUE"""),29.0)</f>
        <v>29</v>
      </c>
    </row>
    <row r="718">
      <c r="A718" s="87" t="str">
        <f>IFERROR(__xludf.DUMMYFUNCTION("""COMPUTED_VALUE"""),"ITBISA-BREADBOARD-830HOLE-MB102")</f>
        <v>ITBISA-BREADBOARD-830HOLE-MB102</v>
      </c>
      <c r="B718" s="165">
        <f>IFERROR(__xludf.DUMMYFUNCTION("""COMPUTED_VALUE"""),46193.0)</f>
        <v>46193</v>
      </c>
      <c r="C718" s="165" t="str">
        <f>IFERROR(__xludf.DUMMYFUNCTION("""COMPUTED_VALUE"""),"KYAI KONTONG")</f>
        <v>KYAI KONTONG</v>
      </c>
      <c r="D718" s="94">
        <f>IFERROR(__xludf.DUMMYFUNCTION("""COMPUTED_VALUE"""),1.0)</f>
        <v>1</v>
      </c>
    </row>
    <row r="719">
      <c r="A719" s="87" t="str">
        <f>IFERROR(__xludf.DUMMYFUNCTION("""COMPUTED_VALUE"""),"ITBISA-BREADBOARD-830HOLE-MB102")</f>
        <v>ITBISA-BREADBOARD-830HOLE-MB102</v>
      </c>
      <c r="B719" s="165">
        <f>IFERROR(__xludf.DUMMYFUNCTION("""COMPUTED_VALUE"""),46193.0)</f>
        <v>46193</v>
      </c>
      <c r="C719" s="165" t="str">
        <f>IFERROR(__xludf.DUMMYFUNCTION("""COMPUTED_VALUE"""),"KYAI KONTONG")</f>
        <v>KYAI KONTONG</v>
      </c>
      <c r="D719" s="94">
        <f>IFERROR(__xludf.DUMMYFUNCTION("""COMPUTED_VALUE"""),10.0)</f>
        <v>10</v>
      </c>
    </row>
    <row r="720">
      <c r="A720" s="87" t="str">
        <f>IFERROR(__xludf.DUMMYFUNCTION("""COMPUTED_VALUE"""),"ITBISA-BREADBOARD-830HOLE-MB102")</f>
        <v>ITBISA-BREADBOARD-830HOLE-MB102</v>
      </c>
      <c r="B720" s="165">
        <f>IFERROR(__xludf.DUMMYFUNCTION("""COMPUTED_VALUE"""),46194.0)</f>
        <v>46194</v>
      </c>
      <c r="C720" s="165" t="str">
        <f>IFERROR(__xludf.DUMMYFUNCTION("""COMPUTED_VALUE"""),"KYAI KONTONG")</f>
        <v>KYAI KONTONG</v>
      </c>
      <c r="D720" s="94">
        <f>IFERROR(__xludf.DUMMYFUNCTION("""COMPUTED_VALUE"""),2.0)</f>
        <v>2</v>
      </c>
    </row>
    <row r="721">
      <c r="A721" s="87" t="str">
        <f>IFERROR(__xludf.DUMMYFUNCTION("""COMPUTED_VALUE"""),"ITBISA-BREADBOARD-830HOLE-MB102")</f>
        <v>ITBISA-BREADBOARD-830HOLE-MB102</v>
      </c>
      <c r="B721" s="165">
        <f>IFERROR(__xludf.DUMMYFUNCTION("""COMPUTED_VALUE"""),46195.0)</f>
        <v>46195</v>
      </c>
      <c r="C721" s="165" t="str">
        <f>IFERROR(__xludf.DUMMYFUNCTION("""COMPUTED_VALUE"""),"KYAI KONTONG")</f>
        <v>KYAI KONTONG</v>
      </c>
      <c r="D721" s="94">
        <f>IFERROR(__xludf.DUMMYFUNCTION("""COMPUTED_VALUE"""),1.0)</f>
        <v>1</v>
      </c>
    </row>
    <row r="722">
      <c r="A722" s="87" t="str">
        <f>IFERROR(__xludf.DUMMYFUNCTION("""COMPUTED_VALUE"""),"ITBISA-BREADBOARD-830HOLE-MB102")</f>
        <v>ITBISA-BREADBOARD-830HOLE-MB102</v>
      </c>
      <c r="B722" s="165">
        <f>IFERROR(__xludf.DUMMYFUNCTION("""COMPUTED_VALUE"""),46196.0)</f>
        <v>46196</v>
      </c>
      <c r="C722" s="165" t="str">
        <f>IFERROR(__xludf.DUMMYFUNCTION("""COMPUTED_VALUE"""),"KYAI KONTONG")</f>
        <v>KYAI KONTONG</v>
      </c>
      <c r="D722" s="94">
        <f>IFERROR(__xludf.DUMMYFUNCTION("""COMPUTED_VALUE"""),12.0)</f>
        <v>12</v>
      </c>
    </row>
    <row r="723">
      <c r="A723" s="87" t="str">
        <f>IFERROR(__xludf.DUMMYFUNCTION("""COMPUTED_VALUE"""),"ITBISA-BUBBLE-WRAP")</f>
        <v>ITBISA-BUBBLE-WRAP</v>
      </c>
      <c r="B723" s="165">
        <f>IFERROR(__xludf.DUMMYFUNCTION("""COMPUTED_VALUE"""),46023.0)</f>
        <v>46023</v>
      </c>
      <c r="C723" s="165" t="str">
        <f>IFERROR(__xludf.DUMMYFUNCTION("""COMPUTED_VALUE"""),"KYAI KONTONG")</f>
        <v>KYAI KONTONG</v>
      </c>
      <c r="D723" s="94">
        <f>IFERROR(__xludf.DUMMYFUNCTION("""COMPUTED_VALUE"""),1.0)</f>
        <v>1</v>
      </c>
    </row>
    <row r="724">
      <c r="A724" s="87" t="str">
        <f>IFERROR(__xludf.DUMMYFUNCTION("""COMPUTED_VALUE"""),"ITBISA-BUBBLE-WRAP")</f>
        <v>ITBISA-BUBBLE-WRAP</v>
      </c>
      <c r="B724" s="165">
        <f>IFERROR(__xludf.DUMMYFUNCTION("""COMPUTED_VALUE"""),46023.0)</f>
        <v>46023</v>
      </c>
      <c r="C724" s="165" t="str">
        <f>IFERROR(__xludf.DUMMYFUNCTION("""COMPUTED_VALUE"""),"KYAI KONTONG")</f>
        <v>KYAI KONTONG</v>
      </c>
      <c r="D724" s="94">
        <f>IFERROR(__xludf.DUMMYFUNCTION("""COMPUTED_VALUE"""),1.0)</f>
        <v>1</v>
      </c>
    </row>
    <row r="725">
      <c r="A725" s="87" t="str">
        <f>IFERROR(__xludf.DUMMYFUNCTION("""COMPUTED_VALUE"""),"ITBISA-BUBBLE-WRAP")</f>
        <v>ITBISA-BUBBLE-WRAP</v>
      </c>
      <c r="B725" s="165">
        <f>IFERROR(__xludf.DUMMYFUNCTION("""COMPUTED_VALUE"""),46023.0)</f>
        <v>46023</v>
      </c>
      <c r="C725" s="165" t="str">
        <f>IFERROR(__xludf.DUMMYFUNCTION("""COMPUTED_VALUE"""),"KYAI KONTONG")</f>
        <v>KYAI KONTONG</v>
      </c>
      <c r="D725" s="94">
        <f>IFERROR(__xludf.DUMMYFUNCTION("""COMPUTED_VALUE"""),1.0)</f>
        <v>1</v>
      </c>
    </row>
    <row r="726">
      <c r="A726" s="87" t="str">
        <f>IFERROR(__xludf.DUMMYFUNCTION("""COMPUTED_VALUE"""),"ITBISA-BUBBLE-WRAP")</f>
        <v>ITBISA-BUBBLE-WRAP</v>
      </c>
      <c r="B726" s="165">
        <f>IFERROR(__xludf.DUMMYFUNCTION("""COMPUTED_VALUE"""),46023.0)</f>
        <v>46023</v>
      </c>
      <c r="C726" s="165" t="str">
        <f>IFERROR(__xludf.DUMMYFUNCTION("""COMPUTED_VALUE"""),"KYAI KONTONG")</f>
        <v>KYAI KONTONG</v>
      </c>
      <c r="D726" s="94">
        <f>IFERROR(__xludf.DUMMYFUNCTION("""COMPUTED_VALUE"""),1.0)</f>
        <v>1</v>
      </c>
    </row>
    <row r="727">
      <c r="A727" s="87" t="str">
        <f>IFERROR(__xludf.DUMMYFUNCTION("""COMPUTED_VALUE"""),"ITBISA-BUBBLE-WRAP")</f>
        <v>ITBISA-BUBBLE-WRAP</v>
      </c>
      <c r="B727" s="165">
        <f>IFERROR(__xludf.DUMMYFUNCTION("""COMPUTED_VALUE"""),46023.0)</f>
        <v>46023</v>
      </c>
      <c r="C727" s="165" t="str">
        <f>IFERROR(__xludf.DUMMYFUNCTION("""COMPUTED_VALUE"""),"KYAI KONTONG")</f>
        <v>KYAI KONTONG</v>
      </c>
      <c r="D727" s="94">
        <f>IFERROR(__xludf.DUMMYFUNCTION("""COMPUTED_VALUE"""),1.0)</f>
        <v>1</v>
      </c>
    </row>
    <row r="728">
      <c r="A728" s="87" t="str">
        <f>IFERROR(__xludf.DUMMYFUNCTION("""COMPUTED_VALUE"""),"ITBISA-BUBBLE-WRAP")</f>
        <v>ITBISA-BUBBLE-WRAP</v>
      </c>
      <c r="B728" s="165">
        <f>IFERROR(__xludf.DUMMYFUNCTION("""COMPUTED_VALUE"""),46023.0)</f>
        <v>46023</v>
      </c>
      <c r="C728" s="165" t="str">
        <f>IFERROR(__xludf.DUMMYFUNCTION("""COMPUTED_VALUE"""),"KYAI KONTONG")</f>
        <v>KYAI KONTONG</v>
      </c>
      <c r="D728" s="94">
        <f>IFERROR(__xludf.DUMMYFUNCTION("""COMPUTED_VALUE"""),1.0)</f>
        <v>1</v>
      </c>
    </row>
    <row r="729">
      <c r="A729" s="87" t="str">
        <f>IFERROR(__xludf.DUMMYFUNCTION("""COMPUTED_VALUE"""),"ITBISA-BUBBLE-WRAP")</f>
        <v>ITBISA-BUBBLE-WRAP</v>
      </c>
      <c r="B729" s="165">
        <f>IFERROR(__xludf.DUMMYFUNCTION("""COMPUTED_VALUE"""),46023.0)</f>
        <v>46023</v>
      </c>
      <c r="C729" s="165" t="str">
        <f>IFERROR(__xludf.DUMMYFUNCTION("""COMPUTED_VALUE"""),"KYAI KONTONG")</f>
        <v>KYAI KONTONG</v>
      </c>
      <c r="D729" s="94">
        <f>IFERROR(__xludf.DUMMYFUNCTION("""COMPUTED_VALUE"""),1.0)</f>
        <v>1</v>
      </c>
    </row>
    <row r="730">
      <c r="A730" s="87" t="str">
        <f>IFERROR(__xludf.DUMMYFUNCTION("""COMPUTED_VALUE"""),"ITBISA-BUBBLE-WRAP")</f>
        <v>ITBISA-BUBBLE-WRAP</v>
      </c>
      <c r="B730" s="165">
        <f>IFERROR(__xludf.DUMMYFUNCTION("""COMPUTED_VALUE"""),46024.0)</f>
        <v>46024</v>
      </c>
      <c r="C730" s="165" t="str">
        <f>IFERROR(__xludf.DUMMYFUNCTION("""COMPUTED_VALUE"""),"KYAI KONTONG")</f>
        <v>KYAI KONTONG</v>
      </c>
      <c r="D730" s="94">
        <f>IFERROR(__xludf.DUMMYFUNCTION("""COMPUTED_VALUE"""),1.0)</f>
        <v>1</v>
      </c>
    </row>
    <row r="731">
      <c r="A731" s="87" t="str">
        <f>IFERROR(__xludf.DUMMYFUNCTION("""COMPUTED_VALUE"""),"ITBISA-BUBBLE-WRAP")</f>
        <v>ITBISA-BUBBLE-WRAP</v>
      </c>
      <c r="B731" s="165">
        <f>IFERROR(__xludf.DUMMYFUNCTION("""COMPUTED_VALUE"""),46024.0)</f>
        <v>46024</v>
      </c>
      <c r="C731" s="165" t="str">
        <f>IFERROR(__xludf.DUMMYFUNCTION("""COMPUTED_VALUE"""),"KYAI KONTONG")</f>
        <v>KYAI KONTONG</v>
      </c>
      <c r="D731" s="94">
        <f>IFERROR(__xludf.DUMMYFUNCTION("""COMPUTED_VALUE"""),1.0)</f>
        <v>1</v>
      </c>
    </row>
    <row r="732">
      <c r="A732" s="87" t="str">
        <f>IFERROR(__xludf.DUMMYFUNCTION("""COMPUTED_VALUE"""),"ITBISA-BUBBLE-WRAP")</f>
        <v>ITBISA-BUBBLE-WRAP</v>
      </c>
      <c r="B732" s="165">
        <f>IFERROR(__xludf.DUMMYFUNCTION("""COMPUTED_VALUE"""),46024.0)</f>
        <v>46024</v>
      </c>
      <c r="C732" s="165" t="str">
        <f>IFERROR(__xludf.DUMMYFUNCTION("""COMPUTED_VALUE"""),"KYAI KONTONG")</f>
        <v>KYAI KONTONG</v>
      </c>
      <c r="D732" s="94">
        <f>IFERROR(__xludf.DUMMYFUNCTION("""COMPUTED_VALUE"""),1.0)</f>
        <v>1</v>
      </c>
    </row>
    <row r="733">
      <c r="A733" s="87" t="str">
        <f>IFERROR(__xludf.DUMMYFUNCTION("""COMPUTED_VALUE"""),"ITBISA-BUBBLE-WRAP")</f>
        <v>ITBISA-BUBBLE-WRAP</v>
      </c>
      <c r="B733" s="165">
        <f>IFERROR(__xludf.DUMMYFUNCTION("""COMPUTED_VALUE"""),46024.0)</f>
        <v>46024</v>
      </c>
      <c r="C733" s="165" t="str">
        <f>IFERROR(__xludf.DUMMYFUNCTION("""COMPUTED_VALUE"""),"KYAI KONTONG")</f>
        <v>KYAI KONTONG</v>
      </c>
      <c r="D733" s="94">
        <f>IFERROR(__xludf.DUMMYFUNCTION("""COMPUTED_VALUE"""),1.0)</f>
        <v>1</v>
      </c>
    </row>
    <row r="734">
      <c r="A734" s="87" t="str">
        <f>IFERROR(__xludf.DUMMYFUNCTION("""COMPUTED_VALUE"""),"ITBISA-BUBBLE-WRAP")</f>
        <v>ITBISA-BUBBLE-WRAP</v>
      </c>
      <c r="B734" s="165">
        <f>IFERROR(__xludf.DUMMYFUNCTION("""COMPUTED_VALUE"""),46024.0)</f>
        <v>46024</v>
      </c>
      <c r="C734" s="165" t="str">
        <f>IFERROR(__xludf.DUMMYFUNCTION("""COMPUTED_VALUE"""),"KYAI KONTONG")</f>
        <v>KYAI KONTONG</v>
      </c>
      <c r="D734" s="94">
        <f>IFERROR(__xludf.DUMMYFUNCTION("""COMPUTED_VALUE"""),1.0)</f>
        <v>1</v>
      </c>
    </row>
    <row r="735">
      <c r="A735" s="87" t="str">
        <f>IFERROR(__xludf.DUMMYFUNCTION("""COMPUTED_VALUE"""),"ITBISA-BUBBLE-WRAP")</f>
        <v>ITBISA-BUBBLE-WRAP</v>
      </c>
      <c r="B735" s="165">
        <f>IFERROR(__xludf.DUMMYFUNCTION("""COMPUTED_VALUE"""),46024.0)</f>
        <v>46024</v>
      </c>
      <c r="C735" s="165" t="str">
        <f>IFERROR(__xludf.DUMMYFUNCTION("""COMPUTED_VALUE"""),"KYAI KONTONG")</f>
        <v>KYAI KONTONG</v>
      </c>
      <c r="D735" s="94">
        <f>IFERROR(__xludf.DUMMYFUNCTION("""COMPUTED_VALUE"""),1.0)</f>
        <v>1</v>
      </c>
    </row>
    <row r="736">
      <c r="A736" s="87" t="str">
        <f>IFERROR(__xludf.DUMMYFUNCTION("""COMPUTED_VALUE"""),"ITBISA-BUBBLE-WRAP")</f>
        <v>ITBISA-BUBBLE-WRAP</v>
      </c>
      <c r="B736" s="165">
        <f>IFERROR(__xludf.DUMMYFUNCTION("""COMPUTED_VALUE"""),46024.0)</f>
        <v>46024</v>
      </c>
      <c r="C736" s="165" t="str">
        <f>IFERROR(__xludf.DUMMYFUNCTION("""COMPUTED_VALUE"""),"KYAI KONTONG")</f>
        <v>KYAI KONTONG</v>
      </c>
      <c r="D736" s="94">
        <f>IFERROR(__xludf.DUMMYFUNCTION("""COMPUTED_VALUE"""),1.0)</f>
        <v>1</v>
      </c>
    </row>
    <row r="737">
      <c r="A737" s="87" t="str">
        <f>IFERROR(__xludf.DUMMYFUNCTION("""COMPUTED_VALUE"""),"ITBISA-BUBBLE-WRAP")</f>
        <v>ITBISA-BUBBLE-WRAP</v>
      </c>
      <c r="B737" s="165">
        <f>IFERROR(__xludf.DUMMYFUNCTION("""COMPUTED_VALUE"""),46025.0)</f>
        <v>46025</v>
      </c>
      <c r="C737" s="165" t="str">
        <f>IFERROR(__xludf.DUMMYFUNCTION("""COMPUTED_VALUE"""),"KYAI KONTONG")</f>
        <v>KYAI KONTONG</v>
      </c>
      <c r="D737" s="94">
        <f>IFERROR(__xludf.DUMMYFUNCTION("""COMPUTED_VALUE"""),1.0)</f>
        <v>1</v>
      </c>
    </row>
    <row r="738">
      <c r="A738" s="87" t="str">
        <f>IFERROR(__xludf.DUMMYFUNCTION("""COMPUTED_VALUE"""),"ITBISA-BUBBLE-WRAP")</f>
        <v>ITBISA-BUBBLE-WRAP</v>
      </c>
      <c r="B738" s="165">
        <f>IFERROR(__xludf.DUMMYFUNCTION("""COMPUTED_VALUE"""),46025.0)</f>
        <v>46025</v>
      </c>
      <c r="C738" s="165" t="str">
        <f>IFERROR(__xludf.DUMMYFUNCTION("""COMPUTED_VALUE"""),"KYAI KONTONG")</f>
        <v>KYAI KONTONG</v>
      </c>
      <c r="D738" s="94">
        <f>IFERROR(__xludf.DUMMYFUNCTION("""COMPUTED_VALUE"""),1.0)</f>
        <v>1</v>
      </c>
    </row>
    <row r="739">
      <c r="A739" s="87" t="str">
        <f>IFERROR(__xludf.DUMMYFUNCTION("""COMPUTED_VALUE"""),"ITBISA-BUBBLE-WRAP")</f>
        <v>ITBISA-BUBBLE-WRAP</v>
      </c>
      <c r="B739" s="165">
        <f>IFERROR(__xludf.DUMMYFUNCTION("""COMPUTED_VALUE"""),46025.0)</f>
        <v>46025</v>
      </c>
      <c r="C739" s="165" t="str">
        <f>IFERROR(__xludf.DUMMYFUNCTION("""COMPUTED_VALUE"""),"KYAI KONTONG")</f>
        <v>KYAI KONTONG</v>
      </c>
      <c r="D739" s="94">
        <f>IFERROR(__xludf.DUMMYFUNCTION("""COMPUTED_VALUE"""),2.0)</f>
        <v>2</v>
      </c>
    </row>
    <row r="740">
      <c r="A740" s="87" t="str">
        <f>IFERROR(__xludf.DUMMYFUNCTION("""COMPUTED_VALUE"""),"ITBISA-BUBBLE-WRAP")</f>
        <v>ITBISA-BUBBLE-WRAP</v>
      </c>
      <c r="B740" s="165">
        <f>IFERROR(__xludf.DUMMYFUNCTION("""COMPUTED_VALUE"""),46041.0)</f>
        <v>46041</v>
      </c>
      <c r="C740" s="165" t="str">
        <f>IFERROR(__xludf.DUMMYFUNCTION("""COMPUTED_VALUE"""),"KYAI KONTONG")</f>
        <v>KYAI KONTONG</v>
      </c>
      <c r="D740" s="94">
        <f>IFERROR(__xludf.DUMMYFUNCTION("""COMPUTED_VALUE"""),1.0)</f>
        <v>1</v>
      </c>
    </row>
    <row r="741">
      <c r="A741" s="87" t="str">
        <f>IFERROR(__xludf.DUMMYFUNCTION("""COMPUTED_VALUE"""),"ITBISA-BUBBLE-WRAP")</f>
        <v>ITBISA-BUBBLE-WRAP</v>
      </c>
      <c r="B741" s="165">
        <f>IFERROR(__xludf.DUMMYFUNCTION("""COMPUTED_VALUE"""),46049.0)</f>
        <v>46049</v>
      </c>
      <c r="C741" s="165" t="str">
        <f>IFERROR(__xludf.DUMMYFUNCTION("""COMPUTED_VALUE"""),"KYAI KONTONG")</f>
        <v>KYAI KONTONG</v>
      </c>
      <c r="D741" s="94">
        <f>IFERROR(__xludf.DUMMYFUNCTION("""COMPUTED_VALUE"""),1.0)</f>
        <v>1</v>
      </c>
    </row>
    <row r="742">
      <c r="A742" s="87" t="str">
        <f>IFERROR(__xludf.DUMMYFUNCTION("""COMPUTED_VALUE"""),"ITBISA-BUBBLE-WRAP")</f>
        <v>ITBISA-BUBBLE-WRAP</v>
      </c>
      <c r="B742" s="165">
        <f>IFERROR(__xludf.DUMMYFUNCTION("""COMPUTED_VALUE"""),46061.0)</f>
        <v>46061</v>
      </c>
      <c r="C742" s="165" t="str">
        <f>IFERROR(__xludf.DUMMYFUNCTION("""COMPUTED_VALUE"""),"KYAI KONTONG")</f>
        <v>KYAI KONTONG</v>
      </c>
      <c r="D742" s="94">
        <f>IFERROR(__xludf.DUMMYFUNCTION("""COMPUTED_VALUE"""),1.0)</f>
        <v>1</v>
      </c>
    </row>
    <row r="743">
      <c r="A743" s="87" t="str">
        <f>IFERROR(__xludf.DUMMYFUNCTION("""COMPUTED_VALUE"""),"ITBISA-BUBBLE-WRAP")</f>
        <v>ITBISA-BUBBLE-WRAP</v>
      </c>
      <c r="B743" s="165">
        <f>IFERROR(__xludf.DUMMYFUNCTION("""COMPUTED_VALUE"""),46070.0)</f>
        <v>46070</v>
      </c>
      <c r="C743" s="165" t="str">
        <f>IFERROR(__xludf.DUMMYFUNCTION("""COMPUTED_VALUE"""),"KYAI KONTONG")</f>
        <v>KYAI KONTONG</v>
      </c>
      <c r="D743" s="94">
        <f>IFERROR(__xludf.DUMMYFUNCTION("""COMPUTED_VALUE"""),1.0)</f>
        <v>1</v>
      </c>
    </row>
    <row r="744">
      <c r="A744" s="87" t="str">
        <f>IFERROR(__xludf.DUMMYFUNCTION("""COMPUTED_VALUE"""),"ITBISA-BUBBLE-WRAP")</f>
        <v>ITBISA-BUBBLE-WRAP</v>
      </c>
      <c r="B744" s="165">
        <f>IFERROR(__xludf.DUMMYFUNCTION("""COMPUTED_VALUE"""),46078.0)</f>
        <v>46078</v>
      </c>
      <c r="C744" s="165" t="str">
        <f>IFERROR(__xludf.DUMMYFUNCTION("""COMPUTED_VALUE"""),"KYAI KONTONG")</f>
        <v>KYAI KONTONG</v>
      </c>
      <c r="D744" s="94">
        <f>IFERROR(__xludf.DUMMYFUNCTION("""COMPUTED_VALUE"""),1.0)</f>
        <v>1</v>
      </c>
    </row>
    <row r="745">
      <c r="A745" s="87" t="str">
        <f>IFERROR(__xludf.DUMMYFUNCTION("""COMPUTED_VALUE"""),"ITBISA-BUBBLE-WRAP")</f>
        <v>ITBISA-BUBBLE-WRAP</v>
      </c>
      <c r="B745" s="165">
        <f>IFERROR(__xludf.DUMMYFUNCTION("""COMPUTED_VALUE"""),46083.0)</f>
        <v>46083</v>
      </c>
      <c r="C745" s="165" t="str">
        <f>IFERROR(__xludf.DUMMYFUNCTION("""COMPUTED_VALUE"""),"KYAI KONTONG")</f>
        <v>KYAI KONTONG</v>
      </c>
      <c r="D745" s="94">
        <f>IFERROR(__xludf.DUMMYFUNCTION("""COMPUTED_VALUE"""),1.0)</f>
        <v>1</v>
      </c>
    </row>
    <row r="746">
      <c r="A746" s="87" t="str">
        <f>IFERROR(__xludf.DUMMYFUNCTION("""COMPUTED_VALUE"""),"ITBISA-BUBBLE-WRAP")</f>
        <v>ITBISA-BUBBLE-WRAP</v>
      </c>
      <c r="B746" s="165">
        <f>IFERROR(__xludf.DUMMYFUNCTION("""COMPUTED_VALUE"""),46130.0)</f>
        <v>46130</v>
      </c>
      <c r="C746" s="165" t="str">
        <f>IFERROR(__xludf.DUMMYFUNCTION("""COMPUTED_VALUE"""),"KYAI KONTONG")</f>
        <v>KYAI KONTONG</v>
      </c>
      <c r="D746" s="94">
        <f>IFERROR(__xludf.DUMMYFUNCTION("""COMPUTED_VALUE"""),2.0)</f>
        <v>2</v>
      </c>
    </row>
    <row r="747">
      <c r="A747" s="87" t="str">
        <f>IFERROR(__xludf.DUMMYFUNCTION("""COMPUTED_VALUE"""),"ITBISA-BUBBLE-WRAP")</f>
        <v>ITBISA-BUBBLE-WRAP</v>
      </c>
      <c r="B747" s="165">
        <f>IFERROR(__xludf.DUMMYFUNCTION("""COMPUTED_VALUE"""),46133.0)</f>
        <v>46133</v>
      </c>
      <c r="C747" s="165" t="str">
        <f>IFERROR(__xludf.DUMMYFUNCTION("""COMPUTED_VALUE"""),"KYAI KONTONG")</f>
        <v>KYAI KONTONG</v>
      </c>
      <c r="D747" s="94">
        <f>IFERROR(__xludf.DUMMYFUNCTION("""COMPUTED_VALUE"""),1.0)</f>
        <v>1</v>
      </c>
    </row>
    <row r="748">
      <c r="A748" s="87" t="str">
        <f>IFERROR(__xludf.DUMMYFUNCTION("""COMPUTED_VALUE"""),"ITBISA-BUBBLE-WRAP")</f>
        <v>ITBISA-BUBBLE-WRAP</v>
      </c>
      <c r="B748" s="165">
        <f>IFERROR(__xludf.DUMMYFUNCTION("""COMPUTED_VALUE"""),46133.0)</f>
        <v>46133</v>
      </c>
      <c r="C748" s="165" t="str">
        <f>IFERROR(__xludf.DUMMYFUNCTION("""COMPUTED_VALUE"""),"KYAI KONTONG")</f>
        <v>KYAI KONTONG</v>
      </c>
      <c r="D748" s="94">
        <f>IFERROR(__xludf.DUMMYFUNCTION("""COMPUTED_VALUE"""),30.0)</f>
        <v>30</v>
      </c>
    </row>
    <row r="749">
      <c r="A749" s="87" t="str">
        <f>IFERROR(__xludf.DUMMYFUNCTION("""COMPUTED_VALUE"""),"ITBISA-BUBBLE-WRAP")</f>
        <v>ITBISA-BUBBLE-WRAP</v>
      </c>
      <c r="B749" s="165">
        <f>IFERROR(__xludf.DUMMYFUNCTION("""COMPUTED_VALUE"""),46134.0)</f>
        <v>46134</v>
      </c>
      <c r="C749" s="165" t="str">
        <f>IFERROR(__xludf.DUMMYFUNCTION("""COMPUTED_VALUE"""),"KYAI KONTONG")</f>
        <v>KYAI KONTONG</v>
      </c>
      <c r="D749" s="94">
        <f>IFERROR(__xludf.DUMMYFUNCTION("""COMPUTED_VALUE"""),1.0)</f>
        <v>1</v>
      </c>
    </row>
    <row r="750">
      <c r="A750" s="87" t="str">
        <f>IFERROR(__xludf.DUMMYFUNCTION("""COMPUTED_VALUE"""),"ITBISA-BUZZER-ACTIVE-5V")</f>
        <v>ITBISA-BUZZER-ACTIVE-5V</v>
      </c>
      <c r="B750" s="165">
        <f>IFERROR(__xludf.DUMMYFUNCTION("""COMPUTED_VALUE"""),46023.0)</f>
        <v>46023</v>
      </c>
      <c r="C750" s="165" t="str">
        <f>IFERROR(__xludf.DUMMYFUNCTION("""COMPUTED_VALUE"""),"KYAI KONTONG")</f>
        <v>KYAI KONTONG</v>
      </c>
      <c r="D750" s="94">
        <f>IFERROR(__xludf.DUMMYFUNCTION("""COMPUTED_VALUE"""),300.0)</f>
        <v>300</v>
      </c>
    </row>
    <row r="751">
      <c r="A751" s="87" t="str">
        <f>IFERROR(__xludf.DUMMYFUNCTION("""COMPUTED_VALUE"""),"ITBISA-BUZZER-ACTIVE-5V")</f>
        <v>ITBISA-BUZZER-ACTIVE-5V</v>
      </c>
      <c r="B751" s="165">
        <f>IFERROR(__xludf.DUMMYFUNCTION("""COMPUTED_VALUE"""),46024.0)</f>
        <v>46024</v>
      </c>
      <c r="C751" s="165" t="str">
        <f>IFERROR(__xludf.DUMMYFUNCTION("""COMPUTED_VALUE"""),"KYAI KONTONG")</f>
        <v>KYAI KONTONG</v>
      </c>
      <c r="D751" s="94">
        <f>IFERROR(__xludf.DUMMYFUNCTION("""COMPUTED_VALUE"""),5.0)</f>
        <v>5</v>
      </c>
    </row>
    <row r="752">
      <c r="A752" s="87" t="str">
        <f>IFERROR(__xludf.DUMMYFUNCTION("""COMPUTED_VALUE"""),"ITBISA-BUZZER-ACTIVE-5V")</f>
        <v>ITBISA-BUZZER-ACTIVE-5V</v>
      </c>
      <c r="B752" s="165">
        <f>IFERROR(__xludf.DUMMYFUNCTION("""COMPUTED_VALUE"""),46024.0)</f>
        <v>46024</v>
      </c>
      <c r="C752" s="165" t="str">
        <f>IFERROR(__xludf.DUMMYFUNCTION("""COMPUTED_VALUE"""),"KYAI KONTONG")</f>
        <v>KYAI KONTONG</v>
      </c>
      <c r="D752" s="94">
        <f>IFERROR(__xludf.DUMMYFUNCTION("""COMPUTED_VALUE"""),15.0)</f>
        <v>15</v>
      </c>
    </row>
    <row r="753">
      <c r="A753" s="87" t="str">
        <f>IFERROR(__xludf.DUMMYFUNCTION("""COMPUTED_VALUE"""),"ITBISA-BUZZER-ACTIVE-5V")</f>
        <v>ITBISA-BUZZER-ACTIVE-5V</v>
      </c>
      <c r="B753" s="165">
        <f>IFERROR(__xludf.DUMMYFUNCTION("""COMPUTED_VALUE"""),46027.0)</f>
        <v>46027</v>
      </c>
      <c r="C753" s="165" t="str">
        <f>IFERROR(__xludf.DUMMYFUNCTION("""COMPUTED_VALUE"""),"KYAI KONTONG")</f>
        <v>KYAI KONTONG</v>
      </c>
      <c r="D753" s="94">
        <f>IFERROR(__xludf.DUMMYFUNCTION("""COMPUTED_VALUE"""),10.0)</f>
        <v>10</v>
      </c>
    </row>
    <row r="754">
      <c r="A754" s="87" t="str">
        <f>IFERROR(__xludf.DUMMYFUNCTION("""COMPUTED_VALUE"""),"ITBISA-BUZZER-ACTIVE-5V")</f>
        <v>ITBISA-BUZZER-ACTIVE-5V</v>
      </c>
      <c r="B754" s="165">
        <f>IFERROR(__xludf.DUMMYFUNCTION("""COMPUTED_VALUE"""),46028.0)</f>
        <v>46028</v>
      </c>
      <c r="C754" s="165" t="str">
        <f>IFERROR(__xludf.DUMMYFUNCTION("""COMPUTED_VALUE"""),"KYAI KONTONG")</f>
        <v>KYAI KONTONG</v>
      </c>
      <c r="D754" s="94">
        <f>IFERROR(__xludf.DUMMYFUNCTION("""COMPUTED_VALUE"""),30.0)</f>
        <v>30</v>
      </c>
    </row>
    <row r="755">
      <c r="A755" s="87" t="str">
        <f>IFERROR(__xludf.DUMMYFUNCTION("""COMPUTED_VALUE"""),"ITBISA-BUZZER-ACTIVE-5V")</f>
        <v>ITBISA-BUZZER-ACTIVE-5V</v>
      </c>
      <c r="B755" s="165">
        <f>IFERROR(__xludf.DUMMYFUNCTION("""COMPUTED_VALUE"""),46032.0)</f>
        <v>46032</v>
      </c>
      <c r="C755" s="165" t="str">
        <f>IFERROR(__xludf.DUMMYFUNCTION("""COMPUTED_VALUE"""),"KERTASARI CIAMIS")</f>
        <v>KERTASARI CIAMIS</v>
      </c>
      <c r="D755" s="94">
        <f>IFERROR(__xludf.DUMMYFUNCTION("""COMPUTED_VALUE"""),2.0)</f>
        <v>2</v>
      </c>
    </row>
    <row r="756">
      <c r="A756" s="87" t="str">
        <f>IFERROR(__xludf.DUMMYFUNCTION("""COMPUTED_VALUE"""),"ITBISA-BUZZER-ACTIVE-5V")</f>
        <v>ITBISA-BUZZER-ACTIVE-5V</v>
      </c>
      <c r="B756" s="165">
        <f>IFERROR(__xludf.DUMMYFUNCTION("""COMPUTED_VALUE"""),46034.0)</f>
        <v>46034</v>
      </c>
      <c r="C756" s="165" t="str">
        <f>IFERROR(__xludf.DUMMYFUNCTION("""COMPUTED_VALUE"""),"KYAI KONTONG")</f>
        <v>KYAI KONTONG</v>
      </c>
      <c r="D756" s="94">
        <f>IFERROR(__xludf.DUMMYFUNCTION("""COMPUTED_VALUE"""),2.0)</f>
        <v>2</v>
      </c>
    </row>
    <row r="757">
      <c r="A757" s="87" t="str">
        <f>IFERROR(__xludf.DUMMYFUNCTION("""COMPUTED_VALUE"""),"ITBISA-BUZZER-ACTIVE-5V")</f>
        <v>ITBISA-BUZZER-ACTIVE-5V</v>
      </c>
      <c r="B757" s="165">
        <f>IFERROR(__xludf.DUMMYFUNCTION("""COMPUTED_VALUE"""),46034.0)</f>
        <v>46034</v>
      </c>
      <c r="C757" s="165" t="str">
        <f>IFERROR(__xludf.DUMMYFUNCTION("""COMPUTED_VALUE"""),"KYAI KONTONG")</f>
        <v>KYAI KONTONG</v>
      </c>
      <c r="D757" s="94">
        <f>IFERROR(__xludf.DUMMYFUNCTION("""COMPUTED_VALUE"""),300.0)</f>
        <v>300</v>
      </c>
    </row>
    <row r="758">
      <c r="A758" s="87" t="str">
        <f>IFERROR(__xludf.DUMMYFUNCTION("""COMPUTED_VALUE"""),"ITBISA-BUZZER-ACTIVE-5V")</f>
        <v>ITBISA-BUZZER-ACTIVE-5V</v>
      </c>
      <c r="B758" s="165">
        <f>IFERROR(__xludf.DUMMYFUNCTION("""COMPUTED_VALUE"""),46035.0)</f>
        <v>46035</v>
      </c>
      <c r="C758" s="165" t="str">
        <f>IFERROR(__xludf.DUMMYFUNCTION("""COMPUTED_VALUE"""),"KYAI KONTONG")</f>
        <v>KYAI KONTONG</v>
      </c>
      <c r="D758" s="94">
        <f>IFERROR(__xludf.DUMMYFUNCTION("""COMPUTED_VALUE"""),25.0)</f>
        <v>25</v>
      </c>
    </row>
    <row r="759">
      <c r="A759" s="87" t="str">
        <f>IFERROR(__xludf.DUMMYFUNCTION("""COMPUTED_VALUE"""),"ITBISA-BUZZER-ACTIVE-5V")</f>
        <v>ITBISA-BUZZER-ACTIVE-5V</v>
      </c>
      <c r="B759" s="165">
        <f>IFERROR(__xludf.DUMMYFUNCTION("""COMPUTED_VALUE"""),46036.0)</f>
        <v>46036</v>
      </c>
      <c r="C759" s="165" t="str">
        <f>IFERROR(__xludf.DUMMYFUNCTION("""COMPUTED_VALUE"""),"KYAI KONTONG")</f>
        <v>KYAI KONTONG</v>
      </c>
      <c r="D759" s="94">
        <f>IFERROR(__xludf.DUMMYFUNCTION("""COMPUTED_VALUE"""),5.0)</f>
        <v>5</v>
      </c>
    </row>
    <row r="760">
      <c r="A760" s="87" t="str">
        <f>IFERROR(__xludf.DUMMYFUNCTION("""COMPUTED_VALUE"""),"ITBISA-BUZZER-ACTIVE-5V")</f>
        <v>ITBISA-BUZZER-ACTIVE-5V</v>
      </c>
      <c r="B760" s="165">
        <f>IFERROR(__xludf.DUMMYFUNCTION("""COMPUTED_VALUE"""),46036.0)</f>
        <v>46036</v>
      </c>
      <c r="C760" s="165" t="str">
        <f>IFERROR(__xludf.DUMMYFUNCTION("""COMPUTED_VALUE"""),"KYAI KONTONG")</f>
        <v>KYAI KONTONG</v>
      </c>
      <c r="D760" s="94">
        <f>IFERROR(__xludf.DUMMYFUNCTION("""COMPUTED_VALUE"""),10.0)</f>
        <v>10</v>
      </c>
    </row>
    <row r="761">
      <c r="A761" s="87" t="str">
        <f>IFERROR(__xludf.DUMMYFUNCTION("""COMPUTED_VALUE"""),"ITBISA-BUZZER-ACTIVE-5V")</f>
        <v>ITBISA-BUZZER-ACTIVE-5V</v>
      </c>
      <c r="B761" s="165">
        <f>IFERROR(__xludf.DUMMYFUNCTION("""COMPUTED_VALUE"""),46036.0)</f>
        <v>46036</v>
      </c>
      <c r="C761" s="165" t="str">
        <f>IFERROR(__xludf.DUMMYFUNCTION("""COMPUTED_VALUE"""),"KYAI KONTONG")</f>
        <v>KYAI KONTONG</v>
      </c>
      <c r="D761" s="94">
        <f>IFERROR(__xludf.DUMMYFUNCTION("""COMPUTED_VALUE"""),10.0)</f>
        <v>10</v>
      </c>
    </row>
    <row r="762">
      <c r="A762" s="87" t="str">
        <f>IFERROR(__xludf.DUMMYFUNCTION("""COMPUTED_VALUE"""),"ITBISA-BUZZER-ACTIVE-5V")</f>
        <v>ITBISA-BUZZER-ACTIVE-5V</v>
      </c>
      <c r="B762" s="165">
        <f>IFERROR(__xludf.DUMMYFUNCTION("""COMPUTED_VALUE"""),46036.0)</f>
        <v>46036</v>
      </c>
      <c r="C762" s="165" t="str">
        <f>IFERROR(__xludf.DUMMYFUNCTION("""COMPUTED_VALUE"""),"KYAI KONTONG")</f>
        <v>KYAI KONTONG</v>
      </c>
      <c r="D762" s="94">
        <f>IFERROR(__xludf.DUMMYFUNCTION("""COMPUTED_VALUE"""),10.0)</f>
        <v>10</v>
      </c>
    </row>
    <row r="763">
      <c r="A763" s="87" t="str">
        <f>IFERROR(__xludf.DUMMYFUNCTION("""COMPUTED_VALUE"""),"ITBISA-BUZZER-ACTIVE-5V")</f>
        <v>ITBISA-BUZZER-ACTIVE-5V</v>
      </c>
      <c r="B763" s="165">
        <f>IFERROR(__xludf.DUMMYFUNCTION("""COMPUTED_VALUE"""),46039.0)</f>
        <v>46039</v>
      </c>
      <c r="C763" s="165" t="str">
        <f>IFERROR(__xludf.DUMMYFUNCTION("""COMPUTED_VALUE"""),"KERTASARI CIAMIS")</f>
        <v>KERTASARI CIAMIS</v>
      </c>
      <c r="D763" s="94">
        <f>IFERROR(__xludf.DUMMYFUNCTION("""COMPUTED_VALUE"""),5.0)</f>
        <v>5</v>
      </c>
    </row>
    <row r="764">
      <c r="A764" s="87" t="str">
        <f>IFERROR(__xludf.DUMMYFUNCTION("""COMPUTED_VALUE"""),"ITBISA-BUZZER-ACTIVE-5V")</f>
        <v>ITBISA-BUZZER-ACTIVE-5V</v>
      </c>
      <c r="B764" s="165">
        <f>IFERROR(__xludf.DUMMYFUNCTION("""COMPUTED_VALUE"""),46040.0)</f>
        <v>46040</v>
      </c>
      <c r="C764" s="165" t="str">
        <f>IFERROR(__xludf.DUMMYFUNCTION("""COMPUTED_VALUE"""),"KERTASARI CIAMIS")</f>
        <v>KERTASARI CIAMIS</v>
      </c>
      <c r="D764" s="94">
        <f>IFERROR(__xludf.DUMMYFUNCTION("""COMPUTED_VALUE"""),70.0)</f>
        <v>70</v>
      </c>
    </row>
    <row r="765">
      <c r="A765" s="87" t="str">
        <f>IFERROR(__xludf.DUMMYFUNCTION("""COMPUTED_VALUE"""),"ITBISA-BUZZER-ACTIVE-5V")</f>
        <v>ITBISA-BUZZER-ACTIVE-5V</v>
      </c>
      <c r="B765" s="165">
        <f>IFERROR(__xludf.DUMMYFUNCTION("""COMPUTED_VALUE"""),46041.0)</f>
        <v>46041</v>
      </c>
      <c r="C765" s="165" t="str">
        <f>IFERROR(__xludf.DUMMYFUNCTION("""COMPUTED_VALUE"""),"KYAI KONTONG")</f>
        <v>KYAI KONTONG</v>
      </c>
      <c r="D765" s="94">
        <f>IFERROR(__xludf.DUMMYFUNCTION("""COMPUTED_VALUE"""),10.0)</f>
        <v>10</v>
      </c>
    </row>
    <row r="766">
      <c r="A766" s="87" t="str">
        <f>IFERROR(__xludf.DUMMYFUNCTION("""COMPUTED_VALUE"""),"ITBISA-BUZZER-ACTIVE-5V")</f>
        <v>ITBISA-BUZZER-ACTIVE-5V</v>
      </c>
      <c r="B766" s="165">
        <f>IFERROR(__xludf.DUMMYFUNCTION("""COMPUTED_VALUE"""),46042.0)</f>
        <v>46042</v>
      </c>
      <c r="C766" s="165" t="str">
        <f>IFERROR(__xludf.DUMMYFUNCTION("""COMPUTED_VALUE"""),"KERTASARI CIAMIS")</f>
        <v>KERTASARI CIAMIS</v>
      </c>
      <c r="D766" s="94">
        <f>IFERROR(__xludf.DUMMYFUNCTION("""COMPUTED_VALUE"""),5.0)</f>
        <v>5</v>
      </c>
    </row>
    <row r="767">
      <c r="A767" s="87" t="str">
        <f>IFERROR(__xludf.DUMMYFUNCTION("""COMPUTED_VALUE"""),"ITBISA-BUZZER-ACTIVE-5V")</f>
        <v>ITBISA-BUZZER-ACTIVE-5V</v>
      </c>
      <c r="B767" s="165">
        <f>IFERROR(__xludf.DUMMYFUNCTION("""COMPUTED_VALUE"""),46042.0)</f>
        <v>46042</v>
      </c>
      <c r="C767" s="165" t="str">
        <f>IFERROR(__xludf.DUMMYFUNCTION("""COMPUTED_VALUE"""),"KYAI KONTONG")</f>
        <v>KYAI KONTONG</v>
      </c>
      <c r="D767" s="94">
        <f>IFERROR(__xludf.DUMMYFUNCTION("""COMPUTED_VALUE"""),5.0)</f>
        <v>5</v>
      </c>
    </row>
    <row r="768">
      <c r="A768" s="87" t="str">
        <f>IFERROR(__xludf.DUMMYFUNCTION("""COMPUTED_VALUE"""),"ITBISA-BUZZER-ACTIVE-5V")</f>
        <v>ITBISA-BUZZER-ACTIVE-5V</v>
      </c>
      <c r="B768" s="165">
        <f>IFERROR(__xludf.DUMMYFUNCTION("""COMPUTED_VALUE"""),46042.0)</f>
        <v>46042</v>
      </c>
      <c r="C768" s="165" t="str">
        <f>IFERROR(__xludf.DUMMYFUNCTION("""COMPUTED_VALUE"""),"KYAI KONTONG")</f>
        <v>KYAI KONTONG</v>
      </c>
      <c r="D768" s="94">
        <f>IFERROR(__xludf.DUMMYFUNCTION("""COMPUTED_VALUE"""),5.0)</f>
        <v>5</v>
      </c>
    </row>
    <row r="769">
      <c r="A769" s="87" t="str">
        <f>IFERROR(__xludf.DUMMYFUNCTION("""COMPUTED_VALUE"""),"ITBISA-BUZZER-ACTIVE-5V")</f>
        <v>ITBISA-BUZZER-ACTIVE-5V</v>
      </c>
      <c r="B769" s="165">
        <f>IFERROR(__xludf.DUMMYFUNCTION("""COMPUTED_VALUE"""),46043.0)</f>
        <v>46043</v>
      </c>
      <c r="C769" s="165" t="str">
        <f>IFERROR(__xludf.DUMMYFUNCTION("""COMPUTED_VALUE"""),"KERTASARI CIAMIS")</f>
        <v>KERTASARI CIAMIS</v>
      </c>
      <c r="D769" s="94">
        <f>IFERROR(__xludf.DUMMYFUNCTION("""COMPUTED_VALUE"""),20.0)</f>
        <v>20</v>
      </c>
    </row>
    <row r="770">
      <c r="A770" s="87" t="str">
        <f>IFERROR(__xludf.DUMMYFUNCTION("""COMPUTED_VALUE"""),"ITBISA-BUZZER-ACTIVE-5V")</f>
        <v>ITBISA-BUZZER-ACTIVE-5V</v>
      </c>
      <c r="B770" s="165">
        <f>IFERROR(__xludf.DUMMYFUNCTION("""COMPUTED_VALUE"""),46043.0)</f>
        <v>46043</v>
      </c>
      <c r="C770" s="165" t="str">
        <f>IFERROR(__xludf.DUMMYFUNCTION("""COMPUTED_VALUE"""),"KYAI KONTONG")</f>
        <v>KYAI KONTONG</v>
      </c>
      <c r="D770" s="94">
        <f>IFERROR(__xludf.DUMMYFUNCTION("""COMPUTED_VALUE"""),5.0)</f>
        <v>5</v>
      </c>
    </row>
    <row r="771">
      <c r="A771" s="87" t="str">
        <f>IFERROR(__xludf.DUMMYFUNCTION("""COMPUTED_VALUE"""),"ITBISA-BUZZER-ACTIVE-5V")</f>
        <v>ITBISA-BUZZER-ACTIVE-5V</v>
      </c>
      <c r="B771" s="165">
        <f>IFERROR(__xludf.DUMMYFUNCTION("""COMPUTED_VALUE"""),46047.0)</f>
        <v>46047</v>
      </c>
      <c r="C771" s="165" t="str">
        <f>IFERROR(__xludf.DUMMYFUNCTION("""COMPUTED_VALUE"""),"KYAI KONTONG")</f>
        <v>KYAI KONTONG</v>
      </c>
      <c r="D771" s="94">
        <f>IFERROR(__xludf.DUMMYFUNCTION("""COMPUTED_VALUE"""),20.0)</f>
        <v>20</v>
      </c>
    </row>
    <row r="772">
      <c r="A772" s="87" t="str">
        <f>IFERROR(__xludf.DUMMYFUNCTION("""COMPUTED_VALUE"""),"ITBISA-BUZZER-ACTIVE-5V")</f>
        <v>ITBISA-BUZZER-ACTIVE-5V</v>
      </c>
      <c r="B772" s="165">
        <f>IFERROR(__xludf.DUMMYFUNCTION("""COMPUTED_VALUE"""),46048.0)</f>
        <v>46048</v>
      </c>
      <c r="C772" s="165" t="str">
        <f>IFERROR(__xludf.DUMMYFUNCTION("""COMPUTED_VALUE"""),"KERTASARI CIAMIS")</f>
        <v>KERTASARI CIAMIS</v>
      </c>
      <c r="D772" s="94">
        <f>IFERROR(__xludf.DUMMYFUNCTION("""COMPUTED_VALUE"""),5.0)</f>
        <v>5</v>
      </c>
    </row>
    <row r="773">
      <c r="A773" s="87" t="str">
        <f>IFERROR(__xludf.DUMMYFUNCTION("""COMPUTED_VALUE"""),"ITBISA-BUZZER-ACTIVE-5V")</f>
        <v>ITBISA-BUZZER-ACTIVE-5V</v>
      </c>
      <c r="B773" s="165">
        <f>IFERROR(__xludf.DUMMYFUNCTION("""COMPUTED_VALUE"""),46049.0)</f>
        <v>46049</v>
      </c>
      <c r="C773" s="165" t="str">
        <f>IFERROR(__xludf.DUMMYFUNCTION("""COMPUTED_VALUE"""),"KYAI KONTONG")</f>
        <v>KYAI KONTONG</v>
      </c>
      <c r="D773" s="94">
        <f>IFERROR(__xludf.DUMMYFUNCTION("""COMPUTED_VALUE"""),10.0)</f>
        <v>10</v>
      </c>
    </row>
    <row r="774">
      <c r="A774" s="87" t="str">
        <f>IFERROR(__xludf.DUMMYFUNCTION("""COMPUTED_VALUE"""),"ITBISA-BUZZER-ACTIVE-5V")</f>
        <v>ITBISA-BUZZER-ACTIVE-5V</v>
      </c>
      <c r="B774" s="165">
        <f>IFERROR(__xludf.DUMMYFUNCTION("""COMPUTED_VALUE"""),46051.0)</f>
        <v>46051</v>
      </c>
      <c r="C774" s="165" t="str">
        <f>IFERROR(__xludf.DUMMYFUNCTION("""COMPUTED_VALUE"""),"KERTASARI CIAMIS")</f>
        <v>KERTASARI CIAMIS</v>
      </c>
      <c r="D774" s="94">
        <f>IFERROR(__xludf.DUMMYFUNCTION("""COMPUTED_VALUE"""),20.0)</f>
        <v>20</v>
      </c>
    </row>
    <row r="775">
      <c r="A775" s="87" t="str">
        <f>IFERROR(__xludf.DUMMYFUNCTION("""COMPUTED_VALUE"""),"ITBISA-BUZZER-ACTIVE-5V")</f>
        <v>ITBISA-BUZZER-ACTIVE-5V</v>
      </c>
      <c r="B775" s="165">
        <f>IFERROR(__xludf.DUMMYFUNCTION("""COMPUTED_VALUE"""),46056.0)</f>
        <v>46056</v>
      </c>
      <c r="C775" s="165" t="str">
        <f>IFERROR(__xludf.DUMMYFUNCTION("""COMPUTED_VALUE"""),"KYAI KONTONG")</f>
        <v>KYAI KONTONG</v>
      </c>
      <c r="D775" s="94">
        <f>IFERROR(__xludf.DUMMYFUNCTION("""COMPUTED_VALUE"""),30.0)</f>
        <v>30</v>
      </c>
    </row>
    <row r="776">
      <c r="A776" s="87" t="str">
        <f>IFERROR(__xludf.DUMMYFUNCTION("""COMPUTED_VALUE"""),"ITBISA-BUZZER-ACTIVE-5V")</f>
        <v>ITBISA-BUZZER-ACTIVE-5V</v>
      </c>
      <c r="B776" s="165">
        <f>IFERROR(__xludf.DUMMYFUNCTION("""COMPUTED_VALUE"""),46057.0)</f>
        <v>46057</v>
      </c>
      <c r="C776" s="165" t="str">
        <f>IFERROR(__xludf.DUMMYFUNCTION("""COMPUTED_VALUE"""),"KERTASARI CIAMIS")</f>
        <v>KERTASARI CIAMIS</v>
      </c>
      <c r="D776" s="94">
        <f>IFERROR(__xludf.DUMMYFUNCTION("""COMPUTED_VALUE"""),10.0)</f>
        <v>10</v>
      </c>
    </row>
    <row r="777">
      <c r="A777" s="87" t="str">
        <f>IFERROR(__xludf.DUMMYFUNCTION("""COMPUTED_VALUE"""),"ITBISA-BUZZER-ACTIVE-5V")</f>
        <v>ITBISA-BUZZER-ACTIVE-5V</v>
      </c>
      <c r="B777" s="165">
        <f>IFERROR(__xludf.DUMMYFUNCTION("""COMPUTED_VALUE"""),46057.0)</f>
        <v>46057</v>
      </c>
      <c r="C777" s="165" t="str">
        <f>IFERROR(__xludf.DUMMYFUNCTION("""COMPUTED_VALUE"""),"KERTASARI CIAMIS")</f>
        <v>KERTASARI CIAMIS</v>
      </c>
      <c r="D777" s="94">
        <f>IFERROR(__xludf.DUMMYFUNCTION("""COMPUTED_VALUE"""),20.0)</f>
        <v>20</v>
      </c>
    </row>
    <row r="778">
      <c r="A778" s="87" t="str">
        <f>IFERROR(__xludf.DUMMYFUNCTION("""COMPUTED_VALUE"""),"ITBISA-BUZZER-ACTIVE-5V")</f>
        <v>ITBISA-BUZZER-ACTIVE-5V</v>
      </c>
      <c r="B778" s="165">
        <f>IFERROR(__xludf.DUMMYFUNCTION("""COMPUTED_VALUE"""),46058.0)</f>
        <v>46058</v>
      </c>
      <c r="C778" s="165" t="str">
        <f>IFERROR(__xludf.DUMMYFUNCTION("""COMPUTED_VALUE"""),"KYAI KONTONG")</f>
        <v>KYAI KONTONG</v>
      </c>
      <c r="D778" s="94">
        <f>IFERROR(__xludf.DUMMYFUNCTION("""COMPUTED_VALUE"""),3.0)</f>
        <v>3</v>
      </c>
    </row>
    <row r="779">
      <c r="A779" s="87" t="str">
        <f>IFERROR(__xludf.DUMMYFUNCTION("""COMPUTED_VALUE"""),"ITBISA-BUZZER-ACTIVE-5V")</f>
        <v>ITBISA-BUZZER-ACTIVE-5V</v>
      </c>
      <c r="B779" s="165">
        <f>IFERROR(__xludf.DUMMYFUNCTION("""COMPUTED_VALUE"""),46058.0)</f>
        <v>46058</v>
      </c>
      <c r="C779" s="165" t="str">
        <f>IFERROR(__xludf.DUMMYFUNCTION("""COMPUTED_VALUE"""),"KYAI KONTONG")</f>
        <v>KYAI KONTONG</v>
      </c>
      <c r="D779" s="94">
        <f>IFERROR(__xludf.DUMMYFUNCTION("""COMPUTED_VALUE"""),5.0)</f>
        <v>5</v>
      </c>
    </row>
    <row r="780">
      <c r="A780" s="87" t="str">
        <f>IFERROR(__xludf.DUMMYFUNCTION("""COMPUTED_VALUE"""),"ITBISA-BUZZER-ACTIVE-5V")</f>
        <v>ITBISA-BUZZER-ACTIVE-5V</v>
      </c>
      <c r="B780" s="165">
        <f>IFERROR(__xludf.DUMMYFUNCTION("""COMPUTED_VALUE"""),46059.0)</f>
        <v>46059</v>
      </c>
      <c r="C780" s="165" t="str">
        <f>IFERROR(__xludf.DUMMYFUNCTION("""COMPUTED_VALUE"""),"KERTASARI CIAMIS")</f>
        <v>KERTASARI CIAMIS</v>
      </c>
      <c r="D780" s="94">
        <f>IFERROR(__xludf.DUMMYFUNCTION("""COMPUTED_VALUE"""),5.0)</f>
        <v>5</v>
      </c>
    </row>
    <row r="781">
      <c r="A781" s="87" t="str">
        <f>IFERROR(__xludf.DUMMYFUNCTION("""COMPUTED_VALUE"""),"ITBISA-BUZZER-ACTIVE-5V")</f>
        <v>ITBISA-BUZZER-ACTIVE-5V</v>
      </c>
      <c r="B781" s="165">
        <f>IFERROR(__xludf.DUMMYFUNCTION("""COMPUTED_VALUE"""),46061.0)</f>
        <v>46061</v>
      </c>
      <c r="C781" s="165" t="str">
        <f>IFERROR(__xludf.DUMMYFUNCTION("""COMPUTED_VALUE"""),"KYAI KONTONG")</f>
        <v>KYAI KONTONG</v>
      </c>
      <c r="D781" s="94">
        <f>IFERROR(__xludf.DUMMYFUNCTION("""COMPUTED_VALUE"""),10.0)</f>
        <v>10</v>
      </c>
    </row>
    <row r="782">
      <c r="A782" s="87" t="str">
        <f>IFERROR(__xludf.DUMMYFUNCTION("""COMPUTED_VALUE"""),"ITBISA-BUZZER-ACTIVE-5V")</f>
        <v>ITBISA-BUZZER-ACTIVE-5V</v>
      </c>
      <c r="B782" s="165">
        <f>IFERROR(__xludf.DUMMYFUNCTION("""COMPUTED_VALUE"""),46063.0)</f>
        <v>46063</v>
      </c>
      <c r="C782" s="165" t="str">
        <f>IFERROR(__xludf.DUMMYFUNCTION("""COMPUTED_VALUE"""),"KYAI KONTONG")</f>
        <v>KYAI KONTONG</v>
      </c>
      <c r="D782" s="94">
        <f>IFERROR(__xludf.DUMMYFUNCTION("""COMPUTED_VALUE"""),5.0)</f>
        <v>5</v>
      </c>
    </row>
    <row r="783">
      <c r="A783" s="87" t="str">
        <f>IFERROR(__xludf.DUMMYFUNCTION("""COMPUTED_VALUE"""),"ITBISA-BUZZER-ACTIVE-5V")</f>
        <v>ITBISA-BUZZER-ACTIVE-5V</v>
      </c>
      <c r="B783" s="165">
        <f>IFERROR(__xludf.DUMMYFUNCTION("""COMPUTED_VALUE"""),46064.0)</f>
        <v>46064</v>
      </c>
      <c r="C783" s="165" t="str">
        <f>IFERROR(__xludf.DUMMYFUNCTION("""COMPUTED_VALUE"""),"KYAI KONTONG")</f>
        <v>KYAI KONTONG</v>
      </c>
      <c r="D783" s="94">
        <f>IFERROR(__xludf.DUMMYFUNCTION("""COMPUTED_VALUE"""),5.0)</f>
        <v>5</v>
      </c>
    </row>
    <row r="784">
      <c r="A784" s="87" t="str">
        <f>IFERROR(__xludf.DUMMYFUNCTION("""COMPUTED_VALUE"""),"ITBISA-BUZZER-ACTIVE-5V")</f>
        <v>ITBISA-BUZZER-ACTIVE-5V</v>
      </c>
      <c r="B784" s="165">
        <f>IFERROR(__xludf.DUMMYFUNCTION("""COMPUTED_VALUE"""),46066.0)</f>
        <v>46066</v>
      </c>
      <c r="C784" s="165" t="str">
        <f>IFERROR(__xludf.DUMMYFUNCTION("""COMPUTED_VALUE"""),"KERTASARI CIAMIS")</f>
        <v>KERTASARI CIAMIS</v>
      </c>
      <c r="D784" s="94">
        <f>IFERROR(__xludf.DUMMYFUNCTION("""COMPUTED_VALUE"""),5.0)</f>
        <v>5</v>
      </c>
    </row>
    <row r="785">
      <c r="A785" s="87" t="str">
        <f>IFERROR(__xludf.DUMMYFUNCTION("""COMPUTED_VALUE"""),"ITBISA-BUZZER-ACTIVE-5V")</f>
        <v>ITBISA-BUZZER-ACTIVE-5V</v>
      </c>
      <c r="B785" s="165">
        <f>IFERROR(__xludf.DUMMYFUNCTION("""COMPUTED_VALUE"""),46069.0)</f>
        <v>46069</v>
      </c>
      <c r="C785" s="165" t="str">
        <f>IFERROR(__xludf.DUMMYFUNCTION("""COMPUTED_VALUE"""),"KERTASARI CIAMIS")</f>
        <v>KERTASARI CIAMIS</v>
      </c>
      <c r="D785" s="94">
        <f>IFERROR(__xludf.DUMMYFUNCTION("""COMPUTED_VALUE"""),50.0)</f>
        <v>50</v>
      </c>
    </row>
    <row r="786">
      <c r="A786" s="87" t="str">
        <f>IFERROR(__xludf.DUMMYFUNCTION("""COMPUTED_VALUE"""),"ITBISA-BUZZER-ACTIVE-5V")</f>
        <v>ITBISA-BUZZER-ACTIVE-5V</v>
      </c>
      <c r="B786" s="165">
        <f>IFERROR(__xludf.DUMMYFUNCTION("""COMPUTED_VALUE"""),46070.0)</f>
        <v>46070</v>
      </c>
      <c r="C786" s="165" t="str">
        <f>IFERROR(__xludf.DUMMYFUNCTION("""COMPUTED_VALUE"""),"KERTASARI CIAMIS")</f>
        <v>KERTASARI CIAMIS</v>
      </c>
      <c r="D786" s="94">
        <f>IFERROR(__xludf.DUMMYFUNCTION("""COMPUTED_VALUE"""),5.0)</f>
        <v>5</v>
      </c>
    </row>
    <row r="787">
      <c r="A787" s="87" t="str">
        <f>IFERROR(__xludf.DUMMYFUNCTION("""COMPUTED_VALUE"""),"ITBISA-BUZZER-ACTIVE-5V")</f>
        <v>ITBISA-BUZZER-ACTIVE-5V</v>
      </c>
      <c r="B787" s="165">
        <f>IFERROR(__xludf.DUMMYFUNCTION("""COMPUTED_VALUE"""),46071.0)</f>
        <v>46071</v>
      </c>
      <c r="C787" s="165" t="str">
        <f>IFERROR(__xludf.DUMMYFUNCTION("""COMPUTED_VALUE"""),"KERTASARI CIAMIS")</f>
        <v>KERTASARI CIAMIS</v>
      </c>
      <c r="D787" s="94">
        <f>IFERROR(__xludf.DUMMYFUNCTION("""COMPUTED_VALUE"""),12.0)</f>
        <v>12</v>
      </c>
    </row>
    <row r="788">
      <c r="A788" s="87" t="str">
        <f>IFERROR(__xludf.DUMMYFUNCTION("""COMPUTED_VALUE"""),"ITBISA-BUZZER-ACTIVE-5V")</f>
        <v>ITBISA-BUZZER-ACTIVE-5V</v>
      </c>
      <c r="B788" s="165">
        <f>IFERROR(__xludf.DUMMYFUNCTION("""COMPUTED_VALUE"""),46071.0)</f>
        <v>46071</v>
      </c>
      <c r="C788" s="165" t="str">
        <f>IFERROR(__xludf.DUMMYFUNCTION("""COMPUTED_VALUE"""),"KYAI KONTONG")</f>
        <v>KYAI KONTONG</v>
      </c>
      <c r="D788" s="94">
        <f>IFERROR(__xludf.DUMMYFUNCTION("""COMPUTED_VALUE"""),3.0)</f>
        <v>3</v>
      </c>
    </row>
    <row r="789">
      <c r="A789" s="87" t="str">
        <f>IFERROR(__xludf.DUMMYFUNCTION("""COMPUTED_VALUE"""),"ITBISA-BUZZER-ACTIVE-5V")</f>
        <v>ITBISA-BUZZER-ACTIVE-5V</v>
      </c>
      <c r="B789" s="165">
        <f>IFERROR(__xludf.DUMMYFUNCTION("""COMPUTED_VALUE"""),46072.0)</f>
        <v>46072</v>
      </c>
      <c r="C789" s="165" t="str">
        <f>IFERROR(__xludf.DUMMYFUNCTION("""COMPUTED_VALUE"""),"KYAI KONTONG")</f>
        <v>KYAI KONTONG</v>
      </c>
      <c r="D789" s="94">
        <f>IFERROR(__xludf.DUMMYFUNCTION("""COMPUTED_VALUE"""),15.0)</f>
        <v>15</v>
      </c>
    </row>
    <row r="790">
      <c r="A790" s="87" t="str">
        <f>IFERROR(__xludf.DUMMYFUNCTION("""COMPUTED_VALUE"""),"ITBISA-BUZZER-ACTIVE-5V")</f>
        <v>ITBISA-BUZZER-ACTIVE-5V</v>
      </c>
      <c r="B790" s="165">
        <f>IFERROR(__xludf.DUMMYFUNCTION("""COMPUTED_VALUE"""),46073.0)</f>
        <v>46073</v>
      </c>
      <c r="C790" s="165" t="str">
        <f>IFERROR(__xludf.DUMMYFUNCTION("""COMPUTED_VALUE"""),"KERTASARI CIAMIS")</f>
        <v>KERTASARI CIAMIS</v>
      </c>
      <c r="D790" s="94">
        <f>IFERROR(__xludf.DUMMYFUNCTION("""COMPUTED_VALUE"""),5.0)</f>
        <v>5</v>
      </c>
    </row>
    <row r="791">
      <c r="A791" s="87" t="str">
        <f>IFERROR(__xludf.DUMMYFUNCTION("""COMPUTED_VALUE"""),"ITBISA-BUZZER-ACTIVE-5V")</f>
        <v>ITBISA-BUZZER-ACTIVE-5V</v>
      </c>
      <c r="B791" s="165">
        <f>IFERROR(__xludf.DUMMYFUNCTION("""COMPUTED_VALUE"""),46074.0)</f>
        <v>46074</v>
      </c>
      <c r="C791" s="165" t="str">
        <f>IFERROR(__xludf.DUMMYFUNCTION("""COMPUTED_VALUE"""),"KYAI KONTONG")</f>
        <v>KYAI KONTONG</v>
      </c>
      <c r="D791" s="94">
        <f>IFERROR(__xludf.DUMMYFUNCTION("""COMPUTED_VALUE"""),2.0)</f>
        <v>2</v>
      </c>
    </row>
    <row r="792">
      <c r="A792" s="87" t="str">
        <f>IFERROR(__xludf.DUMMYFUNCTION("""COMPUTED_VALUE"""),"ITBISA-BUZZER-ACTIVE-5V")</f>
        <v>ITBISA-BUZZER-ACTIVE-5V</v>
      </c>
      <c r="B792" s="165">
        <f>IFERROR(__xludf.DUMMYFUNCTION("""COMPUTED_VALUE"""),46076.0)</f>
        <v>46076</v>
      </c>
      <c r="C792" s="165" t="str">
        <f>IFERROR(__xludf.DUMMYFUNCTION("""COMPUTED_VALUE"""),"KERTASARI CIAMIS")</f>
        <v>KERTASARI CIAMIS</v>
      </c>
      <c r="D792" s="94">
        <f>IFERROR(__xludf.DUMMYFUNCTION("""COMPUTED_VALUE"""),10.0)</f>
        <v>10</v>
      </c>
    </row>
    <row r="793">
      <c r="A793" s="87" t="str">
        <f>IFERROR(__xludf.DUMMYFUNCTION("""COMPUTED_VALUE"""),"ITBISA-BUZZER-ACTIVE-5V")</f>
        <v>ITBISA-BUZZER-ACTIVE-5V</v>
      </c>
      <c r="B793" s="165">
        <f>IFERROR(__xludf.DUMMYFUNCTION("""COMPUTED_VALUE"""),46077.0)</f>
        <v>46077</v>
      </c>
      <c r="C793" s="165" t="str">
        <f>IFERROR(__xludf.DUMMYFUNCTION("""COMPUTED_VALUE"""),"KERTASARI CIAMIS")</f>
        <v>KERTASARI CIAMIS</v>
      </c>
      <c r="D793" s="94">
        <f>IFERROR(__xludf.DUMMYFUNCTION("""COMPUTED_VALUE"""),6.0)</f>
        <v>6</v>
      </c>
    </row>
    <row r="794">
      <c r="A794" s="87" t="str">
        <f>IFERROR(__xludf.DUMMYFUNCTION("""COMPUTED_VALUE"""),"ITBISA-BUZZER-ACTIVE-5V")</f>
        <v>ITBISA-BUZZER-ACTIVE-5V</v>
      </c>
      <c r="B794" s="165">
        <f>IFERROR(__xludf.DUMMYFUNCTION("""COMPUTED_VALUE"""),46077.0)</f>
        <v>46077</v>
      </c>
      <c r="C794" s="165" t="str">
        <f>IFERROR(__xludf.DUMMYFUNCTION("""COMPUTED_VALUE"""),"KERTASARI CIAMIS")</f>
        <v>KERTASARI CIAMIS</v>
      </c>
      <c r="D794" s="94">
        <f>IFERROR(__xludf.DUMMYFUNCTION("""COMPUTED_VALUE"""),50.0)</f>
        <v>50</v>
      </c>
    </row>
    <row r="795">
      <c r="A795" s="87" t="str">
        <f>IFERROR(__xludf.DUMMYFUNCTION("""COMPUTED_VALUE"""),"ITBISA-BUZZER-ACTIVE-5V")</f>
        <v>ITBISA-BUZZER-ACTIVE-5V</v>
      </c>
      <c r="B795" s="165">
        <f>IFERROR(__xludf.DUMMYFUNCTION("""COMPUTED_VALUE"""),46078.0)</f>
        <v>46078</v>
      </c>
      <c r="C795" s="165" t="str">
        <f>IFERROR(__xludf.DUMMYFUNCTION("""COMPUTED_VALUE"""),"KYAI KONTONG")</f>
        <v>KYAI KONTONG</v>
      </c>
      <c r="D795" s="94">
        <f>IFERROR(__xludf.DUMMYFUNCTION("""COMPUTED_VALUE"""),2.0)</f>
        <v>2</v>
      </c>
    </row>
    <row r="796">
      <c r="A796" s="87" t="str">
        <f>IFERROR(__xludf.DUMMYFUNCTION("""COMPUTED_VALUE"""),"ITBISA-BUZZER-ACTIVE-5V")</f>
        <v>ITBISA-BUZZER-ACTIVE-5V</v>
      </c>
      <c r="B796" s="165">
        <f>IFERROR(__xludf.DUMMYFUNCTION("""COMPUTED_VALUE"""),46079.0)</f>
        <v>46079</v>
      </c>
      <c r="C796" s="165" t="str">
        <f>IFERROR(__xludf.DUMMYFUNCTION("""COMPUTED_VALUE"""),"KYAI KONTONG")</f>
        <v>KYAI KONTONG</v>
      </c>
      <c r="D796" s="94">
        <f>IFERROR(__xludf.DUMMYFUNCTION("""COMPUTED_VALUE"""),10.0)</f>
        <v>10</v>
      </c>
    </row>
    <row r="797">
      <c r="A797" s="87" t="str">
        <f>IFERROR(__xludf.DUMMYFUNCTION("""COMPUTED_VALUE"""),"ITBISA-BUZZER-ACTIVE-5V")</f>
        <v>ITBISA-BUZZER-ACTIVE-5V</v>
      </c>
      <c r="B797" s="165">
        <f>IFERROR(__xludf.DUMMYFUNCTION("""COMPUTED_VALUE"""),46079.0)</f>
        <v>46079</v>
      </c>
      <c r="C797" s="165" t="str">
        <f>IFERROR(__xludf.DUMMYFUNCTION("""COMPUTED_VALUE"""),"KYAI KONTONG")</f>
        <v>KYAI KONTONG</v>
      </c>
      <c r="D797" s="94">
        <f>IFERROR(__xludf.DUMMYFUNCTION("""COMPUTED_VALUE"""),100.0)</f>
        <v>100</v>
      </c>
    </row>
    <row r="798">
      <c r="A798" s="87" t="str">
        <f>IFERROR(__xludf.DUMMYFUNCTION("""COMPUTED_VALUE"""),"ITBISA-BUZZER-ACTIVE-5V")</f>
        <v>ITBISA-BUZZER-ACTIVE-5V</v>
      </c>
      <c r="B798" s="165">
        <f>IFERROR(__xludf.DUMMYFUNCTION("""COMPUTED_VALUE"""),46081.0)</f>
        <v>46081</v>
      </c>
      <c r="C798" s="165" t="str">
        <f>IFERROR(__xludf.DUMMYFUNCTION("""COMPUTED_VALUE"""),"KERTASARI CIAMIS")</f>
        <v>KERTASARI CIAMIS</v>
      </c>
      <c r="D798" s="94">
        <f>IFERROR(__xludf.DUMMYFUNCTION("""COMPUTED_VALUE"""),5.0)</f>
        <v>5</v>
      </c>
    </row>
    <row r="799">
      <c r="A799" s="87" t="str">
        <f>IFERROR(__xludf.DUMMYFUNCTION("""COMPUTED_VALUE"""),"ITBISA-BUZZER-ACTIVE-5V")</f>
        <v>ITBISA-BUZZER-ACTIVE-5V</v>
      </c>
      <c r="B799" s="165">
        <f>IFERROR(__xludf.DUMMYFUNCTION("""COMPUTED_VALUE"""),46082.0)</f>
        <v>46082</v>
      </c>
      <c r="C799" s="165" t="str">
        <f>IFERROR(__xludf.DUMMYFUNCTION("""COMPUTED_VALUE"""),"KYAI KONTONG")</f>
        <v>KYAI KONTONG</v>
      </c>
      <c r="D799" s="94">
        <f>IFERROR(__xludf.DUMMYFUNCTION("""COMPUTED_VALUE"""),15.0)</f>
        <v>15</v>
      </c>
    </row>
    <row r="800">
      <c r="A800" s="87" t="str">
        <f>IFERROR(__xludf.DUMMYFUNCTION("""COMPUTED_VALUE"""),"ITBISA-BUZZER-ACTIVE-5V")</f>
        <v>ITBISA-BUZZER-ACTIVE-5V</v>
      </c>
      <c r="B800" s="165">
        <f>IFERROR(__xludf.DUMMYFUNCTION("""COMPUTED_VALUE"""),46083.0)</f>
        <v>46083</v>
      </c>
      <c r="C800" s="165" t="str">
        <f>IFERROR(__xludf.DUMMYFUNCTION("""COMPUTED_VALUE"""),"KYAI KONTONG")</f>
        <v>KYAI KONTONG</v>
      </c>
      <c r="D800" s="94">
        <f>IFERROR(__xludf.DUMMYFUNCTION("""COMPUTED_VALUE"""),5.0)</f>
        <v>5</v>
      </c>
    </row>
    <row r="801">
      <c r="A801" s="87" t="str">
        <f>IFERROR(__xludf.DUMMYFUNCTION("""COMPUTED_VALUE"""),"ITBISA-BUZZER-ACTIVE-5V")</f>
        <v>ITBISA-BUZZER-ACTIVE-5V</v>
      </c>
      <c r="B801" s="165">
        <f>IFERROR(__xludf.DUMMYFUNCTION("""COMPUTED_VALUE"""),46084.0)</f>
        <v>46084</v>
      </c>
      <c r="C801" s="165" t="str">
        <f>IFERROR(__xludf.DUMMYFUNCTION("""COMPUTED_VALUE"""),"KERTASARI CIAMIS")</f>
        <v>KERTASARI CIAMIS</v>
      </c>
      <c r="D801" s="94">
        <f>IFERROR(__xludf.DUMMYFUNCTION("""COMPUTED_VALUE"""),25.0)</f>
        <v>25</v>
      </c>
    </row>
    <row r="802">
      <c r="A802" s="87" t="str">
        <f>IFERROR(__xludf.DUMMYFUNCTION("""COMPUTED_VALUE"""),"ITBISA-BUZZER-ACTIVE-5V")</f>
        <v>ITBISA-BUZZER-ACTIVE-5V</v>
      </c>
      <c r="B802" s="165">
        <f>IFERROR(__xludf.DUMMYFUNCTION("""COMPUTED_VALUE"""),46084.0)</f>
        <v>46084</v>
      </c>
      <c r="C802" s="165" t="str">
        <f>IFERROR(__xludf.DUMMYFUNCTION("""COMPUTED_VALUE"""),"KYAI KONTONG")</f>
        <v>KYAI KONTONG</v>
      </c>
      <c r="D802" s="94">
        <f>IFERROR(__xludf.DUMMYFUNCTION("""COMPUTED_VALUE"""),5.0)</f>
        <v>5</v>
      </c>
    </row>
    <row r="803">
      <c r="A803" s="87" t="str">
        <f>IFERROR(__xludf.DUMMYFUNCTION("""COMPUTED_VALUE"""),"ITBISA-BUZZER-ACTIVE-5V")</f>
        <v>ITBISA-BUZZER-ACTIVE-5V</v>
      </c>
      <c r="B803" s="165">
        <f>IFERROR(__xludf.DUMMYFUNCTION("""COMPUTED_VALUE"""),46084.0)</f>
        <v>46084</v>
      </c>
      <c r="C803" s="165" t="str">
        <f>IFERROR(__xludf.DUMMYFUNCTION("""COMPUTED_VALUE"""),"KYAI KONTONG")</f>
        <v>KYAI KONTONG</v>
      </c>
      <c r="D803" s="94">
        <f>IFERROR(__xludf.DUMMYFUNCTION("""COMPUTED_VALUE"""),5.0)</f>
        <v>5</v>
      </c>
    </row>
    <row r="804">
      <c r="A804" s="87" t="str">
        <f>IFERROR(__xludf.DUMMYFUNCTION("""COMPUTED_VALUE"""),"ITBISA-BUZZER-ACTIVE-5V")</f>
        <v>ITBISA-BUZZER-ACTIVE-5V</v>
      </c>
      <c r="B804" s="165">
        <f>IFERROR(__xludf.DUMMYFUNCTION("""COMPUTED_VALUE"""),46086.0)</f>
        <v>46086</v>
      </c>
      <c r="C804" s="165" t="str">
        <f>IFERROR(__xludf.DUMMYFUNCTION("""COMPUTED_VALUE"""),"KERTASARI CIAMIS")</f>
        <v>KERTASARI CIAMIS</v>
      </c>
      <c r="D804" s="94">
        <f>IFERROR(__xludf.DUMMYFUNCTION("""COMPUTED_VALUE"""),70.0)</f>
        <v>70</v>
      </c>
    </row>
    <row r="805">
      <c r="A805" s="87" t="str">
        <f>IFERROR(__xludf.DUMMYFUNCTION("""COMPUTED_VALUE"""),"ITBISA-BUZZER-ACTIVE-5V")</f>
        <v>ITBISA-BUZZER-ACTIVE-5V</v>
      </c>
      <c r="B805" s="165">
        <f>IFERROR(__xludf.DUMMYFUNCTION("""COMPUTED_VALUE"""),46087.0)</f>
        <v>46087</v>
      </c>
      <c r="C805" s="165" t="str">
        <f>IFERROR(__xludf.DUMMYFUNCTION("""COMPUTED_VALUE"""),"KYAI KONTONG")</f>
        <v>KYAI KONTONG</v>
      </c>
      <c r="D805" s="94">
        <f>IFERROR(__xludf.DUMMYFUNCTION("""COMPUTED_VALUE"""),10.0)</f>
        <v>10</v>
      </c>
    </row>
    <row r="806">
      <c r="A806" s="87" t="str">
        <f>IFERROR(__xludf.DUMMYFUNCTION("""COMPUTED_VALUE"""),"ITBISA-BUZZER-ACTIVE-5V")</f>
        <v>ITBISA-BUZZER-ACTIVE-5V</v>
      </c>
      <c r="B806" s="165">
        <f>IFERROR(__xludf.DUMMYFUNCTION("""COMPUTED_VALUE"""),46088.0)</f>
        <v>46088</v>
      </c>
      <c r="C806" s="165" t="str">
        <f>IFERROR(__xludf.DUMMYFUNCTION("""COMPUTED_VALUE"""),"KYAI KONTONG")</f>
        <v>KYAI KONTONG</v>
      </c>
      <c r="D806" s="94">
        <f>IFERROR(__xludf.DUMMYFUNCTION("""COMPUTED_VALUE"""),5.0)</f>
        <v>5</v>
      </c>
    </row>
    <row r="807">
      <c r="A807" s="87" t="str">
        <f>IFERROR(__xludf.DUMMYFUNCTION("""COMPUTED_VALUE"""),"ITBISA-BUZZER-ACTIVE-5V")</f>
        <v>ITBISA-BUZZER-ACTIVE-5V</v>
      </c>
      <c r="B807" s="165">
        <f>IFERROR(__xludf.DUMMYFUNCTION("""COMPUTED_VALUE"""),46088.0)</f>
        <v>46088</v>
      </c>
      <c r="C807" s="165" t="str">
        <f>IFERROR(__xludf.DUMMYFUNCTION("""COMPUTED_VALUE"""),"KYAI KONTONG")</f>
        <v>KYAI KONTONG</v>
      </c>
      <c r="D807" s="94">
        <f>IFERROR(__xludf.DUMMYFUNCTION("""COMPUTED_VALUE"""),5.0)</f>
        <v>5</v>
      </c>
    </row>
    <row r="808">
      <c r="A808" s="87" t="str">
        <f>IFERROR(__xludf.DUMMYFUNCTION("""COMPUTED_VALUE"""),"ITBISA-BUZZER-ACTIVE-5V")</f>
        <v>ITBISA-BUZZER-ACTIVE-5V</v>
      </c>
      <c r="B808" s="165">
        <f>IFERROR(__xludf.DUMMYFUNCTION("""COMPUTED_VALUE"""),46089.0)</f>
        <v>46089</v>
      </c>
      <c r="C808" s="165" t="str">
        <f>IFERROR(__xludf.DUMMYFUNCTION("""COMPUTED_VALUE"""),"KYAI KONTONG")</f>
        <v>KYAI KONTONG</v>
      </c>
      <c r="D808" s="94">
        <f>IFERROR(__xludf.DUMMYFUNCTION("""COMPUTED_VALUE"""),5.0)</f>
        <v>5</v>
      </c>
    </row>
    <row r="809">
      <c r="A809" s="87" t="str">
        <f>IFERROR(__xludf.DUMMYFUNCTION("""COMPUTED_VALUE"""),"ITBISA-BUZZER-ACTIVE-5V")</f>
        <v>ITBISA-BUZZER-ACTIVE-5V</v>
      </c>
      <c r="B809" s="165">
        <f>IFERROR(__xludf.DUMMYFUNCTION("""COMPUTED_VALUE"""),46089.0)</f>
        <v>46089</v>
      </c>
      <c r="C809" s="165" t="str">
        <f>IFERROR(__xludf.DUMMYFUNCTION("""COMPUTED_VALUE"""),"KYAI KONTONG")</f>
        <v>KYAI KONTONG</v>
      </c>
      <c r="D809" s="94">
        <f>IFERROR(__xludf.DUMMYFUNCTION("""COMPUTED_VALUE"""),30.0)</f>
        <v>30</v>
      </c>
    </row>
    <row r="810">
      <c r="A810" s="87" t="str">
        <f>IFERROR(__xludf.DUMMYFUNCTION("""COMPUTED_VALUE"""),"ITBISA-BUZZER-ACTIVE-5V")</f>
        <v>ITBISA-BUZZER-ACTIVE-5V</v>
      </c>
      <c r="B810" s="165">
        <f>IFERROR(__xludf.DUMMYFUNCTION("""COMPUTED_VALUE"""),46089.0)</f>
        <v>46089</v>
      </c>
      <c r="C810" s="165" t="str">
        <f>IFERROR(__xludf.DUMMYFUNCTION("""COMPUTED_VALUE"""),"KYAI KONTONG")</f>
        <v>KYAI KONTONG</v>
      </c>
      <c r="D810" s="94">
        <f>IFERROR(__xludf.DUMMYFUNCTION("""COMPUTED_VALUE"""),46.0)</f>
        <v>46</v>
      </c>
    </row>
    <row r="811">
      <c r="A811" s="87" t="str">
        <f>IFERROR(__xludf.DUMMYFUNCTION("""COMPUTED_VALUE"""),"ITBISA-BUZZER-ACTIVE-5V")</f>
        <v>ITBISA-BUZZER-ACTIVE-5V</v>
      </c>
      <c r="B811" s="165">
        <f>IFERROR(__xludf.DUMMYFUNCTION("""COMPUTED_VALUE"""),46090.0)</f>
        <v>46090</v>
      </c>
      <c r="C811" s="165" t="str">
        <f>IFERROR(__xludf.DUMMYFUNCTION("""COMPUTED_VALUE"""),"KYAI KONTONG")</f>
        <v>KYAI KONTONG</v>
      </c>
      <c r="D811" s="94">
        <f>IFERROR(__xludf.DUMMYFUNCTION("""COMPUTED_VALUE"""),300.0)</f>
        <v>300</v>
      </c>
    </row>
    <row r="812">
      <c r="A812" s="87" t="str">
        <f>IFERROR(__xludf.DUMMYFUNCTION("""COMPUTED_VALUE"""),"ITBISA-BUZZER-ACTIVE-5V")</f>
        <v>ITBISA-BUZZER-ACTIVE-5V</v>
      </c>
      <c r="B812" s="165">
        <f>IFERROR(__xludf.DUMMYFUNCTION("""COMPUTED_VALUE"""),46092.0)</f>
        <v>46092</v>
      </c>
      <c r="C812" s="165" t="str">
        <f>IFERROR(__xludf.DUMMYFUNCTION("""COMPUTED_VALUE"""),"KYAI KONTONG")</f>
        <v>KYAI KONTONG</v>
      </c>
      <c r="D812" s="94">
        <f>IFERROR(__xludf.DUMMYFUNCTION("""COMPUTED_VALUE"""),5.0)</f>
        <v>5</v>
      </c>
    </row>
    <row r="813">
      <c r="A813" s="87" t="str">
        <f>IFERROR(__xludf.DUMMYFUNCTION("""COMPUTED_VALUE"""),"ITBISA-BUZZER-ACTIVE-5V")</f>
        <v>ITBISA-BUZZER-ACTIVE-5V</v>
      </c>
      <c r="B813" s="165">
        <f>IFERROR(__xludf.DUMMYFUNCTION("""COMPUTED_VALUE"""),46093.0)</f>
        <v>46093</v>
      </c>
      <c r="C813" s="165" t="str">
        <f>IFERROR(__xludf.DUMMYFUNCTION("""COMPUTED_VALUE"""),"KYAI KONTONG")</f>
        <v>KYAI KONTONG</v>
      </c>
      <c r="D813" s="94">
        <f>IFERROR(__xludf.DUMMYFUNCTION("""COMPUTED_VALUE"""),70.0)</f>
        <v>70</v>
      </c>
    </row>
    <row r="814">
      <c r="A814" s="87" t="str">
        <f>IFERROR(__xludf.DUMMYFUNCTION("""COMPUTED_VALUE"""),"ITBISA-BUZZER-ACTIVE-5V")</f>
        <v>ITBISA-BUZZER-ACTIVE-5V</v>
      </c>
      <c r="B814" s="165">
        <f>IFERROR(__xludf.DUMMYFUNCTION("""COMPUTED_VALUE"""),46094.0)</f>
        <v>46094</v>
      </c>
      <c r="C814" s="165" t="str">
        <f>IFERROR(__xludf.DUMMYFUNCTION("""COMPUTED_VALUE"""),"KYAI KONTONG")</f>
        <v>KYAI KONTONG</v>
      </c>
      <c r="D814" s="94">
        <f>IFERROR(__xludf.DUMMYFUNCTION("""COMPUTED_VALUE"""),5.0)</f>
        <v>5</v>
      </c>
    </row>
    <row r="815">
      <c r="A815" s="87" t="str">
        <f>IFERROR(__xludf.DUMMYFUNCTION("""COMPUTED_VALUE"""),"ITBISA-BUZZER-ACTIVE-5V")</f>
        <v>ITBISA-BUZZER-ACTIVE-5V</v>
      </c>
      <c r="B815" s="165">
        <f>IFERROR(__xludf.DUMMYFUNCTION("""COMPUTED_VALUE"""),46099.0)</f>
        <v>46099</v>
      </c>
      <c r="C815" s="165" t="str">
        <f>IFERROR(__xludf.DUMMYFUNCTION("""COMPUTED_VALUE"""),"KYAI KONTONG")</f>
        <v>KYAI KONTONG</v>
      </c>
      <c r="D815" s="94">
        <f>IFERROR(__xludf.DUMMYFUNCTION("""COMPUTED_VALUE"""),5.0)</f>
        <v>5</v>
      </c>
    </row>
    <row r="816">
      <c r="A816" s="87" t="str">
        <f>IFERROR(__xludf.DUMMYFUNCTION("""COMPUTED_VALUE"""),"ITBISA-BUZZER-ACTIVE-5V")</f>
        <v>ITBISA-BUZZER-ACTIVE-5V</v>
      </c>
      <c r="B816" s="165">
        <f>IFERROR(__xludf.DUMMYFUNCTION("""COMPUTED_VALUE"""),46114.0)</f>
        <v>46114</v>
      </c>
      <c r="C816" s="165" t="str">
        <f>IFERROR(__xludf.DUMMYFUNCTION("""COMPUTED_VALUE"""),"KYAI KONTONG")</f>
        <v>KYAI KONTONG</v>
      </c>
      <c r="D816" s="94">
        <f>IFERROR(__xludf.DUMMYFUNCTION("""COMPUTED_VALUE"""),10.0)</f>
        <v>10</v>
      </c>
    </row>
    <row r="817">
      <c r="A817" s="87" t="str">
        <f>IFERROR(__xludf.DUMMYFUNCTION("""COMPUTED_VALUE"""),"ITBISA-BUZZER-ACTIVE-5V")</f>
        <v>ITBISA-BUZZER-ACTIVE-5V</v>
      </c>
      <c r="B817" s="165">
        <f>IFERROR(__xludf.DUMMYFUNCTION("""COMPUTED_VALUE"""),46114.0)</f>
        <v>46114</v>
      </c>
      <c r="C817" s="165" t="str">
        <f>IFERROR(__xludf.DUMMYFUNCTION("""COMPUTED_VALUE"""),"KYAI KONTONG")</f>
        <v>KYAI KONTONG</v>
      </c>
      <c r="D817" s="94">
        <f>IFERROR(__xludf.DUMMYFUNCTION("""COMPUTED_VALUE"""),10.0)</f>
        <v>10</v>
      </c>
    </row>
    <row r="818">
      <c r="A818" s="87" t="str">
        <f>IFERROR(__xludf.DUMMYFUNCTION("""COMPUTED_VALUE"""),"ITBISA-BUZZER-ACTIVE-5V")</f>
        <v>ITBISA-BUZZER-ACTIVE-5V</v>
      </c>
      <c r="B818" s="165">
        <f>IFERROR(__xludf.DUMMYFUNCTION("""COMPUTED_VALUE"""),46116.0)</f>
        <v>46116</v>
      </c>
      <c r="C818" s="165" t="str">
        <f>IFERROR(__xludf.DUMMYFUNCTION("""COMPUTED_VALUE"""),"KYAI KONTONG")</f>
        <v>KYAI KONTONG</v>
      </c>
      <c r="D818" s="94">
        <f>IFERROR(__xludf.DUMMYFUNCTION("""COMPUTED_VALUE"""),10.0)</f>
        <v>10</v>
      </c>
    </row>
    <row r="819">
      <c r="A819" s="87" t="str">
        <f>IFERROR(__xludf.DUMMYFUNCTION("""COMPUTED_VALUE"""),"ITBISA-BUZZER-ACTIVE-5V")</f>
        <v>ITBISA-BUZZER-ACTIVE-5V</v>
      </c>
      <c r="B819" s="165">
        <f>IFERROR(__xludf.DUMMYFUNCTION("""COMPUTED_VALUE"""),46122.0)</f>
        <v>46122</v>
      </c>
      <c r="C819" s="165" t="str">
        <f>IFERROR(__xludf.DUMMYFUNCTION("""COMPUTED_VALUE"""),"KYAI KONTONG")</f>
        <v>KYAI KONTONG</v>
      </c>
      <c r="D819" s="94">
        <f>IFERROR(__xludf.DUMMYFUNCTION("""COMPUTED_VALUE"""),1.0)</f>
        <v>1</v>
      </c>
    </row>
    <row r="820">
      <c r="A820" s="87" t="str">
        <f>IFERROR(__xludf.DUMMYFUNCTION("""COMPUTED_VALUE"""),"ITBISA-BUZZER-ACTIVE-5V")</f>
        <v>ITBISA-BUZZER-ACTIVE-5V</v>
      </c>
      <c r="B820" s="165">
        <f>IFERROR(__xludf.DUMMYFUNCTION("""COMPUTED_VALUE"""),46123.0)</f>
        <v>46123</v>
      </c>
      <c r="C820" s="165" t="str">
        <f>IFERROR(__xludf.DUMMYFUNCTION("""COMPUTED_VALUE"""),"KYAI KONTONG")</f>
        <v>KYAI KONTONG</v>
      </c>
      <c r="D820" s="94">
        <f>IFERROR(__xludf.DUMMYFUNCTION("""COMPUTED_VALUE"""),30.0)</f>
        <v>30</v>
      </c>
    </row>
    <row r="821">
      <c r="A821" s="87" t="str">
        <f>IFERROR(__xludf.DUMMYFUNCTION("""COMPUTED_VALUE"""),"ITBISA-BUZZER-ACTIVE-5V")</f>
        <v>ITBISA-BUZZER-ACTIVE-5V</v>
      </c>
      <c r="B821" s="165">
        <f>IFERROR(__xludf.DUMMYFUNCTION("""COMPUTED_VALUE"""),46127.0)</f>
        <v>46127</v>
      </c>
      <c r="C821" s="165" t="str">
        <f>IFERROR(__xludf.DUMMYFUNCTION("""COMPUTED_VALUE"""),"KYAI KONTONG")</f>
        <v>KYAI KONTONG</v>
      </c>
      <c r="D821" s="94">
        <f>IFERROR(__xludf.DUMMYFUNCTION("""COMPUTED_VALUE"""),200.0)</f>
        <v>200</v>
      </c>
    </row>
    <row r="822">
      <c r="A822" s="87" t="str">
        <f>IFERROR(__xludf.DUMMYFUNCTION("""COMPUTED_VALUE"""),"ITBISA-BUZZER-ACTIVE-5V")</f>
        <v>ITBISA-BUZZER-ACTIVE-5V</v>
      </c>
      <c r="B822" s="165">
        <f>IFERROR(__xludf.DUMMYFUNCTION("""COMPUTED_VALUE"""),46131.0)</f>
        <v>46131</v>
      </c>
      <c r="C822" s="165" t="str">
        <f>IFERROR(__xludf.DUMMYFUNCTION("""COMPUTED_VALUE"""),"KYAI KONTONG")</f>
        <v>KYAI KONTONG</v>
      </c>
      <c r="D822" s="94">
        <f>IFERROR(__xludf.DUMMYFUNCTION("""COMPUTED_VALUE"""),10.0)</f>
        <v>10</v>
      </c>
    </row>
    <row r="823">
      <c r="A823" s="87" t="str">
        <f>IFERROR(__xludf.DUMMYFUNCTION("""COMPUTED_VALUE"""),"ITBISA-BUZZER-ACTIVE-5V")</f>
        <v>ITBISA-BUZZER-ACTIVE-5V</v>
      </c>
      <c r="B823" s="165">
        <f>IFERROR(__xludf.DUMMYFUNCTION("""COMPUTED_VALUE"""),46137.0)</f>
        <v>46137</v>
      </c>
      <c r="C823" s="165" t="str">
        <f>IFERROR(__xludf.DUMMYFUNCTION("""COMPUTED_VALUE"""),"KYAI KONTONG")</f>
        <v>KYAI KONTONG</v>
      </c>
      <c r="D823" s="94">
        <f>IFERROR(__xludf.DUMMYFUNCTION("""COMPUTED_VALUE"""),25.0)</f>
        <v>25</v>
      </c>
    </row>
    <row r="824">
      <c r="A824" s="87" t="str">
        <f>IFERROR(__xludf.DUMMYFUNCTION("""COMPUTED_VALUE"""),"ITBISA-BUZZER-ACTIVE-5V")</f>
        <v>ITBISA-BUZZER-ACTIVE-5V</v>
      </c>
      <c r="B824" s="165">
        <f>IFERROR(__xludf.DUMMYFUNCTION("""COMPUTED_VALUE"""),46138.0)</f>
        <v>46138</v>
      </c>
      <c r="C824" s="165" t="str">
        <f>IFERROR(__xludf.DUMMYFUNCTION("""COMPUTED_VALUE"""),"KYAI KONTONG")</f>
        <v>KYAI KONTONG</v>
      </c>
      <c r="D824" s="94">
        <f>IFERROR(__xludf.DUMMYFUNCTION("""COMPUTED_VALUE"""),5.0)</f>
        <v>5</v>
      </c>
    </row>
    <row r="825">
      <c r="A825" s="87" t="str">
        <f>IFERROR(__xludf.DUMMYFUNCTION("""COMPUTED_VALUE"""),"ITBISA-BUZZER-ACTIVE-5V")</f>
        <v>ITBISA-BUZZER-ACTIVE-5V</v>
      </c>
      <c r="B825" s="165">
        <f>IFERROR(__xludf.DUMMYFUNCTION("""COMPUTED_VALUE"""),46138.0)</f>
        <v>46138</v>
      </c>
      <c r="C825" s="165" t="str">
        <f>IFERROR(__xludf.DUMMYFUNCTION("""COMPUTED_VALUE"""),"KYAI KONTONG")</f>
        <v>KYAI KONTONG</v>
      </c>
      <c r="D825" s="94">
        <f>IFERROR(__xludf.DUMMYFUNCTION("""COMPUTED_VALUE"""),75.0)</f>
        <v>75</v>
      </c>
    </row>
    <row r="826">
      <c r="A826" s="87" t="str">
        <f>IFERROR(__xludf.DUMMYFUNCTION("""COMPUTED_VALUE"""),"ITBISA-BUZZER-ACTIVE-5V")</f>
        <v>ITBISA-BUZZER-ACTIVE-5V</v>
      </c>
      <c r="B826" s="165">
        <f>IFERROR(__xludf.DUMMYFUNCTION("""COMPUTED_VALUE"""),46140.0)</f>
        <v>46140</v>
      </c>
      <c r="C826" s="165" t="str">
        <f>IFERROR(__xludf.DUMMYFUNCTION("""COMPUTED_VALUE"""),"KYAI KONTONG")</f>
        <v>KYAI KONTONG</v>
      </c>
      <c r="D826" s="94">
        <f>IFERROR(__xludf.DUMMYFUNCTION("""COMPUTED_VALUE"""),8.0)</f>
        <v>8</v>
      </c>
    </row>
    <row r="827">
      <c r="A827" s="87" t="str">
        <f>IFERROR(__xludf.DUMMYFUNCTION("""COMPUTED_VALUE"""),"ITBISA-BUZZER-ACTIVE-5V")</f>
        <v>ITBISA-BUZZER-ACTIVE-5V</v>
      </c>
      <c r="B827" s="165">
        <f>IFERROR(__xludf.DUMMYFUNCTION("""COMPUTED_VALUE"""),46141.0)</f>
        <v>46141</v>
      </c>
      <c r="C827" s="165" t="str">
        <f>IFERROR(__xludf.DUMMYFUNCTION("""COMPUTED_VALUE"""),"KYAI KONTONG")</f>
        <v>KYAI KONTONG</v>
      </c>
      <c r="D827" s="94">
        <f>IFERROR(__xludf.DUMMYFUNCTION("""COMPUTED_VALUE"""),5.0)</f>
        <v>5</v>
      </c>
    </row>
    <row r="828">
      <c r="A828" s="87" t="str">
        <f>IFERROR(__xludf.DUMMYFUNCTION("""COMPUTED_VALUE"""),"ITBISA-BUZZER-ACTIVE-5V")</f>
        <v>ITBISA-BUZZER-ACTIVE-5V</v>
      </c>
      <c r="B828" s="165">
        <f>IFERROR(__xludf.DUMMYFUNCTION("""COMPUTED_VALUE"""),46141.0)</f>
        <v>46141</v>
      </c>
      <c r="C828" s="165" t="str">
        <f>IFERROR(__xludf.DUMMYFUNCTION("""COMPUTED_VALUE"""),"KYAI KONTONG")</f>
        <v>KYAI KONTONG</v>
      </c>
      <c r="D828" s="94">
        <f>IFERROR(__xludf.DUMMYFUNCTION("""COMPUTED_VALUE"""),5.0)</f>
        <v>5</v>
      </c>
    </row>
    <row r="829">
      <c r="A829" s="87" t="str">
        <f>IFERROR(__xludf.DUMMYFUNCTION("""COMPUTED_VALUE"""),"ITBISA-BUZZER-ACTIVE-5V")</f>
        <v>ITBISA-BUZZER-ACTIVE-5V</v>
      </c>
      <c r="B829" s="165">
        <f>IFERROR(__xludf.DUMMYFUNCTION("""COMPUTED_VALUE"""),46141.0)</f>
        <v>46141</v>
      </c>
      <c r="C829" s="165" t="str">
        <f>IFERROR(__xludf.DUMMYFUNCTION("""COMPUTED_VALUE"""),"KYAI KONTONG")</f>
        <v>KYAI KONTONG</v>
      </c>
      <c r="D829" s="94">
        <f>IFERROR(__xludf.DUMMYFUNCTION("""COMPUTED_VALUE"""),50.0)</f>
        <v>50</v>
      </c>
    </row>
    <row r="830">
      <c r="A830" s="87" t="str">
        <f>IFERROR(__xludf.DUMMYFUNCTION("""COMPUTED_VALUE"""),"ITBISA-BUZZER-ACTIVE-5V")</f>
        <v>ITBISA-BUZZER-ACTIVE-5V</v>
      </c>
      <c r="B830" s="165">
        <f>IFERROR(__xludf.DUMMYFUNCTION("""COMPUTED_VALUE"""),46142.0)</f>
        <v>46142</v>
      </c>
      <c r="C830" s="165" t="str">
        <f>IFERROR(__xludf.DUMMYFUNCTION("""COMPUTED_VALUE"""),"KYAI KONTONG")</f>
        <v>KYAI KONTONG</v>
      </c>
      <c r="D830" s="94">
        <f>IFERROR(__xludf.DUMMYFUNCTION("""COMPUTED_VALUE"""),5.0)</f>
        <v>5</v>
      </c>
    </row>
    <row r="831">
      <c r="A831" s="87" t="str">
        <f>IFERROR(__xludf.DUMMYFUNCTION("""COMPUTED_VALUE"""),"ITBISA-BUZZER-ACTIVE-5V")</f>
        <v>ITBISA-BUZZER-ACTIVE-5V</v>
      </c>
      <c r="B831" s="165">
        <f>IFERROR(__xludf.DUMMYFUNCTION("""COMPUTED_VALUE"""),46142.0)</f>
        <v>46142</v>
      </c>
      <c r="C831" s="165" t="str">
        <f>IFERROR(__xludf.DUMMYFUNCTION("""COMPUTED_VALUE"""),"KYAI KONTONG")</f>
        <v>KYAI KONTONG</v>
      </c>
      <c r="D831" s="94">
        <f>IFERROR(__xludf.DUMMYFUNCTION("""COMPUTED_VALUE"""),5.0)</f>
        <v>5</v>
      </c>
    </row>
    <row r="832">
      <c r="A832" s="87" t="str">
        <f>IFERROR(__xludf.DUMMYFUNCTION("""COMPUTED_VALUE"""),"ITBISA-BUZZER-ACTIVE-5V")</f>
        <v>ITBISA-BUZZER-ACTIVE-5V</v>
      </c>
      <c r="B832" s="165">
        <f>IFERROR(__xludf.DUMMYFUNCTION("""COMPUTED_VALUE"""),46143.0)</f>
        <v>46143</v>
      </c>
      <c r="C832" s="165" t="str">
        <f>IFERROR(__xludf.DUMMYFUNCTION("""COMPUTED_VALUE"""),"KYAI KONTONG")</f>
        <v>KYAI KONTONG</v>
      </c>
      <c r="D832" s="94">
        <f>IFERROR(__xludf.DUMMYFUNCTION("""COMPUTED_VALUE"""),5.0)</f>
        <v>5</v>
      </c>
    </row>
    <row r="833">
      <c r="A833" s="87" t="str">
        <f>IFERROR(__xludf.DUMMYFUNCTION("""COMPUTED_VALUE"""),"ITBISA-BUZZER-ACTIVE-5V")</f>
        <v>ITBISA-BUZZER-ACTIVE-5V</v>
      </c>
      <c r="B833" s="165">
        <f>IFERROR(__xludf.DUMMYFUNCTION("""COMPUTED_VALUE"""),46144.0)</f>
        <v>46144</v>
      </c>
      <c r="C833" s="165" t="str">
        <f>IFERROR(__xludf.DUMMYFUNCTION("""COMPUTED_VALUE"""),"KYAI KONTONG")</f>
        <v>KYAI KONTONG</v>
      </c>
      <c r="D833" s="94">
        <f>IFERROR(__xludf.DUMMYFUNCTION("""COMPUTED_VALUE"""),5.0)</f>
        <v>5</v>
      </c>
    </row>
    <row r="834">
      <c r="A834" s="87" t="str">
        <f>IFERROR(__xludf.DUMMYFUNCTION("""COMPUTED_VALUE"""),"ITBISA-BUZZER-ACTIVE-5V")</f>
        <v>ITBISA-BUZZER-ACTIVE-5V</v>
      </c>
      <c r="B834" s="165">
        <f>IFERROR(__xludf.DUMMYFUNCTION("""COMPUTED_VALUE"""),46144.0)</f>
        <v>46144</v>
      </c>
      <c r="C834" s="165" t="str">
        <f>IFERROR(__xludf.DUMMYFUNCTION("""COMPUTED_VALUE"""),"KYAI KONTONG")</f>
        <v>KYAI KONTONG</v>
      </c>
      <c r="D834" s="94">
        <f>IFERROR(__xludf.DUMMYFUNCTION("""COMPUTED_VALUE"""),6.0)</f>
        <v>6</v>
      </c>
    </row>
    <row r="835">
      <c r="A835" s="87" t="str">
        <f>IFERROR(__xludf.DUMMYFUNCTION("""COMPUTED_VALUE"""),"ITBISA-BUZZER-ACTIVE-5V")</f>
        <v>ITBISA-BUZZER-ACTIVE-5V</v>
      </c>
      <c r="B835" s="165">
        <f>IFERROR(__xludf.DUMMYFUNCTION("""COMPUTED_VALUE"""),46144.0)</f>
        <v>46144</v>
      </c>
      <c r="C835" s="165" t="str">
        <f>IFERROR(__xludf.DUMMYFUNCTION("""COMPUTED_VALUE"""),"KYAI KONTONG")</f>
        <v>KYAI KONTONG</v>
      </c>
      <c r="D835" s="94">
        <f>IFERROR(__xludf.DUMMYFUNCTION("""COMPUTED_VALUE"""),10.0)</f>
        <v>10</v>
      </c>
    </row>
    <row r="836">
      <c r="A836" s="87" t="str">
        <f>IFERROR(__xludf.DUMMYFUNCTION("""COMPUTED_VALUE"""),"ITBISA-BUZZER-ACTIVE-5V")</f>
        <v>ITBISA-BUZZER-ACTIVE-5V</v>
      </c>
      <c r="B836" s="165">
        <f>IFERROR(__xludf.DUMMYFUNCTION("""COMPUTED_VALUE"""),46144.0)</f>
        <v>46144</v>
      </c>
      <c r="C836" s="165" t="str">
        <f>IFERROR(__xludf.DUMMYFUNCTION("""COMPUTED_VALUE"""),"KYAI KONTONG")</f>
        <v>KYAI KONTONG</v>
      </c>
      <c r="D836" s="94">
        <f>IFERROR(__xludf.DUMMYFUNCTION("""COMPUTED_VALUE"""),100.0)</f>
        <v>100</v>
      </c>
    </row>
    <row r="837">
      <c r="A837" s="87" t="str">
        <f>IFERROR(__xludf.DUMMYFUNCTION("""COMPUTED_VALUE"""),"ITBISA-BUZZER-ACTIVE-5V")</f>
        <v>ITBISA-BUZZER-ACTIVE-5V</v>
      </c>
      <c r="B837" s="165">
        <f>IFERROR(__xludf.DUMMYFUNCTION("""COMPUTED_VALUE"""),46145.0)</f>
        <v>46145</v>
      </c>
      <c r="C837" s="165" t="str">
        <f>IFERROR(__xludf.DUMMYFUNCTION("""COMPUTED_VALUE"""),"KYAI KONTONG")</f>
        <v>KYAI KONTONG</v>
      </c>
      <c r="D837" s="94">
        <f>IFERROR(__xludf.DUMMYFUNCTION("""COMPUTED_VALUE"""),6.0)</f>
        <v>6</v>
      </c>
    </row>
    <row r="838">
      <c r="A838" s="87" t="str">
        <f>IFERROR(__xludf.DUMMYFUNCTION("""COMPUTED_VALUE"""),"ITBISA-BUZZER-ACTIVE-5V")</f>
        <v>ITBISA-BUZZER-ACTIVE-5V</v>
      </c>
      <c r="B838" s="165">
        <f>IFERROR(__xludf.DUMMYFUNCTION("""COMPUTED_VALUE"""),46145.0)</f>
        <v>46145</v>
      </c>
      <c r="C838" s="165" t="str">
        <f>IFERROR(__xludf.DUMMYFUNCTION("""COMPUTED_VALUE"""),"KYAI KONTONG")</f>
        <v>KYAI KONTONG</v>
      </c>
      <c r="D838" s="94">
        <f>IFERROR(__xludf.DUMMYFUNCTION("""COMPUTED_VALUE"""),10.0)</f>
        <v>10</v>
      </c>
    </row>
    <row r="839">
      <c r="A839" s="87" t="str">
        <f>IFERROR(__xludf.DUMMYFUNCTION("""COMPUTED_VALUE"""),"ITBISA-BUZZER-ACTIVE-5V")</f>
        <v>ITBISA-BUZZER-ACTIVE-5V</v>
      </c>
      <c r="B839" s="165">
        <f>IFERROR(__xludf.DUMMYFUNCTION("""COMPUTED_VALUE"""),46145.0)</f>
        <v>46145</v>
      </c>
      <c r="C839" s="165" t="str">
        <f>IFERROR(__xludf.DUMMYFUNCTION("""COMPUTED_VALUE"""),"KYAI KONTONG")</f>
        <v>KYAI KONTONG</v>
      </c>
      <c r="D839" s="94">
        <f>IFERROR(__xludf.DUMMYFUNCTION("""COMPUTED_VALUE"""),20.0)</f>
        <v>20</v>
      </c>
    </row>
    <row r="840">
      <c r="A840" s="87" t="str">
        <f>IFERROR(__xludf.DUMMYFUNCTION("""COMPUTED_VALUE"""),"ITBISA-BUZZER-ACTIVE-5V")</f>
        <v>ITBISA-BUZZER-ACTIVE-5V</v>
      </c>
      <c r="B840" s="165">
        <f>IFERROR(__xludf.DUMMYFUNCTION("""COMPUTED_VALUE"""),46146.0)</f>
        <v>46146</v>
      </c>
      <c r="C840" s="165" t="str">
        <f>IFERROR(__xludf.DUMMYFUNCTION("""COMPUTED_VALUE"""),"KYAI KONTONG")</f>
        <v>KYAI KONTONG</v>
      </c>
      <c r="D840" s="94">
        <f>IFERROR(__xludf.DUMMYFUNCTION("""COMPUTED_VALUE"""),10.0)</f>
        <v>10</v>
      </c>
    </row>
    <row r="841">
      <c r="A841" s="87" t="str">
        <f>IFERROR(__xludf.DUMMYFUNCTION("""COMPUTED_VALUE"""),"ITBISA-BUZZER-ACTIVE-5V")</f>
        <v>ITBISA-BUZZER-ACTIVE-5V</v>
      </c>
      <c r="B841" s="165">
        <f>IFERROR(__xludf.DUMMYFUNCTION("""COMPUTED_VALUE"""),46146.0)</f>
        <v>46146</v>
      </c>
      <c r="C841" s="165" t="str">
        <f>IFERROR(__xludf.DUMMYFUNCTION("""COMPUTED_VALUE"""),"KYAI KONTONG")</f>
        <v>KYAI KONTONG</v>
      </c>
      <c r="D841" s="94">
        <f>IFERROR(__xludf.DUMMYFUNCTION("""COMPUTED_VALUE"""),10.0)</f>
        <v>10</v>
      </c>
    </row>
    <row r="842">
      <c r="A842" s="87" t="str">
        <f>IFERROR(__xludf.DUMMYFUNCTION("""COMPUTED_VALUE"""),"ITBISA-BUZZER-ACTIVE-5V")</f>
        <v>ITBISA-BUZZER-ACTIVE-5V</v>
      </c>
      <c r="B842" s="165">
        <f>IFERROR(__xludf.DUMMYFUNCTION("""COMPUTED_VALUE"""),46146.0)</f>
        <v>46146</v>
      </c>
      <c r="C842" s="165" t="str">
        <f>IFERROR(__xludf.DUMMYFUNCTION("""COMPUTED_VALUE"""),"KYAI KONTONG")</f>
        <v>KYAI KONTONG</v>
      </c>
      <c r="D842" s="94">
        <f>IFERROR(__xludf.DUMMYFUNCTION("""COMPUTED_VALUE"""),75.0)</f>
        <v>75</v>
      </c>
    </row>
    <row r="843">
      <c r="A843" s="87" t="str">
        <f>IFERROR(__xludf.DUMMYFUNCTION("""COMPUTED_VALUE"""),"ITBISA-BUZZER-ACTIVE-5V")</f>
        <v>ITBISA-BUZZER-ACTIVE-5V</v>
      </c>
      <c r="B843" s="165">
        <f>IFERROR(__xludf.DUMMYFUNCTION("""COMPUTED_VALUE"""),46147.0)</f>
        <v>46147</v>
      </c>
      <c r="C843" s="165" t="str">
        <f>IFERROR(__xludf.DUMMYFUNCTION("""COMPUTED_VALUE"""),"KYAI KONTONG")</f>
        <v>KYAI KONTONG</v>
      </c>
      <c r="D843" s="94">
        <f>IFERROR(__xludf.DUMMYFUNCTION("""COMPUTED_VALUE"""),6.0)</f>
        <v>6</v>
      </c>
    </row>
    <row r="844">
      <c r="A844" s="87" t="str">
        <f>IFERROR(__xludf.DUMMYFUNCTION("""COMPUTED_VALUE"""),"ITBISA-BUZZER-ACTIVE-5V")</f>
        <v>ITBISA-BUZZER-ACTIVE-5V</v>
      </c>
      <c r="B844" s="165">
        <f>IFERROR(__xludf.DUMMYFUNCTION("""COMPUTED_VALUE"""),46147.0)</f>
        <v>46147</v>
      </c>
      <c r="C844" s="165" t="str">
        <f>IFERROR(__xludf.DUMMYFUNCTION("""COMPUTED_VALUE"""),"KYAI KONTONG")</f>
        <v>KYAI KONTONG</v>
      </c>
      <c r="D844" s="94">
        <f>IFERROR(__xludf.DUMMYFUNCTION("""COMPUTED_VALUE"""),8.0)</f>
        <v>8</v>
      </c>
    </row>
    <row r="845">
      <c r="A845" s="87" t="str">
        <f>IFERROR(__xludf.DUMMYFUNCTION("""COMPUTED_VALUE"""),"ITBISA-BUZZER-ACTIVE-5V")</f>
        <v>ITBISA-BUZZER-ACTIVE-5V</v>
      </c>
      <c r="B845" s="165">
        <f>IFERROR(__xludf.DUMMYFUNCTION("""COMPUTED_VALUE"""),46147.0)</f>
        <v>46147</v>
      </c>
      <c r="C845" s="165" t="str">
        <f>IFERROR(__xludf.DUMMYFUNCTION("""COMPUTED_VALUE"""),"KYAI KONTONG")</f>
        <v>KYAI KONTONG</v>
      </c>
      <c r="D845" s="94">
        <f>IFERROR(__xludf.DUMMYFUNCTION("""COMPUTED_VALUE"""),10.0)</f>
        <v>10</v>
      </c>
    </row>
    <row r="846">
      <c r="A846" s="87" t="str">
        <f>IFERROR(__xludf.DUMMYFUNCTION("""COMPUTED_VALUE"""),"ITBISA-BUZZER-ACTIVE-5V")</f>
        <v>ITBISA-BUZZER-ACTIVE-5V</v>
      </c>
      <c r="B846" s="165">
        <f>IFERROR(__xludf.DUMMYFUNCTION("""COMPUTED_VALUE"""),46147.0)</f>
        <v>46147</v>
      </c>
      <c r="C846" s="165" t="str">
        <f>IFERROR(__xludf.DUMMYFUNCTION("""COMPUTED_VALUE"""),"KYAI KONTONG")</f>
        <v>KYAI KONTONG</v>
      </c>
      <c r="D846" s="94">
        <f>IFERROR(__xludf.DUMMYFUNCTION("""COMPUTED_VALUE"""),135.0)</f>
        <v>135</v>
      </c>
    </row>
    <row r="847">
      <c r="A847" s="87" t="str">
        <f>IFERROR(__xludf.DUMMYFUNCTION("""COMPUTED_VALUE"""),"ITBISA-BUZZER-ACTIVE-5V")</f>
        <v>ITBISA-BUZZER-ACTIVE-5V</v>
      </c>
      <c r="B847" s="165">
        <f>IFERROR(__xludf.DUMMYFUNCTION("""COMPUTED_VALUE"""),46148.0)</f>
        <v>46148</v>
      </c>
      <c r="C847" s="165" t="str">
        <f>IFERROR(__xludf.DUMMYFUNCTION("""COMPUTED_VALUE"""),"KYAI KONTONG")</f>
        <v>KYAI KONTONG</v>
      </c>
      <c r="D847" s="94">
        <f>IFERROR(__xludf.DUMMYFUNCTION("""COMPUTED_VALUE"""),3.0)</f>
        <v>3</v>
      </c>
    </row>
    <row r="848">
      <c r="A848" s="87" t="str">
        <f>IFERROR(__xludf.DUMMYFUNCTION("""COMPUTED_VALUE"""),"ITBISA-BUZZER-ACTIVE-5V")</f>
        <v>ITBISA-BUZZER-ACTIVE-5V</v>
      </c>
      <c r="B848" s="165">
        <f>IFERROR(__xludf.DUMMYFUNCTION("""COMPUTED_VALUE"""),46148.0)</f>
        <v>46148</v>
      </c>
      <c r="C848" s="165" t="str">
        <f>IFERROR(__xludf.DUMMYFUNCTION("""COMPUTED_VALUE"""),"KYAI KONTONG")</f>
        <v>KYAI KONTONG</v>
      </c>
      <c r="D848" s="94">
        <f>IFERROR(__xludf.DUMMYFUNCTION("""COMPUTED_VALUE"""),10.0)</f>
        <v>10</v>
      </c>
    </row>
    <row r="849">
      <c r="A849" s="87" t="str">
        <f>IFERROR(__xludf.DUMMYFUNCTION("""COMPUTED_VALUE"""),"ITBISA-BUZZER-ACTIVE-5V")</f>
        <v>ITBISA-BUZZER-ACTIVE-5V</v>
      </c>
      <c r="B849" s="165">
        <f>IFERROR(__xludf.DUMMYFUNCTION("""COMPUTED_VALUE"""),46149.0)</f>
        <v>46149</v>
      </c>
      <c r="C849" s="165" t="str">
        <f>IFERROR(__xludf.DUMMYFUNCTION("""COMPUTED_VALUE"""),"KYAI KONTONG")</f>
        <v>KYAI KONTONG</v>
      </c>
      <c r="D849" s="94">
        <f>IFERROR(__xludf.DUMMYFUNCTION("""COMPUTED_VALUE"""),2.0)</f>
        <v>2</v>
      </c>
    </row>
    <row r="850">
      <c r="A850" s="87" t="str">
        <f>IFERROR(__xludf.DUMMYFUNCTION("""COMPUTED_VALUE"""),"ITBISA-BUZZER-ACTIVE-5V")</f>
        <v>ITBISA-BUZZER-ACTIVE-5V</v>
      </c>
      <c r="B850" s="165">
        <f>IFERROR(__xludf.DUMMYFUNCTION("""COMPUTED_VALUE"""),46149.0)</f>
        <v>46149</v>
      </c>
      <c r="C850" s="165" t="str">
        <f>IFERROR(__xludf.DUMMYFUNCTION("""COMPUTED_VALUE"""),"KYAI KONTONG")</f>
        <v>KYAI KONTONG</v>
      </c>
      <c r="D850" s="94">
        <f>IFERROR(__xludf.DUMMYFUNCTION("""COMPUTED_VALUE"""),7.0)</f>
        <v>7</v>
      </c>
    </row>
    <row r="851">
      <c r="A851" s="87" t="str">
        <f>IFERROR(__xludf.DUMMYFUNCTION("""COMPUTED_VALUE"""),"ITBISA-BUZZER-ACTIVE-5V")</f>
        <v>ITBISA-BUZZER-ACTIVE-5V</v>
      </c>
      <c r="B851" s="165">
        <f>IFERROR(__xludf.DUMMYFUNCTION("""COMPUTED_VALUE"""),46149.0)</f>
        <v>46149</v>
      </c>
      <c r="C851" s="165" t="str">
        <f>IFERROR(__xludf.DUMMYFUNCTION("""COMPUTED_VALUE"""),"KYAI KONTONG")</f>
        <v>KYAI KONTONG</v>
      </c>
      <c r="D851" s="94">
        <f>IFERROR(__xludf.DUMMYFUNCTION("""COMPUTED_VALUE"""),10.0)</f>
        <v>10</v>
      </c>
    </row>
    <row r="852">
      <c r="A852" s="87" t="str">
        <f>IFERROR(__xludf.DUMMYFUNCTION("""COMPUTED_VALUE"""),"ITBISA-BUZZER-ACTIVE-5V")</f>
        <v>ITBISA-BUZZER-ACTIVE-5V</v>
      </c>
      <c r="B852" s="165">
        <f>IFERROR(__xludf.DUMMYFUNCTION("""COMPUTED_VALUE"""),46149.0)</f>
        <v>46149</v>
      </c>
      <c r="C852" s="165" t="str">
        <f>IFERROR(__xludf.DUMMYFUNCTION("""COMPUTED_VALUE"""),"KYAI KONTONG")</f>
        <v>KYAI KONTONG</v>
      </c>
      <c r="D852" s="94">
        <f>IFERROR(__xludf.DUMMYFUNCTION("""COMPUTED_VALUE"""),50.0)</f>
        <v>50</v>
      </c>
    </row>
    <row r="853">
      <c r="A853" s="87" t="str">
        <f>IFERROR(__xludf.DUMMYFUNCTION("""COMPUTED_VALUE"""),"ITBISA-BUZZER-ACTIVE-5V")</f>
        <v>ITBISA-BUZZER-ACTIVE-5V</v>
      </c>
      <c r="B853" s="165">
        <f>IFERROR(__xludf.DUMMYFUNCTION("""COMPUTED_VALUE"""),46150.0)</f>
        <v>46150</v>
      </c>
      <c r="C853" s="165" t="str">
        <f>IFERROR(__xludf.DUMMYFUNCTION("""COMPUTED_VALUE"""),"KYAI KONTONG")</f>
        <v>KYAI KONTONG</v>
      </c>
      <c r="D853" s="94">
        <f>IFERROR(__xludf.DUMMYFUNCTION("""COMPUTED_VALUE"""),71.0)</f>
        <v>71</v>
      </c>
    </row>
    <row r="854">
      <c r="A854" s="87" t="str">
        <f>IFERROR(__xludf.DUMMYFUNCTION("""COMPUTED_VALUE"""),"ITBISA-BUZZER-ACTIVE-5V")</f>
        <v>ITBISA-BUZZER-ACTIVE-5V</v>
      </c>
      <c r="B854" s="165">
        <f>IFERROR(__xludf.DUMMYFUNCTION("""COMPUTED_VALUE"""),46151.0)</f>
        <v>46151</v>
      </c>
      <c r="C854" s="165" t="str">
        <f>IFERROR(__xludf.DUMMYFUNCTION("""COMPUTED_VALUE"""),"KYAI KONTONG")</f>
        <v>KYAI KONTONG</v>
      </c>
      <c r="D854" s="94">
        <f>IFERROR(__xludf.DUMMYFUNCTION("""COMPUTED_VALUE"""),30.0)</f>
        <v>30</v>
      </c>
    </row>
    <row r="855">
      <c r="A855" s="87" t="str">
        <f>IFERROR(__xludf.DUMMYFUNCTION("""COMPUTED_VALUE"""),"ITBISA-BUZZER-ACTIVE-5V")</f>
        <v>ITBISA-BUZZER-ACTIVE-5V</v>
      </c>
      <c r="B855" s="165">
        <f>IFERROR(__xludf.DUMMYFUNCTION("""COMPUTED_VALUE"""),46151.0)</f>
        <v>46151</v>
      </c>
      <c r="C855" s="165" t="str">
        <f>IFERROR(__xludf.DUMMYFUNCTION("""COMPUTED_VALUE"""),"KYAI KONTONG")</f>
        <v>KYAI KONTONG</v>
      </c>
      <c r="D855" s="94">
        <f>IFERROR(__xludf.DUMMYFUNCTION("""COMPUTED_VALUE"""),45.0)</f>
        <v>45</v>
      </c>
    </row>
    <row r="856">
      <c r="A856" s="87" t="str">
        <f>IFERROR(__xludf.DUMMYFUNCTION("""COMPUTED_VALUE"""),"ITBISA-BUZZER-ACTIVE-5V")</f>
        <v>ITBISA-BUZZER-ACTIVE-5V</v>
      </c>
      <c r="B856" s="165">
        <f>IFERROR(__xludf.DUMMYFUNCTION("""COMPUTED_VALUE"""),46153.0)</f>
        <v>46153</v>
      </c>
      <c r="C856" s="165" t="str">
        <f>IFERROR(__xludf.DUMMYFUNCTION("""COMPUTED_VALUE"""),"KYAI KONTONG")</f>
        <v>KYAI KONTONG</v>
      </c>
      <c r="D856" s="94">
        <f>IFERROR(__xludf.DUMMYFUNCTION("""COMPUTED_VALUE"""),10.0)</f>
        <v>10</v>
      </c>
    </row>
    <row r="857">
      <c r="A857" s="87" t="str">
        <f>IFERROR(__xludf.DUMMYFUNCTION("""COMPUTED_VALUE"""),"ITBISA-BUZZER-ACTIVE-5V")</f>
        <v>ITBISA-BUZZER-ACTIVE-5V</v>
      </c>
      <c r="B857" s="165">
        <f>IFERROR(__xludf.DUMMYFUNCTION("""COMPUTED_VALUE"""),46154.0)</f>
        <v>46154</v>
      </c>
      <c r="C857" s="165" t="str">
        <f>IFERROR(__xludf.DUMMYFUNCTION("""COMPUTED_VALUE"""),"KYAI KONTONG")</f>
        <v>KYAI KONTONG</v>
      </c>
      <c r="D857" s="94">
        <f>IFERROR(__xludf.DUMMYFUNCTION("""COMPUTED_VALUE"""),5.0)</f>
        <v>5</v>
      </c>
    </row>
    <row r="858">
      <c r="A858" s="87" t="str">
        <f>IFERROR(__xludf.DUMMYFUNCTION("""COMPUTED_VALUE"""),"ITBISA-BUZZER-ACTIVE-5V")</f>
        <v>ITBISA-BUZZER-ACTIVE-5V</v>
      </c>
      <c r="B858" s="165">
        <f>IFERROR(__xludf.DUMMYFUNCTION("""COMPUTED_VALUE"""),46155.0)</f>
        <v>46155</v>
      </c>
      <c r="C858" s="165" t="str">
        <f>IFERROR(__xludf.DUMMYFUNCTION("""COMPUTED_VALUE"""),"KYAI KONTONG")</f>
        <v>KYAI KONTONG</v>
      </c>
      <c r="D858" s="94">
        <f>IFERROR(__xludf.DUMMYFUNCTION("""COMPUTED_VALUE"""),70.0)</f>
        <v>70</v>
      </c>
    </row>
    <row r="859">
      <c r="A859" s="87" t="str">
        <f>IFERROR(__xludf.DUMMYFUNCTION("""COMPUTED_VALUE"""),"ITBISA-BUZZER-ACTIVE-5V")</f>
        <v>ITBISA-BUZZER-ACTIVE-5V</v>
      </c>
      <c r="B859" s="165">
        <f>IFERROR(__xludf.DUMMYFUNCTION("""COMPUTED_VALUE"""),46156.0)</f>
        <v>46156</v>
      </c>
      <c r="C859" s="165" t="str">
        <f>IFERROR(__xludf.DUMMYFUNCTION("""COMPUTED_VALUE"""),"KYAI KONTONG")</f>
        <v>KYAI KONTONG</v>
      </c>
      <c r="D859" s="94">
        <f>IFERROR(__xludf.DUMMYFUNCTION("""COMPUTED_VALUE"""),10.0)</f>
        <v>10</v>
      </c>
    </row>
    <row r="860">
      <c r="A860" s="87" t="str">
        <f>IFERROR(__xludf.DUMMYFUNCTION("""COMPUTED_VALUE"""),"ITBISA-BUZZER-ACTIVE-5V")</f>
        <v>ITBISA-BUZZER-ACTIVE-5V</v>
      </c>
      <c r="B860" s="165">
        <f>IFERROR(__xludf.DUMMYFUNCTION("""COMPUTED_VALUE"""),46157.0)</f>
        <v>46157</v>
      </c>
      <c r="C860" s="165" t="str">
        <f>IFERROR(__xludf.DUMMYFUNCTION("""COMPUTED_VALUE"""),"KYAI KONTONG")</f>
        <v>KYAI KONTONG</v>
      </c>
      <c r="D860" s="94">
        <f>IFERROR(__xludf.DUMMYFUNCTION("""COMPUTED_VALUE"""),75.0)</f>
        <v>75</v>
      </c>
    </row>
    <row r="861">
      <c r="A861" s="87" t="str">
        <f>IFERROR(__xludf.DUMMYFUNCTION("""COMPUTED_VALUE"""),"ITBISA-BUZZER-ACTIVE-5V")</f>
        <v>ITBISA-BUZZER-ACTIVE-5V</v>
      </c>
      <c r="B861" s="165">
        <f>IFERROR(__xludf.DUMMYFUNCTION("""COMPUTED_VALUE"""),46158.0)</f>
        <v>46158</v>
      </c>
      <c r="C861" s="165" t="str">
        <f>IFERROR(__xludf.DUMMYFUNCTION("""COMPUTED_VALUE"""),"KYAI KONTONG")</f>
        <v>KYAI KONTONG</v>
      </c>
      <c r="D861" s="94">
        <f>IFERROR(__xludf.DUMMYFUNCTION("""COMPUTED_VALUE"""),5.0)</f>
        <v>5</v>
      </c>
    </row>
    <row r="862">
      <c r="A862" s="87" t="str">
        <f>IFERROR(__xludf.DUMMYFUNCTION("""COMPUTED_VALUE"""),"ITBISA-BUZZER-ACTIVE-5V")</f>
        <v>ITBISA-BUZZER-ACTIVE-5V</v>
      </c>
      <c r="B862" s="165">
        <f>IFERROR(__xludf.DUMMYFUNCTION("""COMPUTED_VALUE"""),46158.0)</f>
        <v>46158</v>
      </c>
      <c r="C862" s="165" t="str">
        <f>IFERROR(__xludf.DUMMYFUNCTION("""COMPUTED_VALUE"""),"KYAI KONTONG")</f>
        <v>KYAI KONTONG</v>
      </c>
      <c r="D862" s="94">
        <f>IFERROR(__xludf.DUMMYFUNCTION("""COMPUTED_VALUE"""),15.0)</f>
        <v>15</v>
      </c>
    </row>
    <row r="863">
      <c r="A863" s="87" t="str">
        <f>IFERROR(__xludf.DUMMYFUNCTION("""COMPUTED_VALUE"""),"ITBISA-BUZZER-ACTIVE-5V")</f>
        <v>ITBISA-BUZZER-ACTIVE-5V</v>
      </c>
      <c r="B863" s="165">
        <f>IFERROR(__xludf.DUMMYFUNCTION("""COMPUTED_VALUE"""),46158.0)</f>
        <v>46158</v>
      </c>
      <c r="C863" s="165" t="str">
        <f>IFERROR(__xludf.DUMMYFUNCTION("""COMPUTED_VALUE"""),"KYAI KONTONG")</f>
        <v>KYAI KONTONG</v>
      </c>
      <c r="D863" s="94">
        <f>IFERROR(__xludf.DUMMYFUNCTION("""COMPUTED_VALUE"""),20.0)</f>
        <v>20</v>
      </c>
    </row>
    <row r="864">
      <c r="A864" s="87" t="str">
        <f>IFERROR(__xludf.DUMMYFUNCTION("""COMPUTED_VALUE"""),"ITBISA-BUZZER-ACTIVE-5V")</f>
        <v>ITBISA-BUZZER-ACTIVE-5V</v>
      </c>
      <c r="B864" s="165">
        <f>IFERROR(__xludf.DUMMYFUNCTION("""COMPUTED_VALUE"""),46161.0)</f>
        <v>46161</v>
      </c>
      <c r="C864" s="165" t="str">
        <f>IFERROR(__xludf.DUMMYFUNCTION("""COMPUTED_VALUE"""),"KYAI KONTONG")</f>
        <v>KYAI KONTONG</v>
      </c>
      <c r="D864" s="94">
        <f>IFERROR(__xludf.DUMMYFUNCTION("""COMPUTED_VALUE"""),5.0)</f>
        <v>5</v>
      </c>
    </row>
    <row r="865">
      <c r="A865" s="87" t="str">
        <f>IFERROR(__xludf.DUMMYFUNCTION("""COMPUTED_VALUE"""),"ITBISA-BUZZER-ACTIVE-5V")</f>
        <v>ITBISA-BUZZER-ACTIVE-5V</v>
      </c>
      <c r="B865" s="165">
        <f>IFERROR(__xludf.DUMMYFUNCTION("""COMPUTED_VALUE"""),46162.0)</f>
        <v>46162</v>
      </c>
      <c r="C865" s="165" t="str">
        <f>IFERROR(__xludf.DUMMYFUNCTION("""COMPUTED_VALUE"""),"KYAI KONTONG")</f>
        <v>KYAI KONTONG</v>
      </c>
      <c r="D865" s="94">
        <f>IFERROR(__xludf.DUMMYFUNCTION("""COMPUTED_VALUE"""),50.0)</f>
        <v>50</v>
      </c>
    </row>
    <row r="866">
      <c r="A866" s="87" t="str">
        <f>IFERROR(__xludf.DUMMYFUNCTION("""COMPUTED_VALUE"""),"ITBISA-BUZZER-ACTIVE-5V")</f>
        <v>ITBISA-BUZZER-ACTIVE-5V</v>
      </c>
      <c r="B866" s="165">
        <f>IFERROR(__xludf.DUMMYFUNCTION("""COMPUTED_VALUE"""),46163.0)</f>
        <v>46163</v>
      </c>
      <c r="C866" s="165" t="str">
        <f>IFERROR(__xludf.DUMMYFUNCTION("""COMPUTED_VALUE"""),"KYAI KONTONG")</f>
        <v>KYAI KONTONG</v>
      </c>
      <c r="D866" s="94">
        <f>IFERROR(__xludf.DUMMYFUNCTION("""COMPUTED_VALUE"""),20.0)</f>
        <v>20</v>
      </c>
    </row>
    <row r="867">
      <c r="A867" s="87" t="str">
        <f>IFERROR(__xludf.DUMMYFUNCTION("""COMPUTED_VALUE"""),"ITBISA-BUZZER-ACTIVE-5V")</f>
        <v>ITBISA-BUZZER-ACTIVE-5V</v>
      </c>
      <c r="B867" s="165">
        <f>IFERROR(__xludf.DUMMYFUNCTION("""COMPUTED_VALUE"""),46164.0)</f>
        <v>46164</v>
      </c>
      <c r="C867" s="165" t="str">
        <f>IFERROR(__xludf.DUMMYFUNCTION("""COMPUTED_VALUE"""),"KYAI KONTONG")</f>
        <v>KYAI KONTONG</v>
      </c>
      <c r="D867" s="94">
        <f>IFERROR(__xludf.DUMMYFUNCTION("""COMPUTED_VALUE"""),5.0)</f>
        <v>5</v>
      </c>
    </row>
    <row r="868">
      <c r="A868" s="87" t="str">
        <f>IFERROR(__xludf.DUMMYFUNCTION("""COMPUTED_VALUE"""),"ITBISA-BUZZER-ACTIVE-5V")</f>
        <v>ITBISA-BUZZER-ACTIVE-5V</v>
      </c>
      <c r="B868" s="165">
        <f>IFERROR(__xludf.DUMMYFUNCTION("""COMPUTED_VALUE"""),46165.0)</f>
        <v>46165</v>
      </c>
      <c r="C868" s="165" t="str">
        <f>IFERROR(__xludf.DUMMYFUNCTION("""COMPUTED_VALUE"""),"KYAI KONTONG")</f>
        <v>KYAI KONTONG</v>
      </c>
      <c r="D868" s="94">
        <f>IFERROR(__xludf.DUMMYFUNCTION("""COMPUTED_VALUE"""),7.0)</f>
        <v>7</v>
      </c>
    </row>
    <row r="869">
      <c r="A869" s="87" t="str">
        <f>IFERROR(__xludf.DUMMYFUNCTION("""COMPUTED_VALUE"""),"ITBISA-BUZZER-ACTIVE-5V")</f>
        <v>ITBISA-BUZZER-ACTIVE-5V</v>
      </c>
      <c r="B869" s="165">
        <f>IFERROR(__xludf.DUMMYFUNCTION("""COMPUTED_VALUE"""),46167.0)</f>
        <v>46167</v>
      </c>
      <c r="C869" s="165" t="str">
        <f>IFERROR(__xludf.DUMMYFUNCTION("""COMPUTED_VALUE"""),"KYAI KONTONG")</f>
        <v>KYAI KONTONG</v>
      </c>
      <c r="D869" s="94">
        <f>IFERROR(__xludf.DUMMYFUNCTION("""COMPUTED_VALUE"""),5.0)</f>
        <v>5</v>
      </c>
    </row>
    <row r="870">
      <c r="A870" s="87" t="str">
        <f>IFERROR(__xludf.DUMMYFUNCTION("""COMPUTED_VALUE"""),"ITBISA-BUZZER-ACTIVE-5V")</f>
        <v>ITBISA-BUZZER-ACTIVE-5V</v>
      </c>
      <c r="B870" s="165">
        <f>IFERROR(__xludf.DUMMYFUNCTION("""COMPUTED_VALUE"""),46167.0)</f>
        <v>46167</v>
      </c>
      <c r="C870" s="165" t="str">
        <f>IFERROR(__xludf.DUMMYFUNCTION("""COMPUTED_VALUE"""),"KYAI KONTONG")</f>
        <v>KYAI KONTONG</v>
      </c>
      <c r="D870" s="94">
        <f>IFERROR(__xludf.DUMMYFUNCTION("""COMPUTED_VALUE"""),21.0)</f>
        <v>21</v>
      </c>
    </row>
    <row r="871">
      <c r="A871" s="87" t="str">
        <f>IFERROR(__xludf.DUMMYFUNCTION("""COMPUTED_VALUE"""),"ITBISA-BUZZER-ACTIVE-5V")</f>
        <v>ITBISA-BUZZER-ACTIVE-5V</v>
      </c>
      <c r="B871" s="165">
        <f>IFERROR(__xludf.DUMMYFUNCTION("""COMPUTED_VALUE"""),46167.0)</f>
        <v>46167</v>
      </c>
      <c r="C871" s="165" t="str">
        <f>IFERROR(__xludf.DUMMYFUNCTION("""COMPUTED_VALUE"""),"KYAI KONTONG")</f>
        <v>KYAI KONTONG</v>
      </c>
      <c r="D871" s="94">
        <f>IFERROR(__xludf.DUMMYFUNCTION("""COMPUTED_VALUE"""),75.0)</f>
        <v>75</v>
      </c>
    </row>
    <row r="872">
      <c r="A872" s="87" t="str">
        <f>IFERROR(__xludf.DUMMYFUNCTION("""COMPUTED_VALUE"""),"ITBISA-BUZZER-ACTIVE-5V")</f>
        <v>ITBISA-BUZZER-ACTIVE-5V</v>
      </c>
      <c r="B872" s="165">
        <f>IFERROR(__xludf.DUMMYFUNCTION("""COMPUTED_VALUE"""),46168.0)</f>
        <v>46168</v>
      </c>
      <c r="C872" s="165" t="str">
        <f>IFERROR(__xludf.DUMMYFUNCTION("""COMPUTED_VALUE"""),"KYAI KONTONG")</f>
        <v>KYAI KONTONG</v>
      </c>
      <c r="D872" s="94">
        <f>IFERROR(__xludf.DUMMYFUNCTION("""COMPUTED_VALUE"""),10.0)</f>
        <v>10</v>
      </c>
    </row>
    <row r="873">
      <c r="A873" s="87" t="str">
        <f>IFERROR(__xludf.DUMMYFUNCTION("""COMPUTED_VALUE"""),"ITBISA-BUZZER-ACTIVE-5V")</f>
        <v>ITBISA-BUZZER-ACTIVE-5V</v>
      </c>
      <c r="B873" s="165">
        <f>IFERROR(__xludf.DUMMYFUNCTION("""COMPUTED_VALUE"""),46169.0)</f>
        <v>46169</v>
      </c>
      <c r="C873" s="165" t="str">
        <f>IFERROR(__xludf.DUMMYFUNCTION("""COMPUTED_VALUE"""),"KYAI KONTONG")</f>
        <v>KYAI KONTONG</v>
      </c>
      <c r="D873" s="94">
        <f>IFERROR(__xludf.DUMMYFUNCTION("""COMPUTED_VALUE"""),10.0)</f>
        <v>10</v>
      </c>
    </row>
    <row r="874">
      <c r="A874" s="87" t="str">
        <f>IFERROR(__xludf.DUMMYFUNCTION("""COMPUTED_VALUE"""),"ITBISA-BUZZER-ACTIVE-5V")</f>
        <v>ITBISA-BUZZER-ACTIVE-5V</v>
      </c>
      <c r="B874" s="165">
        <f>IFERROR(__xludf.DUMMYFUNCTION("""COMPUTED_VALUE"""),46170.0)</f>
        <v>46170</v>
      </c>
      <c r="C874" s="165" t="str">
        <f>IFERROR(__xludf.DUMMYFUNCTION("""COMPUTED_VALUE"""),"KYAI KONTONG")</f>
        <v>KYAI KONTONG</v>
      </c>
      <c r="D874" s="94">
        <f>IFERROR(__xludf.DUMMYFUNCTION("""COMPUTED_VALUE"""),5.0)</f>
        <v>5</v>
      </c>
    </row>
    <row r="875">
      <c r="A875" s="87" t="str">
        <f>IFERROR(__xludf.DUMMYFUNCTION("""COMPUTED_VALUE"""),"ITBISA-BUZZER-ACTIVE-5V")</f>
        <v>ITBISA-BUZZER-ACTIVE-5V</v>
      </c>
      <c r="B875" s="165">
        <f>IFERROR(__xludf.DUMMYFUNCTION("""COMPUTED_VALUE"""),46171.0)</f>
        <v>46171</v>
      </c>
      <c r="C875" s="165" t="str">
        <f>IFERROR(__xludf.DUMMYFUNCTION("""COMPUTED_VALUE"""),"KYAI KONTONG")</f>
        <v>KYAI KONTONG</v>
      </c>
      <c r="D875" s="94">
        <f>IFERROR(__xludf.DUMMYFUNCTION("""COMPUTED_VALUE"""),6.0)</f>
        <v>6</v>
      </c>
    </row>
    <row r="876">
      <c r="A876" s="87" t="str">
        <f>IFERROR(__xludf.DUMMYFUNCTION("""COMPUTED_VALUE"""),"ITBISA-BUZZER-ACTIVE-5V")</f>
        <v>ITBISA-BUZZER-ACTIVE-5V</v>
      </c>
      <c r="B876" s="165">
        <f>IFERROR(__xludf.DUMMYFUNCTION("""COMPUTED_VALUE"""),46172.0)</f>
        <v>46172</v>
      </c>
      <c r="C876" s="165" t="str">
        <f>IFERROR(__xludf.DUMMYFUNCTION("""COMPUTED_VALUE"""),"KYAI KONTONG")</f>
        <v>KYAI KONTONG</v>
      </c>
      <c r="D876" s="94">
        <f>IFERROR(__xludf.DUMMYFUNCTION("""COMPUTED_VALUE"""),100.0)</f>
        <v>100</v>
      </c>
    </row>
    <row r="877">
      <c r="A877" s="87" t="str">
        <f>IFERROR(__xludf.DUMMYFUNCTION("""COMPUTED_VALUE"""),"ITBISA-BUZZER-ACTIVE-5V")</f>
        <v>ITBISA-BUZZER-ACTIVE-5V</v>
      </c>
      <c r="B877" s="165">
        <f>IFERROR(__xludf.DUMMYFUNCTION("""COMPUTED_VALUE"""),46173.0)</f>
        <v>46173</v>
      </c>
      <c r="C877" s="165" t="str">
        <f>IFERROR(__xludf.DUMMYFUNCTION("""COMPUTED_VALUE"""),"KYAI KONTONG")</f>
        <v>KYAI KONTONG</v>
      </c>
      <c r="D877" s="94">
        <f>IFERROR(__xludf.DUMMYFUNCTION("""COMPUTED_VALUE"""),15.0)</f>
        <v>15</v>
      </c>
    </row>
    <row r="878">
      <c r="A878" s="87" t="str">
        <f>IFERROR(__xludf.DUMMYFUNCTION("""COMPUTED_VALUE"""),"ITBISA-BUZZER-ACTIVE-5V")</f>
        <v>ITBISA-BUZZER-ACTIVE-5V</v>
      </c>
      <c r="B878" s="165">
        <f>IFERROR(__xludf.DUMMYFUNCTION("""COMPUTED_VALUE"""),46174.0)</f>
        <v>46174</v>
      </c>
      <c r="C878" s="165" t="str">
        <f>IFERROR(__xludf.DUMMYFUNCTION("""COMPUTED_VALUE"""),"KYAI KONTONG")</f>
        <v>KYAI KONTONG</v>
      </c>
      <c r="D878" s="94">
        <f>IFERROR(__xludf.DUMMYFUNCTION("""COMPUTED_VALUE"""),13.0)</f>
        <v>13</v>
      </c>
    </row>
    <row r="879">
      <c r="A879" s="87" t="str">
        <f>IFERROR(__xludf.DUMMYFUNCTION("""COMPUTED_VALUE"""),"ITBISA-BUZZER-ACTIVE-5V")</f>
        <v>ITBISA-BUZZER-ACTIVE-5V</v>
      </c>
      <c r="B879" s="165">
        <f>IFERROR(__xludf.DUMMYFUNCTION("""COMPUTED_VALUE"""),46174.0)</f>
        <v>46174</v>
      </c>
      <c r="C879" s="165" t="str">
        <f>IFERROR(__xludf.DUMMYFUNCTION("""COMPUTED_VALUE"""),"KYAI KONTONG")</f>
        <v>KYAI KONTONG</v>
      </c>
      <c r="D879" s="94">
        <f>IFERROR(__xludf.DUMMYFUNCTION("""COMPUTED_VALUE"""),13.0)</f>
        <v>13</v>
      </c>
    </row>
    <row r="880">
      <c r="A880" s="87" t="str">
        <f>IFERROR(__xludf.DUMMYFUNCTION("""COMPUTED_VALUE"""),"ITBISA-BUZZER-ACTIVE-5V")</f>
        <v>ITBISA-BUZZER-ACTIVE-5V</v>
      </c>
      <c r="B880" s="165">
        <f>IFERROR(__xludf.DUMMYFUNCTION("""COMPUTED_VALUE"""),46174.0)</f>
        <v>46174</v>
      </c>
      <c r="C880" s="165" t="str">
        <f>IFERROR(__xludf.DUMMYFUNCTION("""COMPUTED_VALUE"""),"KYAI KONTONG")</f>
        <v>KYAI KONTONG</v>
      </c>
      <c r="D880" s="94">
        <f>IFERROR(__xludf.DUMMYFUNCTION("""COMPUTED_VALUE"""),20.0)</f>
        <v>20</v>
      </c>
    </row>
    <row r="881">
      <c r="A881" s="87" t="str">
        <f>IFERROR(__xludf.DUMMYFUNCTION("""COMPUTED_VALUE"""),"ITBISA-BUZZER-ACTIVE-5V")</f>
        <v>ITBISA-BUZZER-ACTIVE-5V</v>
      </c>
      <c r="B881" s="165">
        <f>IFERROR(__xludf.DUMMYFUNCTION("""COMPUTED_VALUE"""),46175.0)</f>
        <v>46175</v>
      </c>
      <c r="C881" s="165" t="str">
        <f>IFERROR(__xludf.DUMMYFUNCTION("""COMPUTED_VALUE"""),"KYAI KONTONG")</f>
        <v>KYAI KONTONG</v>
      </c>
      <c r="D881" s="94">
        <f>IFERROR(__xludf.DUMMYFUNCTION("""COMPUTED_VALUE"""),10.0)</f>
        <v>10</v>
      </c>
    </row>
    <row r="882">
      <c r="A882" s="87" t="str">
        <f>IFERROR(__xludf.DUMMYFUNCTION("""COMPUTED_VALUE"""),"ITBISA-BUZZER-ACTIVE-5V")</f>
        <v>ITBISA-BUZZER-ACTIVE-5V</v>
      </c>
      <c r="B882" s="165">
        <f>IFERROR(__xludf.DUMMYFUNCTION("""COMPUTED_VALUE"""),46175.0)</f>
        <v>46175</v>
      </c>
      <c r="C882" s="165" t="str">
        <f>IFERROR(__xludf.DUMMYFUNCTION("""COMPUTED_VALUE"""),"KYAI KONTONG")</f>
        <v>KYAI KONTONG</v>
      </c>
      <c r="D882" s="94">
        <f>IFERROR(__xludf.DUMMYFUNCTION("""COMPUTED_VALUE"""),20.0)</f>
        <v>20</v>
      </c>
    </row>
    <row r="883">
      <c r="A883" s="87" t="str">
        <f>IFERROR(__xludf.DUMMYFUNCTION("""COMPUTED_VALUE"""),"ITBISA-BUZZER-ACTIVE-5V")</f>
        <v>ITBISA-BUZZER-ACTIVE-5V</v>
      </c>
      <c r="B883" s="165">
        <f>IFERROR(__xludf.DUMMYFUNCTION("""COMPUTED_VALUE"""),46176.0)</f>
        <v>46176</v>
      </c>
      <c r="C883" s="165" t="str">
        <f>IFERROR(__xludf.DUMMYFUNCTION("""COMPUTED_VALUE"""),"KYAI KONTONG")</f>
        <v>KYAI KONTONG</v>
      </c>
      <c r="D883" s="94">
        <f>IFERROR(__xludf.DUMMYFUNCTION("""COMPUTED_VALUE"""),50.0)</f>
        <v>50</v>
      </c>
    </row>
    <row r="884">
      <c r="A884" s="87" t="str">
        <f>IFERROR(__xludf.DUMMYFUNCTION("""COMPUTED_VALUE"""),"ITBISA-BUZZER-ACTIVE-5V")</f>
        <v>ITBISA-BUZZER-ACTIVE-5V</v>
      </c>
      <c r="B884" s="165">
        <f>IFERROR(__xludf.DUMMYFUNCTION("""COMPUTED_VALUE"""),46177.0)</f>
        <v>46177</v>
      </c>
      <c r="C884" s="165" t="str">
        <f>IFERROR(__xludf.DUMMYFUNCTION("""COMPUTED_VALUE"""),"KYAI KONTONG")</f>
        <v>KYAI KONTONG</v>
      </c>
      <c r="D884" s="94">
        <f>IFERROR(__xludf.DUMMYFUNCTION("""COMPUTED_VALUE"""),5.0)</f>
        <v>5</v>
      </c>
    </row>
    <row r="885">
      <c r="A885" s="87" t="str">
        <f>IFERROR(__xludf.DUMMYFUNCTION("""COMPUTED_VALUE"""),"ITBISA-BUZZER-ACTIVE-5V")</f>
        <v>ITBISA-BUZZER-ACTIVE-5V</v>
      </c>
      <c r="B885" s="165">
        <f>IFERROR(__xludf.DUMMYFUNCTION("""COMPUTED_VALUE"""),46177.0)</f>
        <v>46177</v>
      </c>
      <c r="C885" s="165" t="str">
        <f>IFERROR(__xludf.DUMMYFUNCTION("""COMPUTED_VALUE"""),"KYAI KONTONG")</f>
        <v>KYAI KONTONG</v>
      </c>
      <c r="D885" s="94">
        <f>IFERROR(__xludf.DUMMYFUNCTION("""COMPUTED_VALUE"""),20.0)</f>
        <v>20</v>
      </c>
    </row>
    <row r="886">
      <c r="A886" s="87" t="str">
        <f>IFERROR(__xludf.DUMMYFUNCTION("""COMPUTED_VALUE"""),"ITBISA-BUZZER-ACTIVE-5V")</f>
        <v>ITBISA-BUZZER-ACTIVE-5V</v>
      </c>
      <c r="B886" s="165">
        <f>IFERROR(__xludf.DUMMYFUNCTION("""COMPUTED_VALUE"""),46177.0)</f>
        <v>46177</v>
      </c>
      <c r="C886" s="165" t="str">
        <f>IFERROR(__xludf.DUMMYFUNCTION("""COMPUTED_VALUE"""),"KYAI KONTONG")</f>
        <v>KYAI KONTONG</v>
      </c>
      <c r="D886" s="94">
        <f>IFERROR(__xludf.DUMMYFUNCTION("""COMPUTED_VALUE"""),75.0)</f>
        <v>75</v>
      </c>
    </row>
    <row r="887">
      <c r="A887" s="87" t="str">
        <f>IFERROR(__xludf.DUMMYFUNCTION("""COMPUTED_VALUE"""),"ITBISA-BUZZER-ACTIVE-5V")</f>
        <v>ITBISA-BUZZER-ACTIVE-5V</v>
      </c>
      <c r="B887" s="165">
        <f>IFERROR(__xludf.DUMMYFUNCTION("""COMPUTED_VALUE"""),46178.0)</f>
        <v>46178</v>
      </c>
      <c r="C887" s="165" t="str">
        <f>IFERROR(__xludf.DUMMYFUNCTION("""COMPUTED_VALUE"""),"KYAI KONTONG")</f>
        <v>KYAI KONTONG</v>
      </c>
      <c r="D887" s="94">
        <f>IFERROR(__xludf.DUMMYFUNCTION("""COMPUTED_VALUE"""),5.0)</f>
        <v>5</v>
      </c>
    </row>
    <row r="888">
      <c r="A888" s="87" t="str">
        <f>IFERROR(__xludf.DUMMYFUNCTION("""COMPUTED_VALUE"""),"ITBISA-BUZZER-ACTIVE-5V")</f>
        <v>ITBISA-BUZZER-ACTIVE-5V</v>
      </c>
      <c r="B888" s="165">
        <f>IFERROR(__xludf.DUMMYFUNCTION("""COMPUTED_VALUE"""),46179.0)</f>
        <v>46179</v>
      </c>
      <c r="C888" s="165" t="str">
        <f>IFERROR(__xludf.DUMMYFUNCTION("""COMPUTED_VALUE"""),"KYAI KONTONG")</f>
        <v>KYAI KONTONG</v>
      </c>
      <c r="D888" s="94">
        <f>IFERROR(__xludf.DUMMYFUNCTION("""COMPUTED_VALUE"""),9.0)</f>
        <v>9</v>
      </c>
    </row>
    <row r="889">
      <c r="A889" s="87" t="str">
        <f>IFERROR(__xludf.DUMMYFUNCTION("""COMPUTED_VALUE"""),"ITBISA-BUZZER-ACTIVE-5V")</f>
        <v>ITBISA-BUZZER-ACTIVE-5V</v>
      </c>
      <c r="B889" s="165">
        <f>IFERROR(__xludf.DUMMYFUNCTION("""COMPUTED_VALUE"""),46179.0)</f>
        <v>46179</v>
      </c>
      <c r="C889" s="165" t="str">
        <f>IFERROR(__xludf.DUMMYFUNCTION("""COMPUTED_VALUE"""),"KYAI KONTONG")</f>
        <v>KYAI KONTONG</v>
      </c>
      <c r="D889" s="94">
        <f>IFERROR(__xludf.DUMMYFUNCTION("""COMPUTED_VALUE"""),20.0)</f>
        <v>20</v>
      </c>
    </row>
    <row r="890">
      <c r="A890" s="87" t="str">
        <f>IFERROR(__xludf.DUMMYFUNCTION("""COMPUTED_VALUE"""),"ITBISA-BUZZER-ACTIVE-5V")</f>
        <v>ITBISA-BUZZER-ACTIVE-5V</v>
      </c>
      <c r="B890" s="165">
        <f>IFERROR(__xludf.DUMMYFUNCTION("""COMPUTED_VALUE"""),46179.0)</f>
        <v>46179</v>
      </c>
      <c r="C890" s="165" t="str">
        <f>IFERROR(__xludf.DUMMYFUNCTION("""COMPUTED_VALUE"""),"KYAI KONTONG")</f>
        <v>KYAI KONTONG</v>
      </c>
      <c r="D890" s="94">
        <f>IFERROR(__xludf.DUMMYFUNCTION("""COMPUTED_VALUE"""),100.0)</f>
        <v>100</v>
      </c>
    </row>
    <row r="891">
      <c r="A891" s="87" t="str">
        <f>IFERROR(__xludf.DUMMYFUNCTION("""COMPUTED_VALUE"""),"ITBISA-BUZZER-ACTIVE-5V")</f>
        <v>ITBISA-BUZZER-ACTIVE-5V</v>
      </c>
      <c r="B891" s="165">
        <f>IFERROR(__xludf.DUMMYFUNCTION("""COMPUTED_VALUE"""),46182.0)</f>
        <v>46182</v>
      </c>
      <c r="C891" s="165" t="str">
        <f>IFERROR(__xludf.DUMMYFUNCTION("""COMPUTED_VALUE"""),"KYAI KONTONG")</f>
        <v>KYAI KONTONG</v>
      </c>
      <c r="D891" s="94">
        <f>IFERROR(__xludf.DUMMYFUNCTION("""COMPUTED_VALUE"""),5.0)</f>
        <v>5</v>
      </c>
    </row>
    <row r="892">
      <c r="A892" s="87" t="str">
        <f>IFERROR(__xludf.DUMMYFUNCTION("""COMPUTED_VALUE"""),"ITBISA-BUZZER-ACTIVE-5V")</f>
        <v>ITBISA-BUZZER-ACTIVE-5V</v>
      </c>
      <c r="B892" s="165">
        <f>IFERROR(__xludf.DUMMYFUNCTION("""COMPUTED_VALUE"""),46185.0)</f>
        <v>46185</v>
      </c>
      <c r="C892" s="165" t="str">
        <f>IFERROR(__xludf.DUMMYFUNCTION("""COMPUTED_VALUE"""),"KYAI KONTONG")</f>
        <v>KYAI KONTONG</v>
      </c>
      <c r="D892" s="94">
        <f>IFERROR(__xludf.DUMMYFUNCTION("""COMPUTED_VALUE"""),10.0)</f>
        <v>10</v>
      </c>
    </row>
    <row r="893">
      <c r="A893" s="87" t="str">
        <f>IFERROR(__xludf.DUMMYFUNCTION("""COMPUTED_VALUE"""),"ITBISA-BUZZER-ACTIVE-5V")</f>
        <v>ITBISA-BUZZER-ACTIVE-5V</v>
      </c>
      <c r="B893" s="165">
        <f>IFERROR(__xludf.DUMMYFUNCTION("""COMPUTED_VALUE"""),46187.0)</f>
        <v>46187</v>
      </c>
      <c r="C893" s="165" t="str">
        <f>IFERROR(__xludf.DUMMYFUNCTION("""COMPUTED_VALUE"""),"KYAI KONTONG")</f>
        <v>KYAI KONTONG</v>
      </c>
      <c r="D893" s="94">
        <f>IFERROR(__xludf.DUMMYFUNCTION("""COMPUTED_VALUE"""),6.0)</f>
        <v>6</v>
      </c>
    </row>
    <row r="894">
      <c r="A894" s="87" t="str">
        <f>IFERROR(__xludf.DUMMYFUNCTION("""COMPUTED_VALUE"""),"ITBISA-BUZZER-ACTIVE-5V")</f>
        <v>ITBISA-BUZZER-ACTIVE-5V</v>
      </c>
      <c r="B894" s="165">
        <f>IFERROR(__xludf.DUMMYFUNCTION("""COMPUTED_VALUE"""),46187.0)</f>
        <v>46187</v>
      </c>
      <c r="C894" s="165" t="str">
        <f>IFERROR(__xludf.DUMMYFUNCTION("""COMPUTED_VALUE"""),"KYAI KONTONG")</f>
        <v>KYAI KONTONG</v>
      </c>
      <c r="D894" s="94">
        <f>IFERROR(__xludf.DUMMYFUNCTION("""COMPUTED_VALUE"""),25.0)</f>
        <v>25</v>
      </c>
    </row>
    <row r="895">
      <c r="A895" s="87" t="str">
        <f>IFERROR(__xludf.DUMMYFUNCTION("""COMPUTED_VALUE"""),"ITBISA-BUZZER-ACTIVE-5V")</f>
        <v>ITBISA-BUZZER-ACTIVE-5V</v>
      </c>
      <c r="B895" s="165">
        <f>IFERROR(__xludf.DUMMYFUNCTION("""COMPUTED_VALUE"""),46188.0)</f>
        <v>46188</v>
      </c>
      <c r="C895" s="165" t="str">
        <f>IFERROR(__xludf.DUMMYFUNCTION("""COMPUTED_VALUE"""),"KYAI KONTONG")</f>
        <v>KYAI KONTONG</v>
      </c>
      <c r="D895" s="94">
        <f>IFERROR(__xludf.DUMMYFUNCTION("""COMPUTED_VALUE"""),5.0)</f>
        <v>5</v>
      </c>
    </row>
    <row r="896">
      <c r="A896" s="87" t="str">
        <f>IFERROR(__xludf.DUMMYFUNCTION("""COMPUTED_VALUE"""),"ITBISA-BUZZER-ACTIVE-5V")</f>
        <v>ITBISA-BUZZER-ACTIVE-5V</v>
      </c>
      <c r="B896" s="165">
        <f>IFERROR(__xludf.DUMMYFUNCTION("""COMPUTED_VALUE"""),46190.0)</f>
        <v>46190</v>
      </c>
      <c r="C896" s="165" t="str">
        <f>IFERROR(__xludf.DUMMYFUNCTION("""COMPUTED_VALUE"""),"KYAI KONTONG")</f>
        <v>KYAI KONTONG</v>
      </c>
      <c r="D896" s="94">
        <f>IFERROR(__xludf.DUMMYFUNCTION("""COMPUTED_VALUE"""),5.0)</f>
        <v>5</v>
      </c>
    </row>
    <row r="897">
      <c r="A897" s="87" t="str">
        <f>IFERROR(__xludf.DUMMYFUNCTION("""COMPUTED_VALUE"""),"ITBISA-BUZZER-ACTIVE-5V")</f>
        <v>ITBISA-BUZZER-ACTIVE-5V</v>
      </c>
      <c r="B897" s="165">
        <f>IFERROR(__xludf.DUMMYFUNCTION("""COMPUTED_VALUE"""),46190.0)</f>
        <v>46190</v>
      </c>
      <c r="C897" s="165" t="str">
        <f>IFERROR(__xludf.DUMMYFUNCTION("""COMPUTED_VALUE"""),"KYAI KONTONG")</f>
        <v>KYAI KONTONG</v>
      </c>
      <c r="D897" s="94">
        <f>IFERROR(__xludf.DUMMYFUNCTION("""COMPUTED_VALUE"""),6.0)</f>
        <v>6</v>
      </c>
    </row>
    <row r="898">
      <c r="A898" s="87" t="str">
        <f>IFERROR(__xludf.DUMMYFUNCTION("""COMPUTED_VALUE"""),"ITBISA-BUZZER-ACTIVE-5V")</f>
        <v>ITBISA-BUZZER-ACTIVE-5V</v>
      </c>
      <c r="B898" s="165">
        <f>IFERROR(__xludf.DUMMYFUNCTION("""COMPUTED_VALUE"""),46191.0)</f>
        <v>46191</v>
      </c>
      <c r="C898" s="165" t="str">
        <f>IFERROR(__xludf.DUMMYFUNCTION("""COMPUTED_VALUE"""),"KYAI KONTONG")</f>
        <v>KYAI KONTONG</v>
      </c>
      <c r="D898" s="94">
        <f>IFERROR(__xludf.DUMMYFUNCTION("""COMPUTED_VALUE"""),10.0)</f>
        <v>10</v>
      </c>
    </row>
    <row r="899">
      <c r="A899" s="87" t="str">
        <f>IFERROR(__xludf.DUMMYFUNCTION("""COMPUTED_VALUE"""),"ITBISA-BUZZER-ACTIVE-5V")</f>
        <v>ITBISA-BUZZER-ACTIVE-5V</v>
      </c>
      <c r="B899" s="165">
        <f>IFERROR(__xludf.DUMMYFUNCTION("""COMPUTED_VALUE"""),46191.0)</f>
        <v>46191</v>
      </c>
      <c r="C899" s="165" t="str">
        <f>IFERROR(__xludf.DUMMYFUNCTION("""COMPUTED_VALUE"""),"KYAI KONTONG")</f>
        <v>KYAI KONTONG</v>
      </c>
      <c r="D899" s="94">
        <f>IFERROR(__xludf.DUMMYFUNCTION("""COMPUTED_VALUE"""),75.0)</f>
        <v>75</v>
      </c>
    </row>
    <row r="900">
      <c r="A900" s="87" t="str">
        <f>IFERROR(__xludf.DUMMYFUNCTION("""COMPUTED_VALUE"""),"ITBISA-BUZZER-ACTIVE-5V")</f>
        <v>ITBISA-BUZZER-ACTIVE-5V</v>
      </c>
      <c r="B900" s="165">
        <f>IFERROR(__xludf.DUMMYFUNCTION("""COMPUTED_VALUE"""),46191.0)</f>
        <v>46191</v>
      </c>
      <c r="C900" s="165" t="str">
        <f>IFERROR(__xludf.DUMMYFUNCTION("""COMPUTED_VALUE"""),"KYAI KONTONG")</f>
        <v>KYAI KONTONG</v>
      </c>
      <c r="D900" s="94">
        <f>IFERROR(__xludf.DUMMYFUNCTION("""COMPUTED_VALUE"""),100.0)</f>
        <v>100</v>
      </c>
    </row>
    <row r="901">
      <c r="A901" s="87" t="str">
        <f>IFERROR(__xludf.DUMMYFUNCTION("""COMPUTED_VALUE"""),"ITBISA-BUZZER-ACTIVE-5V")</f>
        <v>ITBISA-BUZZER-ACTIVE-5V</v>
      </c>
      <c r="B901" s="165">
        <f>IFERROR(__xludf.DUMMYFUNCTION("""COMPUTED_VALUE"""),46192.0)</f>
        <v>46192</v>
      </c>
      <c r="C901" s="165" t="str">
        <f>IFERROR(__xludf.DUMMYFUNCTION("""COMPUTED_VALUE"""),"KYAI KONTONG")</f>
        <v>KYAI KONTONG</v>
      </c>
      <c r="D901" s="94">
        <f>IFERROR(__xludf.DUMMYFUNCTION("""COMPUTED_VALUE"""),20.0)</f>
        <v>20</v>
      </c>
    </row>
    <row r="902">
      <c r="A902" s="87" t="str">
        <f>IFERROR(__xludf.DUMMYFUNCTION("""COMPUTED_VALUE"""),"ITBISA-BUZZER-ACTIVE-5V")</f>
        <v>ITBISA-BUZZER-ACTIVE-5V</v>
      </c>
      <c r="B902" s="165">
        <f>IFERROR(__xludf.DUMMYFUNCTION("""COMPUTED_VALUE"""),46193.0)</f>
        <v>46193</v>
      </c>
      <c r="C902" s="165" t="str">
        <f>IFERROR(__xludf.DUMMYFUNCTION("""COMPUTED_VALUE"""),"KYAI KONTONG")</f>
        <v>KYAI KONTONG</v>
      </c>
      <c r="D902" s="94">
        <f>IFERROR(__xludf.DUMMYFUNCTION("""COMPUTED_VALUE"""),40.0)</f>
        <v>40</v>
      </c>
    </row>
    <row r="903">
      <c r="A903" s="87" t="str">
        <f>IFERROR(__xludf.DUMMYFUNCTION("""COMPUTED_VALUE"""),"ITBISA-BUZZER-ACTIVE-5V")</f>
        <v>ITBISA-BUZZER-ACTIVE-5V</v>
      </c>
      <c r="B903" s="165">
        <f>IFERROR(__xludf.DUMMYFUNCTION("""COMPUTED_VALUE"""),46194.0)</f>
        <v>46194</v>
      </c>
      <c r="C903" s="165" t="str">
        <f>IFERROR(__xludf.DUMMYFUNCTION("""COMPUTED_VALUE"""),"KYAI KONTONG")</f>
        <v>KYAI KONTONG</v>
      </c>
      <c r="D903" s="94">
        <f>IFERROR(__xludf.DUMMYFUNCTION("""COMPUTED_VALUE"""),10.0)</f>
        <v>10</v>
      </c>
    </row>
    <row r="904">
      <c r="A904" s="87" t="str">
        <f>IFERROR(__xludf.DUMMYFUNCTION("""COMPUTED_VALUE"""),"ITBISA-BUZZER-ACTIVE-5V")</f>
        <v>ITBISA-BUZZER-ACTIVE-5V</v>
      </c>
      <c r="B904" s="165">
        <f>IFERROR(__xludf.DUMMYFUNCTION("""COMPUTED_VALUE"""),46195.0)</f>
        <v>46195</v>
      </c>
      <c r="C904" s="165" t="str">
        <f>IFERROR(__xludf.DUMMYFUNCTION("""COMPUTED_VALUE"""),"KYAI KONTONG")</f>
        <v>KYAI KONTONG</v>
      </c>
      <c r="D904" s="94">
        <f>IFERROR(__xludf.DUMMYFUNCTION("""COMPUTED_VALUE"""),5.0)</f>
        <v>5</v>
      </c>
    </row>
    <row r="905">
      <c r="A905" s="87" t="str">
        <f>IFERROR(__xludf.DUMMYFUNCTION("""COMPUTED_VALUE"""),"ITBISA-BUZZER-ACTIVE-5V")</f>
        <v>ITBISA-BUZZER-ACTIVE-5V</v>
      </c>
      <c r="B905" s="165">
        <f>IFERROR(__xludf.DUMMYFUNCTION("""COMPUTED_VALUE"""),46196.0)</f>
        <v>46196</v>
      </c>
      <c r="C905" s="165" t="str">
        <f>IFERROR(__xludf.DUMMYFUNCTION("""COMPUTED_VALUE"""),"KYAI KONTONG")</f>
        <v>KYAI KONTONG</v>
      </c>
      <c r="D905" s="94">
        <f>IFERROR(__xludf.DUMMYFUNCTION("""COMPUTED_VALUE"""),5.0)</f>
        <v>5</v>
      </c>
    </row>
    <row r="906">
      <c r="A906" s="87" t="str">
        <f>IFERROR(__xludf.DUMMYFUNCTION("""COMPUTED_VALUE"""),"ITBISA-BUZZER-ACTIVE-5V")</f>
        <v>ITBISA-BUZZER-ACTIVE-5V</v>
      </c>
      <c r="B906" s="165">
        <f>IFERROR(__xludf.DUMMYFUNCTION("""COMPUTED_VALUE"""),46196.0)</f>
        <v>46196</v>
      </c>
      <c r="C906" s="165" t="str">
        <f>IFERROR(__xludf.DUMMYFUNCTION("""COMPUTED_VALUE"""),"KYAI KONTONG")</f>
        <v>KYAI KONTONG</v>
      </c>
      <c r="D906" s="94">
        <f>IFERROR(__xludf.DUMMYFUNCTION("""COMPUTED_VALUE"""),15.0)</f>
        <v>15</v>
      </c>
    </row>
    <row r="907">
      <c r="A907" s="87" t="str">
        <f>IFERROR(__xludf.DUMMYFUNCTION("""COMPUTED_VALUE"""),"ITBISA-BUZZER-ACTIVE-5V")</f>
        <v>ITBISA-BUZZER-ACTIVE-5V</v>
      </c>
      <c r="B907" s="165">
        <f>IFERROR(__xludf.DUMMYFUNCTION("""COMPUTED_VALUE"""),46196.0)</f>
        <v>46196</v>
      </c>
      <c r="C907" s="165" t="str">
        <f>IFERROR(__xludf.DUMMYFUNCTION("""COMPUTED_VALUE"""),"KYAI KONTONG")</f>
        <v>KYAI KONTONG</v>
      </c>
      <c r="D907" s="94">
        <f>IFERROR(__xludf.DUMMYFUNCTION("""COMPUTED_VALUE"""),16.0)</f>
        <v>16</v>
      </c>
    </row>
    <row r="908">
      <c r="A908" s="87" t="str">
        <f>IFERROR(__xludf.DUMMYFUNCTION("""COMPUTED_VALUE"""),"ITBISA-BUZZER-ACTIVE-5V")</f>
        <v>ITBISA-BUZZER-ACTIVE-5V</v>
      </c>
      <c r="B908" s="165">
        <f>IFERROR(__xludf.DUMMYFUNCTION("""COMPUTED_VALUE"""),46196.0)</f>
        <v>46196</v>
      </c>
      <c r="C908" s="165" t="str">
        <f>IFERROR(__xludf.DUMMYFUNCTION("""COMPUTED_VALUE"""),"KYAI KONTONG")</f>
        <v>KYAI KONTONG</v>
      </c>
      <c r="D908" s="94">
        <f>IFERROR(__xludf.DUMMYFUNCTION("""COMPUTED_VALUE"""),30.0)</f>
        <v>30</v>
      </c>
    </row>
    <row r="909">
      <c r="A909" s="87" t="str">
        <f>IFERROR(__xludf.DUMMYFUNCTION("""COMPUTED_VALUE"""),"ITBISA-BUZZER-ACTIVE-5V")</f>
        <v>ITBISA-BUZZER-ACTIVE-5V</v>
      </c>
      <c r="B909" s="165">
        <f>IFERROR(__xludf.DUMMYFUNCTION("""COMPUTED_VALUE"""),46198.0)</f>
        <v>46198</v>
      </c>
      <c r="C909" s="165" t="str">
        <f>IFERROR(__xludf.DUMMYFUNCTION("""COMPUTED_VALUE"""),"KYAI KONTONG")</f>
        <v>KYAI KONTONG</v>
      </c>
      <c r="D909" s="94">
        <f>IFERROR(__xludf.DUMMYFUNCTION("""COMPUTED_VALUE"""),200.0)</f>
        <v>200</v>
      </c>
    </row>
    <row r="910">
      <c r="A910" s="87" t="str">
        <f>IFERROR(__xludf.DUMMYFUNCTION("""COMPUTED_VALUE"""),"ITBISA-CHIP-ESP32-WROOM")</f>
        <v>ITBISA-CHIP-ESP32-WROOM</v>
      </c>
      <c r="B910" s="165">
        <f>IFERROR(__xludf.DUMMYFUNCTION("""COMPUTED_VALUE"""),46051.0)</f>
        <v>46051</v>
      </c>
      <c r="C910" s="165" t="str">
        <f>IFERROR(__xludf.DUMMYFUNCTION("""COMPUTED_VALUE"""),"KERTASARI CIAMIS")</f>
        <v>KERTASARI CIAMIS</v>
      </c>
      <c r="D910" s="94">
        <f>IFERROR(__xludf.DUMMYFUNCTION("""COMPUTED_VALUE"""),3.0)</f>
        <v>3</v>
      </c>
    </row>
    <row r="911">
      <c r="A911" s="87" t="str">
        <f>IFERROR(__xludf.DUMMYFUNCTION("""COMPUTED_VALUE"""),"ITBISA-CHIP-ESP32-WROOM")</f>
        <v>ITBISA-CHIP-ESP32-WROOM</v>
      </c>
      <c r="B911" s="165">
        <f>IFERROR(__xludf.DUMMYFUNCTION("""COMPUTED_VALUE"""),46054.0)</f>
        <v>46054</v>
      </c>
      <c r="C911" s="165" t="str">
        <f>IFERROR(__xludf.DUMMYFUNCTION("""COMPUTED_VALUE"""),"KERTASARI CIAMIS")</f>
        <v>KERTASARI CIAMIS</v>
      </c>
      <c r="D911" s="94">
        <f>IFERROR(__xludf.DUMMYFUNCTION("""COMPUTED_VALUE"""),10.0)</f>
        <v>10</v>
      </c>
    </row>
    <row r="912">
      <c r="A912" s="87" t="str">
        <f>IFERROR(__xludf.DUMMYFUNCTION("""COMPUTED_VALUE"""),"ITBISA-CHIP-ESP32-WROOM")</f>
        <v>ITBISA-CHIP-ESP32-WROOM</v>
      </c>
      <c r="B912" s="165">
        <f>IFERROR(__xludf.DUMMYFUNCTION("""COMPUTED_VALUE"""),46056.0)</f>
        <v>46056</v>
      </c>
      <c r="C912" s="165" t="str">
        <f>IFERROR(__xludf.DUMMYFUNCTION("""COMPUTED_VALUE"""),"KERTASARI CIAMIS")</f>
        <v>KERTASARI CIAMIS</v>
      </c>
      <c r="D912" s="94">
        <f>IFERROR(__xludf.DUMMYFUNCTION("""COMPUTED_VALUE"""),8.0)</f>
        <v>8</v>
      </c>
    </row>
    <row r="913">
      <c r="A913" s="87" t="str">
        <f>IFERROR(__xludf.DUMMYFUNCTION("""COMPUTED_VALUE"""),"ITBISA-CHIP-ESP32-WROOM")</f>
        <v>ITBISA-CHIP-ESP32-WROOM</v>
      </c>
      <c r="B913" s="165">
        <f>IFERROR(__xludf.DUMMYFUNCTION("""COMPUTED_VALUE"""),46063.0)</f>
        <v>46063</v>
      </c>
      <c r="C913" s="165" t="str">
        <f>IFERROR(__xludf.DUMMYFUNCTION("""COMPUTED_VALUE"""),"KYAI KONTONG")</f>
        <v>KYAI KONTONG</v>
      </c>
      <c r="D913" s="94">
        <f>IFERROR(__xludf.DUMMYFUNCTION("""COMPUTED_VALUE"""),3.0)</f>
        <v>3</v>
      </c>
    </row>
    <row r="914">
      <c r="A914" s="87" t="str">
        <f>IFERROR(__xludf.DUMMYFUNCTION("""COMPUTED_VALUE"""),"ITBISA-CHIP-ESP32-WROOM-ANTENNA")</f>
        <v>ITBISA-CHIP-ESP32-WROOM-ANTENNA</v>
      </c>
      <c r="B914" s="165">
        <f>IFERROR(__xludf.DUMMYFUNCTION("""COMPUTED_VALUE"""),46192.0)</f>
        <v>46192</v>
      </c>
      <c r="C914" s="165" t="str">
        <f>IFERROR(__xludf.DUMMYFUNCTION("""COMPUTED_VALUE"""),"KYAI KONTONG")</f>
        <v>KYAI KONTONG</v>
      </c>
      <c r="D914" s="94">
        <f>IFERROR(__xludf.DUMMYFUNCTION("""COMPUTED_VALUE"""),1.0)</f>
        <v>1</v>
      </c>
    </row>
    <row r="915">
      <c r="A915" s="87" t="str">
        <f>IFERROR(__xludf.DUMMYFUNCTION("""COMPUTED_VALUE"""),"ITBISA-CHIP-ESP8266-ESP12F")</f>
        <v>ITBISA-CHIP-ESP8266-ESP12F</v>
      </c>
      <c r="B915" s="165">
        <f>IFERROR(__xludf.DUMMYFUNCTION("""COMPUTED_VALUE"""),46052.0)</f>
        <v>46052</v>
      </c>
      <c r="C915" s="165" t="str">
        <f>IFERROR(__xludf.DUMMYFUNCTION("""COMPUTED_VALUE"""),"KERTASARI CIAMIS")</f>
        <v>KERTASARI CIAMIS</v>
      </c>
      <c r="D915" s="94">
        <f>IFERROR(__xludf.DUMMYFUNCTION("""COMPUTED_VALUE"""),6.0)</f>
        <v>6</v>
      </c>
    </row>
    <row r="916">
      <c r="A916" s="87" t="str">
        <f>IFERROR(__xludf.DUMMYFUNCTION("""COMPUTED_VALUE"""),"ITBISA-CHIP-ESP8266-ESP12F")</f>
        <v>ITBISA-CHIP-ESP8266-ESP12F</v>
      </c>
      <c r="B916" s="165">
        <f>IFERROR(__xludf.DUMMYFUNCTION("""COMPUTED_VALUE"""),46059.0)</f>
        <v>46059</v>
      </c>
      <c r="C916" s="165" t="str">
        <f>IFERROR(__xludf.DUMMYFUNCTION("""COMPUTED_VALUE"""),"KERTASARI CIAMIS")</f>
        <v>KERTASARI CIAMIS</v>
      </c>
      <c r="D916" s="94">
        <f>IFERROR(__xludf.DUMMYFUNCTION("""COMPUTED_VALUE"""),35.0)</f>
        <v>35</v>
      </c>
    </row>
    <row r="917">
      <c r="A917" s="87" t="str">
        <f>IFERROR(__xludf.DUMMYFUNCTION("""COMPUTED_VALUE"""),"ITBISA-CHIP-ESP8266-ESP12F")</f>
        <v>ITBISA-CHIP-ESP8266-ESP12F</v>
      </c>
      <c r="B917" s="165">
        <f>IFERROR(__xludf.DUMMYFUNCTION("""COMPUTED_VALUE"""),46064.0)</f>
        <v>46064</v>
      </c>
      <c r="C917" s="165" t="str">
        <f>IFERROR(__xludf.DUMMYFUNCTION("""COMPUTED_VALUE"""),"KERTASARI CIAMIS")</f>
        <v>KERTASARI CIAMIS</v>
      </c>
      <c r="D917" s="94">
        <f>IFERROR(__xludf.DUMMYFUNCTION("""COMPUTED_VALUE"""),50.0)</f>
        <v>50</v>
      </c>
    </row>
    <row r="918">
      <c r="A918" s="87" t="str">
        <f>IFERROR(__xludf.DUMMYFUNCTION("""COMPUTED_VALUE"""),"ITBISA-CHIP-ESP8266-ESP12F")</f>
        <v>ITBISA-CHIP-ESP8266-ESP12F</v>
      </c>
      <c r="B918" s="165">
        <f>IFERROR(__xludf.DUMMYFUNCTION("""COMPUTED_VALUE"""),46064.0)</f>
        <v>46064</v>
      </c>
      <c r="C918" s="165" t="str">
        <f>IFERROR(__xludf.DUMMYFUNCTION("""COMPUTED_VALUE"""),"KYAI KONTONG")</f>
        <v>KYAI KONTONG</v>
      </c>
      <c r="D918" s="94">
        <f>IFERROR(__xludf.DUMMYFUNCTION("""COMPUTED_VALUE"""),2.0)</f>
        <v>2</v>
      </c>
    </row>
    <row r="919">
      <c r="A919" s="87" t="str">
        <f>IFERROR(__xludf.DUMMYFUNCTION("""COMPUTED_VALUE"""),"ITBISA-CHIP-ESP8266-ESP12F")</f>
        <v>ITBISA-CHIP-ESP8266-ESP12F</v>
      </c>
      <c r="B919" s="165">
        <f>IFERROR(__xludf.DUMMYFUNCTION("""COMPUTED_VALUE"""),46071.0)</f>
        <v>46071</v>
      </c>
      <c r="C919" s="165" t="str">
        <f>IFERROR(__xludf.DUMMYFUNCTION("""COMPUTED_VALUE"""),"KYAI KONTONG")</f>
        <v>KYAI KONTONG</v>
      </c>
      <c r="D919" s="94">
        <f>IFERROR(__xludf.DUMMYFUNCTION("""COMPUTED_VALUE"""),16.0)</f>
        <v>16</v>
      </c>
    </row>
    <row r="920">
      <c r="A920" s="87" t="str">
        <f>IFERROR(__xludf.DUMMYFUNCTION("""COMPUTED_VALUE"""),"ITBISA-CHIP-ESP8266-ESP12F")</f>
        <v>ITBISA-CHIP-ESP8266-ESP12F</v>
      </c>
      <c r="B920" s="165">
        <f>IFERROR(__xludf.DUMMYFUNCTION("""COMPUTED_VALUE"""),46077.0)</f>
        <v>46077</v>
      </c>
      <c r="C920" s="165" t="str">
        <f>IFERROR(__xludf.DUMMYFUNCTION("""COMPUTED_VALUE"""),"KERTASARI CIAMIS")</f>
        <v>KERTASARI CIAMIS</v>
      </c>
      <c r="D920" s="94">
        <f>IFERROR(__xludf.DUMMYFUNCTION("""COMPUTED_VALUE"""),9.0)</f>
        <v>9</v>
      </c>
    </row>
    <row r="921">
      <c r="A921" s="87" t="str">
        <f>IFERROR(__xludf.DUMMYFUNCTION("""COMPUTED_VALUE"""),"ITBISA-DC-TO-DC-STEPDOWN-LM2596")</f>
        <v>ITBISA-DC-TO-DC-STEPDOWN-LM2596</v>
      </c>
      <c r="B921" s="165">
        <f>IFERROR(__xludf.DUMMYFUNCTION("""COMPUTED_VALUE"""),45871.0)</f>
        <v>45871</v>
      </c>
      <c r="C921" s="165" t="str">
        <f>IFERROR(__xludf.DUMMYFUNCTION("""COMPUTED_VALUE"""),"KERTASARI CIAMIS")</f>
        <v>KERTASARI CIAMIS</v>
      </c>
      <c r="D921" s="94">
        <f>IFERROR(__xludf.DUMMYFUNCTION("""COMPUTED_VALUE"""),1.0)</f>
        <v>1</v>
      </c>
    </row>
    <row r="922">
      <c r="A922" s="87" t="str">
        <f>IFERROR(__xludf.DUMMYFUNCTION("""COMPUTED_VALUE"""),"ITBISA-DC-TO-DC-STEPDOWN-LM2596")</f>
        <v>ITBISA-DC-TO-DC-STEPDOWN-LM2596</v>
      </c>
      <c r="B922" s="165">
        <f>IFERROR(__xludf.DUMMYFUNCTION("""COMPUTED_VALUE"""),45871.0)</f>
        <v>45871</v>
      </c>
      <c r="C922" s="165" t="str">
        <f>IFERROR(__xludf.DUMMYFUNCTION("""COMPUTED_VALUE"""),"KERTASARI CIAMIS")</f>
        <v>KERTASARI CIAMIS</v>
      </c>
      <c r="D922" s="94">
        <f>IFERROR(__xludf.DUMMYFUNCTION("""COMPUTED_VALUE"""),3.0)</f>
        <v>3</v>
      </c>
    </row>
    <row r="923">
      <c r="A923" s="87" t="str">
        <f>IFERROR(__xludf.DUMMYFUNCTION("""COMPUTED_VALUE"""),"ITBISA-DC-TO-DC-STEPDOWN-LM2596")</f>
        <v>ITBISA-DC-TO-DC-STEPDOWN-LM2596</v>
      </c>
      <c r="B923" s="165">
        <f>IFERROR(__xludf.DUMMYFUNCTION("""COMPUTED_VALUE"""),46035.0)</f>
        <v>46035</v>
      </c>
      <c r="C923" s="165" t="str">
        <f>IFERROR(__xludf.DUMMYFUNCTION("""COMPUTED_VALUE"""),"KYAI KONTONG")</f>
        <v>KYAI KONTONG</v>
      </c>
      <c r="D923" s="94">
        <f>IFERROR(__xludf.DUMMYFUNCTION("""COMPUTED_VALUE"""),1.0)</f>
        <v>1</v>
      </c>
    </row>
    <row r="924">
      <c r="A924" s="87" t="str">
        <f>IFERROR(__xludf.DUMMYFUNCTION("""COMPUTED_VALUE"""),"ITBISA-DC-TO-DC-STEPDOWN-LM2596")</f>
        <v>ITBISA-DC-TO-DC-STEPDOWN-LM2596</v>
      </c>
      <c r="B924" s="165">
        <f>IFERROR(__xludf.DUMMYFUNCTION("""COMPUTED_VALUE"""),46036.0)</f>
        <v>46036</v>
      </c>
      <c r="C924" s="165" t="str">
        <f>IFERROR(__xludf.DUMMYFUNCTION("""COMPUTED_VALUE"""),"KYAI KONTONG")</f>
        <v>KYAI KONTONG</v>
      </c>
      <c r="D924" s="94">
        <f>IFERROR(__xludf.DUMMYFUNCTION("""COMPUTED_VALUE"""),3.0)</f>
        <v>3</v>
      </c>
    </row>
    <row r="925">
      <c r="A925" s="87" t="str">
        <f>IFERROR(__xludf.DUMMYFUNCTION("""COMPUTED_VALUE"""),"ITBISA-DC-TO-DC-STEPDOWN-LM2596")</f>
        <v>ITBISA-DC-TO-DC-STEPDOWN-LM2596</v>
      </c>
      <c r="B925" s="165">
        <f>IFERROR(__xludf.DUMMYFUNCTION("""COMPUTED_VALUE"""),46037.0)</f>
        <v>46037</v>
      </c>
      <c r="C925" s="165" t="str">
        <f>IFERROR(__xludf.DUMMYFUNCTION("""COMPUTED_VALUE"""),"KERTASARI CIAMIS")</f>
        <v>KERTASARI CIAMIS</v>
      </c>
      <c r="D925" s="94">
        <f>IFERROR(__xludf.DUMMYFUNCTION("""COMPUTED_VALUE"""),1.0)</f>
        <v>1</v>
      </c>
    </row>
    <row r="926">
      <c r="A926" s="87" t="str">
        <f>IFERROR(__xludf.DUMMYFUNCTION("""COMPUTED_VALUE"""),"ITBISA-DC-TO-DC-STEPDOWN-LM2596")</f>
        <v>ITBISA-DC-TO-DC-STEPDOWN-LM2596</v>
      </c>
      <c r="B926" s="165">
        <f>IFERROR(__xludf.DUMMYFUNCTION("""COMPUTED_VALUE"""),46057.0)</f>
        <v>46057</v>
      </c>
      <c r="C926" s="165" t="str">
        <f>IFERROR(__xludf.DUMMYFUNCTION("""COMPUTED_VALUE"""),"KYAI KONTONG")</f>
        <v>KYAI KONTONG</v>
      </c>
      <c r="D926" s="94">
        <f>IFERROR(__xludf.DUMMYFUNCTION("""COMPUTED_VALUE"""),1.0)</f>
        <v>1</v>
      </c>
    </row>
    <row r="927">
      <c r="A927" s="87" t="str">
        <f>IFERROR(__xludf.DUMMYFUNCTION("""COMPUTED_VALUE"""),"ITBISA-DC-TO-DC-STEPDOWN-LM2596")</f>
        <v>ITBISA-DC-TO-DC-STEPDOWN-LM2596</v>
      </c>
      <c r="B927" s="165">
        <f>IFERROR(__xludf.DUMMYFUNCTION("""COMPUTED_VALUE"""),46060.0)</f>
        <v>46060</v>
      </c>
      <c r="C927" s="165" t="str">
        <f>IFERROR(__xludf.DUMMYFUNCTION("""COMPUTED_VALUE"""),"KYAI KONTONG")</f>
        <v>KYAI KONTONG</v>
      </c>
      <c r="D927" s="94">
        <f>IFERROR(__xludf.DUMMYFUNCTION("""COMPUTED_VALUE"""),2.0)</f>
        <v>2</v>
      </c>
    </row>
    <row r="928">
      <c r="A928" s="87" t="str">
        <f>IFERROR(__xludf.DUMMYFUNCTION("""COMPUTED_VALUE"""),"ITBISA-DC-TO-DC-STEPDOWN-LM2596")</f>
        <v>ITBISA-DC-TO-DC-STEPDOWN-LM2596</v>
      </c>
      <c r="B928" s="165">
        <f>IFERROR(__xludf.DUMMYFUNCTION("""COMPUTED_VALUE"""),46062.0)</f>
        <v>46062</v>
      </c>
      <c r="C928" s="165" t="str">
        <f>IFERROR(__xludf.DUMMYFUNCTION("""COMPUTED_VALUE"""),"KYAI KONTONG")</f>
        <v>KYAI KONTONG</v>
      </c>
      <c r="D928" s="94">
        <f>IFERROR(__xludf.DUMMYFUNCTION("""COMPUTED_VALUE"""),2.0)</f>
        <v>2</v>
      </c>
    </row>
    <row r="929">
      <c r="A929" s="87" t="str">
        <f>IFERROR(__xludf.DUMMYFUNCTION("""COMPUTED_VALUE"""),"ITBISA-DC-TO-DC-STEPDOWN-LM2596")</f>
        <v>ITBISA-DC-TO-DC-STEPDOWN-LM2596</v>
      </c>
      <c r="B929" s="165">
        <f>IFERROR(__xludf.DUMMYFUNCTION("""COMPUTED_VALUE"""),46067.0)</f>
        <v>46067</v>
      </c>
      <c r="C929" s="165" t="str">
        <f>IFERROR(__xludf.DUMMYFUNCTION("""COMPUTED_VALUE"""),"KERTASARI CIAMIS")</f>
        <v>KERTASARI CIAMIS</v>
      </c>
      <c r="D929" s="94">
        <f>IFERROR(__xludf.DUMMYFUNCTION("""COMPUTED_VALUE"""),2.0)</f>
        <v>2</v>
      </c>
    </row>
    <row r="930">
      <c r="A930" s="87" t="str">
        <f>IFERROR(__xludf.DUMMYFUNCTION("""COMPUTED_VALUE"""),"ITBISA-DC-TO-DC-STEPDOWN-LM2596")</f>
        <v>ITBISA-DC-TO-DC-STEPDOWN-LM2596</v>
      </c>
      <c r="B930" s="165">
        <f>IFERROR(__xludf.DUMMYFUNCTION("""COMPUTED_VALUE"""),46070.0)</f>
        <v>46070</v>
      </c>
      <c r="C930" s="165" t="str">
        <f>IFERROR(__xludf.DUMMYFUNCTION("""COMPUTED_VALUE"""),"KYAI KONTONG")</f>
        <v>KYAI KONTONG</v>
      </c>
      <c r="D930" s="94">
        <f>IFERROR(__xludf.DUMMYFUNCTION("""COMPUTED_VALUE"""),1.0)</f>
        <v>1</v>
      </c>
    </row>
    <row r="931">
      <c r="A931" s="87" t="str">
        <f>IFERROR(__xludf.DUMMYFUNCTION("""COMPUTED_VALUE"""),"ITBISA-DC-TO-DC-STEPDOWN-LM2596")</f>
        <v>ITBISA-DC-TO-DC-STEPDOWN-LM2596</v>
      </c>
      <c r="B931" s="165">
        <f>IFERROR(__xludf.DUMMYFUNCTION("""COMPUTED_VALUE"""),46071.0)</f>
        <v>46071</v>
      </c>
      <c r="C931" s="165" t="str">
        <f>IFERROR(__xludf.DUMMYFUNCTION("""COMPUTED_VALUE"""),"KERTASARI CIAMIS")</f>
        <v>KERTASARI CIAMIS</v>
      </c>
      <c r="D931" s="94">
        <f>IFERROR(__xludf.DUMMYFUNCTION("""COMPUTED_VALUE"""),1.0)</f>
        <v>1</v>
      </c>
    </row>
    <row r="932">
      <c r="A932" s="87" t="str">
        <f>IFERROR(__xludf.DUMMYFUNCTION("""COMPUTED_VALUE"""),"ITBISA-DC-TO-DC-STEPDOWN-LM2596")</f>
        <v>ITBISA-DC-TO-DC-STEPDOWN-LM2596</v>
      </c>
      <c r="B932" s="165">
        <f>IFERROR(__xludf.DUMMYFUNCTION("""COMPUTED_VALUE"""),46072.0)</f>
        <v>46072</v>
      </c>
      <c r="C932" s="165" t="str">
        <f>IFERROR(__xludf.DUMMYFUNCTION("""COMPUTED_VALUE"""),"KERTASARI CIAMIS")</f>
        <v>KERTASARI CIAMIS</v>
      </c>
      <c r="D932" s="94">
        <f>IFERROR(__xludf.DUMMYFUNCTION("""COMPUTED_VALUE"""),3.0)</f>
        <v>3</v>
      </c>
    </row>
    <row r="933">
      <c r="A933" s="87" t="str">
        <f>IFERROR(__xludf.DUMMYFUNCTION("""COMPUTED_VALUE"""),"ITBISA-DC-TO-DC-STEPDOWN-LM2596")</f>
        <v>ITBISA-DC-TO-DC-STEPDOWN-LM2596</v>
      </c>
      <c r="B933" s="165">
        <f>IFERROR(__xludf.DUMMYFUNCTION("""COMPUTED_VALUE"""),46076.0)</f>
        <v>46076</v>
      </c>
      <c r="C933" s="165" t="str">
        <f>IFERROR(__xludf.DUMMYFUNCTION("""COMPUTED_VALUE"""),"KERTASARI CIAMIS")</f>
        <v>KERTASARI CIAMIS</v>
      </c>
      <c r="D933" s="94">
        <f>IFERROR(__xludf.DUMMYFUNCTION("""COMPUTED_VALUE"""),5.0)</f>
        <v>5</v>
      </c>
    </row>
    <row r="934">
      <c r="A934" s="87" t="str">
        <f>IFERROR(__xludf.DUMMYFUNCTION("""COMPUTED_VALUE"""),"ITBISA-DC-TO-DC-STEPDOWN-LM2596")</f>
        <v>ITBISA-DC-TO-DC-STEPDOWN-LM2596</v>
      </c>
      <c r="B934" s="165">
        <f>IFERROR(__xludf.DUMMYFUNCTION("""COMPUTED_VALUE"""),46082.0)</f>
        <v>46082</v>
      </c>
      <c r="C934" s="165" t="str">
        <f>IFERROR(__xludf.DUMMYFUNCTION("""COMPUTED_VALUE"""),"KYAI KONTONG")</f>
        <v>KYAI KONTONG</v>
      </c>
      <c r="D934" s="94">
        <f>IFERROR(__xludf.DUMMYFUNCTION("""COMPUTED_VALUE"""),1.0)</f>
        <v>1</v>
      </c>
    </row>
    <row r="935">
      <c r="A935" s="87" t="str">
        <f>IFERROR(__xludf.DUMMYFUNCTION("""COMPUTED_VALUE"""),"ITBISA-DC-TO-DC-STEPDOWN-LM2596")</f>
        <v>ITBISA-DC-TO-DC-STEPDOWN-LM2596</v>
      </c>
      <c r="B935" s="165">
        <f>IFERROR(__xludf.DUMMYFUNCTION("""COMPUTED_VALUE"""),46090.0)</f>
        <v>46090</v>
      </c>
      <c r="C935" s="165" t="str">
        <f>IFERROR(__xludf.DUMMYFUNCTION("""COMPUTED_VALUE"""),"KYAI KONTONG")</f>
        <v>KYAI KONTONG</v>
      </c>
      <c r="D935" s="94">
        <f>IFERROR(__xludf.DUMMYFUNCTION("""COMPUTED_VALUE"""),1.0)</f>
        <v>1</v>
      </c>
    </row>
    <row r="936">
      <c r="A936" s="87" t="str">
        <f>IFERROR(__xludf.DUMMYFUNCTION("""COMPUTED_VALUE"""),"ITBISA-DC-TO-DC-STEPDOWN-LM2596")</f>
        <v>ITBISA-DC-TO-DC-STEPDOWN-LM2596</v>
      </c>
      <c r="B936" s="165">
        <f>IFERROR(__xludf.DUMMYFUNCTION("""COMPUTED_VALUE"""),46095.0)</f>
        <v>46095</v>
      </c>
      <c r="C936" s="165" t="str">
        <f>IFERROR(__xludf.DUMMYFUNCTION("""COMPUTED_VALUE"""),"KYAI KONTONG")</f>
        <v>KYAI KONTONG</v>
      </c>
      <c r="D936" s="94">
        <f>IFERROR(__xludf.DUMMYFUNCTION("""COMPUTED_VALUE"""),2.0)</f>
        <v>2</v>
      </c>
    </row>
    <row r="937">
      <c r="A937" s="87" t="str">
        <f>IFERROR(__xludf.DUMMYFUNCTION("""COMPUTED_VALUE"""),"ITBISA-DC-TO-DC-STEPDOWN-LM2596")</f>
        <v>ITBISA-DC-TO-DC-STEPDOWN-LM2596</v>
      </c>
      <c r="B937" s="165">
        <f>IFERROR(__xludf.DUMMYFUNCTION("""COMPUTED_VALUE"""),46102.0)</f>
        <v>46102</v>
      </c>
      <c r="C937" s="165" t="str">
        <f>IFERROR(__xludf.DUMMYFUNCTION("""COMPUTED_VALUE"""),"KYAI KONTONG")</f>
        <v>KYAI KONTONG</v>
      </c>
      <c r="D937" s="94">
        <f>IFERROR(__xludf.DUMMYFUNCTION("""COMPUTED_VALUE"""),2.0)</f>
        <v>2</v>
      </c>
    </row>
    <row r="938">
      <c r="A938" s="87" t="str">
        <f>IFERROR(__xludf.DUMMYFUNCTION("""COMPUTED_VALUE"""),"ITBISA-DC-TO-DC-STEPDOWN-LM2596")</f>
        <v>ITBISA-DC-TO-DC-STEPDOWN-LM2596</v>
      </c>
      <c r="B938" s="165">
        <f>IFERROR(__xludf.DUMMYFUNCTION("""COMPUTED_VALUE"""),46103.0)</f>
        <v>46103</v>
      </c>
      <c r="C938" s="165" t="str">
        <f>IFERROR(__xludf.DUMMYFUNCTION("""COMPUTED_VALUE"""),"KYAI KONTONG")</f>
        <v>KYAI KONTONG</v>
      </c>
      <c r="D938" s="94">
        <f>IFERROR(__xludf.DUMMYFUNCTION("""COMPUTED_VALUE"""),1.0)</f>
        <v>1</v>
      </c>
    </row>
    <row r="939">
      <c r="A939" s="87" t="str">
        <f>IFERROR(__xludf.DUMMYFUNCTION("""COMPUTED_VALUE"""),"ITBISA-DC-TO-DC-STEPDOWN-LM2596")</f>
        <v>ITBISA-DC-TO-DC-STEPDOWN-LM2596</v>
      </c>
      <c r="B939" s="165">
        <f>IFERROR(__xludf.DUMMYFUNCTION("""COMPUTED_VALUE"""),46119.0)</f>
        <v>46119</v>
      </c>
      <c r="C939" s="165" t="str">
        <f>IFERROR(__xludf.DUMMYFUNCTION("""COMPUTED_VALUE"""),"KYAI KONTONG")</f>
        <v>KYAI KONTONG</v>
      </c>
      <c r="D939" s="94">
        <f>IFERROR(__xludf.DUMMYFUNCTION("""COMPUTED_VALUE"""),1.0)</f>
        <v>1</v>
      </c>
    </row>
    <row r="940">
      <c r="A940" s="87" t="str">
        <f>IFERROR(__xludf.DUMMYFUNCTION("""COMPUTED_VALUE"""),"ITBISA-DC-TO-DC-STEPDOWN-LM2596")</f>
        <v>ITBISA-DC-TO-DC-STEPDOWN-LM2596</v>
      </c>
      <c r="B940" s="165">
        <f>IFERROR(__xludf.DUMMYFUNCTION("""COMPUTED_VALUE"""),46124.0)</f>
        <v>46124</v>
      </c>
      <c r="C940" s="165" t="str">
        <f>IFERROR(__xludf.DUMMYFUNCTION("""COMPUTED_VALUE"""),"KYAI KONTONG")</f>
        <v>KYAI KONTONG</v>
      </c>
      <c r="D940" s="94">
        <f>IFERROR(__xludf.DUMMYFUNCTION("""COMPUTED_VALUE"""),1.0)</f>
        <v>1</v>
      </c>
    </row>
    <row r="941">
      <c r="A941" s="87" t="str">
        <f>IFERROR(__xludf.DUMMYFUNCTION("""COMPUTED_VALUE"""),"ITBISA-DC-TO-DC-STEPDOWN-LM2596")</f>
        <v>ITBISA-DC-TO-DC-STEPDOWN-LM2596</v>
      </c>
      <c r="B941" s="165">
        <f>IFERROR(__xludf.DUMMYFUNCTION("""COMPUTED_VALUE"""),46124.0)</f>
        <v>46124</v>
      </c>
      <c r="C941" s="165" t="str">
        <f>IFERROR(__xludf.DUMMYFUNCTION("""COMPUTED_VALUE"""),"KYAI KONTONG")</f>
        <v>KYAI KONTONG</v>
      </c>
      <c r="D941" s="94">
        <f>IFERROR(__xludf.DUMMYFUNCTION("""COMPUTED_VALUE"""),2.0)</f>
        <v>2</v>
      </c>
    </row>
    <row r="942">
      <c r="A942" s="87" t="str">
        <f>IFERROR(__xludf.DUMMYFUNCTION("""COMPUTED_VALUE"""),"ITBISA-DC-TO-DC-STEPDOWN-LM2596")</f>
        <v>ITBISA-DC-TO-DC-STEPDOWN-LM2596</v>
      </c>
      <c r="B942" s="165">
        <f>IFERROR(__xludf.DUMMYFUNCTION("""COMPUTED_VALUE"""),46124.0)</f>
        <v>46124</v>
      </c>
      <c r="C942" s="165" t="str">
        <f>IFERROR(__xludf.DUMMYFUNCTION("""COMPUTED_VALUE"""),"KYAI KONTONG")</f>
        <v>KYAI KONTONG</v>
      </c>
      <c r="D942" s="94">
        <f>IFERROR(__xludf.DUMMYFUNCTION("""COMPUTED_VALUE"""),2.0)</f>
        <v>2</v>
      </c>
    </row>
    <row r="943">
      <c r="A943" s="87" t="str">
        <f>IFERROR(__xludf.DUMMYFUNCTION("""COMPUTED_VALUE"""),"ITBISA-DC-TO-DC-STEPDOWN-LM2596")</f>
        <v>ITBISA-DC-TO-DC-STEPDOWN-LM2596</v>
      </c>
      <c r="B943" s="165">
        <f>IFERROR(__xludf.DUMMYFUNCTION("""COMPUTED_VALUE"""),46128.0)</f>
        <v>46128</v>
      </c>
      <c r="C943" s="165" t="str">
        <f>IFERROR(__xludf.DUMMYFUNCTION("""COMPUTED_VALUE"""),"KYAI KONTONG")</f>
        <v>KYAI KONTONG</v>
      </c>
      <c r="D943" s="94">
        <f>IFERROR(__xludf.DUMMYFUNCTION("""COMPUTED_VALUE"""),1.0)</f>
        <v>1</v>
      </c>
    </row>
    <row r="944">
      <c r="A944" s="87" t="str">
        <f>IFERROR(__xludf.DUMMYFUNCTION("""COMPUTED_VALUE"""),"ITBISA-DC-TO-DC-STEPDOWN-LM2596")</f>
        <v>ITBISA-DC-TO-DC-STEPDOWN-LM2596</v>
      </c>
      <c r="B944" s="165">
        <f>IFERROR(__xludf.DUMMYFUNCTION("""COMPUTED_VALUE"""),46129.0)</f>
        <v>46129</v>
      </c>
      <c r="C944" s="165" t="str">
        <f>IFERROR(__xludf.DUMMYFUNCTION("""COMPUTED_VALUE"""),"KYAI KONTONG")</f>
        <v>KYAI KONTONG</v>
      </c>
      <c r="D944" s="94">
        <f>IFERROR(__xludf.DUMMYFUNCTION("""COMPUTED_VALUE"""),1.0)</f>
        <v>1</v>
      </c>
    </row>
    <row r="945">
      <c r="A945" s="87" t="str">
        <f>IFERROR(__xludf.DUMMYFUNCTION("""COMPUTED_VALUE"""),"ITBISA-DC-TO-DC-STEPDOWN-LM2596")</f>
        <v>ITBISA-DC-TO-DC-STEPDOWN-LM2596</v>
      </c>
      <c r="B945" s="165">
        <f>IFERROR(__xludf.DUMMYFUNCTION("""COMPUTED_VALUE"""),46134.0)</f>
        <v>46134</v>
      </c>
      <c r="C945" s="165" t="str">
        <f>IFERROR(__xludf.DUMMYFUNCTION("""COMPUTED_VALUE"""),"KYAI KONTONG")</f>
        <v>KYAI KONTONG</v>
      </c>
      <c r="D945" s="94">
        <f>IFERROR(__xludf.DUMMYFUNCTION("""COMPUTED_VALUE"""),2.0)</f>
        <v>2</v>
      </c>
    </row>
    <row r="946">
      <c r="A946" s="87" t="str">
        <f>IFERROR(__xludf.DUMMYFUNCTION("""COMPUTED_VALUE"""),"ITBISA-DC-TO-DC-STEPDOWN-LM2596")</f>
        <v>ITBISA-DC-TO-DC-STEPDOWN-LM2596</v>
      </c>
      <c r="B946" s="165">
        <f>IFERROR(__xludf.DUMMYFUNCTION("""COMPUTED_VALUE"""),46134.0)</f>
        <v>46134</v>
      </c>
      <c r="C946" s="165" t="str">
        <f>IFERROR(__xludf.DUMMYFUNCTION("""COMPUTED_VALUE"""),"KYAI KONTONG")</f>
        <v>KYAI KONTONG</v>
      </c>
      <c r="D946" s="94">
        <f>IFERROR(__xludf.DUMMYFUNCTION("""COMPUTED_VALUE"""),2.0)</f>
        <v>2</v>
      </c>
    </row>
    <row r="947">
      <c r="A947" s="87" t="str">
        <f>IFERROR(__xludf.DUMMYFUNCTION("""COMPUTED_VALUE"""),"ITBISA-DC-TO-DC-STEPDOWN-LM2596")</f>
        <v>ITBISA-DC-TO-DC-STEPDOWN-LM2596</v>
      </c>
      <c r="B947" s="165">
        <f>IFERROR(__xludf.DUMMYFUNCTION("""COMPUTED_VALUE"""),46136.0)</f>
        <v>46136</v>
      </c>
      <c r="C947" s="165" t="str">
        <f>IFERROR(__xludf.DUMMYFUNCTION("""COMPUTED_VALUE"""),"KYAI KONTONG")</f>
        <v>KYAI KONTONG</v>
      </c>
      <c r="D947" s="94">
        <f>IFERROR(__xludf.DUMMYFUNCTION("""COMPUTED_VALUE"""),4.0)</f>
        <v>4</v>
      </c>
    </row>
    <row r="948">
      <c r="A948" s="87" t="str">
        <f>IFERROR(__xludf.DUMMYFUNCTION("""COMPUTED_VALUE"""),"ITBISA-DC-TO-DC-STEPDOWN-LM2596")</f>
        <v>ITBISA-DC-TO-DC-STEPDOWN-LM2596</v>
      </c>
      <c r="B948" s="165">
        <f>IFERROR(__xludf.DUMMYFUNCTION("""COMPUTED_VALUE"""),46138.0)</f>
        <v>46138</v>
      </c>
      <c r="C948" s="165" t="str">
        <f>IFERROR(__xludf.DUMMYFUNCTION("""COMPUTED_VALUE"""),"KYAI KONTONG")</f>
        <v>KYAI KONTONG</v>
      </c>
      <c r="D948" s="94">
        <f>IFERROR(__xludf.DUMMYFUNCTION("""COMPUTED_VALUE"""),1.0)</f>
        <v>1</v>
      </c>
    </row>
    <row r="949">
      <c r="A949" s="87" t="str">
        <f>IFERROR(__xludf.DUMMYFUNCTION("""COMPUTED_VALUE"""),"ITBISA-DC-TO-DC-STEPDOWN-LM2596")</f>
        <v>ITBISA-DC-TO-DC-STEPDOWN-LM2596</v>
      </c>
      <c r="B949" s="165">
        <f>IFERROR(__xludf.DUMMYFUNCTION("""COMPUTED_VALUE"""),46138.0)</f>
        <v>46138</v>
      </c>
      <c r="C949" s="165" t="str">
        <f>IFERROR(__xludf.DUMMYFUNCTION("""COMPUTED_VALUE"""),"KYAI KONTONG")</f>
        <v>KYAI KONTONG</v>
      </c>
      <c r="D949" s="94">
        <f>IFERROR(__xludf.DUMMYFUNCTION("""COMPUTED_VALUE"""),2.0)</f>
        <v>2</v>
      </c>
    </row>
    <row r="950">
      <c r="A950" s="87" t="str">
        <f>IFERROR(__xludf.DUMMYFUNCTION("""COMPUTED_VALUE"""),"ITBISA-DC-TO-DC-STEPDOWN-LM2596")</f>
        <v>ITBISA-DC-TO-DC-STEPDOWN-LM2596</v>
      </c>
      <c r="B950" s="165">
        <f>IFERROR(__xludf.DUMMYFUNCTION("""COMPUTED_VALUE"""),46139.0)</f>
        <v>46139</v>
      </c>
      <c r="C950" s="165" t="str">
        <f>IFERROR(__xludf.DUMMYFUNCTION("""COMPUTED_VALUE"""),"KYAI KONTONG")</f>
        <v>KYAI KONTONG</v>
      </c>
      <c r="D950" s="94">
        <f>IFERROR(__xludf.DUMMYFUNCTION("""COMPUTED_VALUE"""),1.0)</f>
        <v>1</v>
      </c>
    </row>
    <row r="951">
      <c r="A951" s="87" t="str">
        <f>IFERROR(__xludf.DUMMYFUNCTION("""COMPUTED_VALUE"""),"ITBISA-DC-TO-DC-STEPDOWN-LM2596")</f>
        <v>ITBISA-DC-TO-DC-STEPDOWN-LM2596</v>
      </c>
      <c r="B951" s="165">
        <f>IFERROR(__xludf.DUMMYFUNCTION("""COMPUTED_VALUE"""),46140.0)</f>
        <v>46140</v>
      </c>
      <c r="C951" s="165" t="str">
        <f>IFERROR(__xludf.DUMMYFUNCTION("""COMPUTED_VALUE"""),"KYAI KONTONG")</f>
        <v>KYAI KONTONG</v>
      </c>
      <c r="D951" s="94">
        <f>IFERROR(__xludf.DUMMYFUNCTION("""COMPUTED_VALUE"""),1.0)</f>
        <v>1</v>
      </c>
    </row>
    <row r="952">
      <c r="A952" s="87" t="str">
        <f>IFERROR(__xludf.DUMMYFUNCTION("""COMPUTED_VALUE"""),"ITBISA-DC-TO-DC-STEPDOWN-LM2596")</f>
        <v>ITBISA-DC-TO-DC-STEPDOWN-LM2596</v>
      </c>
      <c r="B952" s="165">
        <f>IFERROR(__xludf.DUMMYFUNCTION("""COMPUTED_VALUE"""),46140.0)</f>
        <v>46140</v>
      </c>
      <c r="C952" s="165" t="str">
        <f>IFERROR(__xludf.DUMMYFUNCTION("""COMPUTED_VALUE"""),"KYAI KONTONG")</f>
        <v>KYAI KONTONG</v>
      </c>
      <c r="D952" s="94">
        <f>IFERROR(__xludf.DUMMYFUNCTION("""COMPUTED_VALUE"""),1.0)</f>
        <v>1</v>
      </c>
    </row>
    <row r="953">
      <c r="A953" s="87" t="str">
        <f>IFERROR(__xludf.DUMMYFUNCTION("""COMPUTED_VALUE"""),"ITBISA-DC-TO-DC-STEPDOWN-LM2596")</f>
        <v>ITBISA-DC-TO-DC-STEPDOWN-LM2596</v>
      </c>
      <c r="B953" s="165">
        <f>IFERROR(__xludf.DUMMYFUNCTION("""COMPUTED_VALUE"""),46140.0)</f>
        <v>46140</v>
      </c>
      <c r="C953" s="165" t="str">
        <f>IFERROR(__xludf.DUMMYFUNCTION("""COMPUTED_VALUE"""),"KYAI KONTONG")</f>
        <v>KYAI KONTONG</v>
      </c>
      <c r="D953" s="94">
        <f>IFERROR(__xludf.DUMMYFUNCTION("""COMPUTED_VALUE"""),2.0)</f>
        <v>2</v>
      </c>
    </row>
    <row r="954">
      <c r="A954" s="87" t="str">
        <f>IFERROR(__xludf.DUMMYFUNCTION("""COMPUTED_VALUE"""),"ITBISA-DC-TO-DC-STEPDOWN-LM2596")</f>
        <v>ITBISA-DC-TO-DC-STEPDOWN-LM2596</v>
      </c>
      <c r="B954" s="165">
        <f>IFERROR(__xludf.DUMMYFUNCTION("""COMPUTED_VALUE"""),46141.0)</f>
        <v>46141</v>
      </c>
      <c r="C954" s="165" t="str">
        <f>IFERROR(__xludf.DUMMYFUNCTION("""COMPUTED_VALUE"""),"KYAI KONTONG")</f>
        <v>KYAI KONTONG</v>
      </c>
      <c r="D954" s="94">
        <f>IFERROR(__xludf.DUMMYFUNCTION("""COMPUTED_VALUE"""),1.0)</f>
        <v>1</v>
      </c>
    </row>
    <row r="955">
      <c r="A955" s="87" t="str">
        <f>IFERROR(__xludf.DUMMYFUNCTION("""COMPUTED_VALUE"""),"ITBISA-DC-TO-DC-STEPDOWN-LM2596")</f>
        <v>ITBISA-DC-TO-DC-STEPDOWN-LM2596</v>
      </c>
      <c r="B955" s="165">
        <f>IFERROR(__xludf.DUMMYFUNCTION("""COMPUTED_VALUE"""),46142.0)</f>
        <v>46142</v>
      </c>
      <c r="C955" s="165" t="str">
        <f>IFERROR(__xludf.DUMMYFUNCTION("""COMPUTED_VALUE"""),"KYAI KONTONG")</f>
        <v>KYAI KONTONG</v>
      </c>
      <c r="D955" s="94">
        <f>IFERROR(__xludf.DUMMYFUNCTION("""COMPUTED_VALUE"""),1.0)</f>
        <v>1</v>
      </c>
    </row>
    <row r="956">
      <c r="A956" s="87" t="str">
        <f>IFERROR(__xludf.DUMMYFUNCTION("""COMPUTED_VALUE"""),"ITBISA-DC-TO-DC-STEPDOWN-LM2596")</f>
        <v>ITBISA-DC-TO-DC-STEPDOWN-LM2596</v>
      </c>
      <c r="B956" s="165">
        <f>IFERROR(__xludf.DUMMYFUNCTION("""COMPUTED_VALUE"""),46142.0)</f>
        <v>46142</v>
      </c>
      <c r="C956" s="165" t="str">
        <f>IFERROR(__xludf.DUMMYFUNCTION("""COMPUTED_VALUE"""),"KYAI KONTONG")</f>
        <v>KYAI KONTONG</v>
      </c>
      <c r="D956" s="94">
        <f>IFERROR(__xludf.DUMMYFUNCTION("""COMPUTED_VALUE"""),2.0)</f>
        <v>2</v>
      </c>
    </row>
    <row r="957">
      <c r="A957" s="87" t="str">
        <f>IFERROR(__xludf.DUMMYFUNCTION("""COMPUTED_VALUE"""),"ITBISA-DC-TO-DC-STEPDOWN-LM2596")</f>
        <v>ITBISA-DC-TO-DC-STEPDOWN-LM2596</v>
      </c>
      <c r="B957" s="165">
        <f>IFERROR(__xludf.DUMMYFUNCTION("""COMPUTED_VALUE"""),46142.0)</f>
        <v>46142</v>
      </c>
      <c r="C957" s="165" t="str">
        <f>IFERROR(__xludf.DUMMYFUNCTION("""COMPUTED_VALUE"""),"KYAI KONTONG")</f>
        <v>KYAI KONTONG</v>
      </c>
      <c r="D957" s="94">
        <f>IFERROR(__xludf.DUMMYFUNCTION("""COMPUTED_VALUE"""),2.0)</f>
        <v>2</v>
      </c>
    </row>
    <row r="958">
      <c r="A958" s="87" t="str">
        <f>IFERROR(__xludf.DUMMYFUNCTION("""COMPUTED_VALUE"""),"ITBISA-DC-TO-DC-STEPDOWN-LM2596")</f>
        <v>ITBISA-DC-TO-DC-STEPDOWN-LM2596</v>
      </c>
      <c r="B958" s="165">
        <f>IFERROR(__xludf.DUMMYFUNCTION("""COMPUTED_VALUE"""),46143.0)</f>
        <v>46143</v>
      </c>
      <c r="C958" s="165" t="str">
        <f>IFERROR(__xludf.DUMMYFUNCTION("""COMPUTED_VALUE"""),"KYAI KONTONG")</f>
        <v>KYAI KONTONG</v>
      </c>
      <c r="D958" s="94">
        <f>IFERROR(__xludf.DUMMYFUNCTION("""COMPUTED_VALUE"""),1.0)</f>
        <v>1</v>
      </c>
    </row>
    <row r="959">
      <c r="A959" s="87" t="str">
        <f>IFERROR(__xludf.DUMMYFUNCTION("""COMPUTED_VALUE"""),"ITBISA-DC-TO-DC-STEPDOWN-LM2596")</f>
        <v>ITBISA-DC-TO-DC-STEPDOWN-LM2596</v>
      </c>
      <c r="B959" s="165">
        <f>IFERROR(__xludf.DUMMYFUNCTION("""COMPUTED_VALUE"""),46143.0)</f>
        <v>46143</v>
      </c>
      <c r="C959" s="165" t="str">
        <f>IFERROR(__xludf.DUMMYFUNCTION("""COMPUTED_VALUE"""),"KYAI KONTONG")</f>
        <v>KYAI KONTONG</v>
      </c>
      <c r="D959" s="94">
        <f>IFERROR(__xludf.DUMMYFUNCTION("""COMPUTED_VALUE"""),2.0)</f>
        <v>2</v>
      </c>
    </row>
    <row r="960">
      <c r="A960" s="87" t="str">
        <f>IFERROR(__xludf.DUMMYFUNCTION("""COMPUTED_VALUE"""),"ITBISA-DC-TO-DC-STEPDOWN-LM2596")</f>
        <v>ITBISA-DC-TO-DC-STEPDOWN-LM2596</v>
      </c>
      <c r="B960" s="165">
        <f>IFERROR(__xludf.DUMMYFUNCTION("""COMPUTED_VALUE"""),46144.0)</f>
        <v>46144</v>
      </c>
      <c r="C960" s="165" t="str">
        <f>IFERROR(__xludf.DUMMYFUNCTION("""COMPUTED_VALUE"""),"KYAI KONTONG")</f>
        <v>KYAI KONTONG</v>
      </c>
      <c r="D960" s="94">
        <f>IFERROR(__xludf.DUMMYFUNCTION("""COMPUTED_VALUE"""),1.0)</f>
        <v>1</v>
      </c>
    </row>
    <row r="961">
      <c r="A961" s="87" t="str">
        <f>IFERROR(__xludf.DUMMYFUNCTION("""COMPUTED_VALUE"""),"ITBISA-DC-TO-DC-STEPDOWN-LM2596")</f>
        <v>ITBISA-DC-TO-DC-STEPDOWN-LM2596</v>
      </c>
      <c r="B961" s="165">
        <f>IFERROR(__xludf.DUMMYFUNCTION("""COMPUTED_VALUE"""),46144.0)</f>
        <v>46144</v>
      </c>
      <c r="C961" s="165" t="str">
        <f>IFERROR(__xludf.DUMMYFUNCTION("""COMPUTED_VALUE"""),"KYAI KONTONG")</f>
        <v>KYAI KONTONG</v>
      </c>
      <c r="D961" s="94">
        <f>IFERROR(__xludf.DUMMYFUNCTION("""COMPUTED_VALUE"""),1.0)</f>
        <v>1</v>
      </c>
    </row>
    <row r="962">
      <c r="A962" s="87" t="str">
        <f>IFERROR(__xludf.DUMMYFUNCTION("""COMPUTED_VALUE"""),"ITBISA-DC-TO-DC-STEPDOWN-LM2596")</f>
        <v>ITBISA-DC-TO-DC-STEPDOWN-LM2596</v>
      </c>
      <c r="B962" s="165">
        <f>IFERROR(__xludf.DUMMYFUNCTION("""COMPUTED_VALUE"""),46144.0)</f>
        <v>46144</v>
      </c>
      <c r="C962" s="165" t="str">
        <f>IFERROR(__xludf.DUMMYFUNCTION("""COMPUTED_VALUE"""),"KYAI KONTONG")</f>
        <v>KYAI KONTONG</v>
      </c>
      <c r="D962" s="94">
        <f>IFERROR(__xludf.DUMMYFUNCTION("""COMPUTED_VALUE"""),1.0)</f>
        <v>1</v>
      </c>
    </row>
    <row r="963">
      <c r="A963" s="87" t="str">
        <f>IFERROR(__xludf.DUMMYFUNCTION("""COMPUTED_VALUE"""),"ITBISA-DC-TO-DC-STEPDOWN-LM2596")</f>
        <v>ITBISA-DC-TO-DC-STEPDOWN-LM2596</v>
      </c>
      <c r="B963" s="165">
        <f>IFERROR(__xludf.DUMMYFUNCTION("""COMPUTED_VALUE"""),46144.0)</f>
        <v>46144</v>
      </c>
      <c r="C963" s="165" t="str">
        <f>IFERROR(__xludf.DUMMYFUNCTION("""COMPUTED_VALUE"""),"KYAI KONTONG")</f>
        <v>KYAI KONTONG</v>
      </c>
      <c r="D963" s="94">
        <f>IFERROR(__xludf.DUMMYFUNCTION("""COMPUTED_VALUE"""),2.0)</f>
        <v>2</v>
      </c>
    </row>
    <row r="964">
      <c r="A964" s="87" t="str">
        <f>IFERROR(__xludf.DUMMYFUNCTION("""COMPUTED_VALUE"""),"ITBISA-DC-TO-DC-STEPDOWN-LM2596")</f>
        <v>ITBISA-DC-TO-DC-STEPDOWN-LM2596</v>
      </c>
      <c r="B964" s="165">
        <f>IFERROR(__xludf.DUMMYFUNCTION("""COMPUTED_VALUE"""),46145.0)</f>
        <v>46145</v>
      </c>
      <c r="C964" s="165" t="str">
        <f>IFERROR(__xludf.DUMMYFUNCTION("""COMPUTED_VALUE"""),"KYAI KONTONG")</f>
        <v>KYAI KONTONG</v>
      </c>
      <c r="D964" s="94">
        <f>IFERROR(__xludf.DUMMYFUNCTION("""COMPUTED_VALUE"""),1.0)</f>
        <v>1</v>
      </c>
    </row>
    <row r="965">
      <c r="A965" s="87" t="str">
        <f>IFERROR(__xludf.DUMMYFUNCTION("""COMPUTED_VALUE"""),"ITBISA-DC-TO-DC-STEPDOWN-LM2596")</f>
        <v>ITBISA-DC-TO-DC-STEPDOWN-LM2596</v>
      </c>
      <c r="B965" s="165">
        <f>IFERROR(__xludf.DUMMYFUNCTION("""COMPUTED_VALUE"""),46145.0)</f>
        <v>46145</v>
      </c>
      <c r="C965" s="165" t="str">
        <f>IFERROR(__xludf.DUMMYFUNCTION("""COMPUTED_VALUE"""),"KYAI KONTONG")</f>
        <v>KYAI KONTONG</v>
      </c>
      <c r="D965" s="94">
        <f>IFERROR(__xludf.DUMMYFUNCTION("""COMPUTED_VALUE"""),1.0)</f>
        <v>1</v>
      </c>
    </row>
    <row r="966">
      <c r="A966" s="87" t="str">
        <f>IFERROR(__xludf.DUMMYFUNCTION("""COMPUTED_VALUE"""),"ITBISA-DC-TO-DC-STEPDOWN-LM2596")</f>
        <v>ITBISA-DC-TO-DC-STEPDOWN-LM2596</v>
      </c>
      <c r="B966" s="165">
        <f>IFERROR(__xludf.DUMMYFUNCTION("""COMPUTED_VALUE"""),46145.0)</f>
        <v>46145</v>
      </c>
      <c r="C966" s="165" t="str">
        <f>IFERROR(__xludf.DUMMYFUNCTION("""COMPUTED_VALUE"""),"KYAI KONTONG")</f>
        <v>KYAI KONTONG</v>
      </c>
      <c r="D966" s="94">
        <f>IFERROR(__xludf.DUMMYFUNCTION("""COMPUTED_VALUE"""),2.0)</f>
        <v>2</v>
      </c>
    </row>
    <row r="967">
      <c r="A967" s="87" t="str">
        <f>IFERROR(__xludf.DUMMYFUNCTION("""COMPUTED_VALUE"""),"ITBISA-DC-TO-DC-STEPDOWN-LM2596")</f>
        <v>ITBISA-DC-TO-DC-STEPDOWN-LM2596</v>
      </c>
      <c r="B967" s="165">
        <f>IFERROR(__xludf.DUMMYFUNCTION("""COMPUTED_VALUE"""),46146.0)</f>
        <v>46146</v>
      </c>
      <c r="C967" s="165" t="str">
        <f>IFERROR(__xludf.DUMMYFUNCTION("""COMPUTED_VALUE"""),"KYAI KONTONG")</f>
        <v>KYAI KONTONG</v>
      </c>
      <c r="D967" s="94">
        <f>IFERROR(__xludf.DUMMYFUNCTION("""COMPUTED_VALUE"""),1.0)</f>
        <v>1</v>
      </c>
    </row>
    <row r="968">
      <c r="A968" s="87" t="str">
        <f>IFERROR(__xludf.DUMMYFUNCTION("""COMPUTED_VALUE"""),"ITBISA-DC-TO-DC-STEPDOWN-LM2596")</f>
        <v>ITBISA-DC-TO-DC-STEPDOWN-LM2596</v>
      </c>
      <c r="B968" s="165">
        <f>IFERROR(__xludf.DUMMYFUNCTION("""COMPUTED_VALUE"""),46146.0)</f>
        <v>46146</v>
      </c>
      <c r="C968" s="165" t="str">
        <f>IFERROR(__xludf.DUMMYFUNCTION("""COMPUTED_VALUE"""),"KYAI KONTONG")</f>
        <v>KYAI KONTONG</v>
      </c>
      <c r="D968" s="94">
        <f>IFERROR(__xludf.DUMMYFUNCTION("""COMPUTED_VALUE"""),1.0)</f>
        <v>1</v>
      </c>
    </row>
    <row r="969">
      <c r="A969" s="87" t="str">
        <f>IFERROR(__xludf.DUMMYFUNCTION("""COMPUTED_VALUE"""),"ITBISA-DC-TO-DC-STEPDOWN-LM2596")</f>
        <v>ITBISA-DC-TO-DC-STEPDOWN-LM2596</v>
      </c>
      <c r="B969" s="165">
        <f>IFERROR(__xludf.DUMMYFUNCTION("""COMPUTED_VALUE"""),46146.0)</f>
        <v>46146</v>
      </c>
      <c r="C969" s="165" t="str">
        <f>IFERROR(__xludf.DUMMYFUNCTION("""COMPUTED_VALUE"""),"KYAI KONTONG")</f>
        <v>KYAI KONTONG</v>
      </c>
      <c r="D969" s="94">
        <f>IFERROR(__xludf.DUMMYFUNCTION("""COMPUTED_VALUE"""),3.0)</f>
        <v>3</v>
      </c>
    </row>
    <row r="970">
      <c r="A970" s="87" t="str">
        <f>IFERROR(__xludf.DUMMYFUNCTION("""COMPUTED_VALUE"""),"ITBISA-DC-TO-DC-STEPDOWN-LM2596")</f>
        <v>ITBISA-DC-TO-DC-STEPDOWN-LM2596</v>
      </c>
      <c r="B970" s="165">
        <f>IFERROR(__xludf.DUMMYFUNCTION("""COMPUTED_VALUE"""),46146.0)</f>
        <v>46146</v>
      </c>
      <c r="C970" s="165" t="str">
        <f>IFERROR(__xludf.DUMMYFUNCTION("""COMPUTED_VALUE"""),"KYAI KONTONG")</f>
        <v>KYAI KONTONG</v>
      </c>
      <c r="D970" s="94">
        <f>IFERROR(__xludf.DUMMYFUNCTION("""COMPUTED_VALUE"""),3.0)</f>
        <v>3</v>
      </c>
    </row>
    <row r="971">
      <c r="A971" s="87" t="str">
        <f>IFERROR(__xludf.DUMMYFUNCTION("""COMPUTED_VALUE"""),"ITBISA-DC-TO-DC-STEPDOWN-LM2596")</f>
        <v>ITBISA-DC-TO-DC-STEPDOWN-LM2596</v>
      </c>
      <c r="B971" s="165">
        <f>IFERROR(__xludf.DUMMYFUNCTION("""COMPUTED_VALUE"""),46147.0)</f>
        <v>46147</v>
      </c>
      <c r="C971" s="165" t="str">
        <f>IFERROR(__xludf.DUMMYFUNCTION("""COMPUTED_VALUE"""),"KYAI KONTONG")</f>
        <v>KYAI KONTONG</v>
      </c>
      <c r="D971" s="94">
        <f>IFERROR(__xludf.DUMMYFUNCTION("""COMPUTED_VALUE"""),1.0)</f>
        <v>1</v>
      </c>
    </row>
    <row r="972">
      <c r="A972" s="87" t="str">
        <f>IFERROR(__xludf.DUMMYFUNCTION("""COMPUTED_VALUE"""),"ITBISA-DC-TO-DC-STEPDOWN-LM2596")</f>
        <v>ITBISA-DC-TO-DC-STEPDOWN-LM2596</v>
      </c>
      <c r="B972" s="165">
        <f>IFERROR(__xludf.DUMMYFUNCTION("""COMPUTED_VALUE"""),46147.0)</f>
        <v>46147</v>
      </c>
      <c r="C972" s="165" t="str">
        <f>IFERROR(__xludf.DUMMYFUNCTION("""COMPUTED_VALUE"""),"KYAI KONTONG")</f>
        <v>KYAI KONTONG</v>
      </c>
      <c r="D972" s="94">
        <f>IFERROR(__xludf.DUMMYFUNCTION("""COMPUTED_VALUE"""),1.0)</f>
        <v>1</v>
      </c>
    </row>
    <row r="973">
      <c r="A973" s="87" t="str">
        <f>IFERROR(__xludf.DUMMYFUNCTION("""COMPUTED_VALUE"""),"ITBISA-DC-TO-DC-STEPDOWN-LM2596")</f>
        <v>ITBISA-DC-TO-DC-STEPDOWN-LM2596</v>
      </c>
      <c r="B973" s="165">
        <f>IFERROR(__xludf.DUMMYFUNCTION("""COMPUTED_VALUE"""),46147.0)</f>
        <v>46147</v>
      </c>
      <c r="C973" s="165" t="str">
        <f>IFERROR(__xludf.DUMMYFUNCTION("""COMPUTED_VALUE"""),"KYAI KONTONG")</f>
        <v>KYAI KONTONG</v>
      </c>
      <c r="D973" s="94">
        <f>IFERROR(__xludf.DUMMYFUNCTION("""COMPUTED_VALUE"""),1.0)</f>
        <v>1</v>
      </c>
    </row>
    <row r="974">
      <c r="A974" s="87" t="str">
        <f>IFERROR(__xludf.DUMMYFUNCTION("""COMPUTED_VALUE"""),"ITBISA-DC-TO-DC-STEPDOWN-LM2596")</f>
        <v>ITBISA-DC-TO-DC-STEPDOWN-LM2596</v>
      </c>
      <c r="B974" s="165">
        <f>IFERROR(__xludf.DUMMYFUNCTION("""COMPUTED_VALUE"""),46147.0)</f>
        <v>46147</v>
      </c>
      <c r="C974" s="165" t="str">
        <f>IFERROR(__xludf.DUMMYFUNCTION("""COMPUTED_VALUE"""),"KYAI KONTONG")</f>
        <v>KYAI KONTONG</v>
      </c>
      <c r="D974" s="94">
        <f>IFERROR(__xludf.DUMMYFUNCTION("""COMPUTED_VALUE"""),1.0)</f>
        <v>1</v>
      </c>
    </row>
    <row r="975">
      <c r="A975" s="87" t="str">
        <f>IFERROR(__xludf.DUMMYFUNCTION("""COMPUTED_VALUE"""),"ITBISA-DC-TO-DC-STEPDOWN-LM2596")</f>
        <v>ITBISA-DC-TO-DC-STEPDOWN-LM2596</v>
      </c>
      <c r="B975" s="165">
        <f>IFERROR(__xludf.DUMMYFUNCTION("""COMPUTED_VALUE"""),46150.0)</f>
        <v>46150</v>
      </c>
      <c r="C975" s="165" t="str">
        <f>IFERROR(__xludf.DUMMYFUNCTION("""COMPUTED_VALUE"""),"KYAI KONTONG")</f>
        <v>KYAI KONTONG</v>
      </c>
      <c r="D975" s="94">
        <f>IFERROR(__xludf.DUMMYFUNCTION("""COMPUTED_VALUE"""),4.0)</f>
        <v>4</v>
      </c>
    </row>
    <row r="976">
      <c r="A976" s="87" t="str">
        <f>IFERROR(__xludf.DUMMYFUNCTION("""COMPUTED_VALUE"""),"ITBISA-DC-TO-DC-STEPDOWN-LM2596")</f>
        <v>ITBISA-DC-TO-DC-STEPDOWN-LM2596</v>
      </c>
      <c r="B976" s="165">
        <f>IFERROR(__xludf.DUMMYFUNCTION("""COMPUTED_VALUE"""),46150.0)</f>
        <v>46150</v>
      </c>
      <c r="C976" s="165" t="str">
        <f>IFERROR(__xludf.DUMMYFUNCTION("""COMPUTED_VALUE"""),"KYAI KONTONG")</f>
        <v>KYAI KONTONG</v>
      </c>
      <c r="D976" s="94">
        <f>IFERROR(__xludf.DUMMYFUNCTION("""COMPUTED_VALUE"""),5.0)</f>
        <v>5</v>
      </c>
    </row>
    <row r="977">
      <c r="A977" s="87" t="str">
        <f>IFERROR(__xludf.DUMMYFUNCTION("""COMPUTED_VALUE"""),"ITBISA-DC-TO-DC-STEPDOWN-LM2596")</f>
        <v>ITBISA-DC-TO-DC-STEPDOWN-LM2596</v>
      </c>
      <c r="B977" s="165">
        <f>IFERROR(__xludf.DUMMYFUNCTION("""COMPUTED_VALUE"""),46155.0)</f>
        <v>46155</v>
      </c>
      <c r="C977" s="165" t="str">
        <f>IFERROR(__xludf.DUMMYFUNCTION("""COMPUTED_VALUE"""),"KYAI KONTONG")</f>
        <v>KYAI KONTONG</v>
      </c>
      <c r="D977" s="94">
        <f>IFERROR(__xludf.DUMMYFUNCTION("""COMPUTED_VALUE"""),4.0)</f>
        <v>4</v>
      </c>
    </row>
    <row r="978">
      <c r="A978" s="87" t="str">
        <f>IFERROR(__xludf.DUMMYFUNCTION("""COMPUTED_VALUE"""),"ITBISA-DC-TO-DC-STEPDOWN-LM2596")</f>
        <v>ITBISA-DC-TO-DC-STEPDOWN-LM2596</v>
      </c>
      <c r="B978" s="165">
        <f>IFERROR(__xludf.DUMMYFUNCTION("""COMPUTED_VALUE"""),46155.0)</f>
        <v>46155</v>
      </c>
      <c r="C978" s="165" t="str">
        <f>IFERROR(__xludf.DUMMYFUNCTION("""COMPUTED_VALUE"""),"KYAI KONTONG")</f>
        <v>KYAI KONTONG</v>
      </c>
      <c r="D978" s="94">
        <f>IFERROR(__xludf.DUMMYFUNCTION("""COMPUTED_VALUE"""),10.0)</f>
        <v>10</v>
      </c>
    </row>
    <row r="979">
      <c r="A979" s="87" t="str">
        <f>IFERROR(__xludf.DUMMYFUNCTION("""COMPUTED_VALUE"""),"ITBISA-DC-TO-DC-STEPDOWN-LM2596")</f>
        <v>ITBISA-DC-TO-DC-STEPDOWN-LM2596</v>
      </c>
      <c r="B979" s="165">
        <f>IFERROR(__xludf.DUMMYFUNCTION("""COMPUTED_VALUE"""),46156.0)</f>
        <v>46156</v>
      </c>
      <c r="C979" s="165" t="str">
        <f>IFERROR(__xludf.DUMMYFUNCTION("""COMPUTED_VALUE"""),"KYAI KONTONG")</f>
        <v>KYAI KONTONG</v>
      </c>
      <c r="D979" s="94">
        <f>IFERROR(__xludf.DUMMYFUNCTION("""COMPUTED_VALUE"""),2.0)</f>
        <v>2</v>
      </c>
    </row>
    <row r="980">
      <c r="A980" s="87" t="str">
        <f>IFERROR(__xludf.DUMMYFUNCTION("""COMPUTED_VALUE"""),"ITBISA-DC-TO-DC-STEPDOWN-LM2596")</f>
        <v>ITBISA-DC-TO-DC-STEPDOWN-LM2596</v>
      </c>
      <c r="B980" s="165">
        <f>IFERROR(__xludf.DUMMYFUNCTION("""COMPUTED_VALUE"""),46157.0)</f>
        <v>46157</v>
      </c>
      <c r="C980" s="165" t="str">
        <f>IFERROR(__xludf.DUMMYFUNCTION("""COMPUTED_VALUE"""),"KYAI KONTONG")</f>
        <v>KYAI KONTONG</v>
      </c>
      <c r="D980" s="94">
        <f>IFERROR(__xludf.DUMMYFUNCTION("""COMPUTED_VALUE"""),2.0)</f>
        <v>2</v>
      </c>
    </row>
    <row r="981">
      <c r="A981" s="87" t="str">
        <f>IFERROR(__xludf.DUMMYFUNCTION("""COMPUTED_VALUE"""),"ITBISA-DC-TO-DC-STEPDOWN-LM2596")</f>
        <v>ITBISA-DC-TO-DC-STEPDOWN-LM2596</v>
      </c>
      <c r="B981" s="165">
        <f>IFERROR(__xludf.DUMMYFUNCTION("""COMPUTED_VALUE"""),46158.0)</f>
        <v>46158</v>
      </c>
      <c r="C981" s="165" t="str">
        <f>IFERROR(__xludf.DUMMYFUNCTION("""COMPUTED_VALUE"""),"KYAI KONTONG")</f>
        <v>KYAI KONTONG</v>
      </c>
      <c r="D981" s="94">
        <f>IFERROR(__xludf.DUMMYFUNCTION("""COMPUTED_VALUE"""),1.0)</f>
        <v>1</v>
      </c>
    </row>
    <row r="982">
      <c r="A982" s="87" t="str">
        <f>IFERROR(__xludf.DUMMYFUNCTION("""COMPUTED_VALUE"""),"ITBISA-DC-TO-DC-STEPDOWN-LM2596")</f>
        <v>ITBISA-DC-TO-DC-STEPDOWN-LM2596</v>
      </c>
      <c r="B982" s="165">
        <f>IFERROR(__xludf.DUMMYFUNCTION("""COMPUTED_VALUE"""),46163.0)</f>
        <v>46163</v>
      </c>
      <c r="C982" s="165" t="str">
        <f>IFERROR(__xludf.DUMMYFUNCTION("""COMPUTED_VALUE"""),"KYAI KONTONG")</f>
        <v>KYAI KONTONG</v>
      </c>
      <c r="D982" s="94">
        <f>IFERROR(__xludf.DUMMYFUNCTION("""COMPUTED_VALUE"""),1.0)</f>
        <v>1</v>
      </c>
    </row>
    <row r="983">
      <c r="A983" s="87" t="str">
        <f>IFERROR(__xludf.DUMMYFUNCTION("""COMPUTED_VALUE"""),"ITBISA-DC-TO-DC-STEPDOWN-LM2596")</f>
        <v>ITBISA-DC-TO-DC-STEPDOWN-LM2596</v>
      </c>
      <c r="B983" s="165">
        <f>IFERROR(__xludf.DUMMYFUNCTION("""COMPUTED_VALUE"""),46163.0)</f>
        <v>46163</v>
      </c>
      <c r="C983" s="165" t="str">
        <f>IFERROR(__xludf.DUMMYFUNCTION("""COMPUTED_VALUE"""),"KYAI KONTONG")</f>
        <v>KYAI KONTONG</v>
      </c>
      <c r="D983" s="94">
        <f>IFERROR(__xludf.DUMMYFUNCTION("""COMPUTED_VALUE"""),3.0)</f>
        <v>3</v>
      </c>
    </row>
    <row r="984">
      <c r="A984" s="87" t="str">
        <f>IFERROR(__xludf.DUMMYFUNCTION("""COMPUTED_VALUE"""),"ITBISA-DC-TO-DC-STEPDOWN-LM2596")</f>
        <v>ITBISA-DC-TO-DC-STEPDOWN-LM2596</v>
      </c>
      <c r="B984" s="165">
        <f>IFERROR(__xludf.DUMMYFUNCTION("""COMPUTED_VALUE"""),46168.0)</f>
        <v>46168</v>
      </c>
      <c r="C984" s="165" t="str">
        <f>IFERROR(__xludf.DUMMYFUNCTION("""COMPUTED_VALUE"""),"KYAI KONTONG")</f>
        <v>KYAI KONTONG</v>
      </c>
      <c r="D984" s="94">
        <f>IFERROR(__xludf.DUMMYFUNCTION("""COMPUTED_VALUE"""),1.0)</f>
        <v>1</v>
      </c>
    </row>
    <row r="985">
      <c r="A985" s="87" t="str">
        <f>IFERROR(__xludf.DUMMYFUNCTION("""COMPUTED_VALUE"""),"ITBISA-DC-TO-DC-STEPDOWN-LM2596")</f>
        <v>ITBISA-DC-TO-DC-STEPDOWN-LM2596</v>
      </c>
      <c r="B985" s="165">
        <f>IFERROR(__xludf.DUMMYFUNCTION("""COMPUTED_VALUE"""),46168.0)</f>
        <v>46168</v>
      </c>
      <c r="C985" s="165" t="str">
        <f>IFERROR(__xludf.DUMMYFUNCTION("""COMPUTED_VALUE"""),"KYAI KONTONG")</f>
        <v>KYAI KONTONG</v>
      </c>
      <c r="D985" s="94">
        <f>IFERROR(__xludf.DUMMYFUNCTION("""COMPUTED_VALUE"""),1.0)</f>
        <v>1</v>
      </c>
    </row>
    <row r="986">
      <c r="A986" s="87" t="str">
        <f>IFERROR(__xludf.DUMMYFUNCTION("""COMPUTED_VALUE"""),"ITBISA-DC-TO-DC-STEPDOWN-LM2596")</f>
        <v>ITBISA-DC-TO-DC-STEPDOWN-LM2596</v>
      </c>
      <c r="B986" s="165">
        <f>IFERROR(__xludf.DUMMYFUNCTION("""COMPUTED_VALUE"""),46171.0)</f>
        <v>46171</v>
      </c>
      <c r="C986" s="165" t="str">
        <f>IFERROR(__xludf.DUMMYFUNCTION("""COMPUTED_VALUE"""),"KYAI KONTONG")</f>
        <v>KYAI KONTONG</v>
      </c>
      <c r="D986" s="94">
        <f>IFERROR(__xludf.DUMMYFUNCTION("""COMPUTED_VALUE"""),2.0)</f>
        <v>2</v>
      </c>
    </row>
    <row r="987">
      <c r="A987" s="87" t="str">
        <f>IFERROR(__xludf.DUMMYFUNCTION("""COMPUTED_VALUE"""),"ITBISA-DC-TO-DC-STEPDOWN-LM2596")</f>
        <v>ITBISA-DC-TO-DC-STEPDOWN-LM2596</v>
      </c>
      <c r="B987" s="165">
        <f>IFERROR(__xludf.DUMMYFUNCTION("""COMPUTED_VALUE"""),46171.0)</f>
        <v>46171</v>
      </c>
      <c r="C987" s="165" t="str">
        <f>IFERROR(__xludf.DUMMYFUNCTION("""COMPUTED_VALUE"""),"KYAI KONTONG")</f>
        <v>KYAI KONTONG</v>
      </c>
      <c r="D987" s="94">
        <f>IFERROR(__xludf.DUMMYFUNCTION("""COMPUTED_VALUE"""),2.0)</f>
        <v>2</v>
      </c>
    </row>
    <row r="988">
      <c r="A988" s="87" t="str">
        <f>IFERROR(__xludf.DUMMYFUNCTION("""COMPUTED_VALUE"""),"ITBISA-DC-TO-DC-STEPDOWN-LM2596")</f>
        <v>ITBISA-DC-TO-DC-STEPDOWN-LM2596</v>
      </c>
      <c r="B988" s="165">
        <f>IFERROR(__xludf.DUMMYFUNCTION("""COMPUTED_VALUE"""),46172.0)</f>
        <v>46172</v>
      </c>
      <c r="C988" s="165" t="str">
        <f>IFERROR(__xludf.DUMMYFUNCTION("""COMPUTED_VALUE"""),"KYAI KONTONG")</f>
        <v>KYAI KONTONG</v>
      </c>
      <c r="D988" s="94">
        <f>IFERROR(__xludf.DUMMYFUNCTION("""COMPUTED_VALUE"""),1.0)</f>
        <v>1</v>
      </c>
    </row>
    <row r="989">
      <c r="A989" s="87" t="str">
        <f>IFERROR(__xludf.DUMMYFUNCTION("""COMPUTED_VALUE"""),"ITBISA-DC-TO-DC-STEPDOWN-LM2596")</f>
        <v>ITBISA-DC-TO-DC-STEPDOWN-LM2596</v>
      </c>
      <c r="B989" s="165">
        <f>IFERROR(__xludf.DUMMYFUNCTION("""COMPUTED_VALUE"""),46173.0)</f>
        <v>46173</v>
      </c>
      <c r="C989" s="165" t="str">
        <f>IFERROR(__xludf.DUMMYFUNCTION("""COMPUTED_VALUE"""),"KYAI KONTONG")</f>
        <v>KYAI KONTONG</v>
      </c>
      <c r="D989" s="94">
        <f>IFERROR(__xludf.DUMMYFUNCTION("""COMPUTED_VALUE"""),1.0)</f>
        <v>1</v>
      </c>
    </row>
    <row r="990">
      <c r="A990" s="87" t="str">
        <f>IFERROR(__xludf.DUMMYFUNCTION("""COMPUTED_VALUE"""),"ITBISA-DC-TO-DC-STEPDOWN-LM2596")</f>
        <v>ITBISA-DC-TO-DC-STEPDOWN-LM2596</v>
      </c>
      <c r="B990" s="165">
        <f>IFERROR(__xludf.DUMMYFUNCTION("""COMPUTED_VALUE"""),46174.0)</f>
        <v>46174</v>
      </c>
      <c r="C990" s="165" t="str">
        <f>IFERROR(__xludf.DUMMYFUNCTION("""COMPUTED_VALUE"""),"KYAI KONTONG")</f>
        <v>KYAI KONTONG</v>
      </c>
      <c r="D990" s="94">
        <f>IFERROR(__xludf.DUMMYFUNCTION("""COMPUTED_VALUE"""),1.0)</f>
        <v>1</v>
      </c>
    </row>
    <row r="991">
      <c r="A991" s="87" t="str">
        <f>IFERROR(__xludf.DUMMYFUNCTION("""COMPUTED_VALUE"""),"ITBISA-DC-TO-DC-STEPDOWN-LM2596")</f>
        <v>ITBISA-DC-TO-DC-STEPDOWN-LM2596</v>
      </c>
      <c r="B991" s="165">
        <f>IFERROR(__xludf.DUMMYFUNCTION("""COMPUTED_VALUE"""),46174.0)</f>
        <v>46174</v>
      </c>
      <c r="C991" s="165" t="str">
        <f>IFERROR(__xludf.DUMMYFUNCTION("""COMPUTED_VALUE"""),"KYAI KONTONG")</f>
        <v>KYAI KONTONG</v>
      </c>
      <c r="D991" s="94">
        <f>IFERROR(__xludf.DUMMYFUNCTION("""COMPUTED_VALUE"""),1.0)</f>
        <v>1</v>
      </c>
    </row>
    <row r="992">
      <c r="A992" s="87" t="str">
        <f>IFERROR(__xludf.DUMMYFUNCTION("""COMPUTED_VALUE"""),"ITBISA-DC-TO-DC-STEPDOWN-LM2596")</f>
        <v>ITBISA-DC-TO-DC-STEPDOWN-LM2596</v>
      </c>
      <c r="B992" s="165">
        <f>IFERROR(__xludf.DUMMYFUNCTION("""COMPUTED_VALUE"""),46175.0)</f>
        <v>46175</v>
      </c>
      <c r="C992" s="165" t="str">
        <f>IFERROR(__xludf.DUMMYFUNCTION("""COMPUTED_VALUE"""),"KYAI KONTONG")</f>
        <v>KYAI KONTONG</v>
      </c>
      <c r="D992" s="94">
        <f>IFERROR(__xludf.DUMMYFUNCTION("""COMPUTED_VALUE"""),5.0)</f>
        <v>5</v>
      </c>
    </row>
    <row r="993">
      <c r="A993" s="87" t="str">
        <f>IFERROR(__xludf.DUMMYFUNCTION("""COMPUTED_VALUE"""),"ITBISA-DC-TO-DC-STEPDOWN-LM2596")</f>
        <v>ITBISA-DC-TO-DC-STEPDOWN-LM2596</v>
      </c>
      <c r="B993" s="165">
        <f>IFERROR(__xludf.DUMMYFUNCTION("""COMPUTED_VALUE"""),46176.0)</f>
        <v>46176</v>
      </c>
      <c r="C993" s="165" t="str">
        <f>IFERROR(__xludf.DUMMYFUNCTION("""COMPUTED_VALUE"""),"KYAI KONTONG")</f>
        <v>KYAI KONTONG</v>
      </c>
      <c r="D993" s="94">
        <f>IFERROR(__xludf.DUMMYFUNCTION("""COMPUTED_VALUE"""),1.0)</f>
        <v>1</v>
      </c>
    </row>
    <row r="994">
      <c r="A994" s="87" t="str">
        <f>IFERROR(__xludf.DUMMYFUNCTION("""COMPUTED_VALUE"""),"ITBISA-DC-TO-DC-STEPDOWN-LM2596")</f>
        <v>ITBISA-DC-TO-DC-STEPDOWN-LM2596</v>
      </c>
      <c r="B994" s="165">
        <f>IFERROR(__xludf.DUMMYFUNCTION("""COMPUTED_VALUE"""),46177.0)</f>
        <v>46177</v>
      </c>
      <c r="C994" s="165" t="str">
        <f>IFERROR(__xludf.DUMMYFUNCTION("""COMPUTED_VALUE"""),"KYAI KONTONG")</f>
        <v>KYAI KONTONG</v>
      </c>
      <c r="D994" s="94">
        <f>IFERROR(__xludf.DUMMYFUNCTION("""COMPUTED_VALUE"""),1.0)</f>
        <v>1</v>
      </c>
    </row>
    <row r="995">
      <c r="A995" s="87" t="str">
        <f>IFERROR(__xludf.DUMMYFUNCTION("""COMPUTED_VALUE"""),"ITBISA-DC-TO-DC-STEPDOWN-LM2596")</f>
        <v>ITBISA-DC-TO-DC-STEPDOWN-LM2596</v>
      </c>
      <c r="B995" s="165">
        <f>IFERROR(__xludf.DUMMYFUNCTION("""COMPUTED_VALUE"""),46177.0)</f>
        <v>46177</v>
      </c>
      <c r="C995" s="165" t="str">
        <f>IFERROR(__xludf.DUMMYFUNCTION("""COMPUTED_VALUE"""),"KYAI KONTONG")</f>
        <v>KYAI KONTONG</v>
      </c>
      <c r="D995" s="94">
        <f>IFERROR(__xludf.DUMMYFUNCTION("""COMPUTED_VALUE"""),5.0)</f>
        <v>5</v>
      </c>
    </row>
    <row r="996">
      <c r="A996" s="87" t="str">
        <f>IFERROR(__xludf.DUMMYFUNCTION("""COMPUTED_VALUE"""),"ITBISA-DC-TO-DC-STEPDOWN-LM2596")</f>
        <v>ITBISA-DC-TO-DC-STEPDOWN-LM2596</v>
      </c>
      <c r="B996" s="165">
        <f>IFERROR(__xludf.DUMMYFUNCTION("""COMPUTED_VALUE"""),46178.0)</f>
        <v>46178</v>
      </c>
      <c r="C996" s="165" t="str">
        <f>IFERROR(__xludf.DUMMYFUNCTION("""COMPUTED_VALUE"""),"KYAI KONTONG")</f>
        <v>KYAI KONTONG</v>
      </c>
      <c r="D996" s="94">
        <f>IFERROR(__xludf.DUMMYFUNCTION("""COMPUTED_VALUE"""),2.0)</f>
        <v>2</v>
      </c>
    </row>
    <row r="997">
      <c r="A997" s="87" t="str">
        <f>IFERROR(__xludf.DUMMYFUNCTION("""COMPUTED_VALUE"""),"ITBISA-DC-TO-DC-STEPDOWN-LM2596")</f>
        <v>ITBISA-DC-TO-DC-STEPDOWN-LM2596</v>
      </c>
      <c r="B997" s="165">
        <f>IFERROR(__xludf.DUMMYFUNCTION("""COMPUTED_VALUE"""),46178.0)</f>
        <v>46178</v>
      </c>
      <c r="C997" s="165" t="str">
        <f>IFERROR(__xludf.DUMMYFUNCTION("""COMPUTED_VALUE"""),"KYAI KONTONG")</f>
        <v>KYAI KONTONG</v>
      </c>
      <c r="D997" s="94">
        <f>IFERROR(__xludf.DUMMYFUNCTION("""COMPUTED_VALUE"""),10.0)</f>
        <v>10</v>
      </c>
    </row>
    <row r="998">
      <c r="A998" s="87" t="str">
        <f>IFERROR(__xludf.DUMMYFUNCTION("""COMPUTED_VALUE"""),"ITBISA-DC-TO-DC-STEPDOWN-LM2596")</f>
        <v>ITBISA-DC-TO-DC-STEPDOWN-LM2596</v>
      </c>
      <c r="B998" s="165">
        <f>IFERROR(__xludf.DUMMYFUNCTION("""COMPUTED_VALUE"""),46181.0)</f>
        <v>46181</v>
      </c>
      <c r="C998" s="165" t="str">
        <f>IFERROR(__xludf.DUMMYFUNCTION("""COMPUTED_VALUE"""),"KYAI KONTONG")</f>
        <v>KYAI KONTONG</v>
      </c>
      <c r="D998" s="94">
        <f>IFERROR(__xludf.DUMMYFUNCTION("""COMPUTED_VALUE"""),1.0)</f>
        <v>1</v>
      </c>
    </row>
    <row r="999">
      <c r="A999" s="87" t="str">
        <f>IFERROR(__xludf.DUMMYFUNCTION("""COMPUTED_VALUE"""),"ITBISA-DC-TO-DC-STEPDOWN-LM2596")</f>
        <v>ITBISA-DC-TO-DC-STEPDOWN-LM2596</v>
      </c>
      <c r="B999" s="165">
        <f>IFERROR(__xludf.DUMMYFUNCTION("""COMPUTED_VALUE"""),46183.0)</f>
        <v>46183</v>
      </c>
      <c r="C999" s="165" t="str">
        <f>IFERROR(__xludf.DUMMYFUNCTION("""COMPUTED_VALUE"""),"KYAI KONTONG")</f>
        <v>KYAI KONTONG</v>
      </c>
      <c r="D999" s="94">
        <f>IFERROR(__xludf.DUMMYFUNCTION("""COMPUTED_VALUE"""),1.0)</f>
        <v>1</v>
      </c>
    </row>
    <row r="1000">
      <c r="A1000" s="87" t="str">
        <f>IFERROR(__xludf.DUMMYFUNCTION("""COMPUTED_VALUE"""),"ITBISA-DC-TO-DC-STEPDOWN-LM2596")</f>
        <v>ITBISA-DC-TO-DC-STEPDOWN-LM2596</v>
      </c>
      <c r="B1000" s="165">
        <f>IFERROR(__xludf.DUMMYFUNCTION("""COMPUTED_VALUE"""),46184.0)</f>
        <v>46184</v>
      </c>
      <c r="C1000" s="165" t="str">
        <f>IFERROR(__xludf.DUMMYFUNCTION("""COMPUTED_VALUE"""),"KYAI KONTONG")</f>
        <v>KYAI KONTONG</v>
      </c>
      <c r="D1000" s="94">
        <f>IFERROR(__xludf.DUMMYFUNCTION("""COMPUTED_VALUE"""),1.0)</f>
        <v>1</v>
      </c>
    </row>
    <row r="1001">
      <c r="A1001" s="87" t="str">
        <f>IFERROR(__xludf.DUMMYFUNCTION("""COMPUTED_VALUE"""),"ITBISA-DC-TO-DC-STEPDOWN-LM2596")</f>
        <v>ITBISA-DC-TO-DC-STEPDOWN-LM2596</v>
      </c>
      <c r="B1001" s="165">
        <f>IFERROR(__xludf.DUMMYFUNCTION("""COMPUTED_VALUE"""),46184.0)</f>
        <v>46184</v>
      </c>
      <c r="C1001" s="165" t="str">
        <f>IFERROR(__xludf.DUMMYFUNCTION("""COMPUTED_VALUE"""),"KYAI KONTONG")</f>
        <v>KYAI KONTONG</v>
      </c>
      <c r="D1001" s="94">
        <f>IFERROR(__xludf.DUMMYFUNCTION("""COMPUTED_VALUE"""),1.0)</f>
        <v>1</v>
      </c>
    </row>
    <row r="1002">
      <c r="A1002" s="87" t="str">
        <f>IFERROR(__xludf.DUMMYFUNCTION("""COMPUTED_VALUE"""),"ITBISA-DC-TO-DC-STEPDOWN-LM2596")</f>
        <v>ITBISA-DC-TO-DC-STEPDOWN-LM2596</v>
      </c>
      <c r="B1002" s="165">
        <f>IFERROR(__xludf.DUMMYFUNCTION("""COMPUTED_VALUE"""),46184.0)</f>
        <v>46184</v>
      </c>
      <c r="C1002" s="165" t="str">
        <f>IFERROR(__xludf.DUMMYFUNCTION("""COMPUTED_VALUE"""),"KYAI KONTONG")</f>
        <v>KYAI KONTONG</v>
      </c>
      <c r="D1002" s="94">
        <f>IFERROR(__xludf.DUMMYFUNCTION("""COMPUTED_VALUE"""),1.0)</f>
        <v>1</v>
      </c>
    </row>
    <row r="1003">
      <c r="A1003" s="87" t="str">
        <f>IFERROR(__xludf.DUMMYFUNCTION("""COMPUTED_VALUE"""),"ITBISA-DC-TO-DC-STEPDOWN-LM2596")</f>
        <v>ITBISA-DC-TO-DC-STEPDOWN-LM2596</v>
      </c>
      <c r="B1003" s="165">
        <f>IFERROR(__xludf.DUMMYFUNCTION("""COMPUTED_VALUE"""),46184.0)</f>
        <v>46184</v>
      </c>
      <c r="C1003" s="165" t="str">
        <f>IFERROR(__xludf.DUMMYFUNCTION("""COMPUTED_VALUE"""),"KYAI KONTONG")</f>
        <v>KYAI KONTONG</v>
      </c>
      <c r="D1003" s="94">
        <f>IFERROR(__xludf.DUMMYFUNCTION("""COMPUTED_VALUE"""),2.0)</f>
        <v>2</v>
      </c>
    </row>
    <row r="1004">
      <c r="A1004" s="87" t="str">
        <f>IFERROR(__xludf.DUMMYFUNCTION("""COMPUTED_VALUE"""),"ITBISA-DC-TO-DC-STEPDOWN-LM2596")</f>
        <v>ITBISA-DC-TO-DC-STEPDOWN-LM2596</v>
      </c>
      <c r="B1004" s="165">
        <f>IFERROR(__xludf.DUMMYFUNCTION("""COMPUTED_VALUE"""),46184.0)</f>
        <v>46184</v>
      </c>
      <c r="C1004" s="165" t="str">
        <f>IFERROR(__xludf.DUMMYFUNCTION("""COMPUTED_VALUE"""),"KYAI KONTONG")</f>
        <v>KYAI KONTONG</v>
      </c>
      <c r="D1004" s="94">
        <f>IFERROR(__xludf.DUMMYFUNCTION("""COMPUTED_VALUE"""),4.0)</f>
        <v>4</v>
      </c>
    </row>
    <row r="1005">
      <c r="A1005" s="87" t="str">
        <f>IFERROR(__xludf.DUMMYFUNCTION("""COMPUTED_VALUE"""),"ITBISA-DC-TO-DC-STEPDOWN-LM2596")</f>
        <v>ITBISA-DC-TO-DC-STEPDOWN-LM2596</v>
      </c>
      <c r="B1005" s="165">
        <f>IFERROR(__xludf.DUMMYFUNCTION("""COMPUTED_VALUE"""),46185.0)</f>
        <v>46185</v>
      </c>
      <c r="C1005" s="165" t="str">
        <f>IFERROR(__xludf.DUMMYFUNCTION("""COMPUTED_VALUE"""),"KYAI KONTONG")</f>
        <v>KYAI KONTONG</v>
      </c>
      <c r="D1005" s="94">
        <f>IFERROR(__xludf.DUMMYFUNCTION("""COMPUTED_VALUE"""),1.0)</f>
        <v>1</v>
      </c>
    </row>
    <row r="1006">
      <c r="A1006" s="87" t="str">
        <f>IFERROR(__xludf.DUMMYFUNCTION("""COMPUTED_VALUE"""),"ITBISA-DC-TO-DC-STEPDOWN-LM2596")</f>
        <v>ITBISA-DC-TO-DC-STEPDOWN-LM2596</v>
      </c>
      <c r="B1006" s="165">
        <f>IFERROR(__xludf.DUMMYFUNCTION("""COMPUTED_VALUE"""),46185.0)</f>
        <v>46185</v>
      </c>
      <c r="C1006" s="165" t="str">
        <f>IFERROR(__xludf.DUMMYFUNCTION("""COMPUTED_VALUE"""),"KYAI KONTONG")</f>
        <v>KYAI KONTONG</v>
      </c>
      <c r="D1006" s="94">
        <f>IFERROR(__xludf.DUMMYFUNCTION("""COMPUTED_VALUE"""),2.0)</f>
        <v>2</v>
      </c>
    </row>
    <row r="1007">
      <c r="A1007" s="87" t="str">
        <f>IFERROR(__xludf.DUMMYFUNCTION("""COMPUTED_VALUE"""),"ITBISA-DC-TO-DC-STEPDOWN-LM2596")</f>
        <v>ITBISA-DC-TO-DC-STEPDOWN-LM2596</v>
      </c>
      <c r="B1007" s="165">
        <f>IFERROR(__xludf.DUMMYFUNCTION("""COMPUTED_VALUE"""),46186.0)</f>
        <v>46186</v>
      </c>
      <c r="C1007" s="165" t="str">
        <f>IFERROR(__xludf.DUMMYFUNCTION("""COMPUTED_VALUE"""),"KYAI KONTONG")</f>
        <v>KYAI KONTONG</v>
      </c>
      <c r="D1007" s="94">
        <f>IFERROR(__xludf.DUMMYFUNCTION("""COMPUTED_VALUE"""),1.0)</f>
        <v>1</v>
      </c>
    </row>
    <row r="1008">
      <c r="A1008" s="87" t="str">
        <f>IFERROR(__xludf.DUMMYFUNCTION("""COMPUTED_VALUE"""),"ITBISA-DC-TO-DC-STEPDOWN-LM2596")</f>
        <v>ITBISA-DC-TO-DC-STEPDOWN-LM2596</v>
      </c>
      <c r="B1008" s="165">
        <f>IFERROR(__xludf.DUMMYFUNCTION("""COMPUTED_VALUE"""),46186.0)</f>
        <v>46186</v>
      </c>
      <c r="C1008" s="165" t="str">
        <f>IFERROR(__xludf.DUMMYFUNCTION("""COMPUTED_VALUE"""),"KYAI KONTONG")</f>
        <v>KYAI KONTONG</v>
      </c>
      <c r="D1008" s="94">
        <f>IFERROR(__xludf.DUMMYFUNCTION("""COMPUTED_VALUE"""),2.0)</f>
        <v>2</v>
      </c>
    </row>
    <row r="1009">
      <c r="A1009" s="87" t="str">
        <f>IFERROR(__xludf.DUMMYFUNCTION("""COMPUTED_VALUE"""),"ITBISA-DC-TO-DC-STEPDOWN-LM2596")</f>
        <v>ITBISA-DC-TO-DC-STEPDOWN-LM2596</v>
      </c>
      <c r="B1009" s="165">
        <f>IFERROR(__xludf.DUMMYFUNCTION("""COMPUTED_VALUE"""),46186.0)</f>
        <v>46186</v>
      </c>
      <c r="C1009" s="165" t="str">
        <f>IFERROR(__xludf.DUMMYFUNCTION("""COMPUTED_VALUE"""),"KYAI KONTONG")</f>
        <v>KYAI KONTONG</v>
      </c>
      <c r="D1009" s="94">
        <f>IFERROR(__xludf.DUMMYFUNCTION("""COMPUTED_VALUE"""),2.0)</f>
        <v>2</v>
      </c>
    </row>
    <row r="1010">
      <c r="A1010" s="87" t="str">
        <f>IFERROR(__xludf.DUMMYFUNCTION("""COMPUTED_VALUE"""),"ITBISA-DC-TO-DC-STEPDOWN-LM2596")</f>
        <v>ITBISA-DC-TO-DC-STEPDOWN-LM2596</v>
      </c>
      <c r="B1010" s="165">
        <f>IFERROR(__xludf.DUMMYFUNCTION("""COMPUTED_VALUE"""),46186.0)</f>
        <v>46186</v>
      </c>
      <c r="C1010" s="165" t="str">
        <f>IFERROR(__xludf.DUMMYFUNCTION("""COMPUTED_VALUE"""),"KYAI KONTONG")</f>
        <v>KYAI KONTONG</v>
      </c>
      <c r="D1010" s="94">
        <f>IFERROR(__xludf.DUMMYFUNCTION("""COMPUTED_VALUE"""),3.0)</f>
        <v>3</v>
      </c>
    </row>
    <row r="1011">
      <c r="A1011" s="87" t="str">
        <f>IFERROR(__xludf.DUMMYFUNCTION("""COMPUTED_VALUE"""),"ITBISA-DC-TO-DC-STEPDOWN-LM2596")</f>
        <v>ITBISA-DC-TO-DC-STEPDOWN-LM2596</v>
      </c>
      <c r="B1011" s="165">
        <f>IFERROR(__xludf.DUMMYFUNCTION("""COMPUTED_VALUE"""),46187.0)</f>
        <v>46187</v>
      </c>
      <c r="C1011" s="165" t="str">
        <f>IFERROR(__xludf.DUMMYFUNCTION("""COMPUTED_VALUE"""),"KYAI KONTONG")</f>
        <v>KYAI KONTONG</v>
      </c>
      <c r="D1011" s="94">
        <f>IFERROR(__xludf.DUMMYFUNCTION("""COMPUTED_VALUE"""),1.0)</f>
        <v>1</v>
      </c>
    </row>
    <row r="1012">
      <c r="A1012" s="87" t="str">
        <f>IFERROR(__xludf.DUMMYFUNCTION("""COMPUTED_VALUE"""),"ITBISA-DC-TO-DC-STEPDOWN-LM2596")</f>
        <v>ITBISA-DC-TO-DC-STEPDOWN-LM2596</v>
      </c>
      <c r="B1012" s="165">
        <f>IFERROR(__xludf.DUMMYFUNCTION("""COMPUTED_VALUE"""),46187.0)</f>
        <v>46187</v>
      </c>
      <c r="C1012" s="165" t="str">
        <f>IFERROR(__xludf.DUMMYFUNCTION("""COMPUTED_VALUE"""),"KYAI KONTONG")</f>
        <v>KYAI KONTONG</v>
      </c>
      <c r="D1012" s="94">
        <f>IFERROR(__xludf.DUMMYFUNCTION("""COMPUTED_VALUE"""),1.0)</f>
        <v>1</v>
      </c>
    </row>
    <row r="1013">
      <c r="A1013" s="87" t="str">
        <f>IFERROR(__xludf.DUMMYFUNCTION("""COMPUTED_VALUE"""),"ITBISA-DC-TO-DC-STEPDOWN-LM2596")</f>
        <v>ITBISA-DC-TO-DC-STEPDOWN-LM2596</v>
      </c>
      <c r="B1013" s="165">
        <f>IFERROR(__xludf.DUMMYFUNCTION("""COMPUTED_VALUE"""),46187.0)</f>
        <v>46187</v>
      </c>
      <c r="C1013" s="165" t="str">
        <f>IFERROR(__xludf.DUMMYFUNCTION("""COMPUTED_VALUE"""),"KYAI KONTONG")</f>
        <v>KYAI KONTONG</v>
      </c>
      <c r="D1013" s="94">
        <f>IFERROR(__xludf.DUMMYFUNCTION("""COMPUTED_VALUE"""),5.0)</f>
        <v>5</v>
      </c>
    </row>
    <row r="1014">
      <c r="A1014" s="87" t="str">
        <f>IFERROR(__xludf.DUMMYFUNCTION("""COMPUTED_VALUE"""),"ITBISA-DC-TO-DC-STEPDOWN-LM2596")</f>
        <v>ITBISA-DC-TO-DC-STEPDOWN-LM2596</v>
      </c>
      <c r="B1014" s="165">
        <f>IFERROR(__xludf.DUMMYFUNCTION("""COMPUTED_VALUE"""),46188.0)</f>
        <v>46188</v>
      </c>
      <c r="C1014" s="165" t="str">
        <f>IFERROR(__xludf.DUMMYFUNCTION("""COMPUTED_VALUE"""),"KYAI KONTONG")</f>
        <v>KYAI KONTONG</v>
      </c>
      <c r="D1014" s="94">
        <f>IFERROR(__xludf.DUMMYFUNCTION("""COMPUTED_VALUE"""),1.0)</f>
        <v>1</v>
      </c>
    </row>
    <row r="1015">
      <c r="A1015" s="87" t="str">
        <f>IFERROR(__xludf.DUMMYFUNCTION("""COMPUTED_VALUE"""),"ITBISA-DC-TO-DC-STEPDOWN-LM2596")</f>
        <v>ITBISA-DC-TO-DC-STEPDOWN-LM2596</v>
      </c>
      <c r="B1015" s="165">
        <f>IFERROR(__xludf.DUMMYFUNCTION("""COMPUTED_VALUE"""),46188.0)</f>
        <v>46188</v>
      </c>
      <c r="C1015" s="165" t="str">
        <f>IFERROR(__xludf.DUMMYFUNCTION("""COMPUTED_VALUE"""),"KYAI KONTONG")</f>
        <v>KYAI KONTONG</v>
      </c>
      <c r="D1015" s="94">
        <f>IFERROR(__xludf.DUMMYFUNCTION("""COMPUTED_VALUE"""),1.0)</f>
        <v>1</v>
      </c>
    </row>
    <row r="1016">
      <c r="A1016" s="87" t="str">
        <f>IFERROR(__xludf.DUMMYFUNCTION("""COMPUTED_VALUE"""),"ITBISA-DC-TO-DC-STEPDOWN-LM2596")</f>
        <v>ITBISA-DC-TO-DC-STEPDOWN-LM2596</v>
      </c>
      <c r="B1016" s="165">
        <f>IFERROR(__xludf.DUMMYFUNCTION("""COMPUTED_VALUE"""),46189.0)</f>
        <v>46189</v>
      </c>
      <c r="C1016" s="165" t="str">
        <f>IFERROR(__xludf.DUMMYFUNCTION("""COMPUTED_VALUE"""),"KYAI KONTONG")</f>
        <v>KYAI KONTONG</v>
      </c>
      <c r="D1016" s="94">
        <f>IFERROR(__xludf.DUMMYFUNCTION("""COMPUTED_VALUE"""),1.0)</f>
        <v>1</v>
      </c>
    </row>
    <row r="1017">
      <c r="A1017" s="87" t="str">
        <f>IFERROR(__xludf.DUMMYFUNCTION("""COMPUTED_VALUE"""),"ITBISA-DC-TO-DC-STEPDOWN-LM2596")</f>
        <v>ITBISA-DC-TO-DC-STEPDOWN-LM2596</v>
      </c>
      <c r="B1017" s="165">
        <f>IFERROR(__xludf.DUMMYFUNCTION("""COMPUTED_VALUE"""),46189.0)</f>
        <v>46189</v>
      </c>
      <c r="C1017" s="165" t="str">
        <f>IFERROR(__xludf.DUMMYFUNCTION("""COMPUTED_VALUE"""),"KYAI KONTONG")</f>
        <v>KYAI KONTONG</v>
      </c>
      <c r="D1017" s="94">
        <f>IFERROR(__xludf.DUMMYFUNCTION("""COMPUTED_VALUE"""),2.0)</f>
        <v>2</v>
      </c>
    </row>
    <row r="1018">
      <c r="A1018" s="87" t="str">
        <f>IFERROR(__xludf.DUMMYFUNCTION("""COMPUTED_VALUE"""),"ITBISA-DC-TO-DC-STEPDOWN-LM2596")</f>
        <v>ITBISA-DC-TO-DC-STEPDOWN-LM2596</v>
      </c>
      <c r="B1018" s="165">
        <f>IFERROR(__xludf.DUMMYFUNCTION("""COMPUTED_VALUE"""),46189.0)</f>
        <v>46189</v>
      </c>
      <c r="C1018" s="165" t="str">
        <f>IFERROR(__xludf.DUMMYFUNCTION("""COMPUTED_VALUE"""),"KYAI KONTONG")</f>
        <v>KYAI KONTONG</v>
      </c>
      <c r="D1018" s="94">
        <f>IFERROR(__xludf.DUMMYFUNCTION("""COMPUTED_VALUE"""),3.0)</f>
        <v>3</v>
      </c>
    </row>
    <row r="1019">
      <c r="A1019" s="87" t="str">
        <f>IFERROR(__xludf.DUMMYFUNCTION("""COMPUTED_VALUE"""),"ITBISA-DC-TO-DC-STEPDOWN-LM2596")</f>
        <v>ITBISA-DC-TO-DC-STEPDOWN-LM2596</v>
      </c>
      <c r="B1019" s="165">
        <f>IFERROR(__xludf.DUMMYFUNCTION("""COMPUTED_VALUE"""),46191.0)</f>
        <v>46191</v>
      </c>
      <c r="C1019" s="165" t="str">
        <f>IFERROR(__xludf.DUMMYFUNCTION("""COMPUTED_VALUE"""),"KYAI KONTONG")</f>
        <v>KYAI KONTONG</v>
      </c>
      <c r="D1019" s="94">
        <f>IFERROR(__xludf.DUMMYFUNCTION("""COMPUTED_VALUE"""),1.0)</f>
        <v>1</v>
      </c>
    </row>
    <row r="1020">
      <c r="A1020" s="87" t="str">
        <f>IFERROR(__xludf.DUMMYFUNCTION("""COMPUTED_VALUE"""),"ITBISA-DC-TO-DC-STEPDOWN-LM2596")</f>
        <v>ITBISA-DC-TO-DC-STEPDOWN-LM2596</v>
      </c>
      <c r="B1020" s="165">
        <f>IFERROR(__xludf.DUMMYFUNCTION("""COMPUTED_VALUE"""),46191.0)</f>
        <v>46191</v>
      </c>
      <c r="C1020" s="165" t="str">
        <f>IFERROR(__xludf.DUMMYFUNCTION("""COMPUTED_VALUE"""),"KYAI KONTONG")</f>
        <v>KYAI KONTONG</v>
      </c>
      <c r="D1020" s="94">
        <f>IFERROR(__xludf.DUMMYFUNCTION("""COMPUTED_VALUE"""),1.0)</f>
        <v>1</v>
      </c>
    </row>
    <row r="1021">
      <c r="A1021" s="87" t="str">
        <f>IFERROR(__xludf.DUMMYFUNCTION("""COMPUTED_VALUE"""),"ITBISA-DC-TO-DC-STEPDOWN-LM2596")</f>
        <v>ITBISA-DC-TO-DC-STEPDOWN-LM2596</v>
      </c>
      <c r="B1021" s="165">
        <f>IFERROR(__xludf.DUMMYFUNCTION("""COMPUTED_VALUE"""),46193.0)</f>
        <v>46193</v>
      </c>
      <c r="C1021" s="165" t="str">
        <f>IFERROR(__xludf.DUMMYFUNCTION("""COMPUTED_VALUE"""),"KYAI KONTONG")</f>
        <v>KYAI KONTONG</v>
      </c>
      <c r="D1021" s="94">
        <f>IFERROR(__xludf.DUMMYFUNCTION("""COMPUTED_VALUE"""),1.0)</f>
        <v>1</v>
      </c>
    </row>
    <row r="1022">
      <c r="A1022" s="87" t="str">
        <f>IFERROR(__xludf.DUMMYFUNCTION("""COMPUTED_VALUE"""),"ITBISA-DC-TO-DC-STEPDOWN-LM2596")</f>
        <v>ITBISA-DC-TO-DC-STEPDOWN-LM2596</v>
      </c>
      <c r="B1022" s="165">
        <f>IFERROR(__xludf.DUMMYFUNCTION("""COMPUTED_VALUE"""),46195.0)</f>
        <v>46195</v>
      </c>
      <c r="C1022" s="165" t="str">
        <f>IFERROR(__xludf.DUMMYFUNCTION("""COMPUTED_VALUE"""),"KYAI KONTONG")</f>
        <v>KYAI KONTONG</v>
      </c>
      <c r="D1022" s="94">
        <f>IFERROR(__xludf.DUMMYFUNCTION("""COMPUTED_VALUE"""),1.0)</f>
        <v>1</v>
      </c>
    </row>
    <row r="1023">
      <c r="A1023" s="87" t="str">
        <f>IFERROR(__xludf.DUMMYFUNCTION("""COMPUTED_VALUE"""),"ITBISA-DC-TO-DC-STEPDOWN-LM2596")</f>
        <v>ITBISA-DC-TO-DC-STEPDOWN-LM2596</v>
      </c>
      <c r="B1023" s="165">
        <f>IFERROR(__xludf.DUMMYFUNCTION("""COMPUTED_VALUE"""),46195.0)</f>
        <v>46195</v>
      </c>
      <c r="C1023" s="165" t="str">
        <f>IFERROR(__xludf.DUMMYFUNCTION("""COMPUTED_VALUE"""),"KYAI KONTONG")</f>
        <v>KYAI KONTONG</v>
      </c>
      <c r="D1023" s="94">
        <f>IFERROR(__xludf.DUMMYFUNCTION("""COMPUTED_VALUE"""),2.0)</f>
        <v>2</v>
      </c>
    </row>
    <row r="1024">
      <c r="A1024" s="87" t="str">
        <f>IFERROR(__xludf.DUMMYFUNCTION("""COMPUTED_VALUE"""),"ITBISA-DC-TO-DC-STEPDOWN-LM2596")</f>
        <v>ITBISA-DC-TO-DC-STEPDOWN-LM2596</v>
      </c>
      <c r="B1024" s="165">
        <f>IFERROR(__xludf.DUMMYFUNCTION("""COMPUTED_VALUE"""),46196.0)</f>
        <v>46196</v>
      </c>
      <c r="C1024" s="165" t="str">
        <f>IFERROR(__xludf.DUMMYFUNCTION("""COMPUTED_VALUE"""),"KYAI KONTONG")</f>
        <v>KYAI KONTONG</v>
      </c>
      <c r="D1024" s="94">
        <f>IFERROR(__xludf.DUMMYFUNCTION("""COMPUTED_VALUE"""),2.0)</f>
        <v>2</v>
      </c>
    </row>
    <row r="1025">
      <c r="A1025" s="87" t="str">
        <f>IFERROR(__xludf.DUMMYFUNCTION("""COMPUTED_VALUE"""),"ITBISA-DC-TO-DC-STEPDOWN-XL4005")</f>
        <v>ITBISA-DC-TO-DC-STEPDOWN-XL4005</v>
      </c>
      <c r="B1025" s="165">
        <f>IFERROR(__xludf.DUMMYFUNCTION("""COMPUTED_VALUE"""),46033.0)</f>
        <v>46033</v>
      </c>
      <c r="C1025" s="165" t="str">
        <f>IFERROR(__xludf.DUMMYFUNCTION("""COMPUTED_VALUE"""),"KYAI KONTONG")</f>
        <v>KYAI KONTONG</v>
      </c>
      <c r="D1025" s="94">
        <f>IFERROR(__xludf.DUMMYFUNCTION("""COMPUTED_VALUE"""),1.0)</f>
        <v>1</v>
      </c>
    </row>
    <row r="1026">
      <c r="A1026" s="87" t="str">
        <f>IFERROR(__xludf.DUMMYFUNCTION("""COMPUTED_VALUE"""),"ITBISA-DC-TO-DC-STEPDOWN-XL4005")</f>
        <v>ITBISA-DC-TO-DC-STEPDOWN-XL4005</v>
      </c>
      <c r="B1026" s="165">
        <f>IFERROR(__xludf.DUMMYFUNCTION("""COMPUTED_VALUE"""),46064.0)</f>
        <v>46064</v>
      </c>
      <c r="C1026" s="165" t="str">
        <f>IFERROR(__xludf.DUMMYFUNCTION("""COMPUTED_VALUE"""),"KYAI KONTONG")</f>
        <v>KYAI KONTONG</v>
      </c>
      <c r="D1026" s="94">
        <f>IFERROR(__xludf.DUMMYFUNCTION("""COMPUTED_VALUE"""),1.0)</f>
        <v>1</v>
      </c>
    </row>
    <row r="1027">
      <c r="A1027" s="87" t="str">
        <f>IFERROR(__xludf.DUMMYFUNCTION("""COMPUTED_VALUE"""),"ITBISA-DC-TO-DC-STEPDOWN-XL4005")</f>
        <v>ITBISA-DC-TO-DC-STEPDOWN-XL4005</v>
      </c>
      <c r="B1027" s="165">
        <f>IFERROR(__xludf.DUMMYFUNCTION("""COMPUTED_VALUE"""),46084.0)</f>
        <v>46084</v>
      </c>
      <c r="C1027" s="165" t="str">
        <f>IFERROR(__xludf.DUMMYFUNCTION("""COMPUTED_VALUE"""),"KYAI KONTONG")</f>
        <v>KYAI KONTONG</v>
      </c>
      <c r="D1027" s="94">
        <f>IFERROR(__xludf.DUMMYFUNCTION("""COMPUTED_VALUE"""),13.0)</f>
        <v>13</v>
      </c>
    </row>
    <row r="1028">
      <c r="A1028" s="87" t="str">
        <f>IFERROR(__xludf.DUMMYFUNCTION("""COMPUTED_VALUE"""),"ITBISA-DC-TO-DC-STEPDOWN-XL4005")</f>
        <v>ITBISA-DC-TO-DC-STEPDOWN-XL4005</v>
      </c>
      <c r="B1028" s="165">
        <f>IFERROR(__xludf.DUMMYFUNCTION("""COMPUTED_VALUE"""),46127.0)</f>
        <v>46127</v>
      </c>
      <c r="C1028" s="165" t="str">
        <f>IFERROR(__xludf.DUMMYFUNCTION("""COMPUTED_VALUE"""),"KYAI KONTONG")</f>
        <v>KYAI KONTONG</v>
      </c>
      <c r="D1028" s="94">
        <f>IFERROR(__xludf.DUMMYFUNCTION("""COMPUTED_VALUE"""),1.0)</f>
        <v>1</v>
      </c>
    </row>
    <row r="1029">
      <c r="A1029" s="87" t="str">
        <f>IFERROR(__xludf.DUMMYFUNCTION("""COMPUTED_VALUE"""),"ITBISA-DC-TO-DC-STEPDOWN-XL4005")</f>
        <v>ITBISA-DC-TO-DC-STEPDOWN-XL4005</v>
      </c>
      <c r="B1029" s="165">
        <f>IFERROR(__xludf.DUMMYFUNCTION("""COMPUTED_VALUE"""),46132.0)</f>
        <v>46132</v>
      </c>
      <c r="C1029" s="165" t="str">
        <f>IFERROR(__xludf.DUMMYFUNCTION("""COMPUTED_VALUE"""),"KYAI KONTONG")</f>
        <v>KYAI KONTONG</v>
      </c>
      <c r="D1029" s="94">
        <f>IFERROR(__xludf.DUMMYFUNCTION("""COMPUTED_VALUE"""),7.0)</f>
        <v>7</v>
      </c>
    </row>
    <row r="1030">
      <c r="A1030" s="87" t="str">
        <f>IFERROR(__xludf.DUMMYFUNCTION("""COMPUTED_VALUE"""),"ITBISA-DC-TO-DC-STEPDOWN-XL4005")</f>
        <v>ITBISA-DC-TO-DC-STEPDOWN-XL4005</v>
      </c>
      <c r="B1030" s="165">
        <f>IFERROR(__xludf.DUMMYFUNCTION("""COMPUTED_VALUE"""),46144.0)</f>
        <v>46144</v>
      </c>
      <c r="C1030" s="165" t="str">
        <f>IFERROR(__xludf.DUMMYFUNCTION("""COMPUTED_VALUE"""),"KYAI KONTONG")</f>
        <v>KYAI KONTONG</v>
      </c>
      <c r="D1030" s="94">
        <f>IFERROR(__xludf.DUMMYFUNCTION("""COMPUTED_VALUE"""),1.0)</f>
        <v>1</v>
      </c>
    </row>
    <row r="1031">
      <c r="A1031" s="87" t="str">
        <f>IFERROR(__xludf.DUMMYFUNCTION("""COMPUTED_VALUE"""),"ITBISA-DC-TO-DC-STEPDOWN-XL4005")</f>
        <v>ITBISA-DC-TO-DC-STEPDOWN-XL4005</v>
      </c>
      <c r="B1031" s="165">
        <f>IFERROR(__xludf.DUMMYFUNCTION("""COMPUTED_VALUE"""),46144.0)</f>
        <v>46144</v>
      </c>
      <c r="C1031" s="165" t="str">
        <f>IFERROR(__xludf.DUMMYFUNCTION("""COMPUTED_VALUE"""),"KYAI KONTONG")</f>
        <v>KYAI KONTONG</v>
      </c>
      <c r="D1031" s="94">
        <f>IFERROR(__xludf.DUMMYFUNCTION("""COMPUTED_VALUE"""),6.0)</f>
        <v>6</v>
      </c>
    </row>
    <row r="1032">
      <c r="A1032" s="87" t="str">
        <f>IFERROR(__xludf.DUMMYFUNCTION("""COMPUTED_VALUE"""),"ITBISA-DC-TO-DC-STEPDOWN-XL4005")</f>
        <v>ITBISA-DC-TO-DC-STEPDOWN-XL4005</v>
      </c>
      <c r="B1032" s="165">
        <f>IFERROR(__xludf.DUMMYFUNCTION("""COMPUTED_VALUE"""),46145.0)</f>
        <v>46145</v>
      </c>
      <c r="C1032" s="165" t="str">
        <f>IFERROR(__xludf.DUMMYFUNCTION("""COMPUTED_VALUE"""),"KYAI KONTONG")</f>
        <v>KYAI KONTONG</v>
      </c>
      <c r="D1032" s="94">
        <f>IFERROR(__xludf.DUMMYFUNCTION("""COMPUTED_VALUE"""),1.0)</f>
        <v>1</v>
      </c>
    </row>
    <row r="1033">
      <c r="A1033" s="87" t="str">
        <f>IFERROR(__xludf.DUMMYFUNCTION("""COMPUTED_VALUE"""),"ITBISA-DC-TO-DC-STEPDOWN-XL4005")</f>
        <v>ITBISA-DC-TO-DC-STEPDOWN-XL4005</v>
      </c>
      <c r="B1033" s="165">
        <f>IFERROR(__xludf.DUMMYFUNCTION("""COMPUTED_VALUE"""),46153.0)</f>
        <v>46153</v>
      </c>
      <c r="C1033" s="165" t="str">
        <f>IFERROR(__xludf.DUMMYFUNCTION("""COMPUTED_VALUE"""),"KYAI KONTONG")</f>
        <v>KYAI KONTONG</v>
      </c>
      <c r="D1033" s="94">
        <f>IFERROR(__xludf.DUMMYFUNCTION("""COMPUTED_VALUE"""),2.0)</f>
        <v>2</v>
      </c>
    </row>
    <row r="1034">
      <c r="A1034" s="87" t="str">
        <f>IFERROR(__xludf.DUMMYFUNCTION("""COMPUTED_VALUE"""),"ITBISA-DC-TO-DC-STEPDOWN-XL4005")</f>
        <v>ITBISA-DC-TO-DC-STEPDOWN-XL4005</v>
      </c>
      <c r="B1034" s="165">
        <f>IFERROR(__xludf.DUMMYFUNCTION("""COMPUTED_VALUE"""),46156.0)</f>
        <v>46156</v>
      </c>
      <c r="C1034" s="165" t="str">
        <f>IFERROR(__xludf.DUMMYFUNCTION("""COMPUTED_VALUE"""),"KYAI KONTONG")</f>
        <v>KYAI KONTONG</v>
      </c>
      <c r="D1034" s="94">
        <f>IFERROR(__xludf.DUMMYFUNCTION("""COMPUTED_VALUE"""),1.0)</f>
        <v>1</v>
      </c>
    </row>
    <row r="1035">
      <c r="A1035" s="87" t="str">
        <f>IFERROR(__xludf.DUMMYFUNCTION("""COMPUTED_VALUE"""),"ITBISA-DC-TO-DC-STEPDOWN-XL4005")</f>
        <v>ITBISA-DC-TO-DC-STEPDOWN-XL4005</v>
      </c>
      <c r="B1035" s="165">
        <f>IFERROR(__xludf.DUMMYFUNCTION("""COMPUTED_VALUE"""),46165.0)</f>
        <v>46165</v>
      </c>
      <c r="C1035" s="165" t="str">
        <f>IFERROR(__xludf.DUMMYFUNCTION("""COMPUTED_VALUE"""),"KYAI KONTONG")</f>
        <v>KYAI KONTONG</v>
      </c>
      <c r="D1035" s="94">
        <f>IFERROR(__xludf.DUMMYFUNCTION("""COMPUTED_VALUE"""),1.0)</f>
        <v>1</v>
      </c>
    </row>
    <row r="1036">
      <c r="A1036" s="87" t="str">
        <f>IFERROR(__xludf.DUMMYFUNCTION("""COMPUTED_VALUE"""),"ITBISA-DC-TO-DC-STEPDOWN-XL4005")</f>
        <v>ITBISA-DC-TO-DC-STEPDOWN-XL4005</v>
      </c>
      <c r="B1036" s="165">
        <f>IFERROR(__xludf.DUMMYFUNCTION("""COMPUTED_VALUE"""),46170.0)</f>
        <v>46170</v>
      </c>
      <c r="C1036" s="165" t="str">
        <f>IFERROR(__xludf.DUMMYFUNCTION("""COMPUTED_VALUE"""),"KYAI KONTONG")</f>
        <v>KYAI KONTONG</v>
      </c>
      <c r="D1036" s="94">
        <f>IFERROR(__xludf.DUMMYFUNCTION("""COMPUTED_VALUE"""),1.0)</f>
        <v>1</v>
      </c>
    </row>
    <row r="1037">
      <c r="A1037" s="87" t="str">
        <f>IFERROR(__xludf.DUMMYFUNCTION("""COMPUTED_VALUE"""),"ITBISA-DC-TO-DC-STEPDOWN-XL4005")</f>
        <v>ITBISA-DC-TO-DC-STEPDOWN-XL4005</v>
      </c>
      <c r="B1037" s="165">
        <f>IFERROR(__xludf.DUMMYFUNCTION("""COMPUTED_VALUE"""),46172.0)</f>
        <v>46172</v>
      </c>
      <c r="C1037" s="165" t="str">
        <f>IFERROR(__xludf.DUMMYFUNCTION("""COMPUTED_VALUE"""),"KYAI KONTONG")</f>
        <v>KYAI KONTONG</v>
      </c>
      <c r="D1037" s="94">
        <f>IFERROR(__xludf.DUMMYFUNCTION("""COMPUTED_VALUE"""),45.0)</f>
        <v>45</v>
      </c>
    </row>
    <row r="1038">
      <c r="A1038" s="87" t="str">
        <f>IFERROR(__xludf.DUMMYFUNCTION("""COMPUTED_VALUE"""),"ITBISA-DC-TO-DC-STEPDOWN-XL4005")</f>
        <v>ITBISA-DC-TO-DC-STEPDOWN-XL4005</v>
      </c>
      <c r="B1038" s="165">
        <f>IFERROR(__xludf.DUMMYFUNCTION("""COMPUTED_VALUE"""),46178.0)</f>
        <v>46178</v>
      </c>
      <c r="C1038" s="165" t="str">
        <f>IFERROR(__xludf.DUMMYFUNCTION("""COMPUTED_VALUE"""),"KYAI KONTONG")</f>
        <v>KYAI KONTONG</v>
      </c>
      <c r="D1038" s="94">
        <f>IFERROR(__xludf.DUMMYFUNCTION("""COMPUTED_VALUE"""),1.0)</f>
        <v>1</v>
      </c>
    </row>
    <row r="1039">
      <c r="A1039" s="87" t="str">
        <f>IFERROR(__xludf.DUMMYFUNCTION("""COMPUTED_VALUE"""),"ITBISA-DC-TO-DC-STEPDOWN-XL4005")</f>
        <v>ITBISA-DC-TO-DC-STEPDOWN-XL4005</v>
      </c>
      <c r="B1039" s="165">
        <f>IFERROR(__xludf.DUMMYFUNCTION("""COMPUTED_VALUE"""),46183.0)</f>
        <v>46183</v>
      </c>
      <c r="C1039" s="165" t="str">
        <f>IFERROR(__xludf.DUMMYFUNCTION("""COMPUTED_VALUE"""),"KYAI KONTONG")</f>
        <v>KYAI KONTONG</v>
      </c>
      <c r="D1039" s="94">
        <f>IFERROR(__xludf.DUMMYFUNCTION("""COMPUTED_VALUE"""),5.0)</f>
        <v>5</v>
      </c>
    </row>
    <row r="1040">
      <c r="A1040" s="87" t="str">
        <f>IFERROR(__xludf.DUMMYFUNCTION("""COMPUTED_VALUE"""),"ITBISA-DC-TO-DC-STEPDOWN-XL4005")</f>
        <v>ITBISA-DC-TO-DC-STEPDOWN-XL4005</v>
      </c>
      <c r="B1040" s="165">
        <f>IFERROR(__xludf.DUMMYFUNCTION("""COMPUTED_VALUE"""),46184.0)</f>
        <v>46184</v>
      </c>
      <c r="C1040" s="165" t="str">
        <f>IFERROR(__xludf.DUMMYFUNCTION("""COMPUTED_VALUE"""),"KYAI KONTONG")</f>
        <v>KYAI KONTONG</v>
      </c>
      <c r="D1040" s="94">
        <f>IFERROR(__xludf.DUMMYFUNCTION("""COMPUTED_VALUE"""),1.0)</f>
        <v>1</v>
      </c>
    </row>
    <row r="1041">
      <c r="A1041" s="87" t="str">
        <f>IFERROR(__xludf.DUMMYFUNCTION("""COMPUTED_VALUE"""),"ITBISA-DC-TO-DC-STEPDOWN-XL4005")</f>
        <v>ITBISA-DC-TO-DC-STEPDOWN-XL4005</v>
      </c>
      <c r="B1041" s="165">
        <f>IFERROR(__xludf.DUMMYFUNCTION("""COMPUTED_VALUE"""),46184.0)</f>
        <v>46184</v>
      </c>
      <c r="C1041" s="165" t="str">
        <f>IFERROR(__xludf.DUMMYFUNCTION("""COMPUTED_VALUE"""),"KYAI KONTONG")</f>
        <v>KYAI KONTONG</v>
      </c>
      <c r="D1041" s="94">
        <f>IFERROR(__xludf.DUMMYFUNCTION("""COMPUTED_VALUE"""),1.0)</f>
        <v>1</v>
      </c>
    </row>
    <row r="1042">
      <c r="A1042" s="87" t="str">
        <f>IFERROR(__xludf.DUMMYFUNCTION("""COMPUTED_VALUE"""),"ITBISA-DC-TO-DC-STEPDOWN-XL4005")</f>
        <v>ITBISA-DC-TO-DC-STEPDOWN-XL4005</v>
      </c>
      <c r="B1042" s="165">
        <f>IFERROR(__xludf.DUMMYFUNCTION("""COMPUTED_VALUE"""),46185.0)</f>
        <v>46185</v>
      </c>
      <c r="C1042" s="165" t="str">
        <f>IFERROR(__xludf.DUMMYFUNCTION("""COMPUTED_VALUE"""),"KYAI KONTONG")</f>
        <v>KYAI KONTONG</v>
      </c>
      <c r="D1042" s="94">
        <f>IFERROR(__xludf.DUMMYFUNCTION("""COMPUTED_VALUE"""),10.0)</f>
        <v>10</v>
      </c>
    </row>
    <row r="1043">
      <c r="A1043" s="87" t="str">
        <f>IFERROR(__xludf.DUMMYFUNCTION("""COMPUTED_VALUE"""),"ITBISA-DC-TO-DC-STEPDOWN-XL4005")</f>
        <v>ITBISA-DC-TO-DC-STEPDOWN-XL4005</v>
      </c>
      <c r="B1043" s="165">
        <f>IFERROR(__xludf.DUMMYFUNCTION("""COMPUTED_VALUE"""),46186.0)</f>
        <v>46186</v>
      </c>
      <c r="C1043" s="165" t="str">
        <f>IFERROR(__xludf.DUMMYFUNCTION("""COMPUTED_VALUE"""),"KYAI KONTONG")</f>
        <v>KYAI KONTONG</v>
      </c>
      <c r="D1043" s="94">
        <f>IFERROR(__xludf.DUMMYFUNCTION("""COMPUTED_VALUE"""),7.0)</f>
        <v>7</v>
      </c>
    </row>
    <row r="1044">
      <c r="A1044" s="87" t="str">
        <f>IFERROR(__xludf.DUMMYFUNCTION("""COMPUTED_VALUE"""),"ITBISA-DC-TO-DC-STEPDOWN-XL4005")</f>
        <v>ITBISA-DC-TO-DC-STEPDOWN-XL4005</v>
      </c>
      <c r="B1044" s="165">
        <f>IFERROR(__xludf.DUMMYFUNCTION("""COMPUTED_VALUE"""),46187.0)</f>
        <v>46187</v>
      </c>
      <c r="C1044" s="165" t="str">
        <f>IFERROR(__xludf.DUMMYFUNCTION("""COMPUTED_VALUE"""),"KYAI KONTONG")</f>
        <v>KYAI KONTONG</v>
      </c>
      <c r="D1044" s="94">
        <f>IFERROR(__xludf.DUMMYFUNCTION("""COMPUTED_VALUE"""),1.0)</f>
        <v>1</v>
      </c>
    </row>
    <row r="1045">
      <c r="A1045" s="87" t="str">
        <f>IFERROR(__xludf.DUMMYFUNCTION("""COMPUTED_VALUE"""),"ITBISA-DC-TO-DC-STEPDOWN-XL4005")</f>
        <v>ITBISA-DC-TO-DC-STEPDOWN-XL4005</v>
      </c>
      <c r="B1045" s="165">
        <f>IFERROR(__xludf.DUMMYFUNCTION("""COMPUTED_VALUE"""),46188.0)</f>
        <v>46188</v>
      </c>
      <c r="C1045" s="165" t="str">
        <f>IFERROR(__xludf.DUMMYFUNCTION("""COMPUTED_VALUE"""),"KYAI KONTONG")</f>
        <v>KYAI KONTONG</v>
      </c>
      <c r="D1045" s="94">
        <f>IFERROR(__xludf.DUMMYFUNCTION("""COMPUTED_VALUE"""),2.0)</f>
        <v>2</v>
      </c>
    </row>
    <row r="1046">
      <c r="A1046" s="87" t="str">
        <f>IFERROR(__xludf.DUMMYFUNCTION("""COMPUTED_VALUE"""),"ITBISA-DC-TO-DC-STEPDOWN-XL4005")</f>
        <v>ITBISA-DC-TO-DC-STEPDOWN-XL4005</v>
      </c>
      <c r="B1046" s="165">
        <f>IFERROR(__xludf.DUMMYFUNCTION("""COMPUTED_VALUE"""),46194.0)</f>
        <v>46194</v>
      </c>
      <c r="C1046" s="165" t="str">
        <f>IFERROR(__xludf.DUMMYFUNCTION("""COMPUTED_VALUE"""),"KYAI KONTONG")</f>
        <v>KYAI KONTONG</v>
      </c>
      <c r="D1046" s="94">
        <f>IFERROR(__xludf.DUMMYFUNCTION("""COMPUTED_VALUE"""),1.0)</f>
        <v>1</v>
      </c>
    </row>
    <row r="1047">
      <c r="A1047" s="87" t="str">
        <f>IFERROR(__xludf.DUMMYFUNCTION("""COMPUTED_VALUE"""),"ITBISA-DC-TO-DC-STEPDOWN-XL4005")</f>
        <v>ITBISA-DC-TO-DC-STEPDOWN-XL4005</v>
      </c>
      <c r="B1047" s="165">
        <f>IFERROR(__xludf.DUMMYFUNCTION("""COMPUTED_VALUE"""),46195.0)</f>
        <v>46195</v>
      </c>
      <c r="C1047" s="165" t="str">
        <f>IFERROR(__xludf.DUMMYFUNCTION("""COMPUTED_VALUE"""),"KYAI KONTONG")</f>
        <v>KYAI KONTONG</v>
      </c>
      <c r="D1047" s="94">
        <f>IFERROR(__xludf.DUMMYFUNCTION("""COMPUTED_VALUE"""),1.0)</f>
        <v>1</v>
      </c>
    </row>
    <row r="1048">
      <c r="A1048" s="87" t="str">
        <f>IFERROR(__xludf.DUMMYFUNCTION("""COMPUTED_VALUE"""),"ITBISA-DC-TO-DC-STEPDOWN-XL4005")</f>
        <v>ITBISA-DC-TO-DC-STEPDOWN-XL4005</v>
      </c>
      <c r="B1048" s="165">
        <f>IFERROR(__xludf.DUMMYFUNCTION("""COMPUTED_VALUE"""),46196.0)</f>
        <v>46196</v>
      </c>
      <c r="C1048" s="165" t="str">
        <f>IFERROR(__xludf.DUMMYFUNCTION("""COMPUTED_VALUE"""),"KYAI KONTONG")</f>
        <v>KYAI KONTONG</v>
      </c>
      <c r="D1048" s="94">
        <f>IFERROR(__xludf.DUMMYFUNCTION("""COMPUTED_VALUE"""),1.0)</f>
        <v>1</v>
      </c>
    </row>
    <row r="1049">
      <c r="A1049" s="87" t="str">
        <f>IFERROR(__xludf.DUMMYFUNCTION("""COMPUTED_VALUE"""),"ITBISA-DC-TO-DC-STEPDOWN-XL4005")</f>
        <v>ITBISA-DC-TO-DC-STEPDOWN-XL4005</v>
      </c>
      <c r="B1049" s="165">
        <f>IFERROR(__xludf.DUMMYFUNCTION("""COMPUTED_VALUE"""),46196.0)</f>
        <v>46196</v>
      </c>
      <c r="C1049" s="165" t="str">
        <f>IFERROR(__xludf.DUMMYFUNCTION("""COMPUTED_VALUE"""),"KYAI KONTONG")</f>
        <v>KYAI KONTONG</v>
      </c>
      <c r="D1049" s="94">
        <f>IFERROR(__xludf.DUMMYFUNCTION("""COMPUTED_VALUE"""),5.0)</f>
        <v>5</v>
      </c>
    </row>
    <row r="1050">
      <c r="A1050" s="87" t="str">
        <f>IFERROR(__xludf.DUMMYFUNCTION("""COMPUTED_VALUE"""),"ITBISA-DC-TO-DC-STEPDOWN-XL4005")</f>
        <v>ITBISA-DC-TO-DC-STEPDOWN-XL4005</v>
      </c>
      <c r="B1050" s="165">
        <f>IFERROR(__xludf.DUMMYFUNCTION("""COMPUTED_VALUE"""),46198.0)</f>
        <v>46198</v>
      </c>
      <c r="C1050" s="165" t="str">
        <f>IFERROR(__xludf.DUMMYFUNCTION("""COMPUTED_VALUE"""),"KYAI KONTONG")</f>
        <v>KYAI KONTONG</v>
      </c>
      <c r="D1050" s="94">
        <f>IFERROR(__xludf.DUMMYFUNCTION("""COMPUTED_VALUE"""),1.0)</f>
        <v>1</v>
      </c>
    </row>
    <row r="1051">
      <c r="A1051" s="87" t="str">
        <f>IFERROR(__xludf.DUMMYFUNCTION("""COMPUTED_VALUE"""),"ITBISA-DC-TO-DC-STEPDOWN-XL4015")</f>
        <v>ITBISA-DC-TO-DC-STEPDOWN-XL4015</v>
      </c>
      <c r="B1051" s="165">
        <f>IFERROR(__xludf.DUMMYFUNCTION("""COMPUTED_VALUE"""),46033.0)</f>
        <v>46033</v>
      </c>
      <c r="C1051" s="165" t="str">
        <f>IFERROR(__xludf.DUMMYFUNCTION("""COMPUTED_VALUE"""),"KYAI KONTONG")</f>
        <v>KYAI KONTONG</v>
      </c>
      <c r="D1051" s="94">
        <f>IFERROR(__xludf.DUMMYFUNCTION("""COMPUTED_VALUE"""),1.0)</f>
        <v>1</v>
      </c>
    </row>
    <row r="1052">
      <c r="A1052" s="87" t="str">
        <f>IFERROR(__xludf.DUMMYFUNCTION("""COMPUTED_VALUE"""),"ITBISA-DC-TO-DC-STEPDOWN-XL4015")</f>
        <v>ITBISA-DC-TO-DC-STEPDOWN-XL4015</v>
      </c>
      <c r="B1052" s="165">
        <f>IFERROR(__xludf.DUMMYFUNCTION("""COMPUTED_VALUE"""),46041.0)</f>
        <v>46041</v>
      </c>
      <c r="C1052" s="165" t="str">
        <f>IFERROR(__xludf.DUMMYFUNCTION("""COMPUTED_VALUE"""),"KERTASARI CIAMIS")</f>
        <v>KERTASARI CIAMIS</v>
      </c>
      <c r="D1052" s="94">
        <f>IFERROR(__xludf.DUMMYFUNCTION("""COMPUTED_VALUE"""),1.0)</f>
        <v>1</v>
      </c>
    </row>
    <row r="1053">
      <c r="A1053" s="87" t="str">
        <f>IFERROR(__xludf.DUMMYFUNCTION("""COMPUTED_VALUE"""),"ITBISA-DC-TO-DC-STEPDOWN-XL4015")</f>
        <v>ITBISA-DC-TO-DC-STEPDOWN-XL4015</v>
      </c>
      <c r="B1053" s="165">
        <f>IFERROR(__xludf.DUMMYFUNCTION("""COMPUTED_VALUE"""),46072.0)</f>
        <v>46072</v>
      </c>
      <c r="C1053" s="165" t="str">
        <f>IFERROR(__xludf.DUMMYFUNCTION("""COMPUTED_VALUE"""),"KERTASARI CIAMIS")</f>
        <v>KERTASARI CIAMIS</v>
      </c>
      <c r="D1053" s="94">
        <f>IFERROR(__xludf.DUMMYFUNCTION("""COMPUTED_VALUE"""),1.0)</f>
        <v>1</v>
      </c>
    </row>
    <row r="1054">
      <c r="A1054" s="87" t="str">
        <f>IFERROR(__xludf.DUMMYFUNCTION("""COMPUTED_VALUE"""),"ITBISA-DC-TO-DC-STEPDOWN-XL4015")</f>
        <v>ITBISA-DC-TO-DC-STEPDOWN-XL4015</v>
      </c>
      <c r="B1054" s="165">
        <f>IFERROR(__xludf.DUMMYFUNCTION("""COMPUTED_VALUE"""),46072.0)</f>
        <v>46072</v>
      </c>
      <c r="C1054" s="165" t="str">
        <f>IFERROR(__xludf.DUMMYFUNCTION("""COMPUTED_VALUE"""),"KYAI KONTONG")</f>
        <v>KYAI KONTONG</v>
      </c>
      <c r="D1054" s="94">
        <f>IFERROR(__xludf.DUMMYFUNCTION("""COMPUTED_VALUE"""),2.0)</f>
        <v>2</v>
      </c>
    </row>
    <row r="1055">
      <c r="A1055" s="87" t="str">
        <f>IFERROR(__xludf.DUMMYFUNCTION("""COMPUTED_VALUE"""),"ITBISA-DC-TO-DC-STEPDOWN-XL4015")</f>
        <v>ITBISA-DC-TO-DC-STEPDOWN-XL4015</v>
      </c>
      <c r="B1055" s="165">
        <f>IFERROR(__xludf.DUMMYFUNCTION("""COMPUTED_VALUE"""),46102.0)</f>
        <v>46102</v>
      </c>
      <c r="C1055" s="165" t="str">
        <f>IFERROR(__xludf.DUMMYFUNCTION("""COMPUTED_VALUE"""),"KYAI KONTONG")</f>
        <v>KYAI KONTONG</v>
      </c>
      <c r="D1055" s="94">
        <f>IFERROR(__xludf.DUMMYFUNCTION("""COMPUTED_VALUE"""),2.0)</f>
        <v>2</v>
      </c>
    </row>
    <row r="1056">
      <c r="A1056" s="87" t="str">
        <f>IFERROR(__xludf.DUMMYFUNCTION("""COMPUTED_VALUE"""),"ITBISA-DC-TO-DC-STEPDOWN-XL4015")</f>
        <v>ITBISA-DC-TO-DC-STEPDOWN-XL4015</v>
      </c>
      <c r="B1056" s="165">
        <f>IFERROR(__xludf.DUMMYFUNCTION("""COMPUTED_VALUE"""),46116.0)</f>
        <v>46116</v>
      </c>
      <c r="C1056" s="165" t="str">
        <f>IFERROR(__xludf.DUMMYFUNCTION("""COMPUTED_VALUE"""),"KYAI KONTONG")</f>
        <v>KYAI KONTONG</v>
      </c>
      <c r="D1056" s="94">
        <f>IFERROR(__xludf.DUMMYFUNCTION("""COMPUTED_VALUE"""),1.0)</f>
        <v>1</v>
      </c>
    </row>
    <row r="1057">
      <c r="A1057" s="87" t="str">
        <f>IFERROR(__xludf.DUMMYFUNCTION("""COMPUTED_VALUE"""),"ITBISA-DC-TO-DC-STEPDOWN-XL4015")</f>
        <v>ITBISA-DC-TO-DC-STEPDOWN-XL4015</v>
      </c>
      <c r="B1057" s="165">
        <f>IFERROR(__xludf.DUMMYFUNCTION("""COMPUTED_VALUE"""),46117.0)</f>
        <v>46117</v>
      </c>
      <c r="C1057" s="165" t="str">
        <f>IFERROR(__xludf.DUMMYFUNCTION("""COMPUTED_VALUE"""),"KYAI KONTONG")</f>
        <v>KYAI KONTONG</v>
      </c>
      <c r="D1057" s="94">
        <f>IFERROR(__xludf.DUMMYFUNCTION("""COMPUTED_VALUE"""),2.0)</f>
        <v>2</v>
      </c>
    </row>
    <row r="1058">
      <c r="A1058" s="87" t="str">
        <f>IFERROR(__xludf.DUMMYFUNCTION("""COMPUTED_VALUE"""),"ITBISA-DC-TO-DC-STEPDOWN-XL4015")</f>
        <v>ITBISA-DC-TO-DC-STEPDOWN-XL4015</v>
      </c>
      <c r="B1058" s="165">
        <f>IFERROR(__xludf.DUMMYFUNCTION("""COMPUTED_VALUE"""),46130.0)</f>
        <v>46130</v>
      </c>
      <c r="C1058" s="165" t="str">
        <f>IFERROR(__xludf.DUMMYFUNCTION("""COMPUTED_VALUE"""),"KYAI KONTONG")</f>
        <v>KYAI KONTONG</v>
      </c>
      <c r="D1058" s="94">
        <f>IFERROR(__xludf.DUMMYFUNCTION("""COMPUTED_VALUE"""),1.0)</f>
        <v>1</v>
      </c>
    </row>
    <row r="1059">
      <c r="A1059" s="87" t="str">
        <f>IFERROR(__xludf.DUMMYFUNCTION("""COMPUTED_VALUE"""),"ITBISA-DC-TO-DC-STEPDOWN-XL4015")</f>
        <v>ITBISA-DC-TO-DC-STEPDOWN-XL4015</v>
      </c>
      <c r="B1059" s="165">
        <f>IFERROR(__xludf.DUMMYFUNCTION("""COMPUTED_VALUE"""),46133.0)</f>
        <v>46133</v>
      </c>
      <c r="C1059" s="165" t="str">
        <f>IFERROR(__xludf.DUMMYFUNCTION("""COMPUTED_VALUE"""),"KYAI KONTONG")</f>
        <v>KYAI KONTONG</v>
      </c>
      <c r="D1059" s="94">
        <f>IFERROR(__xludf.DUMMYFUNCTION("""COMPUTED_VALUE"""),1.0)</f>
        <v>1</v>
      </c>
    </row>
    <row r="1060">
      <c r="A1060" s="87" t="str">
        <f>IFERROR(__xludf.DUMMYFUNCTION("""COMPUTED_VALUE"""),"ITBISA-DC-TO-DC-STEPDOWN-XL4015")</f>
        <v>ITBISA-DC-TO-DC-STEPDOWN-XL4015</v>
      </c>
      <c r="B1060" s="165">
        <f>IFERROR(__xludf.DUMMYFUNCTION("""COMPUTED_VALUE"""),46134.0)</f>
        <v>46134</v>
      </c>
      <c r="C1060" s="165" t="str">
        <f>IFERROR(__xludf.DUMMYFUNCTION("""COMPUTED_VALUE"""),"KYAI KONTONG")</f>
        <v>KYAI KONTONG</v>
      </c>
      <c r="D1060" s="94">
        <f>IFERROR(__xludf.DUMMYFUNCTION("""COMPUTED_VALUE"""),1.0)</f>
        <v>1</v>
      </c>
    </row>
    <row r="1061">
      <c r="A1061" s="87" t="str">
        <f>IFERROR(__xludf.DUMMYFUNCTION("""COMPUTED_VALUE"""),"ITBISA-DC-TO-DC-STEPDOWN-XL4015")</f>
        <v>ITBISA-DC-TO-DC-STEPDOWN-XL4015</v>
      </c>
      <c r="B1061" s="165">
        <f>IFERROR(__xludf.DUMMYFUNCTION("""COMPUTED_VALUE"""),46134.0)</f>
        <v>46134</v>
      </c>
      <c r="C1061" s="165" t="str">
        <f>IFERROR(__xludf.DUMMYFUNCTION("""COMPUTED_VALUE"""),"KYAI KONTONG")</f>
        <v>KYAI KONTONG</v>
      </c>
      <c r="D1061" s="94">
        <f>IFERROR(__xludf.DUMMYFUNCTION("""COMPUTED_VALUE"""),6.0)</f>
        <v>6</v>
      </c>
    </row>
    <row r="1062">
      <c r="A1062" s="87" t="str">
        <f>IFERROR(__xludf.DUMMYFUNCTION("""COMPUTED_VALUE"""),"ITBISA-DC-TO-DC-STEPDOWN-XL4015")</f>
        <v>ITBISA-DC-TO-DC-STEPDOWN-XL4015</v>
      </c>
      <c r="B1062" s="165">
        <f>IFERROR(__xludf.DUMMYFUNCTION("""COMPUTED_VALUE"""),46134.0)</f>
        <v>46134</v>
      </c>
      <c r="C1062" s="165" t="str">
        <f>IFERROR(__xludf.DUMMYFUNCTION("""COMPUTED_VALUE"""),"KYAI KONTONG")</f>
        <v>KYAI KONTONG</v>
      </c>
      <c r="D1062" s="94">
        <f>IFERROR(__xludf.DUMMYFUNCTION("""COMPUTED_VALUE"""),6.0)</f>
        <v>6</v>
      </c>
    </row>
    <row r="1063">
      <c r="A1063" s="87" t="str">
        <f>IFERROR(__xludf.DUMMYFUNCTION("""COMPUTED_VALUE"""),"ITBISA-DC-TO-DC-STEPDOWN-XL4015")</f>
        <v>ITBISA-DC-TO-DC-STEPDOWN-XL4015</v>
      </c>
      <c r="B1063" s="165">
        <f>IFERROR(__xludf.DUMMYFUNCTION("""COMPUTED_VALUE"""),46135.0)</f>
        <v>46135</v>
      </c>
      <c r="C1063" s="165" t="str">
        <f>IFERROR(__xludf.DUMMYFUNCTION("""COMPUTED_VALUE"""),"KYAI KONTONG")</f>
        <v>KYAI KONTONG</v>
      </c>
      <c r="D1063" s="94">
        <f>IFERROR(__xludf.DUMMYFUNCTION("""COMPUTED_VALUE"""),10.0)</f>
        <v>10</v>
      </c>
    </row>
    <row r="1064">
      <c r="A1064" s="87" t="str">
        <f>IFERROR(__xludf.DUMMYFUNCTION("""COMPUTED_VALUE"""),"ITBISA-DC-TO-DC-STEPDOWN-XL4015")</f>
        <v>ITBISA-DC-TO-DC-STEPDOWN-XL4015</v>
      </c>
      <c r="B1064" s="165">
        <f>IFERROR(__xludf.DUMMYFUNCTION("""COMPUTED_VALUE"""),46135.0)</f>
        <v>46135</v>
      </c>
      <c r="C1064" s="165" t="str">
        <f>IFERROR(__xludf.DUMMYFUNCTION("""COMPUTED_VALUE"""),"KYAI KONTONG")</f>
        <v>KYAI KONTONG</v>
      </c>
      <c r="D1064" s="94">
        <f>IFERROR(__xludf.DUMMYFUNCTION("""COMPUTED_VALUE"""),22.0)</f>
        <v>22</v>
      </c>
    </row>
    <row r="1065">
      <c r="A1065" s="87" t="str">
        <f>IFERROR(__xludf.DUMMYFUNCTION("""COMPUTED_VALUE"""),"ITBISA-DC-TO-DC-STEPDOWN-XL4015")</f>
        <v>ITBISA-DC-TO-DC-STEPDOWN-XL4015</v>
      </c>
      <c r="B1065" s="165">
        <f>IFERROR(__xludf.DUMMYFUNCTION("""COMPUTED_VALUE"""),46143.0)</f>
        <v>46143</v>
      </c>
      <c r="C1065" s="165" t="str">
        <f>IFERROR(__xludf.DUMMYFUNCTION("""COMPUTED_VALUE"""),"KYAI KONTONG")</f>
        <v>KYAI KONTONG</v>
      </c>
      <c r="D1065" s="94">
        <f>IFERROR(__xludf.DUMMYFUNCTION("""COMPUTED_VALUE"""),1.0)</f>
        <v>1</v>
      </c>
    </row>
    <row r="1066">
      <c r="A1066" s="87" t="str">
        <f>IFERROR(__xludf.DUMMYFUNCTION("""COMPUTED_VALUE"""),"ITBISA-DC-TO-DC-STEPDOWN-XL4015")</f>
        <v>ITBISA-DC-TO-DC-STEPDOWN-XL4015</v>
      </c>
      <c r="B1066" s="165">
        <f>IFERROR(__xludf.DUMMYFUNCTION("""COMPUTED_VALUE"""),46144.0)</f>
        <v>46144</v>
      </c>
      <c r="C1066" s="165" t="str">
        <f>IFERROR(__xludf.DUMMYFUNCTION("""COMPUTED_VALUE"""),"KYAI KONTONG")</f>
        <v>KYAI KONTONG</v>
      </c>
      <c r="D1066" s="94">
        <f>IFERROR(__xludf.DUMMYFUNCTION("""COMPUTED_VALUE"""),4.0)</f>
        <v>4</v>
      </c>
    </row>
    <row r="1067">
      <c r="A1067" s="87" t="str">
        <f>IFERROR(__xludf.DUMMYFUNCTION("""COMPUTED_VALUE"""),"ITBISA-DC-TO-DC-STEPUP-XL6009")</f>
        <v>ITBISA-DC-TO-DC-STEPUP-XL6009</v>
      </c>
      <c r="B1067" s="165">
        <f>IFERROR(__xludf.DUMMYFUNCTION("""COMPUTED_VALUE"""),46036.0)</f>
        <v>46036</v>
      </c>
      <c r="C1067" s="165" t="str">
        <f>IFERROR(__xludf.DUMMYFUNCTION("""COMPUTED_VALUE"""),"KYAI KONTONG")</f>
        <v>KYAI KONTONG</v>
      </c>
      <c r="D1067" s="94">
        <f>IFERROR(__xludf.DUMMYFUNCTION("""COMPUTED_VALUE"""),2.0)</f>
        <v>2</v>
      </c>
    </row>
    <row r="1068">
      <c r="A1068" s="87" t="str">
        <f>IFERROR(__xludf.DUMMYFUNCTION("""COMPUTED_VALUE"""),"ITBISA-DC-TO-DC-STEPUP-XL6009")</f>
        <v>ITBISA-DC-TO-DC-STEPUP-XL6009</v>
      </c>
      <c r="B1068" s="165">
        <f>IFERROR(__xludf.DUMMYFUNCTION("""COMPUTED_VALUE"""),46040.0)</f>
        <v>46040</v>
      </c>
      <c r="C1068" s="165" t="str">
        <f>IFERROR(__xludf.DUMMYFUNCTION("""COMPUTED_VALUE"""),"KYAI KONTONG")</f>
        <v>KYAI KONTONG</v>
      </c>
      <c r="D1068" s="94">
        <f>IFERROR(__xludf.DUMMYFUNCTION("""COMPUTED_VALUE"""),6.0)</f>
        <v>6</v>
      </c>
    </row>
    <row r="1069">
      <c r="A1069" s="87" t="str">
        <f>IFERROR(__xludf.DUMMYFUNCTION("""COMPUTED_VALUE"""),"ITBISA-DC-TO-DC-STEPUP-XL6009")</f>
        <v>ITBISA-DC-TO-DC-STEPUP-XL6009</v>
      </c>
      <c r="B1069" s="165">
        <f>IFERROR(__xludf.DUMMYFUNCTION("""COMPUTED_VALUE"""),46043.0)</f>
        <v>46043</v>
      </c>
      <c r="C1069" s="165" t="str">
        <f>IFERROR(__xludf.DUMMYFUNCTION("""COMPUTED_VALUE"""),"KERTASARI CIAMIS")</f>
        <v>KERTASARI CIAMIS</v>
      </c>
      <c r="D1069" s="94">
        <f>IFERROR(__xludf.DUMMYFUNCTION("""COMPUTED_VALUE"""),5.0)</f>
        <v>5</v>
      </c>
    </row>
    <row r="1070">
      <c r="A1070" s="87" t="str">
        <f>IFERROR(__xludf.DUMMYFUNCTION("""COMPUTED_VALUE"""),"ITBISA-DC-TO-DC-STEPUP-XL6009")</f>
        <v>ITBISA-DC-TO-DC-STEPUP-XL6009</v>
      </c>
      <c r="B1070" s="165">
        <f>IFERROR(__xludf.DUMMYFUNCTION("""COMPUTED_VALUE"""),46049.0)</f>
        <v>46049</v>
      </c>
      <c r="C1070" s="165" t="str">
        <f>IFERROR(__xludf.DUMMYFUNCTION("""COMPUTED_VALUE"""),"KYAI KONTONG")</f>
        <v>KYAI KONTONG</v>
      </c>
      <c r="D1070" s="94">
        <f>IFERROR(__xludf.DUMMYFUNCTION("""COMPUTED_VALUE"""),1.0)</f>
        <v>1</v>
      </c>
    </row>
    <row r="1071">
      <c r="A1071" s="87" t="str">
        <f>IFERROR(__xludf.DUMMYFUNCTION("""COMPUTED_VALUE"""),"ITBISA-DC-TO-DC-STEPUP-XL6009")</f>
        <v>ITBISA-DC-TO-DC-STEPUP-XL6009</v>
      </c>
      <c r="B1071" s="165">
        <f>IFERROR(__xludf.DUMMYFUNCTION("""COMPUTED_VALUE"""),46057.0)</f>
        <v>46057</v>
      </c>
      <c r="C1071" s="165" t="str">
        <f>IFERROR(__xludf.DUMMYFUNCTION("""COMPUTED_VALUE"""),"KERTASARI CIAMIS")</f>
        <v>KERTASARI CIAMIS</v>
      </c>
      <c r="D1071" s="94">
        <f>IFERROR(__xludf.DUMMYFUNCTION("""COMPUTED_VALUE"""),2.0)</f>
        <v>2</v>
      </c>
    </row>
    <row r="1072">
      <c r="A1072" s="87" t="str">
        <f>IFERROR(__xludf.DUMMYFUNCTION("""COMPUTED_VALUE"""),"ITBISA-DC-TO-DC-STEPUP-XL6009")</f>
        <v>ITBISA-DC-TO-DC-STEPUP-XL6009</v>
      </c>
      <c r="B1072" s="165">
        <f>IFERROR(__xludf.DUMMYFUNCTION("""COMPUTED_VALUE"""),46057.0)</f>
        <v>46057</v>
      </c>
      <c r="C1072" s="165" t="str">
        <f>IFERROR(__xludf.DUMMYFUNCTION("""COMPUTED_VALUE"""),"KERTASARI CIAMIS")</f>
        <v>KERTASARI CIAMIS</v>
      </c>
      <c r="D1072" s="94">
        <f>IFERROR(__xludf.DUMMYFUNCTION("""COMPUTED_VALUE"""),2.0)</f>
        <v>2</v>
      </c>
    </row>
    <row r="1073">
      <c r="A1073" s="87" t="str">
        <f>IFERROR(__xludf.DUMMYFUNCTION("""COMPUTED_VALUE"""),"ITBISA-DC-TO-DC-STEPUP-XL6009")</f>
        <v>ITBISA-DC-TO-DC-STEPUP-XL6009</v>
      </c>
      <c r="B1073" s="165">
        <f>IFERROR(__xludf.DUMMYFUNCTION("""COMPUTED_VALUE"""),46082.0)</f>
        <v>46082</v>
      </c>
      <c r="C1073" s="165" t="str">
        <f>IFERROR(__xludf.DUMMYFUNCTION("""COMPUTED_VALUE"""),"KYAI KONTONG")</f>
        <v>KYAI KONTONG</v>
      </c>
      <c r="D1073" s="94">
        <f>IFERROR(__xludf.DUMMYFUNCTION("""COMPUTED_VALUE"""),1.0)</f>
        <v>1</v>
      </c>
    </row>
    <row r="1074">
      <c r="A1074" s="87" t="str">
        <f>IFERROR(__xludf.DUMMYFUNCTION("""COMPUTED_VALUE"""),"ITBISA-DC-TO-DC-STEPUP-XL6009")</f>
        <v>ITBISA-DC-TO-DC-STEPUP-XL6009</v>
      </c>
      <c r="B1074" s="165">
        <f>IFERROR(__xludf.DUMMYFUNCTION("""COMPUTED_VALUE"""),46087.0)</f>
        <v>46087</v>
      </c>
      <c r="C1074" s="165" t="str">
        <f>IFERROR(__xludf.DUMMYFUNCTION("""COMPUTED_VALUE"""),"KYAI KONTONG")</f>
        <v>KYAI KONTONG</v>
      </c>
      <c r="D1074" s="94">
        <f>IFERROR(__xludf.DUMMYFUNCTION("""COMPUTED_VALUE"""),1.0)</f>
        <v>1</v>
      </c>
    </row>
    <row r="1075">
      <c r="A1075" s="87" t="str">
        <f>IFERROR(__xludf.DUMMYFUNCTION("""COMPUTED_VALUE"""),"ITBISA-DC-TO-DC-STEPUP-XL6009")</f>
        <v>ITBISA-DC-TO-DC-STEPUP-XL6009</v>
      </c>
      <c r="B1075" s="165">
        <f>IFERROR(__xludf.DUMMYFUNCTION("""COMPUTED_VALUE"""),46102.0)</f>
        <v>46102</v>
      </c>
      <c r="C1075" s="165" t="str">
        <f>IFERROR(__xludf.DUMMYFUNCTION("""COMPUTED_VALUE"""),"KYAI KONTONG")</f>
        <v>KYAI KONTONG</v>
      </c>
      <c r="D1075" s="94">
        <f>IFERROR(__xludf.DUMMYFUNCTION("""COMPUTED_VALUE"""),1.0)</f>
        <v>1</v>
      </c>
    </row>
    <row r="1076">
      <c r="A1076" s="87" t="str">
        <f>IFERROR(__xludf.DUMMYFUNCTION("""COMPUTED_VALUE"""),"ITBISA-DC-TO-DC-STEPUP-XL6009")</f>
        <v>ITBISA-DC-TO-DC-STEPUP-XL6009</v>
      </c>
      <c r="B1076" s="165">
        <f>IFERROR(__xludf.DUMMYFUNCTION("""COMPUTED_VALUE"""),46103.0)</f>
        <v>46103</v>
      </c>
      <c r="C1076" s="165" t="str">
        <f>IFERROR(__xludf.DUMMYFUNCTION("""COMPUTED_VALUE"""),"KYAI KONTONG")</f>
        <v>KYAI KONTONG</v>
      </c>
      <c r="D1076" s="94">
        <f>IFERROR(__xludf.DUMMYFUNCTION("""COMPUTED_VALUE"""),1.0)</f>
        <v>1</v>
      </c>
    </row>
    <row r="1077">
      <c r="A1077" s="87" t="str">
        <f>IFERROR(__xludf.DUMMYFUNCTION("""COMPUTED_VALUE"""),"ITBISA-DC-TO-DC-STEPUP-XL6009")</f>
        <v>ITBISA-DC-TO-DC-STEPUP-XL6009</v>
      </c>
      <c r="B1077" s="165">
        <f>IFERROR(__xludf.DUMMYFUNCTION("""COMPUTED_VALUE"""),46103.0)</f>
        <v>46103</v>
      </c>
      <c r="C1077" s="165" t="str">
        <f>IFERROR(__xludf.DUMMYFUNCTION("""COMPUTED_VALUE"""),"KYAI KONTONG")</f>
        <v>KYAI KONTONG</v>
      </c>
      <c r="D1077" s="94">
        <f>IFERROR(__xludf.DUMMYFUNCTION("""COMPUTED_VALUE"""),1.0)</f>
        <v>1</v>
      </c>
    </row>
    <row r="1078">
      <c r="A1078" s="87" t="str">
        <f>IFERROR(__xludf.DUMMYFUNCTION("""COMPUTED_VALUE"""),"ITBISA-DC-TO-DC-STEPUP-XL6009")</f>
        <v>ITBISA-DC-TO-DC-STEPUP-XL6009</v>
      </c>
      <c r="B1078" s="165">
        <f>IFERROR(__xludf.DUMMYFUNCTION("""COMPUTED_VALUE"""),46103.0)</f>
        <v>46103</v>
      </c>
      <c r="C1078" s="165" t="str">
        <f>IFERROR(__xludf.DUMMYFUNCTION("""COMPUTED_VALUE"""),"KYAI KONTONG")</f>
        <v>KYAI KONTONG</v>
      </c>
      <c r="D1078" s="94">
        <f>IFERROR(__xludf.DUMMYFUNCTION("""COMPUTED_VALUE"""),1.0)</f>
        <v>1</v>
      </c>
    </row>
    <row r="1079">
      <c r="A1079" s="87" t="str">
        <f>IFERROR(__xludf.DUMMYFUNCTION("""COMPUTED_VALUE"""),"ITBISA-DC-TO-DC-STEPUP-XL6009")</f>
        <v>ITBISA-DC-TO-DC-STEPUP-XL6009</v>
      </c>
      <c r="B1079" s="165">
        <f>IFERROR(__xludf.DUMMYFUNCTION("""COMPUTED_VALUE"""),46103.0)</f>
        <v>46103</v>
      </c>
      <c r="C1079" s="165" t="str">
        <f>IFERROR(__xludf.DUMMYFUNCTION("""COMPUTED_VALUE"""),"KYAI KONTONG")</f>
        <v>KYAI KONTONG</v>
      </c>
      <c r="D1079" s="94">
        <f>IFERROR(__xludf.DUMMYFUNCTION("""COMPUTED_VALUE"""),2.0)</f>
        <v>2</v>
      </c>
    </row>
    <row r="1080">
      <c r="A1080" s="87" t="str">
        <f>IFERROR(__xludf.DUMMYFUNCTION("""COMPUTED_VALUE"""),"ITBISA-DC-TO-DC-STEPUP-XL6009")</f>
        <v>ITBISA-DC-TO-DC-STEPUP-XL6009</v>
      </c>
      <c r="B1080" s="165">
        <f>IFERROR(__xludf.DUMMYFUNCTION("""COMPUTED_VALUE"""),46117.0)</f>
        <v>46117</v>
      </c>
      <c r="C1080" s="165" t="str">
        <f>IFERROR(__xludf.DUMMYFUNCTION("""COMPUTED_VALUE"""),"KYAI KONTONG")</f>
        <v>KYAI KONTONG</v>
      </c>
      <c r="D1080" s="94">
        <f>IFERROR(__xludf.DUMMYFUNCTION("""COMPUTED_VALUE"""),2.0)</f>
        <v>2</v>
      </c>
    </row>
    <row r="1081">
      <c r="A1081" s="87" t="str">
        <f>IFERROR(__xludf.DUMMYFUNCTION("""COMPUTED_VALUE"""),"ITBISA-DC-TO-DC-STEPUP-XL6009")</f>
        <v>ITBISA-DC-TO-DC-STEPUP-XL6009</v>
      </c>
      <c r="B1081" s="165">
        <f>IFERROR(__xludf.DUMMYFUNCTION("""COMPUTED_VALUE"""),46124.0)</f>
        <v>46124</v>
      </c>
      <c r="C1081" s="165" t="str">
        <f>IFERROR(__xludf.DUMMYFUNCTION("""COMPUTED_VALUE"""),"KYAI KONTONG")</f>
        <v>KYAI KONTONG</v>
      </c>
      <c r="D1081" s="94">
        <f>IFERROR(__xludf.DUMMYFUNCTION("""COMPUTED_VALUE"""),1.0)</f>
        <v>1</v>
      </c>
    </row>
    <row r="1082">
      <c r="A1082" s="87" t="str">
        <f>IFERROR(__xludf.DUMMYFUNCTION("""COMPUTED_VALUE"""),"ITBISA-DC-TO-DC-STEPUP-XL6009")</f>
        <v>ITBISA-DC-TO-DC-STEPUP-XL6009</v>
      </c>
      <c r="B1082" s="165">
        <f>IFERROR(__xludf.DUMMYFUNCTION("""COMPUTED_VALUE"""),46124.0)</f>
        <v>46124</v>
      </c>
      <c r="C1082" s="165" t="str">
        <f>IFERROR(__xludf.DUMMYFUNCTION("""COMPUTED_VALUE"""),"KYAI KONTONG")</f>
        <v>KYAI KONTONG</v>
      </c>
      <c r="D1082" s="94">
        <f>IFERROR(__xludf.DUMMYFUNCTION("""COMPUTED_VALUE"""),2.0)</f>
        <v>2</v>
      </c>
    </row>
    <row r="1083">
      <c r="A1083" s="87" t="str">
        <f>IFERROR(__xludf.DUMMYFUNCTION("""COMPUTED_VALUE"""),"ITBISA-DC-TO-DC-STEPUP-XL6009")</f>
        <v>ITBISA-DC-TO-DC-STEPUP-XL6009</v>
      </c>
      <c r="B1083" s="165">
        <f>IFERROR(__xludf.DUMMYFUNCTION("""COMPUTED_VALUE"""),46126.0)</f>
        <v>46126</v>
      </c>
      <c r="C1083" s="165" t="str">
        <f>IFERROR(__xludf.DUMMYFUNCTION("""COMPUTED_VALUE"""),"KYAI KONTONG")</f>
        <v>KYAI KONTONG</v>
      </c>
      <c r="D1083" s="94">
        <f>IFERROR(__xludf.DUMMYFUNCTION("""COMPUTED_VALUE"""),1.0)</f>
        <v>1</v>
      </c>
    </row>
    <row r="1084">
      <c r="A1084" s="87" t="str">
        <f>IFERROR(__xludf.DUMMYFUNCTION("""COMPUTED_VALUE"""),"ITBISA-DC-TO-DC-STEPUP-XL6009")</f>
        <v>ITBISA-DC-TO-DC-STEPUP-XL6009</v>
      </c>
      <c r="B1084" s="165">
        <f>IFERROR(__xludf.DUMMYFUNCTION("""COMPUTED_VALUE"""),46128.0)</f>
        <v>46128</v>
      </c>
      <c r="C1084" s="165" t="str">
        <f>IFERROR(__xludf.DUMMYFUNCTION("""COMPUTED_VALUE"""),"KYAI KONTONG")</f>
        <v>KYAI KONTONG</v>
      </c>
      <c r="D1084" s="94">
        <f>IFERROR(__xludf.DUMMYFUNCTION("""COMPUTED_VALUE"""),1.0)</f>
        <v>1</v>
      </c>
    </row>
    <row r="1085">
      <c r="A1085" s="87" t="str">
        <f>IFERROR(__xludf.DUMMYFUNCTION("""COMPUTED_VALUE"""),"ITBISA-DC-TO-DC-STEPUP-XL6009")</f>
        <v>ITBISA-DC-TO-DC-STEPUP-XL6009</v>
      </c>
      <c r="B1085" s="165">
        <f>IFERROR(__xludf.DUMMYFUNCTION("""COMPUTED_VALUE"""),46130.0)</f>
        <v>46130</v>
      </c>
      <c r="C1085" s="165" t="str">
        <f>IFERROR(__xludf.DUMMYFUNCTION("""COMPUTED_VALUE"""),"KYAI KONTONG")</f>
        <v>KYAI KONTONG</v>
      </c>
      <c r="D1085" s="94">
        <f>IFERROR(__xludf.DUMMYFUNCTION("""COMPUTED_VALUE"""),5.0)</f>
        <v>5</v>
      </c>
    </row>
    <row r="1086">
      <c r="A1086" s="87" t="str">
        <f>IFERROR(__xludf.DUMMYFUNCTION("""COMPUTED_VALUE"""),"ITBISA-DC-TO-DC-STEPUP-XL6009")</f>
        <v>ITBISA-DC-TO-DC-STEPUP-XL6009</v>
      </c>
      <c r="B1086" s="165">
        <f>IFERROR(__xludf.DUMMYFUNCTION("""COMPUTED_VALUE"""),46133.0)</f>
        <v>46133</v>
      </c>
      <c r="C1086" s="165" t="str">
        <f>IFERROR(__xludf.DUMMYFUNCTION("""COMPUTED_VALUE"""),"KYAI KONTONG")</f>
        <v>KYAI KONTONG</v>
      </c>
      <c r="D1086" s="94">
        <f>IFERROR(__xludf.DUMMYFUNCTION("""COMPUTED_VALUE"""),1.0)</f>
        <v>1</v>
      </c>
    </row>
    <row r="1087">
      <c r="A1087" s="87" t="str">
        <f>IFERROR(__xludf.DUMMYFUNCTION("""COMPUTED_VALUE"""),"ITBISA-DC-TO-DC-STEPUP-XL6009")</f>
        <v>ITBISA-DC-TO-DC-STEPUP-XL6009</v>
      </c>
      <c r="B1087" s="165">
        <f>IFERROR(__xludf.DUMMYFUNCTION("""COMPUTED_VALUE"""),46134.0)</f>
        <v>46134</v>
      </c>
      <c r="C1087" s="165" t="str">
        <f>IFERROR(__xludf.DUMMYFUNCTION("""COMPUTED_VALUE"""),"KYAI KONTONG")</f>
        <v>KYAI KONTONG</v>
      </c>
      <c r="D1087" s="94">
        <f>IFERROR(__xludf.DUMMYFUNCTION("""COMPUTED_VALUE"""),1.0)</f>
        <v>1</v>
      </c>
    </row>
    <row r="1088">
      <c r="A1088" s="87" t="str">
        <f>IFERROR(__xludf.DUMMYFUNCTION("""COMPUTED_VALUE"""),"ITBISA-DC-TO-DC-STEPUP-XL6009")</f>
        <v>ITBISA-DC-TO-DC-STEPUP-XL6009</v>
      </c>
      <c r="B1088" s="165">
        <f>IFERROR(__xludf.DUMMYFUNCTION("""COMPUTED_VALUE"""),46134.0)</f>
        <v>46134</v>
      </c>
      <c r="C1088" s="165" t="str">
        <f>IFERROR(__xludf.DUMMYFUNCTION("""COMPUTED_VALUE"""),"KYAI KONTONG")</f>
        <v>KYAI KONTONG</v>
      </c>
      <c r="D1088" s="94">
        <f>IFERROR(__xludf.DUMMYFUNCTION("""COMPUTED_VALUE"""),1.0)</f>
        <v>1</v>
      </c>
    </row>
    <row r="1089">
      <c r="A1089" s="87" t="str">
        <f>IFERROR(__xludf.DUMMYFUNCTION("""COMPUTED_VALUE"""),"ITBISA-DC-TO-DC-STEPUP-XL6009")</f>
        <v>ITBISA-DC-TO-DC-STEPUP-XL6009</v>
      </c>
      <c r="B1089" s="165">
        <f>IFERROR(__xludf.DUMMYFUNCTION("""COMPUTED_VALUE"""),46134.0)</f>
        <v>46134</v>
      </c>
      <c r="C1089" s="165" t="str">
        <f>IFERROR(__xludf.DUMMYFUNCTION("""COMPUTED_VALUE"""),"KYAI KONTONG")</f>
        <v>KYAI KONTONG</v>
      </c>
      <c r="D1089" s="94">
        <f>IFERROR(__xludf.DUMMYFUNCTION("""COMPUTED_VALUE"""),1.0)</f>
        <v>1</v>
      </c>
    </row>
    <row r="1090">
      <c r="A1090" s="87" t="str">
        <f>IFERROR(__xludf.DUMMYFUNCTION("""COMPUTED_VALUE"""),"ITBISA-DC-TO-DC-STEPUP-XL6009")</f>
        <v>ITBISA-DC-TO-DC-STEPUP-XL6009</v>
      </c>
      <c r="B1090" s="165">
        <f>IFERROR(__xludf.DUMMYFUNCTION("""COMPUTED_VALUE"""),46134.0)</f>
        <v>46134</v>
      </c>
      <c r="C1090" s="165" t="str">
        <f>IFERROR(__xludf.DUMMYFUNCTION("""COMPUTED_VALUE"""),"KYAI KONTONG")</f>
        <v>KYAI KONTONG</v>
      </c>
      <c r="D1090" s="94">
        <f>IFERROR(__xludf.DUMMYFUNCTION("""COMPUTED_VALUE"""),1.0)</f>
        <v>1</v>
      </c>
    </row>
    <row r="1091">
      <c r="A1091" s="87" t="str">
        <f>IFERROR(__xludf.DUMMYFUNCTION("""COMPUTED_VALUE"""),"ITBISA-DC-TO-DC-STEPUP-XL6009")</f>
        <v>ITBISA-DC-TO-DC-STEPUP-XL6009</v>
      </c>
      <c r="B1091" s="165">
        <f>IFERROR(__xludf.DUMMYFUNCTION("""COMPUTED_VALUE"""),46134.0)</f>
        <v>46134</v>
      </c>
      <c r="C1091" s="165" t="str">
        <f>IFERROR(__xludf.DUMMYFUNCTION("""COMPUTED_VALUE"""),"KYAI KONTONG")</f>
        <v>KYAI KONTONG</v>
      </c>
      <c r="D1091" s="94">
        <f>IFERROR(__xludf.DUMMYFUNCTION("""COMPUTED_VALUE"""),2.0)</f>
        <v>2</v>
      </c>
    </row>
    <row r="1092">
      <c r="A1092" s="87" t="str">
        <f>IFERROR(__xludf.DUMMYFUNCTION("""COMPUTED_VALUE"""),"ITBISA-DC-TO-DC-STEPUP-XL6009")</f>
        <v>ITBISA-DC-TO-DC-STEPUP-XL6009</v>
      </c>
      <c r="B1092" s="165">
        <f>IFERROR(__xludf.DUMMYFUNCTION("""COMPUTED_VALUE"""),46135.0)</f>
        <v>46135</v>
      </c>
      <c r="C1092" s="165" t="str">
        <f>IFERROR(__xludf.DUMMYFUNCTION("""COMPUTED_VALUE"""),"KYAI KONTONG")</f>
        <v>KYAI KONTONG</v>
      </c>
      <c r="D1092" s="94">
        <f>IFERROR(__xludf.DUMMYFUNCTION("""COMPUTED_VALUE"""),1.0)</f>
        <v>1</v>
      </c>
    </row>
    <row r="1093">
      <c r="A1093" s="87" t="str">
        <f>IFERROR(__xludf.DUMMYFUNCTION("""COMPUTED_VALUE"""),"ITBISA-DC-TO-DC-STEPUP-XL6009")</f>
        <v>ITBISA-DC-TO-DC-STEPUP-XL6009</v>
      </c>
      <c r="B1093" s="165">
        <f>IFERROR(__xludf.DUMMYFUNCTION("""COMPUTED_VALUE"""),46136.0)</f>
        <v>46136</v>
      </c>
      <c r="C1093" s="165" t="str">
        <f>IFERROR(__xludf.DUMMYFUNCTION("""COMPUTED_VALUE"""),"KYAI KONTONG")</f>
        <v>KYAI KONTONG</v>
      </c>
      <c r="D1093" s="94">
        <f>IFERROR(__xludf.DUMMYFUNCTION("""COMPUTED_VALUE"""),1.0)</f>
        <v>1</v>
      </c>
    </row>
    <row r="1094">
      <c r="A1094" s="87" t="str">
        <f>IFERROR(__xludf.DUMMYFUNCTION("""COMPUTED_VALUE"""),"ITBISA-DC-TO-DC-STEPUP-XL6009")</f>
        <v>ITBISA-DC-TO-DC-STEPUP-XL6009</v>
      </c>
      <c r="B1094" s="165">
        <f>IFERROR(__xludf.DUMMYFUNCTION("""COMPUTED_VALUE"""),46137.0)</f>
        <v>46137</v>
      </c>
      <c r="C1094" s="165" t="str">
        <f>IFERROR(__xludf.DUMMYFUNCTION("""COMPUTED_VALUE"""),"KYAI KONTONG")</f>
        <v>KYAI KONTONG</v>
      </c>
      <c r="D1094" s="94">
        <f>IFERROR(__xludf.DUMMYFUNCTION("""COMPUTED_VALUE"""),1.0)</f>
        <v>1</v>
      </c>
    </row>
    <row r="1095">
      <c r="A1095" s="87" t="str">
        <f>IFERROR(__xludf.DUMMYFUNCTION("""COMPUTED_VALUE"""),"ITBISA-DC-TO-DC-STEPUP-XL6009")</f>
        <v>ITBISA-DC-TO-DC-STEPUP-XL6009</v>
      </c>
      <c r="B1095" s="165">
        <f>IFERROR(__xludf.DUMMYFUNCTION("""COMPUTED_VALUE"""),46137.0)</f>
        <v>46137</v>
      </c>
      <c r="C1095" s="165" t="str">
        <f>IFERROR(__xludf.DUMMYFUNCTION("""COMPUTED_VALUE"""),"KYAI KONTONG")</f>
        <v>KYAI KONTONG</v>
      </c>
      <c r="D1095" s="94">
        <f>IFERROR(__xludf.DUMMYFUNCTION("""COMPUTED_VALUE"""),1.0)</f>
        <v>1</v>
      </c>
    </row>
    <row r="1096">
      <c r="A1096" s="87" t="str">
        <f>IFERROR(__xludf.DUMMYFUNCTION("""COMPUTED_VALUE"""),"ITBISA-DC-TO-DC-STEPUP-XL6009")</f>
        <v>ITBISA-DC-TO-DC-STEPUP-XL6009</v>
      </c>
      <c r="B1096" s="165">
        <f>IFERROR(__xludf.DUMMYFUNCTION("""COMPUTED_VALUE"""),46137.0)</f>
        <v>46137</v>
      </c>
      <c r="C1096" s="165" t="str">
        <f>IFERROR(__xludf.DUMMYFUNCTION("""COMPUTED_VALUE"""),"KYAI KONTONG")</f>
        <v>KYAI KONTONG</v>
      </c>
      <c r="D1096" s="94">
        <f>IFERROR(__xludf.DUMMYFUNCTION("""COMPUTED_VALUE"""),1.0)</f>
        <v>1</v>
      </c>
    </row>
    <row r="1097">
      <c r="A1097" s="87" t="str">
        <f>IFERROR(__xludf.DUMMYFUNCTION("""COMPUTED_VALUE"""),"ITBISA-DC-TO-DC-STEPUP-XL6009")</f>
        <v>ITBISA-DC-TO-DC-STEPUP-XL6009</v>
      </c>
      <c r="B1097" s="165">
        <f>IFERROR(__xludf.DUMMYFUNCTION("""COMPUTED_VALUE"""),46137.0)</f>
        <v>46137</v>
      </c>
      <c r="C1097" s="165" t="str">
        <f>IFERROR(__xludf.DUMMYFUNCTION("""COMPUTED_VALUE"""),"KYAI KONTONG")</f>
        <v>KYAI KONTONG</v>
      </c>
      <c r="D1097" s="94">
        <f>IFERROR(__xludf.DUMMYFUNCTION("""COMPUTED_VALUE"""),2.0)</f>
        <v>2</v>
      </c>
    </row>
    <row r="1098">
      <c r="A1098" s="87" t="str">
        <f>IFERROR(__xludf.DUMMYFUNCTION("""COMPUTED_VALUE"""),"ITBISA-DC-TO-DC-STEPUP-XL6009")</f>
        <v>ITBISA-DC-TO-DC-STEPUP-XL6009</v>
      </c>
      <c r="B1098" s="165">
        <f>IFERROR(__xludf.DUMMYFUNCTION("""COMPUTED_VALUE"""),46137.0)</f>
        <v>46137</v>
      </c>
      <c r="C1098" s="165" t="str">
        <f>IFERROR(__xludf.DUMMYFUNCTION("""COMPUTED_VALUE"""),"KYAI KONTONG")</f>
        <v>KYAI KONTONG</v>
      </c>
      <c r="D1098" s="94">
        <f>IFERROR(__xludf.DUMMYFUNCTION("""COMPUTED_VALUE"""),2.0)</f>
        <v>2</v>
      </c>
    </row>
    <row r="1099">
      <c r="A1099" s="87" t="str">
        <f>IFERROR(__xludf.DUMMYFUNCTION("""COMPUTED_VALUE"""),"ITBISA-DC-TO-DC-STEPUP-XL6009")</f>
        <v>ITBISA-DC-TO-DC-STEPUP-XL6009</v>
      </c>
      <c r="B1099" s="165">
        <f>IFERROR(__xludf.DUMMYFUNCTION("""COMPUTED_VALUE"""),46138.0)</f>
        <v>46138</v>
      </c>
      <c r="C1099" s="165" t="str">
        <f>IFERROR(__xludf.DUMMYFUNCTION("""COMPUTED_VALUE"""),"KYAI KONTONG")</f>
        <v>KYAI KONTONG</v>
      </c>
      <c r="D1099" s="94">
        <f>IFERROR(__xludf.DUMMYFUNCTION("""COMPUTED_VALUE"""),1.0)</f>
        <v>1</v>
      </c>
    </row>
    <row r="1100">
      <c r="A1100" s="87" t="str">
        <f>IFERROR(__xludf.DUMMYFUNCTION("""COMPUTED_VALUE"""),"ITBISA-DC-TO-DC-STEPUP-XL6009")</f>
        <v>ITBISA-DC-TO-DC-STEPUP-XL6009</v>
      </c>
      <c r="B1100" s="165">
        <f>IFERROR(__xludf.DUMMYFUNCTION("""COMPUTED_VALUE"""),46138.0)</f>
        <v>46138</v>
      </c>
      <c r="C1100" s="165" t="str">
        <f>IFERROR(__xludf.DUMMYFUNCTION("""COMPUTED_VALUE"""),"KYAI KONTONG")</f>
        <v>KYAI KONTONG</v>
      </c>
      <c r="D1100" s="94">
        <f>IFERROR(__xludf.DUMMYFUNCTION("""COMPUTED_VALUE"""),1.0)</f>
        <v>1</v>
      </c>
    </row>
    <row r="1101">
      <c r="A1101" s="87" t="str">
        <f>IFERROR(__xludf.DUMMYFUNCTION("""COMPUTED_VALUE"""),"ITBISA-DC-TO-DC-STEPUP-XL6009")</f>
        <v>ITBISA-DC-TO-DC-STEPUP-XL6009</v>
      </c>
      <c r="B1101" s="165">
        <f>IFERROR(__xludf.DUMMYFUNCTION("""COMPUTED_VALUE"""),46138.0)</f>
        <v>46138</v>
      </c>
      <c r="C1101" s="165" t="str">
        <f>IFERROR(__xludf.DUMMYFUNCTION("""COMPUTED_VALUE"""),"KYAI KONTONG")</f>
        <v>KYAI KONTONG</v>
      </c>
      <c r="D1101" s="94">
        <f>IFERROR(__xludf.DUMMYFUNCTION("""COMPUTED_VALUE"""),1.0)</f>
        <v>1</v>
      </c>
    </row>
    <row r="1102">
      <c r="A1102" s="87" t="str">
        <f>IFERROR(__xludf.DUMMYFUNCTION("""COMPUTED_VALUE"""),"ITBISA-DC-TO-DC-STEPUP-XL6009")</f>
        <v>ITBISA-DC-TO-DC-STEPUP-XL6009</v>
      </c>
      <c r="B1102" s="165">
        <f>IFERROR(__xludf.DUMMYFUNCTION("""COMPUTED_VALUE"""),46138.0)</f>
        <v>46138</v>
      </c>
      <c r="C1102" s="165" t="str">
        <f>IFERROR(__xludf.DUMMYFUNCTION("""COMPUTED_VALUE"""),"KYAI KONTONG")</f>
        <v>KYAI KONTONG</v>
      </c>
      <c r="D1102" s="94">
        <f>IFERROR(__xludf.DUMMYFUNCTION("""COMPUTED_VALUE"""),1.0)</f>
        <v>1</v>
      </c>
    </row>
    <row r="1103">
      <c r="A1103" s="87" t="str">
        <f>IFERROR(__xludf.DUMMYFUNCTION("""COMPUTED_VALUE"""),"ITBISA-DC-TO-DC-STEPUP-XL6009")</f>
        <v>ITBISA-DC-TO-DC-STEPUP-XL6009</v>
      </c>
      <c r="B1103" s="165">
        <f>IFERROR(__xludf.DUMMYFUNCTION("""COMPUTED_VALUE"""),46139.0)</f>
        <v>46139</v>
      </c>
      <c r="C1103" s="165" t="str">
        <f>IFERROR(__xludf.DUMMYFUNCTION("""COMPUTED_VALUE"""),"KYAI KONTONG")</f>
        <v>KYAI KONTONG</v>
      </c>
      <c r="D1103" s="94">
        <f>IFERROR(__xludf.DUMMYFUNCTION("""COMPUTED_VALUE"""),1.0)</f>
        <v>1</v>
      </c>
    </row>
    <row r="1104">
      <c r="A1104" s="87" t="str">
        <f>IFERROR(__xludf.DUMMYFUNCTION("""COMPUTED_VALUE"""),"ITBISA-DC-TO-DC-STEPUP-XL6009")</f>
        <v>ITBISA-DC-TO-DC-STEPUP-XL6009</v>
      </c>
      <c r="B1104" s="165">
        <f>IFERROR(__xludf.DUMMYFUNCTION("""COMPUTED_VALUE"""),46139.0)</f>
        <v>46139</v>
      </c>
      <c r="C1104" s="165" t="str">
        <f>IFERROR(__xludf.DUMMYFUNCTION("""COMPUTED_VALUE"""),"KYAI KONTONG")</f>
        <v>KYAI KONTONG</v>
      </c>
      <c r="D1104" s="94">
        <f>IFERROR(__xludf.DUMMYFUNCTION("""COMPUTED_VALUE"""),2.0)</f>
        <v>2</v>
      </c>
    </row>
    <row r="1105">
      <c r="A1105" s="87" t="str">
        <f>IFERROR(__xludf.DUMMYFUNCTION("""COMPUTED_VALUE"""),"ITBISA-DC-TO-DC-STEPUP-XL6009")</f>
        <v>ITBISA-DC-TO-DC-STEPUP-XL6009</v>
      </c>
      <c r="B1105" s="165">
        <f>IFERROR(__xludf.DUMMYFUNCTION("""COMPUTED_VALUE"""),46139.0)</f>
        <v>46139</v>
      </c>
      <c r="C1105" s="165" t="str">
        <f>IFERROR(__xludf.DUMMYFUNCTION("""COMPUTED_VALUE"""),"KYAI KONTONG")</f>
        <v>KYAI KONTONG</v>
      </c>
      <c r="D1105" s="94">
        <f>IFERROR(__xludf.DUMMYFUNCTION("""COMPUTED_VALUE"""),2.0)</f>
        <v>2</v>
      </c>
    </row>
    <row r="1106">
      <c r="A1106" s="87" t="str">
        <f>IFERROR(__xludf.DUMMYFUNCTION("""COMPUTED_VALUE"""),"ITBISA-DC-TO-DC-STEPUP-XL6009")</f>
        <v>ITBISA-DC-TO-DC-STEPUP-XL6009</v>
      </c>
      <c r="B1106" s="165">
        <f>IFERROR(__xludf.DUMMYFUNCTION("""COMPUTED_VALUE"""),46139.0)</f>
        <v>46139</v>
      </c>
      <c r="C1106" s="165" t="str">
        <f>IFERROR(__xludf.DUMMYFUNCTION("""COMPUTED_VALUE"""),"KYAI KONTONG")</f>
        <v>KYAI KONTONG</v>
      </c>
      <c r="D1106" s="94">
        <f>IFERROR(__xludf.DUMMYFUNCTION("""COMPUTED_VALUE"""),3.0)</f>
        <v>3</v>
      </c>
    </row>
    <row r="1107">
      <c r="A1107" s="87" t="str">
        <f>IFERROR(__xludf.DUMMYFUNCTION("""COMPUTED_VALUE"""),"ITBISA-DC-TO-DC-STEPUP-XL6009")</f>
        <v>ITBISA-DC-TO-DC-STEPUP-XL6009</v>
      </c>
      <c r="B1107" s="165">
        <f>IFERROR(__xludf.DUMMYFUNCTION("""COMPUTED_VALUE"""),46140.0)</f>
        <v>46140</v>
      </c>
      <c r="C1107" s="165" t="str">
        <f>IFERROR(__xludf.DUMMYFUNCTION("""COMPUTED_VALUE"""),"KYAI KONTONG")</f>
        <v>KYAI KONTONG</v>
      </c>
      <c r="D1107" s="94">
        <f>IFERROR(__xludf.DUMMYFUNCTION("""COMPUTED_VALUE"""),1.0)</f>
        <v>1</v>
      </c>
    </row>
    <row r="1108">
      <c r="A1108" s="87" t="str">
        <f>IFERROR(__xludf.DUMMYFUNCTION("""COMPUTED_VALUE"""),"ITBISA-DC-TO-DC-STEPUP-XL6009")</f>
        <v>ITBISA-DC-TO-DC-STEPUP-XL6009</v>
      </c>
      <c r="B1108" s="165">
        <f>IFERROR(__xludf.DUMMYFUNCTION("""COMPUTED_VALUE"""),46140.0)</f>
        <v>46140</v>
      </c>
      <c r="C1108" s="165" t="str">
        <f>IFERROR(__xludf.DUMMYFUNCTION("""COMPUTED_VALUE"""),"KYAI KONTONG")</f>
        <v>KYAI KONTONG</v>
      </c>
      <c r="D1108" s="94">
        <f>IFERROR(__xludf.DUMMYFUNCTION("""COMPUTED_VALUE"""),1.0)</f>
        <v>1</v>
      </c>
    </row>
    <row r="1109">
      <c r="A1109" s="87" t="str">
        <f>IFERROR(__xludf.DUMMYFUNCTION("""COMPUTED_VALUE"""),"ITBISA-DC-TO-DC-STEPUP-XL6009")</f>
        <v>ITBISA-DC-TO-DC-STEPUP-XL6009</v>
      </c>
      <c r="B1109" s="165">
        <f>IFERROR(__xludf.DUMMYFUNCTION("""COMPUTED_VALUE"""),46141.0)</f>
        <v>46141</v>
      </c>
      <c r="C1109" s="165" t="str">
        <f>IFERROR(__xludf.DUMMYFUNCTION("""COMPUTED_VALUE"""),"KYAI KONTONG")</f>
        <v>KYAI KONTONG</v>
      </c>
      <c r="D1109" s="94">
        <f>IFERROR(__xludf.DUMMYFUNCTION("""COMPUTED_VALUE"""),1.0)</f>
        <v>1</v>
      </c>
    </row>
    <row r="1110">
      <c r="A1110" s="87" t="str">
        <f>IFERROR(__xludf.DUMMYFUNCTION("""COMPUTED_VALUE"""),"ITBISA-DC-TO-DC-STEPUP-XL6009")</f>
        <v>ITBISA-DC-TO-DC-STEPUP-XL6009</v>
      </c>
      <c r="B1110" s="165">
        <f>IFERROR(__xludf.DUMMYFUNCTION("""COMPUTED_VALUE"""),46141.0)</f>
        <v>46141</v>
      </c>
      <c r="C1110" s="165" t="str">
        <f>IFERROR(__xludf.DUMMYFUNCTION("""COMPUTED_VALUE"""),"KYAI KONTONG")</f>
        <v>KYAI KONTONG</v>
      </c>
      <c r="D1110" s="94">
        <f>IFERROR(__xludf.DUMMYFUNCTION("""COMPUTED_VALUE"""),1.0)</f>
        <v>1</v>
      </c>
    </row>
    <row r="1111">
      <c r="A1111" s="87" t="str">
        <f>IFERROR(__xludf.DUMMYFUNCTION("""COMPUTED_VALUE"""),"ITBISA-DC-TO-DC-STEPUP-XL6009")</f>
        <v>ITBISA-DC-TO-DC-STEPUP-XL6009</v>
      </c>
      <c r="B1111" s="165">
        <f>IFERROR(__xludf.DUMMYFUNCTION("""COMPUTED_VALUE"""),46141.0)</f>
        <v>46141</v>
      </c>
      <c r="C1111" s="165" t="str">
        <f>IFERROR(__xludf.DUMMYFUNCTION("""COMPUTED_VALUE"""),"KYAI KONTONG")</f>
        <v>KYAI KONTONG</v>
      </c>
      <c r="D1111" s="94">
        <f>IFERROR(__xludf.DUMMYFUNCTION("""COMPUTED_VALUE"""),1.0)</f>
        <v>1</v>
      </c>
    </row>
    <row r="1112">
      <c r="A1112" s="87" t="str">
        <f>IFERROR(__xludf.DUMMYFUNCTION("""COMPUTED_VALUE"""),"ITBISA-DC-TO-DC-STEPUP-XL6009")</f>
        <v>ITBISA-DC-TO-DC-STEPUP-XL6009</v>
      </c>
      <c r="B1112" s="165">
        <f>IFERROR(__xludf.DUMMYFUNCTION("""COMPUTED_VALUE"""),46141.0)</f>
        <v>46141</v>
      </c>
      <c r="C1112" s="165" t="str">
        <f>IFERROR(__xludf.DUMMYFUNCTION("""COMPUTED_VALUE"""),"KYAI KONTONG")</f>
        <v>KYAI KONTONG</v>
      </c>
      <c r="D1112" s="94">
        <f>IFERROR(__xludf.DUMMYFUNCTION("""COMPUTED_VALUE"""),1.0)</f>
        <v>1</v>
      </c>
    </row>
    <row r="1113">
      <c r="A1113" s="87" t="str">
        <f>IFERROR(__xludf.DUMMYFUNCTION("""COMPUTED_VALUE"""),"ITBISA-DC-TO-DC-STEPUP-XL6009")</f>
        <v>ITBISA-DC-TO-DC-STEPUP-XL6009</v>
      </c>
      <c r="B1113" s="165">
        <f>IFERROR(__xludf.DUMMYFUNCTION("""COMPUTED_VALUE"""),46141.0)</f>
        <v>46141</v>
      </c>
      <c r="C1113" s="165" t="str">
        <f>IFERROR(__xludf.DUMMYFUNCTION("""COMPUTED_VALUE"""),"KYAI KONTONG")</f>
        <v>KYAI KONTONG</v>
      </c>
      <c r="D1113" s="94">
        <f>IFERROR(__xludf.DUMMYFUNCTION("""COMPUTED_VALUE"""),1.0)</f>
        <v>1</v>
      </c>
    </row>
    <row r="1114">
      <c r="A1114" s="87" t="str">
        <f>IFERROR(__xludf.DUMMYFUNCTION("""COMPUTED_VALUE"""),"ITBISA-DC-TO-DC-STEPUP-XL6009")</f>
        <v>ITBISA-DC-TO-DC-STEPUP-XL6009</v>
      </c>
      <c r="B1114" s="165">
        <f>IFERROR(__xludf.DUMMYFUNCTION("""COMPUTED_VALUE"""),46142.0)</f>
        <v>46142</v>
      </c>
      <c r="C1114" s="165" t="str">
        <f>IFERROR(__xludf.DUMMYFUNCTION("""COMPUTED_VALUE"""),"KYAI KONTONG")</f>
        <v>KYAI KONTONG</v>
      </c>
      <c r="D1114" s="94">
        <f>IFERROR(__xludf.DUMMYFUNCTION("""COMPUTED_VALUE"""),2.0)</f>
        <v>2</v>
      </c>
    </row>
    <row r="1115">
      <c r="A1115" s="87" t="str">
        <f>IFERROR(__xludf.DUMMYFUNCTION("""COMPUTED_VALUE"""),"ITBISA-DC-TO-DC-STEPUP-XL6009")</f>
        <v>ITBISA-DC-TO-DC-STEPUP-XL6009</v>
      </c>
      <c r="B1115" s="165">
        <f>IFERROR(__xludf.DUMMYFUNCTION("""COMPUTED_VALUE"""),46143.0)</f>
        <v>46143</v>
      </c>
      <c r="C1115" s="165" t="str">
        <f>IFERROR(__xludf.DUMMYFUNCTION("""COMPUTED_VALUE"""),"KYAI KONTONG")</f>
        <v>KYAI KONTONG</v>
      </c>
      <c r="D1115" s="94">
        <f>IFERROR(__xludf.DUMMYFUNCTION("""COMPUTED_VALUE"""),1.0)</f>
        <v>1</v>
      </c>
    </row>
    <row r="1116">
      <c r="A1116" s="87" t="str">
        <f>IFERROR(__xludf.DUMMYFUNCTION("""COMPUTED_VALUE"""),"ITBISA-DC-TO-DC-STEPUP-XL6009")</f>
        <v>ITBISA-DC-TO-DC-STEPUP-XL6009</v>
      </c>
      <c r="B1116" s="165">
        <f>IFERROR(__xludf.DUMMYFUNCTION("""COMPUTED_VALUE"""),46143.0)</f>
        <v>46143</v>
      </c>
      <c r="C1116" s="165" t="str">
        <f>IFERROR(__xludf.DUMMYFUNCTION("""COMPUTED_VALUE"""),"KYAI KONTONG")</f>
        <v>KYAI KONTONG</v>
      </c>
      <c r="D1116" s="94">
        <f>IFERROR(__xludf.DUMMYFUNCTION("""COMPUTED_VALUE"""),1.0)</f>
        <v>1</v>
      </c>
    </row>
    <row r="1117">
      <c r="A1117" s="87" t="str">
        <f>IFERROR(__xludf.DUMMYFUNCTION("""COMPUTED_VALUE"""),"ITBISA-DC-TO-DC-STEPUP-XL6009")</f>
        <v>ITBISA-DC-TO-DC-STEPUP-XL6009</v>
      </c>
      <c r="B1117" s="165">
        <f>IFERROR(__xludf.DUMMYFUNCTION("""COMPUTED_VALUE"""),46143.0)</f>
        <v>46143</v>
      </c>
      <c r="C1117" s="165" t="str">
        <f>IFERROR(__xludf.DUMMYFUNCTION("""COMPUTED_VALUE"""),"KYAI KONTONG")</f>
        <v>KYAI KONTONG</v>
      </c>
      <c r="D1117" s="94">
        <f>IFERROR(__xludf.DUMMYFUNCTION("""COMPUTED_VALUE"""),2.0)</f>
        <v>2</v>
      </c>
    </row>
    <row r="1118">
      <c r="A1118" s="87" t="str">
        <f>IFERROR(__xludf.DUMMYFUNCTION("""COMPUTED_VALUE"""),"ITBISA-DC-TO-DC-STEPUP-XL6009")</f>
        <v>ITBISA-DC-TO-DC-STEPUP-XL6009</v>
      </c>
      <c r="B1118" s="165">
        <f>IFERROR(__xludf.DUMMYFUNCTION("""COMPUTED_VALUE"""),46143.0)</f>
        <v>46143</v>
      </c>
      <c r="C1118" s="165" t="str">
        <f>IFERROR(__xludf.DUMMYFUNCTION("""COMPUTED_VALUE"""),"KYAI KONTONG")</f>
        <v>KYAI KONTONG</v>
      </c>
      <c r="D1118" s="94">
        <f>IFERROR(__xludf.DUMMYFUNCTION("""COMPUTED_VALUE"""),3.0)</f>
        <v>3</v>
      </c>
    </row>
    <row r="1119">
      <c r="A1119" s="87" t="str">
        <f>IFERROR(__xludf.DUMMYFUNCTION("""COMPUTED_VALUE"""),"ITBISA-DC-TO-DC-STEPUP-XL6009")</f>
        <v>ITBISA-DC-TO-DC-STEPUP-XL6009</v>
      </c>
      <c r="B1119" s="165">
        <f>IFERROR(__xludf.DUMMYFUNCTION("""COMPUTED_VALUE"""),46144.0)</f>
        <v>46144</v>
      </c>
      <c r="C1119" s="165" t="str">
        <f>IFERROR(__xludf.DUMMYFUNCTION("""COMPUTED_VALUE"""),"KYAI KONTONG")</f>
        <v>KYAI KONTONG</v>
      </c>
      <c r="D1119" s="94">
        <f>IFERROR(__xludf.DUMMYFUNCTION("""COMPUTED_VALUE"""),1.0)</f>
        <v>1</v>
      </c>
    </row>
    <row r="1120">
      <c r="A1120" s="87" t="str">
        <f>IFERROR(__xludf.DUMMYFUNCTION("""COMPUTED_VALUE"""),"ITBISA-DC-TO-DC-STEPUP-XL6009")</f>
        <v>ITBISA-DC-TO-DC-STEPUP-XL6009</v>
      </c>
      <c r="B1120" s="165">
        <f>IFERROR(__xludf.DUMMYFUNCTION("""COMPUTED_VALUE"""),46144.0)</f>
        <v>46144</v>
      </c>
      <c r="C1120" s="165" t="str">
        <f>IFERROR(__xludf.DUMMYFUNCTION("""COMPUTED_VALUE"""),"KYAI KONTONG")</f>
        <v>KYAI KONTONG</v>
      </c>
      <c r="D1120" s="94">
        <f>IFERROR(__xludf.DUMMYFUNCTION("""COMPUTED_VALUE"""),1.0)</f>
        <v>1</v>
      </c>
    </row>
    <row r="1121">
      <c r="A1121" s="87" t="str">
        <f>IFERROR(__xludf.DUMMYFUNCTION("""COMPUTED_VALUE"""),"ITBISA-DC-TO-DC-STEPUP-XL6009")</f>
        <v>ITBISA-DC-TO-DC-STEPUP-XL6009</v>
      </c>
      <c r="B1121" s="165">
        <f>IFERROR(__xludf.DUMMYFUNCTION("""COMPUTED_VALUE"""),46144.0)</f>
        <v>46144</v>
      </c>
      <c r="C1121" s="165" t="str">
        <f>IFERROR(__xludf.DUMMYFUNCTION("""COMPUTED_VALUE"""),"KYAI KONTONG")</f>
        <v>KYAI KONTONG</v>
      </c>
      <c r="D1121" s="94">
        <f>IFERROR(__xludf.DUMMYFUNCTION("""COMPUTED_VALUE"""),1.0)</f>
        <v>1</v>
      </c>
    </row>
    <row r="1122">
      <c r="A1122" s="87" t="str">
        <f>IFERROR(__xludf.DUMMYFUNCTION("""COMPUTED_VALUE"""),"ITBISA-DC-TO-DC-STEPUP-XL6009")</f>
        <v>ITBISA-DC-TO-DC-STEPUP-XL6009</v>
      </c>
      <c r="B1122" s="165">
        <f>IFERROR(__xludf.DUMMYFUNCTION("""COMPUTED_VALUE"""),46144.0)</f>
        <v>46144</v>
      </c>
      <c r="C1122" s="165" t="str">
        <f>IFERROR(__xludf.DUMMYFUNCTION("""COMPUTED_VALUE"""),"KYAI KONTONG")</f>
        <v>KYAI KONTONG</v>
      </c>
      <c r="D1122" s="94">
        <f>IFERROR(__xludf.DUMMYFUNCTION("""COMPUTED_VALUE"""),2.0)</f>
        <v>2</v>
      </c>
    </row>
    <row r="1123">
      <c r="A1123" s="87" t="str">
        <f>IFERROR(__xludf.DUMMYFUNCTION("""COMPUTED_VALUE"""),"ITBISA-DC-TO-DC-STEPUP-XL6009")</f>
        <v>ITBISA-DC-TO-DC-STEPUP-XL6009</v>
      </c>
      <c r="B1123" s="165">
        <f>IFERROR(__xludf.DUMMYFUNCTION("""COMPUTED_VALUE"""),46144.0)</f>
        <v>46144</v>
      </c>
      <c r="C1123" s="165" t="str">
        <f>IFERROR(__xludf.DUMMYFUNCTION("""COMPUTED_VALUE"""),"KYAI KONTONG")</f>
        <v>KYAI KONTONG</v>
      </c>
      <c r="D1123" s="94">
        <f>IFERROR(__xludf.DUMMYFUNCTION("""COMPUTED_VALUE"""),2.0)</f>
        <v>2</v>
      </c>
    </row>
    <row r="1124">
      <c r="A1124" s="87" t="str">
        <f>IFERROR(__xludf.DUMMYFUNCTION("""COMPUTED_VALUE"""),"ITBISA-DC-TO-DC-STEPUP-XL6009")</f>
        <v>ITBISA-DC-TO-DC-STEPUP-XL6009</v>
      </c>
      <c r="B1124" s="165">
        <f>IFERROR(__xludf.DUMMYFUNCTION("""COMPUTED_VALUE"""),46144.0)</f>
        <v>46144</v>
      </c>
      <c r="C1124" s="165" t="str">
        <f>IFERROR(__xludf.DUMMYFUNCTION("""COMPUTED_VALUE"""),"KYAI KONTONG")</f>
        <v>KYAI KONTONG</v>
      </c>
      <c r="D1124" s="94">
        <f>IFERROR(__xludf.DUMMYFUNCTION("""COMPUTED_VALUE"""),2.0)</f>
        <v>2</v>
      </c>
    </row>
    <row r="1125">
      <c r="A1125" s="87" t="str">
        <f>IFERROR(__xludf.DUMMYFUNCTION("""COMPUTED_VALUE"""),"ITBISA-DC-TO-DC-STEPUP-XL6009")</f>
        <v>ITBISA-DC-TO-DC-STEPUP-XL6009</v>
      </c>
      <c r="B1125" s="165">
        <f>IFERROR(__xludf.DUMMYFUNCTION("""COMPUTED_VALUE"""),46144.0)</f>
        <v>46144</v>
      </c>
      <c r="C1125" s="165" t="str">
        <f>IFERROR(__xludf.DUMMYFUNCTION("""COMPUTED_VALUE"""),"KYAI KONTONG")</f>
        <v>KYAI KONTONG</v>
      </c>
      <c r="D1125" s="94">
        <f>IFERROR(__xludf.DUMMYFUNCTION("""COMPUTED_VALUE"""),5.0)</f>
        <v>5</v>
      </c>
    </row>
    <row r="1126">
      <c r="A1126" s="87" t="str">
        <f>IFERROR(__xludf.DUMMYFUNCTION("""COMPUTED_VALUE"""),"ITBISA-DC-TO-DC-STEPUP-XL6009")</f>
        <v>ITBISA-DC-TO-DC-STEPUP-XL6009</v>
      </c>
      <c r="B1126" s="165">
        <f>IFERROR(__xludf.DUMMYFUNCTION("""COMPUTED_VALUE"""),46145.0)</f>
        <v>46145</v>
      </c>
      <c r="C1126" s="165" t="str">
        <f>IFERROR(__xludf.DUMMYFUNCTION("""COMPUTED_VALUE"""),"KYAI KONTONG")</f>
        <v>KYAI KONTONG</v>
      </c>
      <c r="D1126" s="94">
        <f>IFERROR(__xludf.DUMMYFUNCTION("""COMPUTED_VALUE"""),1.0)</f>
        <v>1</v>
      </c>
    </row>
    <row r="1127">
      <c r="A1127" s="87" t="str">
        <f>IFERROR(__xludf.DUMMYFUNCTION("""COMPUTED_VALUE"""),"ITBISA-DC-TO-DC-STEPUP-XL6009")</f>
        <v>ITBISA-DC-TO-DC-STEPUP-XL6009</v>
      </c>
      <c r="B1127" s="165">
        <f>IFERROR(__xludf.DUMMYFUNCTION("""COMPUTED_VALUE"""),46145.0)</f>
        <v>46145</v>
      </c>
      <c r="C1127" s="165" t="str">
        <f>IFERROR(__xludf.DUMMYFUNCTION("""COMPUTED_VALUE"""),"KYAI KONTONG")</f>
        <v>KYAI KONTONG</v>
      </c>
      <c r="D1127" s="94">
        <f>IFERROR(__xludf.DUMMYFUNCTION("""COMPUTED_VALUE"""),2.0)</f>
        <v>2</v>
      </c>
    </row>
    <row r="1128">
      <c r="A1128" s="87" t="str">
        <f>IFERROR(__xludf.DUMMYFUNCTION("""COMPUTED_VALUE"""),"ITBISA-DC-TO-DC-STEPUP-XL6009")</f>
        <v>ITBISA-DC-TO-DC-STEPUP-XL6009</v>
      </c>
      <c r="B1128" s="165">
        <f>IFERROR(__xludf.DUMMYFUNCTION("""COMPUTED_VALUE"""),46146.0)</f>
        <v>46146</v>
      </c>
      <c r="C1128" s="165" t="str">
        <f>IFERROR(__xludf.DUMMYFUNCTION("""COMPUTED_VALUE"""),"KYAI KONTONG")</f>
        <v>KYAI KONTONG</v>
      </c>
      <c r="D1128" s="94">
        <f>IFERROR(__xludf.DUMMYFUNCTION("""COMPUTED_VALUE"""),1.0)</f>
        <v>1</v>
      </c>
    </row>
    <row r="1129">
      <c r="A1129" s="87" t="str">
        <f>IFERROR(__xludf.DUMMYFUNCTION("""COMPUTED_VALUE"""),"ITBISA-DC-TO-DC-STEPUP-XL6009")</f>
        <v>ITBISA-DC-TO-DC-STEPUP-XL6009</v>
      </c>
      <c r="B1129" s="165">
        <f>IFERROR(__xludf.DUMMYFUNCTION("""COMPUTED_VALUE"""),46146.0)</f>
        <v>46146</v>
      </c>
      <c r="C1129" s="165" t="str">
        <f>IFERROR(__xludf.DUMMYFUNCTION("""COMPUTED_VALUE"""),"KYAI KONTONG")</f>
        <v>KYAI KONTONG</v>
      </c>
      <c r="D1129" s="94">
        <f>IFERROR(__xludf.DUMMYFUNCTION("""COMPUTED_VALUE"""),1.0)</f>
        <v>1</v>
      </c>
    </row>
    <row r="1130">
      <c r="A1130" s="87" t="str">
        <f>IFERROR(__xludf.DUMMYFUNCTION("""COMPUTED_VALUE"""),"ITBISA-DC-TO-DC-STEPUP-XL6009")</f>
        <v>ITBISA-DC-TO-DC-STEPUP-XL6009</v>
      </c>
      <c r="B1130" s="165">
        <f>IFERROR(__xludf.DUMMYFUNCTION("""COMPUTED_VALUE"""),46146.0)</f>
        <v>46146</v>
      </c>
      <c r="C1130" s="165" t="str">
        <f>IFERROR(__xludf.DUMMYFUNCTION("""COMPUTED_VALUE"""),"KYAI KONTONG")</f>
        <v>KYAI KONTONG</v>
      </c>
      <c r="D1130" s="94">
        <f>IFERROR(__xludf.DUMMYFUNCTION("""COMPUTED_VALUE"""),1.0)</f>
        <v>1</v>
      </c>
    </row>
    <row r="1131">
      <c r="A1131" s="87" t="str">
        <f>IFERROR(__xludf.DUMMYFUNCTION("""COMPUTED_VALUE"""),"ITBISA-DC-TO-DC-STEPUP-XL6009")</f>
        <v>ITBISA-DC-TO-DC-STEPUP-XL6009</v>
      </c>
      <c r="B1131" s="165">
        <f>IFERROR(__xludf.DUMMYFUNCTION("""COMPUTED_VALUE"""),46146.0)</f>
        <v>46146</v>
      </c>
      <c r="C1131" s="165" t="str">
        <f>IFERROR(__xludf.DUMMYFUNCTION("""COMPUTED_VALUE"""),"KYAI KONTONG")</f>
        <v>KYAI KONTONG</v>
      </c>
      <c r="D1131" s="94">
        <f>IFERROR(__xludf.DUMMYFUNCTION("""COMPUTED_VALUE"""),1.0)</f>
        <v>1</v>
      </c>
    </row>
    <row r="1132">
      <c r="A1132" s="87" t="str">
        <f>IFERROR(__xludf.DUMMYFUNCTION("""COMPUTED_VALUE"""),"ITBISA-DC-TO-DC-STEPUP-XL6009")</f>
        <v>ITBISA-DC-TO-DC-STEPUP-XL6009</v>
      </c>
      <c r="B1132" s="165">
        <f>IFERROR(__xludf.DUMMYFUNCTION("""COMPUTED_VALUE"""),46147.0)</f>
        <v>46147</v>
      </c>
      <c r="C1132" s="165" t="str">
        <f>IFERROR(__xludf.DUMMYFUNCTION("""COMPUTED_VALUE"""),"KYAI KONTONG")</f>
        <v>KYAI KONTONG</v>
      </c>
      <c r="D1132" s="94">
        <f>IFERROR(__xludf.DUMMYFUNCTION("""COMPUTED_VALUE"""),1.0)</f>
        <v>1</v>
      </c>
    </row>
    <row r="1133">
      <c r="A1133" s="87" t="str">
        <f>IFERROR(__xludf.DUMMYFUNCTION("""COMPUTED_VALUE"""),"ITBISA-DC-TO-DC-STEPUP-XL6009")</f>
        <v>ITBISA-DC-TO-DC-STEPUP-XL6009</v>
      </c>
      <c r="B1133" s="165">
        <f>IFERROR(__xludf.DUMMYFUNCTION("""COMPUTED_VALUE"""),46147.0)</f>
        <v>46147</v>
      </c>
      <c r="C1133" s="165" t="str">
        <f>IFERROR(__xludf.DUMMYFUNCTION("""COMPUTED_VALUE"""),"KYAI KONTONG")</f>
        <v>KYAI KONTONG</v>
      </c>
      <c r="D1133" s="94">
        <f>IFERROR(__xludf.DUMMYFUNCTION("""COMPUTED_VALUE"""),1.0)</f>
        <v>1</v>
      </c>
    </row>
    <row r="1134">
      <c r="A1134" s="87" t="str">
        <f>IFERROR(__xludf.DUMMYFUNCTION("""COMPUTED_VALUE"""),"ITBISA-DC-TO-DC-STEPUP-XL6009")</f>
        <v>ITBISA-DC-TO-DC-STEPUP-XL6009</v>
      </c>
      <c r="B1134" s="165">
        <f>IFERROR(__xludf.DUMMYFUNCTION("""COMPUTED_VALUE"""),46147.0)</f>
        <v>46147</v>
      </c>
      <c r="C1134" s="165" t="str">
        <f>IFERROR(__xludf.DUMMYFUNCTION("""COMPUTED_VALUE"""),"KYAI KONTONG")</f>
        <v>KYAI KONTONG</v>
      </c>
      <c r="D1134" s="94">
        <f>IFERROR(__xludf.DUMMYFUNCTION("""COMPUTED_VALUE"""),2.0)</f>
        <v>2</v>
      </c>
    </row>
    <row r="1135">
      <c r="A1135" s="87" t="str">
        <f>IFERROR(__xludf.DUMMYFUNCTION("""COMPUTED_VALUE"""),"ITBISA-DC-TO-DC-STEPUP-XL6009")</f>
        <v>ITBISA-DC-TO-DC-STEPUP-XL6009</v>
      </c>
      <c r="B1135" s="165">
        <f>IFERROR(__xludf.DUMMYFUNCTION("""COMPUTED_VALUE"""),46147.0)</f>
        <v>46147</v>
      </c>
      <c r="C1135" s="165" t="str">
        <f>IFERROR(__xludf.DUMMYFUNCTION("""COMPUTED_VALUE"""),"KYAI KONTONG")</f>
        <v>KYAI KONTONG</v>
      </c>
      <c r="D1135" s="94">
        <f>IFERROR(__xludf.DUMMYFUNCTION("""COMPUTED_VALUE"""),5.0)</f>
        <v>5</v>
      </c>
    </row>
    <row r="1136">
      <c r="A1136" s="87" t="str">
        <f>IFERROR(__xludf.DUMMYFUNCTION("""COMPUTED_VALUE"""),"ITBISA-DC-TO-DC-STEPUP-XL6009")</f>
        <v>ITBISA-DC-TO-DC-STEPUP-XL6009</v>
      </c>
      <c r="B1136" s="165">
        <f>IFERROR(__xludf.DUMMYFUNCTION("""COMPUTED_VALUE"""),46148.0)</f>
        <v>46148</v>
      </c>
      <c r="C1136" s="165" t="str">
        <f>IFERROR(__xludf.DUMMYFUNCTION("""COMPUTED_VALUE"""),"KYAI KONTONG")</f>
        <v>KYAI KONTONG</v>
      </c>
      <c r="D1136" s="94">
        <f>IFERROR(__xludf.DUMMYFUNCTION("""COMPUTED_VALUE"""),1.0)</f>
        <v>1</v>
      </c>
    </row>
    <row r="1137">
      <c r="A1137" s="87" t="str">
        <f>IFERROR(__xludf.DUMMYFUNCTION("""COMPUTED_VALUE"""),"ITBISA-DC-TO-DC-STEPUP-XL6009")</f>
        <v>ITBISA-DC-TO-DC-STEPUP-XL6009</v>
      </c>
      <c r="B1137" s="165">
        <f>IFERROR(__xludf.DUMMYFUNCTION("""COMPUTED_VALUE"""),46148.0)</f>
        <v>46148</v>
      </c>
      <c r="C1137" s="165" t="str">
        <f>IFERROR(__xludf.DUMMYFUNCTION("""COMPUTED_VALUE"""),"KYAI KONTONG")</f>
        <v>KYAI KONTONG</v>
      </c>
      <c r="D1137" s="94">
        <f>IFERROR(__xludf.DUMMYFUNCTION("""COMPUTED_VALUE"""),1.0)</f>
        <v>1</v>
      </c>
    </row>
    <row r="1138">
      <c r="A1138" s="87" t="str">
        <f>IFERROR(__xludf.DUMMYFUNCTION("""COMPUTED_VALUE"""),"ITBISA-DC-TO-DC-STEPUP-XL6009")</f>
        <v>ITBISA-DC-TO-DC-STEPUP-XL6009</v>
      </c>
      <c r="B1138" s="165">
        <f>IFERROR(__xludf.DUMMYFUNCTION("""COMPUTED_VALUE"""),46148.0)</f>
        <v>46148</v>
      </c>
      <c r="C1138" s="165" t="str">
        <f>IFERROR(__xludf.DUMMYFUNCTION("""COMPUTED_VALUE"""),"KYAI KONTONG")</f>
        <v>KYAI KONTONG</v>
      </c>
      <c r="D1138" s="94">
        <f>IFERROR(__xludf.DUMMYFUNCTION("""COMPUTED_VALUE"""),1.0)</f>
        <v>1</v>
      </c>
    </row>
    <row r="1139">
      <c r="A1139" s="87" t="str">
        <f>IFERROR(__xludf.DUMMYFUNCTION("""COMPUTED_VALUE"""),"ITBISA-DC-TO-DC-STEPUP-XL6009")</f>
        <v>ITBISA-DC-TO-DC-STEPUP-XL6009</v>
      </c>
      <c r="B1139" s="165">
        <f>IFERROR(__xludf.DUMMYFUNCTION("""COMPUTED_VALUE"""),46148.0)</f>
        <v>46148</v>
      </c>
      <c r="C1139" s="165" t="str">
        <f>IFERROR(__xludf.DUMMYFUNCTION("""COMPUTED_VALUE"""),"KYAI KONTONG")</f>
        <v>KYAI KONTONG</v>
      </c>
      <c r="D1139" s="94">
        <f>IFERROR(__xludf.DUMMYFUNCTION("""COMPUTED_VALUE"""),2.0)</f>
        <v>2</v>
      </c>
    </row>
    <row r="1140">
      <c r="A1140" s="87" t="str">
        <f>IFERROR(__xludf.DUMMYFUNCTION("""COMPUTED_VALUE"""),"ITBISA-DC-TO-DC-STEPUP-XL6009")</f>
        <v>ITBISA-DC-TO-DC-STEPUP-XL6009</v>
      </c>
      <c r="B1140" s="165">
        <f>IFERROR(__xludf.DUMMYFUNCTION("""COMPUTED_VALUE"""),46148.0)</f>
        <v>46148</v>
      </c>
      <c r="C1140" s="165" t="str">
        <f>IFERROR(__xludf.DUMMYFUNCTION("""COMPUTED_VALUE"""),"KYAI KONTONG")</f>
        <v>KYAI KONTONG</v>
      </c>
      <c r="D1140" s="94">
        <f>IFERROR(__xludf.DUMMYFUNCTION("""COMPUTED_VALUE"""),2.0)</f>
        <v>2</v>
      </c>
    </row>
    <row r="1141">
      <c r="A1141" s="87" t="str">
        <f>IFERROR(__xludf.DUMMYFUNCTION("""COMPUTED_VALUE"""),"ITBISA-DC-TO-DC-STEPUP-XL6009")</f>
        <v>ITBISA-DC-TO-DC-STEPUP-XL6009</v>
      </c>
      <c r="B1141" s="165">
        <f>IFERROR(__xludf.DUMMYFUNCTION("""COMPUTED_VALUE"""),46149.0)</f>
        <v>46149</v>
      </c>
      <c r="C1141" s="165" t="str">
        <f>IFERROR(__xludf.DUMMYFUNCTION("""COMPUTED_VALUE"""),"KYAI KONTONG")</f>
        <v>KYAI KONTONG</v>
      </c>
      <c r="D1141" s="94">
        <f>IFERROR(__xludf.DUMMYFUNCTION("""COMPUTED_VALUE"""),1.0)</f>
        <v>1</v>
      </c>
    </row>
    <row r="1142">
      <c r="A1142" s="87" t="str">
        <f>IFERROR(__xludf.DUMMYFUNCTION("""COMPUTED_VALUE"""),"ITBISA-DC-TO-DC-STEPUP-XL6009")</f>
        <v>ITBISA-DC-TO-DC-STEPUP-XL6009</v>
      </c>
      <c r="B1142" s="165">
        <f>IFERROR(__xludf.DUMMYFUNCTION("""COMPUTED_VALUE"""),46149.0)</f>
        <v>46149</v>
      </c>
      <c r="C1142" s="165" t="str">
        <f>IFERROR(__xludf.DUMMYFUNCTION("""COMPUTED_VALUE"""),"KYAI KONTONG")</f>
        <v>KYAI KONTONG</v>
      </c>
      <c r="D1142" s="94">
        <f>IFERROR(__xludf.DUMMYFUNCTION("""COMPUTED_VALUE"""),1.0)</f>
        <v>1</v>
      </c>
    </row>
    <row r="1143">
      <c r="A1143" s="87" t="str">
        <f>IFERROR(__xludf.DUMMYFUNCTION("""COMPUTED_VALUE"""),"ITBISA-DC-TO-DC-STEPUP-XL6009")</f>
        <v>ITBISA-DC-TO-DC-STEPUP-XL6009</v>
      </c>
      <c r="B1143" s="165">
        <f>IFERROR(__xludf.DUMMYFUNCTION("""COMPUTED_VALUE"""),46149.0)</f>
        <v>46149</v>
      </c>
      <c r="C1143" s="165" t="str">
        <f>IFERROR(__xludf.DUMMYFUNCTION("""COMPUTED_VALUE"""),"KYAI KONTONG")</f>
        <v>KYAI KONTONG</v>
      </c>
      <c r="D1143" s="94">
        <f>IFERROR(__xludf.DUMMYFUNCTION("""COMPUTED_VALUE"""),2.0)</f>
        <v>2</v>
      </c>
    </row>
    <row r="1144">
      <c r="A1144" s="87" t="str">
        <f>IFERROR(__xludf.DUMMYFUNCTION("""COMPUTED_VALUE"""),"ITBISA-DC-TO-DC-STEPUP-XL6009")</f>
        <v>ITBISA-DC-TO-DC-STEPUP-XL6009</v>
      </c>
      <c r="B1144" s="165">
        <f>IFERROR(__xludf.DUMMYFUNCTION("""COMPUTED_VALUE"""),46150.0)</f>
        <v>46150</v>
      </c>
      <c r="C1144" s="165" t="str">
        <f>IFERROR(__xludf.DUMMYFUNCTION("""COMPUTED_VALUE"""),"KYAI KONTONG")</f>
        <v>KYAI KONTONG</v>
      </c>
      <c r="D1144" s="94">
        <f>IFERROR(__xludf.DUMMYFUNCTION("""COMPUTED_VALUE"""),1.0)</f>
        <v>1</v>
      </c>
    </row>
    <row r="1145">
      <c r="A1145" s="87" t="str">
        <f>IFERROR(__xludf.DUMMYFUNCTION("""COMPUTED_VALUE"""),"ITBISA-DC-TO-DC-STEPUP-XL6009")</f>
        <v>ITBISA-DC-TO-DC-STEPUP-XL6009</v>
      </c>
      <c r="B1145" s="165">
        <f>IFERROR(__xludf.DUMMYFUNCTION("""COMPUTED_VALUE"""),46150.0)</f>
        <v>46150</v>
      </c>
      <c r="C1145" s="165" t="str">
        <f>IFERROR(__xludf.DUMMYFUNCTION("""COMPUTED_VALUE"""),"KYAI KONTONG")</f>
        <v>KYAI KONTONG</v>
      </c>
      <c r="D1145" s="94">
        <f>IFERROR(__xludf.DUMMYFUNCTION("""COMPUTED_VALUE"""),5.0)</f>
        <v>5</v>
      </c>
    </row>
    <row r="1146">
      <c r="A1146" s="87" t="str">
        <f>IFERROR(__xludf.DUMMYFUNCTION("""COMPUTED_VALUE"""),"ITBISA-DC-TO-DC-STEPUP-XL6009")</f>
        <v>ITBISA-DC-TO-DC-STEPUP-XL6009</v>
      </c>
      <c r="B1146" s="165">
        <f>IFERROR(__xludf.DUMMYFUNCTION("""COMPUTED_VALUE"""),46151.0)</f>
        <v>46151</v>
      </c>
      <c r="C1146" s="165" t="str">
        <f>IFERROR(__xludf.DUMMYFUNCTION("""COMPUTED_VALUE"""),"KYAI KONTONG")</f>
        <v>KYAI KONTONG</v>
      </c>
      <c r="D1146" s="94">
        <f>IFERROR(__xludf.DUMMYFUNCTION("""COMPUTED_VALUE"""),1.0)</f>
        <v>1</v>
      </c>
    </row>
    <row r="1147">
      <c r="A1147" s="87" t="str">
        <f>IFERROR(__xludf.DUMMYFUNCTION("""COMPUTED_VALUE"""),"ITBISA-DC-TO-DC-STEPUP-XL6009")</f>
        <v>ITBISA-DC-TO-DC-STEPUP-XL6009</v>
      </c>
      <c r="B1147" s="165">
        <f>IFERROR(__xludf.DUMMYFUNCTION("""COMPUTED_VALUE"""),46151.0)</f>
        <v>46151</v>
      </c>
      <c r="C1147" s="165" t="str">
        <f>IFERROR(__xludf.DUMMYFUNCTION("""COMPUTED_VALUE"""),"KYAI KONTONG")</f>
        <v>KYAI KONTONG</v>
      </c>
      <c r="D1147" s="94">
        <f>IFERROR(__xludf.DUMMYFUNCTION("""COMPUTED_VALUE"""),1.0)</f>
        <v>1</v>
      </c>
    </row>
    <row r="1148">
      <c r="A1148" s="87" t="str">
        <f>IFERROR(__xludf.DUMMYFUNCTION("""COMPUTED_VALUE"""),"ITBISA-DC-TO-DC-STEPUP-XL6009")</f>
        <v>ITBISA-DC-TO-DC-STEPUP-XL6009</v>
      </c>
      <c r="B1148" s="165">
        <f>IFERROR(__xludf.DUMMYFUNCTION("""COMPUTED_VALUE"""),46151.0)</f>
        <v>46151</v>
      </c>
      <c r="C1148" s="165" t="str">
        <f>IFERROR(__xludf.DUMMYFUNCTION("""COMPUTED_VALUE"""),"KYAI KONTONG")</f>
        <v>KYAI KONTONG</v>
      </c>
      <c r="D1148" s="94">
        <f>IFERROR(__xludf.DUMMYFUNCTION("""COMPUTED_VALUE"""),1.0)</f>
        <v>1</v>
      </c>
    </row>
    <row r="1149">
      <c r="A1149" s="87" t="str">
        <f>IFERROR(__xludf.DUMMYFUNCTION("""COMPUTED_VALUE"""),"ITBISA-DC-TO-DC-STEPUP-XL6009")</f>
        <v>ITBISA-DC-TO-DC-STEPUP-XL6009</v>
      </c>
      <c r="B1149" s="165">
        <f>IFERROR(__xludf.DUMMYFUNCTION("""COMPUTED_VALUE"""),46152.0)</f>
        <v>46152</v>
      </c>
      <c r="C1149" s="165" t="str">
        <f>IFERROR(__xludf.DUMMYFUNCTION("""COMPUTED_VALUE"""),"KYAI KONTONG")</f>
        <v>KYAI KONTONG</v>
      </c>
      <c r="D1149" s="94">
        <f>IFERROR(__xludf.DUMMYFUNCTION("""COMPUTED_VALUE"""),1.0)</f>
        <v>1</v>
      </c>
    </row>
    <row r="1150">
      <c r="A1150" s="87" t="str">
        <f>IFERROR(__xludf.DUMMYFUNCTION("""COMPUTED_VALUE"""),"ITBISA-DC-TO-DC-STEPUP-XL6009")</f>
        <v>ITBISA-DC-TO-DC-STEPUP-XL6009</v>
      </c>
      <c r="B1150" s="165">
        <f>IFERROR(__xludf.DUMMYFUNCTION("""COMPUTED_VALUE"""),46152.0)</f>
        <v>46152</v>
      </c>
      <c r="C1150" s="165" t="str">
        <f>IFERROR(__xludf.DUMMYFUNCTION("""COMPUTED_VALUE"""),"KYAI KONTONG")</f>
        <v>KYAI KONTONG</v>
      </c>
      <c r="D1150" s="94">
        <f>IFERROR(__xludf.DUMMYFUNCTION("""COMPUTED_VALUE"""),1.0)</f>
        <v>1</v>
      </c>
    </row>
    <row r="1151">
      <c r="A1151" s="87" t="str">
        <f>IFERROR(__xludf.DUMMYFUNCTION("""COMPUTED_VALUE"""),"ITBISA-DC-TO-DC-STEPUP-XL6009")</f>
        <v>ITBISA-DC-TO-DC-STEPUP-XL6009</v>
      </c>
      <c r="B1151" s="165">
        <f>IFERROR(__xludf.DUMMYFUNCTION("""COMPUTED_VALUE"""),46152.0)</f>
        <v>46152</v>
      </c>
      <c r="C1151" s="165" t="str">
        <f>IFERROR(__xludf.DUMMYFUNCTION("""COMPUTED_VALUE"""),"KYAI KONTONG")</f>
        <v>KYAI KONTONG</v>
      </c>
      <c r="D1151" s="94">
        <f>IFERROR(__xludf.DUMMYFUNCTION("""COMPUTED_VALUE"""),1.0)</f>
        <v>1</v>
      </c>
    </row>
    <row r="1152">
      <c r="A1152" s="87" t="str">
        <f>IFERROR(__xludf.DUMMYFUNCTION("""COMPUTED_VALUE"""),"ITBISA-DC-TO-DC-STEPUP-XL6009")</f>
        <v>ITBISA-DC-TO-DC-STEPUP-XL6009</v>
      </c>
      <c r="B1152" s="165">
        <f>IFERROR(__xludf.DUMMYFUNCTION("""COMPUTED_VALUE"""),46152.0)</f>
        <v>46152</v>
      </c>
      <c r="C1152" s="165" t="str">
        <f>IFERROR(__xludf.DUMMYFUNCTION("""COMPUTED_VALUE"""),"KYAI KONTONG")</f>
        <v>KYAI KONTONG</v>
      </c>
      <c r="D1152" s="94">
        <f>IFERROR(__xludf.DUMMYFUNCTION("""COMPUTED_VALUE"""),1.0)</f>
        <v>1</v>
      </c>
    </row>
    <row r="1153">
      <c r="A1153" s="87" t="str">
        <f>IFERROR(__xludf.DUMMYFUNCTION("""COMPUTED_VALUE"""),"ITBISA-DC-TO-DC-STEPUP-XL6009")</f>
        <v>ITBISA-DC-TO-DC-STEPUP-XL6009</v>
      </c>
      <c r="B1153" s="165">
        <f>IFERROR(__xludf.DUMMYFUNCTION("""COMPUTED_VALUE"""),46152.0)</f>
        <v>46152</v>
      </c>
      <c r="C1153" s="165" t="str">
        <f>IFERROR(__xludf.DUMMYFUNCTION("""COMPUTED_VALUE"""),"KYAI KONTONG")</f>
        <v>KYAI KONTONG</v>
      </c>
      <c r="D1153" s="94">
        <f>IFERROR(__xludf.DUMMYFUNCTION("""COMPUTED_VALUE"""),2.0)</f>
        <v>2</v>
      </c>
    </row>
    <row r="1154">
      <c r="A1154" s="87" t="str">
        <f>IFERROR(__xludf.DUMMYFUNCTION("""COMPUTED_VALUE"""),"ITBISA-DC-TO-DC-STEPUP-XL6009")</f>
        <v>ITBISA-DC-TO-DC-STEPUP-XL6009</v>
      </c>
      <c r="B1154" s="165">
        <f>IFERROR(__xludf.DUMMYFUNCTION("""COMPUTED_VALUE"""),46152.0)</f>
        <v>46152</v>
      </c>
      <c r="C1154" s="165" t="str">
        <f>IFERROR(__xludf.DUMMYFUNCTION("""COMPUTED_VALUE"""),"KYAI KONTONG")</f>
        <v>KYAI KONTONG</v>
      </c>
      <c r="D1154" s="94">
        <f>IFERROR(__xludf.DUMMYFUNCTION("""COMPUTED_VALUE"""),2.0)</f>
        <v>2</v>
      </c>
    </row>
    <row r="1155">
      <c r="A1155" s="87" t="str">
        <f>IFERROR(__xludf.DUMMYFUNCTION("""COMPUTED_VALUE"""),"ITBISA-DC-TO-DC-STEPUP-XL6009")</f>
        <v>ITBISA-DC-TO-DC-STEPUP-XL6009</v>
      </c>
      <c r="B1155" s="165">
        <f>IFERROR(__xludf.DUMMYFUNCTION("""COMPUTED_VALUE"""),46153.0)</f>
        <v>46153</v>
      </c>
      <c r="C1155" s="165" t="str">
        <f>IFERROR(__xludf.DUMMYFUNCTION("""COMPUTED_VALUE"""),"KYAI KONTONG")</f>
        <v>KYAI KONTONG</v>
      </c>
      <c r="D1155" s="94">
        <f>IFERROR(__xludf.DUMMYFUNCTION("""COMPUTED_VALUE"""),1.0)</f>
        <v>1</v>
      </c>
    </row>
    <row r="1156">
      <c r="A1156" s="87" t="str">
        <f>IFERROR(__xludf.DUMMYFUNCTION("""COMPUTED_VALUE"""),"ITBISA-DC-TO-DC-STEPUP-XL6009")</f>
        <v>ITBISA-DC-TO-DC-STEPUP-XL6009</v>
      </c>
      <c r="B1156" s="165">
        <f>IFERROR(__xludf.DUMMYFUNCTION("""COMPUTED_VALUE"""),46153.0)</f>
        <v>46153</v>
      </c>
      <c r="C1156" s="165" t="str">
        <f>IFERROR(__xludf.DUMMYFUNCTION("""COMPUTED_VALUE"""),"KYAI KONTONG")</f>
        <v>KYAI KONTONG</v>
      </c>
      <c r="D1156" s="94">
        <f>IFERROR(__xludf.DUMMYFUNCTION("""COMPUTED_VALUE"""),1.0)</f>
        <v>1</v>
      </c>
    </row>
    <row r="1157">
      <c r="A1157" s="87" t="str">
        <f>IFERROR(__xludf.DUMMYFUNCTION("""COMPUTED_VALUE"""),"ITBISA-DC-TO-DC-STEPUP-XL6009")</f>
        <v>ITBISA-DC-TO-DC-STEPUP-XL6009</v>
      </c>
      <c r="B1157" s="165">
        <f>IFERROR(__xludf.DUMMYFUNCTION("""COMPUTED_VALUE"""),46155.0)</f>
        <v>46155</v>
      </c>
      <c r="C1157" s="165" t="str">
        <f>IFERROR(__xludf.DUMMYFUNCTION("""COMPUTED_VALUE"""),"KYAI KONTONG")</f>
        <v>KYAI KONTONG</v>
      </c>
      <c r="D1157" s="94">
        <f>IFERROR(__xludf.DUMMYFUNCTION("""COMPUTED_VALUE"""),1.0)</f>
        <v>1</v>
      </c>
    </row>
    <row r="1158">
      <c r="A1158" s="87" t="str">
        <f>IFERROR(__xludf.DUMMYFUNCTION("""COMPUTED_VALUE"""),"ITBISA-DC-TO-DC-STEPUP-XL6009")</f>
        <v>ITBISA-DC-TO-DC-STEPUP-XL6009</v>
      </c>
      <c r="B1158" s="165">
        <f>IFERROR(__xludf.DUMMYFUNCTION("""COMPUTED_VALUE"""),46155.0)</f>
        <v>46155</v>
      </c>
      <c r="C1158" s="165" t="str">
        <f>IFERROR(__xludf.DUMMYFUNCTION("""COMPUTED_VALUE"""),"KYAI KONTONG")</f>
        <v>KYAI KONTONG</v>
      </c>
      <c r="D1158" s="94">
        <f>IFERROR(__xludf.DUMMYFUNCTION("""COMPUTED_VALUE"""),2.0)</f>
        <v>2</v>
      </c>
    </row>
    <row r="1159">
      <c r="A1159" s="87" t="str">
        <f>IFERROR(__xludf.DUMMYFUNCTION("""COMPUTED_VALUE"""),"ITBISA-DC-TO-DC-STEPUP-XL6009")</f>
        <v>ITBISA-DC-TO-DC-STEPUP-XL6009</v>
      </c>
      <c r="B1159" s="165">
        <f>IFERROR(__xludf.DUMMYFUNCTION("""COMPUTED_VALUE"""),46156.0)</f>
        <v>46156</v>
      </c>
      <c r="C1159" s="165" t="str">
        <f>IFERROR(__xludf.DUMMYFUNCTION("""COMPUTED_VALUE"""),"KYAI KONTONG")</f>
        <v>KYAI KONTONG</v>
      </c>
      <c r="D1159" s="94">
        <f>IFERROR(__xludf.DUMMYFUNCTION("""COMPUTED_VALUE"""),1.0)</f>
        <v>1</v>
      </c>
    </row>
    <row r="1160">
      <c r="A1160" s="87" t="str">
        <f>IFERROR(__xludf.DUMMYFUNCTION("""COMPUTED_VALUE"""),"ITBISA-DC-TO-DC-STEPUP-XL6009")</f>
        <v>ITBISA-DC-TO-DC-STEPUP-XL6009</v>
      </c>
      <c r="B1160" s="165">
        <f>IFERROR(__xludf.DUMMYFUNCTION("""COMPUTED_VALUE"""),46158.0)</f>
        <v>46158</v>
      </c>
      <c r="C1160" s="165" t="str">
        <f>IFERROR(__xludf.DUMMYFUNCTION("""COMPUTED_VALUE"""),"KYAI KONTONG")</f>
        <v>KYAI KONTONG</v>
      </c>
      <c r="D1160" s="94">
        <f>IFERROR(__xludf.DUMMYFUNCTION("""COMPUTED_VALUE"""),1.0)</f>
        <v>1</v>
      </c>
    </row>
    <row r="1161">
      <c r="A1161" s="87" t="str">
        <f>IFERROR(__xludf.DUMMYFUNCTION("""COMPUTED_VALUE"""),"ITBISA-DC-TO-DC-STEPUP-XL6009")</f>
        <v>ITBISA-DC-TO-DC-STEPUP-XL6009</v>
      </c>
      <c r="B1161" s="165">
        <f>IFERROR(__xludf.DUMMYFUNCTION("""COMPUTED_VALUE"""),46160.0)</f>
        <v>46160</v>
      </c>
      <c r="C1161" s="165" t="str">
        <f>IFERROR(__xludf.DUMMYFUNCTION("""COMPUTED_VALUE"""),"KYAI KONTONG")</f>
        <v>KYAI KONTONG</v>
      </c>
      <c r="D1161" s="94">
        <f>IFERROR(__xludf.DUMMYFUNCTION("""COMPUTED_VALUE"""),1.0)</f>
        <v>1</v>
      </c>
    </row>
    <row r="1162">
      <c r="A1162" s="87" t="str">
        <f>IFERROR(__xludf.DUMMYFUNCTION("""COMPUTED_VALUE"""),"ITBISA-DC-TO-DC-STEPUP-XL6009")</f>
        <v>ITBISA-DC-TO-DC-STEPUP-XL6009</v>
      </c>
      <c r="B1162" s="165">
        <f>IFERROR(__xludf.DUMMYFUNCTION("""COMPUTED_VALUE"""),46160.0)</f>
        <v>46160</v>
      </c>
      <c r="C1162" s="165" t="str">
        <f>IFERROR(__xludf.DUMMYFUNCTION("""COMPUTED_VALUE"""),"KYAI KONTONG")</f>
        <v>KYAI KONTONG</v>
      </c>
      <c r="D1162" s="94">
        <f>IFERROR(__xludf.DUMMYFUNCTION("""COMPUTED_VALUE"""),1.0)</f>
        <v>1</v>
      </c>
    </row>
    <row r="1163">
      <c r="A1163" s="87" t="str">
        <f>IFERROR(__xludf.DUMMYFUNCTION("""COMPUTED_VALUE"""),"ITBISA-DC-TO-DC-STEPUP-XL6009")</f>
        <v>ITBISA-DC-TO-DC-STEPUP-XL6009</v>
      </c>
      <c r="B1163" s="165">
        <f>IFERROR(__xludf.DUMMYFUNCTION("""COMPUTED_VALUE"""),46161.0)</f>
        <v>46161</v>
      </c>
      <c r="C1163" s="165" t="str">
        <f>IFERROR(__xludf.DUMMYFUNCTION("""COMPUTED_VALUE"""),"KYAI KONTONG")</f>
        <v>KYAI KONTONG</v>
      </c>
      <c r="D1163" s="94">
        <f>IFERROR(__xludf.DUMMYFUNCTION("""COMPUTED_VALUE"""),1.0)</f>
        <v>1</v>
      </c>
    </row>
    <row r="1164">
      <c r="A1164" s="87" t="str">
        <f>IFERROR(__xludf.DUMMYFUNCTION("""COMPUTED_VALUE"""),"ITBISA-DC-TO-DC-STEPUP-XL6009")</f>
        <v>ITBISA-DC-TO-DC-STEPUP-XL6009</v>
      </c>
      <c r="B1164" s="165">
        <f>IFERROR(__xludf.DUMMYFUNCTION("""COMPUTED_VALUE"""),46161.0)</f>
        <v>46161</v>
      </c>
      <c r="C1164" s="165" t="str">
        <f>IFERROR(__xludf.DUMMYFUNCTION("""COMPUTED_VALUE"""),"KYAI KONTONG")</f>
        <v>KYAI KONTONG</v>
      </c>
      <c r="D1164" s="94">
        <f>IFERROR(__xludf.DUMMYFUNCTION("""COMPUTED_VALUE"""),2.0)</f>
        <v>2</v>
      </c>
    </row>
    <row r="1165">
      <c r="A1165" s="87" t="str">
        <f>IFERROR(__xludf.DUMMYFUNCTION("""COMPUTED_VALUE"""),"ITBISA-DC-TO-DC-STEPUP-XL6009")</f>
        <v>ITBISA-DC-TO-DC-STEPUP-XL6009</v>
      </c>
      <c r="B1165" s="165">
        <f>IFERROR(__xludf.DUMMYFUNCTION("""COMPUTED_VALUE"""),46161.0)</f>
        <v>46161</v>
      </c>
      <c r="C1165" s="165" t="str">
        <f>IFERROR(__xludf.DUMMYFUNCTION("""COMPUTED_VALUE"""),"KYAI KONTONG")</f>
        <v>KYAI KONTONG</v>
      </c>
      <c r="D1165" s="94">
        <f>IFERROR(__xludf.DUMMYFUNCTION("""COMPUTED_VALUE"""),2.0)</f>
        <v>2</v>
      </c>
    </row>
    <row r="1166">
      <c r="A1166" s="87" t="str">
        <f>IFERROR(__xludf.DUMMYFUNCTION("""COMPUTED_VALUE"""),"ITBISA-DC-TO-DC-STEPUP-XL6009")</f>
        <v>ITBISA-DC-TO-DC-STEPUP-XL6009</v>
      </c>
      <c r="B1166" s="165">
        <f>IFERROR(__xludf.DUMMYFUNCTION("""COMPUTED_VALUE"""),46162.0)</f>
        <v>46162</v>
      </c>
      <c r="C1166" s="165" t="str">
        <f>IFERROR(__xludf.DUMMYFUNCTION("""COMPUTED_VALUE"""),"KYAI KONTONG")</f>
        <v>KYAI KONTONG</v>
      </c>
      <c r="D1166" s="94">
        <f>IFERROR(__xludf.DUMMYFUNCTION("""COMPUTED_VALUE"""),1.0)</f>
        <v>1</v>
      </c>
    </row>
    <row r="1167">
      <c r="A1167" s="87" t="str">
        <f>IFERROR(__xludf.DUMMYFUNCTION("""COMPUTED_VALUE"""),"ITBISA-DC-TO-DC-STEPUP-XL6009")</f>
        <v>ITBISA-DC-TO-DC-STEPUP-XL6009</v>
      </c>
      <c r="B1167" s="165">
        <f>IFERROR(__xludf.DUMMYFUNCTION("""COMPUTED_VALUE"""),46162.0)</f>
        <v>46162</v>
      </c>
      <c r="C1167" s="165" t="str">
        <f>IFERROR(__xludf.DUMMYFUNCTION("""COMPUTED_VALUE"""),"KYAI KONTONG")</f>
        <v>KYAI KONTONG</v>
      </c>
      <c r="D1167" s="94">
        <f>IFERROR(__xludf.DUMMYFUNCTION("""COMPUTED_VALUE"""),1.0)</f>
        <v>1</v>
      </c>
    </row>
    <row r="1168">
      <c r="A1168" s="87" t="str">
        <f>IFERROR(__xludf.DUMMYFUNCTION("""COMPUTED_VALUE"""),"ITBISA-DC-TO-DC-STEPUP-XL6009")</f>
        <v>ITBISA-DC-TO-DC-STEPUP-XL6009</v>
      </c>
      <c r="B1168" s="165">
        <f>IFERROR(__xludf.DUMMYFUNCTION("""COMPUTED_VALUE"""),46163.0)</f>
        <v>46163</v>
      </c>
      <c r="C1168" s="165" t="str">
        <f>IFERROR(__xludf.DUMMYFUNCTION("""COMPUTED_VALUE"""),"KYAI KONTONG")</f>
        <v>KYAI KONTONG</v>
      </c>
      <c r="D1168" s="94">
        <f>IFERROR(__xludf.DUMMYFUNCTION("""COMPUTED_VALUE"""),1.0)</f>
        <v>1</v>
      </c>
    </row>
    <row r="1169">
      <c r="A1169" s="87" t="str">
        <f>IFERROR(__xludf.DUMMYFUNCTION("""COMPUTED_VALUE"""),"ITBISA-DC-TO-DC-STEPUP-XL6009")</f>
        <v>ITBISA-DC-TO-DC-STEPUP-XL6009</v>
      </c>
      <c r="B1169" s="165">
        <f>IFERROR(__xludf.DUMMYFUNCTION("""COMPUTED_VALUE"""),46163.0)</f>
        <v>46163</v>
      </c>
      <c r="C1169" s="165" t="str">
        <f>IFERROR(__xludf.DUMMYFUNCTION("""COMPUTED_VALUE"""),"KYAI KONTONG")</f>
        <v>KYAI KONTONG</v>
      </c>
      <c r="D1169" s="94">
        <f>IFERROR(__xludf.DUMMYFUNCTION("""COMPUTED_VALUE"""),2.0)</f>
        <v>2</v>
      </c>
    </row>
    <row r="1170">
      <c r="A1170" s="87" t="str">
        <f>IFERROR(__xludf.DUMMYFUNCTION("""COMPUTED_VALUE"""),"ITBISA-DC-TO-DC-STEPUP-XL6009")</f>
        <v>ITBISA-DC-TO-DC-STEPUP-XL6009</v>
      </c>
      <c r="B1170" s="165">
        <f>IFERROR(__xludf.DUMMYFUNCTION("""COMPUTED_VALUE"""),46165.0)</f>
        <v>46165</v>
      </c>
      <c r="C1170" s="165" t="str">
        <f>IFERROR(__xludf.DUMMYFUNCTION("""COMPUTED_VALUE"""),"KYAI KONTONG")</f>
        <v>KYAI KONTONG</v>
      </c>
      <c r="D1170" s="94">
        <f>IFERROR(__xludf.DUMMYFUNCTION("""COMPUTED_VALUE"""),1.0)</f>
        <v>1</v>
      </c>
    </row>
    <row r="1171">
      <c r="A1171" s="87" t="str">
        <f>IFERROR(__xludf.DUMMYFUNCTION("""COMPUTED_VALUE"""),"ITBISA-DC-TO-DC-STEPUP-XL6009")</f>
        <v>ITBISA-DC-TO-DC-STEPUP-XL6009</v>
      </c>
      <c r="B1171" s="165">
        <f>IFERROR(__xludf.DUMMYFUNCTION("""COMPUTED_VALUE"""),46168.0)</f>
        <v>46168</v>
      </c>
      <c r="C1171" s="165" t="str">
        <f>IFERROR(__xludf.DUMMYFUNCTION("""COMPUTED_VALUE"""),"KYAI KONTONG")</f>
        <v>KYAI KONTONG</v>
      </c>
      <c r="D1171" s="94">
        <f>IFERROR(__xludf.DUMMYFUNCTION("""COMPUTED_VALUE"""),2.0)</f>
        <v>2</v>
      </c>
    </row>
    <row r="1172">
      <c r="A1172" s="87" t="str">
        <f>IFERROR(__xludf.DUMMYFUNCTION("""COMPUTED_VALUE"""),"ITBISA-DC-TO-DC-STEPUP-XL6009")</f>
        <v>ITBISA-DC-TO-DC-STEPUP-XL6009</v>
      </c>
      <c r="B1172" s="165">
        <f>IFERROR(__xludf.DUMMYFUNCTION("""COMPUTED_VALUE"""),46169.0)</f>
        <v>46169</v>
      </c>
      <c r="C1172" s="165" t="str">
        <f>IFERROR(__xludf.DUMMYFUNCTION("""COMPUTED_VALUE"""),"KYAI KONTONG")</f>
        <v>KYAI KONTONG</v>
      </c>
      <c r="D1172" s="94">
        <f>IFERROR(__xludf.DUMMYFUNCTION("""COMPUTED_VALUE"""),1.0)</f>
        <v>1</v>
      </c>
    </row>
    <row r="1173">
      <c r="A1173" s="87" t="str">
        <f>IFERROR(__xludf.DUMMYFUNCTION("""COMPUTED_VALUE"""),"ITBISA-DC-TO-DC-STEPUP-XL6009")</f>
        <v>ITBISA-DC-TO-DC-STEPUP-XL6009</v>
      </c>
      <c r="B1173" s="165">
        <f>IFERROR(__xludf.DUMMYFUNCTION("""COMPUTED_VALUE"""),46169.0)</f>
        <v>46169</v>
      </c>
      <c r="C1173" s="165" t="str">
        <f>IFERROR(__xludf.DUMMYFUNCTION("""COMPUTED_VALUE"""),"KYAI KONTONG")</f>
        <v>KYAI KONTONG</v>
      </c>
      <c r="D1173" s="94">
        <f>IFERROR(__xludf.DUMMYFUNCTION("""COMPUTED_VALUE"""),1.0)</f>
        <v>1</v>
      </c>
    </row>
    <row r="1174">
      <c r="A1174" s="87" t="str">
        <f>IFERROR(__xludf.DUMMYFUNCTION("""COMPUTED_VALUE"""),"ITBISA-DC-TO-DC-STEPUP-XL6009")</f>
        <v>ITBISA-DC-TO-DC-STEPUP-XL6009</v>
      </c>
      <c r="B1174" s="165">
        <f>IFERROR(__xludf.DUMMYFUNCTION("""COMPUTED_VALUE"""),46170.0)</f>
        <v>46170</v>
      </c>
      <c r="C1174" s="165" t="str">
        <f>IFERROR(__xludf.DUMMYFUNCTION("""COMPUTED_VALUE"""),"KYAI KONTONG")</f>
        <v>KYAI KONTONG</v>
      </c>
      <c r="D1174" s="94">
        <f>IFERROR(__xludf.DUMMYFUNCTION("""COMPUTED_VALUE"""),1.0)</f>
        <v>1</v>
      </c>
    </row>
    <row r="1175">
      <c r="A1175" s="87" t="str">
        <f>IFERROR(__xludf.DUMMYFUNCTION("""COMPUTED_VALUE"""),"ITBISA-DC-TO-DC-STEPUP-XL6009")</f>
        <v>ITBISA-DC-TO-DC-STEPUP-XL6009</v>
      </c>
      <c r="B1175" s="165">
        <f>IFERROR(__xludf.DUMMYFUNCTION("""COMPUTED_VALUE"""),46170.0)</f>
        <v>46170</v>
      </c>
      <c r="C1175" s="165" t="str">
        <f>IFERROR(__xludf.DUMMYFUNCTION("""COMPUTED_VALUE"""),"KYAI KONTONG")</f>
        <v>KYAI KONTONG</v>
      </c>
      <c r="D1175" s="94">
        <f>IFERROR(__xludf.DUMMYFUNCTION("""COMPUTED_VALUE"""),2.0)</f>
        <v>2</v>
      </c>
    </row>
    <row r="1176">
      <c r="A1176" s="87" t="str">
        <f>IFERROR(__xludf.DUMMYFUNCTION("""COMPUTED_VALUE"""),"ITBISA-DC-TO-DC-STEPUP-XL6009")</f>
        <v>ITBISA-DC-TO-DC-STEPUP-XL6009</v>
      </c>
      <c r="B1176" s="165">
        <f>IFERROR(__xludf.DUMMYFUNCTION("""COMPUTED_VALUE"""),46171.0)</f>
        <v>46171</v>
      </c>
      <c r="C1176" s="165" t="str">
        <f>IFERROR(__xludf.DUMMYFUNCTION("""COMPUTED_VALUE"""),"KYAI KONTONG")</f>
        <v>KYAI KONTONG</v>
      </c>
      <c r="D1176" s="94">
        <f>IFERROR(__xludf.DUMMYFUNCTION("""COMPUTED_VALUE"""),1.0)</f>
        <v>1</v>
      </c>
    </row>
    <row r="1177">
      <c r="A1177" s="87" t="str">
        <f>IFERROR(__xludf.DUMMYFUNCTION("""COMPUTED_VALUE"""),"ITBISA-DC-TO-DC-STEPUP-XL6009")</f>
        <v>ITBISA-DC-TO-DC-STEPUP-XL6009</v>
      </c>
      <c r="B1177" s="165">
        <f>IFERROR(__xludf.DUMMYFUNCTION("""COMPUTED_VALUE"""),46171.0)</f>
        <v>46171</v>
      </c>
      <c r="C1177" s="165" t="str">
        <f>IFERROR(__xludf.DUMMYFUNCTION("""COMPUTED_VALUE"""),"KYAI KONTONG")</f>
        <v>KYAI KONTONG</v>
      </c>
      <c r="D1177" s="94">
        <f>IFERROR(__xludf.DUMMYFUNCTION("""COMPUTED_VALUE"""),1.0)</f>
        <v>1</v>
      </c>
    </row>
    <row r="1178">
      <c r="A1178" s="87" t="str">
        <f>IFERROR(__xludf.DUMMYFUNCTION("""COMPUTED_VALUE"""),"ITBISA-DC-TO-DC-STEPUP-XL6009")</f>
        <v>ITBISA-DC-TO-DC-STEPUP-XL6009</v>
      </c>
      <c r="B1178" s="165">
        <f>IFERROR(__xludf.DUMMYFUNCTION("""COMPUTED_VALUE"""),46171.0)</f>
        <v>46171</v>
      </c>
      <c r="C1178" s="165" t="str">
        <f>IFERROR(__xludf.DUMMYFUNCTION("""COMPUTED_VALUE"""),"KYAI KONTONG")</f>
        <v>KYAI KONTONG</v>
      </c>
      <c r="D1178" s="94">
        <f>IFERROR(__xludf.DUMMYFUNCTION("""COMPUTED_VALUE"""),1.0)</f>
        <v>1</v>
      </c>
    </row>
    <row r="1179">
      <c r="A1179" s="87" t="str">
        <f>IFERROR(__xludf.DUMMYFUNCTION("""COMPUTED_VALUE"""),"ITBISA-DC-TO-DC-STEPUP-XL6009")</f>
        <v>ITBISA-DC-TO-DC-STEPUP-XL6009</v>
      </c>
      <c r="B1179" s="165">
        <f>IFERROR(__xludf.DUMMYFUNCTION("""COMPUTED_VALUE"""),46172.0)</f>
        <v>46172</v>
      </c>
      <c r="C1179" s="165" t="str">
        <f>IFERROR(__xludf.DUMMYFUNCTION("""COMPUTED_VALUE"""),"KYAI KONTONG")</f>
        <v>KYAI KONTONG</v>
      </c>
      <c r="D1179" s="94">
        <f>IFERROR(__xludf.DUMMYFUNCTION("""COMPUTED_VALUE"""),1.0)</f>
        <v>1</v>
      </c>
    </row>
    <row r="1180">
      <c r="A1180" s="87" t="str">
        <f>IFERROR(__xludf.DUMMYFUNCTION("""COMPUTED_VALUE"""),"ITBISA-DC-TO-DC-STEPUP-XL6009")</f>
        <v>ITBISA-DC-TO-DC-STEPUP-XL6009</v>
      </c>
      <c r="B1180" s="165">
        <f>IFERROR(__xludf.DUMMYFUNCTION("""COMPUTED_VALUE"""),46172.0)</f>
        <v>46172</v>
      </c>
      <c r="C1180" s="165" t="str">
        <f>IFERROR(__xludf.DUMMYFUNCTION("""COMPUTED_VALUE"""),"KYAI KONTONG")</f>
        <v>KYAI KONTONG</v>
      </c>
      <c r="D1180" s="94">
        <f>IFERROR(__xludf.DUMMYFUNCTION("""COMPUTED_VALUE"""),2.0)</f>
        <v>2</v>
      </c>
    </row>
    <row r="1181">
      <c r="A1181" s="87" t="str">
        <f>IFERROR(__xludf.DUMMYFUNCTION("""COMPUTED_VALUE"""),"ITBISA-DC-TO-DC-STEPUP-XL6009")</f>
        <v>ITBISA-DC-TO-DC-STEPUP-XL6009</v>
      </c>
      <c r="B1181" s="165">
        <f>IFERROR(__xludf.DUMMYFUNCTION("""COMPUTED_VALUE"""),46173.0)</f>
        <v>46173</v>
      </c>
      <c r="C1181" s="165" t="str">
        <f>IFERROR(__xludf.DUMMYFUNCTION("""COMPUTED_VALUE"""),"KYAI KONTONG")</f>
        <v>KYAI KONTONG</v>
      </c>
      <c r="D1181" s="94">
        <f>IFERROR(__xludf.DUMMYFUNCTION("""COMPUTED_VALUE"""),1.0)</f>
        <v>1</v>
      </c>
    </row>
    <row r="1182">
      <c r="A1182" s="87" t="str">
        <f>IFERROR(__xludf.DUMMYFUNCTION("""COMPUTED_VALUE"""),"ITBISA-DC-TO-DC-STEPUP-XL6009")</f>
        <v>ITBISA-DC-TO-DC-STEPUP-XL6009</v>
      </c>
      <c r="B1182" s="165">
        <f>IFERROR(__xludf.DUMMYFUNCTION("""COMPUTED_VALUE"""),46173.0)</f>
        <v>46173</v>
      </c>
      <c r="C1182" s="165" t="str">
        <f>IFERROR(__xludf.DUMMYFUNCTION("""COMPUTED_VALUE"""),"KYAI KONTONG")</f>
        <v>KYAI KONTONG</v>
      </c>
      <c r="D1182" s="94">
        <f>IFERROR(__xludf.DUMMYFUNCTION("""COMPUTED_VALUE"""),1.0)</f>
        <v>1</v>
      </c>
    </row>
    <row r="1183">
      <c r="A1183" s="87" t="str">
        <f>IFERROR(__xludf.DUMMYFUNCTION("""COMPUTED_VALUE"""),"ITBISA-DC-TO-DC-STEPUP-XL6009")</f>
        <v>ITBISA-DC-TO-DC-STEPUP-XL6009</v>
      </c>
      <c r="B1183" s="165">
        <f>IFERROR(__xludf.DUMMYFUNCTION("""COMPUTED_VALUE"""),46173.0)</f>
        <v>46173</v>
      </c>
      <c r="C1183" s="165" t="str">
        <f>IFERROR(__xludf.DUMMYFUNCTION("""COMPUTED_VALUE"""),"KYAI KONTONG")</f>
        <v>KYAI KONTONG</v>
      </c>
      <c r="D1183" s="94">
        <f>IFERROR(__xludf.DUMMYFUNCTION("""COMPUTED_VALUE"""),1.0)</f>
        <v>1</v>
      </c>
    </row>
    <row r="1184">
      <c r="A1184" s="87" t="str">
        <f>IFERROR(__xludf.DUMMYFUNCTION("""COMPUTED_VALUE"""),"ITBISA-DC-TO-DC-STEPUP-XL6009")</f>
        <v>ITBISA-DC-TO-DC-STEPUP-XL6009</v>
      </c>
      <c r="B1184" s="165">
        <f>IFERROR(__xludf.DUMMYFUNCTION("""COMPUTED_VALUE"""),46173.0)</f>
        <v>46173</v>
      </c>
      <c r="C1184" s="165" t="str">
        <f>IFERROR(__xludf.DUMMYFUNCTION("""COMPUTED_VALUE"""),"KYAI KONTONG")</f>
        <v>KYAI KONTONG</v>
      </c>
      <c r="D1184" s="94">
        <f>IFERROR(__xludf.DUMMYFUNCTION("""COMPUTED_VALUE"""),2.0)</f>
        <v>2</v>
      </c>
    </row>
    <row r="1185">
      <c r="A1185" s="87" t="str">
        <f>IFERROR(__xludf.DUMMYFUNCTION("""COMPUTED_VALUE"""),"ITBISA-DC-TO-DC-STEPUP-XL6009")</f>
        <v>ITBISA-DC-TO-DC-STEPUP-XL6009</v>
      </c>
      <c r="B1185" s="165">
        <f>IFERROR(__xludf.DUMMYFUNCTION("""COMPUTED_VALUE"""),46173.0)</f>
        <v>46173</v>
      </c>
      <c r="C1185" s="165" t="str">
        <f>IFERROR(__xludf.DUMMYFUNCTION("""COMPUTED_VALUE"""),"KYAI KONTONG")</f>
        <v>KYAI KONTONG</v>
      </c>
      <c r="D1185" s="94">
        <f>IFERROR(__xludf.DUMMYFUNCTION("""COMPUTED_VALUE"""),3.0)</f>
        <v>3</v>
      </c>
    </row>
    <row r="1186">
      <c r="A1186" s="87" t="str">
        <f>IFERROR(__xludf.DUMMYFUNCTION("""COMPUTED_VALUE"""),"ITBISA-DC-TO-DC-STEPUP-XL6009")</f>
        <v>ITBISA-DC-TO-DC-STEPUP-XL6009</v>
      </c>
      <c r="B1186" s="165">
        <f>IFERROR(__xludf.DUMMYFUNCTION("""COMPUTED_VALUE"""),46174.0)</f>
        <v>46174</v>
      </c>
      <c r="C1186" s="165" t="str">
        <f>IFERROR(__xludf.DUMMYFUNCTION("""COMPUTED_VALUE"""),"KYAI KONTONG")</f>
        <v>KYAI KONTONG</v>
      </c>
      <c r="D1186" s="94">
        <f>IFERROR(__xludf.DUMMYFUNCTION("""COMPUTED_VALUE"""),1.0)</f>
        <v>1</v>
      </c>
    </row>
    <row r="1187">
      <c r="A1187" s="87" t="str">
        <f>IFERROR(__xludf.DUMMYFUNCTION("""COMPUTED_VALUE"""),"ITBISA-DC-TO-DC-STEPUP-XL6009")</f>
        <v>ITBISA-DC-TO-DC-STEPUP-XL6009</v>
      </c>
      <c r="B1187" s="165">
        <f>IFERROR(__xludf.DUMMYFUNCTION("""COMPUTED_VALUE"""),46174.0)</f>
        <v>46174</v>
      </c>
      <c r="C1187" s="165" t="str">
        <f>IFERROR(__xludf.DUMMYFUNCTION("""COMPUTED_VALUE"""),"KYAI KONTONG")</f>
        <v>KYAI KONTONG</v>
      </c>
      <c r="D1187" s="94">
        <f>IFERROR(__xludf.DUMMYFUNCTION("""COMPUTED_VALUE"""),1.0)</f>
        <v>1</v>
      </c>
    </row>
    <row r="1188">
      <c r="A1188" s="87" t="str">
        <f>IFERROR(__xludf.DUMMYFUNCTION("""COMPUTED_VALUE"""),"ITBISA-DC-TO-DC-STEPUP-XL6009")</f>
        <v>ITBISA-DC-TO-DC-STEPUP-XL6009</v>
      </c>
      <c r="B1188" s="165">
        <f>IFERROR(__xludf.DUMMYFUNCTION("""COMPUTED_VALUE"""),46175.0)</f>
        <v>46175</v>
      </c>
      <c r="C1188" s="165" t="str">
        <f>IFERROR(__xludf.DUMMYFUNCTION("""COMPUTED_VALUE"""),"KYAI KONTONG")</f>
        <v>KYAI KONTONG</v>
      </c>
      <c r="D1188" s="94">
        <f>IFERROR(__xludf.DUMMYFUNCTION("""COMPUTED_VALUE"""),3.0)</f>
        <v>3</v>
      </c>
    </row>
    <row r="1189">
      <c r="A1189" s="87" t="str">
        <f>IFERROR(__xludf.DUMMYFUNCTION("""COMPUTED_VALUE"""),"ITBISA-DC-TO-DC-STEPUP-XL6009")</f>
        <v>ITBISA-DC-TO-DC-STEPUP-XL6009</v>
      </c>
      <c r="B1189" s="165">
        <f>IFERROR(__xludf.DUMMYFUNCTION("""COMPUTED_VALUE"""),46176.0)</f>
        <v>46176</v>
      </c>
      <c r="C1189" s="165" t="str">
        <f>IFERROR(__xludf.DUMMYFUNCTION("""COMPUTED_VALUE"""),"KYAI KONTONG")</f>
        <v>KYAI KONTONG</v>
      </c>
      <c r="D1189" s="94">
        <f>IFERROR(__xludf.DUMMYFUNCTION("""COMPUTED_VALUE"""),1.0)</f>
        <v>1</v>
      </c>
    </row>
    <row r="1190">
      <c r="A1190" s="87" t="str">
        <f>IFERROR(__xludf.DUMMYFUNCTION("""COMPUTED_VALUE"""),"ITBISA-DC-TO-DC-STEPUP-XL6009")</f>
        <v>ITBISA-DC-TO-DC-STEPUP-XL6009</v>
      </c>
      <c r="B1190" s="165">
        <f>IFERROR(__xludf.DUMMYFUNCTION("""COMPUTED_VALUE"""),46176.0)</f>
        <v>46176</v>
      </c>
      <c r="C1190" s="165" t="str">
        <f>IFERROR(__xludf.DUMMYFUNCTION("""COMPUTED_VALUE"""),"KYAI KONTONG")</f>
        <v>KYAI KONTONG</v>
      </c>
      <c r="D1190" s="94">
        <f>IFERROR(__xludf.DUMMYFUNCTION("""COMPUTED_VALUE"""),1.0)</f>
        <v>1</v>
      </c>
    </row>
    <row r="1191">
      <c r="A1191" s="87" t="str">
        <f>IFERROR(__xludf.DUMMYFUNCTION("""COMPUTED_VALUE"""),"ITBISA-DC-TO-DC-STEPUP-XL6009")</f>
        <v>ITBISA-DC-TO-DC-STEPUP-XL6009</v>
      </c>
      <c r="B1191" s="165">
        <f>IFERROR(__xludf.DUMMYFUNCTION("""COMPUTED_VALUE"""),46176.0)</f>
        <v>46176</v>
      </c>
      <c r="C1191" s="165" t="str">
        <f>IFERROR(__xludf.DUMMYFUNCTION("""COMPUTED_VALUE"""),"KYAI KONTONG")</f>
        <v>KYAI KONTONG</v>
      </c>
      <c r="D1191" s="94">
        <f>IFERROR(__xludf.DUMMYFUNCTION("""COMPUTED_VALUE"""),1.0)</f>
        <v>1</v>
      </c>
    </row>
    <row r="1192">
      <c r="A1192" s="87" t="str">
        <f>IFERROR(__xludf.DUMMYFUNCTION("""COMPUTED_VALUE"""),"ITBISA-DC-TO-DC-STEPUP-XL6009")</f>
        <v>ITBISA-DC-TO-DC-STEPUP-XL6009</v>
      </c>
      <c r="B1192" s="165">
        <f>IFERROR(__xludf.DUMMYFUNCTION("""COMPUTED_VALUE"""),46177.0)</f>
        <v>46177</v>
      </c>
      <c r="C1192" s="165" t="str">
        <f>IFERROR(__xludf.DUMMYFUNCTION("""COMPUTED_VALUE"""),"KYAI KONTONG")</f>
        <v>KYAI KONTONG</v>
      </c>
      <c r="D1192" s="94">
        <f>IFERROR(__xludf.DUMMYFUNCTION("""COMPUTED_VALUE"""),1.0)</f>
        <v>1</v>
      </c>
    </row>
    <row r="1193">
      <c r="A1193" s="87" t="str">
        <f>IFERROR(__xludf.DUMMYFUNCTION("""COMPUTED_VALUE"""),"ITBISA-DC-TO-DC-STEPUP-XL6009")</f>
        <v>ITBISA-DC-TO-DC-STEPUP-XL6009</v>
      </c>
      <c r="B1193" s="165">
        <f>IFERROR(__xludf.DUMMYFUNCTION("""COMPUTED_VALUE"""),46179.0)</f>
        <v>46179</v>
      </c>
      <c r="C1193" s="165" t="str">
        <f>IFERROR(__xludf.DUMMYFUNCTION("""COMPUTED_VALUE"""),"KYAI KONTONG")</f>
        <v>KYAI KONTONG</v>
      </c>
      <c r="D1193" s="94">
        <f>IFERROR(__xludf.DUMMYFUNCTION("""COMPUTED_VALUE"""),1.0)</f>
        <v>1</v>
      </c>
    </row>
    <row r="1194">
      <c r="A1194" s="87" t="str">
        <f>IFERROR(__xludf.DUMMYFUNCTION("""COMPUTED_VALUE"""),"ITBISA-DC-TO-DC-STEPUP-XL6009")</f>
        <v>ITBISA-DC-TO-DC-STEPUP-XL6009</v>
      </c>
      <c r="B1194" s="165">
        <f>IFERROR(__xludf.DUMMYFUNCTION("""COMPUTED_VALUE"""),46179.0)</f>
        <v>46179</v>
      </c>
      <c r="C1194" s="165" t="str">
        <f>IFERROR(__xludf.DUMMYFUNCTION("""COMPUTED_VALUE"""),"KYAI KONTONG")</f>
        <v>KYAI KONTONG</v>
      </c>
      <c r="D1194" s="94">
        <f>IFERROR(__xludf.DUMMYFUNCTION("""COMPUTED_VALUE"""),1.0)</f>
        <v>1</v>
      </c>
    </row>
    <row r="1195">
      <c r="A1195" s="87" t="str">
        <f>IFERROR(__xludf.DUMMYFUNCTION("""COMPUTED_VALUE"""),"ITBISA-DC-TO-DC-STEPUP-XL6009")</f>
        <v>ITBISA-DC-TO-DC-STEPUP-XL6009</v>
      </c>
      <c r="B1195" s="165">
        <f>IFERROR(__xludf.DUMMYFUNCTION("""COMPUTED_VALUE"""),46179.0)</f>
        <v>46179</v>
      </c>
      <c r="C1195" s="165" t="str">
        <f>IFERROR(__xludf.DUMMYFUNCTION("""COMPUTED_VALUE"""),"KYAI KONTONG")</f>
        <v>KYAI KONTONG</v>
      </c>
      <c r="D1195" s="94">
        <f>IFERROR(__xludf.DUMMYFUNCTION("""COMPUTED_VALUE"""),2.0)</f>
        <v>2</v>
      </c>
    </row>
    <row r="1196">
      <c r="A1196" s="87" t="str">
        <f>IFERROR(__xludf.DUMMYFUNCTION("""COMPUTED_VALUE"""),"ITBISA-DC-TO-DC-STEPUP-XL6009")</f>
        <v>ITBISA-DC-TO-DC-STEPUP-XL6009</v>
      </c>
      <c r="B1196" s="165">
        <f>IFERROR(__xludf.DUMMYFUNCTION("""COMPUTED_VALUE"""),46180.0)</f>
        <v>46180</v>
      </c>
      <c r="C1196" s="165" t="str">
        <f>IFERROR(__xludf.DUMMYFUNCTION("""COMPUTED_VALUE"""),"KYAI KONTONG")</f>
        <v>KYAI KONTONG</v>
      </c>
      <c r="D1196" s="94">
        <f>IFERROR(__xludf.DUMMYFUNCTION("""COMPUTED_VALUE"""),1.0)</f>
        <v>1</v>
      </c>
    </row>
    <row r="1197">
      <c r="A1197" s="87" t="str">
        <f>IFERROR(__xludf.DUMMYFUNCTION("""COMPUTED_VALUE"""),"ITBISA-DC-TO-DC-STEPUP-XL6009")</f>
        <v>ITBISA-DC-TO-DC-STEPUP-XL6009</v>
      </c>
      <c r="B1197" s="165">
        <f>IFERROR(__xludf.DUMMYFUNCTION("""COMPUTED_VALUE"""),46180.0)</f>
        <v>46180</v>
      </c>
      <c r="C1197" s="165" t="str">
        <f>IFERROR(__xludf.DUMMYFUNCTION("""COMPUTED_VALUE"""),"KYAI KONTONG")</f>
        <v>KYAI KONTONG</v>
      </c>
      <c r="D1197" s="94">
        <f>IFERROR(__xludf.DUMMYFUNCTION("""COMPUTED_VALUE"""),1.0)</f>
        <v>1</v>
      </c>
    </row>
    <row r="1198">
      <c r="A1198" s="87" t="str">
        <f>IFERROR(__xludf.DUMMYFUNCTION("""COMPUTED_VALUE"""),"ITBISA-DC-TO-DC-STEPUP-XL6009")</f>
        <v>ITBISA-DC-TO-DC-STEPUP-XL6009</v>
      </c>
      <c r="B1198" s="165">
        <f>IFERROR(__xludf.DUMMYFUNCTION("""COMPUTED_VALUE"""),46180.0)</f>
        <v>46180</v>
      </c>
      <c r="C1198" s="165" t="str">
        <f>IFERROR(__xludf.DUMMYFUNCTION("""COMPUTED_VALUE"""),"KYAI KONTONG")</f>
        <v>KYAI KONTONG</v>
      </c>
      <c r="D1198" s="94">
        <f>IFERROR(__xludf.DUMMYFUNCTION("""COMPUTED_VALUE"""),1.0)</f>
        <v>1</v>
      </c>
    </row>
    <row r="1199">
      <c r="A1199" s="87" t="str">
        <f>IFERROR(__xludf.DUMMYFUNCTION("""COMPUTED_VALUE"""),"ITBISA-DC-TO-DC-STEPUP-XL6009")</f>
        <v>ITBISA-DC-TO-DC-STEPUP-XL6009</v>
      </c>
      <c r="B1199" s="165">
        <f>IFERROR(__xludf.DUMMYFUNCTION("""COMPUTED_VALUE"""),46180.0)</f>
        <v>46180</v>
      </c>
      <c r="C1199" s="165" t="str">
        <f>IFERROR(__xludf.DUMMYFUNCTION("""COMPUTED_VALUE"""),"KYAI KONTONG")</f>
        <v>KYAI KONTONG</v>
      </c>
      <c r="D1199" s="94">
        <f>IFERROR(__xludf.DUMMYFUNCTION("""COMPUTED_VALUE"""),1.0)</f>
        <v>1</v>
      </c>
    </row>
    <row r="1200">
      <c r="A1200" s="87" t="str">
        <f>IFERROR(__xludf.DUMMYFUNCTION("""COMPUTED_VALUE"""),"ITBISA-DC-TO-DC-STEPUP-XL6009")</f>
        <v>ITBISA-DC-TO-DC-STEPUP-XL6009</v>
      </c>
      <c r="B1200" s="165">
        <f>IFERROR(__xludf.DUMMYFUNCTION("""COMPUTED_VALUE"""),46180.0)</f>
        <v>46180</v>
      </c>
      <c r="C1200" s="165" t="str">
        <f>IFERROR(__xludf.DUMMYFUNCTION("""COMPUTED_VALUE"""),"KYAI KONTONG")</f>
        <v>KYAI KONTONG</v>
      </c>
      <c r="D1200" s="94">
        <f>IFERROR(__xludf.DUMMYFUNCTION("""COMPUTED_VALUE"""),1.0)</f>
        <v>1</v>
      </c>
    </row>
    <row r="1201">
      <c r="A1201" s="87" t="str">
        <f>IFERROR(__xludf.DUMMYFUNCTION("""COMPUTED_VALUE"""),"ITBISA-DC-TO-DC-STEPUP-XL6009")</f>
        <v>ITBISA-DC-TO-DC-STEPUP-XL6009</v>
      </c>
      <c r="B1201" s="165">
        <f>IFERROR(__xludf.DUMMYFUNCTION("""COMPUTED_VALUE"""),46180.0)</f>
        <v>46180</v>
      </c>
      <c r="C1201" s="165" t="str">
        <f>IFERROR(__xludf.DUMMYFUNCTION("""COMPUTED_VALUE"""),"KYAI KONTONG")</f>
        <v>KYAI KONTONG</v>
      </c>
      <c r="D1201" s="94">
        <f>IFERROR(__xludf.DUMMYFUNCTION("""COMPUTED_VALUE"""),2.0)</f>
        <v>2</v>
      </c>
    </row>
    <row r="1202">
      <c r="A1202" s="87" t="str">
        <f>IFERROR(__xludf.DUMMYFUNCTION("""COMPUTED_VALUE"""),"ITBISA-DC-TO-DC-STEPUP-XL6009")</f>
        <v>ITBISA-DC-TO-DC-STEPUP-XL6009</v>
      </c>
      <c r="B1202" s="165">
        <f>IFERROR(__xludf.DUMMYFUNCTION("""COMPUTED_VALUE"""),46181.0)</f>
        <v>46181</v>
      </c>
      <c r="C1202" s="165" t="str">
        <f>IFERROR(__xludf.DUMMYFUNCTION("""COMPUTED_VALUE"""),"KYAI KONTONG")</f>
        <v>KYAI KONTONG</v>
      </c>
      <c r="D1202" s="94">
        <f>IFERROR(__xludf.DUMMYFUNCTION("""COMPUTED_VALUE"""),1.0)</f>
        <v>1</v>
      </c>
    </row>
    <row r="1203">
      <c r="A1203" s="87" t="str">
        <f>IFERROR(__xludf.DUMMYFUNCTION("""COMPUTED_VALUE"""),"ITBISA-DC-TO-DC-STEPUP-XL6009")</f>
        <v>ITBISA-DC-TO-DC-STEPUP-XL6009</v>
      </c>
      <c r="B1203" s="165">
        <f>IFERROR(__xludf.DUMMYFUNCTION("""COMPUTED_VALUE"""),46181.0)</f>
        <v>46181</v>
      </c>
      <c r="C1203" s="165" t="str">
        <f>IFERROR(__xludf.DUMMYFUNCTION("""COMPUTED_VALUE"""),"KYAI KONTONG")</f>
        <v>KYAI KONTONG</v>
      </c>
      <c r="D1203" s="94">
        <f>IFERROR(__xludf.DUMMYFUNCTION("""COMPUTED_VALUE"""),1.0)</f>
        <v>1</v>
      </c>
    </row>
    <row r="1204">
      <c r="A1204" s="87" t="str">
        <f>IFERROR(__xludf.DUMMYFUNCTION("""COMPUTED_VALUE"""),"ITBISA-DC-TO-DC-STEPUP-XL6009")</f>
        <v>ITBISA-DC-TO-DC-STEPUP-XL6009</v>
      </c>
      <c r="B1204" s="165">
        <f>IFERROR(__xludf.DUMMYFUNCTION("""COMPUTED_VALUE"""),46181.0)</f>
        <v>46181</v>
      </c>
      <c r="C1204" s="165" t="str">
        <f>IFERROR(__xludf.DUMMYFUNCTION("""COMPUTED_VALUE"""),"KYAI KONTONG")</f>
        <v>KYAI KONTONG</v>
      </c>
      <c r="D1204" s="94">
        <f>IFERROR(__xludf.DUMMYFUNCTION("""COMPUTED_VALUE"""),1.0)</f>
        <v>1</v>
      </c>
    </row>
    <row r="1205">
      <c r="A1205" s="87" t="str">
        <f>IFERROR(__xludf.DUMMYFUNCTION("""COMPUTED_VALUE"""),"ITBISA-DC-TO-DC-STEPUP-XL6009")</f>
        <v>ITBISA-DC-TO-DC-STEPUP-XL6009</v>
      </c>
      <c r="B1205" s="165">
        <f>IFERROR(__xludf.DUMMYFUNCTION("""COMPUTED_VALUE"""),46181.0)</f>
        <v>46181</v>
      </c>
      <c r="C1205" s="165" t="str">
        <f>IFERROR(__xludf.DUMMYFUNCTION("""COMPUTED_VALUE"""),"KYAI KONTONG")</f>
        <v>KYAI KONTONG</v>
      </c>
      <c r="D1205" s="94">
        <f>IFERROR(__xludf.DUMMYFUNCTION("""COMPUTED_VALUE"""),1.0)</f>
        <v>1</v>
      </c>
    </row>
    <row r="1206">
      <c r="A1206" s="87" t="str">
        <f>IFERROR(__xludf.DUMMYFUNCTION("""COMPUTED_VALUE"""),"ITBISA-DC-TO-DC-STEPUP-XL6009")</f>
        <v>ITBISA-DC-TO-DC-STEPUP-XL6009</v>
      </c>
      <c r="B1206" s="165">
        <f>IFERROR(__xludf.DUMMYFUNCTION("""COMPUTED_VALUE"""),46181.0)</f>
        <v>46181</v>
      </c>
      <c r="C1206" s="165" t="str">
        <f>IFERROR(__xludf.DUMMYFUNCTION("""COMPUTED_VALUE"""),"KYAI KONTONG")</f>
        <v>KYAI KONTONG</v>
      </c>
      <c r="D1206" s="94">
        <f>IFERROR(__xludf.DUMMYFUNCTION("""COMPUTED_VALUE"""),2.0)</f>
        <v>2</v>
      </c>
    </row>
    <row r="1207">
      <c r="A1207" s="87" t="str">
        <f>IFERROR(__xludf.DUMMYFUNCTION("""COMPUTED_VALUE"""),"ITBISA-DC-TO-DC-STEPUP-XL6009")</f>
        <v>ITBISA-DC-TO-DC-STEPUP-XL6009</v>
      </c>
      <c r="B1207" s="165">
        <f>IFERROR(__xludf.DUMMYFUNCTION("""COMPUTED_VALUE"""),46181.0)</f>
        <v>46181</v>
      </c>
      <c r="C1207" s="165" t="str">
        <f>IFERROR(__xludf.DUMMYFUNCTION("""COMPUTED_VALUE"""),"KYAI KONTONG")</f>
        <v>KYAI KONTONG</v>
      </c>
      <c r="D1207" s="94">
        <f>IFERROR(__xludf.DUMMYFUNCTION("""COMPUTED_VALUE"""),2.0)</f>
        <v>2</v>
      </c>
    </row>
    <row r="1208">
      <c r="A1208" s="87" t="str">
        <f>IFERROR(__xludf.DUMMYFUNCTION("""COMPUTED_VALUE"""),"ITBISA-DC-TO-DC-STEPUP-XL6009")</f>
        <v>ITBISA-DC-TO-DC-STEPUP-XL6009</v>
      </c>
      <c r="B1208" s="165">
        <f>IFERROR(__xludf.DUMMYFUNCTION("""COMPUTED_VALUE"""),46182.0)</f>
        <v>46182</v>
      </c>
      <c r="C1208" s="165" t="str">
        <f>IFERROR(__xludf.DUMMYFUNCTION("""COMPUTED_VALUE"""),"KYAI KONTONG")</f>
        <v>KYAI KONTONG</v>
      </c>
      <c r="D1208" s="94">
        <f>IFERROR(__xludf.DUMMYFUNCTION("""COMPUTED_VALUE"""),1.0)</f>
        <v>1</v>
      </c>
    </row>
    <row r="1209">
      <c r="A1209" s="87" t="str">
        <f>IFERROR(__xludf.DUMMYFUNCTION("""COMPUTED_VALUE"""),"ITBISA-DC-TO-DC-STEPUP-XL6009")</f>
        <v>ITBISA-DC-TO-DC-STEPUP-XL6009</v>
      </c>
      <c r="B1209" s="165">
        <f>IFERROR(__xludf.DUMMYFUNCTION("""COMPUTED_VALUE"""),46182.0)</f>
        <v>46182</v>
      </c>
      <c r="C1209" s="165" t="str">
        <f>IFERROR(__xludf.DUMMYFUNCTION("""COMPUTED_VALUE"""),"KYAI KONTONG")</f>
        <v>KYAI KONTONG</v>
      </c>
      <c r="D1209" s="94">
        <f>IFERROR(__xludf.DUMMYFUNCTION("""COMPUTED_VALUE"""),1.0)</f>
        <v>1</v>
      </c>
    </row>
    <row r="1210">
      <c r="A1210" s="87" t="str">
        <f>IFERROR(__xludf.DUMMYFUNCTION("""COMPUTED_VALUE"""),"ITBISA-DC-TO-DC-STEPUP-XL6009")</f>
        <v>ITBISA-DC-TO-DC-STEPUP-XL6009</v>
      </c>
      <c r="B1210" s="165">
        <f>IFERROR(__xludf.DUMMYFUNCTION("""COMPUTED_VALUE"""),46182.0)</f>
        <v>46182</v>
      </c>
      <c r="C1210" s="165" t="str">
        <f>IFERROR(__xludf.DUMMYFUNCTION("""COMPUTED_VALUE"""),"KYAI KONTONG")</f>
        <v>KYAI KONTONG</v>
      </c>
      <c r="D1210" s="94">
        <f>IFERROR(__xludf.DUMMYFUNCTION("""COMPUTED_VALUE"""),1.0)</f>
        <v>1</v>
      </c>
    </row>
    <row r="1211">
      <c r="A1211" s="87" t="str">
        <f>IFERROR(__xludf.DUMMYFUNCTION("""COMPUTED_VALUE"""),"ITBISA-DC-TO-DC-STEPUP-XL6009")</f>
        <v>ITBISA-DC-TO-DC-STEPUP-XL6009</v>
      </c>
      <c r="B1211" s="165">
        <f>IFERROR(__xludf.DUMMYFUNCTION("""COMPUTED_VALUE"""),46182.0)</f>
        <v>46182</v>
      </c>
      <c r="C1211" s="165" t="str">
        <f>IFERROR(__xludf.DUMMYFUNCTION("""COMPUTED_VALUE"""),"KYAI KONTONG")</f>
        <v>KYAI KONTONG</v>
      </c>
      <c r="D1211" s="94">
        <f>IFERROR(__xludf.DUMMYFUNCTION("""COMPUTED_VALUE"""),1.0)</f>
        <v>1</v>
      </c>
    </row>
    <row r="1212">
      <c r="A1212" s="87" t="str">
        <f>IFERROR(__xludf.DUMMYFUNCTION("""COMPUTED_VALUE"""),"ITBISA-DC-TO-DC-STEPUP-XL6009")</f>
        <v>ITBISA-DC-TO-DC-STEPUP-XL6009</v>
      </c>
      <c r="B1212" s="165">
        <f>IFERROR(__xludf.DUMMYFUNCTION("""COMPUTED_VALUE"""),46182.0)</f>
        <v>46182</v>
      </c>
      <c r="C1212" s="165" t="str">
        <f>IFERROR(__xludf.DUMMYFUNCTION("""COMPUTED_VALUE"""),"KYAI KONTONG")</f>
        <v>KYAI KONTONG</v>
      </c>
      <c r="D1212" s="94">
        <f>IFERROR(__xludf.DUMMYFUNCTION("""COMPUTED_VALUE"""),1.0)</f>
        <v>1</v>
      </c>
    </row>
    <row r="1213">
      <c r="A1213" s="87" t="str">
        <f>IFERROR(__xludf.DUMMYFUNCTION("""COMPUTED_VALUE"""),"ITBISA-DC-TO-DC-STEPUP-XL6009")</f>
        <v>ITBISA-DC-TO-DC-STEPUP-XL6009</v>
      </c>
      <c r="B1213" s="165">
        <f>IFERROR(__xludf.DUMMYFUNCTION("""COMPUTED_VALUE"""),46182.0)</f>
        <v>46182</v>
      </c>
      <c r="C1213" s="165" t="str">
        <f>IFERROR(__xludf.DUMMYFUNCTION("""COMPUTED_VALUE"""),"KYAI KONTONG")</f>
        <v>KYAI KONTONG</v>
      </c>
      <c r="D1213" s="94">
        <f>IFERROR(__xludf.DUMMYFUNCTION("""COMPUTED_VALUE"""),1.0)</f>
        <v>1</v>
      </c>
    </row>
    <row r="1214">
      <c r="A1214" s="87" t="str">
        <f>IFERROR(__xludf.DUMMYFUNCTION("""COMPUTED_VALUE"""),"ITBISA-DC-TO-DC-STEPUP-XL6009")</f>
        <v>ITBISA-DC-TO-DC-STEPUP-XL6009</v>
      </c>
      <c r="B1214" s="165">
        <f>IFERROR(__xludf.DUMMYFUNCTION("""COMPUTED_VALUE"""),46182.0)</f>
        <v>46182</v>
      </c>
      <c r="C1214" s="165" t="str">
        <f>IFERROR(__xludf.DUMMYFUNCTION("""COMPUTED_VALUE"""),"KYAI KONTONG")</f>
        <v>KYAI KONTONG</v>
      </c>
      <c r="D1214" s="94">
        <f>IFERROR(__xludf.DUMMYFUNCTION("""COMPUTED_VALUE"""),1.0)</f>
        <v>1</v>
      </c>
    </row>
    <row r="1215">
      <c r="A1215" s="87" t="str">
        <f>IFERROR(__xludf.DUMMYFUNCTION("""COMPUTED_VALUE"""),"ITBISA-DC-TO-DC-STEPUP-XL6009")</f>
        <v>ITBISA-DC-TO-DC-STEPUP-XL6009</v>
      </c>
      <c r="B1215" s="165">
        <f>IFERROR(__xludf.DUMMYFUNCTION("""COMPUTED_VALUE"""),46182.0)</f>
        <v>46182</v>
      </c>
      <c r="C1215" s="165" t="str">
        <f>IFERROR(__xludf.DUMMYFUNCTION("""COMPUTED_VALUE"""),"KYAI KONTONG")</f>
        <v>KYAI KONTONG</v>
      </c>
      <c r="D1215" s="94">
        <f>IFERROR(__xludf.DUMMYFUNCTION("""COMPUTED_VALUE"""),2.0)</f>
        <v>2</v>
      </c>
    </row>
    <row r="1216">
      <c r="A1216" s="87" t="str">
        <f>IFERROR(__xludf.DUMMYFUNCTION("""COMPUTED_VALUE"""),"ITBISA-DC-TO-DC-STEPUP-XL6009")</f>
        <v>ITBISA-DC-TO-DC-STEPUP-XL6009</v>
      </c>
      <c r="B1216" s="165">
        <f>IFERROR(__xludf.DUMMYFUNCTION("""COMPUTED_VALUE"""),46182.0)</f>
        <v>46182</v>
      </c>
      <c r="C1216" s="165" t="str">
        <f>IFERROR(__xludf.DUMMYFUNCTION("""COMPUTED_VALUE"""),"KYAI KONTONG")</f>
        <v>KYAI KONTONG</v>
      </c>
      <c r="D1216" s="94">
        <f>IFERROR(__xludf.DUMMYFUNCTION("""COMPUTED_VALUE"""),2.0)</f>
        <v>2</v>
      </c>
    </row>
    <row r="1217">
      <c r="A1217" s="87" t="str">
        <f>IFERROR(__xludf.DUMMYFUNCTION("""COMPUTED_VALUE"""),"ITBISA-DC-TO-DC-STEPUP-XL6009")</f>
        <v>ITBISA-DC-TO-DC-STEPUP-XL6009</v>
      </c>
      <c r="B1217" s="165">
        <f>IFERROR(__xludf.DUMMYFUNCTION("""COMPUTED_VALUE"""),46183.0)</f>
        <v>46183</v>
      </c>
      <c r="C1217" s="165" t="str">
        <f>IFERROR(__xludf.DUMMYFUNCTION("""COMPUTED_VALUE"""),"KYAI KONTONG")</f>
        <v>KYAI KONTONG</v>
      </c>
      <c r="D1217" s="94">
        <f>IFERROR(__xludf.DUMMYFUNCTION("""COMPUTED_VALUE"""),1.0)</f>
        <v>1</v>
      </c>
    </row>
    <row r="1218">
      <c r="A1218" s="87" t="str">
        <f>IFERROR(__xludf.DUMMYFUNCTION("""COMPUTED_VALUE"""),"ITBISA-DC-TO-DC-STEPUP-XL6009")</f>
        <v>ITBISA-DC-TO-DC-STEPUP-XL6009</v>
      </c>
      <c r="B1218" s="165">
        <f>IFERROR(__xludf.DUMMYFUNCTION("""COMPUTED_VALUE"""),46183.0)</f>
        <v>46183</v>
      </c>
      <c r="C1218" s="165" t="str">
        <f>IFERROR(__xludf.DUMMYFUNCTION("""COMPUTED_VALUE"""),"KYAI KONTONG")</f>
        <v>KYAI KONTONG</v>
      </c>
      <c r="D1218" s="94">
        <f>IFERROR(__xludf.DUMMYFUNCTION("""COMPUTED_VALUE"""),1.0)</f>
        <v>1</v>
      </c>
    </row>
    <row r="1219">
      <c r="A1219" s="87" t="str">
        <f>IFERROR(__xludf.DUMMYFUNCTION("""COMPUTED_VALUE"""),"ITBISA-DC-TO-DC-STEPUP-XL6009")</f>
        <v>ITBISA-DC-TO-DC-STEPUP-XL6009</v>
      </c>
      <c r="B1219" s="165">
        <f>IFERROR(__xludf.DUMMYFUNCTION("""COMPUTED_VALUE"""),46183.0)</f>
        <v>46183</v>
      </c>
      <c r="C1219" s="165" t="str">
        <f>IFERROR(__xludf.DUMMYFUNCTION("""COMPUTED_VALUE"""),"KYAI KONTONG")</f>
        <v>KYAI KONTONG</v>
      </c>
      <c r="D1219" s="94">
        <f>IFERROR(__xludf.DUMMYFUNCTION("""COMPUTED_VALUE"""),1.0)</f>
        <v>1</v>
      </c>
    </row>
    <row r="1220">
      <c r="A1220" s="87" t="str">
        <f>IFERROR(__xludf.DUMMYFUNCTION("""COMPUTED_VALUE"""),"ITBISA-DC-TO-DC-STEPUP-XL6009")</f>
        <v>ITBISA-DC-TO-DC-STEPUP-XL6009</v>
      </c>
      <c r="B1220" s="165">
        <f>IFERROR(__xludf.DUMMYFUNCTION("""COMPUTED_VALUE"""),46183.0)</f>
        <v>46183</v>
      </c>
      <c r="C1220" s="165" t="str">
        <f>IFERROR(__xludf.DUMMYFUNCTION("""COMPUTED_VALUE"""),"KYAI KONTONG")</f>
        <v>KYAI KONTONG</v>
      </c>
      <c r="D1220" s="94">
        <f>IFERROR(__xludf.DUMMYFUNCTION("""COMPUTED_VALUE"""),1.0)</f>
        <v>1</v>
      </c>
    </row>
    <row r="1221">
      <c r="A1221" s="87" t="str">
        <f>IFERROR(__xludf.DUMMYFUNCTION("""COMPUTED_VALUE"""),"ITBISA-DC-TO-DC-STEPUP-XL6009")</f>
        <v>ITBISA-DC-TO-DC-STEPUP-XL6009</v>
      </c>
      <c r="B1221" s="165">
        <f>IFERROR(__xludf.DUMMYFUNCTION("""COMPUTED_VALUE"""),46183.0)</f>
        <v>46183</v>
      </c>
      <c r="C1221" s="165" t="str">
        <f>IFERROR(__xludf.DUMMYFUNCTION("""COMPUTED_VALUE"""),"KYAI KONTONG")</f>
        <v>KYAI KONTONG</v>
      </c>
      <c r="D1221" s="94">
        <f>IFERROR(__xludf.DUMMYFUNCTION("""COMPUTED_VALUE"""),1.0)</f>
        <v>1</v>
      </c>
    </row>
    <row r="1222">
      <c r="A1222" s="87" t="str">
        <f>IFERROR(__xludf.DUMMYFUNCTION("""COMPUTED_VALUE"""),"ITBISA-DC-TO-DC-STEPUP-XL6009")</f>
        <v>ITBISA-DC-TO-DC-STEPUP-XL6009</v>
      </c>
      <c r="B1222" s="165">
        <f>IFERROR(__xludf.DUMMYFUNCTION("""COMPUTED_VALUE"""),46183.0)</f>
        <v>46183</v>
      </c>
      <c r="C1222" s="165" t="str">
        <f>IFERROR(__xludf.DUMMYFUNCTION("""COMPUTED_VALUE"""),"KYAI KONTONG")</f>
        <v>KYAI KONTONG</v>
      </c>
      <c r="D1222" s="94">
        <f>IFERROR(__xludf.DUMMYFUNCTION("""COMPUTED_VALUE"""),10.0)</f>
        <v>10</v>
      </c>
    </row>
    <row r="1223">
      <c r="A1223" s="87" t="str">
        <f>IFERROR(__xludf.DUMMYFUNCTION("""COMPUTED_VALUE"""),"ITBISA-DC-TO-DC-STEPUP-XL6009")</f>
        <v>ITBISA-DC-TO-DC-STEPUP-XL6009</v>
      </c>
      <c r="B1223" s="165">
        <f>IFERROR(__xludf.DUMMYFUNCTION("""COMPUTED_VALUE"""),46184.0)</f>
        <v>46184</v>
      </c>
      <c r="C1223" s="165" t="str">
        <f>IFERROR(__xludf.DUMMYFUNCTION("""COMPUTED_VALUE"""),"KYAI KONTONG")</f>
        <v>KYAI KONTONG</v>
      </c>
      <c r="D1223" s="94">
        <f>IFERROR(__xludf.DUMMYFUNCTION("""COMPUTED_VALUE"""),1.0)</f>
        <v>1</v>
      </c>
    </row>
    <row r="1224">
      <c r="A1224" s="87" t="str">
        <f>IFERROR(__xludf.DUMMYFUNCTION("""COMPUTED_VALUE"""),"ITBISA-DC-TO-DC-STEPUP-XL6009")</f>
        <v>ITBISA-DC-TO-DC-STEPUP-XL6009</v>
      </c>
      <c r="B1224" s="165">
        <f>IFERROR(__xludf.DUMMYFUNCTION("""COMPUTED_VALUE"""),46184.0)</f>
        <v>46184</v>
      </c>
      <c r="C1224" s="165" t="str">
        <f>IFERROR(__xludf.DUMMYFUNCTION("""COMPUTED_VALUE"""),"KYAI KONTONG")</f>
        <v>KYAI KONTONG</v>
      </c>
      <c r="D1224" s="94">
        <f>IFERROR(__xludf.DUMMYFUNCTION("""COMPUTED_VALUE"""),1.0)</f>
        <v>1</v>
      </c>
    </row>
    <row r="1225">
      <c r="A1225" s="87" t="str">
        <f>IFERROR(__xludf.DUMMYFUNCTION("""COMPUTED_VALUE"""),"ITBISA-DC-TO-DC-STEPUP-XL6009")</f>
        <v>ITBISA-DC-TO-DC-STEPUP-XL6009</v>
      </c>
      <c r="B1225" s="165">
        <f>IFERROR(__xludf.DUMMYFUNCTION("""COMPUTED_VALUE"""),46184.0)</f>
        <v>46184</v>
      </c>
      <c r="C1225" s="165" t="str">
        <f>IFERROR(__xludf.DUMMYFUNCTION("""COMPUTED_VALUE"""),"KYAI KONTONG")</f>
        <v>KYAI KONTONG</v>
      </c>
      <c r="D1225" s="94">
        <f>IFERROR(__xludf.DUMMYFUNCTION("""COMPUTED_VALUE"""),1.0)</f>
        <v>1</v>
      </c>
    </row>
    <row r="1226">
      <c r="A1226" s="87" t="str">
        <f>IFERROR(__xludf.DUMMYFUNCTION("""COMPUTED_VALUE"""),"ITBISA-DC-TO-DC-STEPUP-XL6009")</f>
        <v>ITBISA-DC-TO-DC-STEPUP-XL6009</v>
      </c>
      <c r="B1226" s="165">
        <f>IFERROR(__xludf.DUMMYFUNCTION("""COMPUTED_VALUE"""),46184.0)</f>
        <v>46184</v>
      </c>
      <c r="C1226" s="165" t="str">
        <f>IFERROR(__xludf.DUMMYFUNCTION("""COMPUTED_VALUE"""),"KYAI KONTONG")</f>
        <v>KYAI KONTONG</v>
      </c>
      <c r="D1226" s="94">
        <f>IFERROR(__xludf.DUMMYFUNCTION("""COMPUTED_VALUE"""),2.0)</f>
        <v>2</v>
      </c>
    </row>
    <row r="1227">
      <c r="A1227" s="87" t="str">
        <f>IFERROR(__xludf.DUMMYFUNCTION("""COMPUTED_VALUE"""),"ITBISA-DC-TO-DC-STEPUP-XL6009")</f>
        <v>ITBISA-DC-TO-DC-STEPUP-XL6009</v>
      </c>
      <c r="B1227" s="165">
        <f>IFERROR(__xludf.DUMMYFUNCTION("""COMPUTED_VALUE"""),46185.0)</f>
        <v>46185</v>
      </c>
      <c r="C1227" s="165" t="str">
        <f>IFERROR(__xludf.DUMMYFUNCTION("""COMPUTED_VALUE"""),"KYAI KONTONG")</f>
        <v>KYAI KONTONG</v>
      </c>
      <c r="D1227" s="94">
        <f>IFERROR(__xludf.DUMMYFUNCTION("""COMPUTED_VALUE"""),1.0)</f>
        <v>1</v>
      </c>
    </row>
    <row r="1228">
      <c r="A1228" s="87" t="str">
        <f>IFERROR(__xludf.DUMMYFUNCTION("""COMPUTED_VALUE"""),"ITBISA-DC-TO-DC-STEPUP-XL6009")</f>
        <v>ITBISA-DC-TO-DC-STEPUP-XL6009</v>
      </c>
      <c r="B1228" s="165">
        <f>IFERROR(__xludf.DUMMYFUNCTION("""COMPUTED_VALUE"""),46185.0)</f>
        <v>46185</v>
      </c>
      <c r="C1228" s="165" t="str">
        <f>IFERROR(__xludf.DUMMYFUNCTION("""COMPUTED_VALUE"""),"KYAI KONTONG")</f>
        <v>KYAI KONTONG</v>
      </c>
      <c r="D1228" s="94">
        <f>IFERROR(__xludf.DUMMYFUNCTION("""COMPUTED_VALUE"""),1.0)</f>
        <v>1</v>
      </c>
    </row>
    <row r="1229">
      <c r="A1229" s="87" t="str">
        <f>IFERROR(__xludf.DUMMYFUNCTION("""COMPUTED_VALUE"""),"ITBISA-DC-TO-DC-STEPUP-XL6009")</f>
        <v>ITBISA-DC-TO-DC-STEPUP-XL6009</v>
      </c>
      <c r="B1229" s="165">
        <f>IFERROR(__xludf.DUMMYFUNCTION("""COMPUTED_VALUE"""),46185.0)</f>
        <v>46185</v>
      </c>
      <c r="C1229" s="165" t="str">
        <f>IFERROR(__xludf.DUMMYFUNCTION("""COMPUTED_VALUE"""),"KYAI KONTONG")</f>
        <v>KYAI KONTONG</v>
      </c>
      <c r="D1229" s="94">
        <f>IFERROR(__xludf.DUMMYFUNCTION("""COMPUTED_VALUE"""),1.0)</f>
        <v>1</v>
      </c>
    </row>
    <row r="1230">
      <c r="A1230" s="87" t="str">
        <f>IFERROR(__xludf.DUMMYFUNCTION("""COMPUTED_VALUE"""),"ITBISA-DC-TO-DC-STEPUP-XL6009")</f>
        <v>ITBISA-DC-TO-DC-STEPUP-XL6009</v>
      </c>
      <c r="B1230" s="165">
        <f>IFERROR(__xludf.DUMMYFUNCTION("""COMPUTED_VALUE"""),46185.0)</f>
        <v>46185</v>
      </c>
      <c r="C1230" s="165" t="str">
        <f>IFERROR(__xludf.DUMMYFUNCTION("""COMPUTED_VALUE"""),"KYAI KONTONG")</f>
        <v>KYAI KONTONG</v>
      </c>
      <c r="D1230" s="94">
        <f>IFERROR(__xludf.DUMMYFUNCTION("""COMPUTED_VALUE"""),2.0)</f>
        <v>2</v>
      </c>
    </row>
    <row r="1231">
      <c r="A1231" s="87" t="str">
        <f>IFERROR(__xludf.DUMMYFUNCTION("""COMPUTED_VALUE"""),"ITBISA-DC-TO-DC-STEPUP-XL6009")</f>
        <v>ITBISA-DC-TO-DC-STEPUP-XL6009</v>
      </c>
      <c r="B1231" s="165">
        <f>IFERROR(__xludf.DUMMYFUNCTION("""COMPUTED_VALUE"""),46186.0)</f>
        <v>46186</v>
      </c>
      <c r="C1231" s="165" t="str">
        <f>IFERROR(__xludf.DUMMYFUNCTION("""COMPUTED_VALUE"""),"KYAI KONTONG")</f>
        <v>KYAI KONTONG</v>
      </c>
      <c r="D1231" s="94">
        <f>IFERROR(__xludf.DUMMYFUNCTION("""COMPUTED_VALUE"""),1.0)</f>
        <v>1</v>
      </c>
    </row>
    <row r="1232">
      <c r="A1232" s="87" t="str">
        <f>IFERROR(__xludf.DUMMYFUNCTION("""COMPUTED_VALUE"""),"ITBISA-DC-TO-DC-STEPUP-XL6009")</f>
        <v>ITBISA-DC-TO-DC-STEPUP-XL6009</v>
      </c>
      <c r="B1232" s="165">
        <f>IFERROR(__xludf.DUMMYFUNCTION("""COMPUTED_VALUE"""),46186.0)</f>
        <v>46186</v>
      </c>
      <c r="C1232" s="165" t="str">
        <f>IFERROR(__xludf.DUMMYFUNCTION("""COMPUTED_VALUE"""),"KYAI KONTONG")</f>
        <v>KYAI KONTONG</v>
      </c>
      <c r="D1232" s="94">
        <f>IFERROR(__xludf.DUMMYFUNCTION("""COMPUTED_VALUE"""),1.0)</f>
        <v>1</v>
      </c>
    </row>
    <row r="1233">
      <c r="A1233" s="87" t="str">
        <f>IFERROR(__xludf.DUMMYFUNCTION("""COMPUTED_VALUE"""),"ITBISA-DC-TO-DC-STEPUP-XL6009")</f>
        <v>ITBISA-DC-TO-DC-STEPUP-XL6009</v>
      </c>
      <c r="B1233" s="165">
        <f>IFERROR(__xludf.DUMMYFUNCTION("""COMPUTED_VALUE"""),46186.0)</f>
        <v>46186</v>
      </c>
      <c r="C1233" s="165" t="str">
        <f>IFERROR(__xludf.DUMMYFUNCTION("""COMPUTED_VALUE"""),"KYAI KONTONG")</f>
        <v>KYAI KONTONG</v>
      </c>
      <c r="D1233" s="94">
        <f>IFERROR(__xludf.DUMMYFUNCTION("""COMPUTED_VALUE"""),1.0)</f>
        <v>1</v>
      </c>
    </row>
    <row r="1234">
      <c r="A1234" s="87" t="str">
        <f>IFERROR(__xludf.DUMMYFUNCTION("""COMPUTED_VALUE"""),"ITBISA-DC-TO-DC-STEPUP-XL6009")</f>
        <v>ITBISA-DC-TO-DC-STEPUP-XL6009</v>
      </c>
      <c r="B1234" s="165">
        <f>IFERROR(__xludf.DUMMYFUNCTION("""COMPUTED_VALUE"""),46186.0)</f>
        <v>46186</v>
      </c>
      <c r="C1234" s="165" t="str">
        <f>IFERROR(__xludf.DUMMYFUNCTION("""COMPUTED_VALUE"""),"KYAI KONTONG")</f>
        <v>KYAI KONTONG</v>
      </c>
      <c r="D1234" s="94">
        <f>IFERROR(__xludf.DUMMYFUNCTION("""COMPUTED_VALUE"""),50.0)</f>
        <v>50</v>
      </c>
    </row>
    <row r="1235">
      <c r="A1235" s="87" t="str">
        <f>IFERROR(__xludf.DUMMYFUNCTION("""COMPUTED_VALUE"""),"ITBISA-DC-TO-DC-STEPUP-XL6009")</f>
        <v>ITBISA-DC-TO-DC-STEPUP-XL6009</v>
      </c>
      <c r="B1235" s="165">
        <f>IFERROR(__xludf.DUMMYFUNCTION("""COMPUTED_VALUE"""),46187.0)</f>
        <v>46187</v>
      </c>
      <c r="C1235" s="165" t="str">
        <f>IFERROR(__xludf.DUMMYFUNCTION("""COMPUTED_VALUE"""),"KYAI KONTONG")</f>
        <v>KYAI KONTONG</v>
      </c>
      <c r="D1235" s="94">
        <f>IFERROR(__xludf.DUMMYFUNCTION("""COMPUTED_VALUE"""),1.0)</f>
        <v>1</v>
      </c>
    </row>
    <row r="1236">
      <c r="A1236" s="87" t="str">
        <f>IFERROR(__xludf.DUMMYFUNCTION("""COMPUTED_VALUE"""),"ITBISA-DC-TO-DC-STEPUP-XL6009")</f>
        <v>ITBISA-DC-TO-DC-STEPUP-XL6009</v>
      </c>
      <c r="B1236" s="165">
        <f>IFERROR(__xludf.DUMMYFUNCTION("""COMPUTED_VALUE"""),46188.0)</f>
        <v>46188</v>
      </c>
      <c r="C1236" s="165" t="str">
        <f>IFERROR(__xludf.DUMMYFUNCTION("""COMPUTED_VALUE"""),"KYAI KONTONG")</f>
        <v>KYAI KONTONG</v>
      </c>
      <c r="D1236" s="94">
        <f>IFERROR(__xludf.DUMMYFUNCTION("""COMPUTED_VALUE"""),1.0)</f>
        <v>1</v>
      </c>
    </row>
    <row r="1237">
      <c r="A1237" s="87" t="str">
        <f>IFERROR(__xludf.DUMMYFUNCTION("""COMPUTED_VALUE"""),"ITBISA-DC-TO-DC-STEPUP-XL6009")</f>
        <v>ITBISA-DC-TO-DC-STEPUP-XL6009</v>
      </c>
      <c r="B1237" s="165">
        <f>IFERROR(__xludf.DUMMYFUNCTION("""COMPUTED_VALUE"""),46188.0)</f>
        <v>46188</v>
      </c>
      <c r="C1237" s="165" t="str">
        <f>IFERROR(__xludf.DUMMYFUNCTION("""COMPUTED_VALUE"""),"KYAI KONTONG")</f>
        <v>KYAI KONTONG</v>
      </c>
      <c r="D1237" s="94">
        <f>IFERROR(__xludf.DUMMYFUNCTION("""COMPUTED_VALUE"""),1.0)</f>
        <v>1</v>
      </c>
    </row>
    <row r="1238">
      <c r="A1238" s="87" t="str">
        <f>IFERROR(__xludf.DUMMYFUNCTION("""COMPUTED_VALUE"""),"ITBISA-DC-TO-DC-STEPUP-XL6009")</f>
        <v>ITBISA-DC-TO-DC-STEPUP-XL6009</v>
      </c>
      <c r="B1238" s="165">
        <f>IFERROR(__xludf.DUMMYFUNCTION("""COMPUTED_VALUE"""),46189.0)</f>
        <v>46189</v>
      </c>
      <c r="C1238" s="165" t="str">
        <f>IFERROR(__xludf.DUMMYFUNCTION("""COMPUTED_VALUE"""),"KYAI KONTONG")</f>
        <v>KYAI KONTONG</v>
      </c>
      <c r="D1238" s="94">
        <f>IFERROR(__xludf.DUMMYFUNCTION("""COMPUTED_VALUE"""),1.0)</f>
        <v>1</v>
      </c>
    </row>
    <row r="1239">
      <c r="A1239" s="87" t="str">
        <f>IFERROR(__xludf.DUMMYFUNCTION("""COMPUTED_VALUE"""),"ITBISA-DC-TO-DC-STEPUP-XL6009")</f>
        <v>ITBISA-DC-TO-DC-STEPUP-XL6009</v>
      </c>
      <c r="B1239" s="165">
        <f>IFERROR(__xludf.DUMMYFUNCTION("""COMPUTED_VALUE"""),46189.0)</f>
        <v>46189</v>
      </c>
      <c r="C1239" s="165" t="str">
        <f>IFERROR(__xludf.DUMMYFUNCTION("""COMPUTED_VALUE"""),"KYAI KONTONG")</f>
        <v>KYAI KONTONG</v>
      </c>
      <c r="D1239" s="94">
        <f>IFERROR(__xludf.DUMMYFUNCTION("""COMPUTED_VALUE"""),1.0)</f>
        <v>1</v>
      </c>
    </row>
    <row r="1240">
      <c r="A1240" s="87" t="str">
        <f>IFERROR(__xludf.DUMMYFUNCTION("""COMPUTED_VALUE"""),"ITBISA-DC-TO-DC-STEPUP-XL6009")</f>
        <v>ITBISA-DC-TO-DC-STEPUP-XL6009</v>
      </c>
      <c r="B1240" s="165">
        <f>IFERROR(__xludf.DUMMYFUNCTION("""COMPUTED_VALUE"""),46189.0)</f>
        <v>46189</v>
      </c>
      <c r="C1240" s="165" t="str">
        <f>IFERROR(__xludf.DUMMYFUNCTION("""COMPUTED_VALUE"""),"KYAI KONTONG")</f>
        <v>KYAI KONTONG</v>
      </c>
      <c r="D1240" s="94">
        <f>IFERROR(__xludf.DUMMYFUNCTION("""COMPUTED_VALUE"""),3.0)</f>
        <v>3</v>
      </c>
    </row>
    <row r="1241">
      <c r="A1241" s="87" t="str">
        <f>IFERROR(__xludf.DUMMYFUNCTION("""COMPUTED_VALUE"""),"ITBISA-DC-TO-DC-STEPUP-XL6009")</f>
        <v>ITBISA-DC-TO-DC-STEPUP-XL6009</v>
      </c>
      <c r="B1241" s="165">
        <f>IFERROR(__xludf.DUMMYFUNCTION("""COMPUTED_VALUE"""),46190.0)</f>
        <v>46190</v>
      </c>
      <c r="C1241" s="165" t="str">
        <f>IFERROR(__xludf.DUMMYFUNCTION("""COMPUTED_VALUE"""),"KYAI KONTONG")</f>
        <v>KYAI KONTONG</v>
      </c>
      <c r="D1241" s="94">
        <f>IFERROR(__xludf.DUMMYFUNCTION("""COMPUTED_VALUE"""),1.0)</f>
        <v>1</v>
      </c>
    </row>
    <row r="1242">
      <c r="A1242" s="87" t="str">
        <f>IFERROR(__xludf.DUMMYFUNCTION("""COMPUTED_VALUE"""),"ITBISA-DC-TO-DC-STEPUP-XL6009")</f>
        <v>ITBISA-DC-TO-DC-STEPUP-XL6009</v>
      </c>
      <c r="B1242" s="165">
        <f>IFERROR(__xludf.DUMMYFUNCTION("""COMPUTED_VALUE"""),46190.0)</f>
        <v>46190</v>
      </c>
      <c r="C1242" s="165" t="str">
        <f>IFERROR(__xludf.DUMMYFUNCTION("""COMPUTED_VALUE"""),"KYAI KONTONG")</f>
        <v>KYAI KONTONG</v>
      </c>
      <c r="D1242" s="94">
        <f>IFERROR(__xludf.DUMMYFUNCTION("""COMPUTED_VALUE"""),1.0)</f>
        <v>1</v>
      </c>
    </row>
    <row r="1243">
      <c r="A1243" s="87" t="str">
        <f>IFERROR(__xludf.DUMMYFUNCTION("""COMPUTED_VALUE"""),"ITBISA-DC-TO-DC-STEPUP-XL6009")</f>
        <v>ITBISA-DC-TO-DC-STEPUP-XL6009</v>
      </c>
      <c r="B1243" s="165">
        <f>IFERROR(__xludf.DUMMYFUNCTION("""COMPUTED_VALUE"""),46190.0)</f>
        <v>46190</v>
      </c>
      <c r="C1243" s="165" t="str">
        <f>IFERROR(__xludf.DUMMYFUNCTION("""COMPUTED_VALUE"""),"KYAI KONTONG")</f>
        <v>KYAI KONTONG</v>
      </c>
      <c r="D1243" s="94">
        <f>IFERROR(__xludf.DUMMYFUNCTION("""COMPUTED_VALUE"""),1.0)</f>
        <v>1</v>
      </c>
    </row>
    <row r="1244">
      <c r="A1244" s="87" t="str">
        <f>IFERROR(__xludf.DUMMYFUNCTION("""COMPUTED_VALUE"""),"ITBISA-DC-TO-DC-STEPUP-XL6009")</f>
        <v>ITBISA-DC-TO-DC-STEPUP-XL6009</v>
      </c>
      <c r="B1244" s="165">
        <f>IFERROR(__xludf.DUMMYFUNCTION("""COMPUTED_VALUE"""),46190.0)</f>
        <v>46190</v>
      </c>
      <c r="C1244" s="165" t="str">
        <f>IFERROR(__xludf.DUMMYFUNCTION("""COMPUTED_VALUE"""),"KYAI KONTONG")</f>
        <v>KYAI KONTONG</v>
      </c>
      <c r="D1244" s="94">
        <f>IFERROR(__xludf.DUMMYFUNCTION("""COMPUTED_VALUE"""),1.0)</f>
        <v>1</v>
      </c>
    </row>
    <row r="1245">
      <c r="A1245" s="87" t="str">
        <f>IFERROR(__xludf.DUMMYFUNCTION("""COMPUTED_VALUE"""),"ITBISA-DC-TO-DC-STEPUP-XL6009")</f>
        <v>ITBISA-DC-TO-DC-STEPUP-XL6009</v>
      </c>
      <c r="B1245" s="165">
        <f>IFERROR(__xludf.DUMMYFUNCTION("""COMPUTED_VALUE"""),46190.0)</f>
        <v>46190</v>
      </c>
      <c r="C1245" s="165" t="str">
        <f>IFERROR(__xludf.DUMMYFUNCTION("""COMPUTED_VALUE"""),"KYAI KONTONG")</f>
        <v>KYAI KONTONG</v>
      </c>
      <c r="D1245" s="94">
        <f>IFERROR(__xludf.DUMMYFUNCTION("""COMPUTED_VALUE"""),1.0)</f>
        <v>1</v>
      </c>
    </row>
    <row r="1246">
      <c r="A1246" s="87" t="str">
        <f>IFERROR(__xludf.DUMMYFUNCTION("""COMPUTED_VALUE"""),"ITBISA-DC-TO-DC-STEPUP-XL6009")</f>
        <v>ITBISA-DC-TO-DC-STEPUP-XL6009</v>
      </c>
      <c r="B1246" s="165">
        <f>IFERROR(__xludf.DUMMYFUNCTION("""COMPUTED_VALUE"""),46190.0)</f>
        <v>46190</v>
      </c>
      <c r="C1246" s="165" t="str">
        <f>IFERROR(__xludf.DUMMYFUNCTION("""COMPUTED_VALUE"""),"KYAI KONTONG")</f>
        <v>KYAI KONTONG</v>
      </c>
      <c r="D1246" s="94">
        <f>IFERROR(__xludf.DUMMYFUNCTION("""COMPUTED_VALUE"""),2.0)</f>
        <v>2</v>
      </c>
    </row>
    <row r="1247">
      <c r="A1247" s="87" t="str">
        <f>IFERROR(__xludf.DUMMYFUNCTION("""COMPUTED_VALUE"""),"ITBISA-DC-TO-DC-STEPUP-XL6009")</f>
        <v>ITBISA-DC-TO-DC-STEPUP-XL6009</v>
      </c>
      <c r="B1247" s="165">
        <f>IFERROR(__xludf.DUMMYFUNCTION("""COMPUTED_VALUE"""),46191.0)</f>
        <v>46191</v>
      </c>
      <c r="C1247" s="165" t="str">
        <f>IFERROR(__xludf.DUMMYFUNCTION("""COMPUTED_VALUE"""),"KYAI KONTONG")</f>
        <v>KYAI KONTONG</v>
      </c>
      <c r="D1247" s="94">
        <f>IFERROR(__xludf.DUMMYFUNCTION("""COMPUTED_VALUE"""),1.0)</f>
        <v>1</v>
      </c>
    </row>
    <row r="1248">
      <c r="A1248" s="87" t="str">
        <f>IFERROR(__xludf.DUMMYFUNCTION("""COMPUTED_VALUE"""),"ITBISA-DC-TO-DC-STEPUP-XL6009")</f>
        <v>ITBISA-DC-TO-DC-STEPUP-XL6009</v>
      </c>
      <c r="B1248" s="165">
        <f>IFERROR(__xludf.DUMMYFUNCTION("""COMPUTED_VALUE"""),46191.0)</f>
        <v>46191</v>
      </c>
      <c r="C1248" s="165" t="str">
        <f>IFERROR(__xludf.DUMMYFUNCTION("""COMPUTED_VALUE"""),"KYAI KONTONG")</f>
        <v>KYAI KONTONG</v>
      </c>
      <c r="D1248" s="94">
        <f>IFERROR(__xludf.DUMMYFUNCTION("""COMPUTED_VALUE"""),1.0)</f>
        <v>1</v>
      </c>
    </row>
    <row r="1249">
      <c r="A1249" s="87" t="str">
        <f>IFERROR(__xludf.DUMMYFUNCTION("""COMPUTED_VALUE"""),"ITBISA-DC-TO-DC-STEPUP-XL6009")</f>
        <v>ITBISA-DC-TO-DC-STEPUP-XL6009</v>
      </c>
      <c r="B1249" s="165">
        <f>IFERROR(__xludf.DUMMYFUNCTION("""COMPUTED_VALUE"""),46191.0)</f>
        <v>46191</v>
      </c>
      <c r="C1249" s="165" t="str">
        <f>IFERROR(__xludf.DUMMYFUNCTION("""COMPUTED_VALUE"""),"KYAI KONTONG")</f>
        <v>KYAI KONTONG</v>
      </c>
      <c r="D1249" s="94">
        <f>IFERROR(__xludf.DUMMYFUNCTION("""COMPUTED_VALUE"""),1.0)</f>
        <v>1</v>
      </c>
    </row>
    <row r="1250">
      <c r="A1250" s="87" t="str">
        <f>IFERROR(__xludf.DUMMYFUNCTION("""COMPUTED_VALUE"""),"ITBISA-DC-TO-DC-STEPUP-XL6009")</f>
        <v>ITBISA-DC-TO-DC-STEPUP-XL6009</v>
      </c>
      <c r="B1250" s="165">
        <f>IFERROR(__xludf.DUMMYFUNCTION("""COMPUTED_VALUE"""),46192.0)</f>
        <v>46192</v>
      </c>
      <c r="C1250" s="165" t="str">
        <f>IFERROR(__xludf.DUMMYFUNCTION("""COMPUTED_VALUE"""),"KYAI KONTONG")</f>
        <v>KYAI KONTONG</v>
      </c>
      <c r="D1250" s="94">
        <f>IFERROR(__xludf.DUMMYFUNCTION("""COMPUTED_VALUE"""),1.0)</f>
        <v>1</v>
      </c>
    </row>
    <row r="1251">
      <c r="A1251" s="87" t="str">
        <f>IFERROR(__xludf.DUMMYFUNCTION("""COMPUTED_VALUE"""),"ITBISA-DC-TO-DC-STEPUP-XL6009")</f>
        <v>ITBISA-DC-TO-DC-STEPUP-XL6009</v>
      </c>
      <c r="B1251" s="165">
        <f>IFERROR(__xludf.DUMMYFUNCTION("""COMPUTED_VALUE"""),46192.0)</f>
        <v>46192</v>
      </c>
      <c r="C1251" s="165" t="str">
        <f>IFERROR(__xludf.DUMMYFUNCTION("""COMPUTED_VALUE"""),"KYAI KONTONG")</f>
        <v>KYAI KONTONG</v>
      </c>
      <c r="D1251" s="94">
        <f>IFERROR(__xludf.DUMMYFUNCTION("""COMPUTED_VALUE"""),1.0)</f>
        <v>1</v>
      </c>
    </row>
    <row r="1252">
      <c r="A1252" s="87" t="str">
        <f>IFERROR(__xludf.DUMMYFUNCTION("""COMPUTED_VALUE"""),"ITBISA-DC-TO-DC-STEPUP-XL6009")</f>
        <v>ITBISA-DC-TO-DC-STEPUP-XL6009</v>
      </c>
      <c r="B1252" s="165">
        <f>IFERROR(__xludf.DUMMYFUNCTION("""COMPUTED_VALUE"""),46192.0)</f>
        <v>46192</v>
      </c>
      <c r="C1252" s="165" t="str">
        <f>IFERROR(__xludf.DUMMYFUNCTION("""COMPUTED_VALUE"""),"KYAI KONTONG")</f>
        <v>KYAI KONTONG</v>
      </c>
      <c r="D1252" s="94">
        <f>IFERROR(__xludf.DUMMYFUNCTION("""COMPUTED_VALUE"""),1.0)</f>
        <v>1</v>
      </c>
    </row>
    <row r="1253">
      <c r="A1253" s="87" t="str">
        <f>IFERROR(__xludf.DUMMYFUNCTION("""COMPUTED_VALUE"""),"ITBISA-DC-TO-DC-STEPUP-XL6009")</f>
        <v>ITBISA-DC-TO-DC-STEPUP-XL6009</v>
      </c>
      <c r="B1253" s="165">
        <f>IFERROR(__xludf.DUMMYFUNCTION("""COMPUTED_VALUE"""),46192.0)</f>
        <v>46192</v>
      </c>
      <c r="C1253" s="165" t="str">
        <f>IFERROR(__xludf.DUMMYFUNCTION("""COMPUTED_VALUE"""),"KYAI KONTONG")</f>
        <v>KYAI KONTONG</v>
      </c>
      <c r="D1253" s="94">
        <f>IFERROR(__xludf.DUMMYFUNCTION("""COMPUTED_VALUE"""),1.0)</f>
        <v>1</v>
      </c>
    </row>
    <row r="1254">
      <c r="A1254" s="87" t="str">
        <f>IFERROR(__xludf.DUMMYFUNCTION("""COMPUTED_VALUE"""),"ITBISA-DC-TO-DC-STEPUP-XL6009")</f>
        <v>ITBISA-DC-TO-DC-STEPUP-XL6009</v>
      </c>
      <c r="B1254" s="165">
        <f>IFERROR(__xludf.DUMMYFUNCTION("""COMPUTED_VALUE"""),46192.0)</f>
        <v>46192</v>
      </c>
      <c r="C1254" s="165" t="str">
        <f>IFERROR(__xludf.DUMMYFUNCTION("""COMPUTED_VALUE"""),"KYAI KONTONG")</f>
        <v>KYAI KONTONG</v>
      </c>
      <c r="D1254" s="94">
        <f>IFERROR(__xludf.DUMMYFUNCTION("""COMPUTED_VALUE"""),1.0)</f>
        <v>1</v>
      </c>
    </row>
    <row r="1255">
      <c r="A1255" s="87" t="str">
        <f>IFERROR(__xludf.DUMMYFUNCTION("""COMPUTED_VALUE"""),"ITBISA-DC-TO-DC-STEPUP-XL6009")</f>
        <v>ITBISA-DC-TO-DC-STEPUP-XL6009</v>
      </c>
      <c r="B1255" s="165">
        <f>IFERROR(__xludf.DUMMYFUNCTION("""COMPUTED_VALUE"""),46192.0)</f>
        <v>46192</v>
      </c>
      <c r="C1255" s="165" t="str">
        <f>IFERROR(__xludf.DUMMYFUNCTION("""COMPUTED_VALUE"""),"KYAI KONTONG")</f>
        <v>KYAI KONTONG</v>
      </c>
      <c r="D1255" s="94">
        <f>IFERROR(__xludf.DUMMYFUNCTION("""COMPUTED_VALUE"""),2.0)</f>
        <v>2</v>
      </c>
    </row>
    <row r="1256">
      <c r="A1256" s="87" t="str">
        <f>IFERROR(__xludf.DUMMYFUNCTION("""COMPUTED_VALUE"""),"ITBISA-DC-TO-DC-STEPUP-XL6009")</f>
        <v>ITBISA-DC-TO-DC-STEPUP-XL6009</v>
      </c>
      <c r="B1256" s="165">
        <f>IFERROR(__xludf.DUMMYFUNCTION("""COMPUTED_VALUE"""),46192.0)</f>
        <v>46192</v>
      </c>
      <c r="C1256" s="165" t="str">
        <f>IFERROR(__xludf.DUMMYFUNCTION("""COMPUTED_VALUE"""),"KYAI KONTONG")</f>
        <v>KYAI KONTONG</v>
      </c>
      <c r="D1256" s="94">
        <f>IFERROR(__xludf.DUMMYFUNCTION("""COMPUTED_VALUE"""),5.0)</f>
        <v>5</v>
      </c>
    </row>
    <row r="1257">
      <c r="A1257" s="87" t="str">
        <f>IFERROR(__xludf.DUMMYFUNCTION("""COMPUTED_VALUE"""),"ITBISA-DC-TO-DC-STEPUP-XL6009")</f>
        <v>ITBISA-DC-TO-DC-STEPUP-XL6009</v>
      </c>
      <c r="B1257" s="165">
        <f>IFERROR(__xludf.DUMMYFUNCTION("""COMPUTED_VALUE"""),46193.0)</f>
        <v>46193</v>
      </c>
      <c r="C1257" s="165" t="str">
        <f>IFERROR(__xludf.DUMMYFUNCTION("""COMPUTED_VALUE"""),"KYAI KONTONG")</f>
        <v>KYAI KONTONG</v>
      </c>
      <c r="D1257" s="94">
        <f>IFERROR(__xludf.DUMMYFUNCTION("""COMPUTED_VALUE"""),1.0)</f>
        <v>1</v>
      </c>
    </row>
    <row r="1258">
      <c r="A1258" s="87" t="str">
        <f>IFERROR(__xludf.DUMMYFUNCTION("""COMPUTED_VALUE"""),"ITBISA-DC-TO-DC-STEPUP-XL6009")</f>
        <v>ITBISA-DC-TO-DC-STEPUP-XL6009</v>
      </c>
      <c r="B1258" s="165">
        <f>IFERROR(__xludf.DUMMYFUNCTION("""COMPUTED_VALUE"""),46193.0)</f>
        <v>46193</v>
      </c>
      <c r="C1258" s="165" t="str">
        <f>IFERROR(__xludf.DUMMYFUNCTION("""COMPUTED_VALUE"""),"KYAI KONTONG")</f>
        <v>KYAI KONTONG</v>
      </c>
      <c r="D1258" s="94">
        <f>IFERROR(__xludf.DUMMYFUNCTION("""COMPUTED_VALUE"""),1.0)</f>
        <v>1</v>
      </c>
    </row>
    <row r="1259">
      <c r="A1259" s="87" t="str">
        <f>IFERROR(__xludf.DUMMYFUNCTION("""COMPUTED_VALUE"""),"ITBISA-DC-TO-DC-STEPUP-XL6009")</f>
        <v>ITBISA-DC-TO-DC-STEPUP-XL6009</v>
      </c>
      <c r="B1259" s="165">
        <f>IFERROR(__xludf.DUMMYFUNCTION("""COMPUTED_VALUE"""),46193.0)</f>
        <v>46193</v>
      </c>
      <c r="C1259" s="165" t="str">
        <f>IFERROR(__xludf.DUMMYFUNCTION("""COMPUTED_VALUE"""),"KYAI KONTONG")</f>
        <v>KYAI KONTONG</v>
      </c>
      <c r="D1259" s="94">
        <f>IFERROR(__xludf.DUMMYFUNCTION("""COMPUTED_VALUE"""),1.0)</f>
        <v>1</v>
      </c>
    </row>
    <row r="1260">
      <c r="A1260" s="87" t="str">
        <f>IFERROR(__xludf.DUMMYFUNCTION("""COMPUTED_VALUE"""),"ITBISA-DC-TO-DC-STEPUP-XL6009")</f>
        <v>ITBISA-DC-TO-DC-STEPUP-XL6009</v>
      </c>
      <c r="B1260" s="165">
        <f>IFERROR(__xludf.DUMMYFUNCTION("""COMPUTED_VALUE"""),46193.0)</f>
        <v>46193</v>
      </c>
      <c r="C1260" s="165" t="str">
        <f>IFERROR(__xludf.DUMMYFUNCTION("""COMPUTED_VALUE"""),"KYAI KONTONG")</f>
        <v>KYAI KONTONG</v>
      </c>
      <c r="D1260" s="94">
        <f>IFERROR(__xludf.DUMMYFUNCTION("""COMPUTED_VALUE"""),2.0)</f>
        <v>2</v>
      </c>
    </row>
    <row r="1261">
      <c r="A1261" s="87" t="str">
        <f>IFERROR(__xludf.DUMMYFUNCTION("""COMPUTED_VALUE"""),"ITBISA-DC-TO-DC-STEPUP-XL6009")</f>
        <v>ITBISA-DC-TO-DC-STEPUP-XL6009</v>
      </c>
      <c r="B1261" s="165">
        <f>IFERROR(__xludf.DUMMYFUNCTION("""COMPUTED_VALUE"""),46194.0)</f>
        <v>46194</v>
      </c>
      <c r="C1261" s="165" t="str">
        <f>IFERROR(__xludf.DUMMYFUNCTION("""COMPUTED_VALUE"""),"KYAI KONTONG")</f>
        <v>KYAI KONTONG</v>
      </c>
      <c r="D1261" s="94">
        <f>IFERROR(__xludf.DUMMYFUNCTION("""COMPUTED_VALUE"""),1.0)</f>
        <v>1</v>
      </c>
    </row>
    <row r="1262">
      <c r="A1262" s="87" t="str">
        <f>IFERROR(__xludf.DUMMYFUNCTION("""COMPUTED_VALUE"""),"ITBISA-DC-TO-DC-STEPUP-XL6009")</f>
        <v>ITBISA-DC-TO-DC-STEPUP-XL6009</v>
      </c>
      <c r="B1262" s="165">
        <f>IFERROR(__xludf.DUMMYFUNCTION("""COMPUTED_VALUE"""),46194.0)</f>
        <v>46194</v>
      </c>
      <c r="C1262" s="165" t="str">
        <f>IFERROR(__xludf.DUMMYFUNCTION("""COMPUTED_VALUE"""),"KYAI KONTONG")</f>
        <v>KYAI KONTONG</v>
      </c>
      <c r="D1262" s="94">
        <f>IFERROR(__xludf.DUMMYFUNCTION("""COMPUTED_VALUE"""),1.0)</f>
        <v>1</v>
      </c>
    </row>
    <row r="1263">
      <c r="A1263" s="87" t="str">
        <f>IFERROR(__xludf.DUMMYFUNCTION("""COMPUTED_VALUE"""),"ITBISA-DC-TO-DC-STEPUP-XL6009")</f>
        <v>ITBISA-DC-TO-DC-STEPUP-XL6009</v>
      </c>
      <c r="B1263" s="165">
        <f>IFERROR(__xludf.DUMMYFUNCTION("""COMPUTED_VALUE"""),46194.0)</f>
        <v>46194</v>
      </c>
      <c r="C1263" s="165" t="str">
        <f>IFERROR(__xludf.DUMMYFUNCTION("""COMPUTED_VALUE"""),"KYAI KONTONG")</f>
        <v>KYAI KONTONG</v>
      </c>
      <c r="D1263" s="94">
        <f>IFERROR(__xludf.DUMMYFUNCTION("""COMPUTED_VALUE"""),2.0)</f>
        <v>2</v>
      </c>
    </row>
    <row r="1264">
      <c r="A1264" s="87" t="str">
        <f>IFERROR(__xludf.DUMMYFUNCTION("""COMPUTED_VALUE"""),"ITBISA-DC-TO-DC-STEPUP-XL6009")</f>
        <v>ITBISA-DC-TO-DC-STEPUP-XL6009</v>
      </c>
      <c r="B1264" s="165">
        <f>IFERROR(__xludf.DUMMYFUNCTION("""COMPUTED_VALUE"""),46195.0)</f>
        <v>46195</v>
      </c>
      <c r="C1264" s="165" t="str">
        <f>IFERROR(__xludf.DUMMYFUNCTION("""COMPUTED_VALUE"""),"KYAI KONTONG")</f>
        <v>KYAI KONTONG</v>
      </c>
      <c r="D1264" s="94">
        <f>IFERROR(__xludf.DUMMYFUNCTION("""COMPUTED_VALUE"""),1.0)</f>
        <v>1</v>
      </c>
    </row>
    <row r="1265">
      <c r="A1265" s="87" t="str">
        <f>IFERROR(__xludf.DUMMYFUNCTION("""COMPUTED_VALUE"""),"ITBISA-DC-TO-DC-STEPUP-XL6009")</f>
        <v>ITBISA-DC-TO-DC-STEPUP-XL6009</v>
      </c>
      <c r="B1265" s="165">
        <f>IFERROR(__xludf.DUMMYFUNCTION("""COMPUTED_VALUE"""),46195.0)</f>
        <v>46195</v>
      </c>
      <c r="C1265" s="165" t="str">
        <f>IFERROR(__xludf.DUMMYFUNCTION("""COMPUTED_VALUE"""),"KYAI KONTONG")</f>
        <v>KYAI KONTONG</v>
      </c>
      <c r="D1265" s="94">
        <f>IFERROR(__xludf.DUMMYFUNCTION("""COMPUTED_VALUE"""),1.0)</f>
        <v>1</v>
      </c>
    </row>
    <row r="1266">
      <c r="A1266" s="87" t="str">
        <f>IFERROR(__xludf.DUMMYFUNCTION("""COMPUTED_VALUE"""),"ITBISA-DC-TO-DC-STEPUP-XL6009")</f>
        <v>ITBISA-DC-TO-DC-STEPUP-XL6009</v>
      </c>
      <c r="B1266" s="165">
        <f>IFERROR(__xludf.DUMMYFUNCTION("""COMPUTED_VALUE"""),46195.0)</f>
        <v>46195</v>
      </c>
      <c r="C1266" s="165" t="str">
        <f>IFERROR(__xludf.DUMMYFUNCTION("""COMPUTED_VALUE"""),"KYAI KONTONG")</f>
        <v>KYAI KONTONG</v>
      </c>
      <c r="D1266" s="94">
        <f>IFERROR(__xludf.DUMMYFUNCTION("""COMPUTED_VALUE"""),1.0)</f>
        <v>1</v>
      </c>
    </row>
    <row r="1267">
      <c r="A1267" s="87" t="str">
        <f>IFERROR(__xludf.DUMMYFUNCTION("""COMPUTED_VALUE"""),"ITBISA-DC-TO-DC-STEPUP-XL6009")</f>
        <v>ITBISA-DC-TO-DC-STEPUP-XL6009</v>
      </c>
      <c r="B1267" s="165">
        <f>IFERROR(__xludf.DUMMYFUNCTION("""COMPUTED_VALUE"""),46195.0)</f>
        <v>46195</v>
      </c>
      <c r="C1267" s="165" t="str">
        <f>IFERROR(__xludf.DUMMYFUNCTION("""COMPUTED_VALUE"""),"KYAI KONTONG")</f>
        <v>KYAI KONTONG</v>
      </c>
      <c r="D1267" s="94">
        <f>IFERROR(__xludf.DUMMYFUNCTION("""COMPUTED_VALUE"""),1.0)</f>
        <v>1</v>
      </c>
    </row>
    <row r="1268">
      <c r="A1268" s="87" t="str">
        <f>IFERROR(__xludf.DUMMYFUNCTION("""COMPUTED_VALUE"""),"ITBISA-DC-TO-DC-STEPUP-XL6009")</f>
        <v>ITBISA-DC-TO-DC-STEPUP-XL6009</v>
      </c>
      <c r="B1268" s="165">
        <f>IFERROR(__xludf.DUMMYFUNCTION("""COMPUTED_VALUE"""),46195.0)</f>
        <v>46195</v>
      </c>
      <c r="C1268" s="165" t="str">
        <f>IFERROR(__xludf.DUMMYFUNCTION("""COMPUTED_VALUE"""),"KYAI KONTONG")</f>
        <v>KYAI KONTONG</v>
      </c>
      <c r="D1268" s="94">
        <f>IFERROR(__xludf.DUMMYFUNCTION("""COMPUTED_VALUE"""),3.0)</f>
        <v>3</v>
      </c>
    </row>
    <row r="1269">
      <c r="A1269" s="87" t="str">
        <f>IFERROR(__xludf.DUMMYFUNCTION("""COMPUTED_VALUE"""),"ITBISA-DC-TO-DC-STEPUP-XL6009")</f>
        <v>ITBISA-DC-TO-DC-STEPUP-XL6009</v>
      </c>
      <c r="B1269" s="165">
        <f>IFERROR(__xludf.DUMMYFUNCTION("""COMPUTED_VALUE"""),46196.0)</f>
        <v>46196</v>
      </c>
      <c r="C1269" s="165" t="str">
        <f>IFERROR(__xludf.DUMMYFUNCTION("""COMPUTED_VALUE"""),"KYAI KONTONG")</f>
        <v>KYAI KONTONG</v>
      </c>
      <c r="D1269" s="94">
        <f>IFERROR(__xludf.DUMMYFUNCTION("""COMPUTED_VALUE"""),1.0)</f>
        <v>1</v>
      </c>
    </row>
    <row r="1270">
      <c r="A1270" s="87" t="str">
        <f>IFERROR(__xludf.DUMMYFUNCTION("""COMPUTED_VALUE"""),"ITBISA-DC-TO-DC-STEPUP-XL6009")</f>
        <v>ITBISA-DC-TO-DC-STEPUP-XL6009</v>
      </c>
      <c r="B1270" s="165">
        <f>IFERROR(__xludf.DUMMYFUNCTION("""COMPUTED_VALUE"""),46197.0)</f>
        <v>46197</v>
      </c>
      <c r="C1270" s="165" t="str">
        <f>IFERROR(__xludf.DUMMYFUNCTION("""COMPUTED_VALUE"""),"KYAI KONTONG")</f>
        <v>KYAI KONTONG</v>
      </c>
      <c r="D1270" s="94">
        <f>IFERROR(__xludf.DUMMYFUNCTION("""COMPUTED_VALUE"""),1.0)</f>
        <v>1</v>
      </c>
    </row>
    <row r="1271">
      <c r="A1271" s="87" t="str">
        <f>IFERROR(__xludf.DUMMYFUNCTION("""COMPUTED_VALUE"""),"ITBISA-DC-TO-DC-STEPUP-XL6009")</f>
        <v>ITBISA-DC-TO-DC-STEPUP-XL6009</v>
      </c>
      <c r="B1271" s="165">
        <f>IFERROR(__xludf.DUMMYFUNCTION("""COMPUTED_VALUE"""),46197.0)</f>
        <v>46197</v>
      </c>
      <c r="C1271" s="165" t="str">
        <f>IFERROR(__xludf.DUMMYFUNCTION("""COMPUTED_VALUE"""),"KYAI KONTONG")</f>
        <v>KYAI KONTONG</v>
      </c>
      <c r="D1271" s="94">
        <f>IFERROR(__xludf.DUMMYFUNCTION("""COMPUTED_VALUE"""),1.0)</f>
        <v>1</v>
      </c>
    </row>
    <row r="1272">
      <c r="A1272" s="87" t="str">
        <f>IFERROR(__xludf.DUMMYFUNCTION("""COMPUTED_VALUE"""),"ITBISA-DC-TO-DC-STEPUP-XL6009")</f>
        <v>ITBISA-DC-TO-DC-STEPUP-XL6009</v>
      </c>
      <c r="B1272" s="165">
        <f>IFERROR(__xludf.DUMMYFUNCTION("""COMPUTED_VALUE"""),46197.0)</f>
        <v>46197</v>
      </c>
      <c r="C1272" s="165" t="str">
        <f>IFERROR(__xludf.DUMMYFUNCTION("""COMPUTED_VALUE"""),"KYAI KONTONG")</f>
        <v>KYAI KONTONG</v>
      </c>
      <c r="D1272" s="94">
        <f>IFERROR(__xludf.DUMMYFUNCTION("""COMPUTED_VALUE"""),1.0)</f>
        <v>1</v>
      </c>
    </row>
    <row r="1273">
      <c r="A1273" s="87" t="str">
        <f>IFERROR(__xludf.DUMMYFUNCTION("""COMPUTED_VALUE"""),"ITBISA-DC-TO-DC-STEPUP-XL6009")</f>
        <v>ITBISA-DC-TO-DC-STEPUP-XL6009</v>
      </c>
      <c r="B1273" s="165">
        <f>IFERROR(__xludf.DUMMYFUNCTION("""COMPUTED_VALUE"""),46197.0)</f>
        <v>46197</v>
      </c>
      <c r="C1273" s="165" t="str">
        <f>IFERROR(__xludf.DUMMYFUNCTION("""COMPUTED_VALUE"""),"KYAI KONTONG")</f>
        <v>KYAI KONTONG</v>
      </c>
      <c r="D1273" s="94">
        <f>IFERROR(__xludf.DUMMYFUNCTION("""COMPUTED_VALUE"""),1.0)</f>
        <v>1</v>
      </c>
    </row>
    <row r="1274">
      <c r="A1274" s="87" t="str">
        <f>IFERROR(__xludf.DUMMYFUNCTION("""COMPUTED_VALUE"""),"ITBISA-DC-TO-DC-STEPUP-XL6009")</f>
        <v>ITBISA-DC-TO-DC-STEPUP-XL6009</v>
      </c>
      <c r="B1274" s="165">
        <f>IFERROR(__xludf.DUMMYFUNCTION("""COMPUTED_VALUE"""),46197.0)</f>
        <v>46197</v>
      </c>
      <c r="C1274" s="165" t="str">
        <f>IFERROR(__xludf.DUMMYFUNCTION("""COMPUTED_VALUE"""),"KYAI KONTONG")</f>
        <v>KYAI KONTONG</v>
      </c>
      <c r="D1274" s="94">
        <f>IFERROR(__xludf.DUMMYFUNCTION("""COMPUTED_VALUE"""),2.0)</f>
        <v>2</v>
      </c>
    </row>
    <row r="1275">
      <c r="A1275" s="87" t="str">
        <f>IFERROR(__xludf.DUMMYFUNCTION("""COMPUTED_VALUE"""),"ITBISA-DIODA-1N4007-DO41")</f>
        <v>ITBISA-DIODA-1N4007-DO41</v>
      </c>
      <c r="B1275" s="165">
        <f>IFERROR(__xludf.DUMMYFUNCTION("""COMPUTED_VALUE"""),46169.0)</f>
        <v>46169</v>
      </c>
      <c r="C1275" s="165" t="str">
        <f>IFERROR(__xludf.DUMMYFUNCTION("""COMPUTED_VALUE"""),"KYAI KONTONG")</f>
        <v>KYAI KONTONG</v>
      </c>
      <c r="D1275" s="94">
        <f>IFERROR(__xludf.DUMMYFUNCTION("""COMPUTED_VALUE"""),10.0)</f>
        <v>10</v>
      </c>
    </row>
    <row r="1276">
      <c r="A1276" s="87" t="str">
        <f>IFERROR(__xludf.DUMMYFUNCTION("""COMPUTED_VALUE"""),"ITBISA-DIODA-1N4007-DO41")</f>
        <v>ITBISA-DIODA-1N4007-DO41</v>
      </c>
      <c r="B1276" s="165">
        <f>IFERROR(__xludf.DUMMYFUNCTION("""COMPUTED_VALUE"""),46170.0)</f>
        <v>46170</v>
      </c>
      <c r="C1276" s="165" t="str">
        <f>IFERROR(__xludf.DUMMYFUNCTION("""COMPUTED_VALUE"""),"KYAI KONTONG")</f>
        <v>KYAI KONTONG</v>
      </c>
      <c r="D1276" s="94">
        <f>IFERROR(__xludf.DUMMYFUNCTION("""COMPUTED_VALUE"""),10.0)</f>
        <v>10</v>
      </c>
    </row>
    <row r="1277">
      <c r="A1277" s="87" t="str">
        <f>IFERROR(__xludf.DUMMYFUNCTION("""COMPUTED_VALUE"""),"ITBISA-DIODA-1N4007-DO41")</f>
        <v>ITBISA-DIODA-1N4007-DO41</v>
      </c>
      <c r="B1277" s="165">
        <f>IFERROR(__xludf.DUMMYFUNCTION("""COMPUTED_VALUE"""),46185.0)</f>
        <v>46185</v>
      </c>
      <c r="C1277" s="165" t="str">
        <f>IFERROR(__xludf.DUMMYFUNCTION("""COMPUTED_VALUE"""),"KYAI KONTONG")</f>
        <v>KYAI KONTONG</v>
      </c>
      <c r="D1277" s="94">
        <f>IFERROR(__xludf.DUMMYFUNCTION("""COMPUTED_VALUE"""),10.0)</f>
        <v>10</v>
      </c>
    </row>
    <row r="1278">
      <c r="A1278" s="87" t="str">
        <f>IFERROR(__xludf.DUMMYFUNCTION("""COMPUTED_VALUE"""),"ITBISA-I2C-IIC-LCD")</f>
        <v>ITBISA-I2C-IIC-LCD</v>
      </c>
      <c r="B1278" s="165">
        <f>IFERROR(__xludf.DUMMYFUNCTION("""COMPUTED_VALUE"""),46023.0)</f>
        <v>46023</v>
      </c>
      <c r="C1278" s="165" t="str">
        <f>IFERROR(__xludf.DUMMYFUNCTION("""COMPUTED_VALUE"""),"KYAI KONTONG")</f>
        <v>KYAI KONTONG</v>
      </c>
      <c r="D1278" s="94">
        <f>IFERROR(__xludf.DUMMYFUNCTION("""COMPUTED_VALUE"""),1.0)</f>
        <v>1</v>
      </c>
    </row>
    <row r="1279">
      <c r="A1279" s="87" t="str">
        <f>IFERROR(__xludf.DUMMYFUNCTION("""COMPUTED_VALUE"""),"ITBISA-I2C-IIC-LCD")</f>
        <v>ITBISA-I2C-IIC-LCD</v>
      </c>
      <c r="B1279" s="165">
        <f>IFERROR(__xludf.DUMMYFUNCTION("""COMPUTED_VALUE"""),46024.0)</f>
        <v>46024</v>
      </c>
      <c r="C1279" s="165" t="str">
        <f>IFERROR(__xludf.DUMMYFUNCTION("""COMPUTED_VALUE"""),"KYAI KONTONG")</f>
        <v>KYAI KONTONG</v>
      </c>
      <c r="D1279" s="94">
        <f>IFERROR(__xludf.DUMMYFUNCTION("""COMPUTED_VALUE"""),1.0)</f>
        <v>1</v>
      </c>
    </row>
    <row r="1280">
      <c r="A1280" s="87" t="str">
        <f>IFERROR(__xludf.DUMMYFUNCTION("""COMPUTED_VALUE"""),"ITBISA-I2C-IIC-LCD")</f>
        <v>ITBISA-I2C-IIC-LCD</v>
      </c>
      <c r="B1280" s="165">
        <f>IFERROR(__xludf.DUMMYFUNCTION("""COMPUTED_VALUE"""),46025.0)</f>
        <v>46025</v>
      </c>
      <c r="C1280" s="165" t="str">
        <f>IFERROR(__xludf.DUMMYFUNCTION("""COMPUTED_VALUE"""),"KYAI KONTONG")</f>
        <v>KYAI KONTONG</v>
      </c>
      <c r="D1280" s="94">
        <f>IFERROR(__xludf.DUMMYFUNCTION("""COMPUTED_VALUE"""),1.0)</f>
        <v>1</v>
      </c>
    </row>
    <row r="1281">
      <c r="A1281" s="87" t="str">
        <f>IFERROR(__xludf.DUMMYFUNCTION("""COMPUTED_VALUE"""),"ITBISA-I2C-IIC-LCD")</f>
        <v>ITBISA-I2C-IIC-LCD</v>
      </c>
      <c r="B1281" s="165">
        <f>IFERROR(__xludf.DUMMYFUNCTION("""COMPUTED_VALUE"""),46057.0)</f>
        <v>46057</v>
      </c>
      <c r="C1281" s="165" t="str">
        <f>IFERROR(__xludf.DUMMYFUNCTION("""COMPUTED_VALUE"""),"KYAI KONTONG")</f>
        <v>KYAI KONTONG</v>
      </c>
      <c r="D1281" s="94">
        <f>IFERROR(__xludf.DUMMYFUNCTION("""COMPUTED_VALUE"""),3.0)</f>
        <v>3</v>
      </c>
    </row>
    <row r="1282">
      <c r="A1282" s="87" t="str">
        <f>IFERROR(__xludf.DUMMYFUNCTION("""COMPUTED_VALUE"""),"ITBISA-I2C-IIC-LCD")</f>
        <v>ITBISA-I2C-IIC-LCD</v>
      </c>
      <c r="B1282" s="165">
        <f>IFERROR(__xludf.DUMMYFUNCTION("""COMPUTED_VALUE"""),46076.0)</f>
        <v>46076</v>
      </c>
      <c r="C1282" s="165" t="str">
        <f>IFERROR(__xludf.DUMMYFUNCTION("""COMPUTED_VALUE"""),"KYAI KONTONG")</f>
        <v>KYAI KONTONG</v>
      </c>
      <c r="D1282" s="94">
        <f>IFERROR(__xludf.DUMMYFUNCTION("""COMPUTED_VALUE"""),1.0)</f>
        <v>1</v>
      </c>
    </row>
    <row r="1283">
      <c r="A1283" s="87" t="str">
        <f>IFERROR(__xludf.DUMMYFUNCTION("""COMPUTED_VALUE"""),"ITBISA-I2C-IIC-LCD")</f>
        <v>ITBISA-I2C-IIC-LCD</v>
      </c>
      <c r="B1283" s="165">
        <f>IFERROR(__xludf.DUMMYFUNCTION("""COMPUTED_VALUE"""),46083.0)</f>
        <v>46083</v>
      </c>
      <c r="C1283" s="165" t="str">
        <f>IFERROR(__xludf.DUMMYFUNCTION("""COMPUTED_VALUE"""),"KYAI KONTONG")</f>
        <v>KYAI KONTONG</v>
      </c>
      <c r="D1283" s="94">
        <f>IFERROR(__xludf.DUMMYFUNCTION("""COMPUTED_VALUE"""),1.0)</f>
        <v>1</v>
      </c>
    </row>
    <row r="1284">
      <c r="A1284" s="87" t="str">
        <f>IFERROR(__xludf.DUMMYFUNCTION("""COMPUTED_VALUE"""),"ITBISA-I2C-IIC-LCD")</f>
        <v>ITBISA-I2C-IIC-LCD</v>
      </c>
      <c r="B1284" s="165">
        <f>IFERROR(__xludf.DUMMYFUNCTION("""COMPUTED_VALUE"""),46083.0)</f>
        <v>46083</v>
      </c>
      <c r="C1284" s="165" t="str">
        <f>IFERROR(__xludf.DUMMYFUNCTION("""COMPUTED_VALUE"""),"KYAI KONTONG")</f>
        <v>KYAI KONTONG</v>
      </c>
      <c r="D1284" s="94">
        <f>IFERROR(__xludf.DUMMYFUNCTION("""COMPUTED_VALUE"""),3.0)</f>
        <v>3</v>
      </c>
    </row>
    <row r="1285">
      <c r="A1285" s="87" t="str">
        <f>IFERROR(__xludf.DUMMYFUNCTION("""COMPUTED_VALUE"""),"ITBISA-I2C-IIC-LCD")</f>
        <v>ITBISA-I2C-IIC-LCD</v>
      </c>
      <c r="B1285" s="165">
        <f>IFERROR(__xludf.DUMMYFUNCTION("""COMPUTED_VALUE"""),46084.0)</f>
        <v>46084</v>
      </c>
      <c r="C1285" s="165" t="str">
        <f>IFERROR(__xludf.DUMMYFUNCTION("""COMPUTED_VALUE"""),"KYAI KONTONG")</f>
        <v>KYAI KONTONG</v>
      </c>
      <c r="D1285" s="94">
        <f>IFERROR(__xludf.DUMMYFUNCTION("""COMPUTED_VALUE"""),4.0)</f>
        <v>4</v>
      </c>
    </row>
    <row r="1286">
      <c r="A1286" s="87" t="str">
        <f>IFERROR(__xludf.DUMMYFUNCTION("""COMPUTED_VALUE"""),"ITBISA-I2C-IIC-LCD")</f>
        <v>ITBISA-I2C-IIC-LCD</v>
      </c>
      <c r="B1286" s="165">
        <f>IFERROR(__xludf.DUMMYFUNCTION("""COMPUTED_VALUE"""),46090.0)</f>
        <v>46090</v>
      </c>
      <c r="C1286" s="165" t="str">
        <f>IFERROR(__xludf.DUMMYFUNCTION("""COMPUTED_VALUE"""),"KYAI KONTONG")</f>
        <v>KYAI KONTONG</v>
      </c>
      <c r="D1286" s="94">
        <f>IFERROR(__xludf.DUMMYFUNCTION("""COMPUTED_VALUE"""),1.0)</f>
        <v>1</v>
      </c>
    </row>
    <row r="1287">
      <c r="A1287" s="87" t="str">
        <f>IFERROR(__xludf.DUMMYFUNCTION("""COMPUTED_VALUE"""),"ITBISA-I2C-IIC-LCD")</f>
        <v>ITBISA-I2C-IIC-LCD</v>
      </c>
      <c r="B1287" s="165">
        <f>IFERROR(__xludf.DUMMYFUNCTION("""COMPUTED_VALUE"""),46092.0)</f>
        <v>46092</v>
      </c>
      <c r="C1287" s="165" t="str">
        <f>IFERROR(__xludf.DUMMYFUNCTION("""COMPUTED_VALUE"""),"KYAI KONTONG")</f>
        <v>KYAI KONTONG</v>
      </c>
      <c r="D1287" s="94">
        <f>IFERROR(__xludf.DUMMYFUNCTION("""COMPUTED_VALUE"""),1.0)</f>
        <v>1</v>
      </c>
    </row>
    <row r="1288">
      <c r="A1288" s="87" t="str">
        <f>IFERROR(__xludf.DUMMYFUNCTION("""COMPUTED_VALUE"""),"ITBISA-I2C-IIC-LCD")</f>
        <v>ITBISA-I2C-IIC-LCD</v>
      </c>
      <c r="B1288" s="165">
        <f>IFERROR(__xludf.DUMMYFUNCTION("""COMPUTED_VALUE"""),46103.0)</f>
        <v>46103</v>
      </c>
      <c r="C1288" s="165" t="str">
        <f>IFERROR(__xludf.DUMMYFUNCTION("""COMPUTED_VALUE"""),"KYAI KONTONG")</f>
        <v>KYAI KONTONG</v>
      </c>
      <c r="D1288" s="94">
        <f>IFERROR(__xludf.DUMMYFUNCTION("""COMPUTED_VALUE"""),1.0)</f>
        <v>1</v>
      </c>
    </row>
    <row r="1289">
      <c r="A1289" s="87" t="str">
        <f>IFERROR(__xludf.DUMMYFUNCTION("""COMPUTED_VALUE"""),"ITBISA-I2C-IIC-LCD")</f>
        <v>ITBISA-I2C-IIC-LCD</v>
      </c>
      <c r="B1289" s="165">
        <f>IFERROR(__xludf.DUMMYFUNCTION("""COMPUTED_VALUE"""),46120.0)</f>
        <v>46120</v>
      </c>
      <c r="C1289" s="165" t="str">
        <f>IFERROR(__xludf.DUMMYFUNCTION("""COMPUTED_VALUE"""),"KYAI KONTONG")</f>
        <v>KYAI KONTONG</v>
      </c>
      <c r="D1289" s="94">
        <f>IFERROR(__xludf.DUMMYFUNCTION("""COMPUTED_VALUE"""),2.0)</f>
        <v>2</v>
      </c>
    </row>
    <row r="1290">
      <c r="A1290" s="87" t="str">
        <f>IFERROR(__xludf.DUMMYFUNCTION("""COMPUTED_VALUE"""),"ITBISA-I2C-IIC-LCD")</f>
        <v>ITBISA-I2C-IIC-LCD</v>
      </c>
      <c r="B1290" s="165">
        <f>IFERROR(__xludf.DUMMYFUNCTION("""COMPUTED_VALUE"""),46121.0)</f>
        <v>46121</v>
      </c>
      <c r="C1290" s="165" t="str">
        <f>IFERROR(__xludf.DUMMYFUNCTION("""COMPUTED_VALUE"""),"KYAI KONTONG")</f>
        <v>KYAI KONTONG</v>
      </c>
      <c r="D1290" s="94">
        <f>IFERROR(__xludf.DUMMYFUNCTION("""COMPUTED_VALUE"""),2.0)</f>
        <v>2</v>
      </c>
    </row>
    <row r="1291">
      <c r="A1291" s="87" t="str">
        <f>IFERROR(__xludf.DUMMYFUNCTION("""COMPUTED_VALUE"""),"ITBISA-I2C-IIC-LCD")</f>
        <v>ITBISA-I2C-IIC-LCD</v>
      </c>
      <c r="B1291" s="165">
        <f>IFERROR(__xludf.DUMMYFUNCTION("""COMPUTED_VALUE"""),46132.0)</f>
        <v>46132</v>
      </c>
      <c r="C1291" s="165" t="str">
        <f>IFERROR(__xludf.DUMMYFUNCTION("""COMPUTED_VALUE"""),"KYAI KONTONG")</f>
        <v>KYAI KONTONG</v>
      </c>
      <c r="D1291" s="94">
        <f>IFERROR(__xludf.DUMMYFUNCTION("""COMPUTED_VALUE"""),1.0)</f>
        <v>1</v>
      </c>
    </row>
    <row r="1292">
      <c r="A1292" s="87" t="str">
        <f>IFERROR(__xludf.DUMMYFUNCTION("""COMPUTED_VALUE"""),"ITBISA-I2C-IIC-LCD")</f>
        <v>ITBISA-I2C-IIC-LCD</v>
      </c>
      <c r="B1292" s="165">
        <f>IFERROR(__xludf.DUMMYFUNCTION("""COMPUTED_VALUE"""),46145.0)</f>
        <v>46145</v>
      </c>
      <c r="C1292" s="165" t="str">
        <f>IFERROR(__xludf.DUMMYFUNCTION("""COMPUTED_VALUE"""),"KYAI KONTONG")</f>
        <v>KYAI KONTONG</v>
      </c>
      <c r="D1292" s="94">
        <f>IFERROR(__xludf.DUMMYFUNCTION("""COMPUTED_VALUE"""),1.0)</f>
        <v>1</v>
      </c>
    </row>
    <row r="1293">
      <c r="A1293" s="87" t="str">
        <f>IFERROR(__xludf.DUMMYFUNCTION("""COMPUTED_VALUE"""),"ITBISA-I2C-IIC-LCD")</f>
        <v>ITBISA-I2C-IIC-LCD</v>
      </c>
      <c r="B1293" s="165">
        <f>IFERROR(__xludf.DUMMYFUNCTION("""COMPUTED_VALUE"""),46147.0)</f>
        <v>46147</v>
      </c>
      <c r="C1293" s="165" t="str">
        <f>IFERROR(__xludf.DUMMYFUNCTION("""COMPUTED_VALUE"""),"KYAI KONTONG")</f>
        <v>KYAI KONTONG</v>
      </c>
      <c r="D1293" s="94">
        <f>IFERROR(__xludf.DUMMYFUNCTION("""COMPUTED_VALUE"""),1.0)</f>
        <v>1</v>
      </c>
    </row>
    <row r="1294">
      <c r="A1294" s="87" t="str">
        <f>IFERROR(__xludf.DUMMYFUNCTION("""COMPUTED_VALUE"""),"ITBISA-I2C-IIC-LCD")</f>
        <v>ITBISA-I2C-IIC-LCD</v>
      </c>
      <c r="B1294" s="165">
        <f>IFERROR(__xludf.DUMMYFUNCTION("""COMPUTED_VALUE"""),46151.0)</f>
        <v>46151</v>
      </c>
      <c r="C1294" s="165" t="str">
        <f>IFERROR(__xludf.DUMMYFUNCTION("""COMPUTED_VALUE"""),"KYAI KONTONG")</f>
        <v>KYAI KONTONG</v>
      </c>
      <c r="D1294" s="94">
        <f>IFERROR(__xludf.DUMMYFUNCTION("""COMPUTED_VALUE"""),15.0)</f>
        <v>15</v>
      </c>
    </row>
    <row r="1295">
      <c r="A1295" s="87" t="str">
        <f>IFERROR(__xludf.DUMMYFUNCTION("""COMPUTED_VALUE"""),"ITBISA-I2C-IIC-LCD")</f>
        <v>ITBISA-I2C-IIC-LCD</v>
      </c>
      <c r="B1295" s="165">
        <f>IFERROR(__xludf.DUMMYFUNCTION("""COMPUTED_VALUE"""),46156.0)</f>
        <v>46156</v>
      </c>
      <c r="C1295" s="165" t="str">
        <f>IFERROR(__xludf.DUMMYFUNCTION("""COMPUTED_VALUE"""),"KYAI KONTONG")</f>
        <v>KYAI KONTONG</v>
      </c>
      <c r="D1295" s="94">
        <f>IFERROR(__xludf.DUMMYFUNCTION("""COMPUTED_VALUE"""),1.0)</f>
        <v>1</v>
      </c>
    </row>
    <row r="1296">
      <c r="A1296" s="87" t="str">
        <f>IFERROR(__xludf.DUMMYFUNCTION("""COMPUTED_VALUE"""),"ITBISA-I2C-IIC-LCD")</f>
        <v>ITBISA-I2C-IIC-LCD</v>
      </c>
      <c r="B1296" s="165">
        <f>IFERROR(__xludf.DUMMYFUNCTION("""COMPUTED_VALUE"""),46157.0)</f>
        <v>46157</v>
      </c>
      <c r="C1296" s="165" t="str">
        <f>IFERROR(__xludf.DUMMYFUNCTION("""COMPUTED_VALUE"""),"KYAI KONTONG")</f>
        <v>KYAI KONTONG</v>
      </c>
      <c r="D1296" s="94">
        <f>IFERROR(__xludf.DUMMYFUNCTION("""COMPUTED_VALUE"""),1.0)</f>
        <v>1</v>
      </c>
    </row>
    <row r="1297">
      <c r="A1297" s="87" t="str">
        <f>IFERROR(__xludf.DUMMYFUNCTION("""COMPUTED_VALUE"""),"ITBISA-I2C-IIC-LCD")</f>
        <v>ITBISA-I2C-IIC-LCD</v>
      </c>
      <c r="B1297" s="165">
        <f>IFERROR(__xludf.DUMMYFUNCTION("""COMPUTED_VALUE"""),46160.0)</f>
        <v>46160</v>
      </c>
      <c r="C1297" s="165" t="str">
        <f>IFERROR(__xludf.DUMMYFUNCTION("""COMPUTED_VALUE"""),"KYAI KONTONG")</f>
        <v>KYAI KONTONG</v>
      </c>
      <c r="D1297" s="94">
        <f>IFERROR(__xludf.DUMMYFUNCTION("""COMPUTED_VALUE"""),1.0)</f>
        <v>1</v>
      </c>
    </row>
    <row r="1298">
      <c r="A1298" s="87" t="str">
        <f>IFERROR(__xludf.DUMMYFUNCTION("""COMPUTED_VALUE"""),"ITBISA-I2C-IIC-LCD")</f>
        <v>ITBISA-I2C-IIC-LCD</v>
      </c>
      <c r="B1298" s="165">
        <f>IFERROR(__xludf.DUMMYFUNCTION("""COMPUTED_VALUE"""),46163.0)</f>
        <v>46163</v>
      </c>
      <c r="C1298" s="165" t="str">
        <f>IFERROR(__xludf.DUMMYFUNCTION("""COMPUTED_VALUE"""),"KYAI KONTONG")</f>
        <v>KYAI KONTONG</v>
      </c>
      <c r="D1298" s="94">
        <f>IFERROR(__xludf.DUMMYFUNCTION("""COMPUTED_VALUE"""),11.0)</f>
        <v>11</v>
      </c>
    </row>
    <row r="1299">
      <c r="A1299" s="87" t="str">
        <f>IFERROR(__xludf.DUMMYFUNCTION("""COMPUTED_VALUE"""),"ITBISA-I2C-IIC-LCD")</f>
        <v>ITBISA-I2C-IIC-LCD</v>
      </c>
      <c r="B1299" s="165">
        <f>IFERROR(__xludf.DUMMYFUNCTION("""COMPUTED_VALUE"""),46166.0)</f>
        <v>46166</v>
      </c>
      <c r="C1299" s="165" t="str">
        <f>IFERROR(__xludf.DUMMYFUNCTION("""COMPUTED_VALUE"""),"KYAI KONTONG")</f>
        <v>KYAI KONTONG</v>
      </c>
      <c r="D1299" s="94">
        <f>IFERROR(__xludf.DUMMYFUNCTION("""COMPUTED_VALUE"""),1.0)</f>
        <v>1</v>
      </c>
    </row>
    <row r="1300">
      <c r="A1300" s="87" t="str">
        <f>IFERROR(__xludf.DUMMYFUNCTION("""COMPUTED_VALUE"""),"ITBISA-I2C-IIC-LCD")</f>
        <v>ITBISA-I2C-IIC-LCD</v>
      </c>
      <c r="B1300" s="165">
        <f>IFERROR(__xludf.DUMMYFUNCTION("""COMPUTED_VALUE"""),46167.0)</f>
        <v>46167</v>
      </c>
      <c r="C1300" s="165" t="str">
        <f>IFERROR(__xludf.DUMMYFUNCTION("""COMPUTED_VALUE"""),"KYAI KONTONG")</f>
        <v>KYAI KONTONG</v>
      </c>
      <c r="D1300" s="94">
        <f>IFERROR(__xludf.DUMMYFUNCTION("""COMPUTED_VALUE"""),1.0)</f>
        <v>1</v>
      </c>
    </row>
    <row r="1301">
      <c r="A1301" s="87" t="str">
        <f>IFERROR(__xludf.DUMMYFUNCTION("""COMPUTED_VALUE"""),"ITBISA-I2C-IIC-LCD")</f>
        <v>ITBISA-I2C-IIC-LCD</v>
      </c>
      <c r="B1301" s="165">
        <f>IFERROR(__xludf.DUMMYFUNCTION("""COMPUTED_VALUE"""),46170.0)</f>
        <v>46170</v>
      </c>
      <c r="C1301" s="165" t="str">
        <f>IFERROR(__xludf.DUMMYFUNCTION("""COMPUTED_VALUE"""),"KYAI KONTONG")</f>
        <v>KYAI KONTONG</v>
      </c>
      <c r="D1301" s="94">
        <f>IFERROR(__xludf.DUMMYFUNCTION("""COMPUTED_VALUE"""),1.0)</f>
        <v>1</v>
      </c>
    </row>
    <row r="1302">
      <c r="A1302" s="87" t="str">
        <f>IFERROR(__xludf.DUMMYFUNCTION("""COMPUTED_VALUE"""),"ITBISA-I2C-IIC-LCD")</f>
        <v>ITBISA-I2C-IIC-LCD</v>
      </c>
      <c r="B1302" s="165">
        <f>IFERROR(__xludf.DUMMYFUNCTION("""COMPUTED_VALUE"""),46172.0)</f>
        <v>46172</v>
      </c>
      <c r="C1302" s="165" t="str">
        <f>IFERROR(__xludf.DUMMYFUNCTION("""COMPUTED_VALUE"""),"KYAI KONTONG")</f>
        <v>KYAI KONTONG</v>
      </c>
      <c r="D1302" s="94">
        <f>IFERROR(__xludf.DUMMYFUNCTION("""COMPUTED_VALUE"""),1.0)</f>
        <v>1</v>
      </c>
    </row>
    <row r="1303">
      <c r="A1303" s="87" t="str">
        <f>IFERROR(__xludf.DUMMYFUNCTION("""COMPUTED_VALUE"""),"ITBISA-I2C-IIC-LCD")</f>
        <v>ITBISA-I2C-IIC-LCD</v>
      </c>
      <c r="B1303" s="165">
        <f>IFERROR(__xludf.DUMMYFUNCTION("""COMPUTED_VALUE"""),46173.0)</f>
        <v>46173</v>
      </c>
      <c r="C1303" s="165" t="str">
        <f>IFERROR(__xludf.DUMMYFUNCTION("""COMPUTED_VALUE"""),"KYAI KONTONG")</f>
        <v>KYAI KONTONG</v>
      </c>
      <c r="D1303" s="94">
        <f>IFERROR(__xludf.DUMMYFUNCTION("""COMPUTED_VALUE"""),1.0)</f>
        <v>1</v>
      </c>
    </row>
    <row r="1304">
      <c r="A1304" s="87" t="str">
        <f>IFERROR(__xludf.DUMMYFUNCTION("""COMPUTED_VALUE"""),"ITBISA-I2C-IIC-LCD")</f>
        <v>ITBISA-I2C-IIC-LCD</v>
      </c>
      <c r="B1304" s="165">
        <f>IFERROR(__xludf.DUMMYFUNCTION("""COMPUTED_VALUE"""),46175.0)</f>
        <v>46175</v>
      </c>
      <c r="C1304" s="165" t="str">
        <f>IFERROR(__xludf.DUMMYFUNCTION("""COMPUTED_VALUE"""),"KYAI KONTONG")</f>
        <v>KYAI KONTONG</v>
      </c>
      <c r="D1304" s="94">
        <f>IFERROR(__xludf.DUMMYFUNCTION("""COMPUTED_VALUE"""),1.0)</f>
        <v>1</v>
      </c>
    </row>
    <row r="1305">
      <c r="A1305" s="87" t="str">
        <f>IFERROR(__xludf.DUMMYFUNCTION("""COMPUTED_VALUE"""),"ITBISA-I2C-IIC-LCD")</f>
        <v>ITBISA-I2C-IIC-LCD</v>
      </c>
      <c r="B1305" s="165">
        <f>IFERROR(__xludf.DUMMYFUNCTION("""COMPUTED_VALUE"""),46176.0)</f>
        <v>46176</v>
      </c>
      <c r="C1305" s="165" t="str">
        <f>IFERROR(__xludf.DUMMYFUNCTION("""COMPUTED_VALUE"""),"KYAI KONTONG")</f>
        <v>KYAI KONTONG</v>
      </c>
      <c r="D1305" s="94">
        <f>IFERROR(__xludf.DUMMYFUNCTION("""COMPUTED_VALUE"""),4.0)</f>
        <v>4</v>
      </c>
    </row>
    <row r="1306">
      <c r="A1306" s="87" t="str">
        <f>IFERROR(__xludf.DUMMYFUNCTION("""COMPUTED_VALUE"""),"ITBISA-I2C-IIC-LCD")</f>
        <v>ITBISA-I2C-IIC-LCD</v>
      </c>
      <c r="B1306" s="165">
        <f>IFERROR(__xludf.DUMMYFUNCTION("""COMPUTED_VALUE"""),46178.0)</f>
        <v>46178</v>
      </c>
      <c r="C1306" s="165" t="str">
        <f>IFERROR(__xludf.DUMMYFUNCTION("""COMPUTED_VALUE"""),"KYAI KONTONG")</f>
        <v>KYAI KONTONG</v>
      </c>
      <c r="D1306" s="94">
        <f>IFERROR(__xludf.DUMMYFUNCTION("""COMPUTED_VALUE"""),2.0)</f>
        <v>2</v>
      </c>
    </row>
    <row r="1307">
      <c r="A1307" s="87" t="str">
        <f>IFERROR(__xludf.DUMMYFUNCTION("""COMPUTED_VALUE"""),"ITBISA-I2C-IIC-LCD")</f>
        <v>ITBISA-I2C-IIC-LCD</v>
      </c>
      <c r="B1307" s="165">
        <f>IFERROR(__xludf.DUMMYFUNCTION("""COMPUTED_VALUE"""),46178.0)</f>
        <v>46178</v>
      </c>
      <c r="C1307" s="165" t="str">
        <f>IFERROR(__xludf.DUMMYFUNCTION("""COMPUTED_VALUE"""),"KYAI KONTONG")</f>
        <v>KYAI KONTONG</v>
      </c>
      <c r="D1307" s="94">
        <f>IFERROR(__xludf.DUMMYFUNCTION("""COMPUTED_VALUE"""),2.0)</f>
        <v>2</v>
      </c>
    </row>
    <row r="1308">
      <c r="A1308" s="87" t="str">
        <f>IFERROR(__xludf.DUMMYFUNCTION("""COMPUTED_VALUE"""),"ITBISA-I2C-IIC-LCD")</f>
        <v>ITBISA-I2C-IIC-LCD</v>
      </c>
      <c r="B1308" s="165">
        <f>IFERROR(__xludf.DUMMYFUNCTION("""COMPUTED_VALUE"""),46179.0)</f>
        <v>46179</v>
      </c>
      <c r="C1308" s="165" t="str">
        <f>IFERROR(__xludf.DUMMYFUNCTION("""COMPUTED_VALUE"""),"KYAI KONTONG")</f>
        <v>KYAI KONTONG</v>
      </c>
      <c r="D1308" s="94">
        <f>IFERROR(__xludf.DUMMYFUNCTION("""COMPUTED_VALUE"""),2.0)</f>
        <v>2</v>
      </c>
    </row>
    <row r="1309">
      <c r="A1309" s="87" t="str">
        <f>IFERROR(__xludf.DUMMYFUNCTION("""COMPUTED_VALUE"""),"ITBISA-I2C-IIC-LCD")</f>
        <v>ITBISA-I2C-IIC-LCD</v>
      </c>
      <c r="B1309" s="165">
        <f>IFERROR(__xludf.DUMMYFUNCTION("""COMPUTED_VALUE"""),46181.0)</f>
        <v>46181</v>
      </c>
      <c r="C1309" s="165" t="str">
        <f>IFERROR(__xludf.DUMMYFUNCTION("""COMPUTED_VALUE"""),"KYAI KONTONG")</f>
        <v>KYAI KONTONG</v>
      </c>
      <c r="D1309" s="94">
        <f>IFERROR(__xludf.DUMMYFUNCTION("""COMPUTED_VALUE"""),1.0)</f>
        <v>1</v>
      </c>
    </row>
    <row r="1310">
      <c r="A1310" s="87" t="str">
        <f>IFERROR(__xludf.DUMMYFUNCTION("""COMPUTED_VALUE"""),"ITBISA-I2C-IIC-LCD")</f>
        <v>ITBISA-I2C-IIC-LCD</v>
      </c>
      <c r="B1310" s="165">
        <f>IFERROR(__xludf.DUMMYFUNCTION("""COMPUTED_VALUE"""),46183.0)</f>
        <v>46183</v>
      </c>
      <c r="C1310" s="165" t="str">
        <f>IFERROR(__xludf.DUMMYFUNCTION("""COMPUTED_VALUE"""),"KYAI KONTONG")</f>
        <v>KYAI KONTONG</v>
      </c>
      <c r="D1310" s="94">
        <f>IFERROR(__xludf.DUMMYFUNCTION("""COMPUTED_VALUE"""),1.0)</f>
        <v>1</v>
      </c>
    </row>
    <row r="1311">
      <c r="A1311" s="87" t="str">
        <f>IFERROR(__xludf.DUMMYFUNCTION("""COMPUTED_VALUE"""),"ITBISA-I2C-IIC-LCD")</f>
        <v>ITBISA-I2C-IIC-LCD</v>
      </c>
      <c r="B1311" s="165">
        <f>IFERROR(__xludf.DUMMYFUNCTION("""COMPUTED_VALUE"""),46186.0)</f>
        <v>46186</v>
      </c>
      <c r="C1311" s="165" t="str">
        <f>IFERROR(__xludf.DUMMYFUNCTION("""COMPUTED_VALUE"""),"KYAI KONTONG")</f>
        <v>KYAI KONTONG</v>
      </c>
      <c r="D1311" s="94">
        <f>IFERROR(__xludf.DUMMYFUNCTION("""COMPUTED_VALUE"""),1.0)</f>
        <v>1</v>
      </c>
    </row>
    <row r="1312">
      <c r="A1312" s="87" t="str">
        <f>IFERROR(__xludf.DUMMYFUNCTION("""COMPUTED_VALUE"""),"ITBISA-I2C-IIC-LCD")</f>
        <v>ITBISA-I2C-IIC-LCD</v>
      </c>
      <c r="B1312" s="165">
        <f>IFERROR(__xludf.DUMMYFUNCTION("""COMPUTED_VALUE"""),46191.0)</f>
        <v>46191</v>
      </c>
      <c r="C1312" s="165" t="str">
        <f>IFERROR(__xludf.DUMMYFUNCTION("""COMPUTED_VALUE"""),"KYAI KONTONG")</f>
        <v>KYAI KONTONG</v>
      </c>
      <c r="D1312" s="94">
        <f>IFERROR(__xludf.DUMMYFUNCTION("""COMPUTED_VALUE"""),1.0)</f>
        <v>1</v>
      </c>
    </row>
    <row r="1313">
      <c r="A1313" s="87" t="str">
        <f>IFERROR(__xludf.DUMMYFUNCTION("""COMPUTED_VALUE"""),"ITBISA-I2C-IIC-LCD")</f>
        <v>ITBISA-I2C-IIC-LCD</v>
      </c>
      <c r="B1313" s="165">
        <f>IFERROR(__xludf.DUMMYFUNCTION("""COMPUTED_VALUE"""),46195.0)</f>
        <v>46195</v>
      </c>
      <c r="C1313" s="165" t="str">
        <f>IFERROR(__xludf.DUMMYFUNCTION("""COMPUTED_VALUE"""),"KYAI KONTONG")</f>
        <v>KYAI KONTONG</v>
      </c>
      <c r="D1313" s="94">
        <f>IFERROR(__xludf.DUMMYFUNCTION("""COMPUTED_VALUE"""),1.0)</f>
        <v>1</v>
      </c>
    </row>
    <row r="1314">
      <c r="A1314" s="87" t="str">
        <f>IFERROR(__xludf.DUMMYFUNCTION("""COMPUTED_VALUE"""),"ITBISA-I2C-IIC-LCD")</f>
        <v>ITBISA-I2C-IIC-LCD</v>
      </c>
      <c r="B1314" s="165">
        <f>IFERROR(__xludf.DUMMYFUNCTION("""COMPUTED_VALUE"""),46195.0)</f>
        <v>46195</v>
      </c>
      <c r="C1314" s="165" t="str">
        <f>IFERROR(__xludf.DUMMYFUNCTION("""COMPUTED_VALUE"""),"KYAI KONTONG")</f>
        <v>KYAI KONTONG</v>
      </c>
      <c r="D1314" s="94">
        <f>IFERROR(__xludf.DUMMYFUNCTION("""COMPUTED_VALUE"""),1.0)</f>
        <v>1</v>
      </c>
    </row>
    <row r="1315">
      <c r="A1315" s="87" t="str">
        <f>IFERROR(__xludf.DUMMYFUNCTION("""COMPUTED_VALUE"""),"ITBISA-I2C-IIC-LCD")</f>
        <v>ITBISA-I2C-IIC-LCD</v>
      </c>
      <c r="B1315" s="165">
        <f>IFERROR(__xludf.DUMMYFUNCTION("""COMPUTED_VALUE"""),46195.0)</f>
        <v>46195</v>
      </c>
      <c r="C1315" s="165" t="str">
        <f>IFERROR(__xludf.DUMMYFUNCTION("""COMPUTED_VALUE"""),"KYAI KONTONG")</f>
        <v>KYAI KONTONG</v>
      </c>
      <c r="D1315" s="94">
        <f>IFERROR(__xludf.DUMMYFUNCTION("""COMPUTED_VALUE"""),1.0)</f>
        <v>1</v>
      </c>
    </row>
    <row r="1316">
      <c r="A1316" s="87" t="str">
        <f>IFERROR(__xludf.DUMMYFUNCTION("""COMPUTED_VALUE"""),"ITBISA-I2C-IIC-LCD")</f>
        <v>ITBISA-I2C-IIC-LCD</v>
      </c>
      <c r="B1316" s="165">
        <f>IFERROR(__xludf.DUMMYFUNCTION("""COMPUTED_VALUE"""),46196.0)</f>
        <v>46196</v>
      </c>
      <c r="C1316" s="165" t="str">
        <f>IFERROR(__xludf.DUMMYFUNCTION("""COMPUTED_VALUE"""),"KYAI KONTONG")</f>
        <v>KYAI KONTONG</v>
      </c>
      <c r="D1316" s="94">
        <f>IFERROR(__xludf.DUMMYFUNCTION("""COMPUTED_VALUE"""),1.0)</f>
        <v>1</v>
      </c>
    </row>
    <row r="1317">
      <c r="A1317" s="87" t="str">
        <f>IFERROR(__xludf.DUMMYFUNCTION("""COMPUTED_VALUE"""),"ITBISA-I2C-IIC-LCD")</f>
        <v>ITBISA-I2C-IIC-LCD</v>
      </c>
      <c r="B1317" s="165">
        <f>IFERROR(__xludf.DUMMYFUNCTION("""COMPUTED_VALUE"""),46196.0)</f>
        <v>46196</v>
      </c>
      <c r="C1317" s="165" t="str">
        <f>IFERROR(__xludf.DUMMYFUNCTION("""COMPUTED_VALUE"""),"KYAI KONTONG")</f>
        <v>KYAI KONTONG</v>
      </c>
      <c r="D1317" s="94">
        <f>IFERROR(__xludf.DUMMYFUNCTION("""COMPUTED_VALUE"""),14.0)</f>
        <v>14</v>
      </c>
    </row>
    <row r="1318">
      <c r="A1318" s="87" t="str">
        <f>IFERROR(__xludf.DUMMYFUNCTION("""COMPUTED_VALUE"""),"ITBISA-I2C-IIC-LCD")</f>
        <v>ITBISA-I2C-IIC-LCD</v>
      </c>
      <c r="B1318" s="165">
        <f>IFERROR(__xludf.DUMMYFUNCTION("""COMPUTED_VALUE"""),46197.0)</f>
        <v>46197</v>
      </c>
      <c r="C1318" s="165" t="str">
        <f>IFERROR(__xludf.DUMMYFUNCTION("""COMPUTED_VALUE"""),"KYAI KONTONG")</f>
        <v>KYAI KONTONG</v>
      </c>
      <c r="D1318" s="94">
        <f>IFERROR(__xludf.DUMMYFUNCTION("""COMPUTED_VALUE"""),2.0)</f>
        <v>2</v>
      </c>
    </row>
    <row r="1319">
      <c r="A1319" s="87" t="str">
        <f>IFERROR(__xludf.DUMMYFUNCTION("""COMPUTED_VALUE"""),"ITBISA-I2C-IIC-LCD")</f>
        <v>ITBISA-I2C-IIC-LCD</v>
      </c>
      <c r="B1319" s="165">
        <f>IFERROR(__xludf.DUMMYFUNCTION("""COMPUTED_VALUE"""),46198.0)</f>
        <v>46198</v>
      </c>
      <c r="C1319" s="165" t="str">
        <f>IFERROR(__xludf.DUMMYFUNCTION("""COMPUTED_VALUE"""),"KYAI KONTONG")</f>
        <v>KYAI KONTONG</v>
      </c>
      <c r="D1319" s="94">
        <f>IFERROR(__xludf.DUMMYFUNCTION("""COMPUTED_VALUE"""),10.0)</f>
        <v>10</v>
      </c>
    </row>
    <row r="1320">
      <c r="A1320" s="87" t="str">
        <f>IFERROR(__xludf.DUMMYFUNCTION("""COMPUTED_VALUE"""),"ITBISA-IC-74HC245N-DIP20")</f>
        <v>ITBISA-IC-74HC245N-DIP20</v>
      </c>
      <c r="B1320" s="165">
        <f>IFERROR(__xludf.DUMMYFUNCTION("""COMPUTED_VALUE"""),46137.0)</f>
        <v>46137</v>
      </c>
      <c r="C1320" s="165" t="str">
        <f>IFERROR(__xludf.DUMMYFUNCTION("""COMPUTED_VALUE"""),"KYAI KONTONG")</f>
        <v>KYAI KONTONG</v>
      </c>
      <c r="D1320" s="94">
        <f>IFERROR(__xludf.DUMMYFUNCTION("""COMPUTED_VALUE"""),4.0)</f>
        <v>4</v>
      </c>
    </row>
    <row r="1321">
      <c r="A1321" s="87" t="str">
        <f>IFERROR(__xludf.DUMMYFUNCTION("""COMPUTED_VALUE"""),"ITBISA-IC-74HC245N-DIP20")</f>
        <v>ITBISA-IC-74HC245N-DIP20</v>
      </c>
      <c r="B1321" s="165">
        <f>IFERROR(__xludf.DUMMYFUNCTION("""COMPUTED_VALUE"""),46142.0)</f>
        <v>46142</v>
      </c>
      <c r="C1321" s="165" t="str">
        <f>IFERROR(__xludf.DUMMYFUNCTION("""COMPUTED_VALUE"""),"KYAI KONTONG")</f>
        <v>KYAI KONTONG</v>
      </c>
      <c r="D1321" s="94">
        <f>IFERROR(__xludf.DUMMYFUNCTION("""COMPUTED_VALUE"""),270.0)</f>
        <v>270</v>
      </c>
    </row>
    <row r="1322">
      <c r="A1322" s="87" t="str">
        <f>IFERROR(__xludf.DUMMYFUNCTION("""COMPUTED_VALUE"""),"ITBISA-IC-74HC245N-DIP20")</f>
        <v>ITBISA-IC-74HC245N-DIP20</v>
      </c>
      <c r="B1322" s="165">
        <f>IFERROR(__xludf.DUMMYFUNCTION("""COMPUTED_VALUE"""),46143.0)</f>
        <v>46143</v>
      </c>
      <c r="C1322" s="165" t="str">
        <f>IFERROR(__xludf.DUMMYFUNCTION("""COMPUTED_VALUE"""),"KYAI KONTONG")</f>
        <v>KYAI KONTONG</v>
      </c>
      <c r="D1322" s="94">
        <f>IFERROR(__xludf.DUMMYFUNCTION("""COMPUTED_VALUE"""),4.0)</f>
        <v>4</v>
      </c>
    </row>
    <row r="1323">
      <c r="A1323" s="87" t="str">
        <f>IFERROR(__xludf.DUMMYFUNCTION("""COMPUTED_VALUE"""),"ITBISA-IC-74HC245N-DIP20")</f>
        <v>ITBISA-IC-74HC245N-DIP20</v>
      </c>
      <c r="B1323" s="165">
        <f>IFERROR(__xludf.DUMMYFUNCTION("""COMPUTED_VALUE"""),46145.0)</f>
        <v>46145</v>
      </c>
      <c r="C1323" s="165" t="str">
        <f>IFERROR(__xludf.DUMMYFUNCTION("""COMPUTED_VALUE"""),"KYAI KONTONG")</f>
        <v>KYAI KONTONG</v>
      </c>
      <c r="D1323" s="94">
        <f>IFERROR(__xludf.DUMMYFUNCTION("""COMPUTED_VALUE"""),4.0)</f>
        <v>4</v>
      </c>
    </row>
    <row r="1324">
      <c r="A1324" s="87" t="str">
        <f>IFERROR(__xludf.DUMMYFUNCTION("""COMPUTED_VALUE"""),"ITBISA-IC-74HC245N-DIP20")</f>
        <v>ITBISA-IC-74HC245N-DIP20</v>
      </c>
      <c r="B1324" s="165">
        <f>IFERROR(__xludf.DUMMYFUNCTION("""COMPUTED_VALUE"""),46145.0)</f>
        <v>46145</v>
      </c>
      <c r="C1324" s="165" t="str">
        <f>IFERROR(__xludf.DUMMYFUNCTION("""COMPUTED_VALUE"""),"KYAI KONTONG")</f>
        <v>KYAI KONTONG</v>
      </c>
      <c r="D1324" s="94">
        <f>IFERROR(__xludf.DUMMYFUNCTION("""COMPUTED_VALUE"""),10.0)</f>
        <v>10</v>
      </c>
    </row>
    <row r="1325">
      <c r="A1325" s="87" t="str">
        <f>IFERROR(__xludf.DUMMYFUNCTION("""COMPUTED_VALUE"""),"ITBISA-IC-74HC245N-DIP20")</f>
        <v>ITBISA-IC-74HC245N-DIP20</v>
      </c>
      <c r="B1325" s="165">
        <f>IFERROR(__xludf.DUMMYFUNCTION("""COMPUTED_VALUE"""),46147.0)</f>
        <v>46147</v>
      </c>
      <c r="C1325" s="165" t="str">
        <f>IFERROR(__xludf.DUMMYFUNCTION("""COMPUTED_VALUE"""),"KYAI KONTONG")</f>
        <v>KYAI KONTONG</v>
      </c>
      <c r="D1325" s="94">
        <f>IFERROR(__xludf.DUMMYFUNCTION("""COMPUTED_VALUE"""),5.0)</f>
        <v>5</v>
      </c>
    </row>
    <row r="1326">
      <c r="A1326" s="87" t="str">
        <f>IFERROR(__xludf.DUMMYFUNCTION("""COMPUTED_VALUE"""),"ITBISA-IC-74HC245N-DIP20")</f>
        <v>ITBISA-IC-74HC245N-DIP20</v>
      </c>
      <c r="B1326" s="165">
        <f>IFERROR(__xludf.DUMMYFUNCTION("""COMPUTED_VALUE"""),46148.0)</f>
        <v>46148</v>
      </c>
      <c r="C1326" s="165" t="str">
        <f>IFERROR(__xludf.DUMMYFUNCTION("""COMPUTED_VALUE"""),"KYAI KONTONG")</f>
        <v>KYAI KONTONG</v>
      </c>
      <c r="D1326" s="94">
        <f>IFERROR(__xludf.DUMMYFUNCTION("""COMPUTED_VALUE"""),16.0)</f>
        <v>16</v>
      </c>
    </row>
    <row r="1327">
      <c r="A1327" s="87" t="str">
        <f>IFERROR(__xludf.DUMMYFUNCTION("""COMPUTED_VALUE"""),"ITBISA-IC-74HC245N-DIP20")</f>
        <v>ITBISA-IC-74HC245N-DIP20</v>
      </c>
      <c r="B1327" s="165">
        <f>IFERROR(__xludf.DUMMYFUNCTION("""COMPUTED_VALUE"""),46150.0)</f>
        <v>46150</v>
      </c>
      <c r="C1327" s="165" t="str">
        <f>IFERROR(__xludf.DUMMYFUNCTION("""COMPUTED_VALUE"""),"KYAI KONTONG")</f>
        <v>KYAI KONTONG</v>
      </c>
      <c r="D1327" s="94">
        <f>IFERROR(__xludf.DUMMYFUNCTION("""COMPUTED_VALUE"""),300.0)</f>
        <v>300</v>
      </c>
    </row>
    <row r="1328">
      <c r="A1328" s="87" t="str">
        <f>IFERROR(__xludf.DUMMYFUNCTION("""COMPUTED_VALUE"""),"ITBISA-IC-74HC245N-DIP20")</f>
        <v>ITBISA-IC-74HC245N-DIP20</v>
      </c>
      <c r="B1328" s="165">
        <f>IFERROR(__xludf.DUMMYFUNCTION("""COMPUTED_VALUE"""),46153.0)</f>
        <v>46153</v>
      </c>
      <c r="C1328" s="165" t="str">
        <f>IFERROR(__xludf.DUMMYFUNCTION("""COMPUTED_VALUE"""),"KYAI KONTONG")</f>
        <v>KYAI KONTONG</v>
      </c>
      <c r="D1328" s="94">
        <f>IFERROR(__xludf.DUMMYFUNCTION("""COMPUTED_VALUE"""),36.0)</f>
        <v>36</v>
      </c>
    </row>
    <row r="1329">
      <c r="A1329" s="87" t="str">
        <f>IFERROR(__xludf.DUMMYFUNCTION("""COMPUTED_VALUE"""),"ITBISA-IC-74HC245N-DIP20")</f>
        <v>ITBISA-IC-74HC245N-DIP20</v>
      </c>
      <c r="B1329" s="165">
        <f>IFERROR(__xludf.DUMMYFUNCTION("""COMPUTED_VALUE"""),46154.0)</f>
        <v>46154</v>
      </c>
      <c r="C1329" s="165" t="str">
        <f>IFERROR(__xludf.DUMMYFUNCTION("""COMPUTED_VALUE"""),"KYAI KONTONG")</f>
        <v>KYAI KONTONG</v>
      </c>
      <c r="D1329" s="94">
        <f>IFERROR(__xludf.DUMMYFUNCTION("""COMPUTED_VALUE"""),40.0)</f>
        <v>40</v>
      </c>
    </row>
    <row r="1330">
      <c r="A1330" s="87" t="str">
        <f>IFERROR(__xludf.DUMMYFUNCTION("""COMPUTED_VALUE"""),"ITBISA-IC-74HC245N-DIP20")</f>
        <v>ITBISA-IC-74HC245N-DIP20</v>
      </c>
      <c r="B1330" s="165">
        <f>IFERROR(__xludf.DUMMYFUNCTION("""COMPUTED_VALUE"""),46155.0)</f>
        <v>46155</v>
      </c>
      <c r="C1330" s="165" t="str">
        <f>IFERROR(__xludf.DUMMYFUNCTION("""COMPUTED_VALUE"""),"KYAI KONTONG")</f>
        <v>KYAI KONTONG</v>
      </c>
      <c r="D1330" s="94">
        <f>IFERROR(__xludf.DUMMYFUNCTION("""COMPUTED_VALUE"""),8.0)</f>
        <v>8</v>
      </c>
    </row>
    <row r="1331">
      <c r="A1331" s="87" t="str">
        <f>IFERROR(__xludf.DUMMYFUNCTION("""COMPUTED_VALUE"""),"ITBISA-IC-74HC245N-DIP20")</f>
        <v>ITBISA-IC-74HC245N-DIP20</v>
      </c>
      <c r="B1331" s="165">
        <f>IFERROR(__xludf.DUMMYFUNCTION("""COMPUTED_VALUE"""),46155.0)</f>
        <v>46155</v>
      </c>
      <c r="C1331" s="165" t="str">
        <f>IFERROR(__xludf.DUMMYFUNCTION("""COMPUTED_VALUE"""),"KYAI KONTONG")</f>
        <v>KYAI KONTONG</v>
      </c>
      <c r="D1331" s="94">
        <f>IFERROR(__xludf.DUMMYFUNCTION("""COMPUTED_VALUE"""),10.0)</f>
        <v>10</v>
      </c>
    </row>
    <row r="1332">
      <c r="A1332" s="87" t="str">
        <f>IFERROR(__xludf.DUMMYFUNCTION("""COMPUTED_VALUE"""),"ITBISA-IC-74HC245N-DIP20")</f>
        <v>ITBISA-IC-74HC245N-DIP20</v>
      </c>
      <c r="B1332" s="165">
        <f>IFERROR(__xludf.DUMMYFUNCTION("""COMPUTED_VALUE"""),46156.0)</f>
        <v>46156</v>
      </c>
      <c r="C1332" s="165" t="str">
        <f>IFERROR(__xludf.DUMMYFUNCTION("""COMPUTED_VALUE"""),"KYAI KONTONG")</f>
        <v>KYAI KONTONG</v>
      </c>
      <c r="D1332" s="94">
        <f>IFERROR(__xludf.DUMMYFUNCTION("""COMPUTED_VALUE"""),6.0)</f>
        <v>6</v>
      </c>
    </row>
    <row r="1333">
      <c r="A1333" s="87" t="str">
        <f>IFERROR(__xludf.DUMMYFUNCTION("""COMPUTED_VALUE"""),"ITBISA-IC-74HC245N-DIP20")</f>
        <v>ITBISA-IC-74HC245N-DIP20</v>
      </c>
      <c r="B1333" s="165">
        <f>IFERROR(__xludf.DUMMYFUNCTION("""COMPUTED_VALUE"""),46157.0)</f>
        <v>46157</v>
      </c>
      <c r="C1333" s="165" t="str">
        <f>IFERROR(__xludf.DUMMYFUNCTION("""COMPUTED_VALUE"""),"KYAI KONTONG")</f>
        <v>KYAI KONTONG</v>
      </c>
      <c r="D1333" s="94">
        <f>IFERROR(__xludf.DUMMYFUNCTION("""COMPUTED_VALUE"""),10.0)</f>
        <v>10</v>
      </c>
    </row>
    <row r="1334">
      <c r="A1334" s="87" t="str">
        <f>IFERROR(__xludf.DUMMYFUNCTION("""COMPUTED_VALUE"""),"ITBISA-IC-74HC245N-DIP20")</f>
        <v>ITBISA-IC-74HC245N-DIP20</v>
      </c>
      <c r="B1334" s="165">
        <f>IFERROR(__xludf.DUMMYFUNCTION("""COMPUTED_VALUE"""),46161.0)</f>
        <v>46161</v>
      </c>
      <c r="C1334" s="165" t="str">
        <f>IFERROR(__xludf.DUMMYFUNCTION("""COMPUTED_VALUE"""),"KYAI KONTONG")</f>
        <v>KYAI KONTONG</v>
      </c>
      <c r="D1334" s="94">
        <f>IFERROR(__xludf.DUMMYFUNCTION("""COMPUTED_VALUE"""),10.0)</f>
        <v>10</v>
      </c>
    </row>
    <row r="1335">
      <c r="A1335" s="87" t="str">
        <f>IFERROR(__xludf.DUMMYFUNCTION("""COMPUTED_VALUE"""),"ITBISA-IC-74HC245N-DIP20")</f>
        <v>ITBISA-IC-74HC245N-DIP20</v>
      </c>
      <c r="B1335" s="165">
        <f>IFERROR(__xludf.DUMMYFUNCTION("""COMPUTED_VALUE"""),46162.0)</f>
        <v>46162</v>
      </c>
      <c r="C1335" s="165" t="str">
        <f>IFERROR(__xludf.DUMMYFUNCTION("""COMPUTED_VALUE"""),"KYAI KONTONG")</f>
        <v>KYAI KONTONG</v>
      </c>
      <c r="D1335" s="94">
        <f>IFERROR(__xludf.DUMMYFUNCTION("""COMPUTED_VALUE"""),4.0)</f>
        <v>4</v>
      </c>
    </row>
    <row r="1336">
      <c r="A1336" s="87" t="str">
        <f>IFERROR(__xludf.DUMMYFUNCTION("""COMPUTED_VALUE"""),"ITBISA-IC-74HC245N-DIP20")</f>
        <v>ITBISA-IC-74HC245N-DIP20</v>
      </c>
      <c r="B1336" s="165">
        <f>IFERROR(__xludf.DUMMYFUNCTION("""COMPUTED_VALUE"""),46162.0)</f>
        <v>46162</v>
      </c>
      <c r="C1336" s="165" t="str">
        <f>IFERROR(__xludf.DUMMYFUNCTION("""COMPUTED_VALUE"""),"KYAI KONTONG")</f>
        <v>KYAI KONTONG</v>
      </c>
      <c r="D1336" s="94">
        <f>IFERROR(__xludf.DUMMYFUNCTION("""COMPUTED_VALUE"""),4.0)</f>
        <v>4</v>
      </c>
    </row>
    <row r="1337">
      <c r="A1337" s="87" t="str">
        <f>IFERROR(__xludf.DUMMYFUNCTION("""COMPUTED_VALUE"""),"ITBISA-IC-74HC245N-DIP20")</f>
        <v>ITBISA-IC-74HC245N-DIP20</v>
      </c>
      <c r="B1337" s="165">
        <f>IFERROR(__xludf.DUMMYFUNCTION("""COMPUTED_VALUE"""),46163.0)</f>
        <v>46163</v>
      </c>
      <c r="C1337" s="165" t="str">
        <f>IFERROR(__xludf.DUMMYFUNCTION("""COMPUTED_VALUE"""),"KYAI KONTONG")</f>
        <v>KYAI KONTONG</v>
      </c>
      <c r="D1337" s="94">
        <f>IFERROR(__xludf.DUMMYFUNCTION("""COMPUTED_VALUE"""),10.0)</f>
        <v>10</v>
      </c>
    </row>
    <row r="1338">
      <c r="A1338" s="87" t="str">
        <f>IFERROR(__xludf.DUMMYFUNCTION("""COMPUTED_VALUE"""),"ITBISA-IC-74HC245N-DIP20")</f>
        <v>ITBISA-IC-74HC245N-DIP20</v>
      </c>
      <c r="B1338" s="165">
        <f>IFERROR(__xludf.DUMMYFUNCTION("""COMPUTED_VALUE"""),46164.0)</f>
        <v>46164</v>
      </c>
      <c r="C1338" s="165" t="str">
        <f>IFERROR(__xludf.DUMMYFUNCTION("""COMPUTED_VALUE"""),"KYAI KONTONG")</f>
        <v>KYAI KONTONG</v>
      </c>
      <c r="D1338" s="94">
        <f>IFERROR(__xludf.DUMMYFUNCTION("""COMPUTED_VALUE"""),4.0)</f>
        <v>4</v>
      </c>
    </row>
    <row r="1339">
      <c r="A1339" s="87" t="str">
        <f>IFERROR(__xludf.DUMMYFUNCTION("""COMPUTED_VALUE"""),"ITBISA-IC-74HC245N-DIP20")</f>
        <v>ITBISA-IC-74HC245N-DIP20</v>
      </c>
      <c r="B1339" s="165">
        <f>IFERROR(__xludf.DUMMYFUNCTION("""COMPUTED_VALUE"""),46164.0)</f>
        <v>46164</v>
      </c>
      <c r="C1339" s="165" t="str">
        <f>IFERROR(__xludf.DUMMYFUNCTION("""COMPUTED_VALUE"""),"KYAI KONTONG")</f>
        <v>KYAI KONTONG</v>
      </c>
      <c r="D1339" s="94">
        <f>IFERROR(__xludf.DUMMYFUNCTION("""COMPUTED_VALUE"""),4.0)</f>
        <v>4</v>
      </c>
    </row>
    <row r="1340">
      <c r="A1340" s="87" t="str">
        <f>IFERROR(__xludf.DUMMYFUNCTION("""COMPUTED_VALUE"""),"ITBISA-IC-74HC245N-DIP20")</f>
        <v>ITBISA-IC-74HC245N-DIP20</v>
      </c>
      <c r="B1340" s="165">
        <f>IFERROR(__xludf.DUMMYFUNCTION("""COMPUTED_VALUE"""),46164.0)</f>
        <v>46164</v>
      </c>
      <c r="C1340" s="165" t="str">
        <f>IFERROR(__xludf.DUMMYFUNCTION("""COMPUTED_VALUE"""),"KYAI KONTONG")</f>
        <v>KYAI KONTONG</v>
      </c>
      <c r="D1340" s="94">
        <f>IFERROR(__xludf.DUMMYFUNCTION("""COMPUTED_VALUE"""),10.0)</f>
        <v>10</v>
      </c>
    </row>
    <row r="1341">
      <c r="A1341" s="87" t="str">
        <f>IFERROR(__xludf.DUMMYFUNCTION("""COMPUTED_VALUE"""),"ITBISA-IC-74HC245N-DIP20")</f>
        <v>ITBISA-IC-74HC245N-DIP20</v>
      </c>
      <c r="B1341" s="165">
        <f>IFERROR(__xludf.DUMMYFUNCTION("""COMPUTED_VALUE"""),46165.0)</f>
        <v>46165</v>
      </c>
      <c r="C1341" s="165" t="str">
        <f>IFERROR(__xludf.DUMMYFUNCTION("""COMPUTED_VALUE"""),"KYAI KONTONG")</f>
        <v>KYAI KONTONG</v>
      </c>
      <c r="D1341" s="94">
        <f>IFERROR(__xludf.DUMMYFUNCTION("""COMPUTED_VALUE"""),10.0)</f>
        <v>10</v>
      </c>
    </row>
    <row r="1342">
      <c r="A1342" s="87" t="str">
        <f>IFERROR(__xludf.DUMMYFUNCTION("""COMPUTED_VALUE"""),"ITBISA-IC-74HC245N-DIP20")</f>
        <v>ITBISA-IC-74HC245N-DIP20</v>
      </c>
      <c r="B1342" s="165">
        <f>IFERROR(__xludf.DUMMYFUNCTION("""COMPUTED_VALUE"""),46166.0)</f>
        <v>46166</v>
      </c>
      <c r="C1342" s="165" t="str">
        <f>IFERROR(__xludf.DUMMYFUNCTION("""COMPUTED_VALUE"""),"KYAI KONTONG")</f>
        <v>KYAI KONTONG</v>
      </c>
      <c r="D1342" s="94">
        <f>IFERROR(__xludf.DUMMYFUNCTION("""COMPUTED_VALUE"""),5.0)</f>
        <v>5</v>
      </c>
    </row>
    <row r="1343">
      <c r="A1343" s="87" t="str">
        <f>IFERROR(__xludf.DUMMYFUNCTION("""COMPUTED_VALUE"""),"ITBISA-IC-74HC245N-DIP20")</f>
        <v>ITBISA-IC-74HC245N-DIP20</v>
      </c>
      <c r="B1343" s="165">
        <f>IFERROR(__xludf.DUMMYFUNCTION("""COMPUTED_VALUE"""),46167.0)</f>
        <v>46167</v>
      </c>
      <c r="C1343" s="165" t="str">
        <f>IFERROR(__xludf.DUMMYFUNCTION("""COMPUTED_VALUE"""),"KYAI KONTONG")</f>
        <v>KYAI KONTONG</v>
      </c>
      <c r="D1343" s="94">
        <f>IFERROR(__xludf.DUMMYFUNCTION("""COMPUTED_VALUE"""),4.0)</f>
        <v>4</v>
      </c>
    </row>
    <row r="1344">
      <c r="A1344" s="87" t="str">
        <f>IFERROR(__xludf.DUMMYFUNCTION("""COMPUTED_VALUE"""),"ITBISA-IC-74HC245N-DIP20")</f>
        <v>ITBISA-IC-74HC245N-DIP20</v>
      </c>
      <c r="B1344" s="165">
        <f>IFERROR(__xludf.DUMMYFUNCTION("""COMPUTED_VALUE"""),46169.0)</f>
        <v>46169</v>
      </c>
      <c r="C1344" s="165" t="str">
        <f>IFERROR(__xludf.DUMMYFUNCTION("""COMPUTED_VALUE"""),"KYAI KONTONG")</f>
        <v>KYAI KONTONG</v>
      </c>
      <c r="D1344" s="94">
        <f>IFERROR(__xludf.DUMMYFUNCTION("""COMPUTED_VALUE"""),4.0)</f>
        <v>4</v>
      </c>
    </row>
    <row r="1345">
      <c r="A1345" s="87" t="str">
        <f>IFERROR(__xludf.DUMMYFUNCTION("""COMPUTED_VALUE"""),"ITBISA-IC-74HC245N-DIP20")</f>
        <v>ITBISA-IC-74HC245N-DIP20</v>
      </c>
      <c r="B1345" s="165">
        <f>IFERROR(__xludf.DUMMYFUNCTION("""COMPUTED_VALUE"""),46169.0)</f>
        <v>46169</v>
      </c>
      <c r="C1345" s="165" t="str">
        <f>IFERROR(__xludf.DUMMYFUNCTION("""COMPUTED_VALUE"""),"KYAI KONTONG")</f>
        <v>KYAI KONTONG</v>
      </c>
      <c r="D1345" s="94">
        <f>IFERROR(__xludf.DUMMYFUNCTION("""COMPUTED_VALUE"""),6.0)</f>
        <v>6</v>
      </c>
    </row>
    <row r="1346">
      <c r="A1346" s="87" t="str">
        <f>IFERROR(__xludf.DUMMYFUNCTION("""COMPUTED_VALUE"""),"ITBISA-IC-74HC245N-DIP20")</f>
        <v>ITBISA-IC-74HC245N-DIP20</v>
      </c>
      <c r="B1346" s="165">
        <f>IFERROR(__xludf.DUMMYFUNCTION("""COMPUTED_VALUE"""),46170.0)</f>
        <v>46170</v>
      </c>
      <c r="C1346" s="165" t="str">
        <f>IFERROR(__xludf.DUMMYFUNCTION("""COMPUTED_VALUE"""),"KYAI KONTONG")</f>
        <v>KYAI KONTONG</v>
      </c>
      <c r="D1346" s="94">
        <f>IFERROR(__xludf.DUMMYFUNCTION("""COMPUTED_VALUE"""),19.0)</f>
        <v>19</v>
      </c>
    </row>
    <row r="1347">
      <c r="A1347" s="87" t="str">
        <f>IFERROR(__xludf.DUMMYFUNCTION("""COMPUTED_VALUE"""),"ITBISA-IC-74HC245N-DIP20")</f>
        <v>ITBISA-IC-74HC245N-DIP20</v>
      </c>
      <c r="B1347" s="165">
        <f>IFERROR(__xludf.DUMMYFUNCTION("""COMPUTED_VALUE"""),46171.0)</f>
        <v>46171</v>
      </c>
      <c r="C1347" s="165" t="str">
        <f>IFERROR(__xludf.DUMMYFUNCTION("""COMPUTED_VALUE"""),"KYAI KONTONG")</f>
        <v>KYAI KONTONG</v>
      </c>
      <c r="D1347" s="94">
        <f>IFERROR(__xludf.DUMMYFUNCTION("""COMPUTED_VALUE"""),27.0)</f>
        <v>27</v>
      </c>
    </row>
    <row r="1348">
      <c r="A1348" s="87" t="str">
        <f>IFERROR(__xludf.DUMMYFUNCTION("""COMPUTED_VALUE"""),"ITBISA-IC-74HC245N-DIP20")</f>
        <v>ITBISA-IC-74HC245N-DIP20</v>
      </c>
      <c r="B1348" s="165">
        <f>IFERROR(__xludf.DUMMYFUNCTION("""COMPUTED_VALUE"""),46174.0)</f>
        <v>46174</v>
      </c>
      <c r="C1348" s="165" t="str">
        <f>IFERROR(__xludf.DUMMYFUNCTION("""COMPUTED_VALUE"""),"KYAI KONTONG")</f>
        <v>KYAI KONTONG</v>
      </c>
      <c r="D1348" s="94">
        <f>IFERROR(__xludf.DUMMYFUNCTION("""COMPUTED_VALUE"""),10.0)</f>
        <v>10</v>
      </c>
    </row>
    <row r="1349">
      <c r="A1349" s="87" t="str">
        <f>IFERROR(__xludf.DUMMYFUNCTION("""COMPUTED_VALUE"""),"ITBISA-IC-74HC245N-DIP20")</f>
        <v>ITBISA-IC-74HC245N-DIP20</v>
      </c>
      <c r="B1349" s="165">
        <f>IFERROR(__xludf.DUMMYFUNCTION("""COMPUTED_VALUE"""),46174.0)</f>
        <v>46174</v>
      </c>
      <c r="C1349" s="165" t="str">
        <f>IFERROR(__xludf.DUMMYFUNCTION("""COMPUTED_VALUE"""),"KYAI KONTONG")</f>
        <v>KYAI KONTONG</v>
      </c>
      <c r="D1349" s="94">
        <f>IFERROR(__xludf.DUMMYFUNCTION("""COMPUTED_VALUE"""),1000.0)</f>
        <v>1000</v>
      </c>
    </row>
    <row r="1350">
      <c r="A1350" s="87" t="str">
        <f>IFERROR(__xludf.DUMMYFUNCTION("""COMPUTED_VALUE"""),"ITBISA-IC-74HC245N-DIP20")</f>
        <v>ITBISA-IC-74HC245N-DIP20</v>
      </c>
      <c r="B1350" s="165">
        <f>IFERROR(__xludf.DUMMYFUNCTION("""COMPUTED_VALUE"""),46175.0)</f>
        <v>46175</v>
      </c>
      <c r="C1350" s="165" t="str">
        <f>IFERROR(__xludf.DUMMYFUNCTION("""COMPUTED_VALUE"""),"KYAI KONTONG")</f>
        <v>KYAI KONTONG</v>
      </c>
      <c r="D1350" s="94">
        <f>IFERROR(__xludf.DUMMYFUNCTION("""COMPUTED_VALUE"""),4.0)</f>
        <v>4</v>
      </c>
    </row>
    <row r="1351">
      <c r="A1351" s="87" t="str">
        <f>IFERROR(__xludf.DUMMYFUNCTION("""COMPUTED_VALUE"""),"ITBISA-IC-74HC245N-DIP20")</f>
        <v>ITBISA-IC-74HC245N-DIP20</v>
      </c>
      <c r="B1351" s="165">
        <f>IFERROR(__xludf.DUMMYFUNCTION("""COMPUTED_VALUE"""),46177.0)</f>
        <v>46177</v>
      </c>
      <c r="C1351" s="165" t="str">
        <f>IFERROR(__xludf.DUMMYFUNCTION("""COMPUTED_VALUE"""),"KYAI KONTONG")</f>
        <v>KYAI KONTONG</v>
      </c>
      <c r="D1351" s="94">
        <f>IFERROR(__xludf.DUMMYFUNCTION("""COMPUTED_VALUE"""),6.0)</f>
        <v>6</v>
      </c>
    </row>
    <row r="1352">
      <c r="A1352" s="87" t="str">
        <f>IFERROR(__xludf.DUMMYFUNCTION("""COMPUTED_VALUE"""),"ITBISA-IC-74HC245N-DIP20")</f>
        <v>ITBISA-IC-74HC245N-DIP20</v>
      </c>
      <c r="B1352" s="165">
        <f>IFERROR(__xludf.DUMMYFUNCTION("""COMPUTED_VALUE"""),46177.0)</f>
        <v>46177</v>
      </c>
      <c r="C1352" s="165" t="str">
        <f>IFERROR(__xludf.DUMMYFUNCTION("""COMPUTED_VALUE"""),"KYAI KONTONG")</f>
        <v>KYAI KONTONG</v>
      </c>
      <c r="D1352" s="94">
        <f>IFERROR(__xludf.DUMMYFUNCTION("""COMPUTED_VALUE"""),200.0)</f>
        <v>200</v>
      </c>
    </row>
    <row r="1353">
      <c r="A1353" s="87" t="str">
        <f>IFERROR(__xludf.DUMMYFUNCTION("""COMPUTED_VALUE"""),"ITBISA-IC-74HC245N-DIP20")</f>
        <v>ITBISA-IC-74HC245N-DIP20</v>
      </c>
      <c r="B1353" s="165">
        <f>IFERROR(__xludf.DUMMYFUNCTION("""COMPUTED_VALUE"""),46182.0)</f>
        <v>46182</v>
      </c>
      <c r="C1353" s="165" t="str">
        <f>IFERROR(__xludf.DUMMYFUNCTION("""COMPUTED_VALUE"""),"KYAI KONTONG")</f>
        <v>KYAI KONTONG</v>
      </c>
      <c r="D1353" s="94">
        <f>IFERROR(__xludf.DUMMYFUNCTION("""COMPUTED_VALUE"""),4.0)</f>
        <v>4</v>
      </c>
    </row>
    <row r="1354">
      <c r="A1354" s="87" t="str">
        <f>IFERROR(__xludf.DUMMYFUNCTION("""COMPUTED_VALUE"""),"ITBISA-IC-74HC245N-DIP20")</f>
        <v>ITBISA-IC-74HC245N-DIP20</v>
      </c>
      <c r="B1354" s="165">
        <f>IFERROR(__xludf.DUMMYFUNCTION("""COMPUTED_VALUE"""),46182.0)</f>
        <v>46182</v>
      </c>
      <c r="C1354" s="165" t="str">
        <f>IFERROR(__xludf.DUMMYFUNCTION("""COMPUTED_VALUE"""),"KYAI KONTONG")</f>
        <v>KYAI KONTONG</v>
      </c>
      <c r="D1354" s="94">
        <f>IFERROR(__xludf.DUMMYFUNCTION("""COMPUTED_VALUE"""),5.0)</f>
        <v>5</v>
      </c>
    </row>
    <row r="1355">
      <c r="A1355" s="87" t="str">
        <f>IFERROR(__xludf.DUMMYFUNCTION("""COMPUTED_VALUE"""),"ITBISA-IC-74HC245N-DIP20")</f>
        <v>ITBISA-IC-74HC245N-DIP20</v>
      </c>
      <c r="B1355" s="165">
        <f>IFERROR(__xludf.DUMMYFUNCTION("""COMPUTED_VALUE"""),46195.0)</f>
        <v>46195</v>
      </c>
      <c r="C1355" s="165" t="str">
        <f>IFERROR(__xludf.DUMMYFUNCTION("""COMPUTED_VALUE"""),"KYAI KONTONG")</f>
        <v>KYAI KONTONG</v>
      </c>
      <c r="D1355" s="94">
        <f>IFERROR(__xludf.DUMMYFUNCTION("""COMPUTED_VALUE"""),100.0)</f>
        <v>100</v>
      </c>
    </row>
    <row r="1356">
      <c r="A1356" s="87" t="str">
        <f>IFERROR(__xludf.DUMMYFUNCTION("""COMPUTED_VALUE"""),"ITBISA-IC-74HC595N-DIP16")</f>
        <v>ITBISA-IC-74HC595N-DIP16</v>
      </c>
      <c r="B1356" s="165">
        <f>IFERROR(__xludf.DUMMYFUNCTION("""COMPUTED_VALUE"""),46024.0)</f>
        <v>46024</v>
      </c>
      <c r="C1356" s="165" t="str">
        <f>IFERROR(__xludf.DUMMYFUNCTION("""COMPUTED_VALUE"""),"KYAI KONTONG")</f>
        <v>KYAI KONTONG</v>
      </c>
      <c r="D1356" s="94">
        <f>IFERROR(__xludf.DUMMYFUNCTION("""COMPUTED_VALUE"""),5.0)</f>
        <v>5</v>
      </c>
    </row>
    <row r="1357">
      <c r="A1357" s="87" t="str">
        <f>IFERROR(__xludf.DUMMYFUNCTION("""COMPUTED_VALUE"""),"ITBISA-IC-74HC595N-DIP16")</f>
        <v>ITBISA-IC-74HC595N-DIP16</v>
      </c>
      <c r="B1357" s="165">
        <f>IFERROR(__xludf.DUMMYFUNCTION("""COMPUTED_VALUE"""),46024.0)</f>
        <v>46024</v>
      </c>
      <c r="C1357" s="165" t="str">
        <f>IFERROR(__xludf.DUMMYFUNCTION("""COMPUTED_VALUE"""),"KYAI KONTONG")</f>
        <v>KYAI KONTONG</v>
      </c>
      <c r="D1357" s="94">
        <f>IFERROR(__xludf.DUMMYFUNCTION("""COMPUTED_VALUE"""),20.0)</f>
        <v>20</v>
      </c>
    </row>
    <row r="1358">
      <c r="A1358" s="87" t="str">
        <f>IFERROR(__xludf.DUMMYFUNCTION("""COMPUTED_VALUE"""),"ITBISA-IC-74HC595N-DIP16")</f>
        <v>ITBISA-IC-74HC595N-DIP16</v>
      </c>
      <c r="B1358" s="165">
        <f>IFERROR(__xludf.DUMMYFUNCTION("""COMPUTED_VALUE"""),46026.0)</f>
        <v>46026</v>
      </c>
      <c r="C1358" s="165" t="str">
        <f>IFERROR(__xludf.DUMMYFUNCTION("""COMPUTED_VALUE"""),"KERTASARI CIAMIS")</f>
        <v>KERTASARI CIAMIS</v>
      </c>
      <c r="D1358" s="94">
        <f>IFERROR(__xludf.DUMMYFUNCTION("""COMPUTED_VALUE"""),5.0)</f>
        <v>5</v>
      </c>
    </row>
    <row r="1359">
      <c r="A1359" s="87" t="str">
        <f>IFERROR(__xludf.DUMMYFUNCTION("""COMPUTED_VALUE"""),"ITBISA-IC-74HC595N-DIP16")</f>
        <v>ITBISA-IC-74HC595N-DIP16</v>
      </c>
      <c r="B1359" s="165">
        <f>IFERROR(__xludf.DUMMYFUNCTION("""COMPUTED_VALUE"""),46026.0)</f>
        <v>46026</v>
      </c>
      <c r="C1359" s="165" t="str">
        <f>IFERROR(__xludf.DUMMYFUNCTION("""COMPUTED_VALUE"""),"KYAI KONTONG")</f>
        <v>KYAI KONTONG</v>
      </c>
      <c r="D1359" s="94">
        <f>IFERROR(__xludf.DUMMYFUNCTION("""COMPUTED_VALUE"""),20.0)</f>
        <v>20</v>
      </c>
    </row>
    <row r="1360">
      <c r="A1360" s="87" t="str">
        <f>IFERROR(__xludf.DUMMYFUNCTION("""COMPUTED_VALUE"""),"ITBISA-IC-74HC595N-DIP16")</f>
        <v>ITBISA-IC-74HC595N-DIP16</v>
      </c>
      <c r="B1360" s="165">
        <f>IFERROR(__xludf.DUMMYFUNCTION("""COMPUTED_VALUE"""),46027.0)</f>
        <v>46027</v>
      </c>
      <c r="C1360" s="165" t="str">
        <f>IFERROR(__xludf.DUMMYFUNCTION("""COMPUTED_VALUE"""),"KERTASARI CIAMIS")</f>
        <v>KERTASARI CIAMIS</v>
      </c>
      <c r="D1360" s="94">
        <f>IFERROR(__xludf.DUMMYFUNCTION("""COMPUTED_VALUE"""),38.0)</f>
        <v>38</v>
      </c>
    </row>
    <row r="1361">
      <c r="A1361" s="87" t="str">
        <f>IFERROR(__xludf.DUMMYFUNCTION("""COMPUTED_VALUE"""),"ITBISA-IC-74HC595N-DIP16")</f>
        <v>ITBISA-IC-74HC595N-DIP16</v>
      </c>
      <c r="B1361" s="165">
        <f>IFERROR(__xludf.DUMMYFUNCTION("""COMPUTED_VALUE"""),46028.0)</f>
        <v>46028</v>
      </c>
      <c r="C1361" s="165" t="str">
        <f>IFERROR(__xludf.DUMMYFUNCTION("""COMPUTED_VALUE"""),"KYAI KONTONG")</f>
        <v>KYAI KONTONG</v>
      </c>
      <c r="D1361" s="94">
        <f>IFERROR(__xludf.DUMMYFUNCTION("""COMPUTED_VALUE"""),12.0)</f>
        <v>12</v>
      </c>
    </row>
    <row r="1362">
      <c r="A1362" s="87" t="str">
        <f>IFERROR(__xludf.DUMMYFUNCTION("""COMPUTED_VALUE"""),"ITBISA-IC-74HC595N-DIP16")</f>
        <v>ITBISA-IC-74HC595N-DIP16</v>
      </c>
      <c r="B1362" s="165">
        <f>IFERROR(__xludf.DUMMYFUNCTION("""COMPUTED_VALUE"""),46028.0)</f>
        <v>46028</v>
      </c>
      <c r="C1362" s="165" t="str">
        <f>IFERROR(__xludf.DUMMYFUNCTION("""COMPUTED_VALUE"""),"KYAI KONTONG")</f>
        <v>KYAI KONTONG</v>
      </c>
      <c r="D1362" s="94">
        <f>IFERROR(__xludf.DUMMYFUNCTION("""COMPUTED_VALUE"""),30.0)</f>
        <v>30</v>
      </c>
    </row>
    <row r="1363">
      <c r="A1363" s="87" t="str">
        <f>IFERROR(__xludf.DUMMYFUNCTION("""COMPUTED_VALUE"""),"ITBISA-IC-74HC595N-DIP16")</f>
        <v>ITBISA-IC-74HC595N-DIP16</v>
      </c>
      <c r="B1363" s="165">
        <f>IFERROR(__xludf.DUMMYFUNCTION("""COMPUTED_VALUE"""),46029.0)</f>
        <v>46029</v>
      </c>
      <c r="C1363" s="165" t="str">
        <f>IFERROR(__xludf.DUMMYFUNCTION("""COMPUTED_VALUE"""),"KYAI KONTONG")</f>
        <v>KYAI KONTONG</v>
      </c>
      <c r="D1363" s="94">
        <f>IFERROR(__xludf.DUMMYFUNCTION("""COMPUTED_VALUE"""),5.0)</f>
        <v>5</v>
      </c>
    </row>
    <row r="1364">
      <c r="A1364" s="87" t="str">
        <f>IFERROR(__xludf.DUMMYFUNCTION("""COMPUTED_VALUE"""),"ITBISA-IC-74HC595N-DIP16")</f>
        <v>ITBISA-IC-74HC595N-DIP16</v>
      </c>
      <c r="B1364" s="165">
        <f>IFERROR(__xludf.DUMMYFUNCTION("""COMPUTED_VALUE"""),46031.0)</f>
        <v>46031</v>
      </c>
      <c r="C1364" s="165" t="str">
        <f>IFERROR(__xludf.DUMMYFUNCTION("""COMPUTED_VALUE"""),"KYAI KONTONG")</f>
        <v>KYAI KONTONG</v>
      </c>
      <c r="D1364" s="94">
        <f>IFERROR(__xludf.DUMMYFUNCTION("""COMPUTED_VALUE"""),60.0)</f>
        <v>60</v>
      </c>
    </row>
    <row r="1365">
      <c r="A1365" s="87" t="str">
        <f>IFERROR(__xludf.DUMMYFUNCTION("""COMPUTED_VALUE"""),"ITBISA-IC-74HC595N-DIP16")</f>
        <v>ITBISA-IC-74HC595N-DIP16</v>
      </c>
      <c r="B1365" s="165">
        <f>IFERROR(__xludf.DUMMYFUNCTION("""COMPUTED_VALUE"""),46032.0)</f>
        <v>46032</v>
      </c>
      <c r="C1365" s="165" t="str">
        <f>IFERROR(__xludf.DUMMYFUNCTION("""COMPUTED_VALUE"""),"KERTASARI CIAMIS")</f>
        <v>KERTASARI CIAMIS</v>
      </c>
      <c r="D1365" s="94">
        <f>IFERROR(__xludf.DUMMYFUNCTION("""COMPUTED_VALUE"""),30.0)</f>
        <v>30</v>
      </c>
    </row>
    <row r="1366">
      <c r="A1366" s="87" t="str">
        <f>IFERROR(__xludf.DUMMYFUNCTION("""COMPUTED_VALUE"""),"ITBISA-IC-74HC595N-DIP16")</f>
        <v>ITBISA-IC-74HC595N-DIP16</v>
      </c>
      <c r="B1366" s="165">
        <f>IFERROR(__xludf.DUMMYFUNCTION("""COMPUTED_VALUE"""),46034.0)</f>
        <v>46034</v>
      </c>
      <c r="C1366" s="165" t="str">
        <f>IFERROR(__xludf.DUMMYFUNCTION("""COMPUTED_VALUE"""),"KYAI KONTONG")</f>
        <v>KYAI KONTONG</v>
      </c>
      <c r="D1366" s="94">
        <f>IFERROR(__xludf.DUMMYFUNCTION("""COMPUTED_VALUE"""),15.0)</f>
        <v>15</v>
      </c>
    </row>
    <row r="1367">
      <c r="A1367" s="87" t="str">
        <f>IFERROR(__xludf.DUMMYFUNCTION("""COMPUTED_VALUE"""),"ITBISA-IC-74HC595N-DIP16")</f>
        <v>ITBISA-IC-74HC595N-DIP16</v>
      </c>
      <c r="B1367" s="165">
        <f>IFERROR(__xludf.DUMMYFUNCTION("""COMPUTED_VALUE"""),46034.0)</f>
        <v>46034</v>
      </c>
      <c r="C1367" s="165" t="str">
        <f>IFERROR(__xludf.DUMMYFUNCTION("""COMPUTED_VALUE"""),"KYAI KONTONG")</f>
        <v>KYAI KONTONG</v>
      </c>
      <c r="D1367" s="94">
        <f>IFERROR(__xludf.DUMMYFUNCTION("""COMPUTED_VALUE"""),30.0)</f>
        <v>30</v>
      </c>
    </row>
    <row r="1368">
      <c r="A1368" s="87" t="str">
        <f>IFERROR(__xludf.DUMMYFUNCTION("""COMPUTED_VALUE"""),"ITBISA-IC-74HC595N-DIP16")</f>
        <v>ITBISA-IC-74HC595N-DIP16</v>
      </c>
      <c r="B1368" s="165">
        <f>IFERROR(__xludf.DUMMYFUNCTION("""COMPUTED_VALUE"""),46038.0)</f>
        <v>46038</v>
      </c>
      <c r="C1368" s="165" t="str">
        <f>IFERROR(__xludf.DUMMYFUNCTION("""COMPUTED_VALUE"""),"KYAI KONTONG")</f>
        <v>KYAI KONTONG</v>
      </c>
      <c r="D1368" s="94">
        <f>IFERROR(__xludf.DUMMYFUNCTION("""COMPUTED_VALUE"""),100.0)</f>
        <v>100</v>
      </c>
    </row>
    <row r="1369">
      <c r="A1369" s="87" t="str">
        <f>IFERROR(__xludf.DUMMYFUNCTION("""COMPUTED_VALUE"""),"ITBISA-IC-74HC595N-DIP16")</f>
        <v>ITBISA-IC-74HC595N-DIP16</v>
      </c>
      <c r="B1369" s="165">
        <f>IFERROR(__xludf.DUMMYFUNCTION("""COMPUTED_VALUE"""),46040.0)</f>
        <v>46040</v>
      </c>
      <c r="C1369" s="165" t="str">
        <f>IFERROR(__xludf.DUMMYFUNCTION("""COMPUTED_VALUE"""),"KYAI KONTONG")</f>
        <v>KYAI KONTONG</v>
      </c>
      <c r="D1369" s="94">
        <f>IFERROR(__xludf.DUMMYFUNCTION("""COMPUTED_VALUE"""),40.0)</f>
        <v>40</v>
      </c>
    </row>
    <row r="1370">
      <c r="A1370" s="87" t="str">
        <f>IFERROR(__xludf.DUMMYFUNCTION("""COMPUTED_VALUE"""),"ITBISA-IC-74HC595N-DIP16")</f>
        <v>ITBISA-IC-74HC595N-DIP16</v>
      </c>
      <c r="B1370" s="165">
        <f>IFERROR(__xludf.DUMMYFUNCTION("""COMPUTED_VALUE"""),46042.0)</f>
        <v>46042</v>
      </c>
      <c r="C1370" s="165" t="str">
        <f>IFERROR(__xludf.DUMMYFUNCTION("""COMPUTED_VALUE"""),"KYAI KONTONG")</f>
        <v>KYAI KONTONG</v>
      </c>
      <c r="D1370" s="94">
        <f>IFERROR(__xludf.DUMMYFUNCTION("""COMPUTED_VALUE"""),12.0)</f>
        <v>12</v>
      </c>
    </row>
    <row r="1371">
      <c r="A1371" s="87" t="str">
        <f>IFERROR(__xludf.DUMMYFUNCTION("""COMPUTED_VALUE"""),"ITBISA-IC-74HC595N-DIP16")</f>
        <v>ITBISA-IC-74HC595N-DIP16</v>
      </c>
      <c r="B1371" s="165">
        <f>IFERROR(__xludf.DUMMYFUNCTION("""COMPUTED_VALUE"""),46042.0)</f>
        <v>46042</v>
      </c>
      <c r="C1371" s="165" t="str">
        <f>IFERROR(__xludf.DUMMYFUNCTION("""COMPUTED_VALUE"""),"KYAI KONTONG")</f>
        <v>KYAI KONTONG</v>
      </c>
      <c r="D1371" s="94">
        <f>IFERROR(__xludf.DUMMYFUNCTION("""COMPUTED_VALUE"""),100.0)</f>
        <v>100</v>
      </c>
    </row>
    <row r="1372">
      <c r="A1372" s="87" t="str">
        <f>IFERROR(__xludf.DUMMYFUNCTION("""COMPUTED_VALUE"""),"ITBISA-IC-74HC595N-DIP16")</f>
        <v>ITBISA-IC-74HC595N-DIP16</v>
      </c>
      <c r="B1372" s="165">
        <f>IFERROR(__xludf.DUMMYFUNCTION("""COMPUTED_VALUE"""),46043.0)</f>
        <v>46043</v>
      </c>
      <c r="C1372" s="165" t="str">
        <f>IFERROR(__xludf.DUMMYFUNCTION("""COMPUTED_VALUE"""),"KYAI KONTONG")</f>
        <v>KYAI KONTONG</v>
      </c>
      <c r="D1372" s="94">
        <f>IFERROR(__xludf.DUMMYFUNCTION("""COMPUTED_VALUE"""),5.0)</f>
        <v>5</v>
      </c>
    </row>
    <row r="1373">
      <c r="A1373" s="87" t="str">
        <f>IFERROR(__xludf.DUMMYFUNCTION("""COMPUTED_VALUE"""),"ITBISA-IC-74HC595N-DIP16")</f>
        <v>ITBISA-IC-74HC595N-DIP16</v>
      </c>
      <c r="B1373" s="165">
        <f>IFERROR(__xludf.DUMMYFUNCTION("""COMPUTED_VALUE"""),46045.0)</f>
        <v>46045</v>
      </c>
      <c r="C1373" s="165" t="str">
        <f>IFERROR(__xludf.DUMMYFUNCTION("""COMPUTED_VALUE"""),"KYAI KONTONG")</f>
        <v>KYAI KONTONG</v>
      </c>
      <c r="D1373" s="94">
        <f>IFERROR(__xludf.DUMMYFUNCTION("""COMPUTED_VALUE"""),5.0)</f>
        <v>5</v>
      </c>
    </row>
    <row r="1374">
      <c r="A1374" s="87" t="str">
        <f>IFERROR(__xludf.DUMMYFUNCTION("""COMPUTED_VALUE"""),"ITBISA-IC-74HC595N-DIP16")</f>
        <v>ITBISA-IC-74HC595N-DIP16</v>
      </c>
      <c r="B1374" s="165">
        <f>IFERROR(__xludf.DUMMYFUNCTION("""COMPUTED_VALUE"""),46047.0)</f>
        <v>46047</v>
      </c>
      <c r="C1374" s="165" t="str">
        <f>IFERROR(__xludf.DUMMYFUNCTION("""COMPUTED_VALUE"""),"KYAI KONTONG")</f>
        <v>KYAI KONTONG</v>
      </c>
      <c r="D1374" s="94">
        <f>IFERROR(__xludf.DUMMYFUNCTION("""COMPUTED_VALUE"""),65.0)</f>
        <v>65</v>
      </c>
    </row>
    <row r="1375">
      <c r="A1375" s="87" t="str">
        <f>IFERROR(__xludf.DUMMYFUNCTION("""COMPUTED_VALUE"""),"ITBISA-IC-74HC595N-DIP16")</f>
        <v>ITBISA-IC-74HC595N-DIP16</v>
      </c>
      <c r="B1375" s="165">
        <f>IFERROR(__xludf.DUMMYFUNCTION("""COMPUTED_VALUE"""),46048.0)</f>
        <v>46048</v>
      </c>
      <c r="C1375" s="165" t="str">
        <f>IFERROR(__xludf.DUMMYFUNCTION("""COMPUTED_VALUE"""),"KYAI KONTONG")</f>
        <v>KYAI KONTONG</v>
      </c>
      <c r="D1375" s="94">
        <f>IFERROR(__xludf.DUMMYFUNCTION("""COMPUTED_VALUE"""),5.0)</f>
        <v>5</v>
      </c>
    </row>
    <row r="1376">
      <c r="A1376" s="87" t="str">
        <f>IFERROR(__xludf.DUMMYFUNCTION("""COMPUTED_VALUE"""),"ITBISA-IC-74HC595N-DIP16")</f>
        <v>ITBISA-IC-74HC595N-DIP16</v>
      </c>
      <c r="B1376" s="165">
        <f>IFERROR(__xludf.DUMMYFUNCTION("""COMPUTED_VALUE"""),46050.0)</f>
        <v>46050</v>
      </c>
      <c r="C1376" s="165" t="str">
        <f>IFERROR(__xludf.DUMMYFUNCTION("""COMPUTED_VALUE"""),"KYAI KONTONG")</f>
        <v>KYAI KONTONG</v>
      </c>
      <c r="D1376" s="94">
        <f>IFERROR(__xludf.DUMMYFUNCTION("""COMPUTED_VALUE"""),5.0)</f>
        <v>5</v>
      </c>
    </row>
    <row r="1377">
      <c r="A1377" s="87" t="str">
        <f>IFERROR(__xludf.DUMMYFUNCTION("""COMPUTED_VALUE"""),"ITBISA-IC-74HC595N-DIP16")</f>
        <v>ITBISA-IC-74HC595N-DIP16</v>
      </c>
      <c r="B1377" s="165">
        <f>IFERROR(__xludf.DUMMYFUNCTION("""COMPUTED_VALUE"""),46050.0)</f>
        <v>46050</v>
      </c>
      <c r="C1377" s="165" t="str">
        <f>IFERROR(__xludf.DUMMYFUNCTION("""COMPUTED_VALUE"""),"KYAI KONTONG")</f>
        <v>KYAI KONTONG</v>
      </c>
      <c r="D1377" s="94">
        <f>IFERROR(__xludf.DUMMYFUNCTION("""COMPUTED_VALUE"""),25.0)</f>
        <v>25</v>
      </c>
    </row>
    <row r="1378">
      <c r="A1378" s="87" t="str">
        <f>IFERROR(__xludf.DUMMYFUNCTION("""COMPUTED_VALUE"""),"ITBISA-IC-74HC595N-DIP16")</f>
        <v>ITBISA-IC-74HC595N-DIP16</v>
      </c>
      <c r="B1378" s="165">
        <f>IFERROR(__xludf.DUMMYFUNCTION("""COMPUTED_VALUE"""),46051.0)</f>
        <v>46051</v>
      </c>
      <c r="C1378" s="165" t="str">
        <f>IFERROR(__xludf.DUMMYFUNCTION("""COMPUTED_VALUE"""),"KYAI KONTONG")</f>
        <v>KYAI KONTONG</v>
      </c>
      <c r="D1378" s="94">
        <f>IFERROR(__xludf.DUMMYFUNCTION("""COMPUTED_VALUE"""),50.0)</f>
        <v>50</v>
      </c>
    </row>
    <row r="1379">
      <c r="A1379" s="87" t="str">
        <f>IFERROR(__xludf.DUMMYFUNCTION("""COMPUTED_VALUE"""),"ITBISA-IC-74HC595N-DIP16")</f>
        <v>ITBISA-IC-74HC595N-DIP16</v>
      </c>
      <c r="B1379" s="165">
        <f>IFERROR(__xludf.DUMMYFUNCTION("""COMPUTED_VALUE"""),46052.0)</f>
        <v>46052</v>
      </c>
      <c r="C1379" s="165" t="str">
        <f>IFERROR(__xludf.DUMMYFUNCTION("""COMPUTED_VALUE"""),"KYAI KONTONG")</f>
        <v>KYAI KONTONG</v>
      </c>
      <c r="D1379" s="94">
        <f>IFERROR(__xludf.DUMMYFUNCTION("""COMPUTED_VALUE"""),100.0)</f>
        <v>100</v>
      </c>
    </row>
    <row r="1380">
      <c r="A1380" s="87" t="str">
        <f>IFERROR(__xludf.DUMMYFUNCTION("""COMPUTED_VALUE"""),"ITBISA-IC-74HC595N-DIP16")</f>
        <v>ITBISA-IC-74HC595N-DIP16</v>
      </c>
      <c r="B1380" s="165">
        <f>IFERROR(__xludf.DUMMYFUNCTION("""COMPUTED_VALUE"""),46052.0)</f>
        <v>46052</v>
      </c>
      <c r="C1380" s="165" t="str">
        <f>IFERROR(__xludf.DUMMYFUNCTION("""COMPUTED_VALUE"""),"KYAI KONTONG")</f>
        <v>KYAI KONTONG</v>
      </c>
      <c r="D1380" s="94">
        <f>IFERROR(__xludf.DUMMYFUNCTION("""COMPUTED_VALUE"""),100.0)</f>
        <v>100</v>
      </c>
    </row>
    <row r="1381">
      <c r="A1381" s="87" t="str">
        <f>IFERROR(__xludf.DUMMYFUNCTION("""COMPUTED_VALUE"""),"ITBISA-IC-74HC595N-DIP16")</f>
        <v>ITBISA-IC-74HC595N-DIP16</v>
      </c>
      <c r="B1381" s="165">
        <f>IFERROR(__xludf.DUMMYFUNCTION("""COMPUTED_VALUE"""),46053.0)</f>
        <v>46053</v>
      </c>
      <c r="C1381" s="165" t="str">
        <f>IFERROR(__xludf.DUMMYFUNCTION("""COMPUTED_VALUE"""),"KYAI KONTONG")</f>
        <v>KYAI KONTONG</v>
      </c>
      <c r="D1381" s="94">
        <f>IFERROR(__xludf.DUMMYFUNCTION("""COMPUTED_VALUE"""),13.0)</f>
        <v>13</v>
      </c>
    </row>
    <row r="1382">
      <c r="A1382" s="87" t="str">
        <f>IFERROR(__xludf.DUMMYFUNCTION("""COMPUTED_VALUE"""),"ITBISA-IC-74HC595N-DIP16")</f>
        <v>ITBISA-IC-74HC595N-DIP16</v>
      </c>
      <c r="B1382" s="165">
        <f>IFERROR(__xludf.DUMMYFUNCTION("""COMPUTED_VALUE"""),46053.0)</f>
        <v>46053</v>
      </c>
      <c r="C1382" s="165" t="str">
        <f>IFERROR(__xludf.DUMMYFUNCTION("""COMPUTED_VALUE"""),"KYAI KONTONG")</f>
        <v>KYAI KONTONG</v>
      </c>
      <c r="D1382" s="94">
        <f>IFERROR(__xludf.DUMMYFUNCTION("""COMPUTED_VALUE"""),20.0)</f>
        <v>20</v>
      </c>
    </row>
    <row r="1383">
      <c r="A1383" s="87" t="str">
        <f>IFERROR(__xludf.DUMMYFUNCTION("""COMPUTED_VALUE"""),"ITBISA-IC-74HC595N-DIP16")</f>
        <v>ITBISA-IC-74HC595N-DIP16</v>
      </c>
      <c r="B1383" s="165">
        <f>IFERROR(__xludf.DUMMYFUNCTION("""COMPUTED_VALUE"""),46053.0)</f>
        <v>46053</v>
      </c>
      <c r="C1383" s="165" t="str">
        <f>IFERROR(__xludf.DUMMYFUNCTION("""COMPUTED_VALUE"""),"KYAI KONTONG")</f>
        <v>KYAI KONTONG</v>
      </c>
      <c r="D1383" s="94">
        <f>IFERROR(__xludf.DUMMYFUNCTION("""COMPUTED_VALUE"""),30.0)</f>
        <v>30</v>
      </c>
    </row>
    <row r="1384">
      <c r="A1384" s="87" t="str">
        <f>IFERROR(__xludf.DUMMYFUNCTION("""COMPUTED_VALUE"""),"ITBISA-IC-74HC595N-DIP16")</f>
        <v>ITBISA-IC-74HC595N-DIP16</v>
      </c>
      <c r="B1384" s="165">
        <f>IFERROR(__xludf.DUMMYFUNCTION("""COMPUTED_VALUE"""),46054.0)</f>
        <v>46054</v>
      </c>
      <c r="C1384" s="165" t="str">
        <f>IFERROR(__xludf.DUMMYFUNCTION("""COMPUTED_VALUE"""),"KYAI KONTONG")</f>
        <v>KYAI KONTONG</v>
      </c>
      <c r="D1384" s="94">
        <f>IFERROR(__xludf.DUMMYFUNCTION("""COMPUTED_VALUE"""),50.0)</f>
        <v>50</v>
      </c>
    </row>
    <row r="1385">
      <c r="A1385" s="87" t="str">
        <f>IFERROR(__xludf.DUMMYFUNCTION("""COMPUTED_VALUE"""),"ITBISA-IC-74HC595N-DIP16")</f>
        <v>ITBISA-IC-74HC595N-DIP16</v>
      </c>
      <c r="B1385" s="165">
        <f>IFERROR(__xludf.DUMMYFUNCTION("""COMPUTED_VALUE"""),46055.0)</f>
        <v>46055</v>
      </c>
      <c r="C1385" s="165" t="str">
        <f>IFERROR(__xludf.DUMMYFUNCTION("""COMPUTED_VALUE"""),"KYAI KONTONG")</f>
        <v>KYAI KONTONG</v>
      </c>
      <c r="D1385" s="94">
        <f>IFERROR(__xludf.DUMMYFUNCTION("""COMPUTED_VALUE"""),25.0)</f>
        <v>25</v>
      </c>
    </row>
    <row r="1386">
      <c r="A1386" s="87" t="str">
        <f>IFERROR(__xludf.DUMMYFUNCTION("""COMPUTED_VALUE"""),"ITBISA-IC-74HC595N-DIP16")</f>
        <v>ITBISA-IC-74HC595N-DIP16</v>
      </c>
      <c r="B1386" s="165">
        <f>IFERROR(__xludf.DUMMYFUNCTION("""COMPUTED_VALUE"""),46055.0)</f>
        <v>46055</v>
      </c>
      <c r="C1386" s="165" t="str">
        <f>IFERROR(__xludf.DUMMYFUNCTION("""COMPUTED_VALUE"""),"KYAI KONTONG")</f>
        <v>KYAI KONTONG</v>
      </c>
      <c r="D1386" s="94">
        <f>IFERROR(__xludf.DUMMYFUNCTION("""COMPUTED_VALUE"""),30.0)</f>
        <v>30</v>
      </c>
    </row>
    <row r="1387">
      <c r="A1387" s="87" t="str">
        <f>IFERROR(__xludf.DUMMYFUNCTION("""COMPUTED_VALUE"""),"ITBISA-IC-74HC595N-DIP16")</f>
        <v>ITBISA-IC-74HC595N-DIP16</v>
      </c>
      <c r="B1387" s="165">
        <f>IFERROR(__xludf.DUMMYFUNCTION("""COMPUTED_VALUE"""),46055.0)</f>
        <v>46055</v>
      </c>
      <c r="C1387" s="165" t="str">
        <f>IFERROR(__xludf.DUMMYFUNCTION("""COMPUTED_VALUE"""),"KYAI KONTONG")</f>
        <v>KYAI KONTONG</v>
      </c>
      <c r="D1387" s="94">
        <f>IFERROR(__xludf.DUMMYFUNCTION("""COMPUTED_VALUE"""),50.0)</f>
        <v>50</v>
      </c>
    </row>
    <row r="1388">
      <c r="A1388" s="87" t="str">
        <f>IFERROR(__xludf.DUMMYFUNCTION("""COMPUTED_VALUE"""),"ITBISA-IC-74HC595N-DIP16")</f>
        <v>ITBISA-IC-74HC595N-DIP16</v>
      </c>
      <c r="B1388" s="165">
        <f>IFERROR(__xludf.DUMMYFUNCTION("""COMPUTED_VALUE"""),46056.0)</f>
        <v>46056</v>
      </c>
      <c r="C1388" s="165" t="str">
        <f>IFERROR(__xludf.DUMMYFUNCTION("""COMPUTED_VALUE"""),"KYAI KONTONG")</f>
        <v>KYAI KONTONG</v>
      </c>
      <c r="D1388" s="94">
        <f>IFERROR(__xludf.DUMMYFUNCTION("""COMPUTED_VALUE"""),6.0)</f>
        <v>6</v>
      </c>
    </row>
    <row r="1389">
      <c r="A1389" s="87" t="str">
        <f>IFERROR(__xludf.DUMMYFUNCTION("""COMPUTED_VALUE"""),"ITBISA-IC-74HC595N-DIP16")</f>
        <v>ITBISA-IC-74HC595N-DIP16</v>
      </c>
      <c r="B1389" s="165">
        <f>IFERROR(__xludf.DUMMYFUNCTION("""COMPUTED_VALUE"""),46058.0)</f>
        <v>46058</v>
      </c>
      <c r="C1389" s="165" t="str">
        <f>IFERROR(__xludf.DUMMYFUNCTION("""COMPUTED_VALUE"""),"KYAI KONTONG")</f>
        <v>KYAI KONTONG</v>
      </c>
      <c r="D1389" s="94">
        <f>IFERROR(__xludf.DUMMYFUNCTION("""COMPUTED_VALUE"""),4.0)</f>
        <v>4</v>
      </c>
    </row>
    <row r="1390">
      <c r="A1390" s="87" t="str">
        <f>IFERROR(__xludf.DUMMYFUNCTION("""COMPUTED_VALUE"""),"ITBISA-IC-74HC595N-DIP16")</f>
        <v>ITBISA-IC-74HC595N-DIP16</v>
      </c>
      <c r="B1390" s="165">
        <f>IFERROR(__xludf.DUMMYFUNCTION("""COMPUTED_VALUE"""),46059.0)</f>
        <v>46059</v>
      </c>
      <c r="C1390" s="165" t="str">
        <f>IFERROR(__xludf.DUMMYFUNCTION("""COMPUTED_VALUE"""),"KYAI KONTONG")</f>
        <v>KYAI KONTONG</v>
      </c>
      <c r="D1390" s="94">
        <f>IFERROR(__xludf.DUMMYFUNCTION("""COMPUTED_VALUE"""),50.0)</f>
        <v>50</v>
      </c>
    </row>
    <row r="1391">
      <c r="A1391" s="87" t="str">
        <f>IFERROR(__xludf.DUMMYFUNCTION("""COMPUTED_VALUE"""),"ITBISA-IC-74HC595N-DIP16")</f>
        <v>ITBISA-IC-74HC595N-DIP16</v>
      </c>
      <c r="B1391" s="165">
        <f>IFERROR(__xludf.DUMMYFUNCTION("""COMPUTED_VALUE"""),46060.0)</f>
        <v>46060</v>
      </c>
      <c r="C1391" s="165" t="str">
        <f>IFERROR(__xludf.DUMMYFUNCTION("""COMPUTED_VALUE"""),"KYAI KONTONG")</f>
        <v>KYAI KONTONG</v>
      </c>
      <c r="D1391" s="94">
        <f>IFERROR(__xludf.DUMMYFUNCTION("""COMPUTED_VALUE"""),50.0)</f>
        <v>50</v>
      </c>
    </row>
    <row r="1392">
      <c r="A1392" s="87" t="str">
        <f>IFERROR(__xludf.DUMMYFUNCTION("""COMPUTED_VALUE"""),"ITBISA-IC-74HC595N-DIP16")</f>
        <v>ITBISA-IC-74HC595N-DIP16</v>
      </c>
      <c r="B1392" s="165">
        <f>IFERROR(__xludf.DUMMYFUNCTION("""COMPUTED_VALUE"""),46063.0)</f>
        <v>46063</v>
      </c>
      <c r="C1392" s="165" t="str">
        <f>IFERROR(__xludf.DUMMYFUNCTION("""COMPUTED_VALUE"""),"KYAI KONTONG")</f>
        <v>KYAI KONTONG</v>
      </c>
      <c r="D1392" s="94">
        <f>IFERROR(__xludf.DUMMYFUNCTION("""COMPUTED_VALUE"""),6.0)</f>
        <v>6</v>
      </c>
    </row>
    <row r="1393">
      <c r="A1393" s="87" t="str">
        <f>IFERROR(__xludf.DUMMYFUNCTION("""COMPUTED_VALUE"""),"ITBISA-IC-74HC595N-DIP16")</f>
        <v>ITBISA-IC-74HC595N-DIP16</v>
      </c>
      <c r="B1393" s="165">
        <f>IFERROR(__xludf.DUMMYFUNCTION("""COMPUTED_VALUE"""),46064.0)</f>
        <v>46064</v>
      </c>
      <c r="C1393" s="165" t="str">
        <f>IFERROR(__xludf.DUMMYFUNCTION("""COMPUTED_VALUE"""),"KYAI KONTONG")</f>
        <v>KYAI KONTONG</v>
      </c>
      <c r="D1393" s="94">
        <f>IFERROR(__xludf.DUMMYFUNCTION("""COMPUTED_VALUE"""),25.0)</f>
        <v>25</v>
      </c>
    </row>
    <row r="1394">
      <c r="A1394" s="87" t="str">
        <f>IFERROR(__xludf.DUMMYFUNCTION("""COMPUTED_VALUE"""),"ITBISA-IC-74HC595N-DIP16")</f>
        <v>ITBISA-IC-74HC595N-DIP16</v>
      </c>
      <c r="B1394" s="165">
        <f>IFERROR(__xludf.DUMMYFUNCTION("""COMPUTED_VALUE"""),46066.0)</f>
        <v>46066</v>
      </c>
      <c r="C1394" s="165" t="str">
        <f>IFERROR(__xludf.DUMMYFUNCTION("""COMPUTED_VALUE"""),"KYAI KONTONG")</f>
        <v>KYAI KONTONG</v>
      </c>
      <c r="D1394" s="94">
        <f>IFERROR(__xludf.DUMMYFUNCTION("""COMPUTED_VALUE"""),5.0)</f>
        <v>5</v>
      </c>
    </row>
    <row r="1395">
      <c r="A1395" s="87" t="str">
        <f>IFERROR(__xludf.DUMMYFUNCTION("""COMPUTED_VALUE"""),"ITBISA-IC-74HC595N-DIP16")</f>
        <v>ITBISA-IC-74HC595N-DIP16</v>
      </c>
      <c r="B1395" s="165">
        <f>IFERROR(__xludf.DUMMYFUNCTION("""COMPUTED_VALUE"""),46066.0)</f>
        <v>46066</v>
      </c>
      <c r="C1395" s="165" t="str">
        <f>IFERROR(__xludf.DUMMYFUNCTION("""COMPUTED_VALUE"""),"KYAI KONTONG")</f>
        <v>KYAI KONTONG</v>
      </c>
      <c r="D1395" s="94">
        <f>IFERROR(__xludf.DUMMYFUNCTION("""COMPUTED_VALUE"""),25.0)</f>
        <v>25</v>
      </c>
    </row>
    <row r="1396">
      <c r="A1396" s="87" t="str">
        <f>IFERROR(__xludf.DUMMYFUNCTION("""COMPUTED_VALUE"""),"ITBISA-IC-74HC595N-DIP16")</f>
        <v>ITBISA-IC-74HC595N-DIP16</v>
      </c>
      <c r="B1396" s="165">
        <f>IFERROR(__xludf.DUMMYFUNCTION("""COMPUTED_VALUE"""),46070.0)</f>
        <v>46070</v>
      </c>
      <c r="C1396" s="165" t="str">
        <f>IFERROR(__xludf.DUMMYFUNCTION("""COMPUTED_VALUE"""),"KYAI KONTONG")</f>
        <v>KYAI KONTONG</v>
      </c>
      <c r="D1396" s="94">
        <f>IFERROR(__xludf.DUMMYFUNCTION("""COMPUTED_VALUE"""),20.0)</f>
        <v>20</v>
      </c>
    </row>
    <row r="1397">
      <c r="A1397" s="87" t="str">
        <f>IFERROR(__xludf.DUMMYFUNCTION("""COMPUTED_VALUE"""),"ITBISA-IC-74HC595N-DIP16")</f>
        <v>ITBISA-IC-74HC595N-DIP16</v>
      </c>
      <c r="B1397" s="165">
        <f>IFERROR(__xludf.DUMMYFUNCTION("""COMPUTED_VALUE"""),46071.0)</f>
        <v>46071</v>
      </c>
      <c r="C1397" s="165" t="str">
        <f>IFERROR(__xludf.DUMMYFUNCTION("""COMPUTED_VALUE"""),"KYAI KONTONG")</f>
        <v>KYAI KONTONG</v>
      </c>
      <c r="D1397" s="94">
        <f>IFERROR(__xludf.DUMMYFUNCTION("""COMPUTED_VALUE"""),2.0)</f>
        <v>2</v>
      </c>
    </row>
    <row r="1398">
      <c r="A1398" s="87" t="str">
        <f>IFERROR(__xludf.DUMMYFUNCTION("""COMPUTED_VALUE"""),"ITBISA-IC-74HC595N-DIP16")</f>
        <v>ITBISA-IC-74HC595N-DIP16</v>
      </c>
      <c r="B1398" s="165">
        <f>IFERROR(__xludf.DUMMYFUNCTION("""COMPUTED_VALUE"""),46072.0)</f>
        <v>46072</v>
      </c>
      <c r="C1398" s="165" t="str">
        <f>IFERROR(__xludf.DUMMYFUNCTION("""COMPUTED_VALUE"""),"KYAI KONTONG")</f>
        <v>KYAI KONTONG</v>
      </c>
      <c r="D1398" s="94">
        <f>IFERROR(__xludf.DUMMYFUNCTION("""COMPUTED_VALUE"""),8.0)</f>
        <v>8</v>
      </c>
    </row>
    <row r="1399">
      <c r="A1399" s="87" t="str">
        <f>IFERROR(__xludf.DUMMYFUNCTION("""COMPUTED_VALUE"""),"ITBISA-IC-74HC595N-DIP16")</f>
        <v>ITBISA-IC-74HC595N-DIP16</v>
      </c>
      <c r="B1399" s="165">
        <f>IFERROR(__xludf.DUMMYFUNCTION("""COMPUTED_VALUE"""),46074.0)</f>
        <v>46074</v>
      </c>
      <c r="C1399" s="165" t="str">
        <f>IFERROR(__xludf.DUMMYFUNCTION("""COMPUTED_VALUE"""),"KYAI KONTONG")</f>
        <v>KYAI KONTONG</v>
      </c>
      <c r="D1399" s="94">
        <f>IFERROR(__xludf.DUMMYFUNCTION("""COMPUTED_VALUE"""),50.0)</f>
        <v>50</v>
      </c>
    </row>
    <row r="1400">
      <c r="A1400" s="87" t="str">
        <f>IFERROR(__xludf.DUMMYFUNCTION("""COMPUTED_VALUE"""),"ITBISA-IC-74HC595N-DIP16")</f>
        <v>ITBISA-IC-74HC595N-DIP16</v>
      </c>
      <c r="B1400" s="165">
        <f>IFERROR(__xludf.DUMMYFUNCTION("""COMPUTED_VALUE"""),46075.0)</f>
        <v>46075</v>
      </c>
      <c r="C1400" s="165" t="str">
        <f>IFERROR(__xludf.DUMMYFUNCTION("""COMPUTED_VALUE"""),"KYAI KONTONG")</f>
        <v>KYAI KONTONG</v>
      </c>
      <c r="D1400" s="94">
        <f>IFERROR(__xludf.DUMMYFUNCTION("""COMPUTED_VALUE"""),10.0)</f>
        <v>10</v>
      </c>
    </row>
    <row r="1401">
      <c r="A1401" s="87" t="str">
        <f>IFERROR(__xludf.DUMMYFUNCTION("""COMPUTED_VALUE"""),"ITBISA-IC-74HC595N-DIP16")</f>
        <v>ITBISA-IC-74HC595N-DIP16</v>
      </c>
      <c r="B1401" s="165">
        <f>IFERROR(__xludf.DUMMYFUNCTION("""COMPUTED_VALUE"""),46078.0)</f>
        <v>46078</v>
      </c>
      <c r="C1401" s="165" t="str">
        <f>IFERROR(__xludf.DUMMYFUNCTION("""COMPUTED_VALUE"""),"KYAI KONTONG")</f>
        <v>KYAI KONTONG</v>
      </c>
      <c r="D1401" s="94">
        <f>IFERROR(__xludf.DUMMYFUNCTION("""COMPUTED_VALUE"""),8.0)</f>
        <v>8</v>
      </c>
    </row>
    <row r="1402">
      <c r="A1402" s="87" t="str">
        <f>IFERROR(__xludf.DUMMYFUNCTION("""COMPUTED_VALUE"""),"ITBISA-IC-74HC595N-DIP16")</f>
        <v>ITBISA-IC-74HC595N-DIP16</v>
      </c>
      <c r="B1402" s="165">
        <f>IFERROR(__xludf.DUMMYFUNCTION("""COMPUTED_VALUE"""),46081.0)</f>
        <v>46081</v>
      </c>
      <c r="C1402" s="165" t="str">
        <f>IFERROR(__xludf.DUMMYFUNCTION("""COMPUTED_VALUE"""),"KYAI KONTONG")</f>
        <v>KYAI KONTONG</v>
      </c>
      <c r="D1402" s="94">
        <f>IFERROR(__xludf.DUMMYFUNCTION("""COMPUTED_VALUE"""),5.0)</f>
        <v>5</v>
      </c>
    </row>
    <row r="1403">
      <c r="A1403" s="87" t="str">
        <f>IFERROR(__xludf.DUMMYFUNCTION("""COMPUTED_VALUE"""),"ITBISA-IC-74HC595N-DIP16")</f>
        <v>ITBISA-IC-74HC595N-DIP16</v>
      </c>
      <c r="B1403" s="165">
        <f>IFERROR(__xludf.DUMMYFUNCTION("""COMPUTED_VALUE"""),46083.0)</f>
        <v>46083</v>
      </c>
      <c r="C1403" s="165" t="str">
        <f>IFERROR(__xludf.DUMMYFUNCTION("""COMPUTED_VALUE"""),"KYAI KONTONG")</f>
        <v>KYAI KONTONG</v>
      </c>
      <c r="D1403" s="94">
        <f>IFERROR(__xludf.DUMMYFUNCTION("""COMPUTED_VALUE"""),25.0)</f>
        <v>25</v>
      </c>
    </row>
    <row r="1404">
      <c r="A1404" s="87" t="str">
        <f>IFERROR(__xludf.DUMMYFUNCTION("""COMPUTED_VALUE"""),"ITBISA-IC-74HC595N-DIP16")</f>
        <v>ITBISA-IC-74HC595N-DIP16</v>
      </c>
      <c r="B1404" s="165">
        <f>IFERROR(__xludf.DUMMYFUNCTION("""COMPUTED_VALUE"""),46084.0)</f>
        <v>46084</v>
      </c>
      <c r="C1404" s="165" t="str">
        <f>IFERROR(__xludf.DUMMYFUNCTION("""COMPUTED_VALUE"""),"KYAI KONTONG")</f>
        <v>KYAI KONTONG</v>
      </c>
      <c r="D1404" s="94">
        <f>IFERROR(__xludf.DUMMYFUNCTION("""COMPUTED_VALUE"""),25.0)</f>
        <v>25</v>
      </c>
    </row>
    <row r="1405">
      <c r="A1405" s="87" t="str">
        <f>IFERROR(__xludf.DUMMYFUNCTION("""COMPUTED_VALUE"""),"ITBISA-IC-74HC595N-DIP16")</f>
        <v>ITBISA-IC-74HC595N-DIP16</v>
      </c>
      <c r="B1405" s="165">
        <f>IFERROR(__xludf.DUMMYFUNCTION("""COMPUTED_VALUE"""),46084.0)</f>
        <v>46084</v>
      </c>
      <c r="C1405" s="165" t="str">
        <f>IFERROR(__xludf.DUMMYFUNCTION("""COMPUTED_VALUE"""),"KYAI KONTONG")</f>
        <v>KYAI KONTONG</v>
      </c>
      <c r="D1405" s="94">
        <f>IFERROR(__xludf.DUMMYFUNCTION("""COMPUTED_VALUE"""),50.0)</f>
        <v>50</v>
      </c>
    </row>
    <row r="1406">
      <c r="A1406" s="87" t="str">
        <f>IFERROR(__xludf.DUMMYFUNCTION("""COMPUTED_VALUE"""),"ITBISA-IC-74HC595N-DIP16")</f>
        <v>ITBISA-IC-74HC595N-DIP16</v>
      </c>
      <c r="B1406" s="165">
        <f>IFERROR(__xludf.DUMMYFUNCTION("""COMPUTED_VALUE"""),46085.0)</f>
        <v>46085</v>
      </c>
      <c r="C1406" s="165" t="str">
        <f>IFERROR(__xludf.DUMMYFUNCTION("""COMPUTED_VALUE"""),"KYAI KONTONG")</f>
        <v>KYAI KONTONG</v>
      </c>
      <c r="D1406" s="94">
        <f>IFERROR(__xludf.DUMMYFUNCTION("""COMPUTED_VALUE"""),30.0)</f>
        <v>30</v>
      </c>
    </row>
    <row r="1407">
      <c r="A1407" s="87" t="str">
        <f>IFERROR(__xludf.DUMMYFUNCTION("""COMPUTED_VALUE"""),"ITBISA-IC-74HC595N-DIP16")</f>
        <v>ITBISA-IC-74HC595N-DIP16</v>
      </c>
      <c r="B1407" s="165">
        <f>IFERROR(__xludf.DUMMYFUNCTION("""COMPUTED_VALUE"""),46085.0)</f>
        <v>46085</v>
      </c>
      <c r="C1407" s="165" t="str">
        <f>IFERROR(__xludf.DUMMYFUNCTION("""COMPUTED_VALUE"""),"KYAI KONTONG")</f>
        <v>KYAI KONTONG</v>
      </c>
      <c r="D1407" s="94">
        <f>IFERROR(__xludf.DUMMYFUNCTION("""COMPUTED_VALUE"""),35.0)</f>
        <v>35</v>
      </c>
    </row>
    <row r="1408">
      <c r="A1408" s="87" t="str">
        <f>IFERROR(__xludf.DUMMYFUNCTION("""COMPUTED_VALUE"""),"ITBISA-IC-74HC595N-DIP16")</f>
        <v>ITBISA-IC-74HC595N-DIP16</v>
      </c>
      <c r="B1408" s="165">
        <f>IFERROR(__xludf.DUMMYFUNCTION("""COMPUTED_VALUE"""),46100.0)</f>
        <v>46100</v>
      </c>
      <c r="C1408" s="165" t="str">
        <f>IFERROR(__xludf.DUMMYFUNCTION("""COMPUTED_VALUE"""),"KYAI KONTONG")</f>
        <v>KYAI KONTONG</v>
      </c>
      <c r="D1408" s="94">
        <f>IFERROR(__xludf.DUMMYFUNCTION("""COMPUTED_VALUE"""),400.0)</f>
        <v>400</v>
      </c>
    </row>
    <row r="1409">
      <c r="A1409" s="87" t="str">
        <f>IFERROR(__xludf.DUMMYFUNCTION("""COMPUTED_VALUE"""),"ITBISA-IC-74HC595N-DIP16")</f>
        <v>ITBISA-IC-74HC595N-DIP16</v>
      </c>
      <c r="B1409" s="165">
        <f>IFERROR(__xludf.DUMMYFUNCTION("""COMPUTED_VALUE"""),46101.0)</f>
        <v>46101</v>
      </c>
      <c r="C1409" s="165" t="str">
        <f>IFERROR(__xludf.DUMMYFUNCTION("""COMPUTED_VALUE"""),"KYAI KONTONG")</f>
        <v>KYAI KONTONG</v>
      </c>
      <c r="D1409" s="94">
        <f>IFERROR(__xludf.DUMMYFUNCTION("""COMPUTED_VALUE"""),5.0)</f>
        <v>5</v>
      </c>
    </row>
    <row r="1410">
      <c r="A1410" s="87" t="str">
        <f>IFERROR(__xludf.DUMMYFUNCTION("""COMPUTED_VALUE"""),"ITBISA-IC-74HC595N-DIP16")</f>
        <v>ITBISA-IC-74HC595N-DIP16</v>
      </c>
      <c r="B1410" s="165">
        <f>IFERROR(__xludf.DUMMYFUNCTION("""COMPUTED_VALUE"""),46101.0)</f>
        <v>46101</v>
      </c>
      <c r="C1410" s="165" t="str">
        <f>IFERROR(__xludf.DUMMYFUNCTION("""COMPUTED_VALUE"""),"KYAI KONTONG")</f>
        <v>KYAI KONTONG</v>
      </c>
      <c r="D1410" s="94">
        <f>IFERROR(__xludf.DUMMYFUNCTION("""COMPUTED_VALUE"""),10.0)</f>
        <v>10</v>
      </c>
    </row>
    <row r="1411">
      <c r="A1411" s="87" t="str">
        <f>IFERROR(__xludf.DUMMYFUNCTION("""COMPUTED_VALUE"""),"ITBISA-IC-74HC595N-DIP16")</f>
        <v>ITBISA-IC-74HC595N-DIP16</v>
      </c>
      <c r="B1411" s="165">
        <f>IFERROR(__xludf.DUMMYFUNCTION("""COMPUTED_VALUE"""),46116.0)</f>
        <v>46116</v>
      </c>
      <c r="C1411" s="165" t="str">
        <f>IFERROR(__xludf.DUMMYFUNCTION("""COMPUTED_VALUE"""),"KYAI KONTONG")</f>
        <v>KYAI KONTONG</v>
      </c>
      <c r="D1411" s="94">
        <f>IFERROR(__xludf.DUMMYFUNCTION("""COMPUTED_VALUE"""),200.0)</f>
        <v>200</v>
      </c>
    </row>
    <row r="1412">
      <c r="A1412" s="87" t="str">
        <f>IFERROR(__xludf.DUMMYFUNCTION("""COMPUTED_VALUE"""),"ITBISA-IC-74HC595N-DIP16")</f>
        <v>ITBISA-IC-74HC595N-DIP16</v>
      </c>
      <c r="B1412" s="165">
        <f>IFERROR(__xludf.DUMMYFUNCTION("""COMPUTED_VALUE"""),46117.0)</f>
        <v>46117</v>
      </c>
      <c r="C1412" s="165" t="str">
        <f>IFERROR(__xludf.DUMMYFUNCTION("""COMPUTED_VALUE"""),"KYAI KONTONG")</f>
        <v>KYAI KONTONG</v>
      </c>
      <c r="D1412" s="94">
        <f>IFERROR(__xludf.DUMMYFUNCTION("""COMPUTED_VALUE"""),5.0)</f>
        <v>5</v>
      </c>
    </row>
    <row r="1413">
      <c r="A1413" s="87" t="str">
        <f>IFERROR(__xludf.DUMMYFUNCTION("""COMPUTED_VALUE"""),"ITBISA-IC-74HC595N-DIP16")</f>
        <v>ITBISA-IC-74HC595N-DIP16</v>
      </c>
      <c r="B1413" s="165">
        <f>IFERROR(__xludf.DUMMYFUNCTION("""COMPUTED_VALUE"""),46117.0)</f>
        <v>46117</v>
      </c>
      <c r="C1413" s="165" t="str">
        <f>IFERROR(__xludf.DUMMYFUNCTION("""COMPUTED_VALUE"""),"KYAI KONTONG")</f>
        <v>KYAI KONTONG</v>
      </c>
      <c r="D1413" s="94">
        <f>IFERROR(__xludf.DUMMYFUNCTION("""COMPUTED_VALUE"""),20.0)</f>
        <v>20</v>
      </c>
    </row>
    <row r="1414">
      <c r="A1414" s="87" t="str">
        <f>IFERROR(__xludf.DUMMYFUNCTION("""COMPUTED_VALUE"""),"ITBISA-IC-74HC595N-DIP16")</f>
        <v>ITBISA-IC-74HC595N-DIP16</v>
      </c>
      <c r="B1414" s="165">
        <f>IFERROR(__xludf.DUMMYFUNCTION("""COMPUTED_VALUE"""),46119.0)</f>
        <v>46119</v>
      </c>
      <c r="C1414" s="165" t="str">
        <f>IFERROR(__xludf.DUMMYFUNCTION("""COMPUTED_VALUE"""),"KYAI KONTONG")</f>
        <v>KYAI KONTONG</v>
      </c>
      <c r="D1414" s="94">
        <f>IFERROR(__xludf.DUMMYFUNCTION("""COMPUTED_VALUE"""),15.0)</f>
        <v>15</v>
      </c>
    </row>
    <row r="1415">
      <c r="A1415" s="87" t="str">
        <f>IFERROR(__xludf.DUMMYFUNCTION("""COMPUTED_VALUE"""),"ITBISA-IC-74HC595N-DIP16")</f>
        <v>ITBISA-IC-74HC595N-DIP16</v>
      </c>
      <c r="B1415" s="165">
        <f>IFERROR(__xludf.DUMMYFUNCTION("""COMPUTED_VALUE"""),46120.0)</f>
        <v>46120</v>
      </c>
      <c r="C1415" s="165" t="str">
        <f>IFERROR(__xludf.DUMMYFUNCTION("""COMPUTED_VALUE"""),"KYAI KONTONG")</f>
        <v>KYAI KONTONG</v>
      </c>
      <c r="D1415" s="94">
        <f>IFERROR(__xludf.DUMMYFUNCTION("""COMPUTED_VALUE"""),6.0)</f>
        <v>6</v>
      </c>
    </row>
    <row r="1416">
      <c r="A1416" s="87" t="str">
        <f>IFERROR(__xludf.DUMMYFUNCTION("""COMPUTED_VALUE"""),"ITBISA-IC-74HC595N-DIP16")</f>
        <v>ITBISA-IC-74HC595N-DIP16</v>
      </c>
      <c r="B1416" s="165">
        <f>IFERROR(__xludf.DUMMYFUNCTION("""COMPUTED_VALUE"""),46120.0)</f>
        <v>46120</v>
      </c>
      <c r="C1416" s="165" t="str">
        <f>IFERROR(__xludf.DUMMYFUNCTION("""COMPUTED_VALUE"""),"KYAI KONTONG")</f>
        <v>KYAI KONTONG</v>
      </c>
      <c r="D1416" s="94">
        <f>IFERROR(__xludf.DUMMYFUNCTION("""COMPUTED_VALUE"""),10.0)</f>
        <v>10</v>
      </c>
    </row>
    <row r="1417">
      <c r="A1417" s="87" t="str">
        <f>IFERROR(__xludf.DUMMYFUNCTION("""COMPUTED_VALUE"""),"ITBISA-IC-74HC595N-DIP16")</f>
        <v>ITBISA-IC-74HC595N-DIP16</v>
      </c>
      <c r="B1417" s="165">
        <f>IFERROR(__xludf.DUMMYFUNCTION("""COMPUTED_VALUE"""),46121.0)</f>
        <v>46121</v>
      </c>
      <c r="C1417" s="165" t="str">
        <f>IFERROR(__xludf.DUMMYFUNCTION("""COMPUTED_VALUE"""),"KYAI KONTONG")</f>
        <v>KYAI KONTONG</v>
      </c>
      <c r="D1417" s="94">
        <f>IFERROR(__xludf.DUMMYFUNCTION("""COMPUTED_VALUE"""),5.0)</f>
        <v>5</v>
      </c>
    </row>
    <row r="1418">
      <c r="A1418" s="87" t="str">
        <f>IFERROR(__xludf.DUMMYFUNCTION("""COMPUTED_VALUE"""),"ITBISA-IC-74HC595N-DIP16")</f>
        <v>ITBISA-IC-74HC595N-DIP16</v>
      </c>
      <c r="B1418" s="165">
        <f>IFERROR(__xludf.DUMMYFUNCTION("""COMPUTED_VALUE"""),46125.0)</f>
        <v>46125</v>
      </c>
      <c r="C1418" s="165" t="str">
        <f>IFERROR(__xludf.DUMMYFUNCTION("""COMPUTED_VALUE"""),"KYAI KONTONG")</f>
        <v>KYAI KONTONG</v>
      </c>
      <c r="D1418" s="94">
        <f>IFERROR(__xludf.DUMMYFUNCTION("""COMPUTED_VALUE"""),20.0)</f>
        <v>20</v>
      </c>
    </row>
    <row r="1419">
      <c r="A1419" s="87" t="str">
        <f>IFERROR(__xludf.DUMMYFUNCTION("""COMPUTED_VALUE"""),"ITBISA-IC-74HC595N-DIP16")</f>
        <v>ITBISA-IC-74HC595N-DIP16</v>
      </c>
      <c r="B1419" s="165">
        <f>IFERROR(__xludf.DUMMYFUNCTION("""COMPUTED_VALUE"""),46125.0)</f>
        <v>46125</v>
      </c>
      <c r="C1419" s="165" t="str">
        <f>IFERROR(__xludf.DUMMYFUNCTION("""COMPUTED_VALUE"""),"KYAI KONTONG")</f>
        <v>KYAI KONTONG</v>
      </c>
      <c r="D1419" s="94">
        <f>IFERROR(__xludf.DUMMYFUNCTION("""COMPUTED_VALUE"""),20.0)</f>
        <v>20</v>
      </c>
    </row>
    <row r="1420">
      <c r="A1420" s="87" t="str">
        <f>IFERROR(__xludf.DUMMYFUNCTION("""COMPUTED_VALUE"""),"ITBISA-IC-74HC595N-DIP16")</f>
        <v>ITBISA-IC-74HC595N-DIP16</v>
      </c>
      <c r="B1420" s="165">
        <f>IFERROR(__xludf.DUMMYFUNCTION("""COMPUTED_VALUE"""),46127.0)</f>
        <v>46127</v>
      </c>
      <c r="C1420" s="165" t="str">
        <f>IFERROR(__xludf.DUMMYFUNCTION("""COMPUTED_VALUE"""),"KYAI KONTONG")</f>
        <v>KYAI KONTONG</v>
      </c>
      <c r="D1420" s="94">
        <f>IFERROR(__xludf.DUMMYFUNCTION("""COMPUTED_VALUE"""),13.0)</f>
        <v>13</v>
      </c>
    </row>
    <row r="1421">
      <c r="A1421" s="87" t="str">
        <f>IFERROR(__xludf.DUMMYFUNCTION("""COMPUTED_VALUE"""),"ITBISA-IC-74HC595N-DIP16")</f>
        <v>ITBISA-IC-74HC595N-DIP16</v>
      </c>
      <c r="B1421" s="165">
        <f>IFERROR(__xludf.DUMMYFUNCTION("""COMPUTED_VALUE"""),46130.0)</f>
        <v>46130</v>
      </c>
      <c r="C1421" s="165" t="str">
        <f>IFERROR(__xludf.DUMMYFUNCTION("""COMPUTED_VALUE"""),"KYAI KONTONG")</f>
        <v>KYAI KONTONG</v>
      </c>
      <c r="D1421" s="94">
        <f>IFERROR(__xludf.DUMMYFUNCTION("""COMPUTED_VALUE"""),8.0)</f>
        <v>8</v>
      </c>
    </row>
    <row r="1422">
      <c r="A1422" s="87" t="str">
        <f>IFERROR(__xludf.DUMMYFUNCTION("""COMPUTED_VALUE"""),"ITBISA-IC-74HC595N-DIP16")</f>
        <v>ITBISA-IC-74HC595N-DIP16</v>
      </c>
      <c r="B1422" s="165">
        <f>IFERROR(__xludf.DUMMYFUNCTION("""COMPUTED_VALUE"""),46130.0)</f>
        <v>46130</v>
      </c>
      <c r="C1422" s="165" t="str">
        <f>IFERROR(__xludf.DUMMYFUNCTION("""COMPUTED_VALUE"""),"KYAI KONTONG")</f>
        <v>KYAI KONTONG</v>
      </c>
      <c r="D1422" s="94">
        <f>IFERROR(__xludf.DUMMYFUNCTION("""COMPUTED_VALUE"""),1000.0)</f>
        <v>1000</v>
      </c>
    </row>
    <row r="1423">
      <c r="A1423" s="87" t="str">
        <f>IFERROR(__xludf.DUMMYFUNCTION("""COMPUTED_VALUE"""),"ITBISA-IC-74HC595N-DIP16")</f>
        <v>ITBISA-IC-74HC595N-DIP16</v>
      </c>
      <c r="B1423" s="165">
        <f>IFERROR(__xludf.DUMMYFUNCTION("""COMPUTED_VALUE"""),46131.0)</f>
        <v>46131</v>
      </c>
      <c r="C1423" s="165" t="str">
        <f>IFERROR(__xludf.DUMMYFUNCTION("""COMPUTED_VALUE"""),"KYAI KONTONG")</f>
        <v>KYAI KONTONG</v>
      </c>
      <c r="D1423" s="94">
        <f>IFERROR(__xludf.DUMMYFUNCTION("""COMPUTED_VALUE"""),2.0)</f>
        <v>2</v>
      </c>
    </row>
    <row r="1424">
      <c r="A1424" s="87" t="str">
        <f>IFERROR(__xludf.DUMMYFUNCTION("""COMPUTED_VALUE"""),"ITBISA-IC-74HC595N-DIP16")</f>
        <v>ITBISA-IC-74HC595N-DIP16</v>
      </c>
      <c r="B1424" s="165">
        <f>IFERROR(__xludf.DUMMYFUNCTION("""COMPUTED_VALUE"""),46132.0)</f>
        <v>46132</v>
      </c>
      <c r="C1424" s="165" t="str">
        <f>IFERROR(__xludf.DUMMYFUNCTION("""COMPUTED_VALUE"""),"KYAI KONTONG")</f>
        <v>KYAI KONTONG</v>
      </c>
      <c r="D1424" s="94">
        <f>IFERROR(__xludf.DUMMYFUNCTION("""COMPUTED_VALUE"""),20.0)</f>
        <v>20</v>
      </c>
    </row>
    <row r="1425">
      <c r="A1425" s="87" t="str">
        <f>IFERROR(__xludf.DUMMYFUNCTION("""COMPUTED_VALUE"""),"ITBISA-IC-74HC595N-DIP16")</f>
        <v>ITBISA-IC-74HC595N-DIP16</v>
      </c>
      <c r="B1425" s="165">
        <f>IFERROR(__xludf.DUMMYFUNCTION("""COMPUTED_VALUE"""),46133.0)</f>
        <v>46133</v>
      </c>
      <c r="C1425" s="165" t="str">
        <f>IFERROR(__xludf.DUMMYFUNCTION("""COMPUTED_VALUE"""),"KYAI KONTONG")</f>
        <v>KYAI KONTONG</v>
      </c>
      <c r="D1425" s="94">
        <f>IFERROR(__xludf.DUMMYFUNCTION("""COMPUTED_VALUE"""),3.0)</f>
        <v>3</v>
      </c>
    </row>
    <row r="1426">
      <c r="A1426" s="87" t="str">
        <f>IFERROR(__xludf.DUMMYFUNCTION("""COMPUTED_VALUE"""),"ITBISA-IC-74HC595N-DIP16")</f>
        <v>ITBISA-IC-74HC595N-DIP16</v>
      </c>
      <c r="B1426" s="165">
        <f>IFERROR(__xludf.DUMMYFUNCTION("""COMPUTED_VALUE"""),46134.0)</f>
        <v>46134</v>
      </c>
      <c r="C1426" s="165" t="str">
        <f>IFERROR(__xludf.DUMMYFUNCTION("""COMPUTED_VALUE"""),"KYAI KONTONG")</f>
        <v>KYAI KONTONG</v>
      </c>
      <c r="D1426" s="94">
        <f>IFERROR(__xludf.DUMMYFUNCTION("""COMPUTED_VALUE"""),5.0)</f>
        <v>5</v>
      </c>
    </row>
    <row r="1427">
      <c r="A1427" s="87" t="str">
        <f>IFERROR(__xludf.DUMMYFUNCTION("""COMPUTED_VALUE"""),"ITBISA-IC-74HC595N-DIP16")</f>
        <v>ITBISA-IC-74HC595N-DIP16</v>
      </c>
      <c r="B1427" s="165">
        <f>IFERROR(__xludf.DUMMYFUNCTION("""COMPUTED_VALUE"""),46134.0)</f>
        <v>46134</v>
      </c>
      <c r="C1427" s="165" t="str">
        <f>IFERROR(__xludf.DUMMYFUNCTION("""COMPUTED_VALUE"""),"KYAI KONTONG")</f>
        <v>KYAI KONTONG</v>
      </c>
      <c r="D1427" s="94">
        <f>IFERROR(__xludf.DUMMYFUNCTION("""COMPUTED_VALUE"""),10.0)</f>
        <v>10</v>
      </c>
    </row>
    <row r="1428">
      <c r="A1428" s="87" t="str">
        <f>IFERROR(__xludf.DUMMYFUNCTION("""COMPUTED_VALUE"""),"ITBISA-IC-74HC595N-DIP16")</f>
        <v>ITBISA-IC-74HC595N-DIP16</v>
      </c>
      <c r="B1428" s="165">
        <f>IFERROR(__xludf.DUMMYFUNCTION("""COMPUTED_VALUE"""),46134.0)</f>
        <v>46134</v>
      </c>
      <c r="C1428" s="165" t="str">
        <f>IFERROR(__xludf.DUMMYFUNCTION("""COMPUTED_VALUE"""),"KYAI KONTONG")</f>
        <v>KYAI KONTONG</v>
      </c>
      <c r="D1428" s="94">
        <f>IFERROR(__xludf.DUMMYFUNCTION("""COMPUTED_VALUE"""),50.0)</f>
        <v>50</v>
      </c>
    </row>
    <row r="1429">
      <c r="A1429" s="87" t="str">
        <f>IFERROR(__xludf.DUMMYFUNCTION("""COMPUTED_VALUE"""),"ITBISA-IC-74HC595N-DIP16")</f>
        <v>ITBISA-IC-74HC595N-DIP16</v>
      </c>
      <c r="B1429" s="165">
        <f>IFERROR(__xludf.DUMMYFUNCTION("""COMPUTED_VALUE"""),46137.0)</f>
        <v>46137</v>
      </c>
      <c r="C1429" s="165" t="str">
        <f>IFERROR(__xludf.DUMMYFUNCTION("""COMPUTED_VALUE"""),"KYAI KONTONG")</f>
        <v>KYAI KONTONG</v>
      </c>
      <c r="D1429" s="94">
        <f>IFERROR(__xludf.DUMMYFUNCTION("""COMPUTED_VALUE"""),5.0)</f>
        <v>5</v>
      </c>
    </row>
    <row r="1430">
      <c r="A1430" s="87" t="str">
        <f>IFERROR(__xludf.DUMMYFUNCTION("""COMPUTED_VALUE"""),"ITBISA-IC-74HC595N-DIP16")</f>
        <v>ITBISA-IC-74HC595N-DIP16</v>
      </c>
      <c r="B1430" s="165">
        <f>IFERROR(__xludf.DUMMYFUNCTION("""COMPUTED_VALUE"""),46137.0)</f>
        <v>46137</v>
      </c>
      <c r="C1430" s="165" t="str">
        <f>IFERROR(__xludf.DUMMYFUNCTION("""COMPUTED_VALUE"""),"KYAI KONTONG")</f>
        <v>KYAI KONTONG</v>
      </c>
      <c r="D1430" s="94">
        <f>IFERROR(__xludf.DUMMYFUNCTION("""COMPUTED_VALUE"""),100.0)</f>
        <v>100</v>
      </c>
    </row>
    <row r="1431">
      <c r="A1431" s="87" t="str">
        <f>IFERROR(__xludf.DUMMYFUNCTION("""COMPUTED_VALUE"""),"ITBISA-IC-74HC595N-DIP16")</f>
        <v>ITBISA-IC-74HC595N-DIP16</v>
      </c>
      <c r="B1431" s="165">
        <f>IFERROR(__xludf.DUMMYFUNCTION("""COMPUTED_VALUE"""),46138.0)</f>
        <v>46138</v>
      </c>
      <c r="C1431" s="165" t="str">
        <f>IFERROR(__xludf.DUMMYFUNCTION("""COMPUTED_VALUE"""),"KYAI KONTONG")</f>
        <v>KYAI KONTONG</v>
      </c>
      <c r="D1431" s="94">
        <f>IFERROR(__xludf.DUMMYFUNCTION("""COMPUTED_VALUE"""),5.0)</f>
        <v>5</v>
      </c>
    </row>
    <row r="1432">
      <c r="A1432" s="87" t="str">
        <f>IFERROR(__xludf.DUMMYFUNCTION("""COMPUTED_VALUE"""),"ITBISA-IC-74HC595N-DIP16")</f>
        <v>ITBISA-IC-74HC595N-DIP16</v>
      </c>
      <c r="B1432" s="165">
        <f>IFERROR(__xludf.DUMMYFUNCTION("""COMPUTED_VALUE"""),46139.0)</f>
        <v>46139</v>
      </c>
      <c r="C1432" s="165" t="str">
        <f>IFERROR(__xludf.DUMMYFUNCTION("""COMPUTED_VALUE"""),"KYAI KONTONG")</f>
        <v>KYAI KONTONG</v>
      </c>
      <c r="D1432" s="94">
        <f>IFERROR(__xludf.DUMMYFUNCTION("""COMPUTED_VALUE"""),10.0)</f>
        <v>10</v>
      </c>
    </row>
    <row r="1433">
      <c r="A1433" s="87" t="str">
        <f>IFERROR(__xludf.DUMMYFUNCTION("""COMPUTED_VALUE"""),"ITBISA-IC-74HC595N-DIP16")</f>
        <v>ITBISA-IC-74HC595N-DIP16</v>
      </c>
      <c r="B1433" s="165">
        <f>IFERROR(__xludf.DUMMYFUNCTION("""COMPUTED_VALUE"""),46139.0)</f>
        <v>46139</v>
      </c>
      <c r="C1433" s="165" t="str">
        <f>IFERROR(__xludf.DUMMYFUNCTION("""COMPUTED_VALUE"""),"KYAI KONTONG")</f>
        <v>KYAI KONTONG</v>
      </c>
      <c r="D1433" s="94">
        <f>IFERROR(__xludf.DUMMYFUNCTION("""COMPUTED_VALUE"""),50.0)</f>
        <v>50</v>
      </c>
    </row>
    <row r="1434">
      <c r="A1434" s="87" t="str">
        <f>IFERROR(__xludf.DUMMYFUNCTION("""COMPUTED_VALUE"""),"ITBISA-IC-74HC595N-DIP16")</f>
        <v>ITBISA-IC-74HC595N-DIP16</v>
      </c>
      <c r="B1434" s="165">
        <f>IFERROR(__xludf.DUMMYFUNCTION("""COMPUTED_VALUE"""),46140.0)</f>
        <v>46140</v>
      </c>
      <c r="C1434" s="165" t="str">
        <f>IFERROR(__xludf.DUMMYFUNCTION("""COMPUTED_VALUE"""),"KYAI KONTONG")</f>
        <v>KYAI KONTONG</v>
      </c>
      <c r="D1434" s="94">
        <f>IFERROR(__xludf.DUMMYFUNCTION("""COMPUTED_VALUE"""),5.0)</f>
        <v>5</v>
      </c>
    </row>
    <row r="1435">
      <c r="A1435" s="87" t="str">
        <f>IFERROR(__xludf.DUMMYFUNCTION("""COMPUTED_VALUE"""),"ITBISA-IC-74HC595N-DIP16")</f>
        <v>ITBISA-IC-74HC595N-DIP16</v>
      </c>
      <c r="B1435" s="165">
        <f>IFERROR(__xludf.DUMMYFUNCTION("""COMPUTED_VALUE"""),46140.0)</f>
        <v>46140</v>
      </c>
      <c r="C1435" s="165" t="str">
        <f>IFERROR(__xludf.DUMMYFUNCTION("""COMPUTED_VALUE"""),"KYAI KONTONG")</f>
        <v>KYAI KONTONG</v>
      </c>
      <c r="D1435" s="94">
        <f>IFERROR(__xludf.DUMMYFUNCTION("""COMPUTED_VALUE"""),25.0)</f>
        <v>25</v>
      </c>
    </row>
    <row r="1436">
      <c r="A1436" s="87" t="str">
        <f>IFERROR(__xludf.DUMMYFUNCTION("""COMPUTED_VALUE"""),"ITBISA-IC-74HC595N-DIP16")</f>
        <v>ITBISA-IC-74HC595N-DIP16</v>
      </c>
      <c r="B1436" s="165">
        <f>IFERROR(__xludf.DUMMYFUNCTION("""COMPUTED_VALUE"""),46141.0)</f>
        <v>46141</v>
      </c>
      <c r="C1436" s="165" t="str">
        <f>IFERROR(__xludf.DUMMYFUNCTION("""COMPUTED_VALUE"""),"KYAI KONTONG")</f>
        <v>KYAI KONTONG</v>
      </c>
      <c r="D1436" s="94">
        <f>IFERROR(__xludf.DUMMYFUNCTION("""COMPUTED_VALUE"""),59.0)</f>
        <v>59</v>
      </c>
    </row>
    <row r="1437">
      <c r="A1437" s="87" t="str">
        <f>IFERROR(__xludf.DUMMYFUNCTION("""COMPUTED_VALUE"""),"ITBISA-IC-74HC595N-DIP16")</f>
        <v>ITBISA-IC-74HC595N-DIP16</v>
      </c>
      <c r="B1437" s="165">
        <f>IFERROR(__xludf.DUMMYFUNCTION("""COMPUTED_VALUE"""),46142.0)</f>
        <v>46142</v>
      </c>
      <c r="C1437" s="165" t="str">
        <f>IFERROR(__xludf.DUMMYFUNCTION("""COMPUTED_VALUE"""),"KYAI KONTONG")</f>
        <v>KYAI KONTONG</v>
      </c>
      <c r="D1437" s="94">
        <f>IFERROR(__xludf.DUMMYFUNCTION("""COMPUTED_VALUE"""),75.0)</f>
        <v>75</v>
      </c>
    </row>
    <row r="1438">
      <c r="A1438" s="87" t="str">
        <f>IFERROR(__xludf.DUMMYFUNCTION("""COMPUTED_VALUE"""),"ITBISA-IC-74HC595N-DIP16")</f>
        <v>ITBISA-IC-74HC595N-DIP16</v>
      </c>
      <c r="B1438" s="165">
        <f>IFERROR(__xludf.DUMMYFUNCTION("""COMPUTED_VALUE"""),46143.0)</f>
        <v>46143</v>
      </c>
      <c r="C1438" s="165" t="str">
        <f>IFERROR(__xludf.DUMMYFUNCTION("""COMPUTED_VALUE"""),"KYAI KONTONG")</f>
        <v>KYAI KONTONG</v>
      </c>
      <c r="D1438" s="94">
        <f>IFERROR(__xludf.DUMMYFUNCTION("""COMPUTED_VALUE"""),5.0)</f>
        <v>5</v>
      </c>
    </row>
    <row r="1439">
      <c r="A1439" s="87" t="str">
        <f>IFERROR(__xludf.DUMMYFUNCTION("""COMPUTED_VALUE"""),"ITBISA-IC-74HC595N-DIP16")</f>
        <v>ITBISA-IC-74HC595N-DIP16</v>
      </c>
      <c r="B1439" s="165">
        <f>IFERROR(__xludf.DUMMYFUNCTION("""COMPUTED_VALUE"""),46144.0)</f>
        <v>46144</v>
      </c>
      <c r="C1439" s="165" t="str">
        <f>IFERROR(__xludf.DUMMYFUNCTION("""COMPUTED_VALUE"""),"KYAI KONTONG")</f>
        <v>KYAI KONTONG</v>
      </c>
      <c r="D1439" s="94">
        <f>IFERROR(__xludf.DUMMYFUNCTION("""COMPUTED_VALUE"""),4.0)</f>
        <v>4</v>
      </c>
    </row>
    <row r="1440">
      <c r="A1440" s="87" t="str">
        <f>IFERROR(__xludf.DUMMYFUNCTION("""COMPUTED_VALUE"""),"ITBISA-IC-74HC595N-DIP16")</f>
        <v>ITBISA-IC-74HC595N-DIP16</v>
      </c>
      <c r="B1440" s="165">
        <f>IFERROR(__xludf.DUMMYFUNCTION("""COMPUTED_VALUE"""),46144.0)</f>
        <v>46144</v>
      </c>
      <c r="C1440" s="165" t="str">
        <f>IFERROR(__xludf.DUMMYFUNCTION("""COMPUTED_VALUE"""),"KYAI KONTONG")</f>
        <v>KYAI KONTONG</v>
      </c>
      <c r="D1440" s="94">
        <f>IFERROR(__xludf.DUMMYFUNCTION("""COMPUTED_VALUE"""),10.0)</f>
        <v>10</v>
      </c>
    </row>
    <row r="1441">
      <c r="A1441" s="87" t="str">
        <f>IFERROR(__xludf.DUMMYFUNCTION("""COMPUTED_VALUE"""),"ITBISA-IC-74HC595N-DIP16")</f>
        <v>ITBISA-IC-74HC595N-DIP16</v>
      </c>
      <c r="B1441" s="165">
        <f>IFERROR(__xludf.DUMMYFUNCTION("""COMPUTED_VALUE"""),46144.0)</f>
        <v>46144</v>
      </c>
      <c r="C1441" s="165" t="str">
        <f>IFERROR(__xludf.DUMMYFUNCTION("""COMPUTED_VALUE"""),"KYAI KONTONG")</f>
        <v>KYAI KONTONG</v>
      </c>
      <c r="D1441" s="94">
        <f>IFERROR(__xludf.DUMMYFUNCTION("""COMPUTED_VALUE"""),11.0)</f>
        <v>11</v>
      </c>
    </row>
    <row r="1442">
      <c r="A1442" s="87" t="str">
        <f>IFERROR(__xludf.DUMMYFUNCTION("""COMPUTED_VALUE"""),"ITBISA-IC-74HC595N-DIP16")</f>
        <v>ITBISA-IC-74HC595N-DIP16</v>
      </c>
      <c r="B1442" s="165">
        <f>IFERROR(__xludf.DUMMYFUNCTION("""COMPUTED_VALUE"""),46146.0)</f>
        <v>46146</v>
      </c>
      <c r="C1442" s="165" t="str">
        <f>IFERROR(__xludf.DUMMYFUNCTION("""COMPUTED_VALUE"""),"KYAI KONTONG")</f>
        <v>KYAI KONTONG</v>
      </c>
      <c r="D1442" s="94">
        <f>IFERROR(__xludf.DUMMYFUNCTION("""COMPUTED_VALUE"""),8.0)</f>
        <v>8</v>
      </c>
    </row>
    <row r="1443">
      <c r="A1443" s="87" t="str">
        <f>IFERROR(__xludf.DUMMYFUNCTION("""COMPUTED_VALUE"""),"ITBISA-IC-74HC595N-DIP16")</f>
        <v>ITBISA-IC-74HC595N-DIP16</v>
      </c>
      <c r="B1443" s="165">
        <f>IFERROR(__xludf.DUMMYFUNCTION("""COMPUTED_VALUE"""),46146.0)</f>
        <v>46146</v>
      </c>
      <c r="C1443" s="165" t="str">
        <f>IFERROR(__xludf.DUMMYFUNCTION("""COMPUTED_VALUE"""),"KYAI KONTONG")</f>
        <v>KYAI KONTONG</v>
      </c>
      <c r="D1443" s="94">
        <f>IFERROR(__xludf.DUMMYFUNCTION("""COMPUTED_VALUE"""),20.0)</f>
        <v>20</v>
      </c>
    </row>
    <row r="1444">
      <c r="A1444" s="87" t="str">
        <f>IFERROR(__xludf.DUMMYFUNCTION("""COMPUTED_VALUE"""),"ITBISA-IC-74HC595N-DIP16")</f>
        <v>ITBISA-IC-74HC595N-DIP16</v>
      </c>
      <c r="B1444" s="165">
        <f>IFERROR(__xludf.DUMMYFUNCTION("""COMPUTED_VALUE"""),46148.0)</f>
        <v>46148</v>
      </c>
      <c r="C1444" s="165" t="str">
        <f>IFERROR(__xludf.DUMMYFUNCTION("""COMPUTED_VALUE"""),"KYAI KONTONG")</f>
        <v>KYAI KONTONG</v>
      </c>
      <c r="D1444" s="94">
        <f>IFERROR(__xludf.DUMMYFUNCTION("""COMPUTED_VALUE"""),6.0)</f>
        <v>6</v>
      </c>
    </row>
    <row r="1445">
      <c r="A1445" s="87" t="str">
        <f>IFERROR(__xludf.DUMMYFUNCTION("""COMPUTED_VALUE"""),"ITBISA-IC-74HC595N-DIP16")</f>
        <v>ITBISA-IC-74HC595N-DIP16</v>
      </c>
      <c r="B1445" s="165">
        <f>IFERROR(__xludf.DUMMYFUNCTION("""COMPUTED_VALUE"""),46148.0)</f>
        <v>46148</v>
      </c>
      <c r="C1445" s="165" t="str">
        <f>IFERROR(__xludf.DUMMYFUNCTION("""COMPUTED_VALUE"""),"KYAI KONTONG")</f>
        <v>KYAI KONTONG</v>
      </c>
      <c r="D1445" s="94">
        <f>IFERROR(__xludf.DUMMYFUNCTION("""COMPUTED_VALUE"""),30.0)</f>
        <v>30</v>
      </c>
    </row>
    <row r="1446">
      <c r="A1446" s="87" t="str">
        <f>IFERROR(__xludf.DUMMYFUNCTION("""COMPUTED_VALUE"""),"ITBISA-IC-74HC595N-DIP16")</f>
        <v>ITBISA-IC-74HC595N-DIP16</v>
      </c>
      <c r="B1446" s="165">
        <f>IFERROR(__xludf.DUMMYFUNCTION("""COMPUTED_VALUE"""),46149.0)</f>
        <v>46149</v>
      </c>
      <c r="C1446" s="165" t="str">
        <f>IFERROR(__xludf.DUMMYFUNCTION("""COMPUTED_VALUE"""),"KYAI KONTONG")</f>
        <v>KYAI KONTONG</v>
      </c>
      <c r="D1446" s="94">
        <f>IFERROR(__xludf.DUMMYFUNCTION("""COMPUTED_VALUE"""),88.0)</f>
        <v>88</v>
      </c>
    </row>
    <row r="1447">
      <c r="A1447" s="87" t="str">
        <f>IFERROR(__xludf.DUMMYFUNCTION("""COMPUTED_VALUE"""),"ITBISA-IC-74HC595N-DIP16")</f>
        <v>ITBISA-IC-74HC595N-DIP16</v>
      </c>
      <c r="B1447" s="165">
        <f>IFERROR(__xludf.DUMMYFUNCTION("""COMPUTED_VALUE"""),46153.0)</f>
        <v>46153</v>
      </c>
      <c r="C1447" s="165" t="str">
        <f>IFERROR(__xludf.DUMMYFUNCTION("""COMPUTED_VALUE"""),"KYAI KONTONG")</f>
        <v>KYAI KONTONG</v>
      </c>
      <c r="D1447" s="94">
        <f>IFERROR(__xludf.DUMMYFUNCTION("""COMPUTED_VALUE"""),5.0)</f>
        <v>5</v>
      </c>
    </row>
    <row r="1448">
      <c r="A1448" s="87" t="str">
        <f>IFERROR(__xludf.DUMMYFUNCTION("""COMPUTED_VALUE"""),"ITBISA-IC-74HC595N-DIP16")</f>
        <v>ITBISA-IC-74HC595N-DIP16</v>
      </c>
      <c r="B1448" s="165">
        <f>IFERROR(__xludf.DUMMYFUNCTION("""COMPUTED_VALUE"""),46159.0)</f>
        <v>46159</v>
      </c>
      <c r="C1448" s="165" t="str">
        <f>IFERROR(__xludf.DUMMYFUNCTION("""COMPUTED_VALUE"""),"KYAI KONTONG")</f>
        <v>KYAI KONTONG</v>
      </c>
      <c r="D1448" s="94">
        <f>IFERROR(__xludf.DUMMYFUNCTION("""COMPUTED_VALUE"""),4.0)</f>
        <v>4</v>
      </c>
    </row>
    <row r="1449">
      <c r="A1449" s="87" t="str">
        <f>IFERROR(__xludf.DUMMYFUNCTION("""COMPUTED_VALUE"""),"ITBISA-IC-74HC595N-DIP16")</f>
        <v>ITBISA-IC-74HC595N-DIP16</v>
      </c>
      <c r="B1449" s="165">
        <f>IFERROR(__xludf.DUMMYFUNCTION("""COMPUTED_VALUE"""),46160.0)</f>
        <v>46160</v>
      </c>
      <c r="C1449" s="165" t="str">
        <f>IFERROR(__xludf.DUMMYFUNCTION("""COMPUTED_VALUE"""),"KYAI KONTONG")</f>
        <v>KYAI KONTONG</v>
      </c>
      <c r="D1449" s="94">
        <f>IFERROR(__xludf.DUMMYFUNCTION("""COMPUTED_VALUE"""),20.0)</f>
        <v>20</v>
      </c>
    </row>
    <row r="1450">
      <c r="A1450" s="87" t="str">
        <f>IFERROR(__xludf.DUMMYFUNCTION("""COMPUTED_VALUE"""),"ITBISA-IC-74HC595N-DIP16")</f>
        <v>ITBISA-IC-74HC595N-DIP16</v>
      </c>
      <c r="B1450" s="165">
        <f>IFERROR(__xludf.DUMMYFUNCTION("""COMPUTED_VALUE"""),46163.0)</f>
        <v>46163</v>
      </c>
      <c r="C1450" s="165" t="str">
        <f>IFERROR(__xludf.DUMMYFUNCTION("""COMPUTED_VALUE"""),"KYAI KONTONG")</f>
        <v>KYAI KONTONG</v>
      </c>
      <c r="D1450" s="94">
        <f>IFERROR(__xludf.DUMMYFUNCTION("""COMPUTED_VALUE"""),15.0)</f>
        <v>15</v>
      </c>
    </row>
    <row r="1451">
      <c r="A1451" s="87" t="str">
        <f>IFERROR(__xludf.DUMMYFUNCTION("""COMPUTED_VALUE"""),"ITBISA-IC-74HC595N-DIP16")</f>
        <v>ITBISA-IC-74HC595N-DIP16</v>
      </c>
      <c r="B1451" s="165">
        <f>IFERROR(__xludf.DUMMYFUNCTION("""COMPUTED_VALUE"""),46163.0)</f>
        <v>46163</v>
      </c>
      <c r="C1451" s="165" t="str">
        <f>IFERROR(__xludf.DUMMYFUNCTION("""COMPUTED_VALUE"""),"KYAI KONTONG")</f>
        <v>KYAI KONTONG</v>
      </c>
      <c r="D1451" s="94">
        <f>IFERROR(__xludf.DUMMYFUNCTION("""COMPUTED_VALUE"""),60.0)</f>
        <v>60</v>
      </c>
    </row>
    <row r="1452">
      <c r="A1452" s="87" t="str">
        <f>IFERROR(__xludf.DUMMYFUNCTION("""COMPUTED_VALUE"""),"ITBISA-IC-74HC595N-DIP16")</f>
        <v>ITBISA-IC-74HC595N-DIP16</v>
      </c>
      <c r="B1452" s="165">
        <f>IFERROR(__xludf.DUMMYFUNCTION("""COMPUTED_VALUE"""),46164.0)</f>
        <v>46164</v>
      </c>
      <c r="C1452" s="165" t="str">
        <f>IFERROR(__xludf.DUMMYFUNCTION("""COMPUTED_VALUE"""),"KYAI KONTONG")</f>
        <v>KYAI KONTONG</v>
      </c>
      <c r="D1452" s="94">
        <f>IFERROR(__xludf.DUMMYFUNCTION("""COMPUTED_VALUE"""),5.0)</f>
        <v>5</v>
      </c>
    </row>
    <row r="1453">
      <c r="A1453" s="87" t="str">
        <f>IFERROR(__xludf.DUMMYFUNCTION("""COMPUTED_VALUE"""),"ITBISA-IC-74HC595N-DIP16")</f>
        <v>ITBISA-IC-74HC595N-DIP16</v>
      </c>
      <c r="B1453" s="165">
        <f>IFERROR(__xludf.DUMMYFUNCTION("""COMPUTED_VALUE"""),46165.0)</f>
        <v>46165</v>
      </c>
      <c r="C1453" s="165" t="str">
        <f>IFERROR(__xludf.DUMMYFUNCTION("""COMPUTED_VALUE"""),"KYAI KONTONG")</f>
        <v>KYAI KONTONG</v>
      </c>
      <c r="D1453" s="94">
        <f>IFERROR(__xludf.DUMMYFUNCTION("""COMPUTED_VALUE"""),3.0)</f>
        <v>3</v>
      </c>
    </row>
    <row r="1454">
      <c r="A1454" s="87" t="str">
        <f>IFERROR(__xludf.DUMMYFUNCTION("""COMPUTED_VALUE"""),"ITBISA-IC-74HC595N-DIP16")</f>
        <v>ITBISA-IC-74HC595N-DIP16</v>
      </c>
      <c r="B1454" s="165">
        <f>IFERROR(__xludf.DUMMYFUNCTION("""COMPUTED_VALUE"""),46166.0)</f>
        <v>46166</v>
      </c>
      <c r="C1454" s="165" t="str">
        <f>IFERROR(__xludf.DUMMYFUNCTION("""COMPUTED_VALUE"""),"KYAI KONTONG")</f>
        <v>KYAI KONTONG</v>
      </c>
      <c r="D1454" s="94">
        <f>IFERROR(__xludf.DUMMYFUNCTION("""COMPUTED_VALUE"""),10.0)</f>
        <v>10</v>
      </c>
    </row>
    <row r="1455">
      <c r="A1455" s="87" t="str">
        <f>IFERROR(__xludf.DUMMYFUNCTION("""COMPUTED_VALUE"""),"ITBISA-IC-74HC595N-DIP16")</f>
        <v>ITBISA-IC-74HC595N-DIP16</v>
      </c>
      <c r="B1455" s="165">
        <f>IFERROR(__xludf.DUMMYFUNCTION("""COMPUTED_VALUE"""),46168.0)</f>
        <v>46168</v>
      </c>
      <c r="C1455" s="165" t="str">
        <f>IFERROR(__xludf.DUMMYFUNCTION("""COMPUTED_VALUE"""),"KYAI KONTONG")</f>
        <v>KYAI KONTONG</v>
      </c>
      <c r="D1455" s="94">
        <f>IFERROR(__xludf.DUMMYFUNCTION("""COMPUTED_VALUE"""),20.0)</f>
        <v>20</v>
      </c>
    </row>
    <row r="1456">
      <c r="A1456" s="87" t="str">
        <f>IFERROR(__xludf.DUMMYFUNCTION("""COMPUTED_VALUE"""),"ITBISA-IC-74HC595N-DIP16")</f>
        <v>ITBISA-IC-74HC595N-DIP16</v>
      </c>
      <c r="B1456" s="165">
        <f>IFERROR(__xludf.DUMMYFUNCTION("""COMPUTED_VALUE"""),46169.0)</f>
        <v>46169</v>
      </c>
      <c r="C1456" s="165" t="str">
        <f>IFERROR(__xludf.DUMMYFUNCTION("""COMPUTED_VALUE"""),"KYAI KONTONG")</f>
        <v>KYAI KONTONG</v>
      </c>
      <c r="D1456" s="94">
        <f>IFERROR(__xludf.DUMMYFUNCTION("""COMPUTED_VALUE"""),5.0)</f>
        <v>5</v>
      </c>
    </row>
    <row r="1457">
      <c r="A1457" s="87" t="str">
        <f>IFERROR(__xludf.DUMMYFUNCTION("""COMPUTED_VALUE"""),"ITBISA-IC-74HC595N-DIP16")</f>
        <v>ITBISA-IC-74HC595N-DIP16</v>
      </c>
      <c r="B1457" s="165">
        <f>IFERROR(__xludf.DUMMYFUNCTION("""COMPUTED_VALUE"""),46170.0)</f>
        <v>46170</v>
      </c>
      <c r="C1457" s="165" t="str">
        <f>IFERROR(__xludf.DUMMYFUNCTION("""COMPUTED_VALUE"""),"KYAI KONTONG")</f>
        <v>KYAI KONTONG</v>
      </c>
      <c r="D1457" s="94">
        <f>IFERROR(__xludf.DUMMYFUNCTION("""COMPUTED_VALUE"""),6.0)</f>
        <v>6</v>
      </c>
    </row>
    <row r="1458">
      <c r="A1458" s="87" t="str">
        <f>IFERROR(__xludf.DUMMYFUNCTION("""COMPUTED_VALUE"""),"ITBISA-IC-74HC595N-DIP16")</f>
        <v>ITBISA-IC-74HC595N-DIP16</v>
      </c>
      <c r="B1458" s="165">
        <f>IFERROR(__xludf.DUMMYFUNCTION("""COMPUTED_VALUE"""),46170.0)</f>
        <v>46170</v>
      </c>
      <c r="C1458" s="165" t="str">
        <f>IFERROR(__xludf.DUMMYFUNCTION("""COMPUTED_VALUE"""),"KYAI KONTONG")</f>
        <v>KYAI KONTONG</v>
      </c>
      <c r="D1458" s="94">
        <f>IFERROR(__xludf.DUMMYFUNCTION("""COMPUTED_VALUE"""),19.0)</f>
        <v>19</v>
      </c>
    </row>
    <row r="1459">
      <c r="A1459" s="87" t="str">
        <f>IFERROR(__xludf.DUMMYFUNCTION("""COMPUTED_VALUE"""),"ITBISA-IC-74HC595N-DIP16")</f>
        <v>ITBISA-IC-74HC595N-DIP16</v>
      </c>
      <c r="B1459" s="165">
        <f>IFERROR(__xludf.DUMMYFUNCTION("""COMPUTED_VALUE"""),46172.0)</f>
        <v>46172</v>
      </c>
      <c r="C1459" s="165" t="str">
        <f>IFERROR(__xludf.DUMMYFUNCTION("""COMPUTED_VALUE"""),"KYAI KONTONG")</f>
        <v>KYAI KONTONG</v>
      </c>
      <c r="D1459" s="94">
        <f>IFERROR(__xludf.DUMMYFUNCTION("""COMPUTED_VALUE"""),5.0)</f>
        <v>5</v>
      </c>
    </row>
    <row r="1460">
      <c r="A1460" s="87" t="str">
        <f>IFERROR(__xludf.DUMMYFUNCTION("""COMPUTED_VALUE"""),"ITBISA-IC-74HC595N-DIP16")</f>
        <v>ITBISA-IC-74HC595N-DIP16</v>
      </c>
      <c r="B1460" s="165">
        <f>IFERROR(__xludf.DUMMYFUNCTION("""COMPUTED_VALUE"""),46173.0)</f>
        <v>46173</v>
      </c>
      <c r="C1460" s="165" t="str">
        <f>IFERROR(__xludf.DUMMYFUNCTION("""COMPUTED_VALUE"""),"KYAI KONTONG")</f>
        <v>KYAI KONTONG</v>
      </c>
      <c r="D1460" s="94">
        <f>IFERROR(__xludf.DUMMYFUNCTION("""COMPUTED_VALUE"""),6.0)</f>
        <v>6</v>
      </c>
    </row>
    <row r="1461">
      <c r="A1461" s="87" t="str">
        <f>IFERROR(__xludf.DUMMYFUNCTION("""COMPUTED_VALUE"""),"ITBISA-IC-74HC595N-DIP16")</f>
        <v>ITBISA-IC-74HC595N-DIP16</v>
      </c>
      <c r="B1461" s="165">
        <f>IFERROR(__xludf.DUMMYFUNCTION("""COMPUTED_VALUE"""),46177.0)</f>
        <v>46177</v>
      </c>
      <c r="C1461" s="165" t="str">
        <f>IFERROR(__xludf.DUMMYFUNCTION("""COMPUTED_VALUE"""),"KYAI KONTONG")</f>
        <v>KYAI KONTONG</v>
      </c>
      <c r="D1461" s="94">
        <f>IFERROR(__xludf.DUMMYFUNCTION("""COMPUTED_VALUE"""),65.0)</f>
        <v>65</v>
      </c>
    </row>
    <row r="1462">
      <c r="A1462" s="87" t="str">
        <f>IFERROR(__xludf.DUMMYFUNCTION("""COMPUTED_VALUE"""),"ITBISA-IC-74HC595N-DIP16")</f>
        <v>ITBISA-IC-74HC595N-DIP16</v>
      </c>
      <c r="B1462" s="165">
        <f>IFERROR(__xludf.DUMMYFUNCTION("""COMPUTED_VALUE"""),46178.0)</f>
        <v>46178</v>
      </c>
      <c r="C1462" s="165" t="str">
        <f>IFERROR(__xludf.DUMMYFUNCTION("""COMPUTED_VALUE"""),"KYAI KONTONG")</f>
        <v>KYAI KONTONG</v>
      </c>
      <c r="D1462" s="94">
        <f>IFERROR(__xludf.DUMMYFUNCTION("""COMPUTED_VALUE"""),8.0)</f>
        <v>8</v>
      </c>
    </row>
    <row r="1463">
      <c r="A1463" s="87" t="str">
        <f>IFERROR(__xludf.DUMMYFUNCTION("""COMPUTED_VALUE"""),"ITBISA-IC-74HC595N-DIP16")</f>
        <v>ITBISA-IC-74HC595N-DIP16</v>
      </c>
      <c r="B1463" s="165">
        <f>IFERROR(__xludf.DUMMYFUNCTION("""COMPUTED_VALUE"""),46180.0)</f>
        <v>46180</v>
      </c>
      <c r="C1463" s="165" t="str">
        <f>IFERROR(__xludf.DUMMYFUNCTION("""COMPUTED_VALUE"""),"KYAI KONTONG")</f>
        <v>KYAI KONTONG</v>
      </c>
      <c r="D1463" s="94">
        <f>IFERROR(__xludf.DUMMYFUNCTION("""COMPUTED_VALUE"""),10.0)</f>
        <v>10</v>
      </c>
    </row>
    <row r="1464">
      <c r="A1464" s="87" t="str">
        <f>IFERROR(__xludf.DUMMYFUNCTION("""COMPUTED_VALUE"""),"ITBISA-IC-74HC595N-DIP16")</f>
        <v>ITBISA-IC-74HC595N-DIP16</v>
      </c>
      <c r="B1464" s="165">
        <f>IFERROR(__xludf.DUMMYFUNCTION("""COMPUTED_VALUE"""),46182.0)</f>
        <v>46182</v>
      </c>
      <c r="C1464" s="165" t="str">
        <f>IFERROR(__xludf.DUMMYFUNCTION("""COMPUTED_VALUE"""),"KYAI KONTONG")</f>
        <v>KYAI KONTONG</v>
      </c>
      <c r="D1464" s="94">
        <f>IFERROR(__xludf.DUMMYFUNCTION("""COMPUTED_VALUE"""),10.0)</f>
        <v>10</v>
      </c>
    </row>
    <row r="1465">
      <c r="A1465" s="87" t="str">
        <f>IFERROR(__xludf.DUMMYFUNCTION("""COMPUTED_VALUE"""),"ITBISA-IC-74HC595N-DIP16")</f>
        <v>ITBISA-IC-74HC595N-DIP16</v>
      </c>
      <c r="B1465" s="165">
        <f>IFERROR(__xludf.DUMMYFUNCTION("""COMPUTED_VALUE"""),46185.0)</f>
        <v>46185</v>
      </c>
      <c r="C1465" s="165" t="str">
        <f>IFERROR(__xludf.DUMMYFUNCTION("""COMPUTED_VALUE"""),"KYAI KONTONG")</f>
        <v>KYAI KONTONG</v>
      </c>
      <c r="D1465" s="94">
        <f>IFERROR(__xludf.DUMMYFUNCTION("""COMPUTED_VALUE"""),9.0)</f>
        <v>9</v>
      </c>
    </row>
    <row r="1466">
      <c r="A1466" s="87" t="str">
        <f>IFERROR(__xludf.DUMMYFUNCTION("""COMPUTED_VALUE"""),"ITBISA-IC-ATMEGA328P-DIP28")</f>
        <v>ITBISA-IC-ATMEGA328P-DIP28</v>
      </c>
      <c r="B1466" s="165">
        <f>IFERROR(__xludf.DUMMYFUNCTION("""COMPUTED_VALUE"""),45871.0)</f>
        <v>45871</v>
      </c>
      <c r="C1466" s="165" t="str">
        <f>IFERROR(__xludf.DUMMYFUNCTION("""COMPUTED_VALUE"""),"KERTASARI CIAMIS")</f>
        <v>KERTASARI CIAMIS</v>
      </c>
      <c r="D1466" s="94">
        <f>IFERROR(__xludf.DUMMYFUNCTION("""COMPUTED_VALUE"""),3.0)</f>
        <v>3</v>
      </c>
    </row>
    <row r="1467">
      <c r="A1467" s="87" t="str">
        <f>IFERROR(__xludf.DUMMYFUNCTION("""COMPUTED_VALUE"""),"ITBISA-IC-ATMEGA328P-DIP28")</f>
        <v>ITBISA-IC-ATMEGA328P-DIP28</v>
      </c>
      <c r="B1467" s="165">
        <f>IFERROR(__xludf.DUMMYFUNCTION("""COMPUTED_VALUE"""),46036.0)</f>
        <v>46036</v>
      </c>
      <c r="C1467" s="165" t="str">
        <f>IFERROR(__xludf.DUMMYFUNCTION("""COMPUTED_VALUE"""),"KYAI KONTONG")</f>
        <v>KYAI KONTONG</v>
      </c>
      <c r="D1467" s="94">
        <f>IFERROR(__xludf.DUMMYFUNCTION("""COMPUTED_VALUE"""),1.0)</f>
        <v>1</v>
      </c>
    </row>
    <row r="1468">
      <c r="A1468" s="87" t="str">
        <f>IFERROR(__xludf.DUMMYFUNCTION("""COMPUTED_VALUE"""),"ITBISA-IC-ATMEGA328P-DIP28")</f>
        <v>ITBISA-IC-ATMEGA328P-DIP28</v>
      </c>
      <c r="B1468" s="165">
        <f>IFERROR(__xludf.DUMMYFUNCTION("""COMPUTED_VALUE"""),46036.0)</f>
        <v>46036</v>
      </c>
      <c r="C1468" s="165" t="str">
        <f>IFERROR(__xludf.DUMMYFUNCTION("""COMPUTED_VALUE"""),"KYAI KONTONG")</f>
        <v>KYAI KONTONG</v>
      </c>
      <c r="D1468" s="94">
        <f>IFERROR(__xludf.DUMMYFUNCTION("""COMPUTED_VALUE"""),2.0)</f>
        <v>2</v>
      </c>
    </row>
    <row r="1469">
      <c r="A1469" s="87" t="str">
        <f>IFERROR(__xludf.DUMMYFUNCTION("""COMPUTED_VALUE"""),"ITBISA-IC-ATMEGA328P-DIP28")</f>
        <v>ITBISA-IC-ATMEGA328P-DIP28</v>
      </c>
      <c r="B1469" s="165">
        <f>IFERROR(__xludf.DUMMYFUNCTION("""COMPUTED_VALUE"""),46060.0)</f>
        <v>46060</v>
      </c>
      <c r="C1469" s="165" t="str">
        <f>IFERROR(__xludf.DUMMYFUNCTION("""COMPUTED_VALUE"""),"KYAI KONTONG")</f>
        <v>KYAI KONTONG</v>
      </c>
      <c r="D1469" s="94">
        <f>IFERROR(__xludf.DUMMYFUNCTION("""COMPUTED_VALUE"""),1.0)</f>
        <v>1</v>
      </c>
    </row>
    <row r="1470">
      <c r="A1470" s="87" t="str">
        <f>IFERROR(__xludf.DUMMYFUNCTION("""COMPUTED_VALUE"""),"ITBISA-IC-ATMEGA328P-DIP28")</f>
        <v>ITBISA-IC-ATMEGA328P-DIP28</v>
      </c>
      <c r="B1470" s="165">
        <f>IFERROR(__xludf.DUMMYFUNCTION("""COMPUTED_VALUE"""),46077.0)</f>
        <v>46077</v>
      </c>
      <c r="C1470" s="165" t="str">
        <f>IFERROR(__xludf.DUMMYFUNCTION("""COMPUTED_VALUE"""),"KERTASARI CIAMIS")</f>
        <v>KERTASARI CIAMIS</v>
      </c>
      <c r="D1470" s="94">
        <f>IFERROR(__xludf.DUMMYFUNCTION("""COMPUTED_VALUE"""),10.0)</f>
        <v>10</v>
      </c>
    </row>
    <row r="1471">
      <c r="A1471" s="87" t="str">
        <f>IFERROR(__xludf.DUMMYFUNCTION("""COMPUTED_VALUE"""),"ITBISA-IC-ATMEGA328P-DIP28")</f>
        <v>ITBISA-IC-ATMEGA328P-DIP28</v>
      </c>
      <c r="B1471" s="165">
        <f>IFERROR(__xludf.DUMMYFUNCTION("""COMPUTED_VALUE"""),46146.0)</f>
        <v>46146</v>
      </c>
      <c r="C1471" s="165" t="str">
        <f>IFERROR(__xludf.DUMMYFUNCTION("""COMPUTED_VALUE"""),"KYAI KONTONG")</f>
        <v>KYAI KONTONG</v>
      </c>
      <c r="D1471" s="94">
        <f>IFERROR(__xludf.DUMMYFUNCTION("""COMPUTED_VALUE"""),10.0)</f>
        <v>10</v>
      </c>
    </row>
    <row r="1472">
      <c r="A1472" s="87" t="str">
        <f>IFERROR(__xludf.DUMMYFUNCTION("""COMPUTED_VALUE"""),"ITBISA-IC-ATMEGA328P-DIP28")</f>
        <v>ITBISA-IC-ATMEGA328P-DIP28</v>
      </c>
      <c r="B1472" s="165">
        <f>IFERROR(__xludf.DUMMYFUNCTION("""COMPUTED_VALUE"""),46164.0)</f>
        <v>46164</v>
      </c>
      <c r="C1472" s="165" t="str">
        <f>IFERROR(__xludf.DUMMYFUNCTION("""COMPUTED_VALUE"""),"KYAI KONTONG")</f>
        <v>KYAI KONTONG</v>
      </c>
      <c r="D1472" s="94">
        <f>IFERROR(__xludf.DUMMYFUNCTION("""COMPUTED_VALUE"""),1.0)</f>
        <v>1</v>
      </c>
    </row>
    <row r="1473">
      <c r="A1473" s="87" t="str">
        <f>IFERROR(__xludf.DUMMYFUNCTION("""COMPUTED_VALUE"""),"ITBISA-IC-ATMEGA328P-DIP28")</f>
        <v>ITBISA-IC-ATMEGA328P-DIP28</v>
      </c>
      <c r="B1473" s="165">
        <f>IFERROR(__xludf.DUMMYFUNCTION("""COMPUTED_VALUE"""),46189.0)</f>
        <v>46189</v>
      </c>
      <c r="C1473" s="165" t="str">
        <f>IFERROR(__xludf.DUMMYFUNCTION("""COMPUTED_VALUE"""),"KYAI KONTONG")</f>
        <v>KYAI KONTONG</v>
      </c>
      <c r="D1473" s="94">
        <f>IFERROR(__xludf.DUMMYFUNCTION("""COMPUTED_VALUE"""),2.0)</f>
        <v>2</v>
      </c>
    </row>
    <row r="1474">
      <c r="A1474" s="87" t="str">
        <f>IFERROR(__xludf.DUMMYFUNCTION("""COMPUTED_VALUE"""),"ITBISA-IC-ATMEGA328P-DIP28")</f>
        <v>ITBISA-IC-ATMEGA328P-DIP28</v>
      </c>
      <c r="B1474" s="165">
        <f>IFERROR(__xludf.DUMMYFUNCTION("""COMPUTED_VALUE"""),46192.0)</f>
        <v>46192</v>
      </c>
      <c r="C1474" s="165" t="str">
        <f>IFERROR(__xludf.DUMMYFUNCTION("""COMPUTED_VALUE"""),"KYAI KONTONG")</f>
        <v>KYAI KONTONG</v>
      </c>
      <c r="D1474" s="94">
        <f>IFERROR(__xludf.DUMMYFUNCTION("""COMPUTED_VALUE"""),3.0)</f>
        <v>3</v>
      </c>
    </row>
    <row r="1475">
      <c r="A1475" s="87" t="str">
        <f>IFERROR(__xludf.DUMMYFUNCTION("""COMPUTED_VALUE"""),"ITBISA-IC-ATMEGA328P-DIP28")</f>
        <v>ITBISA-IC-ATMEGA328P-DIP28</v>
      </c>
      <c r="B1475" s="165">
        <f>IFERROR(__xludf.DUMMYFUNCTION("""COMPUTED_VALUE"""),46193.0)</f>
        <v>46193</v>
      </c>
      <c r="C1475" s="165" t="str">
        <f>IFERROR(__xludf.DUMMYFUNCTION("""COMPUTED_VALUE"""),"KYAI KONTONG")</f>
        <v>KYAI KONTONG</v>
      </c>
      <c r="D1475" s="94">
        <f>IFERROR(__xludf.DUMMYFUNCTION("""COMPUTED_VALUE"""),2.0)</f>
        <v>2</v>
      </c>
    </row>
    <row r="1476">
      <c r="A1476" s="87" t="str">
        <f>IFERROR(__xludf.DUMMYFUNCTION("""COMPUTED_VALUE"""),"ITBISA-IC-ATMEGA328P-DIP28")</f>
        <v>ITBISA-IC-ATMEGA328P-DIP28</v>
      </c>
      <c r="B1476" s="165">
        <f>IFERROR(__xludf.DUMMYFUNCTION("""COMPUTED_VALUE"""),46197.0)</f>
        <v>46197</v>
      </c>
      <c r="C1476" s="165" t="str">
        <f>IFERROR(__xludf.DUMMYFUNCTION("""COMPUTED_VALUE"""),"KYAI KONTONG")</f>
        <v>KYAI KONTONG</v>
      </c>
      <c r="D1476" s="94">
        <f>IFERROR(__xludf.DUMMYFUNCTION("""COMPUTED_VALUE"""),4.0)</f>
        <v>4</v>
      </c>
    </row>
    <row r="1477">
      <c r="A1477" s="87" t="str">
        <f>IFERROR(__xludf.DUMMYFUNCTION("""COMPUTED_VALUE"""),"ITBISA-IC-CD4017BE-DIP16")</f>
        <v>ITBISA-IC-CD4017BE-DIP16</v>
      </c>
      <c r="B1477" s="165">
        <f>IFERROR(__xludf.DUMMYFUNCTION("""COMPUTED_VALUE"""),46023.0)</f>
        <v>46023</v>
      </c>
      <c r="C1477" s="165" t="str">
        <f>IFERROR(__xludf.DUMMYFUNCTION("""COMPUTED_VALUE"""),"KYAI KONTONG")</f>
        <v>KYAI KONTONG</v>
      </c>
      <c r="D1477" s="94">
        <f>IFERROR(__xludf.DUMMYFUNCTION("""COMPUTED_VALUE"""),1.0)</f>
        <v>1</v>
      </c>
    </row>
    <row r="1478">
      <c r="A1478" s="87" t="str">
        <f>IFERROR(__xludf.DUMMYFUNCTION("""COMPUTED_VALUE"""),"ITBISA-IC-CD4017BE-DIP16")</f>
        <v>ITBISA-IC-CD4017BE-DIP16</v>
      </c>
      <c r="B1478" s="165">
        <f>IFERROR(__xludf.DUMMYFUNCTION("""COMPUTED_VALUE"""),46035.0)</f>
        <v>46035</v>
      </c>
      <c r="C1478" s="165" t="str">
        <f>IFERROR(__xludf.DUMMYFUNCTION("""COMPUTED_VALUE"""),"KYAI KONTONG")</f>
        <v>KYAI KONTONG</v>
      </c>
      <c r="D1478" s="94">
        <f>IFERROR(__xludf.DUMMYFUNCTION("""COMPUTED_VALUE"""),1000.0)</f>
        <v>1000</v>
      </c>
    </row>
    <row r="1479">
      <c r="A1479" s="87" t="str">
        <f>IFERROR(__xludf.DUMMYFUNCTION("""COMPUTED_VALUE"""),"ITBISA-IC-CD4017BE-DIP16")</f>
        <v>ITBISA-IC-CD4017BE-DIP16</v>
      </c>
      <c r="B1479" s="165">
        <f>IFERROR(__xludf.DUMMYFUNCTION("""COMPUTED_VALUE"""),46048.0)</f>
        <v>46048</v>
      </c>
      <c r="C1479" s="165" t="str">
        <f>IFERROR(__xludf.DUMMYFUNCTION("""COMPUTED_VALUE"""),"KYAI KONTONG")</f>
        <v>KYAI KONTONG</v>
      </c>
      <c r="D1479" s="94">
        <f>IFERROR(__xludf.DUMMYFUNCTION("""COMPUTED_VALUE"""),10.0)</f>
        <v>10</v>
      </c>
    </row>
    <row r="1480">
      <c r="A1480" s="87" t="str">
        <f>IFERROR(__xludf.DUMMYFUNCTION("""COMPUTED_VALUE"""),"ITBISA-IC-CD4017BE-DIP16")</f>
        <v>ITBISA-IC-CD4017BE-DIP16</v>
      </c>
      <c r="B1480" s="165">
        <f>IFERROR(__xludf.DUMMYFUNCTION("""COMPUTED_VALUE"""),46049.0)</f>
        <v>46049</v>
      </c>
      <c r="C1480" s="165" t="str">
        <f>IFERROR(__xludf.DUMMYFUNCTION("""COMPUTED_VALUE"""),"KYAI KONTONG")</f>
        <v>KYAI KONTONG</v>
      </c>
      <c r="D1480" s="94">
        <f>IFERROR(__xludf.DUMMYFUNCTION("""COMPUTED_VALUE"""),1400.0)</f>
        <v>1400</v>
      </c>
    </row>
    <row r="1481">
      <c r="A1481" s="87" t="str">
        <f>IFERROR(__xludf.DUMMYFUNCTION("""COMPUTED_VALUE"""),"ITBISA-IC-CD4017BE-DIP16")</f>
        <v>ITBISA-IC-CD4017BE-DIP16</v>
      </c>
      <c r="B1481" s="165">
        <f>IFERROR(__xludf.DUMMYFUNCTION("""COMPUTED_VALUE"""),46050.0)</f>
        <v>46050</v>
      </c>
      <c r="C1481" s="165" t="str">
        <f>IFERROR(__xludf.DUMMYFUNCTION("""COMPUTED_VALUE"""),"KYAI KONTONG")</f>
        <v>KYAI KONTONG</v>
      </c>
      <c r="D1481" s="94">
        <f>IFERROR(__xludf.DUMMYFUNCTION("""COMPUTED_VALUE"""),50.0)</f>
        <v>50</v>
      </c>
    </row>
    <row r="1482">
      <c r="A1482" s="87" t="str">
        <f>IFERROR(__xludf.DUMMYFUNCTION("""COMPUTED_VALUE"""),"ITBISA-IC-CD4017BE-DIP16")</f>
        <v>ITBISA-IC-CD4017BE-DIP16</v>
      </c>
      <c r="B1482" s="165">
        <f>IFERROR(__xludf.DUMMYFUNCTION("""COMPUTED_VALUE"""),46066.0)</f>
        <v>46066</v>
      </c>
      <c r="C1482" s="165" t="str">
        <f>IFERROR(__xludf.DUMMYFUNCTION("""COMPUTED_VALUE"""),"KYAI KONTONG")</f>
        <v>KYAI KONTONG</v>
      </c>
      <c r="D1482" s="94">
        <f>IFERROR(__xludf.DUMMYFUNCTION("""COMPUTED_VALUE"""),40.0)</f>
        <v>40</v>
      </c>
    </row>
    <row r="1483">
      <c r="A1483" s="87" t="str">
        <f>IFERROR(__xludf.DUMMYFUNCTION("""COMPUTED_VALUE"""),"ITBISA-IC-CD4017BE-DIP16")</f>
        <v>ITBISA-IC-CD4017BE-DIP16</v>
      </c>
      <c r="B1483" s="165">
        <f>IFERROR(__xludf.DUMMYFUNCTION("""COMPUTED_VALUE"""),46071.0)</f>
        <v>46071</v>
      </c>
      <c r="C1483" s="165" t="str">
        <f>IFERROR(__xludf.DUMMYFUNCTION("""COMPUTED_VALUE"""),"KYAI KONTONG")</f>
        <v>KYAI KONTONG</v>
      </c>
      <c r="D1483" s="94">
        <f>IFERROR(__xludf.DUMMYFUNCTION("""COMPUTED_VALUE"""),200.0)</f>
        <v>200</v>
      </c>
    </row>
    <row r="1484">
      <c r="A1484" s="87" t="str">
        <f>IFERROR(__xludf.DUMMYFUNCTION("""COMPUTED_VALUE"""),"ITBISA-IC-CD4017BE-DIP16")</f>
        <v>ITBISA-IC-CD4017BE-DIP16</v>
      </c>
      <c r="B1484" s="165">
        <f>IFERROR(__xludf.DUMMYFUNCTION("""COMPUTED_VALUE"""),46076.0)</f>
        <v>46076</v>
      </c>
      <c r="C1484" s="165" t="str">
        <f>IFERROR(__xludf.DUMMYFUNCTION("""COMPUTED_VALUE"""),"KYAI KONTONG")</f>
        <v>KYAI KONTONG</v>
      </c>
      <c r="D1484" s="94">
        <f>IFERROR(__xludf.DUMMYFUNCTION("""COMPUTED_VALUE"""),100.0)</f>
        <v>100</v>
      </c>
    </row>
    <row r="1485">
      <c r="A1485" s="87" t="str">
        <f>IFERROR(__xludf.DUMMYFUNCTION("""COMPUTED_VALUE"""),"ITBISA-IC-CD4017BE-DIP16")</f>
        <v>ITBISA-IC-CD4017BE-DIP16</v>
      </c>
      <c r="B1485" s="165">
        <f>IFERROR(__xludf.DUMMYFUNCTION("""COMPUTED_VALUE"""),46079.0)</f>
        <v>46079</v>
      </c>
      <c r="C1485" s="165" t="str">
        <f>IFERROR(__xludf.DUMMYFUNCTION("""COMPUTED_VALUE"""),"KYAI KONTONG")</f>
        <v>KYAI KONTONG</v>
      </c>
      <c r="D1485" s="94">
        <f>IFERROR(__xludf.DUMMYFUNCTION("""COMPUTED_VALUE"""),25.0)</f>
        <v>25</v>
      </c>
    </row>
    <row r="1486">
      <c r="A1486" s="87" t="str">
        <f>IFERROR(__xludf.DUMMYFUNCTION("""COMPUTED_VALUE"""),"ITBISA-IC-CD4017BE-DIP16")</f>
        <v>ITBISA-IC-CD4017BE-DIP16</v>
      </c>
      <c r="B1486" s="165">
        <f>IFERROR(__xludf.DUMMYFUNCTION("""COMPUTED_VALUE"""),46079.0)</f>
        <v>46079</v>
      </c>
      <c r="C1486" s="165" t="str">
        <f>IFERROR(__xludf.DUMMYFUNCTION("""COMPUTED_VALUE"""),"KYAI KONTONG")</f>
        <v>KYAI KONTONG</v>
      </c>
      <c r="D1486" s="94">
        <f>IFERROR(__xludf.DUMMYFUNCTION("""COMPUTED_VALUE"""),75.0)</f>
        <v>75</v>
      </c>
    </row>
    <row r="1487">
      <c r="A1487" s="87" t="str">
        <f>IFERROR(__xludf.DUMMYFUNCTION("""COMPUTED_VALUE"""),"ITBISA-IC-CD4017BE-DIP16")</f>
        <v>ITBISA-IC-CD4017BE-DIP16</v>
      </c>
      <c r="B1487" s="165">
        <f>IFERROR(__xludf.DUMMYFUNCTION("""COMPUTED_VALUE"""),46087.0)</f>
        <v>46087</v>
      </c>
      <c r="C1487" s="165" t="str">
        <f>IFERROR(__xludf.DUMMYFUNCTION("""COMPUTED_VALUE"""),"KYAI KONTONG")</f>
        <v>KYAI KONTONG</v>
      </c>
      <c r="D1487" s="94">
        <f>IFERROR(__xludf.DUMMYFUNCTION("""COMPUTED_VALUE"""),300.0)</f>
        <v>300</v>
      </c>
    </row>
    <row r="1488">
      <c r="A1488" s="87" t="str">
        <f>IFERROR(__xludf.DUMMYFUNCTION("""COMPUTED_VALUE"""),"ITBISA-IC-CD4017BE-DIP16")</f>
        <v>ITBISA-IC-CD4017BE-DIP16</v>
      </c>
      <c r="B1488" s="165">
        <f>IFERROR(__xludf.DUMMYFUNCTION("""COMPUTED_VALUE"""),46091.0)</f>
        <v>46091</v>
      </c>
      <c r="C1488" s="165" t="str">
        <f>IFERROR(__xludf.DUMMYFUNCTION("""COMPUTED_VALUE"""),"KYAI KONTONG")</f>
        <v>KYAI KONTONG</v>
      </c>
      <c r="D1488" s="94">
        <f>IFERROR(__xludf.DUMMYFUNCTION("""COMPUTED_VALUE"""),1.0)</f>
        <v>1</v>
      </c>
    </row>
    <row r="1489">
      <c r="A1489" s="87" t="str">
        <f>IFERROR(__xludf.DUMMYFUNCTION("""COMPUTED_VALUE"""),"ITBISA-IC-CD4017BE-DIP16")</f>
        <v>ITBISA-IC-CD4017BE-DIP16</v>
      </c>
      <c r="B1489" s="165">
        <f>IFERROR(__xludf.DUMMYFUNCTION("""COMPUTED_VALUE"""),46091.0)</f>
        <v>46091</v>
      </c>
      <c r="C1489" s="165" t="str">
        <f>IFERROR(__xludf.DUMMYFUNCTION("""COMPUTED_VALUE"""),"KYAI KONTONG")</f>
        <v>KYAI KONTONG</v>
      </c>
      <c r="D1489" s="94">
        <f>IFERROR(__xludf.DUMMYFUNCTION("""COMPUTED_VALUE"""),50.0)</f>
        <v>50</v>
      </c>
    </row>
    <row r="1490">
      <c r="A1490" s="87" t="str">
        <f>IFERROR(__xludf.DUMMYFUNCTION("""COMPUTED_VALUE"""),"ITBISA-IC-CD4017BE-DIP16")</f>
        <v>ITBISA-IC-CD4017BE-DIP16</v>
      </c>
      <c r="B1490" s="165">
        <f>IFERROR(__xludf.DUMMYFUNCTION("""COMPUTED_VALUE"""),46117.0)</f>
        <v>46117</v>
      </c>
      <c r="C1490" s="165" t="str">
        <f>IFERROR(__xludf.DUMMYFUNCTION("""COMPUTED_VALUE"""),"KYAI KONTONG")</f>
        <v>KYAI KONTONG</v>
      </c>
      <c r="D1490" s="94">
        <f>IFERROR(__xludf.DUMMYFUNCTION("""COMPUTED_VALUE"""),5.0)</f>
        <v>5</v>
      </c>
    </row>
    <row r="1491">
      <c r="A1491" s="87" t="str">
        <f>IFERROR(__xludf.DUMMYFUNCTION("""COMPUTED_VALUE"""),"ITBISA-IC-CD4017BE-DIP16")</f>
        <v>ITBISA-IC-CD4017BE-DIP16</v>
      </c>
      <c r="B1491" s="165">
        <f>IFERROR(__xludf.DUMMYFUNCTION("""COMPUTED_VALUE"""),46121.0)</f>
        <v>46121</v>
      </c>
      <c r="C1491" s="165" t="str">
        <f>IFERROR(__xludf.DUMMYFUNCTION("""COMPUTED_VALUE"""),"KYAI KONTONG")</f>
        <v>KYAI KONTONG</v>
      </c>
      <c r="D1491" s="94">
        <f>IFERROR(__xludf.DUMMYFUNCTION("""COMPUTED_VALUE"""),25.0)</f>
        <v>25</v>
      </c>
    </row>
    <row r="1492">
      <c r="A1492" s="87" t="str">
        <f>IFERROR(__xludf.DUMMYFUNCTION("""COMPUTED_VALUE"""),"ITBISA-IC-CD4017BE-DIP16")</f>
        <v>ITBISA-IC-CD4017BE-DIP16</v>
      </c>
      <c r="B1492" s="165">
        <f>IFERROR(__xludf.DUMMYFUNCTION("""COMPUTED_VALUE"""),46130.0)</f>
        <v>46130</v>
      </c>
      <c r="C1492" s="165" t="str">
        <f>IFERROR(__xludf.DUMMYFUNCTION("""COMPUTED_VALUE"""),"KYAI KONTONG")</f>
        <v>KYAI KONTONG</v>
      </c>
      <c r="D1492" s="94">
        <f>IFERROR(__xludf.DUMMYFUNCTION("""COMPUTED_VALUE"""),5.0)</f>
        <v>5</v>
      </c>
    </row>
    <row r="1493">
      <c r="A1493" s="87" t="str">
        <f>IFERROR(__xludf.DUMMYFUNCTION("""COMPUTED_VALUE"""),"ITBISA-IC-CD4017BE-DIP16")</f>
        <v>ITBISA-IC-CD4017BE-DIP16</v>
      </c>
      <c r="B1493" s="165">
        <f>IFERROR(__xludf.DUMMYFUNCTION("""COMPUTED_VALUE"""),46135.0)</f>
        <v>46135</v>
      </c>
      <c r="C1493" s="165" t="str">
        <f>IFERROR(__xludf.DUMMYFUNCTION("""COMPUTED_VALUE"""),"KYAI KONTONG")</f>
        <v>KYAI KONTONG</v>
      </c>
      <c r="D1493" s="94">
        <f>IFERROR(__xludf.DUMMYFUNCTION("""COMPUTED_VALUE"""),2.0)</f>
        <v>2</v>
      </c>
    </row>
    <row r="1494">
      <c r="A1494" s="87" t="str">
        <f>IFERROR(__xludf.DUMMYFUNCTION("""COMPUTED_VALUE"""),"ITBISA-IC-CD4017BE-DIP16")</f>
        <v>ITBISA-IC-CD4017BE-DIP16</v>
      </c>
      <c r="B1494" s="165">
        <f>IFERROR(__xludf.DUMMYFUNCTION("""COMPUTED_VALUE"""),46143.0)</f>
        <v>46143</v>
      </c>
      <c r="C1494" s="165" t="str">
        <f>IFERROR(__xludf.DUMMYFUNCTION("""COMPUTED_VALUE"""),"KYAI KONTONG")</f>
        <v>KYAI KONTONG</v>
      </c>
      <c r="D1494" s="94">
        <f>IFERROR(__xludf.DUMMYFUNCTION("""COMPUTED_VALUE"""),12.0)</f>
        <v>12</v>
      </c>
    </row>
    <row r="1495">
      <c r="A1495" s="87" t="str">
        <f>IFERROR(__xludf.DUMMYFUNCTION("""COMPUTED_VALUE"""),"ITBISA-IC-CD4017BE-DIP16")</f>
        <v>ITBISA-IC-CD4017BE-DIP16</v>
      </c>
      <c r="B1495" s="165">
        <f>IFERROR(__xludf.DUMMYFUNCTION("""COMPUTED_VALUE"""),46152.0)</f>
        <v>46152</v>
      </c>
      <c r="C1495" s="165" t="str">
        <f>IFERROR(__xludf.DUMMYFUNCTION("""COMPUTED_VALUE"""),"KYAI KONTONG")</f>
        <v>KYAI KONTONG</v>
      </c>
      <c r="D1495" s="94">
        <f>IFERROR(__xludf.DUMMYFUNCTION("""COMPUTED_VALUE"""),150.0)</f>
        <v>150</v>
      </c>
    </row>
    <row r="1496">
      <c r="A1496" s="87" t="str">
        <f>IFERROR(__xludf.DUMMYFUNCTION("""COMPUTED_VALUE"""),"ITBISA-IC-CD4017BE-DIP16")</f>
        <v>ITBISA-IC-CD4017BE-DIP16</v>
      </c>
      <c r="B1496" s="165">
        <f>IFERROR(__xludf.DUMMYFUNCTION("""COMPUTED_VALUE"""),46153.0)</f>
        <v>46153</v>
      </c>
      <c r="C1496" s="165" t="str">
        <f>IFERROR(__xludf.DUMMYFUNCTION("""COMPUTED_VALUE"""),"KYAI KONTONG")</f>
        <v>KYAI KONTONG</v>
      </c>
      <c r="D1496" s="94">
        <f>IFERROR(__xludf.DUMMYFUNCTION("""COMPUTED_VALUE"""),25.0)</f>
        <v>25</v>
      </c>
    </row>
    <row r="1497">
      <c r="A1497" s="87" t="str">
        <f>IFERROR(__xludf.DUMMYFUNCTION("""COMPUTED_VALUE"""),"ITBISA-IC-CD4017BE-DIP16")</f>
        <v>ITBISA-IC-CD4017BE-DIP16</v>
      </c>
      <c r="B1497" s="165">
        <f>IFERROR(__xludf.DUMMYFUNCTION("""COMPUTED_VALUE"""),46154.0)</f>
        <v>46154</v>
      </c>
      <c r="C1497" s="165" t="str">
        <f>IFERROR(__xludf.DUMMYFUNCTION("""COMPUTED_VALUE"""),"KYAI KONTONG")</f>
        <v>KYAI KONTONG</v>
      </c>
      <c r="D1497" s="94">
        <f>IFERROR(__xludf.DUMMYFUNCTION("""COMPUTED_VALUE"""),25.0)</f>
        <v>25</v>
      </c>
    </row>
    <row r="1498">
      <c r="A1498" s="87" t="str">
        <f>IFERROR(__xludf.DUMMYFUNCTION("""COMPUTED_VALUE"""),"ITBISA-IC-CD4017BE-DIP16")</f>
        <v>ITBISA-IC-CD4017BE-DIP16</v>
      </c>
      <c r="B1498" s="165">
        <f>IFERROR(__xludf.DUMMYFUNCTION("""COMPUTED_VALUE"""),46155.0)</f>
        <v>46155</v>
      </c>
      <c r="C1498" s="165" t="str">
        <f>IFERROR(__xludf.DUMMYFUNCTION("""COMPUTED_VALUE"""),"KYAI KONTONG")</f>
        <v>KYAI KONTONG</v>
      </c>
      <c r="D1498" s="94">
        <f>IFERROR(__xludf.DUMMYFUNCTION("""COMPUTED_VALUE"""),300.0)</f>
        <v>300</v>
      </c>
    </row>
    <row r="1499">
      <c r="A1499" s="87" t="str">
        <f>IFERROR(__xludf.DUMMYFUNCTION("""COMPUTED_VALUE"""),"ITBISA-IC-CD4017BE-DIP16")</f>
        <v>ITBISA-IC-CD4017BE-DIP16</v>
      </c>
      <c r="B1499" s="165">
        <f>IFERROR(__xludf.DUMMYFUNCTION("""COMPUTED_VALUE"""),46156.0)</f>
        <v>46156</v>
      </c>
      <c r="C1499" s="165" t="str">
        <f>IFERROR(__xludf.DUMMYFUNCTION("""COMPUTED_VALUE"""),"KYAI KONTONG")</f>
        <v>KYAI KONTONG</v>
      </c>
      <c r="D1499" s="94">
        <f>IFERROR(__xludf.DUMMYFUNCTION("""COMPUTED_VALUE"""),20.0)</f>
        <v>20</v>
      </c>
    </row>
    <row r="1500">
      <c r="A1500" s="87" t="str">
        <f>IFERROR(__xludf.DUMMYFUNCTION("""COMPUTED_VALUE"""),"ITBISA-IC-CD4017BE-DIP16")</f>
        <v>ITBISA-IC-CD4017BE-DIP16</v>
      </c>
      <c r="B1500" s="165">
        <f>IFERROR(__xludf.DUMMYFUNCTION("""COMPUTED_VALUE"""),46157.0)</f>
        <v>46157</v>
      </c>
      <c r="C1500" s="165" t="str">
        <f>IFERROR(__xludf.DUMMYFUNCTION("""COMPUTED_VALUE"""),"KYAI KONTONG")</f>
        <v>KYAI KONTONG</v>
      </c>
      <c r="D1500" s="94">
        <f>IFERROR(__xludf.DUMMYFUNCTION("""COMPUTED_VALUE"""),100.0)</f>
        <v>100</v>
      </c>
    </row>
    <row r="1501">
      <c r="A1501" s="87" t="str">
        <f>IFERROR(__xludf.DUMMYFUNCTION("""COMPUTED_VALUE"""),"ITBISA-IC-CD4017BE-DIP16")</f>
        <v>ITBISA-IC-CD4017BE-DIP16</v>
      </c>
      <c r="B1501" s="165">
        <f>IFERROR(__xludf.DUMMYFUNCTION("""COMPUTED_VALUE"""),46159.0)</f>
        <v>46159</v>
      </c>
      <c r="C1501" s="165" t="str">
        <f>IFERROR(__xludf.DUMMYFUNCTION("""COMPUTED_VALUE"""),"KYAI KONTONG")</f>
        <v>KYAI KONTONG</v>
      </c>
      <c r="D1501" s="94">
        <f>IFERROR(__xludf.DUMMYFUNCTION("""COMPUTED_VALUE"""),500.0)</f>
        <v>500</v>
      </c>
    </row>
    <row r="1502">
      <c r="A1502" s="87" t="str">
        <f>IFERROR(__xludf.DUMMYFUNCTION("""COMPUTED_VALUE"""),"ITBISA-IC-CD4017BE-DIP16")</f>
        <v>ITBISA-IC-CD4017BE-DIP16</v>
      </c>
      <c r="B1502" s="165">
        <f>IFERROR(__xludf.DUMMYFUNCTION("""COMPUTED_VALUE"""),46161.0)</f>
        <v>46161</v>
      </c>
      <c r="C1502" s="165" t="str">
        <f>IFERROR(__xludf.DUMMYFUNCTION("""COMPUTED_VALUE"""),"KYAI KONTONG")</f>
        <v>KYAI KONTONG</v>
      </c>
      <c r="D1502" s="94">
        <f>IFERROR(__xludf.DUMMYFUNCTION("""COMPUTED_VALUE"""),3.0)</f>
        <v>3</v>
      </c>
    </row>
    <row r="1503">
      <c r="A1503" s="87" t="str">
        <f>IFERROR(__xludf.DUMMYFUNCTION("""COMPUTED_VALUE"""),"ITBISA-IC-CD4017BE-DIP16")</f>
        <v>ITBISA-IC-CD4017BE-DIP16</v>
      </c>
      <c r="B1503" s="165">
        <f>IFERROR(__xludf.DUMMYFUNCTION("""COMPUTED_VALUE"""),46162.0)</f>
        <v>46162</v>
      </c>
      <c r="C1503" s="165" t="str">
        <f>IFERROR(__xludf.DUMMYFUNCTION("""COMPUTED_VALUE"""),"KYAI KONTONG")</f>
        <v>KYAI KONTONG</v>
      </c>
      <c r="D1503" s="94">
        <f>IFERROR(__xludf.DUMMYFUNCTION("""COMPUTED_VALUE"""),36.0)</f>
        <v>36</v>
      </c>
    </row>
    <row r="1504">
      <c r="A1504" s="87" t="str">
        <f>IFERROR(__xludf.DUMMYFUNCTION("""COMPUTED_VALUE"""),"ITBISA-IC-CD4017BE-DIP16")</f>
        <v>ITBISA-IC-CD4017BE-DIP16</v>
      </c>
      <c r="B1504" s="165">
        <f>IFERROR(__xludf.DUMMYFUNCTION("""COMPUTED_VALUE"""),46163.0)</f>
        <v>46163</v>
      </c>
      <c r="C1504" s="165" t="str">
        <f>IFERROR(__xludf.DUMMYFUNCTION("""COMPUTED_VALUE"""),"KYAI KONTONG")</f>
        <v>KYAI KONTONG</v>
      </c>
      <c r="D1504" s="94">
        <f>IFERROR(__xludf.DUMMYFUNCTION("""COMPUTED_VALUE"""),2.0)</f>
        <v>2</v>
      </c>
    </row>
    <row r="1505">
      <c r="A1505" s="87" t="str">
        <f>IFERROR(__xludf.DUMMYFUNCTION("""COMPUTED_VALUE"""),"ITBISA-IC-CD4017BE-DIP16")</f>
        <v>ITBISA-IC-CD4017BE-DIP16</v>
      </c>
      <c r="B1505" s="165">
        <f>IFERROR(__xludf.DUMMYFUNCTION("""COMPUTED_VALUE"""),46163.0)</f>
        <v>46163</v>
      </c>
      <c r="C1505" s="165" t="str">
        <f>IFERROR(__xludf.DUMMYFUNCTION("""COMPUTED_VALUE"""),"KYAI KONTONG")</f>
        <v>KYAI KONTONG</v>
      </c>
      <c r="D1505" s="94">
        <f>IFERROR(__xludf.DUMMYFUNCTION("""COMPUTED_VALUE"""),5.0)</f>
        <v>5</v>
      </c>
    </row>
    <row r="1506">
      <c r="A1506" s="87" t="str">
        <f>IFERROR(__xludf.DUMMYFUNCTION("""COMPUTED_VALUE"""),"ITBISA-IC-CD4017BE-DIP16")</f>
        <v>ITBISA-IC-CD4017BE-DIP16</v>
      </c>
      <c r="B1506" s="165">
        <f>IFERROR(__xludf.DUMMYFUNCTION("""COMPUTED_VALUE"""),46167.0)</f>
        <v>46167</v>
      </c>
      <c r="C1506" s="165" t="str">
        <f>IFERROR(__xludf.DUMMYFUNCTION("""COMPUTED_VALUE"""),"KYAI KONTONG")</f>
        <v>KYAI KONTONG</v>
      </c>
      <c r="D1506" s="94">
        <f>IFERROR(__xludf.DUMMYFUNCTION("""COMPUTED_VALUE"""),60.0)</f>
        <v>60</v>
      </c>
    </row>
    <row r="1507">
      <c r="A1507" s="87" t="str">
        <f>IFERROR(__xludf.DUMMYFUNCTION("""COMPUTED_VALUE"""),"ITBISA-IC-CD4017BE-DIP16")</f>
        <v>ITBISA-IC-CD4017BE-DIP16</v>
      </c>
      <c r="B1507" s="165">
        <f>IFERROR(__xludf.DUMMYFUNCTION("""COMPUTED_VALUE"""),46167.0)</f>
        <v>46167</v>
      </c>
      <c r="C1507" s="165" t="str">
        <f>IFERROR(__xludf.DUMMYFUNCTION("""COMPUTED_VALUE"""),"KYAI KONTONG")</f>
        <v>KYAI KONTONG</v>
      </c>
      <c r="D1507" s="94">
        <f>IFERROR(__xludf.DUMMYFUNCTION("""COMPUTED_VALUE"""),150.0)</f>
        <v>150</v>
      </c>
    </row>
    <row r="1508">
      <c r="A1508" s="87" t="str">
        <f>IFERROR(__xludf.DUMMYFUNCTION("""COMPUTED_VALUE"""),"ITBISA-IC-CD4017BE-DIP16")</f>
        <v>ITBISA-IC-CD4017BE-DIP16</v>
      </c>
      <c r="B1508" s="165">
        <f>IFERROR(__xludf.DUMMYFUNCTION("""COMPUTED_VALUE"""),46170.0)</f>
        <v>46170</v>
      </c>
      <c r="C1508" s="165" t="str">
        <f>IFERROR(__xludf.DUMMYFUNCTION("""COMPUTED_VALUE"""),"KYAI KONTONG")</f>
        <v>KYAI KONTONG</v>
      </c>
      <c r="D1508" s="94">
        <f>IFERROR(__xludf.DUMMYFUNCTION("""COMPUTED_VALUE"""),5.0)</f>
        <v>5</v>
      </c>
    </row>
    <row r="1509">
      <c r="A1509" s="87" t="str">
        <f>IFERROR(__xludf.DUMMYFUNCTION("""COMPUTED_VALUE"""),"ITBISA-IC-CD4017BE-DIP16")</f>
        <v>ITBISA-IC-CD4017BE-DIP16</v>
      </c>
      <c r="B1509" s="165">
        <f>IFERROR(__xludf.DUMMYFUNCTION("""COMPUTED_VALUE"""),46170.0)</f>
        <v>46170</v>
      </c>
      <c r="C1509" s="165" t="str">
        <f>IFERROR(__xludf.DUMMYFUNCTION("""COMPUTED_VALUE"""),"KYAI KONTONG")</f>
        <v>KYAI KONTONG</v>
      </c>
      <c r="D1509" s="94">
        <f>IFERROR(__xludf.DUMMYFUNCTION("""COMPUTED_VALUE"""),10.0)</f>
        <v>10</v>
      </c>
    </row>
    <row r="1510">
      <c r="A1510" s="87" t="str">
        <f>IFERROR(__xludf.DUMMYFUNCTION("""COMPUTED_VALUE"""),"ITBISA-IC-CD4017BE-DIP16")</f>
        <v>ITBISA-IC-CD4017BE-DIP16</v>
      </c>
      <c r="B1510" s="165">
        <f>IFERROR(__xludf.DUMMYFUNCTION("""COMPUTED_VALUE"""),46170.0)</f>
        <v>46170</v>
      </c>
      <c r="C1510" s="165" t="str">
        <f>IFERROR(__xludf.DUMMYFUNCTION("""COMPUTED_VALUE"""),"KYAI KONTONG")</f>
        <v>KYAI KONTONG</v>
      </c>
      <c r="D1510" s="94">
        <f>IFERROR(__xludf.DUMMYFUNCTION("""COMPUTED_VALUE"""),50.0)</f>
        <v>50</v>
      </c>
    </row>
    <row r="1511">
      <c r="A1511" s="87" t="str">
        <f>IFERROR(__xludf.DUMMYFUNCTION("""COMPUTED_VALUE"""),"ITBISA-IC-CD4017BE-DIP16")</f>
        <v>ITBISA-IC-CD4017BE-DIP16</v>
      </c>
      <c r="B1511" s="165">
        <f>IFERROR(__xludf.DUMMYFUNCTION("""COMPUTED_VALUE"""),46172.0)</f>
        <v>46172</v>
      </c>
      <c r="C1511" s="165" t="str">
        <f>IFERROR(__xludf.DUMMYFUNCTION("""COMPUTED_VALUE"""),"KYAI KONTONG")</f>
        <v>KYAI KONTONG</v>
      </c>
      <c r="D1511" s="94">
        <f>IFERROR(__xludf.DUMMYFUNCTION("""COMPUTED_VALUE"""),25.0)</f>
        <v>25</v>
      </c>
    </row>
    <row r="1512">
      <c r="A1512" s="87" t="str">
        <f>IFERROR(__xludf.DUMMYFUNCTION("""COMPUTED_VALUE"""),"ITBISA-IC-CD4017BE-DIP16")</f>
        <v>ITBISA-IC-CD4017BE-DIP16</v>
      </c>
      <c r="B1512" s="165">
        <f>IFERROR(__xludf.DUMMYFUNCTION("""COMPUTED_VALUE"""),46174.0)</f>
        <v>46174</v>
      </c>
      <c r="C1512" s="165" t="str">
        <f>IFERROR(__xludf.DUMMYFUNCTION("""COMPUTED_VALUE"""),"KYAI KONTONG")</f>
        <v>KYAI KONTONG</v>
      </c>
      <c r="D1512" s="94">
        <f>IFERROR(__xludf.DUMMYFUNCTION("""COMPUTED_VALUE"""),10.0)</f>
        <v>10</v>
      </c>
    </row>
    <row r="1513">
      <c r="A1513" s="87" t="str">
        <f>IFERROR(__xludf.DUMMYFUNCTION("""COMPUTED_VALUE"""),"ITBISA-IC-CD4017BE-DIP16")</f>
        <v>ITBISA-IC-CD4017BE-DIP16</v>
      </c>
      <c r="B1513" s="165">
        <f>IFERROR(__xludf.DUMMYFUNCTION("""COMPUTED_VALUE"""),46177.0)</f>
        <v>46177</v>
      </c>
      <c r="C1513" s="165" t="str">
        <f>IFERROR(__xludf.DUMMYFUNCTION("""COMPUTED_VALUE"""),"KYAI KONTONG")</f>
        <v>KYAI KONTONG</v>
      </c>
      <c r="D1513" s="94">
        <f>IFERROR(__xludf.DUMMYFUNCTION("""COMPUTED_VALUE"""),20.0)</f>
        <v>20</v>
      </c>
    </row>
    <row r="1514">
      <c r="A1514" s="87" t="str">
        <f>IFERROR(__xludf.DUMMYFUNCTION("""COMPUTED_VALUE"""),"ITBISA-IC-CD4017BE-DIP16")</f>
        <v>ITBISA-IC-CD4017BE-DIP16</v>
      </c>
      <c r="B1514" s="165">
        <f>IFERROR(__xludf.DUMMYFUNCTION("""COMPUTED_VALUE"""),46177.0)</f>
        <v>46177</v>
      </c>
      <c r="C1514" s="165" t="str">
        <f>IFERROR(__xludf.DUMMYFUNCTION("""COMPUTED_VALUE"""),"KYAI KONTONG")</f>
        <v>KYAI KONTONG</v>
      </c>
      <c r="D1514" s="94">
        <f>IFERROR(__xludf.DUMMYFUNCTION("""COMPUTED_VALUE"""),168.0)</f>
        <v>168</v>
      </c>
    </row>
    <row r="1515">
      <c r="A1515" s="87" t="str">
        <f>IFERROR(__xludf.DUMMYFUNCTION("""COMPUTED_VALUE"""),"ITBISA-IC-CD4017BE-DIP16")</f>
        <v>ITBISA-IC-CD4017BE-DIP16</v>
      </c>
      <c r="B1515" s="165">
        <f>IFERROR(__xludf.DUMMYFUNCTION("""COMPUTED_VALUE"""),46177.0)</f>
        <v>46177</v>
      </c>
      <c r="C1515" s="165" t="str">
        <f>IFERROR(__xludf.DUMMYFUNCTION("""COMPUTED_VALUE"""),"KYAI KONTONG")</f>
        <v>KYAI KONTONG</v>
      </c>
      <c r="D1515" s="94">
        <f>IFERROR(__xludf.DUMMYFUNCTION("""COMPUTED_VALUE"""),300.0)</f>
        <v>300</v>
      </c>
    </row>
    <row r="1516">
      <c r="A1516" s="87" t="str">
        <f>IFERROR(__xludf.DUMMYFUNCTION("""COMPUTED_VALUE"""),"ITBISA-IC-CD4017BE-DIP16")</f>
        <v>ITBISA-IC-CD4017BE-DIP16</v>
      </c>
      <c r="B1516" s="165">
        <f>IFERROR(__xludf.DUMMYFUNCTION("""COMPUTED_VALUE"""),46185.0)</f>
        <v>46185</v>
      </c>
      <c r="C1516" s="165" t="str">
        <f>IFERROR(__xludf.DUMMYFUNCTION("""COMPUTED_VALUE"""),"KYAI KONTONG")</f>
        <v>KYAI KONTONG</v>
      </c>
      <c r="D1516" s="94">
        <f>IFERROR(__xludf.DUMMYFUNCTION("""COMPUTED_VALUE"""),90.0)</f>
        <v>90</v>
      </c>
    </row>
    <row r="1517">
      <c r="A1517" s="87" t="str">
        <f>IFERROR(__xludf.DUMMYFUNCTION("""COMPUTED_VALUE"""),"ITBISA-IC-CD4017BE-DIP16")</f>
        <v>ITBISA-IC-CD4017BE-DIP16</v>
      </c>
      <c r="B1517" s="165">
        <f>IFERROR(__xludf.DUMMYFUNCTION("""COMPUTED_VALUE"""),46186.0)</f>
        <v>46186</v>
      </c>
      <c r="C1517" s="165" t="str">
        <f>IFERROR(__xludf.DUMMYFUNCTION("""COMPUTED_VALUE"""),"KYAI KONTONG")</f>
        <v>KYAI KONTONG</v>
      </c>
      <c r="D1517" s="94">
        <f>IFERROR(__xludf.DUMMYFUNCTION("""COMPUTED_VALUE"""),50.0)</f>
        <v>50</v>
      </c>
    </row>
    <row r="1518">
      <c r="A1518" s="87" t="str">
        <f>IFERROR(__xludf.DUMMYFUNCTION("""COMPUTED_VALUE"""),"ITBISA-IC-CD4017BE-DIP16")</f>
        <v>ITBISA-IC-CD4017BE-DIP16</v>
      </c>
      <c r="B1518" s="165">
        <f>IFERROR(__xludf.DUMMYFUNCTION("""COMPUTED_VALUE"""),46187.0)</f>
        <v>46187</v>
      </c>
      <c r="C1518" s="165" t="str">
        <f>IFERROR(__xludf.DUMMYFUNCTION("""COMPUTED_VALUE"""),"KYAI KONTONG")</f>
        <v>KYAI KONTONG</v>
      </c>
      <c r="D1518" s="94">
        <f>IFERROR(__xludf.DUMMYFUNCTION("""COMPUTED_VALUE"""),24.0)</f>
        <v>24</v>
      </c>
    </row>
    <row r="1519">
      <c r="A1519" s="87" t="str">
        <f>IFERROR(__xludf.DUMMYFUNCTION("""COMPUTED_VALUE"""),"ITBISA-IC-CD4017BE-DIP16")</f>
        <v>ITBISA-IC-CD4017BE-DIP16</v>
      </c>
      <c r="B1519" s="165">
        <f>IFERROR(__xludf.DUMMYFUNCTION("""COMPUTED_VALUE"""),46192.0)</f>
        <v>46192</v>
      </c>
      <c r="C1519" s="165" t="str">
        <f>IFERROR(__xludf.DUMMYFUNCTION("""COMPUTED_VALUE"""),"KYAI KONTONG")</f>
        <v>KYAI KONTONG</v>
      </c>
      <c r="D1519" s="94">
        <f>IFERROR(__xludf.DUMMYFUNCTION("""COMPUTED_VALUE"""),5.0)</f>
        <v>5</v>
      </c>
    </row>
    <row r="1520">
      <c r="A1520" s="87" t="str">
        <f>IFERROR(__xludf.DUMMYFUNCTION("""COMPUTED_VALUE"""),"ITBISA-IC-CD4017BE-DIP16")</f>
        <v>ITBISA-IC-CD4017BE-DIP16</v>
      </c>
      <c r="B1520" s="165">
        <f>IFERROR(__xludf.DUMMYFUNCTION("""COMPUTED_VALUE"""),46195.0)</f>
        <v>46195</v>
      </c>
      <c r="C1520" s="165" t="str">
        <f>IFERROR(__xludf.DUMMYFUNCTION("""COMPUTED_VALUE"""),"KYAI KONTONG")</f>
        <v>KYAI KONTONG</v>
      </c>
      <c r="D1520" s="94">
        <f>IFERROR(__xludf.DUMMYFUNCTION("""COMPUTED_VALUE"""),10.0)</f>
        <v>10</v>
      </c>
    </row>
    <row r="1521">
      <c r="A1521" s="87" t="str">
        <f>IFERROR(__xludf.DUMMYFUNCTION("""COMPUTED_VALUE"""),"ITBISA-IC-CD4094BE-DIP16")</f>
        <v>ITBISA-IC-CD4094BE-DIP16</v>
      </c>
      <c r="B1521" s="165">
        <f>IFERROR(__xludf.DUMMYFUNCTION("""COMPUTED_VALUE"""),46037.0)</f>
        <v>46037</v>
      </c>
      <c r="C1521" s="165" t="str">
        <f>IFERROR(__xludf.DUMMYFUNCTION("""COMPUTED_VALUE"""),"KYAI KONTONG")</f>
        <v>KYAI KONTONG</v>
      </c>
      <c r="D1521" s="94">
        <f>IFERROR(__xludf.DUMMYFUNCTION("""COMPUTED_VALUE"""),10.0)</f>
        <v>10</v>
      </c>
    </row>
    <row r="1522">
      <c r="A1522" s="87" t="str">
        <f>IFERROR(__xludf.DUMMYFUNCTION("""COMPUTED_VALUE"""),"ITBISA-IC-CD4094BE-DIP16")</f>
        <v>ITBISA-IC-CD4094BE-DIP16</v>
      </c>
      <c r="B1522" s="165">
        <f>IFERROR(__xludf.DUMMYFUNCTION("""COMPUTED_VALUE"""),46059.0)</f>
        <v>46059</v>
      </c>
      <c r="C1522" s="165" t="str">
        <f>IFERROR(__xludf.DUMMYFUNCTION("""COMPUTED_VALUE"""),"KYAI KONTONG")</f>
        <v>KYAI KONTONG</v>
      </c>
      <c r="D1522" s="94">
        <f>IFERROR(__xludf.DUMMYFUNCTION("""COMPUTED_VALUE"""),10.0)</f>
        <v>10</v>
      </c>
    </row>
    <row r="1523">
      <c r="A1523" s="87" t="str">
        <f>IFERROR(__xludf.DUMMYFUNCTION("""COMPUTED_VALUE"""),"ITBISA-IC-CD4094BE-DIP16")</f>
        <v>ITBISA-IC-CD4094BE-DIP16</v>
      </c>
      <c r="B1523" s="165">
        <f>IFERROR(__xludf.DUMMYFUNCTION("""COMPUTED_VALUE"""),46064.0)</f>
        <v>46064</v>
      </c>
      <c r="C1523" s="165" t="str">
        <f>IFERROR(__xludf.DUMMYFUNCTION("""COMPUTED_VALUE"""),"KYAI KONTONG")</f>
        <v>KYAI KONTONG</v>
      </c>
      <c r="D1523" s="94">
        <f>IFERROR(__xludf.DUMMYFUNCTION("""COMPUTED_VALUE"""),20.0)</f>
        <v>20</v>
      </c>
    </row>
    <row r="1524">
      <c r="A1524" s="87" t="str">
        <f>IFERROR(__xludf.DUMMYFUNCTION("""COMPUTED_VALUE"""),"ITBISA-IC-CD4094BE-DIP16")</f>
        <v>ITBISA-IC-CD4094BE-DIP16</v>
      </c>
      <c r="B1524" s="165">
        <f>IFERROR(__xludf.DUMMYFUNCTION("""COMPUTED_VALUE"""),46069.0)</f>
        <v>46069</v>
      </c>
      <c r="C1524" s="165" t="str">
        <f>IFERROR(__xludf.DUMMYFUNCTION("""COMPUTED_VALUE"""),"KYAI KONTONG")</f>
        <v>KYAI KONTONG</v>
      </c>
      <c r="D1524" s="94">
        <f>IFERROR(__xludf.DUMMYFUNCTION("""COMPUTED_VALUE"""),50.0)</f>
        <v>50</v>
      </c>
    </row>
    <row r="1525">
      <c r="A1525" s="87" t="str">
        <f>IFERROR(__xludf.DUMMYFUNCTION("""COMPUTED_VALUE"""),"ITBISA-IC-CD4094BE-DIP16")</f>
        <v>ITBISA-IC-CD4094BE-DIP16</v>
      </c>
      <c r="B1525" s="165">
        <f>IFERROR(__xludf.DUMMYFUNCTION("""COMPUTED_VALUE"""),46078.0)</f>
        <v>46078</v>
      </c>
      <c r="C1525" s="165" t="str">
        <f>IFERROR(__xludf.DUMMYFUNCTION("""COMPUTED_VALUE"""),"KYAI KONTONG")</f>
        <v>KYAI KONTONG</v>
      </c>
      <c r="D1525" s="94">
        <f>IFERROR(__xludf.DUMMYFUNCTION("""COMPUTED_VALUE"""),375.0)</f>
        <v>375</v>
      </c>
    </row>
    <row r="1526">
      <c r="A1526" s="87" t="str">
        <f>IFERROR(__xludf.DUMMYFUNCTION("""COMPUTED_VALUE"""),"ITBISA-IC-CD4094BE-DIP16")</f>
        <v>ITBISA-IC-CD4094BE-DIP16</v>
      </c>
      <c r="B1526" s="165">
        <f>IFERROR(__xludf.DUMMYFUNCTION("""COMPUTED_VALUE"""),46118.0)</f>
        <v>46118</v>
      </c>
      <c r="C1526" s="165" t="str">
        <f>IFERROR(__xludf.DUMMYFUNCTION("""COMPUTED_VALUE"""),"KYAI KONTONG")</f>
        <v>KYAI KONTONG</v>
      </c>
      <c r="D1526" s="94">
        <f>IFERROR(__xludf.DUMMYFUNCTION("""COMPUTED_VALUE"""),25.0)</f>
        <v>25</v>
      </c>
    </row>
    <row r="1527">
      <c r="A1527" s="87" t="str">
        <f>IFERROR(__xludf.DUMMYFUNCTION("""COMPUTED_VALUE"""),"ITBISA-IC-CD4094BE-DIP16")</f>
        <v>ITBISA-IC-CD4094BE-DIP16</v>
      </c>
      <c r="B1527" s="165">
        <f>IFERROR(__xludf.DUMMYFUNCTION("""COMPUTED_VALUE"""),46135.0)</f>
        <v>46135</v>
      </c>
      <c r="C1527" s="165" t="str">
        <f>IFERROR(__xludf.DUMMYFUNCTION("""COMPUTED_VALUE"""),"KYAI KONTONG")</f>
        <v>KYAI KONTONG</v>
      </c>
      <c r="D1527" s="94">
        <f>IFERROR(__xludf.DUMMYFUNCTION("""COMPUTED_VALUE"""),100.0)</f>
        <v>100</v>
      </c>
    </row>
    <row r="1528">
      <c r="A1528" s="87" t="str">
        <f>IFERROR(__xludf.DUMMYFUNCTION("""COMPUTED_VALUE"""),"ITBISA-IC-CD4094BE-DIP16")</f>
        <v>ITBISA-IC-CD4094BE-DIP16</v>
      </c>
      <c r="B1528" s="165">
        <f>IFERROR(__xludf.DUMMYFUNCTION("""COMPUTED_VALUE"""),46140.0)</f>
        <v>46140</v>
      </c>
      <c r="C1528" s="165" t="str">
        <f>IFERROR(__xludf.DUMMYFUNCTION("""COMPUTED_VALUE"""),"KYAI KONTONG")</f>
        <v>KYAI KONTONG</v>
      </c>
      <c r="D1528" s="94">
        <f>IFERROR(__xludf.DUMMYFUNCTION("""COMPUTED_VALUE"""),25.0)</f>
        <v>25</v>
      </c>
    </row>
    <row r="1529">
      <c r="A1529" s="87" t="str">
        <f>IFERROR(__xludf.DUMMYFUNCTION("""COMPUTED_VALUE"""),"ITBISA-IC-CD4094BE-DIP16")</f>
        <v>ITBISA-IC-CD4094BE-DIP16</v>
      </c>
      <c r="B1529" s="165">
        <f>IFERROR(__xludf.DUMMYFUNCTION("""COMPUTED_VALUE"""),46141.0)</f>
        <v>46141</v>
      </c>
      <c r="C1529" s="165" t="str">
        <f>IFERROR(__xludf.DUMMYFUNCTION("""COMPUTED_VALUE"""),"KYAI KONTONG")</f>
        <v>KYAI KONTONG</v>
      </c>
      <c r="D1529" s="94">
        <f>IFERROR(__xludf.DUMMYFUNCTION("""COMPUTED_VALUE"""),600.0)</f>
        <v>600</v>
      </c>
    </row>
    <row r="1530">
      <c r="A1530" s="87" t="str">
        <f>IFERROR(__xludf.DUMMYFUNCTION("""COMPUTED_VALUE"""),"ITBISA-IC-CD4094BE-DIP16")</f>
        <v>ITBISA-IC-CD4094BE-DIP16</v>
      </c>
      <c r="B1530" s="165">
        <f>IFERROR(__xludf.DUMMYFUNCTION("""COMPUTED_VALUE"""),46171.0)</f>
        <v>46171</v>
      </c>
      <c r="C1530" s="165" t="str">
        <f>IFERROR(__xludf.DUMMYFUNCTION("""COMPUTED_VALUE"""),"KYAI KONTONG")</f>
        <v>KYAI KONTONG</v>
      </c>
      <c r="D1530" s="94">
        <f>IFERROR(__xludf.DUMMYFUNCTION("""COMPUTED_VALUE"""),10.0)</f>
        <v>10</v>
      </c>
    </row>
    <row r="1531">
      <c r="A1531" s="87" t="str">
        <f>IFERROR(__xludf.DUMMYFUNCTION("""COMPUTED_VALUE"""),"ITBISA-IC-CD4094BE-DIP16")</f>
        <v>ITBISA-IC-CD4094BE-DIP16</v>
      </c>
      <c r="B1531" s="165">
        <f>IFERROR(__xludf.DUMMYFUNCTION("""COMPUTED_VALUE"""),46178.0)</f>
        <v>46178</v>
      </c>
      <c r="C1531" s="165" t="str">
        <f>IFERROR(__xludf.DUMMYFUNCTION("""COMPUTED_VALUE"""),"KYAI KONTONG")</f>
        <v>KYAI KONTONG</v>
      </c>
      <c r="D1531" s="94">
        <f>IFERROR(__xludf.DUMMYFUNCTION("""COMPUTED_VALUE"""),300.0)</f>
        <v>300</v>
      </c>
    </row>
    <row r="1532">
      <c r="A1532" s="87" t="str">
        <f>IFERROR(__xludf.DUMMYFUNCTION("""COMPUTED_VALUE"""),"ITBISA-IC-CD4094BE-DIP16")</f>
        <v>ITBISA-IC-CD4094BE-DIP16</v>
      </c>
      <c r="B1532" s="165">
        <f>IFERROR(__xludf.DUMMYFUNCTION("""COMPUTED_VALUE"""),46198.0)</f>
        <v>46198</v>
      </c>
      <c r="C1532" s="165" t="str">
        <f>IFERROR(__xludf.DUMMYFUNCTION("""COMPUTED_VALUE"""),"KYAI KONTONG")</f>
        <v>KYAI KONTONG</v>
      </c>
      <c r="D1532" s="94">
        <f>IFERROR(__xludf.DUMMYFUNCTION("""COMPUTED_VALUE"""),25.0)</f>
        <v>25</v>
      </c>
    </row>
    <row r="1533">
      <c r="A1533" s="87" t="str">
        <f>IFERROR(__xludf.DUMMYFUNCTION("""COMPUTED_VALUE"""),"ITBISA-IC-CD4094BM-SMD-SOP16")</f>
        <v>ITBISA-IC-CD4094BM-SMD-SOP16</v>
      </c>
      <c r="B1533" s="165">
        <f>IFERROR(__xludf.DUMMYFUNCTION("""COMPUTED_VALUE"""),45871.0)</f>
        <v>45871</v>
      </c>
      <c r="C1533" s="165" t="str">
        <f>IFERROR(__xludf.DUMMYFUNCTION("""COMPUTED_VALUE"""),"KERTASARI CIAMIS")</f>
        <v>KERTASARI CIAMIS</v>
      </c>
      <c r="D1533" s="94">
        <f>IFERROR(__xludf.DUMMYFUNCTION("""COMPUTED_VALUE"""),130.0)</f>
        <v>130</v>
      </c>
    </row>
    <row r="1534">
      <c r="A1534" s="87" t="str">
        <f>IFERROR(__xludf.DUMMYFUNCTION("""COMPUTED_VALUE"""),"ITBISA-IC-CD4094BM-SMD-SOP16")</f>
        <v>ITBISA-IC-CD4094BM-SMD-SOP16</v>
      </c>
      <c r="B1534" s="165">
        <f>IFERROR(__xludf.DUMMYFUNCTION("""COMPUTED_VALUE"""),46036.0)</f>
        <v>46036</v>
      </c>
      <c r="C1534" s="165" t="str">
        <f>IFERROR(__xludf.DUMMYFUNCTION("""COMPUTED_VALUE"""),"KYAI KONTONG")</f>
        <v>KYAI KONTONG</v>
      </c>
      <c r="D1534" s="94">
        <f>IFERROR(__xludf.DUMMYFUNCTION("""COMPUTED_VALUE"""),30.0)</f>
        <v>30</v>
      </c>
    </row>
    <row r="1535">
      <c r="A1535" s="87" t="str">
        <f>IFERROR(__xludf.DUMMYFUNCTION("""COMPUTED_VALUE"""),"ITBISA-IC-CD4094BM-SMD-SOP16")</f>
        <v>ITBISA-IC-CD4094BM-SMD-SOP16</v>
      </c>
      <c r="B1535" s="165">
        <f>IFERROR(__xludf.DUMMYFUNCTION("""COMPUTED_VALUE"""),46036.0)</f>
        <v>46036</v>
      </c>
      <c r="C1535" s="165" t="str">
        <f>IFERROR(__xludf.DUMMYFUNCTION("""COMPUTED_VALUE"""),"KYAI KONTONG")</f>
        <v>KYAI KONTONG</v>
      </c>
      <c r="D1535" s="94">
        <f>IFERROR(__xludf.DUMMYFUNCTION("""COMPUTED_VALUE"""),70.0)</f>
        <v>70</v>
      </c>
    </row>
    <row r="1536">
      <c r="A1536" s="87" t="str">
        <f>IFERROR(__xludf.DUMMYFUNCTION("""COMPUTED_VALUE"""),"ITBISA-IC-CD4094BM-SMD-SOP16")</f>
        <v>ITBISA-IC-CD4094BM-SMD-SOP16</v>
      </c>
      <c r="B1536" s="165">
        <f>IFERROR(__xludf.DUMMYFUNCTION("""COMPUTED_VALUE"""),46041.0)</f>
        <v>46041</v>
      </c>
      <c r="C1536" s="165" t="str">
        <f>IFERROR(__xludf.DUMMYFUNCTION("""COMPUTED_VALUE"""),"KYAI KONTONG")</f>
        <v>KYAI KONTONG</v>
      </c>
      <c r="D1536" s="94">
        <f>IFERROR(__xludf.DUMMYFUNCTION("""COMPUTED_VALUE"""),5.0)</f>
        <v>5</v>
      </c>
    </row>
    <row r="1537">
      <c r="A1537" s="87" t="str">
        <f>IFERROR(__xludf.DUMMYFUNCTION("""COMPUTED_VALUE"""),"ITBISA-IC-CD4094BM-SMD-SOP16")</f>
        <v>ITBISA-IC-CD4094BM-SMD-SOP16</v>
      </c>
      <c r="B1537" s="165">
        <f>IFERROR(__xludf.DUMMYFUNCTION("""COMPUTED_VALUE"""),46044.0)</f>
        <v>46044</v>
      </c>
      <c r="C1537" s="165" t="str">
        <f>IFERROR(__xludf.DUMMYFUNCTION("""COMPUTED_VALUE"""),"KYAI KONTONG")</f>
        <v>KYAI KONTONG</v>
      </c>
      <c r="D1537" s="94">
        <f>IFERROR(__xludf.DUMMYFUNCTION("""COMPUTED_VALUE"""),200.0)</f>
        <v>200</v>
      </c>
    </row>
    <row r="1538">
      <c r="A1538" s="87" t="str">
        <f>IFERROR(__xludf.DUMMYFUNCTION("""COMPUTED_VALUE"""),"ITBISA-IC-CD4094BM-SMD-SOP16")</f>
        <v>ITBISA-IC-CD4094BM-SMD-SOP16</v>
      </c>
      <c r="B1538" s="165">
        <f>IFERROR(__xludf.DUMMYFUNCTION("""COMPUTED_VALUE"""),46060.0)</f>
        <v>46060</v>
      </c>
      <c r="C1538" s="165" t="str">
        <f>IFERROR(__xludf.DUMMYFUNCTION("""COMPUTED_VALUE"""),"KYAI KONTONG")</f>
        <v>KYAI KONTONG</v>
      </c>
      <c r="D1538" s="94">
        <f>IFERROR(__xludf.DUMMYFUNCTION("""COMPUTED_VALUE"""),28.0)</f>
        <v>28</v>
      </c>
    </row>
    <row r="1539">
      <c r="A1539" s="87" t="str">
        <f>IFERROR(__xludf.DUMMYFUNCTION("""COMPUTED_VALUE"""),"ITBISA-IC-CD4094BM-SMD-SOP16")</f>
        <v>ITBISA-IC-CD4094BM-SMD-SOP16</v>
      </c>
      <c r="B1539" s="165">
        <f>IFERROR(__xludf.DUMMYFUNCTION("""COMPUTED_VALUE"""),46077.0)</f>
        <v>46077</v>
      </c>
      <c r="C1539" s="165" t="str">
        <f>IFERROR(__xludf.DUMMYFUNCTION("""COMPUTED_VALUE"""),"KERTASARI CIAMIS")</f>
        <v>KERTASARI CIAMIS</v>
      </c>
      <c r="D1539" s="94">
        <f>IFERROR(__xludf.DUMMYFUNCTION("""COMPUTED_VALUE"""),275.0)</f>
        <v>275</v>
      </c>
    </row>
    <row r="1540">
      <c r="A1540" s="87" t="str">
        <f>IFERROR(__xludf.DUMMYFUNCTION("""COMPUTED_VALUE"""),"ITBISA-IC-CD4094BM-SMD-SOP16")</f>
        <v>ITBISA-IC-CD4094BM-SMD-SOP16</v>
      </c>
      <c r="B1540" s="165">
        <f>IFERROR(__xludf.DUMMYFUNCTION("""COMPUTED_VALUE"""),46140.0)</f>
        <v>46140</v>
      </c>
      <c r="C1540" s="165" t="str">
        <f>IFERROR(__xludf.DUMMYFUNCTION("""COMPUTED_VALUE"""),"KYAI KONTONG")</f>
        <v>KYAI KONTONG</v>
      </c>
      <c r="D1540" s="94">
        <f>IFERROR(__xludf.DUMMYFUNCTION("""COMPUTED_VALUE"""),1000.0)</f>
        <v>1000</v>
      </c>
    </row>
    <row r="1541">
      <c r="A1541" s="87" t="str">
        <f>IFERROR(__xludf.DUMMYFUNCTION("""COMPUTED_VALUE"""),"ITBISA-IC-CD4094BM-SMD-SOP16")</f>
        <v>ITBISA-IC-CD4094BM-SMD-SOP16</v>
      </c>
      <c r="B1541" s="165">
        <f>IFERROR(__xludf.DUMMYFUNCTION("""COMPUTED_VALUE"""),46141.0)</f>
        <v>46141</v>
      </c>
      <c r="C1541" s="165" t="str">
        <f>IFERROR(__xludf.DUMMYFUNCTION("""COMPUTED_VALUE"""),"KYAI KONTONG")</f>
        <v>KYAI KONTONG</v>
      </c>
      <c r="D1541" s="94">
        <f>IFERROR(__xludf.DUMMYFUNCTION("""COMPUTED_VALUE"""),150.0)</f>
        <v>150</v>
      </c>
    </row>
    <row r="1542">
      <c r="A1542" s="87" t="str">
        <f>IFERROR(__xludf.DUMMYFUNCTION("""COMPUTED_VALUE"""),"ITBISA-IC-CD4094BM-SMD-SOP16")</f>
        <v>ITBISA-IC-CD4094BM-SMD-SOP16</v>
      </c>
      <c r="B1542" s="165">
        <f>IFERROR(__xludf.DUMMYFUNCTION("""COMPUTED_VALUE"""),46142.0)</f>
        <v>46142</v>
      </c>
      <c r="C1542" s="165" t="str">
        <f>IFERROR(__xludf.DUMMYFUNCTION("""COMPUTED_VALUE"""),"KYAI KONTONG")</f>
        <v>KYAI KONTONG</v>
      </c>
      <c r="D1542" s="94">
        <f>IFERROR(__xludf.DUMMYFUNCTION("""COMPUTED_VALUE"""),200.0)</f>
        <v>200</v>
      </c>
    </row>
    <row r="1543">
      <c r="A1543" s="87" t="str">
        <f>IFERROR(__xludf.DUMMYFUNCTION("""COMPUTED_VALUE"""),"ITBISA-IC-CD4094BM-SMD-SOP16")</f>
        <v>ITBISA-IC-CD4094BM-SMD-SOP16</v>
      </c>
      <c r="B1543" s="165">
        <f>IFERROR(__xludf.DUMMYFUNCTION("""COMPUTED_VALUE"""),46147.0)</f>
        <v>46147</v>
      </c>
      <c r="C1543" s="165" t="str">
        <f>IFERROR(__xludf.DUMMYFUNCTION("""COMPUTED_VALUE"""),"KYAI KONTONG")</f>
        <v>KYAI KONTONG</v>
      </c>
      <c r="D1543" s="94">
        <f>IFERROR(__xludf.DUMMYFUNCTION("""COMPUTED_VALUE"""),550.0)</f>
        <v>550</v>
      </c>
    </row>
    <row r="1544">
      <c r="A1544" s="87" t="str">
        <f>IFERROR(__xludf.DUMMYFUNCTION("""COMPUTED_VALUE"""),"ITBISA-IC-CD4094BM-SMD-SOP16")</f>
        <v>ITBISA-IC-CD4094BM-SMD-SOP16</v>
      </c>
      <c r="B1544" s="165">
        <f>IFERROR(__xludf.DUMMYFUNCTION("""COMPUTED_VALUE"""),46150.0)</f>
        <v>46150</v>
      </c>
      <c r="C1544" s="165" t="str">
        <f>IFERROR(__xludf.DUMMYFUNCTION("""COMPUTED_VALUE"""),"KYAI KONTONG")</f>
        <v>KYAI KONTONG</v>
      </c>
      <c r="D1544" s="94">
        <f>IFERROR(__xludf.DUMMYFUNCTION("""COMPUTED_VALUE"""),200.0)</f>
        <v>200</v>
      </c>
    </row>
    <row r="1545">
      <c r="A1545" s="87" t="str">
        <f>IFERROR(__xludf.DUMMYFUNCTION("""COMPUTED_VALUE"""),"ITBISA-IC-CD4094BM-SMD-SOP16")</f>
        <v>ITBISA-IC-CD4094BM-SMD-SOP16</v>
      </c>
      <c r="B1545" s="165">
        <f>IFERROR(__xludf.DUMMYFUNCTION("""COMPUTED_VALUE"""),46150.0)</f>
        <v>46150</v>
      </c>
      <c r="C1545" s="165" t="str">
        <f>IFERROR(__xludf.DUMMYFUNCTION("""COMPUTED_VALUE"""),"KYAI KONTONG")</f>
        <v>KYAI KONTONG</v>
      </c>
      <c r="D1545" s="94">
        <f>IFERROR(__xludf.DUMMYFUNCTION("""COMPUTED_VALUE"""),1000.0)</f>
        <v>1000</v>
      </c>
    </row>
    <row r="1546">
      <c r="A1546" s="87" t="str">
        <f>IFERROR(__xludf.DUMMYFUNCTION("""COMPUTED_VALUE"""),"ITBISA-IC-CD4094BM-SMD-SOP16")</f>
        <v>ITBISA-IC-CD4094BM-SMD-SOP16</v>
      </c>
      <c r="B1546" s="165">
        <f>IFERROR(__xludf.DUMMYFUNCTION("""COMPUTED_VALUE"""),46150.0)</f>
        <v>46150</v>
      </c>
      <c r="C1546" s="165" t="str">
        <f>IFERROR(__xludf.DUMMYFUNCTION("""COMPUTED_VALUE"""),"KYAI KONTONG")</f>
        <v>KYAI KONTONG</v>
      </c>
      <c r="D1546" s="94">
        <f>IFERROR(__xludf.DUMMYFUNCTION("""COMPUTED_VALUE"""),1000.0)</f>
        <v>1000</v>
      </c>
    </row>
    <row r="1547">
      <c r="A1547" s="87" t="str">
        <f>IFERROR(__xludf.DUMMYFUNCTION("""COMPUTED_VALUE"""),"ITBISA-IC-CD4094BM-SMD-SOP16")</f>
        <v>ITBISA-IC-CD4094BM-SMD-SOP16</v>
      </c>
      <c r="B1547" s="165">
        <f>IFERROR(__xludf.DUMMYFUNCTION("""COMPUTED_VALUE"""),46157.0)</f>
        <v>46157</v>
      </c>
      <c r="C1547" s="165" t="str">
        <f>IFERROR(__xludf.DUMMYFUNCTION("""COMPUTED_VALUE"""),"KYAI KONTONG")</f>
        <v>KYAI KONTONG</v>
      </c>
      <c r="D1547" s="94">
        <f>IFERROR(__xludf.DUMMYFUNCTION("""COMPUTED_VALUE"""),10.0)</f>
        <v>10</v>
      </c>
    </row>
    <row r="1548">
      <c r="A1548" s="87" t="str">
        <f>IFERROR(__xludf.DUMMYFUNCTION("""COMPUTED_VALUE"""),"ITBISA-IC-CD4094BM-SMD-SOP16")</f>
        <v>ITBISA-IC-CD4094BM-SMD-SOP16</v>
      </c>
      <c r="B1548" s="165">
        <f>IFERROR(__xludf.DUMMYFUNCTION("""COMPUTED_VALUE"""),46167.0)</f>
        <v>46167</v>
      </c>
      <c r="C1548" s="165" t="str">
        <f>IFERROR(__xludf.DUMMYFUNCTION("""COMPUTED_VALUE"""),"KYAI KONTONG")</f>
        <v>KYAI KONTONG</v>
      </c>
      <c r="D1548" s="94">
        <f>IFERROR(__xludf.DUMMYFUNCTION("""COMPUTED_VALUE"""),200.0)</f>
        <v>200</v>
      </c>
    </row>
    <row r="1549">
      <c r="A1549" s="87" t="str">
        <f>IFERROR(__xludf.DUMMYFUNCTION("""COMPUTED_VALUE"""),"ITBISA-IC-CD4094BM-SMD-SOP16")</f>
        <v>ITBISA-IC-CD4094BM-SMD-SOP16</v>
      </c>
      <c r="B1549" s="165">
        <f>IFERROR(__xludf.DUMMYFUNCTION("""COMPUTED_VALUE"""),46172.0)</f>
        <v>46172</v>
      </c>
      <c r="C1549" s="165" t="str">
        <f>IFERROR(__xludf.DUMMYFUNCTION("""COMPUTED_VALUE"""),"KYAI KONTONG")</f>
        <v>KYAI KONTONG</v>
      </c>
      <c r="D1549" s="94">
        <f>IFERROR(__xludf.DUMMYFUNCTION("""COMPUTED_VALUE"""),500.0)</f>
        <v>500</v>
      </c>
    </row>
    <row r="1550">
      <c r="A1550" s="87" t="str">
        <f>IFERROR(__xludf.DUMMYFUNCTION("""COMPUTED_VALUE"""),"ITBISA-IC-CD4094BM-SMD-SOP16")</f>
        <v>ITBISA-IC-CD4094BM-SMD-SOP16</v>
      </c>
      <c r="B1550" s="165">
        <f>IFERROR(__xludf.DUMMYFUNCTION("""COMPUTED_VALUE"""),46178.0)</f>
        <v>46178</v>
      </c>
      <c r="C1550" s="165" t="str">
        <f>IFERROR(__xludf.DUMMYFUNCTION("""COMPUTED_VALUE"""),"KYAI KONTONG")</f>
        <v>KYAI KONTONG</v>
      </c>
      <c r="D1550" s="94">
        <f>IFERROR(__xludf.DUMMYFUNCTION("""COMPUTED_VALUE"""),150.0)</f>
        <v>150</v>
      </c>
    </row>
    <row r="1551">
      <c r="A1551" s="87" t="str">
        <f>IFERROR(__xludf.DUMMYFUNCTION("""COMPUTED_VALUE"""),"ITBISA-IC-CD4094BM-SMD-SOP16")</f>
        <v>ITBISA-IC-CD4094BM-SMD-SOP16</v>
      </c>
      <c r="B1551" s="165">
        <f>IFERROR(__xludf.DUMMYFUNCTION("""COMPUTED_VALUE"""),46184.0)</f>
        <v>46184</v>
      </c>
      <c r="C1551" s="165" t="str">
        <f>IFERROR(__xludf.DUMMYFUNCTION("""COMPUTED_VALUE"""),"KYAI KONTONG")</f>
        <v>KYAI KONTONG</v>
      </c>
      <c r="D1551" s="94">
        <f>IFERROR(__xludf.DUMMYFUNCTION("""COMPUTED_VALUE"""),200.0)</f>
        <v>200</v>
      </c>
    </row>
    <row r="1552">
      <c r="A1552" s="87" t="str">
        <f>IFERROR(__xludf.DUMMYFUNCTION("""COMPUTED_VALUE"""),"ITBISA-IC-CD4094BM-SMD-SOP16")</f>
        <v>ITBISA-IC-CD4094BM-SMD-SOP16</v>
      </c>
      <c r="B1552" s="165">
        <f>IFERROR(__xludf.DUMMYFUNCTION("""COMPUTED_VALUE"""),46188.0)</f>
        <v>46188</v>
      </c>
      <c r="C1552" s="165" t="str">
        <f>IFERROR(__xludf.DUMMYFUNCTION("""COMPUTED_VALUE"""),"KYAI KONTONG")</f>
        <v>KYAI KONTONG</v>
      </c>
      <c r="D1552" s="94">
        <f>IFERROR(__xludf.DUMMYFUNCTION("""COMPUTED_VALUE"""),200.0)</f>
        <v>200</v>
      </c>
    </row>
    <row r="1553">
      <c r="A1553" s="87" t="str">
        <f>IFERROR(__xludf.DUMMYFUNCTION("""COMPUTED_VALUE"""),"ITBISA-IC-CD4094BM-SMD-SOP16")</f>
        <v>ITBISA-IC-CD4094BM-SMD-SOP16</v>
      </c>
      <c r="B1553" s="165">
        <f>IFERROR(__xludf.DUMMYFUNCTION("""COMPUTED_VALUE"""),46189.0)</f>
        <v>46189</v>
      </c>
      <c r="C1553" s="165" t="str">
        <f>IFERROR(__xludf.DUMMYFUNCTION("""COMPUTED_VALUE"""),"KYAI KONTONG")</f>
        <v>KYAI KONTONG</v>
      </c>
      <c r="D1553" s="94">
        <f>IFERROR(__xludf.DUMMYFUNCTION("""COMPUTED_VALUE"""),70.0)</f>
        <v>70</v>
      </c>
    </row>
    <row r="1554">
      <c r="A1554" s="87" t="str">
        <f>IFERROR(__xludf.DUMMYFUNCTION("""COMPUTED_VALUE"""),"ITBISA-IC-CD4094BM-SMD-SOP16")</f>
        <v>ITBISA-IC-CD4094BM-SMD-SOP16</v>
      </c>
      <c r="B1554" s="165">
        <f>IFERROR(__xludf.DUMMYFUNCTION("""COMPUTED_VALUE"""),46195.0)</f>
        <v>46195</v>
      </c>
      <c r="C1554" s="165" t="str">
        <f>IFERROR(__xludf.DUMMYFUNCTION("""COMPUTED_VALUE"""),"KYAI KONTONG")</f>
        <v>KYAI KONTONG</v>
      </c>
      <c r="D1554" s="94">
        <f>IFERROR(__xludf.DUMMYFUNCTION("""COMPUTED_VALUE"""),100.0)</f>
        <v>100</v>
      </c>
    </row>
    <row r="1555">
      <c r="A1555" s="87" t="str">
        <f>IFERROR(__xludf.DUMMYFUNCTION("""COMPUTED_VALUE"""),"ITBISA-IC-JRC4558D-DIP8")</f>
        <v>ITBISA-IC-JRC4558D-DIP8</v>
      </c>
      <c r="B1555" s="165">
        <f>IFERROR(__xludf.DUMMYFUNCTION("""COMPUTED_VALUE"""),46024.0)</f>
        <v>46024</v>
      </c>
      <c r="C1555" s="165" t="str">
        <f>IFERROR(__xludf.DUMMYFUNCTION("""COMPUTED_VALUE"""),"KYAI KONTONG")</f>
        <v>KYAI KONTONG</v>
      </c>
      <c r="D1555" s="94">
        <f>IFERROR(__xludf.DUMMYFUNCTION("""COMPUTED_VALUE"""),13.0)</f>
        <v>13</v>
      </c>
    </row>
    <row r="1556">
      <c r="A1556" s="87" t="str">
        <f>IFERROR(__xludf.DUMMYFUNCTION("""COMPUTED_VALUE"""),"ITBISA-IC-JRC4558D-DIP8")</f>
        <v>ITBISA-IC-JRC4558D-DIP8</v>
      </c>
      <c r="B1556" s="165">
        <f>IFERROR(__xludf.DUMMYFUNCTION("""COMPUTED_VALUE"""),46026.0)</f>
        <v>46026</v>
      </c>
      <c r="C1556" s="165" t="str">
        <f>IFERROR(__xludf.DUMMYFUNCTION("""COMPUTED_VALUE"""),"KYAI KONTONG")</f>
        <v>KYAI KONTONG</v>
      </c>
      <c r="D1556" s="94">
        <f>IFERROR(__xludf.DUMMYFUNCTION("""COMPUTED_VALUE"""),10.0)</f>
        <v>10</v>
      </c>
    </row>
    <row r="1557">
      <c r="A1557" s="87" t="str">
        <f>IFERROR(__xludf.DUMMYFUNCTION("""COMPUTED_VALUE"""),"ITBISA-IC-JRC4558D-DIP8")</f>
        <v>ITBISA-IC-JRC4558D-DIP8</v>
      </c>
      <c r="B1557" s="165">
        <f>IFERROR(__xludf.DUMMYFUNCTION("""COMPUTED_VALUE"""),46027.0)</f>
        <v>46027</v>
      </c>
      <c r="C1557" s="165" t="str">
        <f>IFERROR(__xludf.DUMMYFUNCTION("""COMPUTED_VALUE"""),"KYAI KONTONG")</f>
        <v>KYAI KONTONG</v>
      </c>
      <c r="D1557" s="94">
        <f>IFERROR(__xludf.DUMMYFUNCTION("""COMPUTED_VALUE"""),10.0)</f>
        <v>10</v>
      </c>
    </row>
    <row r="1558">
      <c r="A1558" s="87" t="str">
        <f>IFERROR(__xludf.DUMMYFUNCTION("""COMPUTED_VALUE"""),"ITBISA-IC-JRC4558D-DIP8")</f>
        <v>ITBISA-IC-JRC4558D-DIP8</v>
      </c>
      <c r="B1558" s="165">
        <f>IFERROR(__xludf.DUMMYFUNCTION("""COMPUTED_VALUE"""),46028.0)</f>
        <v>46028</v>
      </c>
      <c r="C1558" s="165" t="str">
        <f>IFERROR(__xludf.DUMMYFUNCTION("""COMPUTED_VALUE"""),"KERTASARI CIAMIS")</f>
        <v>KERTASARI CIAMIS</v>
      </c>
      <c r="D1558" s="94">
        <f>IFERROR(__xludf.DUMMYFUNCTION("""COMPUTED_VALUE"""),8.0)</f>
        <v>8</v>
      </c>
    </row>
    <row r="1559">
      <c r="A1559" s="87" t="str">
        <f>IFERROR(__xludf.DUMMYFUNCTION("""COMPUTED_VALUE"""),"ITBISA-IC-JRC4558D-DIP8")</f>
        <v>ITBISA-IC-JRC4558D-DIP8</v>
      </c>
      <c r="B1559" s="165">
        <f>IFERROR(__xludf.DUMMYFUNCTION("""COMPUTED_VALUE"""),46033.0)</f>
        <v>46033</v>
      </c>
      <c r="C1559" s="165" t="str">
        <f>IFERROR(__xludf.DUMMYFUNCTION("""COMPUTED_VALUE"""),"KERTASARI CIAMIS")</f>
        <v>KERTASARI CIAMIS</v>
      </c>
      <c r="D1559" s="94">
        <f>IFERROR(__xludf.DUMMYFUNCTION("""COMPUTED_VALUE"""),2.0)</f>
        <v>2</v>
      </c>
    </row>
    <row r="1560">
      <c r="A1560" s="87" t="str">
        <f>IFERROR(__xludf.DUMMYFUNCTION("""COMPUTED_VALUE"""),"ITBISA-IC-JRC4558D-DIP8")</f>
        <v>ITBISA-IC-JRC4558D-DIP8</v>
      </c>
      <c r="B1560" s="165">
        <f>IFERROR(__xludf.DUMMYFUNCTION("""COMPUTED_VALUE"""),46033.0)</f>
        <v>46033</v>
      </c>
      <c r="C1560" s="165" t="str">
        <f>IFERROR(__xludf.DUMMYFUNCTION("""COMPUTED_VALUE"""),"KYAI KONTONG")</f>
        <v>KYAI KONTONG</v>
      </c>
      <c r="D1560" s="94">
        <f>IFERROR(__xludf.DUMMYFUNCTION("""COMPUTED_VALUE"""),5.0)</f>
        <v>5</v>
      </c>
    </row>
    <row r="1561">
      <c r="A1561" s="87" t="str">
        <f>IFERROR(__xludf.DUMMYFUNCTION("""COMPUTED_VALUE"""),"ITBISA-IC-JRC4558D-DIP8")</f>
        <v>ITBISA-IC-JRC4558D-DIP8</v>
      </c>
      <c r="B1561" s="165">
        <f>IFERROR(__xludf.DUMMYFUNCTION("""COMPUTED_VALUE"""),46034.0)</f>
        <v>46034</v>
      </c>
      <c r="C1561" s="165" t="str">
        <f>IFERROR(__xludf.DUMMYFUNCTION("""COMPUTED_VALUE"""),"KERTASARI CIAMIS")</f>
        <v>KERTASARI CIAMIS</v>
      </c>
      <c r="D1561" s="94">
        <f>IFERROR(__xludf.DUMMYFUNCTION("""COMPUTED_VALUE"""),3.0)</f>
        <v>3</v>
      </c>
    </row>
    <row r="1562">
      <c r="A1562" s="87" t="str">
        <f>IFERROR(__xludf.DUMMYFUNCTION("""COMPUTED_VALUE"""),"ITBISA-IC-JRC4558D-DIP8")</f>
        <v>ITBISA-IC-JRC4558D-DIP8</v>
      </c>
      <c r="B1562" s="165">
        <f>IFERROR(__xludf.DUMMYFUNCTION("""COMPUTED_VALUE"""),46039.0)</f>
        <v>46039</v>
      </c>
      <c r="C1562" s="165" t="str">
        <f>IFERROR(__xludf.DUMMYFUNCTION("""COMPUTED_VALUE"""),"KERTASARI CIAMIS")</f>
        <v>KERTASARI CIAMIS</v>
      </c>
      <c r="D1562" s="94">
        <f>IFERROR(__xludf.DUMMYFUNCTION("""COMPUTED_VALUE"""),10.0)</f>
        <v>10</v>
      </c>
    </row>
    <row r="1563">
      <c r="A1563" s="87" t="str">
        <f>IFERROR(__xludf.DUMMYFUNCTION("""COMPUTED_VALUE"""),"ITBISA-IC-JRC4558D-DIP8")</f>
        <v>ITBISA-IC-JRC4558D-DIP8</v>
      </c>
      <c r="B1563" s="165">
        <f>IFERROR(__xludf.DUMMYFUNCTION("""COMPUTED_VALUE"""),46040.0)</f>
        <v>46040</v>
      </c>
      <c r="C1563" s="165" t="str">
        <f>IFERROR(__xludf.DUMMYFUNCTION("""COMPUTED_VALUE"""),"KERTASARI CIAMIS")</f>
        <v>KERTASARI CIAMIS</v>
      </c>
      <c r="D1563" s="94">
        <f>IFERROR(__xludf.DUMMYFUNCTION("""COMPUTED_VALUE"""),5.0)</f>
        <v>5</v>
      </c>
    </row>
    <row r="1564">
      <c r="A1564" s="87" t="str">
        <f>IFERROR(__xludf.DUMMYFUNCTION("""COMPUTED_VALUE"""),"ITBISA-IC-JRC4558D-DIP8")</f>
        <v>ITBISA-IC-JRC4558D-DIP8</v>
      </c>
      <c r="B1564" s="165">
        <f>IFERROR(__xludf.DUMMYFUNCTION("""COMPUTED_VALUE"""),46041.0)</f>
        <v>46041</v>
      </c>
      <c r="C1564" s="165" t="str">
        <f>IFERROR(__xludf.DUMMYFUNCTION("""COMPUTED_VALUE"""),"KERTASARI CIAMIS")</f>
        <v>KERTASARI CIAMIS</v>
      </c>
      <c r="D1564" s="94">
        <f>IFERROR(__xludf.DUMMYFUNCTION("""COMPUTED_VALUE"""),5.0)</f>
        <v>5</v>
      </c>
    </row>
    <row r="1565">
      <c r="A1565" s="87" t="str">
        <f>IFERROR(__xludf.DUMMYFUNCTION("""COMPUTED_VALUE"""),"ITBISA-IC-JRC4558D-DIP8")</f>
        <v>ITBISA-IC-JRC4558D-DIP8</v>
      </c>
      <c r="B1565" s="165">
        <f>IFERROR(__xludf.DUMMYFUNCTION("""COMPUTED_VALUE"""),46041.0)</f>
        <v>46041</v>
      </c>
      <c r="C1565" s="165" t="str">
        <f>IFERROR(__xludf.DUMMYFUNCTION("""COMPUTED_VALUE"""),"KYAI KONTONG")</f>
        <v>KYAI KONTONG</v>
      </c>
      <c r="D1565" s="94">
        <f>IFERROR(__xludf.DUMMYFUNCTION("""COMPUTED_VALUE"""),5.0)</f>
        <v>5</v>
      </c>
    </row>
    <row r="1566">
      <c r="A1566" s="87" t="str">
        <f>IFERROR(__xludf.DUMMYFUNCTION("""COMPUTED_VALUE"""),"ITBISA-IC-JRC4558D-DIP8")</f>
        <v>ITBISA-IC-JRC4558D-DIP8</v>
      </c>
      <c r="B1566" s="165">
        <f>IFERROR(__xludf.DUMMYFUNCTION("""COMPUTED_VALUE"""),46042.0)</f>
        <v>46042</v>
      </c>
      <c r="C1566" s="165" t="str">
        <f>IFERROR(__xludf.DUMMYFUNCTION("""COMPUTED_VALUE"""),"KERTASARI CIAMIS")</f>
        <v>KERTASARI CIAMIS</v>
      </c>
      <c r="D1566" s="94">
        <f>IFERROR(__xludf.DUMMYFUNCTION("""COMPUTED_VALUE"""),20.0)</f>
        <v>20</v>
      </c>
    </row>
    <row r="1567">
      <c r="A1567" s="87" t="str">
        <f>IFERROR(__xludf.DUMMYFUNCTION("""COMPUTED_VALUE"""),"ITBISA-IC-JRC4558D-DIP8")</f>
        <v>ITBISA-IC-JRC4558D-DIP8</v>
      </c>
      <c r="B1567" s="165">
        <f>IFERROR(__xludf.DUMMYFUNCTION("""COMPUTED_VALUE"""),46043.0)</f>
        <v>46043</v>
      </c>
      <c r="C1567" s="165" t="str">
        <f>IFERROR(__xludf.DUMMYFUNCTION("""COMPUTED_VALUE"""),"KERTASARI CIAMIS")</f>
        <v>KERTASARI CIAMIS</v>
      </c>
      <c r="D1567" s="94">
        <f>IFERROR(__xludf.DUMMYFUNCTION("""COMPUTED_VALUE"""),5.0)</f>
        <v>5</v>
      </c>
    </row>
    <row r="1568">
      <c r="A1568" s="87" t="str">
        <f>IFERROR(__xludf.DUMMYFUNCTION("""COMPUTED_VALUE"""),"ITBISA-IC-JRC4558D-DIP8")</f>
        <v>ITBISA-IC-JRC4558D-DIP8</v>
      </c>
      <c r="B1568" s="165">
        <f>IFERROR(__xludf.DUMMYFUNCTION("""COMPUTED_VALUE"""),46045.0)</f>
        <v>46045</v>
      </c>
      <c r="C1568" s="165" t="str">
        <f>IFERROR(__xludf.DUMMYFUNCTION("""COMPUTED_VALUE"""),"KYAI KONTONG")</f>
        <v>KYAI KONTONG</v>
      </c>
      <c r="D1568" s="94">
        <f>IFERROR(__xludf.DUMMYFUNCTION("""COMPUTED_VALUE"""),3.0)</f>
        <v>3</v>
      </c>
    </row>
    <row r="1569">
      <c r="A1569" s="87" t="str">
        <f>IFERROR(__xludf.DUMMYFUNCTION("""COMPUTED_VALUE"""),"ITBISA-IC-JRC4558D-DIP8")</f>
        <v>ITBISA-IC-JRC4558D-DIP8</v>
      </c>
      <c r="B1569" s="165">
        <f>IFERROR(__xludf.DUMMYFUNCTION("""COMPUTED_VALUE"""),46047.0)</f>
        <v>46047</v>
      </c>
      <c r="C1569" s="165" t="str">
        <f>IFERROR(__xludf.DUMMYFUNCTION("""COMPUTED_VALUE"""),"KYAI KONTONG")</f>
        <v>KYAI KONTONG</v>
      </c>
      <c r="D1569" s="94">
        <f>IFERROR(__xludf.DUMMYFUNCTION("""COMPUTED_VALUE"""),10.0)</f>
        <v>10</v>
      </c>
    </row>
    <row r="1570">
      <c r="A1570" s="87" t="str">
        <f>IFERROR(__xludf.DUMMYFUNCTION("""COMPUTED_VALUE"""),"ITBISA-IC-JRC4558D-DIP8")</f>
        <v>ITBISA-IC-JRC4558D-DIP8</v>
      </c>
      <c r="B1570" s="165">
        <f>IFERROR(__xludf.DUMMYFUNCTION("""COMPUTED_VALUE"""),46047.0)</f>
        <v>46047</v>
      </c>
      <c r="C1570" s="165" t="str">
        <f>IFERROR(__xludf.DUMMYFUNCTION("""COMPUTED_VALUE"""),"KYAI KONTONG")</f>
        <v>KYAI KONTONG</v>
      </c>
      <c r="D1570" s="94">
        <f>IFERROR(__xludf.DUMMYFUNCTION("""COMPUTED_VALUE"""),15.0)</f>
        <v>15</v>
      </c>
    </row>
    <row r="1571">
      <c r="A1571" s="87" t="str">
        <f>IFERROR(__xludf.DUMMYFUNCTION("""COMPUTED_VALUE"""),"ITBISA-IC-JRC4558D-DIP8")</f>
        <v>ITBISA-IC-JRC4558D-DIP8</v>
      </c>
      <c r="B1571" s="165">
        <f>IFERROR(__xludf.DUMMYFUNCTION("""COMPUTED_VALUE"""),46049.0)</f>
        <v>46049</v>
      </c>
      <c r="C1571" s="165" t="str">
        <f>IFERROR(__xludf.DUMMYFUNCTION("""COMPUTED_VALUE"""),"KYAI KONTONG")</f>
        <v>KYAI KONTONG</v>
      </c>
      <c r="D1571" s="94">
        <f>IFERROR(__xludf.DUMMYFUNCTION("""COMPUTED_VALUE"""),10.0)</f>
        <v>10</v>
      </c>
    </row>
    <row r="1572">
      <c r="A1572" s="87" t="str">
        <f>IFERROR(__xludf.DUMMYFUNCTION("""COMPUTED_VALUE"""),"ITBISA-IC-JRC4558D-DIP8")</f>
        <v>ITBISA-IC-JRC4558D-DIP8</v>
      </c>
      <c r="B1572" s="165">
        <f>IFERROR(__xludf.DUMMYFUNCTION("""COMPUTED_VALUE"""),46054.0)</f>
        <v>46054</v>
      </c>
      <c r="C1572" s="165" t="str">
        <f>IFERROR(__xludf.DUMMYFUNCTION("""COMPUTED_VALUE"""),"KERTASARI CIAMIS")</f>
        <v>KERTASARI CIAMIS</v>
      </c>
      <c r="D1572" s="94">
        <f>IFERROR(__xludf.DUMMYFUNCTION("""COMPUTED_VALUE"""),10.0)</f>
        <v>10</v>
      </c>
    </row>
    <row r="1573">
      <c r="A1573" s="87" t="str">
        <f>IFERROR(__xludf.DUMMYFUNCTION("""COMPUTED_VALUE"""),"ITBISA-IC-JRC4558D-DIP8")</f>
        <v>ITBISA-IC-JRC4558D-DIP8</v>
      </c>
      <c r="B1573" s="165">
        <f>IFERROR(__xludf.DUMMYFUNCTION("""COMPUTED_VALUE"""),46055.0)</f>
        <v>46055</v>
      </c>
      <c r="C1573" s="165" t="str">
        <f>IFERROR(__xludf.DUMMYFUNCTION("""COMPUTED_VALUE"""),"KERTASARI CIAMIS")</f>
        <v>KERTASARI CIAMIS</v>
      </c>
      <c r="D1573" s="94">
        <f>IFERROR(__xludf.DUMMYFUNCTION("""COMPUTED_VALUE"""),6.0)</f>
        <v>6</v>
      </c>
    </row>
    <row r="1574">
      <c r="A1574" s="87" t="str">
        <f>IFERROR(__xludf.DUMMYFUNCTION("""COMPUTED_VALUE"""),"ITBISA-IC-JRC4558D-DIP8")</f>
        <v>ITBISA-IC-JRC4558D-DIP8</v>
      </c>
      <c r="B1574" s="165">
        <f>IFERROR(__xludf.DUMMYFUNCTION("""COMPUTED_VALUE"""),46057.0)</f>
        <v>46057</v>
      </c>
      <c r="C1574" s="165" t="str">
        <f>IFERROR(__xludf.DUMMYFUNCTION("""COMPUTED_VALUE"""),"KERTASARI CIAMIS")</f>
        <v>KERTASARI CIAMIS</v>
      </c>
      <c r="D1574" s="94">
        <f>IFERROR(__xludf.DUMMYFUNCTION("""COMPUTED_VALUE"""),25.0)</f>
        <v>25</v>
      </c>
    </row>
    <row r="1575">
      <c r="A1575" s="87" t="str">
        <f>IFERROR(__xludf.DUMMYFUNCTION("""COMPUTED_VALUE"""),"ITBISA-IC-JRC4558D-DIP8")</f>
        <v>ITBISA-IC-JRC4558D-DIP8</v>
      </c>
      <c r="B1575" s="165">
        <f>IFERROR(__xludf.DUMMYFUNCTION("""COMPUTED_VALUE"""),46076.0)</f>
        <v>46076</v>
      </c>
      <c r="C1575" s="165" t="str">
        <f>IFERROR(__xludf.DUMMYFUNCTION("""COMPUTED_VALUE"""),"KYAI KONTONG")</f>
        <v>KYAI KONTONG</v>
      </c>
      <c r="D1575" s="94">
        <f>IFERROR(__xludf.DUMMYFUNCTION("""COMPUTED_VALUE"""),5.0)</f>
        <v>5</v>
      </c>
    </row>
    <row r="1576">
      <c r="A1576" s="87" t="str">
        <f>IFERROR(__xludf.DUMMYFUNCTION("""COMPUTED_VALUE"""),"ITBISA-IC-JRC4558D-DIP8")</f>
        <v>ITBISA-IC-JRC4558D-DIP8</v>
      </c>
      <c r="B1576" s="165">
        <f>IFERROR(__xludf.DUMMYFUNCTION("""COMPUTED_VALUE"""),46100.0)</f>
        <v>46100</v>
      </c>
      <c r="C1576" s="165" t="str">
        <f>IFERROR(__xludf.DUMMYFUNCTION("""COMPUTED_VALUE"""),"KYAI KONTONG")</f>
        <v>KYAI KONTONG</v>
      </c>
      <c r="D1576" s="94">
        <f>IFERROR(__xludf.DUMMYFUNCTION("""COMPUTED_VALUE"""),10.0)</f>
        <v>10</v>
      </c>
    </row>
    <row r="1577">
      <c r="A1577" s="87" t="str">
        <f>IFERROR(__xludf.DUMMYFUNCTION("""COMPUTED_VALUE"""),"ITBISA-IC-JRC4558D-DIP8")</f>
        <v>ITBISA-IC-JRC4558D-DIP8</v>
      </c>
      <c r="B1577" s="165">
        <f>IFERROR(__xludf.DUMMYFUNCTION("""COMPUTED_VALUE"""),46129.0)</f>
        <v>46129</v>
      </c>
      <c r="C1577" s="165" t="str">
        <f>IFERROR(__xludf.DUMMYFUNCTION("""COMPUTED_VALUE"""),"KYAI KONTONG")</f>
        <v>KYAI KONTONG</v>
      </c>
      <c r="D1577" s="94">
        <f>IFERROR(__xludf.DUMMYFUNCTION("""COMPUTED_VALUE"""),5.0)</f>
        <v>5</v>
      </c>
    </row>
    <row r="1578">
      <c r="A1578" s="87" t="str">
        <f>IFERROR(__xludf.DUMMYFUNCTION("""COMPUTED_VALUE"""),"ITBISA-IC-JRC4558D-DIP8")</f>
        <v>ITBISA-IC-JRC4558D-DIP8</v>
      </c>
      <c r="B1578" s="165">
        <f>IFERROR(__xludf.DUMMYFUNCTION("""COMPUTED_VALUE"""),46168.0)</f>
        <v>46168</v>
      </c>
      <c r="C1578" s="165" t="str">
        <f>IFERROR(__xludf.DUMMYFUNCTION("""COMPUTED_VALUE"""),"KYAI KONTONG")</f>
        <v>KYAI KONTONG</v>
      </c>
      <c r="D1578" s="94">
        <f>IFERROR(__xludf.DUMMYFUNCTION("""COMPUTED_VALUE"""),5.0)</f>
        <v>5</v>
      </c>
    </row>
    <row r="1579">
      <c r="A1579" s="87" t="str">
        <f>IFERROR(__xludf.DUMMYFUNCTION("""COMPUTED_VALUE"""),"ITBISA-IC-JRC4558D-DIP8")</f>
        <v>ITBISA-IC-JRC4558D-DIP8</v>
      </c>
      <c r="B1579" s="165">
        <f>IFERROR(__xludf.DUMMYFUNCTION("""COMPUTED_VALUE"""),46177.0)</f>
        <v>46177</v>
      </c>
      <c r="C1579" s="165" t="str">
        <f>IFERROR(__xludf.DUMMYFUNCTION("""COMPUTED_VALUE"""),"KYAI KONTONG")</f>
        <v>KYAI KONTONG</v>
      </c>
      <c r="D1579" s="94">
        <f>IFERROR(__xludf.DUMMYFUNCTION("""COMPUTED_VALUE"""),5.0)</f>
        <v>5</v>
      </c>
    </row>
    <row r="1580">
      <c r="A1580" s="87" t="str">
        <f>IFERROR(__xludf.DUMMYFUNCTION("""COMPUTED_VALUE"""),"ITBISA-IC-JRC4558D-DIP8")</f>
        <v>ITBISA-IC-JRC4558D-DIP8</v>
      </c>
      <c r="B1580" s="165">
        <f>IFERROR(__xludf.DUMMYFUNCTION("""COMPUTED_VALUE"""),46182.0)</f>
        <v>46182</v>
      </c>
      <c r="C1580" s="165" t="str">
        <f>IFERROR(__xludf.DUMMYFUNCTION("""COMPUTED_VALUE"""),"KYAI KONTONG")</f>
        <v>KYAI KONTONG</v>
      </c>
      <c r="D1580" s="94">
        <f>IFERROR(__xludf.DUMMYFUNCTION("""COMPUTED_VALUE"""),6.0)</f>
        <v>6</v>
      </c>
    </row>
    <row r="1581">
      <c r="A1581" s="87" t="str">
        <f>IFERROR(__xludf.DUMMYFUNCTION("""COMPUTED_VALUE"""),"ITBISA-IC-JRC4558D-DIP8")</f>
        <v>ITBISA-IC-JRC4558D-DIP8</v>
      </c>
      <c r="B1581" s="165">
        <f>IFERROR(__xludf.DUMMYFUNCTION("""COMPUTED_VALUE"""),46183.0)</f>
        <v>46183</v>
      </c>
      <c r="C1581" s="165" t="str">
        <f>IFERROR(__xludf.DUMMYFUNCTION("""COMPUTED_VALUE"""),"KYAI KONTONG")</f>
        <v>KYAI KONTONG</v>
      </c>
      <c r="D1581" s="94">
        <f>IFERROR(__xludf.DUMMYFUNCTION("""COMPUTED_VALUE"""),5.0)</f>
        <v>5</v>
      </c>
    </row>
    <row r="1582">
      <c r="A1582" s="87" t="str">
        <f>IFERROR(__xludf.DUMMYFUNCTION("""COMPUTED_VALUE"""),"ITBISA-IC-JRC4558D-DIP8")</f>
        <v>ITBISA-IC-JRC4558D-DIP8</v>
      </c>
      <c r="B1582" s="165">
        <f>IFERROR(__xludf.DUMMYFUNCTION("""COMPUTED_VALUE"""),46192.0)</f>
        <v>46192</v>
      </c>
      <c r="C1582" s="165" t="str">
        <f>IFERROR(__xludf.DUMMYFUNCTION("""COMPUTED_VALUE"""),"KYAI KONTONG")</f>
        <v>KYAI KONTONG</v>
      </c>
      <c r="D1582" s="94">
        <f>IFERROR(__xludf.DUMMYFUNCTION("""COMPUTED_VALUE"""),5.0)</f>
        <v>5</v>
      </c>
    </row>
    <row r="1583">
      <c r="A1583" s="87" t="str">
        <f>IFERROR(__xludf.DUMMYFUNCTION("""COMPUTED_VALUE"""),"ITBISA-IC-L7805CV-TO220")</f>
        <v>ITBISA-IC-L7805CV-TO220</v>
      </c>
      <c r="B1583" s="165">
        <f>IFERROR(__xludf.DUMMYFUNCTION("""COMPUTED_VALUE"""),46027.0)</f>
        <v>46027</v>
      </c>
      <c r="C1583" s="165" t="str">
        <f>IFERROR(__xludf.DUMMYFUNCTION("""COMPUTED_VALUE"""),"KYAI KONTONG")</f>
        <v>KYAI KONTONG</v>
      </c>
      <c r="D1583" s="94">
        <f>IFERROR(__xludf.DUMMYFUNCTION("""COMPUTED_VALUE"""),10.0)</f>
        <v>10</v>
      </c>
    </row>
    <row r="1584">
      <c r="A1584" s="87" t="str">
        <f>IFERROR(__xludf.DUMMYFUNCTION("""COMPUTED_VALUE"""),"ITBISA-IC-L7805CV-TO220")</f>
        <v>ITBISA-IC-L7805CV-TO220</v>
      </c>
      <c r="B1584" s="165">
        <f>IFERROR(__xludf.DUMMYFUNCTION("""COMPUTED_VALUE"""),46030.0)</f>
        <v>46030</v>
      </c>
      <c r="C1584" s="165" t="str">
        <f>IFERROR(__xludf.DUMMYFUNCTION("""COMPUTED_VALUE"""),"KERTASARI CIAMIS")</f>
        <v>KERTASARI CIAMIS</v>
      </c>
      <c r="D1584" s="94">
        <f>IFERROR(__xludf.DUMMYFUNCTION("""COMPUTED_VALUE"""),10.0)</f>
        <v>10</v>
      </c>
    </row>
    <row r="1585">
      <c r="A1585" s="87" t="str">
        <f>IFERROR(__xludf.DUMMYFUNCTION("""COMPUTED_VALUE"""),"ITBISA-IC-L7805CV-TO220")</f>
        <v>ITBISA-IC-L7805CV-TO220</v>
      </c>
      <c r="B1585" s="165">
        <f>IFERROR(__xludf.DUMMYFUNCTION("""COMPUTED_VALUE"""),46040.0)</f>
        <v>46040</v>
      </c>
      <c r="C1585" s="165" t="str">
        <f>IFERROR(__xludf.DUMMYFUNCTION("""COMPUTED_VALUE"""),"KYAI KONTONG")</f>
        <v>KYAI KONTONG</v>
      </c>
      <c r="D1585" s="94">
        <f>IFERROR(__xludf.DUMMYFUNCTION("""COMPUTED_VALUE"""),20.0)</f>
        <v>20</v>
      </c>
    </row>
    <row r="1586">
      <c r="A1586" s="87" t="str">
        <f>IFERROR(__xludf.DUMMYFUNCTION("""COMPUTED_VALUE"""),"ITBISA-IC-L7805CV-TO220")</f>
        <v>ITBISA-IC-L7805CV-TO220</v>
      </c>
      <c r="B1586" s="165">
        <f>IFERROR(__xludf.DUMMYFUNCTION("""COMPUTED_VALUE"""),46043.0)</f>
        <v>46043</v>
      </c>
      <c r="C1586" s="165" t="str">
        <f>IFERROR(__xludf.DUMMYFUNCTION("""COMPUTED_VALUE"""),"KERTASARI CIAMIS")</f>
        <v>KERTASARI CIAMIS</v>
      </c>
      <c r="D1586" s="94">
        <f>IFERROR(__xludf.DUMMYFUNCTION("""COMPUTED_VALUE"""),50.0)</f>
        <v>50</v>
      </c>
    </row>
    <row r="1587">
      <c r="A1587" s="87" t="str">
        <f>IFERROR(__xludf.DUMMYFUNCTION("""COMPUTED_VALUE"""),"ITBISA-IC-L7805CV-TO220")</f>
        <v>ITBISA-IC-L7805CV-TO220</v>
      </c>
      <c r="B1587" s="165">
        <f>IFERROR(__xludf.DUMMYFUNCTION("""COMPUTED_VALUE"""),46045.0)</f>
        <v>46045</v>
      </c>
      <c r="C1587" s="165" t="str">
        <f>IFERROR(__xludf.DUMMYFUNCTION("""COMPUTED_VALUE"""),"KYAI KONTONG")</f>
        <v>KYAI KONTONG</v>
      </c>
      <c r="D1587" s="94">
        <f>IFERROR(__xludf.DUMMYFUNCTION("""COMPUTED_VALUE"""),50.0)</f>
        <v>50</v>
      </c>
    </row>
    <row r="1588">
      <c r="A1588" s="87" t="str">
        <f>IFERROR(__xludf.DUMMYFUNCTION("""COMPUTED_VALUE"""),"ITBISA-IC-L7805CV-TO220")</f>
        <v>ITBISA-IC-L7805CV-TO220</v>
      </c>
      <c r="B1588" s="165">
        <f>IFERROR(__xludf.DUMMYFUNCTION("""COMPUTED_VALUE"""),46047.0)</f>
        <v>46047</v>
      </c>
      <c r="C1588" s="165" t="str">
        <f>IFERROR(__xludf.DUMMYFUNCTION("""COMPUTED_VALUE"""),"KYAI KONTONG")</f>
        <v>KYAI KONTONG</v>
      </c>
      <c r="D1588" s="94">
        <f>IFERROR(__xludf.DUMMYFUNCTION("""COMPUTED_VALUE"""),10.0)</f>
        <v>10</v>
      </c>
    </row>
    <row r="1589">
      <c r="A1589" s="87" t="str">
        <f>IFERROR(__xludf.DUMMYFUNCTION("""COMPUTED_VALUE"""),"ITBISA-IC-L7805CV-TO220")</f>
        <v>ITBISA-IC-L7805CV-TO220</v>
      </c>
      <c r="B1589" s="165">
        <f>IFERROR(__xludf.DUMMYFUNCTION("""COMPUTED_VALUE"""),46048.0)</f>
        <v>46048</v>
      </c>
      <c r="C1589" s="165" t="str">
        <f>IFERROR(__xludf.DUMMYFUNCTION("""COMPUTED_VALUE"""),"KYAI KONTONG")</f>
        <v>KYAI KONTONG</v>
      </c>
      <c r="D1589" s="94">
        <f>IFERROR(__xludf.DUMMYFUNCTION("""COMPUTED_VALUE"""),10.0)</f>
        <v>10</v>
      </c>
    </row>
    <row r="1590">
      <c r="A1590" s="87" t="str">
        <f>IFERROR(__xludf.DUMMYFUNCTION("""COMPUTED_VALUE"""),"ITBISA-IC-L7805CV-TO220")</f>
        <v>ITBISA-IC-L7805CV-TO220</v>
      </c>
      <c r="B1590" s="165">
        <f>IFERROR(__xludf.DUMMYFUNCTION("""COMPUTED_VALUE"""),46052.0)</f>
        <v>46052</v>
      </c>
      <c r="C1590" s="165" t="str">
        <f>IFERROR(__xludf.DUMMYFUNCTION("""COMPUTED_VALUE"""),"KERTASARI CIAMIS")</f>
        <v>KERTASARI CIAMIS</v>
      </c>
      <c r="D1590" s="94">
        <f>IFERROR(__xludf.DUMMYFUNCTION("""COMPUTED_VALUE"""),10.0)</f>
        <v>10</v>
      </c>
    </row>
    <row r="1591">
      <c r="A1591" s="87" t="str">
        <f>IFERROR(__xludf.DUMMYFUNCTION("""COMPUTED_VALUE"""),"ITBISA-IC-L7805CV-TO220")</f>
        <v>ITBISA-IC-L7805CV-TO220</v>
      </c>
      <c r="B1591" s="165">
        <f>IFERROR(__xludf.DUMMYFUNCTION("""COMPUTED_VALUE"""),46053.0)</f>
        <v>46053</v>
      </c>
      <c r="C1591" s="165" t="str">
        <f>IFERROR(__xludf.DUMMYFUNCTION("""COMPUTED_VALUE"""),"KERTASARI CIAMIS")</f>
        <v>KERTASARI CIAMIS</v>
      </c>
      <c r="D1591" s="94">
        <f>IFERROR(__xludf.DUMMYFUNCTION("""COMPUTED_VALUE"""),10.0)</f>
        <v>10</v>
      </c>
    </row>
    <row r="1592">
      <c r="A1592" s="87" t="str">
        <f>IFERROR(__xludf.DUMMYFUNCTION("""COMPUTED_VALUE"""),"ITBISA-IC-L7805CV-TO220")</f>
        <v>ITBISA-IC-L7805CV-TO220</v>
      </c>
      <c r="B1592" s="165">
        <f>IFERROR(__xludf.DUMMYFUNCTION("""COMPUTED_VALUE"""),46053.0)</f>
        <v>46053</v>
      </c>
      <c r="C1592" s="165" t="str">
        <f>IFERROR(__xludf.DUMMYFUNCTION("""COMPUTED_VALUE"""),"KERTASARI CIAMIS")</f>
        <v>KERTASARI CIAMIS</v>
      </c>
      <c r="D1592" s="94">
        <f>IFERROR(__xludf.DUMMYFUNCTION("""COMPUTED_VALUE"""),10.0)</f>
        <v>10</v>
      </c>
    </row>
    <row r="1593">
      <c r="A1593" s="87" t="str">
        <f>IFERROR(__xludf.DUMMYFUNCTION("""COMPUTED_VALUE"""),"ITBISA-IC-L7805CV-TO220")</f>
        <v>ITBISA-IC-L7805CV-TO220</v>
      </c>
      <c r="B1593" s="165">
        <f>IFERROR(__xludf.DUMMYFUNCTION("""COMPUTED_VALUE"""),46053.0)</f>
        <v>46053</v>
      </c>
      <c r="C1593" s="165" t="str">
        <f>IFERROR(__xludf.DUMMYFUNCTION("""COMPUTED_VALUE"""),"KYAI KONTONG")</f>
        <v>KYAI KONTONG</v>
      </c>
      <c r="D1593" s="94">
        <f>IFERROR(__xludf.DUMMYFUNCTION("""COMPUTED_VALUE"""),10.0)</f>
        <v>10</v>
      </c>
    </row>
    <row r="1594">
      <c r="A1594" s="87" t="str">
        <f>IFERROR(__xludf.DUMMYFUNCTION("""COMPUTED_VALUE"""),"ITBISA-IC-L7805CV-TO220")</f>
        <v>ITBISA-IC-L7805CV-TO220</v>
      </c>
      <c r="B1594" s="165">
        <f>IFERROR(__xludf.DUMMYFUNCTION("""COMPUTED_VALUE"""),46057.0)</f>
        <v>46057</v>
      </c>
      <c r="C1594" s="165" t="str">
        <f>IFERROR(__xludf.DUMMYFUNCTION("""COMPUTED_VALUE"""),"KERTASARI CIAMIS")</f>
        <v>KERTASARI CIAMIS</v>
      </c>
      <c r="D1594" s="94">
        <f>IFERROR(__xludf.DUMMYFUNCTION("""COMPUTED_VALUE"""),25.0)</f>
        <v>25</v>
      </c>
    </row>
    <row r="1595">
      <c r="A1595" s="87" t="str">
        <f>IFERROR(__xludf.DUMMYFUNCTION("""COMPUTED_VALUE"""),"ITBISA-IC-L7805CV-TO220")</f>
        <v>ITBISA-IC-L7805CV-TO220</v>
      </c>
      <c r="B1595" s="165">
        <f>IFERROR(__xludf.DUMMYFUNCTION("""COMPUTED_VALUE"""),46057.0)</f>
        <v>46057</v>
      </c>
      <c r="C1595" s="165" t="str">
        <f>IFERROR(__xludf.DUMMYFUNCTION("""COMPUTED_VALUE"""),"KYAI KONTONG")</f>
        <v>KYAI KONTONG</v>
      </c>
      <c r="D1595" s="94">
        <f>IFERROR(__xludf.DUMMYFUNCTION("""COMPUTED_VALUE"""),25.0)</f>
        <v>25</v>
      </c>
    </row>
    <row r="1596">
      <c r="A1596" s="87" t="str">
        <f>IFERROR(__xludf.DUMMYFUNCTION("""COMPUTED_VALUE"""),"ITBISA-IC-L7805CV-TO220")</f>
        <v>ITBISA-IC-L7805CV-TO220</v>
      </c>
      <c r="B1596" s="165">
        <f>IFERROR(__xludf.DUMMYFUNCTION("""COMPUTED_VALUE"""),46063.0)</f>
        <v>46063</v>
      </c>
      <c r="C1596" s="165" t="str">
        <f>IFERROR(__xludf.DUMMYFUNCTION("""COMPUTED_VALUE"""),"KERTASARI CIAMIS")</f>
        <v>KERTASARI CIAMIS</v>
      </c>
      <c r="D1596" s="94">
        <f>IFERROR(__xludf.DUMMYFUNCTION("""COMPUTED_VALUE"""),25.0)</f>
        <v>25</v>
      </c>
    </row>
    <row r="1597">
      <c r="A1597" s="87" t="str">
        <f>IFERROR(__xludf.DUMMYFUNCTION("""COMPUTED_VALUE"""),"ITBISA-IC-L7805CV-TO220")</f>
        <v>ITBISA-IC-L7805CV-TO220</v>
      </c>
      <c r="B1597" s="165">
        <f>IFERROR(__xludf.DUMMYFUNCTION("""COMPUTED_VALUE"""),46066.0)</f>
        <v>46066</v>
      </c>
      <c r="C1597" s="165" t="str">
        <f>IFERROR(__xludf.DUMMYFUNCTION("""COMPUTED_VALUE"""),"KERTASARI CIAMIS")</f>
        <v>KERTASARI CIAMIS</v>
      </c>
      <c r="D1597" s="94">
        <f>IFERROR(__xludf.DUMMYFUNCTION("""COMPUTED_VALUE"""),10.0)</f>
        <v>10</v>
      </c>
    </row>
    <row r="1598">
      <c r="A1598" s="87" t="str">
        <f>IFERROR(__xludf.DUMMYFUNCTION("""COMPUTED_VALUE"""),"ITBISA-IC-L7805CV-TO220")</f>
        <v>ITBISA-IC-L7805CV-TO220</v>
      </c>
      <c r="B1598" s="165">
        <f>IFERROR(__xludf.DUMMYFUNCTION("""COMPUTED_VALUE"""),46066.0)</f>
        <v>46066</v>
      </c>
      <c r="C1598" s="165" t="str">
        <f>IFERROR(__xludf.DUMMYFUNCTION("""COMPUTED_VALUE"""),"KERTASARI CIAMIS")</f>
        <v>KERTASARI CIAMIS</v>
      </c>
      <c r="D1598" s="94">
        <f>IFERROR(__xludf.DUMMYFUNCTION("""COMPUTED_VALUE"""),10.0)</f>
        <v>10</v>
      </c>
    </row>
    <row r="1599">
      <c r="A1599" s="87" t="str">
        <f>IFERROR(__xludf.DUMMYFUNCTION("""COMPUTED_VALUE"""),"ITBISA-IC-L7805CV-TO220")</f>
        <v>ITBISA-IC-L7805CV-TO220</v>
      </c>
      <c r="B1599" s="165">
        <f>IFERROR(__xludf.DUMMYFUNCTION("""COMPUTED_VALUE"""),46066.0)</f>
        <v>46066</v>
      </c>
      <c r="C1599" s="165" t="str">
        <f>IFERROR(__xludf.DUMMYFUNCTION("""COMPUTED_VALUE"""),"KERTASARI CIAMIS")</f>
        <v>KERTASARI CIAMIS</v>
      </c>
      <c r="D1599" s="94">
        <f>IFERROR(__xludf.DUMMYFUNCTION("""COMPUTED_VALUE"""),15.0)</f>
        <v>15</v>
      </c>
    </row>
    <row r="1600">
      <c r="A1600" s="87" t="str">
        <f>IFERROR(__xludf.DUMMYFUNCTION("""COMPUTED_VALUE"""),"ITBISA-IC-L7805CV-TO220")</f>
        <v>ITBISA-IC-L7805CV-TO220</v>
      </c>
      <c r="B1600" s="165">
        <f>IFERROR(__xludf.DUMMYFUNCTION("""COMPUTED_VALUE"""),46071.0)</f>
        <v>46071</v>
      </c>
      <c r="C1600" s="165" t="str">
        <f>IFERROR(__xludf.DUMMYFUNCTION("""COMPUTED_VALUE"""),"KYAI KONTONG")</f>
        <v>KYAI KONTONG</v>
      </c>
      <c r="D1600" s="94">
        <f>IFERROR(__xludf.DUMMYFUNCTION("""COMPUTED_VALUE"""),3.0)</f>
        <v>3</v>
      </c>
    </row>
    <row r="1601">
      <c r="A1601" s="87" t="str">
        <f>IFERROR(__xludf.DUMMYFUNCTION("""COMPUTED_VALUE"""),"ITBISA-IC-L7805CV-TO220")</f>
        <v>ITBISA-IC-L7805CV-TO220</v>
      </c>
      <c r="B1601" s="165">
        <f>IFERROR(__xludf.DUMMYFUNCTION("""COMPUTED_VALUE"""),46076.0)</f>
        <v>46076</v>
      </c>
      <c r="C1601" s="165" t="str">
        <f>IFERROR(__xludf.DUMMYFUNCTION("""COMPUTED_VALUE"""),"KYAI KONTONG")</f>
        <v>KYAI KONTONG</v>
      </c>
      <c r="D1601" s="94">
        <f>IFERROR(__xludf.DUMMYFUNCTION("""COMPUTED_VALUE"""),4.0)</f>
        <v>4</v>
      </c>
    </row>
    <row r="1602">
      <c r="A1602" s="87" t="str">
        <f>IFERROR(__xludf.DUMMYFUNCTION("""COMPUTED_VALUE"""),"ITBISA-IC-L7805CV-TO220")</f>
        <v>ITBISA-IC-L7805CV-TO220</v>
      </c>
      <c r="B1602" s="165">
        <f>IFERROR(__xludf.DUMMYFUNCTION("""COMPUTED_VALUE"""),46078.0)</f>
        <v>46078</v>
      </c>
      <c r="C1602" s="165" t="str">
        <f>IFERROR(__xludf.DUMMYFUNCTION("""COMPUTED_VALUE"""),"KYAI KONTONG")</f>
        <v>KYAI KONTONG</v>
      </c>
      <c r="D1602" s="94">
        <f>IFERROR(__xludf.DUMMYFUNCTION("""COMPUTED_VALUE"""),15.0)</f>
        <v>15</v>
      </c>
    </row>
    <row r="1603">
      <c r="A1603" s="87" t="str">
        <f>IFERROR(__xludf.DUMMYFUNCTION("""COMPUTED_VALUE"""),"ITBISA-IC-L7805CV-TO220")</f>
        <v>ITBISA-IC-L7805CV-TO220</v>
      </c>
      <c r="B1603" s="165">
        <f>IFERROR(__xludf.DUMMYFUNCTION("""COMPUTED_VALUE"""),46084.0)</f>
        <v>46084</v>
      </c>
      <c r="C1603" s="165" t="str">
        <f>IFERROR(__xludf.DUMMYFUNCTION("""COMPUTED_VALUE"""),"KERTASARI CIAMIS")</f>
        <v>KERTASARI CIAMIS</v>
      </c>
      <c r="D1603" s="94">
        <f>IFERROR(__xludf.DUMMYFUNCTION("""COMPUTED_VALUE"""),10.0)</f>
        <v>10</v>
      </c>
    </row>
    <row r="1604">
      <c r="A1604" s="87" t="str">
        <f>IFERROR(__xludf.DUMMYFUNCTION("""COMPUTED_VALUE"""),"ITBISA-IC-L7805CV-TO220")</f>
        <v>ITBISA-IC-L7805CV-TO220</v>
      </c>
      <c r="B1604" s="165">
        <f>IFERROR(__xludf.DUMMYFUNCTION("""COMPUTED_VALUE"""),46084.0)</f>
        <v>46084</v>
      </c>
      <c r="C1604" s="165" t="str">
        <f>IFERROR(__xludf.DUMMYFUNCTION("""COMPUTED_VALUE"""),"KYAI KONTONG")</f>
        <v>KYAI KONTONG</v>
      </c>
      <c r="D1604" s="94">
        <f>IFERROR(__xludf.DUMMYFUNCTION("""COMPUTED_VALUE"""),10.0)</f>
        <v>10</v>
      </c>
    </row>
    <row r="1605">
      <c r="A1605" s="87" t="str">
        <f>IFERROR(__xludf.DUMMYFUNCTION("""COMPUTED_VALUE"""),"ITBISA-IC-L7805CV-TO220")</f>
        <v>ITBISA-IC-L7805CV-TO220</v>
      </c>
      <c r="B1605" s="165">
        <f>IFERROR(__xludf.DUMMYFUNCTION("""COMPUTED_VALUE"""),46084.0)</f>
        <v>46084</v>
      </c>
      <c r="C1605" s="165" t="str">
        <f>IFERROR(__xludf.DUMMYFUNCTION("""COMPUTED_VALUE"""),"KYAI KONTONG")</f>
        <v>KYAI KONTONG</v>
      </c>
      <c r="D1605" s="94">
        <f>IFERROR(__xludf.DUMMYFUNCTION("""COMPUTED_VALUE"""),150.0)</f>
        <v>150</v>
      </c>
    </row>
    <row r="1606">
      <c r="A1606" s="87" t="str">
        <f>IFERROR(__xludf.DUMMYFUNCTION("""COMPUTED_VALUE"""),"ITBISA-IC-L7805CV-TO220")</f>
        <v>ITBISA-IC-L7805CV-TO220</v>
      </c>
      <c r="B1606" s="165">
        <f>IFERROR(__xludf.DUMMYFUNCTION("""COMPUTED_VALUE"""),46086.0)</f>
        <v>46086</v>
      </c>
      <c r="C1606" s="165" t="str">
        <f>IFERROR(__xludf.DUMMYFUNCTION("""COMPUTED_VALUE"""),"KYAI KONTONG")</f>
        <v>KYAI KONTONG</v>
      </c>
      <c r="D1606" s="94">
        <f>IFERROR(__xludf.DUMMYFUNCTION("""COMPUTED_VALUE"""),5.0)</f>
        <v>5</v>
      </c>
    </row>
    <row r="1607">
      <c r="A1607" s="87" t="str">
        <f>IFERROR(__xludf.DUMMYFUNCTION("""COMPUTED_VALUE"""),"ITBISA-IC-L7805CV-TO220")</f>
        <v>ITBISA-IC-L7805CV-TO220</v>
      </c>
      <c r="B1607" s="165">
        <f>IFERROR(__xludf.DUMMYFUNCTION("""COMPUTED_VALUE"""),46087.0)</f>
        <v>46087</v>
      </c>
      <c r="C1607" s="165" t="str">
        <f>IFERROR(__xludf.DUMMYFUNCTION("""COMPUTED_VALUE"""),"KYAI KONTONG")</f>
        <v>KYAI KONTONG</v>
      </c>
      <c r="D1607" s="94">
        <f>IFERROR(__xludf.DUMMYFUNCTION("""COMPUTED_VALUE"""),10.0)</f>
        <v>10</v>
      </c>
    </row>
    <row r="1608">
      <c r="A1608" s="87" t="str">
        <f>IFERROR(__xludf.DUMMYFUNCTION("""COMPUTED_VALUE"""),"ITBISA-IC-L7805CV-TO220")</f>
        <v>ITBISA-IC-L7805CV-TO220</v>
      </c>
      <c r="B1608" s="165">
        <f>IFERROR(__xludf.DUMMYFUNCTION("""COMPUTED_VALUE"""),46088.0)</f>
        <v>46088</v>
      </c>
      <c r="C1608" s="165" t="str">
        <f>IFERROR(__xludf.DUMMYFUNCTION("""COMPUTED_VALUE"""),"KERTASARI CIAMIS")</f>
        <v>KERTASARI CIAMIS</v>
      </c>
      <c r="D1608" s="94">
        <f>IFERROR(__xludf.DUMMYFUNCTION("""COMPUTED_VALUE"""),20.0)</f>
        <v>20</v>
      </c>
    </row>
    <row r="1609">
      <c r="A1609" s="87" t="str">
        <f>IFERROR(__xludf.DUMMYFUNCTION("""COMPUTED_VALUE"""),"ITBISA-IC-L7805CV-TO220")</f>
        <v>ITBISA-IC-L7805CV-TO220</v>
      </c>
      <c r="B1609" s="165">
        <f>IFERROR(__xludf.DUMMYFUNCTION("""COMPUTED_VALUE"""),46090.0)</f>
        <v>46090</v>
      </c>
      <c r="C1609" s="165" t="str">
        <f>IFERROR(__xludf.DUMMYFUNCTION("""COMPUTED_VALUE"""),"KYAI KONTONG")</f>
        <v>KYAI KONTONG</v>
      </c>
      <c r="D1609" s="94">
        <f>IFERROR(__xludf.DUMMYFUNCTION("""COMPUTED_VALUE"""),10.0)</f>
        <v>10</v>
      </c>
    </row>
    <row r="1610">
      <c r="A1610" s="87" t="str">
        <f>IFERROR(__xludf.DUMMYFUNCTION("""COMPUTED_VALUE"""),"ITBISA-IC-L7805CV-TO220")</f>
        <v>ITBISA-IC-L7805CV-TO220</v>
      </c>
      <c r="B1610" s="165">
        <f>IFERROR(__xludf.DUMMYFUNCTION("""COMPUTED_VALUE"""),46090.0)</f>
        <v>46090</v>
      </c>
      <c r="C1610" s="165" t="str">
        <f>IFERROR(__xludf.DUMMYFUNCTION("""COMPUTED_VALUE"""),"KYAI KONTONG")</f>
        <v>KYAI KONTONG</v>
      </c>
      <c r="D1610" s="94">
        <f>IFERROR(__xludf.DUMMYFUNCTION("""COMPUTED_VALUE"""),210.0)</f>
        <v>210</v>
      </c>
    </row>
    <row r="1611">
      <c r="A1611" s="87" t="str">
        <f>IFERROR(__xludf.DUMMYFUNCTION("""COMPUTED_VALUE"""),"ITBISA-IC-L7805CV-TO220")</f>
        <v>ITBISA-IC-L7805CV-TO220</v>
      </c>
      <c r="B1611" s="165">
        <f>IFERROR(__xludf.DUMMYFUNCTION("""COMPUTED_VALUE"""),46096.0)</f>
        <v>46096</v>
      </c>
      <c r="C1611" s="165" t="str">
        <f>IFERROR(__xludf.DUMMYFUNCTION("""COMPUTED_VALUE"""),"KYAI KONTONG")</f>
        <v>KYAI KONTONG</v>
      </c>
      <c r="D1611" s="94">
        <f>IFERROR(__xludf.DUMMYFUNCTION("""COMPUTED_VALUE"""),10.0)</f>
        <v>10</v>
      </c>
    </row>
    <row r="1612">
      <c r="A1612" s="87" t="str">
        <f>IFERROR(__xludf.DUMMYFUNCTION("""COMPUTED_VALUE"""),"ITBISA-IC-L7805CV-TO220")</f>
        <v>ITBISA-IC-L7805CV-TO220</v>
      </c>
      <c r="B1612" s="165">
        <f>IFERROR(__xludf.DUMMYFUNCTION("""COMPUTED_VALUE"""),46097.0)</f>
        <v>46097</v>
      </c>
      <c r="C1612" s="165" t="str">
        <f>IFERROR(__xludf.DUMMYFUNCTION("""COMPUTED_VALUE"""),"KYAI KONTONG")</f>
        <v>KYAI KONTONG</v>
      </c>
      <c r="D1612" s="94">
        <f>IFERROR(__xludf.DUMMYFUNCTION("""COMPUTED_VALUE"""),2.0)</f>
        <v>2</v>
      </c>
    </row>
    <row r="1613">
      <c r="A1613" s="87" t="str">
        <f>IFERROR(__xludf.DUMMYFUNCTION("""COMPUTED_VALUE"""),"ITBISA-IC-L7805CV-TO220")</f>
        <v>ITBISA-IC-L7805CV-TO220</v>
      </c>
      <c r="B1613" s="165">
        <f>IFERROR(__xludf.DUMMYFUNCTION("""COMPUTED_VALUE"""),46097.0)</f>
        <v>46097</v>
      </c>
      <c r="C1613" s="165" t="str">
        <f>IFERROR(__xludf.DUMMYFUNCTION("""COMPUTED_VALUE"""),"KYAI KONTONG")</f>
        <v>KYAI KONTONG</v>
      </c>
      <c r="D1613" s="94">
        <f>IFERROR(__xludf.DUMMYFUNCTION("""COMPUTED_VALUE"""),2.0)</f>
        <v>2</v>
      </c>
    </row>
    <row r="1614">
      <c r="A1614" s="87" t="str">
        <f>IFERROR(__xludf.DUMMYFUNCTION("""COMPUTED_VALUE"""),"ITBISA-IC-L7805CV-TO220")</f>
        <v>ITBISA-IC-L7805CV-TO220</v>
      </c>
      <c r="B1614" s="165">
        <f>IFERROR(__xludf.DUMMYFUNCTION("""COMPUTED_VALUE"""),46099.0)</f>
        <v>46099</v>
      </c>
      <c r="C1614" s="165" t="str">
        <f>IFERROR(__xludf.DUMMYFUNCTION("""COMPUTED_VALUE"""),"KYAI KONTONG")</f>
        <v>KYAI KONTONG</v>
      </c>
      <c r="D1614" s="94">
        <f>IFERROR(__xludf.DUMMYFUNCTION("""COMPUTED_VALUE"""),10.0)</f>
        <v>10</v>
      </c>
    </row>
    <row r="1615">
      <c r="A1615" s="87" t="str">
        <f>IFERROR(__xludf.DUMMYFUNCTION("""COMPUTED_VALUE"""),"ITBISA-IC-L7805CV-TO220")</f>
        <v>ITBISA-IC-L7805CV-TO220</v>
      </c>
      <c r="B1615" s="165">
        <f>IFERROR(__xludf.DUMMYFUNCTION("""COMPUTED_VALUE"""),46104.0)</f>
        <v>46104</v>
      </c>
      <c r="C1615" s="165" t="str">
        <f>IFERROR(__xludf.DUMMYFUNCTION("""COMPUTED_VALUE"""),"KYAI KONTONG")</f>
        <v>KYAI KONTONG</v>
      </c>
      <c r="D1615" s="94">
        <f>IFERROR(__xludf.DUMMYFUNCTION("""COMPUTED_VALUE"""),25.0)</f>
        <v>25</v>
      </c>
    </row>
    <row r="1616">
      <c r="A1616" s="87" t="str">
        <f>IFERROR(__xludf.DUMMYFUNCTION("""COMPUTED_VALUE"""),"ITBISA-IC-L7805CV-TO220")</f>
        <v>ITBISA-IC-L7805CV-TO220</v>
      </c>
      <c r="B1616" s="165">
        <f>IFERROR(__xludf.DUMMYFUNCTION("""COMPUTED_VALUE"""),46115.0)</f>
        <v>46115</v>
      </c>
      <c r="C1616" s="165" t="str">
        <f>IFERROR(__xludf.DUMMYFUNCTION("""COMPUTED_VALUE"""),"KYAI KONTONG")</f>
        <v>KYAI KONTONG</v>
      </c>
      <c r="D1616" s="94">
        <f>IFERROR(__xludf.DUMMYFUNCTION("""COMPUTED_VALUE"""),31.0)</f>
        <v>31</v>
      </c>
    </row>
    <row r="1617">
      <c r="A1617" s="87" t="str">
        <f>IFERROR(__xludf.DUMMYFUNCTION("""COMPUTED_VALUE"""),"ITBISA-IC-L7805CV-TO220")</f>
        <v>ITBISA-IC-L7805CV-TO220</v>
      </c>
      <c r="B1617" s="165">
        <f>IFERROR(__xludf.DUMMYFUNCTION("""COMPUTED_VALUE"""),46119.0)</f>
        <v>46119</v>
      </c>
      <c r="C1617" s="165" t="str">
        <f>IFERROR(__xludf.DUMMYFUNCTION("""COMPUTED_VALUE"""),"KYAI KONTONG")</f>
        <v>KYAI KONTONG</v>
      </c>
      <c r="D1617" s="94">
        <f>IFERROR(__xludf.DUMMYFUNCTION("""COMPUTED_VALUE"""),10.0)</f>
        <v>10</v>
      </c>
    </row>
    <row r="1618">
      <c r="A1618" s="87" t="str">
        <f>IFERROR(__xludf.DUMMYFUNCTION("""COMPUTED_VALUE"""),"ITBISA-IC-L7805CV-TO220")</f>
        <v>ITBISA-IC-L7805CV-TO220</v>
      </c>
      <c r="B1618" s="165">
        <f>IFERROR(__xludf.DUMMYFUNCTION("""COMPUTED_VALUE"""),46120.0)</f>
        <v>46120</v>
      </c>
      <c r="C1618" s="165" t="str">
        <f>IFERROR(__xludf.DUMMYFUNCTION("""COMPUTED_VALUE"""),"KYAI KONTONG")</f>
        <v>KYAI KONTONG</v>
      </c>
      <c r="D1618" s="94">
        <f>IFERROR(__xludf.DUMMYFUNCTION("""COMPUTED_VALUE"""),25.0)</f>
        <v>25</v>
      </c>
    </row>
    <row r="1619">
      <c r="A1619" s="87" t="str">
        <f>IFERROR(__xludf.DUMMYFUNCTION("""COMPUTED_VALUE"""),"ITBISA-IC-L7805CV-TO220")</f>
        <v>ITBISA-IC-L7805CV-TO220</v>
      </c>
      <c r="B1619" s="165">
        <f>IFERROR(__xludf.DUMMYFUNCTION("""COMPUTED_VALUE"""),46120.0)</f>
        <v>46120</v>
      </c>
      <c r="C1619" s="165" t="str">
        <f>IFERROR(__xludf.DUMMYFUNCTION("""COMPUTED_VALUE"""),"KYAI KONTONG")</f>
        <v>KYAI KONTONG</v>
      </c>
      <c r="D1619" s="94">
        <f>IFERROR(__xludf.DUMMYFUNCTION("""COMPUTED_VALUE"""),30.0)</f>
        <v>30</v>
      </c>
    </row>
    <row r="1620">
      <c r="A1620" s="87" t="str">
        <f>IFERROR(__xludf.DUMMYFUNCTION("""COMPUTED_VALUE"""),"ITBISA-IC-L7805CV-TO220")</f>
        <v>ITBISA-IC-L7805CV-TO220</v>
      </c>
      <c r="B1620" s="165">
        <f>IFERROR(__xludf.DUMMYFUNCTION("""COMPUTED_VALUE"""),46122.0)</f>
        <v>46122</v>
      </c>
      <c r="C1620" s="165" t="str">
        <f>IFERROR(__xludf.DUMMYFUNCTION("""COMPUTED_VALUE"""),"KYAI KONTONG")</f>
        <v>KYAI KONTONG</v>
      </c>
      <c r="D1620" s="94">
        <f>IFERROR(__xludf.DUMMYFUNCTION("""COMPUTED_VALUE"""),12.0)</f>
        <v>12</v>
      </c>
    </row>
    <row r="1621">
      <c r="A1621" s="87" t="str">
        <f>IFERROR(__xludf.DUMMYFUNCTION("""COMPUTED_VALUE"""),"ITBISA-IC-L7805CV-TO220")</f>
        <v>ITBISA-IC-L7805CV-TO220</v>
      </c>
      <c r="B1621" s="165">
        <f>IFERROR(__xludf.DUMMYFUNCTION("""COMPUTED_VALUE"""),46122.0)</f>
        <v>46122</v>
      </c>
      <c r="C1621" s="165" t="str">
        <f>IFERROR(__xludf.DUMMYFUNCTION("""COMPUTED_VALUE"""),"KYAI KONTONG")</f>
        <v>KYAI KONTONG</v>
      </c>
      <c r="D1621" s="94">
        <f>IFERROR(__xludf.DUMMYFUNCTION("""COMPUTED_VALUE"""),35.0)</f>
        <v>35</v>
      </c>
    </row>
    <row r="1622">
      <c r="A1622" s="87" t="str">
        <f>IFERROR(__xludf.DUMMYFUNCTION("""COMPUTED_VALUE"""),"ITBISA-IC-L7805CV-TO220")</f>
        <v>ITBISA-IC-L7805CV-TO220</v>
      </c>
      <c r="B1622" s="165">
        <f>IFERROR(__xludf.DUMMYFUNCTION("""COMPUTED_VALUE"""),46124.0)</f>
        <v>46124</v>
      </c>
      <c r="C1622" s="165" t="str">
        <f>IFERROR(__xludf.DUMMYFUNCTION("""COMPUTED_VALUE"""),"KYAI KONTONG")</f>
        <v>KYAI KONTONG</v>
      </c>
      <c r="D1622" s="94">
        <f>IFERROR(__xludf.DUMMYFUNCTION("""COMPUTED_VALUE"""),10.0)</f>
        <v>10</v>
      </c>
    </row>
    <row r="1623">
      <c r="A1623" s="87" t="str">
        <f>IFERROR(__xludf.DUMMYFUNCTION("""COMPUTED_VALUE"""),"ITBISA-IC-L7805CV-TO220")</f>
        <v>ITBISA-IC-L7805CV-TO220</v>
      </c>
      <c r="B1623" s="165">
        <f>IFERROR(__xludf.DUMMYFUNCTION("""COMPUTED_VALUE"""),46125.0)</f>
        <v>46125</v>
      </c>
      <c r="C1623" s="165" t="str">
        <f>IFERROR(__xludf.DUMMYFUNCTION("""COMPUTED_VALUE"""),"KYAI KONTONG")</f>
        <v>KYAI KONTONG</v>
      </c>
      <c r="D1623" s="94">
        <f>IFERROR(__xludf.DUMMYFUNCTION("""COMPUTED_VALUE"""),20.0)</f>
        <v>20</v>
      </c>
    </row>
    <row r="1624">
      <c r="A1624" s="87" t="str">
        <f>IFERROR(__xludf.DUMMYFUNCTION("""COMPUTED_VALUE"""),"ITBISA-IC-L7805CV-TO220")</f>
        <v>ITBISA-IC-L7805CV-TO220</v>
      </c>
      <c r="B1624" s="165">
        <f>IFERROR(__xludf.DUMMYFUNCTION("""COMPUTED_VALUE"""),46126.0)</f>
        <v>46126</v>
      </c>
      <c r="C1624" s="165" t="str">
        <f>IFERROR(__xludf.DUMMYFUNCTION("""COMPUTED_VALUE"""),"KYAI KONTONG")</f>
        <v>KYAI KONTONG</v>
      </c>
      <c r="D1624" s="94">
        <f>IFERROR(__xludf.DUMMYFUNCTION("""COMPUTED_VALUE"""),20.0)</f>
        <v>20</v>
      </c>
    </row>
    <row r="1625">
      <c r="A1625" s="87" t="str">
        <f>IFERROR(__xludf.DUMMYFUNCTION("""COMPUTED_VALUE"""),"ITBISA-IC-L7805CV-TO220")</f>
        <v>ITBISA-IC-L7805CV-TO220</v>
      </c>
      <c r="B1625" s="165">
        <f>IFERROR(__xludf.DUMMYFUNCTION("""COMPUTED_VALUE"""),46127.0)</f>
        <v>46127</v>
      </c>
      <c r="C1625" s="165" t="str">
        <f>IFERROR(__xludf.DUMMYFUNCTION("""COMPUTED_VALUE"""),"KYAI KONTONG")</f>
        <v>KYAI KONTONG</v>
      </c>
      <c r="D1625" s="94">
        <f>IFERROR(__xludf.DUMMYFUNCTION("""COMPUTED_VALUE"""),10.0)</f>
        <v>10</v>
      </c>
    </row>
    <row r="1626">
      <c r="A1626" s="87" t="str">
        <f>IFERROR(__xludf.DUMMYFUNCTION("""COMPUTED_VALUE"""),"ITBISA-IC-L7805CV-TO220")</f>
        <v>ITBISA-IC-L7805CV-TO220</v>
      </c>
      <c r="B1626" s="165">
        <f>IFERROR(__xludf.DUMMYFUNCTION("""COMPUTED_VALUE"""),46127.0)</f>
        <v>46127</v>
      </c>
      <c r="C1626" s="165" t="str">
        <f>IFERROR(__xludf.DUMMYFUNCTION("""COMPUTED_VALUE"""),"KYAI KONTONG")</f>
        <v>KYAI KONTONG</v>
      </c>
      <c r="D1626" s="94">
        <f>IFERROR(__xludf.DUMMYFUNCTION("""COMPUTED_VALUE"""),200.0)</f>
        <v>200</v>
      </c>
    </row>
    <row r="1627">
      <c r="A1627" s="87" t="str">
        <f>IFERROR(__xludf.DUMMYFUNCTION("""COMPUTED_VALUE"""),"ITBISA-IC-L7805CV-TO220")</f>
        <v>ITBISA-IC-L7805CV-TO220</v>
      </c>
      <c r="B1627" s="165">
        <f>IFERROR(__xludf.DUMMYFUNCTION("""COMPUTED_VALUE"""),46128.0)</f>
        <v>46128</v>
      </c>
      <c r="C1627" s="165" t="str">
        <f>IFERROR(__xludf.DUMMYFUNCTION("""COMPUTED_VALUE"""),"KYAI KONTONG")</f>
        <v>KYAI KONTONG</v>
      </c>
      <c r="D1627" s="94">
        <f>IFERROR(__xludf.DUMMYFUNCTION("""COMPUTED_VALUE"""),30.0)</f>
        <v>30</v>
      </c>
    </row>
    <row r="1628">
      <c r="A1628" s="87" t="str">
        <f>IFERROR(__xludf.DUMMYFUNCTION("""COMPUTED_VALUE"""),"ITBISA-IC-L7805CV-TO220")</f>
        <v>ITBISA-IC-L7805CV-TO220</v>
      </c>
      <c r="B1628" s="165">
        <f>IFERROR(__xludf.DUMMYFUNCTION("""COMPUTED_VALUE"""),46130.0)</f>
        <v>46130</v>
      </c>
      <c r="C1628" s="165" t="str">
        <f>IFERROR(__xludf.DUMMYFUNCTION("""COMPUTED_VALUE"""),"KYAI KONTONG")</f>
        <v>KYAI KONTONG</v>
      </c>
      <c r="D1628" s="94">
        <f>IFERROR(__xludf.DUMMYFUNCTION("""COMPUTED_VALUE"""),400.0)</f>
        <v>400</v>
      </c>
    </row>
    <row r="1629">
      <c r="A1629" s="87" t="str">
        <f>IFERROR(__xludf.DUMMYFUNCTION("""COMPUTED_VALUE"""),"ITBISA-IC-L7805CV-TO220")</f>
        <v>ITBISA-IC-L7805CV-TO220</v>
      </c>
      <c r="B1629" s="165">
        <f>IFERROR(__xludf.DUMMYFUNCTION("""COMPUTED_VALUE"""),46132.0)</f>
        <v>46132</v>
      </c>
      <c r="C1629" s="165" t="str">
        <f>IFERROR(__xludf.DUMMYFUNCTION("""COMPUTED_VALUE"""),"KYAI KONTONG")</f>
        <v>KYAI KONTONG</v>
      </c>
      <c r="D1629" s="94">
        <f>IFERROR(__xludf.DUMMYFUNCTION("""COMPUTED_VALUE"""),10.0)</f>
        <v>10</v>
      </c>
    </row>
    <row r="1630">
      <c r="A1630" s="87" t="str">
        <f>IFERROR(__xludf.DUMMYFUNCTION("""COMPUTED_VALUE"""),"ITBISA-IC-L7805CV-TO220")</f>
        <v>ITBISA-IC-L7805CV-TO220</v>
      </c>
      <c r="B1630" s="165">
        <f>IFERROR(__xludf.DUMMYFUNCTION("""COMPUTED_VALUE"""),46134.0)</f>
        <v>46134</v>
      </c>
      <c r="C1630" s="165" t="str">
        <f>IFERROR(__xludf.DUMMYFUNCTION("""COMPUTED_VALUE"""),"KYAI KONTONG")</f>
        <v>KYAI KONTONG</v>
      </c>
      <c r="D1630" s="94">
        <f>IFERROR(__xludf.DUMMYFUNCTION("""COMPUTED_VALUE"""),3.0)</f>
        <v>3</v>
      </c>
    </row>
    <row r="1631">
      <c r="A1631" s="87" t="str">
        <f>IFERROR(__xludf.DUMMYFUNCTION("""COMPUTED_VALUE"""),"ITBISA-IC-L7805CV-TO220")</f>
        <v>ITBISA-IC-L7805CV-TO220</v>
      </c>
      <c r="B1631" s="165">
        <f>IFERROR(__xludf.DUMMYFUNCTION("""COMPUTED_VALUE"""),46134.0)</f>
        <v>46134</v>
      </c>
      <c r="C1631" s="165" t="str">
        <f>IFERROR(__xludf.DUMMYFUNCTION("""COMPUTED_VALUE"""),"KYAI KONTONG")</f>
        <v>KYAI KONTONG</v>
      </c>
      <c r="D1631" s="94">
        <f>IFERROR(__xludf.DUMMYFUNCTION("""COMPUTED_VALUE"""),10.0)</f>
        <v>10</v>
      </c>
    </row>
    <row r="1632">
      <c r="A1632" s="87" t="str">
        <f>IFERROR(__xludf.DUMMYFUNCTION("""COMPUTED_VALUE"""),"ITBISA-IC-L7805CV-TO220")</f>
        <v>ITBISA-IC-L7805CV-TO220</v>
      </c>
      <c r="B1632" s="165">
        <f>IFERROR(__xludf.DUMMYFUNCTION("""COMPUTED_VALUE"""),46135.0)</f>
        <v>46135</v>
      </c>
      <c r="C1632" s="165" t="str">
        <f>IFERROR(__xludf.DUMMYFUNCTION("""COMPUTED_VALUE"""),"KYAI KONTONG")</f>
        <v>KYAI KONTONG</v>
      </c>
      <c r="D1632" s="94">
        <f>IFERROR(__xludf.DUMMYFUNCTION("""COMPUTED_VALUE"""),3.0)</f>
        <v>3</v>
      </c>
    </row>
    <row r="1633">
      <c r="A1633" s="87" t="str">
        <f>IFERROR(__xludf.DUMMYFUNCTION("""COMPUTED_VALUE"""),"ITBISA-IC-L7805CV-TO220")</f>
        <v>ITBISA-IC-L7805CV-TO220</v>
      </c>
      <c r="B1633" s="165">
        <f>IFERROR(__xludf.DUMMYFUNCTION("""COMPUTED_VALUE"""),46135.0)</f>
        <v>46135</v>
      </c>
      <c r="C1633" s="165" t="str">
        <f>IFERROR(__xludf.DUMMYFUNCTION("""COMPUTED_VALUE"""),"KYAI KONTONG")</f>
        <v>KYAI KONTONG</v>
      </c>
      <c r="D1633" s="94">
        <f>IFERROR(__xludf.DUMMYFUNCTION("""COMPUTED_VALUE"""),5.0)</f>
        <v>5</v>
      </c>
    </row>
    <row r="1634">
      <c r="A1634" s="87" t="str">
        <f>IFERROR(__xludf.DUMMYFUNCTION("""COMPUTED_VALUE"""),"ITBISA-IC-L7805CV-TO220")</f>
        <v>ITBISA-IC-L7805CV-TO220</v>
      </c>
      <c r="B1634" s="165">
        <f>IFERROR(__xludf.DUMMYFUNCTION("""COMPUTED_VALUE"""),46135.0)</f>
        <v>46135</v>
      </c>
      <c r="C1634" s="165" t="str">
        <f>IFERROR(__xludf.DUMMYFUNCTION("""COMPUTED_VALUE"""),"KYAI KONTONG")</f>
        <v>KYAI KONTONG</v>
      </c>
      <c r="D1634" s="94">
        <f>IFERROR(__xludf.DUMMYFUNCTION("""COMPUTED_VALUE"""),30.0)</f>
        <v>30</v>
      </c>
    </row>
    <row r="1635">
      <c r="A1635" s="87" t="str">
        <f>IFERROR(__xludf.DUMMYFUNCTION("""COMPUTED_VALUE"""),"ITBISA-IC-L7805CV-TO220")</f>
        <v>ITBISA-IC-L7805CV-TO220</v>
      </c>
      <c r="B1635" s="165">
        <f>IFERROR(__xludf.DUMMYFUNCTION("""COMPUTED_VALUE"""),46135.0)</f>
        <v>46135</v>
      </c>
      <c r="C1635" s="165" t="str">
        <f>IFERROR(__xludf.DUMMYFUNCTION("""COMPUTED_VALUE"""),"KYAI KONTONG")</f>
        <v>KYAI KONTONG</v>
      </c>
      <c r="D1635" s="94">
        <f>IFERROR(__xludf.DUMMYFUNCTION("""COMPUTED_VALUE"""),30.0)</f>
        <v>30</v>
      </c>
    </row>
    <row r="1636">
      <c r="A1636" s="87" t="str">
        <f>IFERROR(__xludf.DUMMYFUNCTION("""COMPUTED_VALUE"""),"ITBISA-IC-L7805CV-TO220")</f>
        <v>ITBISA-IC-L7805CV-TO220</v>
      </c>
      <c r="B1636" s="165">
        <f>IFERROR(__xludf.DUMMYFUNCTION("""COMPUTED_VALUE"""),46140.0)</f>
        <v>46140</v>
      </c>
      <c r="C1636" s="165" t="str">
        <f>IFERROR(__xludf.DUMMYFUNCTION("""COMPUTED_VALUE"""),"KYAI KONTONG")</f>
        <v>KYAI KONTONG</v>
      </c>
      <c r="D1636" s="94">
        <f>IFERROR(__xludf.DUMMYFUNCTION("""COMPUTED_VALUE"""),9.0)</f>
        <v>9</v>
      </c>
    </row>
    <row r="1637">
      <c r="A1637" s="87" t="str">
        <f>IFERROR(__xludf.DUMMYFUNCTION("""COMPUTED_VALUE"""),"ITBISA-IC-L7805CV-TO220")</f>
        <v>ITBISA-IC-L7805CV-TO220</v>
      </c>
      <c r="B1637" s="165">
        <f>IFERROR(__xludf.DUMMYFUNCTION("""COMPUTED_VALUE"""),46142.0)</f>
        <v>46142</v>
      </c>
      <c r="C1637" s="165" t="str">
        <f>IFERROR(__xludf.DUMMYFUNCTION("""COMPUTED_VALUE"""),"KYAI KONTONG")</f>
        <v>KYAI KONTONG</v>
      </c>
      <c r="D1637" s="94">
        <f>IFERROR(__xludf.DUMMYFUNCTION("""COMPUTED_VALUE"""),20.0)</f>
        <v>20</v>
      </c>
    </row>
    <row r="1638">
      <c r="A1638" s="87" t="str">
        <f>IFERROR(__xludf.DUMMYFUNCTION("""COMPUTED_VALUE"""),"ITBISA-IC-L7805CV-TO220")</f>
        <v>ITBISA-IC-L7805CV-TO220</v>
      </c>
      <c r="B1638" s="165">
        <f>IFERROR(__xludf.DUMMYFUNCTION("""COMPUTED_VALUE"""),46144.0)</f>
        <v>46144</v>
      </c>
      <c r="C1638" s="165" t="str">
        <f>IFERROR(__xludf.DUMMYFUNCTION("""COMPUTED_VALUE"""),"KYAI KONTONG")</f>
        <v>KYAI KONTONG</v>
      </c>
      <c r="D1638" s="94">
        <f>IFERROR(__xludf.DUMMYFUNCTION("""COMPUTED_VALUE"""),1.0)</f>
        <v>1</v>
      </c>
    </row>
    <row r="1639">
      <c r="A1639" s="87" t="str">
        <f>IFERROR(__xludf.DUMMYFUNCTION("""COMPUTED_VALUE"""),"ITBISA-IC-L7805CV-TO220")</f>
        <v>ITBISA-IC-L7805CV-TO220</v>
      </c>
      <c r="B1639" s="165">
        <f>IFERROR(__xludf.DUMMYFUNCTION("""COMPUTED_VALUE"""),46144.0)</f>
        <v>46144</v>
      </c>
      <c r="C1639" s="165" t="str">
        <f>IFERROR(__xludf.DUMMYFUNCTION("""COMPUTED_VALUE"""),"KYAI KONTONG")</f>
        <v>KYAI KONTONG</v>
      </c>
      <c r="D1639" s="94">
        <f>IFERROR(__xludf.DUMMYFUNCTION("""COMPUTED_VALUE"""),10.0)</f>
        <v>10</v>
      </c>
    </row>
    <row r="1640">
      <c r="A1640" s="87" t="str">
        <f>IFERROR(__xludf.DUMMYFUNCTION("""COMPUTED_VALUE"""),"ITBISA-IC-L7805CV-TO220")</f>
        <v>ITBISA-IC-L7805CV-TO220</v>
      </c>
      <c r="B1640" s="165">
        <f>IFERROR(__xludf.DUMMYFUNCTION("""COMPUTED_VALUE"""),46144.0)</f>
        <v>46144</v>
      </c>
      <c r="C1640" s="165" t="str">
        <f>IFERROR(__xludf.DUMMYFUNCTION("""COMPUTED_VALUE"""),"KYAI KONTONG")</f>
        <v>KYAI KONTONG</v>
      </c>
      <c r="D1640" s="94">
        <f>IFERROR(__xludf.DUMMYFUNCTION("""COMPUTED_VALUE"""),20.0)</f>
        <v>20</v>
      </c>
    </row>
    <row r="1641">
      <c r="A1641" s="87" t="str">
        <f>IFERROR(__xludf.DUMMYFUNCTION("""COMPUTED_VALUE"""),"ITBISA-IC-L7805CV-TO220")</f>
        <v>ITBISA-IC-L7805CV-TO220</v>
      </c>
      <c r="B1641" s="165">
        <f>IFERROR(__xludf.DUMMYFUNCTION("""COMPUTED_VALUE"""),46145.0)</f>
        <v>46145</v>
      </c>
      <c r="C1641" s="165" t="str">
        <f>IFERROR(__xludf.DUMMYFUNCTION("""COMPUTED_VALUE"""),"KYAI KONTONG")</f>
        <v>KYAI KONTONG</v>
      </c>
      <c r="D1641" s="94">
        <f>IFERROR(__xludf.DUMMYFUNCTION("""COMPUTED_VALUE"""),10.0)</f>
        <v>10</v>
      </c>
    </row>
    <row r="1642">
      <c r="A1642" s="87" t="str">
        <f>IFERROR(__xludf.DUMMYFUNCTION("""COMPUTED_VALUE"""),"ITBISA-IC-L7805CV-TO220")</f>
        <v>ITBISA-IC-L7805CV-TO220</v>
      </c>
      <c r="B1642" s="165">
        <f>IFERROR(__xludf.DUMMYFUNCTION("""COMPUTED_VALUE"""),46145.0)</f>
        <v>46145</v>
      </c>
      <c r="C1642" s="165" t="str">
        <f>IFERROR(__xludf.DUMMYFUNCTION("""COMPUTED_VALUE"""),"KYAI KONTONG")</f>
        <v>KYAI KONTONG</v>
      </c>
      <c r="D1642" s="94">
        <f>IFERROR(__xludf.DUMMYFUNCTION("""COMPUTED_VALUE"""),50.0)</f>
        <v>50</v>
      </c>
    </row>
    <row r="1643">
      <c r="A1643" s="87" t="str">
        <f>IFERROR(__xludf.DUMMYFUNCTION("""COMPUTED_VALUE"""),"ITBISA-IC-L7805CV-TO220")</f>
        <v>ITBISA-IC-L7805CV-TO220</v>
      </c>
      <c r="B1643" s="165">
        <f>IFERROR(__xludf.DUMMYFUNCTION("""COMPUTED_VALUE"""),46146.0)</f>
        <v>46146</v>
      </c>
      <c r="C1643" s="165" t="str">
        <f>IFERROR(__xludf.DUMMYFUNCTION("""COMPUTED_VALUE"""),"KYAI KONTONG")</f>
        <v>KYAI KONTONG</v>
      </c>
      <c r="D1643" s="94">
        <f>IFERROR(__xludf.DUMMYFUNCTION("""COMPUTED_VALUE"""),10.0)</f>
        <v>10</v>
      </c>
    </row>
    <row r="1644">
      <c r="A1644" s="87" t="str">
        <f>IFERROR(__xludf.DUMMYFUNCTION("""COMPUTED_VALUE"""),"ITBISA-IC-L7805CV-TO220")</f>
        <v>ITBISA-IC-L7805CV-TO220</v>
      </c>
      <c r="B1644" s="165">
        <f>IFERROR(__xludf.DUMMYFUNCTION("""COMPUTED_VALUE"""),46146.0)</f>
        <v>46146</v>
      </c>
      <c r="C1644" s="165" t="str">
        <f>IFERROR(__xludf.DUMMYFUNCTION("""COMPUTED_VALUE"""),"KYAI KONTONG")</f>
        <v>KYAI KONTONG</v>
      </c>
      <c r="D1644" s="94">
        <f>IFERROR(__xludf.DUMMYFUNCTION("""COMPUTED_VALUE"""),50.0)</f>
        <v>50</v>
      </c>
    </row>
    <row r="1645">
      <c r="A1645" s="87" t="str">
        <f>IFERROR(__xludf.DUMMYFUNCTION("""COMPUTED_VALUE"""),"ITBISA-IC-L7805CV-TO220")</f>
        <v>ITBISA-IC-L7805CV-TO220</v>
      </c>
      <c r="B1645" s="165">
        <f>IFERROR(__xludf.DUMMYFUNCTION("""COMPUTED_VALUE"""),46148.0)</f>
        <v>46148</v>
      </c>
      <c r="C1645" s="165" t="str">
        <f>IFERROR(__xludf.DUMMYFUNCTION("""COMPUTED_VALUE"""),"KYAI KONTONG")</f>
        <v>KYAI KONTONG</v>
      </c>
      <c r="D1645" s="94">
        <f>IFERROR(__xludf.DUMMYFUNCTION("""COMPUTED_VALUE"""),50.0)</f>
        <v>50</v>
      </c>
    </row>
    <row r="1646">
      <c r="A1646" s="87" t="str">
        <f>IFERROR(__xludf.DUMMYFUNCTION("""COMPUTED_VALUE"""),"ITBISA-IC-L7805CV-TO220")</f>
        <v>ITBISA-IC-L7805CV-TO220</v>
      </c>
      <c r="B1646" s="165">
        <f>IFERROR(__xludf.DUMMYFUNCTION("""COMPUTED_VALUE"""),46149.0)</f>
        <v>46149</v>
      </c>
      <c r="C1646" s="165" t="str">
        <f>IFERROR(__xludf.DUMMYFUNCTION("""COMPUTED_VALUE"""),"KYAI KONTONG")</f>
        <v>KYAI KONTONG</v>
      </c>
      <c r="D1646" s="94">
        <f>IFERROR(__xludf.DUMMYFUNCTION("""COMPUTED_VALUE"""),2.0)</f>
        <v>2</v>
      </c>
    </row>
    <row r="1647">
      <c r="A1647" s="87" t="str">
        <f>IFERROR(__xludf.DUMMYFUNCTION("""COMPUTED_VALUE"""),"ITBISA-IC-L7805CV-TO220")</f>
        <v>ITBISA-IC-L7805CV-TO220</v>
      </c>
      <c r="B1647" s="165">
        <f>IFERROR(__xludf.DUMMYFUNCTION("""COMPUTED_VALUE"""),46149.0)</f>
        <v>46149</v>
      </c>
      <c r="C1647" s="165" t="str">
        <f>IFERROR(__xludf.DUMMYFUNCTION("""COMPUTED_VALUE"""),"KYAI KONTONG")</f>
        <v>KYAI KONTONG</v>
      </c>
      <c r="D1647" s="94">
        <f>IFERROR(__xludf.DUMMYFUNCTION("""COMPUTED_VALUE"""),10.0)</f>
        <v>10</v>
      </c>
    </row>
    <row r="1648">
      <c r="A1648" s="87" t="str">
        <f>IFERROR(__xludf.DUMMYFUNCTION("""COMPUTED_VALUE"""),"ITBISA-IC-L7805CV-TO220")</f>
        <v>ITBISA-IC-L7805CV-TO220</v>
      </c>
      <c r="B1648" s="165">
        <f>IFERROR(__xludf.DUMMYFUNCTION("""COMPUTED_VALUE"""),46149.0)</f>
        <v>46149</v>
      </c>
      <c r="C1648" s="165" t="str">
        <f>IFERROR(__xludf.DUMMYFUNCTION("""COMPUTED_VALUE"""),"KYAI KONTONG")</f>
        <v>KYAI KONTONG</v>
      </c>
      <c r="D1648" s="94">
        <f>IFERROR(__xludf.DUMMYFUNCTION("""COMPUTED_VALUE"""),30.0)</f>
        <v>30</v>
      </c>
    </row>
    <row r="1649">
      <c r="A1649" s="87" t="str">
        <f>IFERROR(__xludf.DUMMYFUNCTION("""COMPUTED_VALUE"""),"ITBISA-IC-L7805CV-TO220")</f>
        <v>ITBISA-IC-L7805CV-TO220</v>
      </c>
      <c r="B1649" s="165">
        <f>IFERROR(__xludf.DUMMYFUNCTION("""COMPUTED_VALUE"""),46150.0)</f>
        <v>46150</v>
      </c>
      <c r="C1649" s="165" t="str">
        <f>IFERROR(__xludf.DUMMYFUNCTION("""COMPUTED_VALUE"""),"KYAI KONTONG")</f>
        <v>KYAI KONTONG</v>
      </c>
      <c r="D1649" s="94">
        <f>IFERROR(__xludf.DUMMYFUNCTION("""COMPUTED_VALUE"""),5.0)</f>
        <v>5</v>
      </c>
    </row>
    <row r="1650">
      <c r="A1650" s="87" t="str">
        <f>IFERROR(__xludf.DUMMYFUNCTION("""COMPUTED_VALUE"""),"ITBISA-IC-L7805CV-TO220")</f>
        <v>ITBISA-IC-L7805CV-TO220</v>
      </c>
      <c r="B1650" s="165">
        <f>IFERROR(__xludf.DUMMYFUNCTION("""COMPUTED_VALUE"""),46150.0)</f>
        <v>46150</v>
      </c>
      <c r="C1650" s="165" t="str">
        <f>IFERROR(__xludf.DUMMYFUNCTION("""COMPUTED_VALUE"""),"KYAI KONTONG")</f>
        <v>KYAI KONTONG</v>
      </c>
      <c r="D1650" s="94">
        <f>IFERROR(__xludf.DUMMYFUNCTION("""COMPUTED_VALUE"""),10.0)</f>
        <v>10</v>
      </c>
    </row>
    <row r="1651">
      <c r="A1651" s="87" t="str">
        <f>IFERROR(__xludf.DUMMYFUNCTION("""COMPUTED_VALUE"""),"ITBISA-IC-L7805CV-TO220")</f>
        <v>ITBISA-IC-L7805CV-TO220</v>
      </c>
      <c r="B1651" s="165">
        <f>IFERROR(__xludf.DUMMYFUNCTION("""COMPUTED_VALUE"""),46150.0)</f>
        <v>46150</v>
      </c>
      <c r="C1651" s="165" t="str">
        <f>IFERROR(__xludf.DUMMYFUNCTION("""COMPUTED_VALUE"""),"KYAI KONTONG")</f>
        <v>KYAI KONTONG</v>
      </c>
      <c r="D1651" s="94">
        <f>IFERROR(__xludf.DUMMYFUNCTION("""COMPUTED_VALUE"""),15.0)</f>
        <v>15</v>
      </c>
    </row>
    <row r="1652">
      <c r="A1652" s="87" t="str">
        <f>IFERROR(__xludf.DUMMYFUNCTION("""COMPUTED_VALUE"""),"ITBISA-IC-L7805CV-TO220")</f>
        <v>ITBISA-IC-L7805CV-TO220</v>
      </c>
      <c r="B1652" s="165">
        <f>IFERROR(__xludf.DUMMYFUNCTION("""COMPUTED_VALUE"""),46153.0)</f>
        <v>46153</v>
      </c>
      <c r="C1652" s="165" t="str">
        <f>IFERROR(__xludf.DUMMYFUNCTION("""COMPUTED_VALUE"""),"KYAI KONTONG")</f>
        <v>KYAI KONTONG</v>
      </c>
      <c r="D1652" s="94">
        <f>IFERROR(__xludf.DUMMYFUNCTION("""COMPUTED_VALUE"""),2.0)</f>
        <v>2</v>
      </c>
    </row>
    <row r="1653">
      <c r="A1653" s="87" t="str">
        <f>IFERROR(__xludf.DUMMYFUNCTION("""COMPUTED_VALUE"""),"ITBISA-IC-L7805CV-TO220")</f>
        <v>ITBISA-IC-L7805CV-TO220</v>
      </c>
      <c r="B1653" s="165">
        <f>IFERROR(__xludf.DUMMYFUNCTION("""COMPUTED_VALUE"""),46153.0)</f>
        <v>46153</v>
      </c>
      <c r="C1653" s="165" t="str">
        <f>IFERROR(__xludf.DUMMYFUNCTION("""COMPUTED_VALUE"""),"KYAI KONTONG")</f>
        <v>KYAI KONTONG</v>
      </c>
      <c r="D1653" s="94">
        <f>IFERROR(__xludf.DUMMYFUNCTION("""COMPUTED_VALUE"""),10.0)</f>
        <v>10</v>
      </c>
    </row>
    <row r="1654">
      <c r="A1654" s="87" t="str">
        <f>IFERROR(__xludf.DUMMYFUNCTION("""COMPUTED_VALUE"""),"ITBISA-IC-L7805CV-TO220")</f>
        <v>ITBISA-IC-L7805CV-TO220</v>
      </c>
      <c r="B1654" s="165">
        <f>IFERROR(__xludf.DUMMYFUNCTION("""COMPUTED_VALUE"""),46155.0)</f>
        <v>46155</v>
      </c>
      <c r="C1654" s="165" t="str">
        <f>IFERROR(__xludf.DUMMYFUNCTION("""COMPUTED_VALUE"""),"KYAI KONTONG")</f>
        <v>KYAI KONTONG</v>
      </c>
      <c r="D1654" s="94">
        <f>IFERROR(__xludf.DUMMYFUNCTION("""COMPUTED_VALUE"""),10.0)</f>
        <v>10</v>
      </c>
    </row>
    <row r="1655">
      <c r="A1655" s="87" t="str">
        <f>IFERROR(__xludf.DUMMYFUNCTION("""COMPUTED_VALUE"""),"ITBISA-IC-L7805CV-TO220")</f>
        <v>ITBISA-IC-L7805CV-TO220</v>
      </c>
      <c r="B1655" s="165">
        <f>IFERROR(__xludf.DUMMYFUNCTION("""COMPUTED_VALUE"""),46156.0)</f>
        <v>46156</v>
      </c>
      <c r="C1655" s="165" t="str">
        <f>IFERROR(__xludf.DUMMYFUNCTION("""COMPUTED_VALUE"""),"KYAI KONTONG")</f>
        <v>KYAI KONTONG</v>
      </c>
      <c r="D1655" s="94">
        <f>IFERROR(__xludf.DUMMYFUNCTION("""COMPUTED_VALUE"""),20.0)</f>
        <v>20</v>
      </c>
    </row>
    <row r="1656">
      <c r="A1656" s="87" t="str">
        <f>IFERROR(__xludf.DUMMYFUNCTION("""COMPUTED_VALUE"""),"ITBISA-IC-L7805CV-TO220")</f>
        <v>ITBISA-IC-L7805CV-TO220</v>
      </c>
      <c r="B1656" s="165">
        <f>IFERROR(__xludf.DUMMYFUNCTION("""COMPUTED_VALUE"""),46157.0)</f>
        <v>46157</v>
      </c>
      <c r="C1656" s="165" t="str">
        <f>IFERROR(__xludf.DUMMYFUNCTION("""COMPUTED_VALUE"""),"KYAI KONTONG")</f>
        <v>KYAI KONTONG</v>
      </c>
      <c r="D1656" s="94">
        <f>IFERROR(__xludf.DUMMYFUNCTION("""COMPUTED_VALUE"""),10.0)</f>
        <v>10</v>
      </c>
    </row>
    <row r="1657">
      <c r="A1657" s="87" t="str">
        <f>IFERROR(__xludf.DUMMYFUNCTION("""COMPUTED_VALUE"""),"ITBISA-IC-L7805CV-TO220")</f>
        <v>ITBISA-IC-L7805CV-TO220</v>
      </c>
      <c r="B1657" s="165">
        <f>IFERROR(__xludf.DUMMYFUNCTION("""COMPUTED_VALUE"""),46160.0)</f>
        <v>46160</v>
      </c>
      <c r="C1657" s="165" t="str">
        <f>IFERROR(__xludf.DUMMYFUNCTION("""COMPUTED_VALUE"""),"KYAI KONTONG")</f>
        <v>KYAI KONTONG</v>
      </c>
      <c r="D1657" s="94">
        <f>IFERROR(__xludf.DUMMYFUNCTION("""COMPUTED_VALUE"""),200.0)</f>
        <v>200</v>
      </c>
    </row>
    <row r="1658">
      <c r="A1658" s="87" t="str">
        <f>IFERROR(__xludf.DUMMYFUNCTION("""COMPUTED_VALUE"""),"ITBISA-IC-L7805CV-TO220")</f>
        <v>ITBISA-IC-L7805CV-TO220</v>
      </c>
      <c r="B1658" s="165">
        <f>IFERROR(__xludf.DUMMYFUNCTION("""COMPUTED_VALUE"""),46161.0)</f>
        <v>46161</v>
      </c>
      <c r="C1658" s="165" t="str">
        <f>IFERROR(__xludf.DUMMYFUNCTION("""COMPUTED_VALUE"""),"KYAI KONTONG")</f>
        <v>KYAI KONTONG</v>
      </c>
      <c r="D1658" s="94">
        <f>IFERROR(__xludf.DUMMYFUNCTION("""COMPUTED_VALUE"""),10.0)</f>
        <v>10</v>
      </c>
    </row>
    <row r="1659">
      <c r="A1659" s="87" t="str">
        <f>IFERROR(__xludf.DUMMYFUNCTION("""COMPUTED_VALUE"""),"ITBISA-IC-L7805CV-TO220")</f>
        <v>ITBISA-IC-L7805CV-TO220</v>
      </c>
      <c r="B1659" s="165">
        <f>IFERROR(__xludf.DUMMYFUNCTION("""COMPUTED_VALUE"""),46162.0)</f>
        <v>46162</v>
      </c>
      <c r="C1659" s="165" t="str">
        <f>IFERROR(__xludf.DUMMYFUNCTION("""COMPUTED_VALUE"""),"KYAI KONTONG")</f>
        <v>KYAI KONTONG</v>
      </c>
      <c r="D1659" s="94">
        <f>IFERROR(__xludf.DUMMYFUNCTION("""COMPUTED_VALUE"""),30.0)</f>
        <v>30</v>
      </c>
    </row>
    <row r="1660">
      <c r="A1660" s="87" t="str">
        <f>IFERROR(__xludf.DUMMYFUNCTION("""COMPUTED_VALUE"""),"ITBISA-IC-L7805CV-TO220")</f>
        <v>ITBISA-IC-L7805CV-TO220</v>
      </c>
      <c r="B1660" s="165">
        <f>IFERROR(__xludf.DUMMYFUNCTION("""COMPUTED_VALUE"""),46165.0)</f>
        <v>46165</v>
      </c>
      <c r="C1660" s="165" t="str">
        <f>IFERROR(__xludf.DUMMYFUNCTION("""COMPUTED_VALUE"""),"KYAI KONTONG")</f>
        <v>KYAI KONTONG</v>
      </c>
      <c r="D1660" s="94">
        <f>IFERROR(__xludf.DUMMYFUNCTION("""COMPUTED_VALUE"""),20.0)</f>
        <v>20</v>
      </c>
    </row>
    <row r="1661">
      <c r="A1661" s="87" t="str">
        <f>IFERROR(__xludf.DUMMYFUNCTION("""COMPUTED_VALUE"""),"ITBISA-IC-L7805CV-TO220")</f>
        <v>ITBISA-IC-L7805CV-TO220</v>
      </c>
      <c r="B1661" s="165">
        <f>IFERROR(__xludf.DUMMYFUNCTION("""COMPUTED_VALUE"""),46166.0)</f>
        <v>46166</v>
      </c>
      <c r="C1661" s="165" t="str">
        <f>IFERROR(__xludf.DUMMYFUNCTION("""COMPUTED_VALUE"""),"KYAI KONTONG")</f>
        <v>KYAI KONTONG</v>
      </c>
      <c r="D1661" s="94">
        <f>IFERROR(__xludf.DUMMYFUNCTION("""COMPUTED_VALUE"""),1.0)</f>
        <v>1</v>
      </c>
    </row>
    <row r="1662">
      <c r="A1662" s="87" t="str">
        <f>IFERROR(__xludf.DUMMYFUNCTION("""COMPUTED_VALUE"""),"ITBISA-IC-L7805CV-TO220")</f>
        <v>ITBISA-IC-L7805CV-TO220</v>
      </c>
      <c r="B1662" s="165">
        <f>IFERROR(__xludf.DUMMYFUNCTION("""COMPUTED_VALUE"""),46166.0)</f>
        <v>46166</v>
      </c>
      <c r="C1662" s="165" t="str">
        <f>IFERROR(__xludf.DUMMYFUNCTION("""COMPUTED_VALUE"""),"KYAI KONTONG")</f>
        <v>KYAI KONTONG</v>
      </c>
      <c r="D1662" s="94">
        <f>IFERROR(__xludf.DUMMYFUNCTION("""COMPUTED_VALUE"""),20.0)</f>
        <v>20</v>
      </c>
    </row>
    <row r="1663">
      <c r="A1663" s="87" t="str">
        <f>IFERROR(__xludf.DUMMYFUNCTION("""COMPUTED_VALUE"""),"ITBISA-IC-L7805CV-TO220")</f>
        <v>ITBISA-IC-L7805CV-TO220</v>
      </c>
      <c r="B1663" s="165">
        <f>IFERROR(__xludf.DUMMYFUNCTION("""COMPUTED_VALUE"""),46166.0)</f>
        <v>46166</v>
      </c>
      <c r="C1663" s="165" t="str">
        <f>IFERROR(__xludf.DUMMYFUNCTION("""COMPUTED_VALUE"""),"KYAI KONTONG")</f>
        <v>KYAI KONTONG</v>
      </c>
      <c r="D1663" s="94">
        <f>IFERROR(__xludf.DUMMYFUNCTION("""COMPUTED_VALUE"""),50.0)</f>
        <v>50</v>
      </c>
    </row>
    <row r="1664">
      <c r="A1664" s="87" t="str">
        <f>IFERROR(__xludf.DUMMYFUNCTION("""COMPUTED_VALUE"""),"ITBISA-IC-L7805CV-TO220")</f>
        <v>ITBISA-IC-L7805CV-TO220</v>
      </c>
      <c r="B1664" s="165">
        <f>IFERROR(__xludf.DUMMYFUNCTION("""COMPUTED_VALUE"""),46166.0)</f>
        <v>46166</v>
      </c>
      <c r="C1664" s="165" t="str">
        <f>IFERROR(__xludf.DUMMYFUNCTION("""COMPUTED_VALUE"""),"KYAI KONTONG")</f>
        <v>KYAI KONTONG</v>
      </c>
      <c r="D1664" s="94">
        <f>IFERROR(__xludf.DUMMYFUNCTION("""COMPUTED_VALUE"""),100.0)</f>
        <v>100</v>
      </c>
    </row>
    <row r="1665">
      <c r="A1665" s="87" t="str">
        <f>IFERROR(__xludf.DUMMYFUNCTION("""COMPUTED_VALUE"""),"ITBISA-IC-L7805CV-TO220")</f>
        <v>ITBISA-IC-L7805CV-TO220</v>
      </c>
      <c r="B1665" s="165">
        <f>IFERROR(__xludf.DUMMYFUNCTION("""COMPUTED_VALUE"""),46167.0)</f>
        <v>46167</v>
      </c>
      <c r="C1665" s="165" t="str">
        <f>IFERROR(__xludf.DUMMYFUNCTION("""COMPUTED_VALUE"""),"KYAI KONTONG")</f>
        <v>KYAI KONTONG</v>
      </c>
      <c r="D1665" s="94">
        <f>IFERROR(__xludf.DUMMYFUNCTION("""COMPUTED_VALUE"""),10.0)</f>
        <v>10</v>
      </c>
    </row>
    <row r="1666">
      <c r="A1666" s="87" t="str">
        <f>IFERROR(__xludf.DUMMYFUNCTION("""COMPUTED_VALUE"""),"ITBISA-IC-L7805CV-TO220")</f>
        <v>ITBISA-IC-L7805CV-TO220</v>
      </c>
      <c r="B1666" s="165">
        <f>IFERROR(__xludf.DUMMYFUNCTION("""COMPUTED_VALUE"""),46167.0)</f>
        <v>46167</v>
      </c>
      <c r="C1666" s="165" t="str">
        <f>IFERROR(__xludf.DUMMYFUNCTION("""COMPUTED_VALUE"""),"KYAI KONTONG")</f>
        <v>KYAI KONTONG</v>
      </c>
      <c r="D1666" s="94">
        <f>IFERROR(__xludf.DUMMYFUNCTION("""COMPUTED_VALUE"""),10.0)</f>
        <v>10</v>
      </c>
    </row>
    <row r="1667">
      <c r="A1667" s="87" t="str">
        <f>IFERROR(__xludf.DUMMYFUNCTION("""COMPUTED_VALUE"""),"ITBISA-IC-L7805CV-TO220")</f>
        <v>ITBISA-IC-L7805CV-TO220</v>
      </c>
      <c r="B1667" s="165">
        <f>IFERROR(__xludf.DUMMYFUNCTION("""COMPUTED_VALUE"""),46168.0)</f>
        <v>46168</v>
      </c>
      <c r="C1667" s="165" t="str">
        <f>IFERROR(__xludf.DUMMYFUNCTION("""COMPUTED_VALUE"""),"KYAI KONTONG")</f>
        <v>KYAI KONTONG</v>
      </c>
      <c r="D1667" s="94">
        <f>IFERROR(__xludf.DUMMYFUNCTION("""COMPUTED_VALUE"""),10.0)</f>
        <v>10</v>
      </c>
    </row>
    <row r="1668">
      <c r="A1668" s="87" t="str">
        <f>IFERROR(__xludf.DUMMYFUNCTION("""COMPUTED_VALUE"""),"ITBISA-IC-L7805CV-TO220")</f>
        <v>ITBISA-IC-L7805CV-TO220</v>
      </c>
      <c r="B1668" s="165">
        <f>IFERROR(__xludf.DUMMYFUNCTION("""COMPUTED_VALUE"""),46168.0)</f>
        <v>46168</v>
      </c>
      <c r="C1668" s="165" t="str">
        <f>IFERROR(__xludf.DUMMYFUNCTION("""COMPUTED_VALUE"""),"KYAI KONTONG")</f>
        <v>KYAI KONTONG</v>
      </c>
      <c r="D1668" s="94">
        <f>IFERROR(__xludf.DUMMYFUNCTION("""COMPUTED_VALUE"""),10.0)</f>
        <v>10</v>
      </c>
    </row>
    <row r="1669">
      <c r="A1669" s="87" t="str">
        <f>IFERROR(__xludf.DUMMYFUNCTION("""COMPUTED_VALUE"""),"ITBISA-IC-L7805CV-TO220")</f>
        <v>ITBISA-IC-L7805CV-TO220</v>
      </c>
      <c r="B1669" s="165">
        <f>IFERROR(__xludf.DUMMYFUNCTION("""COMPUTED_VALUE"""),46168.0)</f>
        <v>46168</v>
      </c>
      <c r="C1669" s="165" t="str">
        <f>IFERROR(__xludf.DUMMYFUNCTION("""COMPUTED_VALUE"""),"KYAI KONTONG")</f>
        <v>KYAI KONTONG</v>
      </c>
      <c r="D1669" s="94">
        <f>IFERROR(__xludf.DUMMYFUNCTION("""COMPUTED_VALUE"""),30.0)</f>
        <v>30</v>
      </c>
    </row>
    <row r="1670">
      <c r="A1670" s="87" t="str">
        <f>IFERROR(__xludf.DUMMYFUNCTION("""COMPUTED_VALUE"""),"ITBISA-IC-L7805CV-TO220")</f>
        <v>ITBISA-IC-L7805CV-TO220</v>
      </c>
      <c r="B1670" s="165">
        <f>IFERROR(__xludf.DUMMYFUNCTION("""COMPUTED_VALUE"""),46168.0)</f>
        <v>46168</v>
      </c>
      <c r="C1670" s="165" t="str">
        <f>IFERROR(__xludf.DUMMYFUNCTION("""COMPUTED_VALUE"""),"KYAI KONTONG")</f>
        <v>KYAI KONTONG</v>
      </c>
      <c r="D1670" s="94">
        <f>IFERROR(__xludf.DUMMYFUNCTION("""COMPUTED_VALUE"""),50.0)</f>
        <v>50</v>
      </c>
    </row>
    <row r="1671">
      <c r="A1671" s="87" t="str">
        <f>IFERROR(__xludf.DUMMYFUNCTION("""COMPUTED_VALUE"""),"ITBISA-IC-L7805CV-TO220")</f>
        <v>ITBISA-IC-L7805CV-TO220</v>
      </c>
      <c r="B1671" s="165">
        <f>IFERROR(__xludf.DUMMYFUNCTION("""COMPUTED_VALUE"""),46169.0)</f>
        <v>46169</v>
      </c>
      <c r="C1671" s="165" t="str">
        <f>IFERROR(__xludf.DUMMYFUNCTION("""COMPUTED_VALUE"""),"KYAI KONTONG")</f>
        <v>KYAI KONTONG</v>
      </c>
      <c r="D1671" s="94">
        <f>IFERROR(__xludf.DUMMYFUNCTION("""COMPUTED_VALUE"""),10.0)</f>
        <v>10</v>
      </c>
    </row>
    <row r="1672">
      <c r="A1672" s="87" t="str">
        <f>IFERROR(__xludf.DUMMYFUNCTION("""COMPUTED_VALUE"""),"ITBISA-IC-L7805CV-TO220")</f>
        <v>ITBISA-IC-L7805CV-TO220</v>
      </c>
      <c r="B1672" s="165">
        <f>IFERROR(__xludf.DUMMYFUNCTION("""COMPUTED_VALUE"""),46169.0)</f>
        <v>46169</v>
      </c>
      <c r="C1672" s="165" t="str">
        <f>IFERROR(__xludf.DUMMYFUNCTION("""COMPUTED_VALUE"""),"KYAI KONTONG")</f>
        <v>KYAI KONTONG</v>
      </c>
      <c r="D1672" s="94">
        <f>IFERROR(__xludf.DUMMYFUNCTION("""COMPUTED_VALUE"""),15.0)</f>
        <v>15</v>
      </c>
    </row>
    <row r="1673">
      <c r="A1673" s="87" t="str">
        <f>IFERROR(__xludf.DUMMYFUNCTION("""COMPUTED_VALUE"""),"ITBISA-IC-L7805CV-TO220")</f>
        <v>ITBISA-IC-L7805CV-TO220</v>
      </c>
      <c r="B1673" s="165">
        <f>IFERROR(__xludf.DUMMYFUNCTION("""COMPUTED_VALUE"""),46169.0)</f>
        <v>46169</v>
      </c>
      <c r="C1673" s="165" t="str">
        <f>IFERROR(__xludf.DUMMYFUNCTION("""COMPUTED_VALUE"""),"KYAI KONTONG")</f>
        <v>KYAI KONTONG</v>
      </c>
      <c r="D1673" s="94">
        <f>IFERROR(__xludf.DUMMYFUNCTION("""COMPUTED_VALUE"""),20.0)</f>
        <v>20</v>
      </c>
    </row>
    <row r="1674">
      <c r="A1674" s="87" t="str">
        <f>IFERROR(__xludf.DUMMYFUNCTION("""COMPUTED_VALUE"""),"ITBISA-IC-L7805CV-TO220")</f>
        <v>ITBISA-IC-L7805CV-TO220</v>
      </c>
      <c r="B1674" s="165">
        <f>IFERROR(__xludf.DUMMYFUNCTION("""COMPUTED_VALUE"""),46170.0)</f>
        <v>46170</v>
      </c>
      <c r="C1674" s="165" t="str">
        <f>IFERROR(__xludf.DUMMYFUNCTION("""COMPUTED_VALUE"""),"KYAI KONTONG")</f>
        <v>KYAI KONTONG</v>
      </c>
      <c r="D1674" s="94">
        <f>IFERROR(__xludf.DUMMYFUNCTION("""COMPUTED_VALUE"""),4.0)</f>
        <v>4</v>
      </c>
    </row>
    <row r="1675">
      <c r="A1675" s="87" t="str">
        <f>IFERROR(__xludf.DUMMYFUNCTION("""COMPUTED_VALUE"""),"ITBISA-IC-L7805CV-TO220")</f>
        <v>ITBISA-IC-L7805CV-TO220</v>
      </c>
      <c r="B1675" s="165">
        <f>IFERROR(__xludf.DUMMYFUNCTION("""COMPUTED_VALUE"""),46170.0)</f>
        <v>46170</v>
      </c>
      <c r="C1675" s="165" t="str">
        <f>IFERROR(__xludf.DUMMYFUNCTION("""COMPUTED_VALUE"""),"KYAI KONTONG")</f>
        <v>KYAI KONTONG</v>
      </c>
      <c r="D1675" s="94">
        <f>IFERROR(__xludf.DUMMYFUNCTION("""COMPUTED_VALUE"""),15.0)</f>
        <v>15</v>
      </c>
    </row>
    <row r="1676">
      <c r="A1676" s="87" t="str">
        <f>IFERROR(__xludf.DUMMYFUNCTION("""COMPUTED_VALUE"""),"ITBISA-IC-L7805CV-TO220")</f>
        <v>ITBISA-IC-L7805CV-TO220</v>
      </c>
      <c r="B1676" s="165">
        <f>IFERROR(__xludf.DUMMYFUNCTION("""COMPUTED_VALUE"""),46170.0)</f>
        <v>46170</v>
      </c>
      <c r="C1676" s="165" t="str">
        <f>IFERROR(__xludf.DUMMYFUNCTION("""COMPUTED_VALUE"""),"KYAI KONTONG")</f>
        <v>KYAI KONTONG</v>
      </c>
      <c r="D1676" s="94">
        <f>IFERROR(__xludf.DUMMYFUNCTION("""COMPUTED_VALUE"""),50.0)</f>
        <v>50</v>
      </c>
    </row>
    <row r="1677">
      <c r="A1677" s="87" t="str">
        <f>IFERROR(__xludf.DUMMYFUNCTION("""COMPUTED_VALUE"""),"ITBISA-IC-L7805CV-TO220")</f>
        <v>ITBISA-IC-L7805CV-TO220</v>
      </c>
      <c r="B1677" s="165">
        <f>IFERROR(__xludf.DUMMYFUNCTION("""COMPUTED_VALUE"""),46170.0)</f>
        <v>46170</v>
      </c>
      <c r="C1677" s="165" t="str">
        <f>IFERROR(__xludf.DUMMYFUNCTION("""COMPUTED_VALUE"""),"KYAI KONTONG")</f>
        <v>KYAI KONTONG</v>
      </c>
      <c r="D1677" s="94">
        <f>IFERROR(__xludf.DUMMYFUNCTION("""COMPUTED_VALUE"""),50.0)</f>
        <v>50</v>
      </c>
    </row>
    <row r="1678">
      <c r="A1678" s="87" t="str">
        <f>IFERROR(__xludf.DUMMYFUNCTION("""COMPUTED_VALUE"""),"ITBISA-IC-L7805CV-TO220")</f>
        <v>ITBISA-IC-L7805CV-TO220</v>
      </c>
      <c r="B1678" s="165">
        <f>IFERROR(__xludf.DUMMYFUNCTION("""COMPUTED_VALUE"""),46172.0)</f>
        <v>46172</v>
      </c>
      <c r="C1678" s="165" t="str">
        <f>IFERROR(__xludf.DUMMYFUNCTION("""COMPUTED_VALUE"""),"KYAI KONTONG")</f>
        <v>KYAI KONTONG</v>
      </c>
      <c r="D1678" s="94">
        <f>IFERROR(__xludf.DUMMYFUNCTION("""COMPUTED_VALUE"""),10.0)</f>
        <v>10</v>
      </c>
    </row>
    <row r="1679">
      <c r="A1679" s="87" t="str">
        <f>IFERROR(__xludf.DUMMYFUNCTION("""COMPUTED_VALUE"""),"ITBISA-IC-L7805CV-TO220")</f>
        <v>ITBISA-IC-L7805CV-TO220</v>
      </c>
      <c r="B1679" s="165">
        <f>IFERROR(__xludf.DUMMYFUNCTION("""COMPUTED_VALUE"""),46172.0)</f>
        <v>46172</v>
      </c>
      <c r="C1679" s="165" t="str">
        <f>IFERROR(__xludf.DUMMYFUNCTION("""COMPUTED_VALUE"""),"KYAI KONTONG")</f>
        <v>KYAI KONTONG</v>
      </c>
      <c r="D1679" s="94">
        <f>IFERROR(__xludf.DUMMYFUNCTION("""COMPUTED_VALUE"""),30.0)</f>
        <v>30</v>
      </c>
    </row>
    <row r="1680">
      <c r="A1680" s="87" t="str">
        <f>IFERROR(__xludf.DUMMYFUNCTION("""COMPUTED_VALUE"""),"ITBISA-IC-L7805CV-TO220")</f>
        <v>ITBISA-IC-L7805CV-TO220</v>
      </c>
      <c r="B1680" s="165">
        <f>IFERROR(__xludf.DUMMYFUNCTION("""COMPUTED_VALUE"""),46172.0)</f>
        <v>46172</v>
      </c>
      <c r="C1680" s="165" t="str">
        <f>IFERROR(__xludf.DUMMYFUNCTION("""COMPUTED_VALUE"""),"KYAI KONTONG")</f>
        <v>KYAI KONTONG</v>
      </c>
      <c r="D1680" s="94">
        <f>IFERROR(__xludf.DUMMYFUNCTION("""COMPUTED_VALUE"""),100.0)</f>
        <v>100</v>
      </c>
    </row>
    <row r="1681">
      <c r="A1681" s="87" t="str">
        <f>IFERROR(__xludf.DUMMYFUNCTION("""COMPUTED_VALUE"""),"ITBISA-IC-L7805CV-TO220")</f>
        <v>ITBISA-IC-L7805CV-TO220</v>
      </c>
      <c r="B1681" s="165">
        <f>IFERROR(__xludf.DUMMYFUNCTION("""COMPUTED_VALUE"""),46174.0)</f>
        <v>46174</v>
      </c>
      <c r="C1681" s="165" t="str">
        <f>IFERROR(__xludf.DUMMYFUNCTION("""COMPUTED_VALUE"""),"KYAI KONTONG")</f>
        <v>KYAI KONTONG</v>
      </c>
      <c r="D1681" s="94">
        <f>IFERROR(__xludf.DUMMYFUNCTION("""COMPUTED_VALUE"""),1.0)</f>
        <v>1</v>
      </c>
    </row>
    <row r="1682">
      <c r="A1682" s="87" t="str">
        <f>IFERROR(__xludf.DUMMYFUNCTION("""COMPUTED_VALUE"""),"ITBISA-IC-L7805CV-TO220")</f>
        <v>ITBISA-IC-L7805CV-TO220</v>
      </c>
      <c r="B1682" s="165">
        <f>IFERROR(__xludf.DUMMYFUNCTION("""COMPUTED_VALUE"""),46176.0)</f>
        <v>46176</v>
      </c>
      <c r="C1682" s="165" t="str">
        <f>IFERROR(__xludf.DUMMYFUNCTION("""COMPUTED_VALUE"""),"KYAI KONTONG")</f>
        <v>KYAI KONTONG</v>
      </c>
      <c r="D1682" s="94">
        <f>IFERROR(__xludf.DUMMYFUNCTION("""COMPUTED_VALUE"""),20.0)</f>
        <v>20</v>
      </c>
    </row>
    <row r="1683">
      <c r="A1683" s="87" t="str">
        <f>IFERROR(__xludf.DUMMYFUNCTION("""COMPUTED_VALUE"""),"ITBISA-IC-L7805CV-TO220")</f>
        <v>ITBISA-IC-L7805CV-TO220</v>
      </c>
      <c r="B1683" s="165">
        <f>IFERROR(__xludf.DUMMYFUNCTION("""COMPUTED_VALUE"""),46177.0)</f>
        <v>46177</v>
      </c>
      <c r="C1683" s="165" t="str">
        <f>IFERROR(__xludf.DUMMYFUNCTION("""COMPUTED_VALUE"""),"KYAI KONTONG")</f>
        <v>KYAI KONTONG</v>
      </c>
      <c r="D1683" s="94">
        <f>IFERROR(__xludf.DUMMYFUNCTION("""COMPUTED_VALUE"""),1.0)</f>
        <v>1</v>
      </c>
    </row>
    <row r="1684">
      <c r="A1684" s="87" t="str">
        <f>IFERROR(__xludf.DUMMYFUNCTION("""COMPUTED_VALUE"""),"ITBISA-IC-L7805CV-TO220")</f>
        <v>ITBISA-IC-L7805CV-TO220</v>
      </c>
      <c r="B1684" s="165">
        <f>IFERROR(__xludf.DUMMYFUNCTION("""COMPUTED_VALUE"""),46177.0)</f>
        <v>46177</v>
      </c>
      <c r="C1684" s="165" t="str">
        <f>IFERROR(__xludf.DUMMYFUNCTION("""COMPUTED_VALUE"""),"KYAI KONTONG")</f>
        <v>KYAI KONTONG</v>
      </c>
      <c r="D1684" s="94">
        <f>IFERROR(__xludf.DUMMYFUNCTION("""COMPUTED_VALUE"""),30.0)</f>
        <v>30</v>
      </c>
    </row>
    <row r="1685">
      <c r="A1685" s="87" t="str">
        <f>IFERROR(__xludf.DUMMYFUNCTION("""COMPUTED_VALUE"""),"ITBISA-IC-L7805CV-TO220")</f>
        <v>ITBISA-IC-L7805CV-TO220</v>
      </c>
      <c r="B1685" s="165">
        <f>IFERROR(__xludf.DUMMYFUNCTION("""COMPUTED_VALUE"""),46177.0)</f>
        <v>46177</v>
      </c>
      <c r="C1685" s="165" t="str">
        <f>IFERROR(__xludf.DUMMYFUNCTION("""COMPUTED_VALUE"""),"KYAI KONTONG")</f>
        <v>KYAI KONTONG</v>
      </c>
      <c r="D1685" s="94">
        <f>IFERROR(__xludf.DUMMYFUNCTION("""COMPUTED_VALUE"""),50.0)</f>
        <v>50</v>
      </c>
    </row>
    <row r="1686">
      <c r="A1686" s="87" t="str">
        <f>IFERROR(__xludf.DUMMYFUNCTION("""COMPUTED_VALUE"""),"ITBISA-IC-L7805CV-TO220")</f>
        <v>ITBISA-IC-L7805CV-TO220</v>
      </c>
      <c r="B1686" s="165">
        <f>IFERROR(__xludf.DUMMYFUNCTION("""COMPUTED_VALUE"""),46178.0)</f>
        <v>46178</v>
      </c>
      <c r="C1686" s="165" t="str">
        <f>IFERROR(__xludf.DUMMYFUNCTION("""COMPUTED_VALUE"""),"KYAI KONTONG")</f>
        <v>KYAI KONTONG</v>
      </c>
      <c r="D1686" s="94">
        <f>IFERROR(__xludf.DUMMYFUNCTION("""COMPUTED_VALUE"""),16.0)</f>
        <v>16</v>
      </c>
    </row>
    <row r="1687">
      <c r="A1687" s="87" t="str">
        <f>IFERROR(__xludf.DUMMYFUNCTION("""COMPUTED_VALUE"""),"ITBISA-IC-L7805CV-TO220")</f>
        <v>ITBISA-IC-L7805CV-TO220</v>
      </c>
      <c r="B1687" s="165">
        <f>IFERROR(__xludf.DUMMYFUNCTION("""COMPUTED_VALUE"""),46178.0)</f>
        <v>46178</v>
      </c>
      <c r="C1687" s="165" t="str">
        <f>IFERROR(__xludf.DUMMYFUNCTION("""COMPUTED_VALUE"""),"KYAI KONTONG")</f>
        <v>KYAI KONTONG</v>
      </c>
      <c r="D1687" s="94">
        <f>IFERROR(__xludf.DUMMYFUNCTION("""COMPUTED_VALUE"""),300.0)</f>
        <v>300</v>
      </c>
    </row>
    <row r="1688">
      <c r="A1688" s="87" t="str">
        <f>IFERROR(__xludf.DUMMYFUNCTION("""COMPUTED_VALUE"""),"ITBISA-IC-L7805CV-TO220")</f>
        <v>ITBISA-IC-L7805CV-TO220</v>
      </c>
      <c r="B1688" s="165">
        <f>IFERROR(__xludf.DUMMYFUNCTION("""COMPUTED_VALUE"""),46179.0)</f>
        <v>46179</v>
      </c>
      <c r="C1688" s="165" t="str">
        <f>IFERROR(__xludf.DUMMYFUNCTION("""COMPUTED_VALUE"""),"KYAI KONTONG")</f>
        <v>KYAI KONTONG</v>
      </c>
      <c r="D1688" s="94">
        <f>IFERROR(__xludf.DUMMYFUNCTION("""COMPUTED_VALUE"""),15.0)</f>
        <v>15</v>
      </c>
    </row>
    <row r="1689">
      <c r="A1689" s="87" t="str">
        <f>IFERROR(__xludf.DUMMYFUNCTION("""COMPUTED_VALUE"""),"ITBISA-IC-L7805CV-TO220")</f>
        <v>ITBISA-IC-L7805CV-TO220</v>
      </c>
      <c r="B1689" s="165">
        <f>IFERROR(__xludf.DUMMYFUNCTION("""COMPUTED_VALUE"""),46179.0)</f>
        <v>46179</v>
      </c>
      <c r="C1689" s="165" t="str">
        <f>IFERROR(__xludf.DUMMYFUNCTION("""COMPUTED_VALUE"""),"KYAI KONTONG")</f>
        <v>KYAI KONTONG</v>
      </c>
      <c r="D1689" s="94">
        <f>IFERROR(__xludf.DUMMYFUNCTION("""COMPUTED_VALUE"""),15.0)</f>
        <v>15</v>
      </c>
    </row>
    <row r="1690">
      <c r="A1690" s="87" t="str">
        <f>IFERROR(__xludf.DUMMYFUNCTION("""COMPUTED_VALUE"""),"ITBISA-IC-L7805CV-TO220")</f>
        <v>ITBISA-IC-L7805CV-TO220</v>
      </c>
      <c r="B1690" s="165">
        <f>IFERROR(__xludf.DUMMYFUNCTION("""COMPUTED_VALUE"""),46180.0)</f>
        <v>46180</v>
      </c>
      <c r="C1690" s="165" t="str">
        <f>IFERROR(__xludf.DUMMYFUNCTION("""COMPUTED_VALUE"""),"KYAI KONTONG")</f>
        <v>KYAI KONTONG</v>
      </c>
      <c r="D1690" s="94">
        <f>IFERROR(__xludf.DUMMYFUNCTION("""COMPUTED_VALUE"""),20.0)</f>
        <v>20</v>
      </c>
    </row>
    <row r="1691">
      <c r="A1691" s="87" t="str">
        <f>IFERROR(__xludf.DUMMYFUNCTION("""COMPUTED_VALUE"""),"ITBISA-IC-L7805CV-TO220")</f>
        <v>ITBISA-IC-L7805CV-TO220</v>
      </c>
      <c r="B1691" s="165">
        <f>IFERROR(__xludf.DUMMYFUNCTION("""COMPUTED_VALUE"""),46181.0)</f>
        <v>46181</v>
      </c>
      <c r="C1691" s="165" t="str">
        <f>IFERROR(__xludf.DUMMYFUNCTION("""COMPUTED_VALUE"""),"KYAI KONTONG")</f>
        <v>KYAI KONTONG</v>
      </c>
      <c r="D1691" s="94">
        <f>IFERROR(__xludf.DUMMYFUNCTION("""COMPUTED_VALUE"""),10.0)</f>
        <v>10</v>
      </c>
    </row>
    <row r="1692">
      <c r="A1692" s="87" t="str">
        <f>IFERROR(__xludf.DUMMYFUNCTION("""COMPUTED_VALUE"""),"ITBISA-IC-L7805CV-TO220")</f>
        <v>ITBISA-IC-L7805CV-TO220</v>
      </c>
      <c r="B1692" s="165">
        <f>IFERROR(__xludf.DUMMYFUNCTION("""COMPUTED_VALUE"""),46181.0)</f>
        <v>46181</v>
      </c>
      <c r="C1692" s="165" t="str">
        <f>IFERROR(__xludf.DUMMYFUNCTION("""COMPUTED_VALUE"""),"KYAI KONTONG")</f>
        <v>KYAI KONTONG</v>
      </c>
      <c r="D1692" s="94">
        <f>IFERROR(__xludf.DUMMYFUNCTION("""COMPUTED_VALUE"""),10.0)</f>
        <v>10</v>
      </c>
    </row>
    <row r="1693">
      <c r="A1693" s="87" t="str">
        <f>IFERROR(__xludf.DUMMYFUNCTION("""COMPUTED_VALUE"""),"ITBISA-IC-L7805CV-TO220")</f>
        <v>ITBISA-IC-L7805CV-TO220</v>
      </c>
      <c r="B1693" s="165">
        <f>IFERROR(__xludf.DUMMYFUNCTION("""COMPUTED_VALUE"""),46182.0)</f>
        <v>46182</v>
      </c>
      <c r="C1693" s="165" t="str">
        <f>IFERROR(__xludf.DUMMYFUNCTION("""COMPUTED_VALUE"""),"KYAI KONTONG")</f>
        <v>KYAI KONTONG</v>
      </c>
      <c r="D1693" s="94">
        <f>IFERROR(__xludf.DUMMYFUNCTION("""COMPUTED_VALUE"""),10.0)</f>
        <v>10</v>
      </c>
    </row>
    <row r="1694">
      <c r="A1694" s="87" t="str">
        <f>IFERROR(__xludf.DUMMYFUNCTION("""COMPUTED_VALUE"""),"ITBISA-IC-L7805CV-TO220")</f>
        <v>ITBISA-IC-L7805CV-TO220</v>
      </c>
      <c r="B1694" s="165">
        <f>IFERROR(__xludf.DUMMYFUNCTION("""COMPUTED_VALUE"""),46183.0)</f>
        <v>46183</v>
      </c>
      <c r="C1694" s="165" t="str">
        <f>IFERROR(__xludf.DUMMYFUNCTION("""COMPUTED_VALUE"""),"KYAI KONTONG")</f>
        <v>KYAI KONTONG</v>
      </c>
      <c r="D1694" s="94">
        <f>IFERROR(__xludf.DUMMYFUNCTION("""COMPUTED_VALUE"""),1.0)</f>
        <v>1</v>
      </c>
    </row>
    <row r="1695">
      <c r="A1695" s="87" t="str">
        <f>IFERROR(__xludf.DUMMYFUNCTION("""COMPUTED_VALUE"""),"ITBISA-IC-L7805CV-TO220")</f>
        <v>ITBISA-IC-L7805CV-TO220</v>
      </c>
      <c r="B1695" s="165">
        <f>IFERROR(__xludf.DUMMYFUNCTION("""COMPUTED_VALUE"""),46184.0)</f>
        <v>46184</v>
      </c>
      <c r="C1695" s="165" t="str">
        <f>IFERROR(__xludf.DUMMYFUNCTION("""COMPUTED_VALUE"""),"KYAI KONTONG")</f>
        <v>KYAI KONTONG</v>
      </c>
      <c r="D1695" s="94">
        <f>IFERROR(__xludf.DUMMYFUNCTION("""COMPUTED_VALUE"""),10.0)</f>
        <v>10</v>
      </c>
    </row>
    <row r="1696">
      <c r="A1696" s="87" t="str">
        <f>IFERROR(__xludf.DUMMYFUNCTION("""COMPUTED_VALUE"""),"ITBISA-IC-L7805CV-TO220")</f>
        <v>ITBISA-IC-L7805CV-TO220</v>
      </c>
      <c r="B1696" s="165">
        <f>IFERROR(__xludf.DUMMYFUNCTION("""COMPUTED_VALUE"""),46185.0)</f>
        <v>46185</v>
      </c>
      <c r="C1696" s="165" t="str">
        <f>IFERROR(__xludf.DUMMYFUNCTION("""COMPUTED_VALUE"""),"KYAI KONTONG")</f>
        <v>KYAI KONTONG</v>
      </c>
      <c r="D1696" s="94">
        <f>IFERROR(__xludf.DUMMYFUNCTION("""COMPUTED_VALUE"""),10.0)</f>
        <v>10</v>
      </c>
    </row>
    <row r="1697">
      <c r="A1697" s="87" t="str">
        <f>IFERROR(__xludf.DUMMYFUNCTION("""COMPUTED_VALUE"""),"ITBISA-IC-L7805CV-TO220")</f>
        <v>ITBISA-IC-L7805CV-TO220</v>
      </c>
      <c r="B1697" s="165">
        <f>IFERROR(__xludf.DUMMYFUNCTION("""COMPUTED_VALUE"""),46186.0)</f>
        <v>46186</v>
      </c>
      <c r="C1697" s="165" t="str">
        <f>IFERROR(__xludf.DUMMYFUNCTION("""COMPUTED_VALUE"""),"KYAI KONTONG")</f>
        <v>KYAI KONTONG</v>
      </c>
      <c r="D1697" s="94">
        <f>IFERROR(__xludf.DUMMYFUNCTION("""COMPUTED_VALUE"""),10.0)</f>
        <v>10</v>
      </c>
    </row>
    <row r="1698">
      <c r="A1698" s="87" t="str">
        <f>IFERROR(__xludf.DUMMYFUNCTION("""COMPUTED_VALUE"""),"ITBISA-IC-L7805CV-TO220")</f>
        <v>ITBISA-IC-L7805CV-TO220</v>
      </c>
      <c r="B1698" s="165">
        <f>IFERROR(__xludf.DUMMYFUNCTION("""COMPUTED_VALUE"""),46186.0)</f>
        <v>46186</v>
      </c>
      <c r="C1698" s="165" t="str">
        <f>IFERROR(__xludf.DUMMYFUNCTION("""COMPUTED_VALUE"""),"KYAI KONTONG")</f>
        <v>KYAI KONTONG</v>
      </c>
      <c r="D1698" s="94">
        <f>IFERROR(__xludf.DUMMYFUNCTION("""COMPUTED_VALUE"""),18.0)</f>
        <v>18</v>
      </c>
    </row>
    <row r="1699">
      <c r="A1699" s="87" t="str">
        <f>IFERROR(__xludf.DUMMYFUNCTION("""COMPUTED_VALUE"""),"ITBISA-IC-L7805CV-TO220")</f>
        <v>ITBISA-IC-L7805CV-TO220</v>
      </c>
      <c r="B1699" s="165">
        <f>IFERROR(__xludf.DUMMYFUNCTION("""COMPUTED_VALUE"""),46186.0)</f>
        <v>46186</v>
      </c>
      <c r="C1699" s="165" t="str">
        <f>IFERROR(__xludf.DUMMYFUNCTION("""COMPUTED_VALUE"""),"KYAI KONTONG")</f>
        <v>KYAI KONTONG</v>
      </c>
      <c r="D1699" s="94">
        <f>IFERROR(__xludf.DUMMYFUNCTION("""COMPUTED_VALUE"""),20.0)</f>
        <v>20</v>
      </c>
    </row>
    <row r="1700">
      <c r="A1700" s="87" t="str">
        <f>IFERROR(__xludf.DUMMYFUNCTION("""COMPUTED_VALUE"""),"ITBISA-IC-L7805CV-TO220")</f>
        <v>ITBISA-IC-L7805CV-TO220</v>
      </c>
      <c r="B1700" s="165">
        <f>IFERROR(__xludf.DUMMYFUNCTION("""COMPUTED_VALUE"""),46187.0)</f>
        <v>46187</v>
      </c>
      <c r="C1700" s="165" t="str">
        <f>IFERROR(__xludf.DUMMYFUNCTION("""COMPUTED_VALUE"""),"KYAI KONTONG")</f>
        <v>KYAI KONTONG</v>
      </c>
      <c r="D1700" s="94">
        <f>IFERROR(__xludf.DUMMYFUNCTION("""COMPUTED_VALUE"""),10.0)</f>
        <v>10</v>
      </c>
    </row>
    <row r="1701">
      <c r="A1701" s="87" t="str">
        <f>IFERROR(__xludf.DUMMYFUNCTION("""COMPUTED_VALUE"""),"ITBISA-IC-L7805CV-TO220")</f>
        <v>ITBISA-IC-L7805CV-TO220</v>
      </c>
      <c r="B1701" s="165">
        <f>IFERROR(__xludf.DUMMYFUNCTION("""COMPUTED_VALUE"""),46188.0)</f>
        <v>46188</v>
      </c>
      <c r="C1701" s="165" t="str">
        <f>IFERROR(__xludf.DUMMYFUNCTION("""COMPUTED_VALUE"""),"KYAI KONTONG")</f>
        <v>KYAI KONTONG</v>
      </c>
      <c r="D1701" s="94">
        <f>IFERROR(__xludf.DUMMYFUNCTION("""COMPUTED_VALUE"""),10.0)</f>
        <v>10</v>
      </c>
    </row>
    <row r="1702">
      <c r="A1702" s="87" t="str">
        <f>IFERROR(__xludf.DUMMYFUNCTION("""COMPUTED_VALUE"""),"ITBISA-IC-L7805CV-TO220")</f>
        <v>ITBISA-IC-L7805CV-TO220</v>
      </c>
      <c r="B1702" s="165">
        <f>IFERROR(__xludf.DUMMYFUNCTION("""COMPUTED_VALUE"""),46188.0)</f>
        <v>46188</v>
      </c>
      <c r="C1702" s="165" t="str">
        <f>IFERROR(__xludf.DUMMYFUNCTION("""COMPUTED_VALUE"""),"KYAI KONTONG")</f>
        <v>KYAI KONTONG</v>
      </c>
      <c r="D1702" s="94">
        <f>IFERROR(__xludf.DUMMYFUNCTION("""COMPUTED_VALUE"""),10.0)</f>
        <v>10</v>
      </c>
    </row>
    <row r="1703">
      <c r="A1703" s="87" t="str">
        <f>IFERROR(__xludf.DUMMYFUNCTION("""COMPUTED_VALUE"""),"ITBISA-IC-L7805CV-TO220")</f>
        <v>ITBISA-IC-L7805CV-TO220</v>
      </c>
      <c r="B1703" s="165">
        <f>IFERROR(__xludf.DUMMYFUNCTION("""COMPUTED_VALUE"""),46188.0)</f>
        <v>46188</v>
      </c>
      <c r="C1703" s="165" t="str">
        <f>IFERROR(__xludf.DUMMYFUNCTION("""COMPUTED_VALUE"""),"KYAI KONTONG")</f>
        <v>KYAI KONTONG</v>
      </c>
      <c r="D1703" s="94">
        <f>IFERROR(__xludf.DUMMYFUNCTION("""COMPUTED_VALUE"""),10.0)</f>
        <v>10</v>
      </c>
    </row>
    <row r="1704">
      <c r="A1704" s="87" t="str">
        <f>IFERROR(__xludf.DUMMYFUNCTION("""COMPUTED_VALUE"""),"ITBISA-IC-L7805CV-TO220")</f>
        <v>ITBISA-IC-L7805CV-TO220</v>
      </c>
      <c r="B1704" s="165">
        <f>IFERROR(__xludf.DUMMYFUNCTION("""COMPUTED_VALUE"""),46188.0)</f>
        <v>46188</v>
      </c>
      <c r="C1704" s="165" t="str">
        <f>IFERROR(__xludf.DUMMYFUNCTION("""COMPUTED_VALUE"""),"KYAI KONTONG")</f>
        <v>KYAI KONTONG</v>
      </c>
      <c r="D1704" s="94">
        <f>IFERROR(__xludf.DUMMYFUNCTION("""COMPUTED_VALUE"""),20.0)</f>
        <v>20</v>
      </c>
    </row>
    <row r="1705">
      <c r="A1705" s="87" t="str">
        <f>IFERROR(__xludf.DUMMYFUNCTION("""COMPUTED_VALUE"""),"ITBISA-IC-L7805CV-TO220")</f>
        <v>ITBISA-IC-L7805CV-TO220</v>
      </c>
      <c r="B1705" s="165">
        <f>IFERROR(__xludf.DUMMYFUNCTION("""COMPUTED_VALUE"""),46188.0)</f>
        <v>46188</v>
      </c>
      <c r="C1705" s="165" t="str">
        <f>IFERROR(__xludf.DUMMYFUNCTION("""COMPUTED_VALUE"""),"KYAI KONTONG")</f>
        <v>KYAI KONTONG</v>
      </c>
      <c r="D1705" s="94">
        <f>IFERROR(__xludf.DUMMYFUNCTION("""COMPUTED_VALUE"""),50.0)</f>
        <v>50</v>
      </c>
    </row>
    <row r="1706">
      <c r="A1706" s="87" t="str">
        <f>IFERROR(__xludf.DUMMYFUNCTION("""COMPUTED_VALUE"""),"ITBISA-IC-L7805CV-TO220")</f>
        <v>ITBISA-IC-L7805CV-TO220</v>
      </c>
      <c r="B1706" s="165">
        <f>IFERROR(__xludf.DUMMYFUNCTION("""COMPUTED_VALUE"""),46188.0)</f>
        <v>46188</v>
      </c>
      <c r="C1706" s="165" t="str">
        <f>IFERROR(__xludf.DUMMYFUNCTION("""COMPUTED_VALUE"""),"KYAI KONTONG")</f>
        <v>KYAI KONTONG</v>
      </c>
      <c r="D1706" s="94">
        <f>IFERROR(__xludf.DUMMYFUNCTION("""COMPUTED_VALUE"""),100.0)</f>
        <v>100</v>
      </c>
    </row>
    <row r="1707">
      <c r="A1707" s="87" t="str">
        <f>IFERROR(__xludf.DUMMYFUNCTION("""COMPUTED_VALUE"""),"ITBISA-IC-L7805CV-TO220")</f>
        <v>ITBISA-IC-L7805CV-TO220</v>
      </c>
      <c r="B1707" s="165">
        <f>IFERROR(__xludf.DUMMYFUNCTION("""COMPUTED_VALUE"""),46189.0)</f>
        <v>46189</v>
      </c>
      <c r="C1707" s="165" t="str">
        <f>IFERROR(__xludf.DUMMYFUNCTION("""COMPUTED_VALUE"""),"KYAI KONTONG")</f>
        <v>KYAI KONTONG</v>
      </c>
      <c r="D1707" s="94">
        <f>IFERROR(__xludf.DUMMYFUNCTION("""COMPUTED_VALUE"""),150.0)</f>
        <v>150</v>
      </c>
    </row>
    <row r="1708">
      <c r="A1708" s="87" t="str">
        <f>IFERROR(__xludf.DUMMYFUNCTION("""COMPUTED_VALUE"""),"ITBISA-IC-L7805CV-TO220")</f>
        <v>ITBISA-IC-L7805CV-TO220</v>
      </c>
      <c r="B1708" s="165">
        <f>IFERROR(__xludf.DUMMYFUNCTION("""COMPUTED_VALUE"""),46189.0)</f>
        <v>46189</v>
      </c>
      <c r="C1708" s="165" t="str">
        <f>IFERROR(__xludf.DUMMYFUNCTION("""COMPUTED_VALUE"""),"KYAI KONTONG")</f>
        <v>KYAI KONTONG</v>
      </c>
      <c r="D1708" s="94">
        <f>IFERROR(__xludf.DUMMYFUNCTION("""COMPUTED_VALUE"""),200.0)</f>
        <v>200</v>
      </c>
    </row>
    <row r="1709">
      <c r="A1709" s="87" t="str">
        <f>IFERROR(__xludf.DUMMYFUNCTION("""COMPUTED_VALUE"""),"ITBISA-IC-L7805CV-TO220")</f>
        <v>ITBISA-IC-L7805CV-TO220</v>
      </c>
      <c r="B1709" s="165">
        <f>IFERROR(__xludf.DUMMYFUNCTION("""COMPUTED_VALUE"""),46190.0)</f>
        <v>46190</v>
      </c>
      <c r="C1709" s="165" t="str">
        <f>IFERROR(__xludf.DUMMYFUNCTION("""COMPUTED_VALUE"""),"KYAI KONTONG")</f>
        <v>KYAI KONTONG</v>
      </c>
      <c r="D1709" s="94">
        <f>IFERROR(__xludf.DUMMYFUNCTION("""COMPUTED_VALUE"""),1.0)</f>
        <v>1</v>
      </c>
    </row>
    <row r="1710">
      <c r="A1710" s="87" t="str">
        <f>IFERROR(__xludf.DUMMYFUNCTION("""COMPUTED_VALUE"""),"ITBISA-IC-L7805CV-TO220")</f>
        <v>ITBISA-IC-L7805CV-TO220</v>
      </c>
      <c r="B1710" s="165">
        <f>IFERROR(__xludf.DUMMYFUNCTION("""COMPUTED_VALUE"""),46190.0)</f>
        <v>46190</v>
      </c>
      <c r="C1710" s="165" t="str">
        <f>IFERROR(__xludf.DUMMYFUNCTION("""COMPUTED_VALUE"""),"KYAI KONTONG")</f>
        <v>KYAI KONTONG</v>
      </c>
      <c r="D1710" s="94">
        <f>IFERROR(__xludf.DUMMYFUNCTION("""COMPUTED_VALUE"""),10.0)</f>
        <v>10</v>
      </c>
    </row>
    <row r="1711">
      <c r="A1711" s="87" t="str">
        <f>IFERROR(__xludf.DUMMYFUNCTION("""COMPUTED_VALUE"""),"ITBISA-IC-L7805CV-TO220")</f>
        <v>ITBISA-IC-L7805CV-TO220</v>
      </c>
      <c r="B1711" s="165">
        <f>IFERROR(__xludf.DUMMYFUNCTION("""COMPUTED_VALUE"""),46190.0)</f>
        <v>46190</v>
      </c>
      <c r="C1711" s="165" t="str">
        <f>IFERROR(__xludf.DUMMYFUNCTION("""COMPUTED_VALUE"""),"KYAI KONTONG")</f>
        <v>KYAI KONTONG</v>
      </c>
      <c r="D1711" s="94">
        <f>IFERROR(__xludf.DUMMYFUNCTION("""COMPUTED_VALUE"""),10.0)</f>
        <v>10</v>
      </c>
    </row>
    <row r="1712">
      <c r="A1712" s="87" t="str">
        <f>IFERROR(__xludf.DUMMYFUNCTION("""COMPUTED_VALUE"""),"ITBISA-IC-L7805CV-TO220")</f>
        <v>ITBISA-IC-L7805CV-TO220</v>
      </c>
      <c r="B1712" s="165">
        <f>IFERROR(__xludf.DUMMYFUNCTION("""COMPUTED_VALUE"""),46190.0)</f>
        <v>46190</v>
      </c>
      <c r="C1712" s="165" t="str">
        <f>IFERROR(__xludf.DUMMYFUNCTION("""COMPUTED_VALUE"""),"KYAI KONTONG")</f>
        <v>KYAI KONTONG</v>
      </c>
      <c r="D1712" s="94">
        <f>IFERROR(__xludf.DUMMYFUNCTION("""COMPUTED_VALUE"""),10.0)</f>
        <v>10</v>
      </c>
    </row>
    <row r="1713">
      <c r="A1713" s="87" t="str">
        <f>IFERROR(__xludf.DUMMYFUNCTION("""COMPUTED_VALUE"""),"ITBISA-IC-L7805CV-TO220")</f>
        <v>ITBISA-IC-L7805CV-TO220</v>
      </c>
      <c r="B1713" s="165">
        <f>IFERROR(__xludf.DUMMYFUNCTION("""COMPUTED_VALUE"""),46190.0)</f>
        <v>46190</v>
      </c>
      <c r="C1713" s="165" t="str">
        <f>IFERROR(__xludf.DUMMYFUNCTION("""COMPUTED_VALUE"""),"KYAI KONTONG")</f>
        <v>KYAI KONTONG</v>
      </c>
      <c r="D1713" s="94">
        <f>IFERROR(__xludf.DUMMYFUNCTION("""COMPUTED_VALUE"""),12.0)</f>
        <v>12</v>
      </c>
    </row>
    <row r="1714">
      <c r="A1714" s="87" t="str">
        <f>IFERROR(__xludf.DUMMYFUNCTION("""COMPUTED_VALUE"""),"ITBISA-IC-L7805CV-TO220")</f>
        <v>ITBISA-IC-L7805CV-TO220</v>
      </c>
      <c r="B1714" s="165">
        <f>IFERROR(__xludf.DUMMYFUNCTION("""COMPUTED_VALUE"""),46190.0)</f>
        <v>46190</v>
      </c>
      <c r="C1714" s="165" t="str">
        <f>IFERROR(__xludf.DUMMYFUNCTION("""COMPUTED_VALUE"""),"KYAI KONTONG")</f>
        <v>KYAI KONTONG</v>
      </c>
      <c r="D1714" s="94">
        <f>IFERROR(__xludf.DUMMYFUNCTION("""COMPUTED_VALUE"""),20.0)</f>
        <v>20</v>
      </c>
    </row>
    <row r="1715">
      <c r="A1715" s="87" t="str">
        <f>IFERROR(__xludf.DUMMYFUNCTION("""COMPUTED_VALUE"""),"ITBISA-IC-L7805CV-TO220")</f>
        <v>ITBISA-IC-L7805CV-TO220</v>
      </c>
      <c r="B1715" s="165">
        <f>IFERROR(__xludf.DUMMYFUNCTION("""COMPUTED_VALUE"""),46190.0)</f>
        <v>46190</v>
      </c>
      <c r="C1715" s="165" t="str">
        <f>IFERROR(__xludf.DUMMYFUNCTION("""COMPUTED_VALUE"""),"KYAI KONTONG")</f>
        <v>KYAI KONTONG</v>
      </c>
      <c r="D1715" s="94">
        <f>IFERROR(__xludf.DUMMYFUNCTION("""COMPUTED_VALUE"""),20.0)</f>
        <v>20</v>
      </c>
    </row>
    <row r="1716">
      <c r="A1716" s="87" t="str">
        <f>IFERROR(__xludf.DUMMYFUNCTION("""COMPUTED_VALUE"""),"ITBISA-IC-L7805CV-TO220")</f>
        <v>ITBISA-IC-L7805CV-TO220</v>
      </c>
      <c r="B1716" s="165">
        <f>IFERROR(__xludf.DUMMYFUNCTION("""COMPUTED_VALUE"""),46190.0)</f>
        <v>46190</v>
      </c>
      <c r="C1716" s="165" t="str">
        <f>IFERROR(__xludf.DUMMYFUNCTION("""COMPUTED_VALUE"""),"KYAI KONTONG")</f>
        <v>KYAI KONTONG</v>
      </c>
      <c r="D1716" s="94">
        <f>IFERROR(__xludf.DUMMYFUNCTION("""COMPUTED_VALUE"""),20.0)</f>
        <v>20</v>
      </c>
    </row>
    <row r="1717">
      <c r="A1717" s="87" t="str">
        <f>IFERROR(__xludf.DUMMYFUNCTION("""COMPUTED_VALUE"""),"ITBISA-IC-L7805CV-TO220")</f>
        <v>ITBISA-IC-L7805CV-TO220</v>
      </c>
      <c r="B1717" s="165">
        <f>IFERROR(__xludf.DUMMYFUNCTION("""COMPUTED_VALUE"""),46191.0)</f>
        <v>46191</v>
      </c>
      <c r="C1717" s="165" t="str">
        <f>IFERROR(__xludf.DUMMYFUNCTION("""COMPUTED_VALUE"""),"KYAI KONTONG")</f>
        <v>KYAI KONTONG</v>
      </c>
      <c r="D1717" s="94">
        <f>IFERROR(__xludf.DUMMYFUNCTION("""COMPUTED_VALUE"""),70.0)</f>
        <v>70</v>
      </c>
    </row>
    <row r="1718">
      <c r="A1718" s="87" t="str">
        <f>IFERROR(__xludf.DUMMYFUNCTION("""COMPUTED_VALUE"""),"ITBISA-IC-L7805CV-TO220")</f>
        <v>ITBISA-IC-L7805CV-TO220</v>
      </c>
      <c r="B1718" s="165">
        <f>IFERROR(__xludf.DUMMYFUNCTION("""COMPUTED_VALUE"""),46191.0)</f>
        <v>46191</v>
      </c>
      <c r="C1718" s="165" t="str">
        <f>IFERROR(__xludf.DUMMYFUNCTION("""COMPUTED_VALUE"""),"KYAI KONTONG")</f>
        <v>KYAI KONTONG</v>
      </c>
      <c r="D1718" s="94">
        <f>IFERROR(__xludf.DUMMYFUNCTION("""COMPUTED_VALUE"""),100.0)</f>
        <v>100</v>
      </c>
    </row>
    <row r="1719">
      <c r="A1719" s="87" t="str">
        <f>IFERROR(__xludf.DUMMYFUNCTION("""COMPUTED_VALUE"""),"ITBISA-IC-L7805CV-TO220")</f>
        <v>ITBISA-IC-L7805CV-TO220</v>
      </c>
      <c r="B1719" s="165">
        <f>IFERROR(__xludf.DUMMYFUNCTION("""COMPUTED_VALUE"""),46192.0)</f>
        <v>46192</v>
      </c>
      <c r="C1719" s="165" t="str">
        <f>IFERROR(__xludf.DUMMYFUNCTION("""COMPUTED_VALUE"""),"KYAI KONTONG")</f>
        <v>KYAI KONTONG</v>
      </c>
      <c r="D1719" s="94">
        <f>IFERROR(__xludf.DUMMYFUNCTION("""COMPUTED_VALUE"""),20.0)</f>
        <v>20</v>
      </c>
    </row>
    <row r="1720">
      <c r="A1720" s="87" t="str">
        <f>IFERROR(__xludf.DUMMYFUNCTION("""COMPUTED_VALUE"""),"ITBISA-IC-L7805CV-TO220")</f>
        <v>ITBISA-IC-L7805CV-TO220</v>
      </c>
      <c r="B1720" s="165">
        <f>IFERROR(__xludf.DUMMYFUNCTION("""COMPUTED_VALUE"""),46192.0)</f>
        <v>46192</v>
      </c>
      <c r="C1720" s="165" t="str">
        <f>IFERROR(__xludf.DUMMYFUNCTION("""COMPUTED_VALUE"""),"KYAI KONTONG")</f>
        <v>KYAI KONTONG</v>
      </c>
      <c r="D1720" s="94">
        <f>IFERROR(__xludf.DUMMYFUNCTION("""COMPUTED_VALUE"""),20.0)</f>
        <v>20</v>
      </c>
    </row>
    <row r="1721">
      <c r="A1721" s="87" t="str">
        <f>IFERROR(__xludf.DUMMYFUNCTION("""COMPUTED_VALUE"""),"ITBISA-IC-L7805CV-TO220")</f>
        <v>ITBISA-IC-L7805CV-TO220</v>
      </c>
      <c r="B1721" s="165">
        <f>IFERROR(__xludf.DUMMYFUNCTION("""COMPUTED_VALUE"""),46192.0)</f>
        <v>46192</v>
      </c>
      <c r="C1721" s="165" t="str">
        <f>IFERROR(__xludf.DUMMYFUNCTION("""COMPUTED_VALUE"""),"KYAI KONTONG")</f>
        <v>KYAI KONTONG</v>
      </c>
      <c r="D1721" s="94">
        <f>IFERROR(__xludf.DUMMYFUNCTION("""COMPUTED_VALUE"""),59.0)</f>
        <v>59</v>
      </c>
    </row>
    <row r="1722">
      <c r="A1722" s="87" t="str">
        <f>IFERROR(__xludf.DUMMYFUNCTION("""COMPUTED_VALUE"""),"ITBISA-IC-L7805CV-TO220")</f>
        <v>ITBISA-IC-L7805CV-TO220</v>
      </c>
      <c r="B1722" s="165">
        <f>IFERROR(__xludf.DUMMYFUNCTION("""COMPUTED_VALUE"""),46195.0)</f>
        <v>46195</v>
      </c>
      <c r="C1722" s="165" t="str">
        <f>IFERROR(__xludf.DUMMYFUNCTION("""COMPUTED_VALUE"""),"KYAI KONTONG")</f>
        <v>KYAI KONTONG</v>
      </c>
      <c r="D1722" s="94">
        <f>IFERROR(__xludf.DUMMYFUNCTION("""COMPUTED_VALUE"""),10.0)</f>
        <v>10</v>
      </c>
    </row>
    <row r="1723">
      <c r="A1723" s="87" t="str">
        <f>IFERROR(__xludf.DUMMYFUNCTION("""COMPUTED_VALUE"""),"ITBISA-IC-L7812CV-TO220")</f>
        <v>ITBISA-IC-L7812CV-TO220</v>
      </c>
      <c r="B1723" s="165">
        <f>IFERROR(__xludf.DUMMYFUNCTION("""COMPUTED_VALUE"""),46027.0)</f>
        <v>46027</v>
      </c>
      <c r="C1723" s="165" t="str">
        <f>IFERROR(__xludf.DUMMYFUNCTION("""COMPUTED_VALUE"""),"KYAI KONTONG")</f>
        <v>KYAI KONTONG</v>
      </c>
      <c r="D1723" s="94">
        <f>IFERROR(__xludf.DUMMYFUNCTION("""COMPUTED_VALUE"""),10.0)</f>
        <v>10</v>
      </c>
    </row>
    <row r="1724">
      <c r="A1724" s="87" t="str">
        <f>IFERROR(__xludf.DUMMYFUNCTION("""COMPUTED_VALUE"""),"ITBISA-IC-L7812CV-TO220")</f>
        <v>ITBISA-IC-L7812CV-TO220</v>
      </c>
      <c r="B1724" s="165">
        <f>IFERROR(__xludf.DUMMYFUNCTION("""COMPUTED_VALUE"""),46076.0)</f>
        <v>46076</v>
      </c>
      <c r="C1724" s="165" t="str">
        <f>IFERROR(__xludf.DUMMYFUNCTION("""COMPUTED_VALUE"""),"KYAI KONTONG")</f>
        <v>KYAI KONTONG</v>
      </c>
      <c r="D1724" s="94">
        <f>IFERROR(__xludf.DUMMYFUNCTION("""COMPUTED_VALUE"""),4.0)</f>
        <v>4</v>
      </c>
    </row>
    <row r="1725">
      <c r="A1725" s="87" t="str">
        <f>IFERROR(__xludf.DUMMYFUNCTION("""COMPUTED_VALUE"""),"ITBISA-IC-L7812CV-TO220")</f>
        <v>ITBISA-IC-L7812CV-TO220</v>
      </c>
      <c r="B1725" s="165">
        <f>IFERROR(__xludf.DUMMYFUNCTION("""COMPUTED_VALUE"""),46079.0)</f>
        <v>46079</v>
      </c>
      <c r="C1725" s="165" t="str">
        <f>IFERROR(__xludf.DUMMYFUNCTION("""COMPUTED_VALUE"""),"KYAI KONTONG")</f>
        <v>KYAI KONTONG</v>
      </c>
      <c r="D1725" s="94">
        <f>IFERROR(__xludf.DUMMYFUNCTION("""COMPUTED_VALUE"""),15.0)</f>
        <v>15</v>
      </c>
    </row>
    <row r="1726">
      <c r="A1726" s="87" t="str">
        <f>IFERROR(__xludf.DUMMYFUNCTION("""COMPUTED_VALUE"""),"ITBISA-IC-L7812CV-TO220")</f>
        <v>ITBISA-IC-L7812CV-TO220</v>
      </c>
      <c r="B1726" s="165">
        <f>IFERROR(__xludf.DUMMYFUNCTION("""COMPUTED_VALUE"""),46080.0)</f>
        <v>46080</v>
      </c>
      <c r="C1726" s="165" t="str">
        <f>IFERROR(__xludf.DUMMYFUNCTION("""COMPUTED_VALUE"""),"KERTASARI CIAMIS")</f>
        <v>KERTASARI CIAMIS</v>
      </c>
      <c r="D1726" s="94">
        <f>IFERROR(__xludf.DUMMYFUNCTION("""COMPUTED_VALUE"""),10.0)</f>
        <v>10</v>
      </c>
    </row>
    <row r="1727">
      <c r="A1727" s="87" t="str">
        <f>IFERROR(__xludf.DUMMYFUNCTION("""COMPUTED_VALUE"""),"ITBISA-IC-L7812CV-TO220")</f>
        <v>ITBISA-IC-L7812CV-TO220</v>
      </c>
      <c r="B1727" s="165">
        <f>IFERROR(__xludf.DUMMYFUNCTION("""COMPUTED_VALUE"""),46083.0)</f>
        <v>46083</v>
      </c>
      <c r="C1727" s="165" t="str">
        <f>IFERROR(__xludf.DUMMYFUNCTION("""COMPUTED_VALUE"""),"KYAI KONTONG")</f>
        <v>KYAI KONTONG</v>
      </c>
      <c r="D1727" s="94">
        <f>IFERROR(__xludf.DUMMYFUNCTION("""COMPUTED_VALUE"""),10.0)</f>
        <v>10</v>
      </c>
    </row>
    <row r="1728">
      <c r="A1728" s="87" t="str">
        <f>IFERROR(__xludf.DUMMYFUNCTION("""COMPUTED_VALUE"""),"ITBISA-IC-L7812CV-TO220")</f>
        <v>ITBISA-IC-L7812CV-TO220</v>
      </c>
      <c r="B1728" s="165">
        <f>IFERROR(__xludf.DUMMYFUNCTION("""COMPUTED_VALUE"""),46083.0)</f>
        <v>46083</v>
      </c>
      <c r="C1728" s="165" t="str">
        <f>IFERROR(__xludf.DUMMYFUNCTION("""COMPUTED_VALUE"""),"KYAI KONTONG")</f>
        <v>KYAI KONTONG</v>
      </c>
      <c r="D1728" s="94">
        <f>IFERROR(__xludf.DUMMYFUNCTION("""COMPUTED_VALUE"""),15.0)</f>
        <v>15</v>
      </c>
    </row>
    <row r="1729">
      <c r="A1729" s="87" t="str">
        <f>IFERROR(__xludf.DUMMYFUNCTION("""COMPUTED_VALUE"""),"ITBISA-IC-L7812CV-TO220")</f>
        <v>ITBISA-IC-L7812CV-TO220</v>
      </c>
      <c r="B1729" s="165">
        <f>IFERROR(__xludf.DUMMYFUNCTION("""COMPUTED_VALUE"""),46088.0)</f>
        <v>46088</v>
      </c>
      <c r="C1729" s="165" t="str">
        <f>IFERROR(__xludf.DUMMYFUNCTION("""COMPUTED_VALUE"""),"KYAI KONTONG")</f>
        <v>KYAI KONTONG</v>
      </c>
      <c r="D1729" s="94">
        <f>IFERROR(__xludf.DUMMYFUNCTION("""COMPUTED_VALUE"""),10.0)</f>
        <v>10</v>
      </c>
    </row>
    <row r="1730">
      <c r="A1730" s="87" t="str">
        <f>IFERROR(__xludf.DUMMYFUNCTION("""COMPUTED_VALUE"""),"ITBISA-IC-L7812CV-TO220")</f>
        <v>ITBISA-IC-L7812CV-TO220</v>
      </c>
      <c r="B1730" s="165">
        <f>IFERROR(__xludf.DUMMYFUNCTION("""COMPUTED_VALUE"""),46089.0)</f>
        <v>46089</v>
      </c>
      <c r="C1730" s="165" t="str">
        <f>IFERROR(__xludf.DUMMYFUNCTION("""COMPUTED_VALUE"""),"KYAI KONTONG")</f>
        <v>KYAI KONTONG</v>
      </c>
      <c r="D1730" s="94">
        <f>IFERROR(__xludf.DUMMYFUNCTION("""COMPUTED_VALUE"""),50.0)</f>
        <v>50</v>
      </c>
    </row>
    <row r="1731">
      <c r="A1731" s="87" t="str">
        <f>IFERROR(__xludf.DUMMYFUNCTION("""COMPUTED_VALUE"""),"ITBISA-IC-L7812CV-TO220")</f>
        <v>ITBISA-IC-L7812CV-TO220</v>
      </c>
      <c r="B1731" s="165">
        <f>IFERROR(__xludf.DUMMYFUNCTION("""COMPUTED_VALUE"""),46090.0)</f>
        <v>46090</v>
      </c>
      <c r="C1731" s="165" t="str">
        <f>IFERROR(__xludf.DUMMYFUNCTION("""COMPUTED_VALUE"""),"KYAI KONTONG")</f>
        <v>KYAI KONTONG</v>
      </c>
      <c r="D1731" s="94">
        <f>IFERROR(__xludf.DUMMYFUNCTION("""COMPUTED_VALUE"""),10.0)</f>
        <v>10</v>
      </c>
    </row>
    <row r="1732">
      <c r="A1732" s="87" t="str">
        <f>IFERROR(__xludf.DUMMYFUNCTION("""COMPUTED_VALUE"""),"ITBISA-IC-L7812CV-TO220")</f>
        <v>ITBISA-IC-L7812CV-TO220</v>
      </c>
      <c r="B1732" s="165">
        <f>IFERROR(__xludf.DUMMYFUNCTION("""COMPUTED_VALUE"""),46090.0)</f>
        <v>46090</v>
      </c>
      <c r="C1732" s="165" t="str">
        <f>IFERROR(__xludf.DUMMYFUNCTION("""COMPUTED_VALUE"""),"KYAI KONTONG")</f>
        <v>KYAI KONTONG</v>
      </c>
      <c r="D1732" s="94">
        <f>IFERROR(__xludf.DUMMYFUNCTION("""COMPUTED_VALUE"""),10.0)</f>
        <v>10</v>
      </c>
    </row>
    <row r="1733">
      <c r="A1733" s="87" t="str">
        <f>IFERROR(__xludf.DUMMYFUNCTION("""COMPUTED_VALUE"""),"ITBISA-IC-L7812CV-TO220")</f>
        <v>ITBISA-IC-L7812CV-TO220</v>
      </c>
      <c r="B1733" s="165">
        <f>IFERROR(__xludf.DUMMYFUNCTION("""COMPUTED_VALUE"""),46098.0)</f>
        <v>46098</v>
      </c>
      <c r="C1733" s="165" t="str">
        <f>IFERROR(__xludf.DUMMYFUNCTION("""COMPUTED_VALUE"""),"KYAI KONTONG")</f>
        <v>KYAI KONTONG</v>
      </c>
      <c r="D1733" s="94">
        <f>IFERROR(__xludf.DUMMYFUNCTION("""COMPUTED_VALUE"""),10.0)</f>
        <v>10</v>
      </c>
    </row>
    <row r="1734">
      <c r="A1734" s="87" t="str">
        <f>IFERROR(__xludf.DUMMYFUNCTION("""COMPUTED_VALUE"""),"ITBISA-IC-L7812CV-TO220")</f>
        <v>ITBISA-IC-L7812CV-TO220</v>
      </c>
      <c r="B1734" s="165">
        <f>IFERROR(__xludf.DUMMYFUNCTION("""COMPUTED_VALUE"""),46099.0)</f>
        <v>46099</v>
      </c>
      <c r="C1734" s="165" t="str">
        <f>IFERROR(__xludf.DUMMYFUNCTION("""COMPUTED_VALUE"""),"KYAI KONTONG")</f>
        <v>KYAI KONTONG</v>
      </c>
      <c r="D1734" s="94">
        <f>IFERROR(__xludf.DUMMYFUNCTION("""COMPUTED_VALUE"""),10.0)</f>
        <v>10</v>
      </c>
    </row>
    <row r="1735">
      <c r="A1735" s="87" t="str">
        <f>IFERROR(__xludf.DUMMYFUNCTION("""COMPUTED_VALUE"""),"ITBISA-IC-L7812CV-TO220")</f>
        <v>ITBISA-IC-L7812CV-TO220</v>
      </c>
      <c r="B1735" s="165">
        <f>IFERROR(__xludf.DUMMYFUNCTION("""COMPUTED_VALUE"""),46101.0)</f>
        <v>46101</v>
      </c>
      <c r="C1735" s="165" t="str">
        <f>IFERROR(__xludf.DUMMYFUNCTION("""COMPUTED_VALUE"""),"KYAI KONTONG")</f>
        <v>KYAI KONTONG</v>
      </c>
      <c r="D1735" s="94">
        <f>IFERROR(__xludf.DUMMYFUNCTION("""COMPUTED_VALUE"""),20.0)</f>
        <v>20</v>
      </c>
    </row>
    <row r="1736">
      <c r="A1736" s="87" t="str">
        <f>IFERROR(__xludf.DUMMYFUNCTION("""COMPUTED_VALUE"""),"ITBISA-IC-L7812CV-TO220")</f>
        <v>ITBISA-IC-L7812CV-TO220</v>
      </c>
      <c r="B1736" s="165">
        <f>IFERROR(__xludf.DUMMYFUNCTION("""COMPUTED_VALUE"""),46114.0)</f>
        <v>46114</v>
      </c>
      <c r="C1736" s="165" t="str">
        <f>IFERROR(__xludf.DUMMYFUNCTION("""COMPUTED_VALUE"""),"KYAI KONTONG")</f>
        <v>KYAI KONTONG</v>
      </c>
      <c r="D1736" s="94">
        <f>IFERROR(__xludf.DUMMYFUNCTION("""COMPUTED_VALUE"""),14.0)</f>
        <v>14</v>
      </c>
    </row>
    <row r="1737">
      <c r="A1737" s="87" t="str">
        <f>IFERROR(__xludf.DUMMYFUNCTION("""COMPUTED_VALUE"""),"ITBISA-IC-L7812CV-TO220")</f>
        <v>ITBISA-IC-L7812CV-TO220</v>
      </c>
      <c r="B1737" s="165">
        <f>IFERROR(__xludf.DUMMYFUNCTION("""COMPUTED_VALUE"""),46116.0)</f>
        <v>46116</v>
      </c>
      <c r="C1737" s="165" t="str">
        <f>IFERROR(__xludf.DUMMYFUNCTION("""COMPUTED_VALUE"""),"KYAI KONTONG")</f>
        <v>KYAI KONTONG</v>
      </c>
      <c r="D1737" s="94">
        <f>IFERROR(__xludf.DUMMYFUNCTION("""COMPUTED_VALUE"""),10.0)</f>
        <v>10</v>
      </c>
    </row>
    <row r="1738">
      <c r="A1738" s="87" t="str">
        <f>IFERROR(__xludf.DUMMYFUNCTION("""COMPUTED_VALUE"""),"ITBISA-IC-L7812CV-TO220")</f>
        <v>ITBISA-IC-L7812CV-TO220</v>
      </c>
      <c r="B1738" s="165">
        <f>IFERROR(__xludf.DUMMYFUNCTION("""COMPUTED_VALUE"""),46117.0)</f>
        <v>46117</v>
      </c>
      <c r="C1738" s="165" t="str">
        <f>IFERROR(__xludf.DUMMYFUNCTION("""COMPUTED_VALUE"""),"KYAI KONTONG")</f>
        <v>KYAI KONTONG</v>
      </c>
      <c r="D1738" s="94">
        <f>IFERROR(__xludf.DUMMYFUNCTION("""COMPUTED_VALUE"""),17.0)</f>
        <v>17</v>
      </c>
    </row>
    <row r="1739">
      <c r="A1739" s="87" t="str">
        <f>IFERROR(__xludf.DUMMYFUNCTION("""COMPUTED_VALUE"""),"ITBISA-IC-L7812CV-TO220")</f>
        <v>ITBISA-IC-L7812CV-TO220</v>
      </c>
      <c r="B1739" s="165">
        <f>IFERROR(__xludf.DUMMYFUNCTION("""COMPUTED_VALUE"""),46119.0)</f>
        <v>46119</v>
      </c>
      <c r="C1739" s="165" t="str">
        <f>IFERROR(__xludf.DUMMYFUNCTION("""COMPUTED_VALUE"""),"KYAI KONTONG")</f>
        <v>KYAI KONTONG</v>
      </c>
      <c r="D1739" s="94">
        <f>IFERROR(__xludf.DUMMYFUNCTION("""COMPUTED_VALUE"""),20.0)</f>
        <v>20</v>
      </c>
    </row>
    <row r="1740">
      <c r="A1740" s="87" t="str">
        <f>IFERROR(__xludf.DUMMYFUNCTION("""COMPUTED_VALUE"""),"ITBISA-IC-L7812CV-TO220")</f>
        <v>ITBISA-IC-L7812CV-TO220</v>
      </c>
      <c r="B1740" s="165">
        <f>IFERROR(__xludf.DUMMYFUNCTION("""COMPUTED_VALUE"""),46120.0)</f>
        <v>46120</v>
      </c>
      <c r="C1740" s="165" t="str">
        <f>IFERROR(__xludf.DUMMYFUNCTION("""COMPUTED_VALUE"""),"KYAI KONTONG")</f>
        <v>KYAI KONTONG</v>
      </c>
      <c r="D1740" s="94">
        <f>IFERROR(__xludf.DUMMYFUNCTION("""COMPUTED_VALUE"""),10.0)</f>
        <v>10</v>
      </c>
    </row>
    <row r="1741">
      <c r="A1741" s="87" t="str">
        <f>IFERROR(__xludf.DUMMYFUNCTION("""COMPUTED_VALUE"""),"ITBISA-IC-L7812CV-TO220")</f>
        <v>ITBISA-IC-L7812CV-TO220</v>
      </c>
      <c r="B1741" s="165">
        <f>IFERROR(__xludf.DUMMYFUNCTION("""COMPUTED_VALUE"""),46122.0)</f>
        <v>46122</v>
      </c>
      <c r="C1741" s="165" t="str">
        <f>IFERROR(__xludf.DUMMYFUNCTION("""COMPUTED_VALUE"""),"KYAI KONTONG")</f>
        <v>KYAI KONTONG</v>
      </c>
      <c r="D1741" s="94">
        <f>IFERROR(__xludf.DUMMYFUNCTION("""COMPUTED_VALUE"""),12.0)</f>
        <v>12</v>
      </c>
    </row>
    <row r="1742">
      <c r="A1742" s="87" t="str">
        <f>IFERROR(__xludf.DUMMYFUNCTION("""COMPUTED_VALUE"""),"ITBISA-IC-L7812CV-TO220")</f>
        <v>ITBISA-IC-L7812CV-TO220</v>
      </c>
      <c r="B1742" s="165">
        <f>IFERROR(__xludf.DUMMYFUNCTION("""COMPUTED_VALUE"""),46123.0)</f>
        <v>46123</v>
      </c>
      <c r="C1742" s="165" t="str">
        <f>IFERROR(__xludf.DUMMYFUNCTION("""COMPUTED_VALUE"""),"KYAI KONTONG")</f>
        <v>KYAI KONTONG</v>
      </c>
      <c r="D1742" s="94">
        <f>IFERROR(__xludf.DUMMYFUNCTION("""COMPUTED_VALUE"""),30.0)</f>
        <v>30</v>
      </c>
    </row>
    <row r="1743">
      <c r="A1743" s="87" t="str">
        <f>IFERROR(__xludf.DUMMYFUNCTION("""COMPUTED_VALUE"""),"ITBISA-IC-L7812CV-TO220")</f>
        <v>ITBISA-IC-L7812CV-TO220</v>
      </c>
      <c r="B1743" s="165">
        <f>IFERROR(__xludf.DUMMYFUNCTION("""COMPUTED_VALUE"""),46124.0)</f>
        <v>46124</v>
      </c>
      <c r="C1743" s="165" t="str">
        <f>IFERROR(__xludf.DUMMYFUNCTION("""COMPUTED_VALUE"""),"KYAI KONTONG")</f>
        <v>KYAI KONTONG</v>
      </c>
      <c r="D1743" s="94">
        <f>IFERROR(__xludf.DUMMYFUNCTION("""COMPUTED_VALUE"""),20.0)</f>
        <v>20</v>
      </c>
    </row>
    <row r="1744">
      <c r="A1744" s="87" t="str">
        <f>IFERROR(__xludf.DUMMYFUNCTION("""COMPUTED_VALUE"""),"ITBISA-IC-L7812CV-TO220")</f>
        <v>ITBISA-IC-L7812CV-TO220</v>
      </c>
      <c r="B1744" s="165">
        <f>IFERROR(__xludf.DUMMYFUNCTION("""COMPUTED_VALUE"""),46126.0)</f>
        <v>46126</v>
      </c>
      <c r="C1744" s="165" t="str">
        <f>IFERROR(__xludf.DUMMYFUNCTION("""COMPUTED_VALUE"""),"KYAI KONTONG")</f>
        <v>KYAI KONTONG</v>
      </c>
      <c r="D1744" s="94">
        <f>IFERROR(__xludf.DUMMYFUNCTION("""COMPUTED_VALUE"""),10.0)</f>
        <v>10</v>
      </c>
    </row>
    <row r="1745">
      <c r="A1745" s="87" t="str">
        <f>IFERROR(__xludf.DUMMYFUNCTION("""COMPUTED_VALUE"""),"ITBISA-IC-L7812CV-TO220")</f>
        <v>ITBISA-IC-L7812CV-TO220</v>
      </c>
      <c r="B1745" s="165">
        <f>IFERROR(__xludf.DUMMYFUNCTION("""COMPUTED_VALUE"""),46127.0)</f>
        <v>46127</v>
      </c>
      <c r="C1745" s="165" t="str">
        <f>IFERROR(__xludf.DUMMYFUNCTION("""COMPUTED_VALUE"""),"KYAI KONTONG")</f>
        <v>KYAI KONTONG</v>
      </c>
      <c r="D1745" s="94">
        <f>IFERROR(__xludf.DUMMYFUNCTION("""COMPUTED_VALUE"""),10.0)</f>
        <v>10</v>
      </c>
    </row>
    <row r="1746">
      <c r="A1746" s="87" t="str">
        <f>IFERROR(__xludf.DUMMYFUNCTION("""COMPUTED_VALUE"""),"ITBISA-IC-L7812CV-TO220")</f>
        <v>ITBISA-IC-L7812CV-TO220</v>
      </c>
      <c r="B1746" s="165">
        <f>IFERROR(__xludf.DUMMYFUNCTION("""COMPUTED_VALUE"""),46129.0)</f>
        <v>46129</v>
      </c>
      <c r="C1746" s="165" t="str">
        <f>IFERROR(__xludf.DUMMYFUNCTION("""COMPUTED_VALUE"""),"KYAI KONTONG")</f>
        <v>KYAI KONTONG</v>
      </c>
      <c r="D1746" s="94">
        <f>IFERROR(__xludf.DUMMYFUNCTION("""COMPUTED_VALUE"""),10.0)</f>
        <v>10</v>
      </c>
    </row>
    <row r="1747">
      <c r="A1747" s="87" t="str">
        <f>IFERROR(__xludf.DUMMYFUNCTION("""COMPUTED_VALUE"""),"ITBISA-IC-L7812CV-TO220")</f>
        <v>ITBISA-IC-L7812CV-TO220</v>
      </c>
      <c r="B1747" s="165">
        <f>IFERROR(__xludf.DUMMYFUNCTION("""COMPUTED_VALUE"""),46133.0)</f>
        <v>46133</v>
      </c>
      <c r="C1747" s="165" t="str">
        <f>IFERROR(__xludf.DUMMYFUNCTION("""COMPUTED_VALUE"""),"KYAI KONTONG")</f>
        <v>KYAI KONTONG</v>
      </c>
      <c r="D1747" s="94">
        <f>IFERROR(__xludf.DUMMYFUNCTION("""COMPUTED_VALUE"""),10.0)</f>
        <v>10</v>
      </c>
    </row>
    <row r="1748">
      <c r="A1748" s="87" t="str">
        <f>IFERROR(__xludf.DUMMYFUNCTION("""COMPUTED_VALUE"""),"ITBISA-IC-L7812CV-TO220")</f>
        <v>ITBISA-IC-L7812CV-TO220</v>
      </c>
      <c r="B1748" s="165">
        <f>IFERROR(__xludf.DUMMYFUNCTION("""COMPUTED_VALUE"""),46137.0)</f>
        <v>46137</v>
      </c>
      <c r="C1748" s="165" t="str">
        <f>IFERROR(__xludf.DUMMYFUNCTION("""COMPUTED_VALUE"""),"KYAI KONTONG")</f>
        <v>KYAI KONTONG</v>
      </c>
      <c r="D1748" s="94">
        <f>IFERROR(__xludf.DUMMYFUNCTION("""COMPUTED_VALUE"""),10.0)</f>
        <v>10</v>
      </c>
    </row>
    <row r="1749">
      <c r="A1749" s="87" t="str">
        <f>IFERROR(__xludf.DUMMYFUNCTION("""COMPUTED_VALUE"""),"ITBISA-IC-L7812CV-TO220")</f>
        <v>ITBISA-IC-L7812CV-TO220</v>
      </c>
      <c r="B1749" s="165">
        <f>IFERROR(__xludf.DUMMYFUNCTION("""COMPUTED_VALUE"""),46144.0)</f>
        <v>46144</v>
      </c>
      <c r="C1749" s="165" t="str">
        <f>IFERROR(__xludf.DUMMYFUNCTION("""COMPUTED_VALUE"""),"KYAI KONTONG")</f>
        <v>KYAI KONTONG</v>
      </c>
      <c r="D1749" s="94">
        <f>IFERROR(__xludf.DUMMYFUNCTION("""COMPUTED_VALUE"""),10.0)</f>
        <v>10</v>
      </c>
    </row>
    <row r="1750">
      <c r="A1750" s="87" t="str">
        <f>IFERROR(__xludf.DUMMYFUNCTION("""COMPUTED_VALUE"""),"ITBISA-IC-L7812CV-TO220")</f>
        <v>ITBISA-IC-L7812CV-TO220</v>
      </c>
      <c r="B1750" s="165">
        <f>IFERROR(__xludf.DUMMYFUNCTION("""COMPUTED_VALUE"""),46144.0)</f>
        <v>46144</v>
      </c>
      <c r="C1750" s="165" t="str">
        <f>IFERROR(__xludf.DUMMYFUNCTION("""COMPUTED_VALUE"""),"KYAI KONTONG")</f>
        <v>KYAI KONTONG</v>
      </c>
      <c r="D1750" s="94">
        <f>IFERROR(__xludf.DUMMYFUNCTION("""COMPUTED_VALUE"""),10.0)</f>
        <v>10</v>
      </c>
    </row>
    <row r="1751">
      <c r="A1751" s="87" t="str">
        <f>IFERROR(__xludf.DUMMYFUNCTION("""COMPUTED_VALUE"""),"ITBISA-IC-L7812CV-TO220")</f>
        <v>ITBISA-IC-L7812CV-TO220</v>
      </c>
      <c r="B1751" s="165">
        <f>IFERROR(__xludf.DUMMYFUNCTION("""COMPUTED_VALUE"""),46145.0)</f>
        <v>46145</v>
      </c>
      <c r="C1751" s="165" t="str">
        <f>IFERROR(__xludf.DUMMYFUNCTION("""COMPUTED_VALUE"""),"KYAI KONTONG")</f>
        <v>KYAI KONTONG</v>
      </c>
      <c r="D1751" s="94">
        <f>IFERROR(__xludf.DUMMYFUNCTION("""COMPUTED_VALUE"""),10.0)</f>
        <v>10</v>
      </c>
    </row>
    <row r="1752">
      <c r="A1752" s="87" t="str">
        <f>IFERROR(__xludf.DUMMYFUNCTION("""COMPUTED_VALUE"""),"ITBISA-IC-L7812CV-TO220")</f>
        <v>ITBISA-IC-L7812CV-TO220</v>
      </c>
      <c r="B1752" s="165">
        <f>IFERROR(__xludf.DUMMYFUNCTION("""COMPUTED_VALUE"""),46145.0)</f>
        <v>46145</v>
      </c>
      <c r="C1752" s="165" t="str">
        <f>IFERROR(__xludf.DUMMYFUNCTION("""COMPUTED_VALUE"""),"KYAI KONTONG")</f>
        <v>KYAI KONTONG</v>
      </c>
      <c r="D1752" s="94">
        <f>IFERROR(__xludf.DUMMYFUNCTION("""COMPUTED_VALUE"""),50.0)</f>
        <v>50</v>
      </c>
    </row>
    <row r="1753">
      <c r="A1753" s="87" t="str">
        <f>IFERROR(__xludf.DUMMYFUNCTION("""COMPUTED_VALUE"""),"ITBISA-IC-L7812CV-TO220")</f>
        <v>ITBISA-IC-L7812CV-TO220</v>
      </c>
      <c r="B1753" s="165">
        <f>IFERROR(__xludf.DUMMYFUNCTION("""COMPUTED_VALUE"""),46146.0)</f>
        <v>46146</v>
      </c>
      <c r="C1753" s="165" t="str">
        <f>IFERROR(__xludf.DUMMYFUNCTION("""COMPUTED_VALUE"""),"KYAI KONTONG")</f>
        <v>KYAI KONTONG</v>
      </c>
      <c r="D1753" s="94">
        <f>IFERROR(__xludf.DUMMYFUNCTION("""COMPUTED_VALUE"""),20.0)</f>
        <v>20</v>
      </c>
    </row>
    <row r="1754">
      <c r="A1754" s="87" t="str">
        <f>IFERROR(__xludf.DUMMYFUNCTION("""COMPUTED_VALUE"""),"ITBISA-IC-L7812CV-TO220")</f>
        <v>ITBISA-IC-L7812CV-TO220</v>
      </c>
      <c r="B1754" s="165">
        <f>IFERROR(__xludf.DUMMYFUNCTION("""COMPUTED_VALUE"""),46147.0)</f>
        <v>46147</v>
      </c>
      <c r="C1754" s="165" t="str">
        <f>IFERROR(__xludf.DUMMYFUNCTION("""COMPUTED_VALUE"""),"KYAI KONTONG")</f>
        <v>KYAI KONTONG</v>
      </c>
      <c r="D1754" s="94">
        <f>IFERROR(__xludf.DUMMYFUNCTION("""COMPUTED_VALUE"""),10.0)</f>
        <v>10</v>
      </c>
    </row>
    <row r="1755">
      <c r="A1755" s="87" t="str">
        <f>IFERROR(__xludf.DUMMYFUNCTION("""COMPUTED_VALUE"""),"ITBISA-IC-L7812CV-TO220")</f>
        <v>ITBISA-IC-L7812CV-TO220</v>
      </c>
      <c r="B1755" s="165">
        <f>IFERROR(__xludf.DUMMYFUNCTION("""COMPUTED_VALUE"""),46147.0)</f>
        <v>46147</v>
      </c>
      <c r="C1755" s="165" t="str">
        <f>IFERROR(__xludf.DUMMYFUNCTION("""COMPUTED_VALUE"""),"KYAI KONTONG")</f>
        <v>KYAI KONTONG</v>
      </c>
      <c r="D1755" s="94">
        <f>IFERROR(__xludf.DUMMYFUNCTION("""COMPUTED_VALUE"""),10.0)</f>
        <v>10</v>
      </c>
    </row>
    <row r="1756">
      <c r="A1756" s="87" t="str">
        <f>IFERROR(__xludf.DUMMYFUNCTION("""COMPUTED_VALUE"""),"ITBISA-IC-L7812CV-TO220")</f>
        <v>ITBISA-IC-L7812CV-TO220</v>
      </c>
      <c r="B1756" s="165">
        <f>IFERROR(__xludf.DUMMYFUNCTION("""COMPUTED_VALUE"""),46147.0)</f>
        <v>46147</v>
      </c>
      <c r="C1756" s="165" t="str">
        <f>IFERROR(__xludf.DUMMYFUNCTION("""COMPUTED_VALUE"""),"KYAI KONTONG")</f>
        <v>KYAI KONTONG</v>
      </c>
      <c r="D1756" s="94">
        <f>IFERROR(__xludf.DUMMYFUNCTION("""COMPUTED_VALUE"""),10.0)</f>
        <v>10</v>
      </c>
    </row>
    <row r="1757">
      <c r="A1757" s="87" t="str">
        <f>IFERROR(__xludf.DUMMYFUNCTION("""COMPUTED_VALUE"""),"ITBISA-IC-L7812CV-TO220")</f>
        <v>ITBISA-IC-L7812CV-TO220</v>
      </c>
      <c r="B1757" s="165">
        <f>IFERROR(__xludf.DUMMYFUNCTION("""COMPUTED_VALUE"""),46147.0)</f>
        <v>46147</v>
      </c>
      <c r="C1757" s="165" t="str">
        <f>IFERROR(__xludf.DUMMYFUNCTION("""COMPUTED_VALUE"""),"KYAI KONTONG")</f>
        <v>KYAI KONTONG</v>
      </c>
      <c r="D1757" s="94">
        <f>IFERROR(__xludf.DUMMYFUNCTION("""COMPUTED_VALUE"""),50.0)</f>
        <v>50</v>
      </c>
    </row>
    <row r="1758">
      <c r="A1758" s="87" t="str">
        <f>IFERROR(__xludf.DUMMYFUNCTION("""COMPUTED_VALUE"""),"ITBISA-IC-L7812CV-TO220")</f>
        <v>ITBISA-IC-L7812CV-TO220</v>
      </c>
      <c r="B1758" s="165">
        <f>IFERROR(__xludf.DUMMYFUNCTION("""COMPUTED_VALUE"""),46149.0)</f>
        <v>46149</v>
      </c>
      <c r="C1758" s="165" t="str">
        <f>IFERROR(__xludf.DUMMYFUNCTION("""COMPUTED_VALUE"""),"KYAI KONTONG")</f>
        <v>KYAI KONTONG</v>
      </c>
      <c r="D1758" s="94">
        <f>IFERROR(__xludf.DUMMYFUNCTION("""COMPUTED_VALUE"""),2.0)</f>
        <v>2</v>
      </c>
    </row>
    <row r="1759">
      <c r="A1759" s="87" t="str">
        <f>IFERROR(__xludf.DUMMYFUNCTION("""COMPUTED_VALUE"""),"ITBISA-IC-L7812CV-TO220")</f>
        <v>ITBISA-IC-L7812CV-TO220</v>
      </c>
      <c r="B1759" s="165">
        <f>IFERROR(__xludf.DUMMYFUNCTION("""COMPUTED_VALUE"""),46149.0)</f>
        <v>46149</v>
      </c>
      <c r="C1759" s="165" t="str">
        <f>IFERROR(__xludf.DUMMYFUNCTION("""COMPUTED_VALUE"""),"KYAI KONTONG")</f>
        <v>KYAI KONTONG</v>
      </c>
      <c r="D1759" s="94">
        <f>IFERROR(__xludf.DUMMYFUNCTION("""COMPUTED_VALUE"""),50.0)</f>
        <v>50</v>
      </c>
    </row>
    <row r="1760">
      <c r="A1760" s="87" t="str">
        <f>IFERROR(__xludf.DUMMYFUNCTION("""COMPUTED_VALUE"""),"ITBISA-IC-L7812CV-TO220")</f>
        <v>ITBISA-IC-L7812CV-TO220</v>
      </c>
      <c r="B1760" s="165">
        <f>IFERROR(__xludf.DUMMYFUNCTION("""COMPUTED_VALUE"""),46149.0)</f>
        <v>46149</v>
      </c>
      <c r="C1760" s="165" t="str">
        <f>IFERROR(__xludf.DUMMYFUNCTION("""COMPUTED_VALUE"""),"KYAI KONTONG")</f>
        <v>KYAI KONTONG</v>
      </c>
      <c r="D1760" s="94">
        <f>IFERROR(__xludf.DUMMYFUNCTION("""COMPUTED_VALUE"""),190.0)</f>
        <v>190</v>
      </c>
    </row>
    <row r="1761">
      <c r="A1761" s="87" t="str">
        <f>IFERROR(__xludf.DUMMYFUNCTION("""COMPUTED_VALUE"""),"ITBISA-IC-L7812CV-TO220")</f>
        <v>ITBISA-IC-L7812CV-TO220</v>
      </c>
      <c r="B1761" s="165">
        <f>IFERROR(__xludf.DUMMYFUNCTION("""COMPUTED_VALUE"""),46150.0)</f>
        <v>46150</v>
      </c>
      <c r="C1761" s="165" t="str">
        <f>IFERROR(__xludf.DUMMYFUNCTION("""COMPUTED_VALUE"""),"KYAI KONTONG")</f>
        <v>KYAI KONTONG</v>
      </c>
      <c r="D1761" s="94">
        <f>IFERROR(__xludf.DUMMYFUNCTION("""COMPUTED_VALUE"""),5.0)</f>
        <v>5</v>
      </c>
    </row>
    <row r="1762">
      <c r="A1762" s="87" t="str">
        <f>IFERROR(__xludf.DUMMYFUNCTION("""COMPUTED_VALUE"""),"ITBISA-IC-L7812CV-TO220")</f>
        <v>ITBISA-IC-L7812CV-TO220</v>
      </c>
      <c r="B1762" s="165">
        <f>IFERROR(__xludf.DUMMYFUNCTION("""COMPUTED_VALUE"""),46153.0)</f>
        <v>46153</v>
      </c>
      <c r="C1762" s="165" t="str">
        <f>IFERROR(__xludf.DUMMYFUNCTION("""COMPUTED_VALUE"""),"KYAI KONTONG")</f>
        <v>KYAI KONTONG</v>
      </c>
      <c r="D1762" s="94">
        <f>IFERROR(__xludf.DUMMYFUNCTION("""COMPUTED_VALUE"""),2.0)</f>
        <v>2</v>
      </c>
    </row>
    <row r="1763">
      <c r="A1763" s="87" t="str">
        <f>IFERROR(__xludf.DUMMYFUNCTION("""COMPUTED_VALUE"""),"ITBISA-IC-L7812CV-TO220")</f>
        <v>ITBISA-IC-L7812CV-TO220</v>
      </c>
      <c r="B1763" s="165">
        <f>IFERROR(__xludf.DUMMYFUNCTION("""COMPUTED_VALUE"""),46153.0)</f>
        <v>46153</v>
      </c>
      <c r="C1763" s="165" t="str">
        <f>IFERROR(__xludf.DUMMYFUNCTION("""COMPUTED_VALUE"""),"KYAI KONTONG")</f>
        <v>KYAI KONTONG</v>
      </c>
      <c r="D1763" s="94">
        <f>IFERROR(__xludf.DUMMYFUNCTION("""COMPUTED_VALUE"""),18.0)</f>
        <v>18</v>
      </c>
    </row>
    <row r="1764">
      <c r="A1764" s="87" t="str">
        <f>IFERROR(__xludf.DUMMYFUNCTION("""COMPUTED_VALUE"""),"ITBISA-IC-L7812CV-TO220")</f>
        <v>ITBISA-IC-L7812CV-TO220</v>
      </c>
      <c r="B1764" s="165">
        <f>IFERROR(__xludf.DUMMYFUNCTION("""COMPUTED_VALUE"""),46161.0)</f>
        <v>46161</v>
      </c>
      <c r="C1764" s="165" t="str">
        <f>IFERROR(__xludf.DUMMYFUNCTION("""COMPUTED_VALUE"""),"KYAI KONTONG")</f>
        <v>KYAI KONTONG</v>
      </c>
      <c r="D1764" s="94">
        <f>IFERROR(__xludf.DUMMYFUNCTION("""COMPUTED_VALUE"""),10.0)</f>
        <v>10</v>
      </c>
    </row>
    <row r="1765">
      <c r="A1765" s="87" t="str">
        <f>IFERROR(__xludf.DUMMYFUNCTION("""COMPUTED_VALUE"""),"ITBISA-IC-L7812CV-TO220")</f>
        <v>ITBISA-IC-L7812CV-TO220</v>
      </c>
      <c r="B1765" s="165">
        <f>IFERROR(__xludf.DUMMYFUNCTION("""COMPUTED_VALUE"""),46163.0)</f>
        <v>46163</v>
      </c>
      <c r="C1765" s="165" t="str">
        <f>IFERROR(__xludf.DUMMYFUNCTION("""COMPUTED_VALUE"""),"KYAI KONTONG")</f>
        <v>KYAI KONTONG</v>
      </c>
      <c r="D1765" s="94">
        <f>IFERROR(__xludf.DUMMYFUNCTION("""COMPUTED_VALUE"""),10.0)</f>
        <v>10</v>
      </c>
    </row>
    <row r="1766">
      <c r="A1766" s="87" t="str">
        <f>IFERROR(__xludf.DUMMYFUNCTION("""COMPUTED_VALUE"""),"ITBISA-IC-L7812CV-TO220")</f>
        <v>ITBISA-IC-L7812CV-TO220</v>
      </c>
      <c r="B1766" s="165">
        <f>IFERROR(__xludf.DUMMYFUNCTION("""COMPUTED_VALUE"""),46166.0)</f>
        <v>46166</v>
      </c>
      <c r="C1766" s="165" t="str">
        <f>IFERROR(__xludf.DUMMYFUNCTION("""COMPUTED_VALUE"""),"KYAI KONTONG")</f>
        <v>KYAI KONTONG</v>
      </c>
      <c r="D1766" s="94">
        <f>IFERROR(__xludf.DUMMYFUNCTION("""COMPUTED_VALUE"""),50.0)</f>
        <v>50</v>
      </c>
    </row>
    <row r="1767">
      <c r="A1767" s="87" t="str">
        <f>IFERROR(__xludf.DUMMYFUNCTION("""COMPUTED_VALUE"""),"ITBISA-IC-L7812CV-TO220")</f>
        <v>ITBISA-IC-L7812CV-TO220</v>
      </c>
      <c r="B1767" s="165">
        <f>IFERROR(__xludf.DUMMYFUNCTION("""COMPUTED_VALUE"""),46167.0)</f>
        <v>46167</v>
      </c>
      <c r="C1767" s="165" t="str">
        <f>IFERROR(__xludf.DUMMYFUNCTION("""COMPUTED_VALUE"""),"KYAI KONTONG")</f>
        <v>KYAI KONTONG</v>
      </c>
      <c r="D1767" s="94">
        <f>IFERROR(__xludf.DUMMYFUNCTION("""COMPUTED_VALUE"""),10.0)</f>
        <v>10</v>
      </c>
    </row>
    <row r="1768">
      <c r="A1768" s="87" t="str">
        <f>IFERROR(__xludf.DUMMYFUNCTION("""COMPUTED_VALUE"""),"ITBISA-IC-L7812CV-TO220")</f>
        <v>ITBISA-IC-L7812CV-TO220</v>
      </c>
      <c r="B1768" s="165">
        <f>IFERROR(__xludf.DUMMYFUNCTION("""COMPUTED_VALUE"""),46167.0)</f>
        <v>46167</v>
      </c>
      <c r="C1768" s="165" t="str">
        <f>IFERROR(__xludf.DUMMYFUNCTION("""COMPUTED_VALUE"""),"KYAI KONTONG")</f>
        <v>KYAI KONTONG</v>
      </c>
      <c r="D1768" s="94">
        <f>IFERROR(__xludf.DUMMYFUNCTION("""COMPUTED_VALUE"""),30.0)</f>
        <v>30</v>
      </c>
    </row>
    <row r="1769">
      <c r="A1769" s="87" t="str">
        <f>IFERROR(__xludf.DUMMYFUNCTION("""COMPUTED_VALUE"""),"ITBISA-IC-L7812CV-TO220")</f>
        <v>ITBISA-IC-L7812CV-TO220</v>
      </c>
      <c r="B1769" s="165">
        <f>IFERROR(__xludf.DUMMYFUNCTION("""COMPUTED_VALUE"""),46168.0)</f>
        <v>46168</v>
      </c>
      <c r="C1769" s="165" t="str">
        <f>IFERROR(__xludf.DUMMYFUNCTION("""COMPUTED_VALUE"""),"KYAI KONTONG")</f>
        <v>KYAI KONTONG</v>
      </c>
      <c r="D1769" s="94">
        <f>IFERROR(__xludf.DUMMYFUNCTION("""COMPUTED_VALUE"""),10.0)</f>
        <v>10</v>
      </c>
    </row>
    <row r="1770">
      <c r="A1770" s="87" t="str">
        <f>IFERROR(__xludf.DUMMYFUNCTION("""COMPUTED_VALUE"""),"ITBISA-IC-L7812CV-TO220")</f>
        <v>ITBISA-IC-L7812CV-TO220</v>
      </c>
      <c r="B1770" s="165">
        <f>IFERROR(__xludf.DUMMYFUNCTION("""COMPUTED_VALUE"""),46169.0)</f>
        <v>46169</v>
      </c>
      <c r="C1770" s="165" t="str">
        <f>IFERROR(__xludf.DUMMYFUNCTION("""COMPUTED_VALUE"""),"KYAI KONTONG")</f>
        <v>KYAI KONTONG</v>
      </c>
      <c r="D1770" s="94">
        <f>IFERROR(__xludf.DUMMYFUNCTION("""COMPUTED_VALUE"""),15.0)</f>
        <v>15</v>
      </c>
    </row>
    <row r="1771">
      <c r="A1771" s="87" t="str">
        <f>IFERROR(__xludf.DUMMYFUNCTION("""COMPUTED_VALUE"""),"ITBISA-IC-L7812CV-TO220")</f>
        <v>ITBISA-IC-L7812CV-TO220</v>
      </c>
      <c r="B1771" s="165">
        <f>IFERROR(__xludf.DUMMYFUNCTION("""COMPUTED_VALUE"""),46169.0)</f>
        <v>46169</v>
      </c>
      <c r="C1771" s="165" t="str">
        <f>IFERROR(__xludf.DUMMYFUNCTION("""COMPUTED_VALUE"""),"KYAI KONTONG")</f>
        <v>KYAI KONTONG</v>
      </c>
      <c r="D1771" s="94">
        <f>IFERROR(__xludf.DUMMYFUNCTION("""COMPUTED_VALUE"""),50.0)</f>
        <v>50</v>
      </c>
    </row>
    <row r="1772">
      <c r="A1772" s="87" t="str">
        <f>IFERROR(__xludf.DUMMYFUNCTION("""COMPUTED_VALUE"""),"ITBISA-IC-L7812CV-TO220")</f>
        <v>ITBISA-IC-L7812CV-TO220</v>
      </c>
      <c r="B1772" s="165">
        <f>IFERROR(__xludf.DUMMYFUNCTION("""COMPUTED_VALUE"""),46170.0)</f>
        <v>46170</v>
      </c>
      <c r="C1772" s="165" t="str">
        <f>IFERROR(__xludf.DUMMYFUNCTION("""COMPUTED_VALUE"""),"KYAI KONTONG")</f>
        <v>KYAI KONTONG</v>
      </c>
      <c r="D1772" s="94">
        <f>IFERROR(__xludf.DUMMYFUNCTION("""COMPUTED_VALUE"""),10.0)</f>
        <v>10</v>
      </c>
    </row>
    <row r="1773">
      <c r="A1773" s="87" t="str">
        <f>IFERROR(__xludf.DUMMYFUNCTION("""COMPUTED_VALUE"""),"ITBISA-IC-L7812CV-TO220")</f>
        <v>ITBISA-IC-L7812CV-TO220</v>
      </c>
      <c r="B1773" s="165">
        <f>IFERROR(__xludf.DUMMYFUNCTION("""COMPUTED_VALUE"""),46170.0)</f>
        <v>46170</v>
      </c>
      <c r="C1773" s="165" t="str">
        <f>IFERROR(__xludf.DUMMYFUNCTION("""COMPUTED_VALUE"""),"KYAI KONTONG")</f>
        <v>KYAI KONTONG</v>
      </c>
      <c r="D1773" s="94">
        <f>IFERROR(__xludf.DUMMYFUNCTION("""COMPUTED_VALUE"""),25.0)</f>
        <v>25</v>
      </c>
    </row>
    <row r="1774">
      <c r="A1774" s="87" t="str">
        <f>IFERROR(__xludf.DUMMYFUNCTION("""COMPUTED_VALUE"""),"ITBISA-IC-L7812CV-TO220")</f>
        <v>ITBISA-IC-L7812CV-TO220</v>
      </c>
      <c r="B1774" s="165">
        <f>IFERROR(__xludf.DUMMYFUNCTION("""COMPUTED_VALUE"""),46171.0)</f>
        <v>46171</v>
      </c>
      <c r="C1774" s="165" t="str">
        <f>IFERROR(__xludf.DUMMYFUNCTION("""COMPUTED_VALUE"""),"KYAI KONTONG")</f>
        <v>KYAI KONTONG</v>
      </c>
      <c r="D1774" s="94">
        <f>IFERROR(__xludf.DUMMYFUNCTION("""COMPUTED_VALUE"""),10.0)</f>
        <v>10</v>
      </c>
    </row>
    <row r="1775">
      <c r="A1775" s="87" t="str">
        <f>IFERROR(__xludf.DUMMYFUNCTION("""COMPUTED_VALUE"""),"ITBISA-IC-L7812CV-TO220")</f>
        <v>ITBISA-IC-L7812CV-TO220</v>
      </c>
      <c r="B1775" s="165">
        <f>IFERROR(__xludf.DUMMYFUNCTION("""COMPUTED_VALUE"""),46188.0)</f>
        <v>46188</v>
      </c>
      <c r="C1775" s="165" t="str">
        <f>IFERROR(__xludf.DUMMYFUNCTION("""COMPUTED_VALUE"""),"KYAI KONTONG")</f>
        <v>KYAI KONTONG</v>
      </c>
      <c r="D1775" s="94">
        <f>IFERROR(__xludf.DUMMYFUNCTION("""COMPUTED_VALUE"""),1.0)</f>
        <v>1</v>
      </c>
    </row>
    <row r="1776">
      <c r="A1776" s="87" t="str">
        <f>IFERROR(__xludf.DUMMYFUNCTION("""COMPUTED_VALUE"""),"ITBISA-IC-L7812CV-TO220")</f>
        <v>ITBISA-IC-L7812CV-TO220</v>
      </c>
      <c r="B1776" s="165">
        <f>IFERROR(__xludf.DUMMYFUNCTION("""COMPUTED_VALUE"""),46190.0)</f>
        <v>46190</v>
      </c>
      <c r="C1776" s="165" t="str">
        <f>IFERROR(__xludf.DUMMYFUNCTION("""COMPUTED_VALUE"""),"KYAI KONTONG")</f>
        <v>KYAI KONTONG</v>
      </c>
      <c r="D1776" s="94">
        <f>IFERROR(__xludf.DUMMYFUNCTION("""COMPUTED_VALUE"""),1.0)</f>
        <v>1</v>
      </c>
    </row>
    <row r="1777">
      <c r="A1777" s="87" t="str">
        <f>IFERROR(__xludf.DUMMYFUNCTION("""COMPUTED_VALUE"""),"ITBISA-IC-L7812CV-TO220")</f>
        <v>ITBISA-IC-L7812CV-TO220</v>
      </c>
      <c r="B1777" s="165">
        <f>IFERROR(__xludf.DUMMYFUNCTION("""COMPUTED_VALUE"""),46192.0)</f>
        <v>46192</v>
      </c>
      <c r="C1777" s="165" t="str">
        <f>IFERROR(__xludf.DUMMYFUNCTION("""COMPUTED_VALUE"""),"KYAI KONTONG")</f>
        <v>KYAI KONTONG</v>
      </c>
      <c r="D1777" s="94">
        <f>IFERROR(__xludf.DUMMYFUNCTION("""COMPUTED_VALUE"""),4.0)</f>
        <v>4</v>
      </c>
    </row>
    <row r="1778">
      <c r="A1778" s="87" t="str">
        <f>IFERROR(__xludf.DUMMYFUNCTION("""COMPUTED_VALUE"""),"ITBISA-IC-L7812CV-TO220")</f>
        <v>ITBISA-IC-L7812CV-TO220</v>
      </c>
      <c r="B1778" s="165">
        <f>IFERROR(__xludf.DUMMYFUNCTION("""COMPUTED_VALUE"""),46192.0)</f>
        <v>46192</v>
      </c>
      <c r="C1778" s="165" t="str">
        <f>IFERROR(__xludf.DUMMYFUNCTION("""COMPUTED_VALUE"""),"KYAI KONTONG")</f>
        <v>KYAI KONTONG</v>
      </c>
      <c r="D1778" s="94">
        <f>IFERROR(__xludf.DUMMYFUNCTION("""COMPUTED_VALUE"""),5.0)</f>
        <v>5</v>
      </c>
    </row>
    <row r="1779">
      <c r="A1779" s="87" t="str">
        <f>IFERROR(__xludf.DUMMYFUNCTION("""COMPUTED_VALUE"""),"ITBISA-IC-L7812CV-TO220")</f>
        <v>ITBISA-IC-L7812CV-TO220</v>
      </c>
      <c r="B1779" s="165">
        <f>IFERROR(__xludf.DUMMYFUNCTION("""COMPUTED_VALUE"""),46197.0)</f>
        <v>46197</v>
      </c>
      <c r="C1779" s="165" t="str">
        <f>IFERROR(__xludf.DUMMYFUNCTION("""COMPUTED_VALUE"""),"KYAI KONTONG")</f>
        <v>KYAI KONTONG</v>
      </c>
      <c r="D1779" s="94">
        <f>IFERROR(__xludf.DUMMYFUNCTION("""COMPUTED_VALUE"""),1.0)</f>
        <v>1</v>
      </c>
    </row>
    <row r="1780">
      <c r="A1780" s="87" t="str">
        <f>IFERROR(__xludf.DUMMYFUNCTION("""COMPUTED_VALUE"""),"ITBISA-IC-NE555P-DIP8")</f>
        <v>ITBISA-IC-NE555P-DIP8</v>
      </c>
      <c r="B1780" s="165">
        <f>IFERROR(__xludf.DUMMYFUNCTION("""COMPUTED_VALUE"""),46024.0)</f>
        <v>46024</v>
      </c>
      <c r="C1780" s="165" t="str">
        <f>IFERROR(__xludf.DUMMYFUNCTION("""COMPUTED_VALUE"""),"KYAI KONTONG")</f>
        <v>KYAI KONTONG</v>
      </c>
      <c r="D1780" s="94">
        <f>IFERROR(__xludf.DUMMYFUNCTION("""COMPUTED_VALUE"""),20.0)</f>
        <v>20</v>
      </c>
    </row>
    <row r="1781">
      <c r="A1781" s="87" t="str">
        <f>IFERROR(__xludf.DUMMYFUNCTION("""COMPUTED_VALUE"""),"ITBISA-IC-NE555P-DIP8")</f>
        <v>ITBISA-IC-NE555P-DIP8</v>
      </c>
      <c r="B1781" s="165">
        <f>IFERROR(__xludf.DUMMYFUNCTION("""COMPUTED_VALUE"""),46025.0)</f>
        <v>46025</v>
      </c>
      <c r="C1781" s="165" t="str">
        <f>IFERROR(__xludf.DUMMYFUNCTION("""COMPUTED_VALUE"""),"KYAI KONTONG")</f>
        <v>KYAI KONTONG</v>
      </c>
      <c r="D1781" s="94">
        <f>IFERROR(__xludf.DUMMYFUNCTION("""COMPUTED_VALUE"""),5.0)</f>
        <v>5</v>
      </c>
    </row>
    <row r="1782">
      <c r="A1782" s="87" t="str">
        <f>IFERROR(__xludf.DUMMYFUNCTION("""COMPUTED_VALUE"""),"ITBISA-IC-NE555P-DIP8")</f>
        <v>ITBISA-IC-NE555P-DIP8</v>
      </c>
      <c r="B1782" s="165">
        <f>IFERROR(__xludf.DUMMYFUNCTION("""COMPUTED_VALUE"""),46027.0)</f>
        <v>46027</v>
      </c>
      <c r="C1782" s="165" t="str">
        <f>IFERROR(__xludf.DUMMYFUNCTION("""COMPUTED_VALUE"""),"KYAI KONTONG")</f>
        <v>KYAI KONTONG</v>
      </c>
      <c r="D1782" s="94">
        <f>IFERROR(__xludf.DUMMYFUNCTION("""COMPUTED_VALUE"""),10.0)</f>
        <v>10</v>
      </c>
    </row>
    <row r="1783">
      <c r="A1783" s="87" t="str">
        <f>IFERROR(__xludf.DUMMYFUNCTION("""COMPUTED_VALUE"""),"ITBISA-IC-NE555P-DIP8")</f>
        <v>ITBISA-IC-NE555P-DIP8</v>
      </c>
      <c r="B1783" s="165">
        <f>IFERROR(__xludf.DUMMYFUNCTION("""COMPUTED_VALUE"""),46029.0)</f>
        <v>46029</v>
      </c>
      <c r="C1783" s="165" t="str">
        <f>IFERROR(__xludf.DUMMYFUNCTION("""COMPUTED_VALUE"""),"KYAI KONTONG")</f>
        <v>KYAI KONTONG</v>
      </c>
      <c r="D1783" s="94">
        <f>IFERROR(__xludf.DUMMYFUNCTION("""COMPUTED_VALUE"""),5.0)</f>
        <v>5</v>
      </c>
    </row>
    <row r="1784">
      <c r="A1784" s="87" t="str">
        <f>IFERROR(__xludf.DUMMYFUNCTION("""COMPUTED_VALUE"""),"ITBISA-IC-NE555P-DIP8")</f>
        <v>ITBISA-IC-NE555P-DIP8</v>
      </c>
      <c r="B1784" s="165">
        <f>IFERROR(__xludf.DUMMYFUNCTION("""COMPUTED_VALUE"""),46030.0)</f>
        <v>46030</v>
      </c>
      <c r="C1784" s="165" t="str">
        <f>IFERROR(__xludf.DUMMYFUNCTION("""COMPUTED_VALUE"""),"KERTASARI CIAMIS")</f>
        <v>KERTASARI CIAMIS</v>
      </c>
      <c r="D1784" s="94">
        <f>IFERROR(__xludf.DUMMYFUNCTION("""COMPUTED_VALUE"""),200.0)</f>
        <v>200</v>
      </c>
    </row>
    <row r="1785">
      <c r="A1785" s="87" t="str">
        <f>IFERROR(__xludf.DUMMYFUNCTION("""COMPUTED_VALUE"""),"ITBISA-IC-NE555P-DIP8")</f>
        <v>ITBISA-IC-NE555P-DIP8</v>
      </c>
      <c r="B1785" s="165">
        <f>IFERROR(__xludf.DUMMYFUNCTION("""COMPUTED_VALUE"""),46031.0)</f>
        <v>46031</v>
      </c>
      <c r="C1785" s="165" t="str">
        <f>IFERROR(__xludf.DUMMYFUNCTION("""COMPUTED_VALUE"""),"KERTASARI CIAMIS")</f>
        <v>KERTASARI CIAMIS</v>
      </c>
      <c r="D1785" s="94">
        <f>IFERROR(__xludf.DUMMYFUNCTION("""COMPUTED_VALUE"""),50.0)</f>
        <v>50</v>
      </c>
    </row>
    <row r="1786">
      <c r="A1786" s="87" t="str">
        <f>IFERROR(__xludf.DUMMYFUNCTION("""COMPUTED_VALUE"""),"ITBISA-IC-NE555P-DIP8")</f>
        <v>ITBISA-IC-NE555P-DIP8</v>
      </c>
      <c r="B1786" s="165">
        <f>IFERROR(__xludf.DUMMYFUNCTION("""COMPUTED_VALUE"""),46034.0)</f>
        <v>46034</v>
      </c>
      <c r="C1786" s="165" t="str">
        <f>IFERROR(__xludf.DUMMYFUNCTION("""COMPUTED_VALUE"""),"KERTASARI CIAMIS")</f>
        <v>KERTASARI CIAMIS</v>
      </c>
      <c r="D1786" s="94">
        <f>IFERROR(__xludf.DUMMYFUNCTION("""COMPUTED_VALUE"""),50.0)</f>
        <v>50</v>
      </c>
    </row>
    <row r="1787">
      <c r="A1787" s="87" t="str">
        <f>IFERROR(__xludf.DUMMYFUNCTION("""COMPUTED_VALUE"""),"ITBISA-IC-NE555P-DIP8")</f>
        <v>ITBISA-IC-NE555P-DIP8</v>
      </c>
      <c r="B1787" s="165">
        <f>IFERROR(__xludf.DUMMYFUNCTION("""COMPUTED_VALUE"""),46035.0)</f>
        <v>46035</v>
      </c>
      <c r="C1787" s="165" t="str">
        <f>IFERROR(__xludf.DUMMYFUNCTION("""COMPUTED_VALUE"""),"KYAI KONTONG")</f>
        <v>KYAI KONTONG</v>
      </c>
      <c r="D1787" s="94">
        <f>IFERROR(__xludf.DUMMYFUNCTION("""COMPUTED_VALUE"""),1000.0)</f>
        <v>1000</v>
      </c>
    </row>
    <row r="1788">
      <c r="A1788" s="87" t="str">
        <f>IFERROR(__xludf.DUMMYFUNCTION("""COMPUTED_VALUE"""),"ITBISA-IC-NE555P-DIP8")</f>
        <v>ITBISA-IC-NE555P-DIP8</v>
      </c>
      <c r="B1788" s="165">
        <f>IFERROR(__xludf.DUMMYFUNCTION("""COMPUTED_VALUE"""),46040.0)</f>
        <v>46040</v>
      </c>
      <c r="C1788" s="165" t="str">
        <f>IFERROR(__xludf.DUMMYFUNCTION("""COMPUTED_VALUE"""),"KYAI KONTONG")</f>
        <v>KYAI KONTONG</v>
      </c>
      <c r="D1788" s="94">
        <f>IFERROR(__xludf.DUMMYFUNCTION("""COMPUTED_VALUE"""),5.0)</f>
        <v>5</v>
      </c>
    </row>
    <row r="1789">
      <c r="A1789" s="87" t="str">
        <f>IFERROR(__xludf.DUMMYFUNCTION("""COMPUTED_VALUE"""),"ITBISA-IC-NE555P-DIP8")</f>
        <v>ITBISA-IC-NE555P-DIP8</v>
      </c>
      <c r="B1789" s="165">
        <f>IFERROR(__xludf.DUMMYFUNCTION("""COMPUTED_VALUE"""),46041.0)</f>
        <v>46041</v>
      </c>
      <c r="C1789" s="165" t="str">
        <f>IFERROR(__xludf.DUMMYFUNCTION("""COMPUTED_VALUE"""),"KYAI KONTONG")</f>
        <v>KYAI KONTONG</v>
      </c>
      <c r="D1789" s="94">
        <f>IFERROR(__xludf.DUMMYFUNCTION("""COMPUTED_VALUE"""),5.0)</f>
        <v>5</v>
      </c>
    </row>
    <row r="1790">
      <c r="A1790" s="87" t="str">
        <f>IFERROR(__xludf.DUMMYFUNCTION("""COMPUTED_VALUE"""),"ITBISA-IC-NE555P-DIP8")</f>
        <v>ITBISA-IC-NE555P-DIP8</v>
      </c>
      <c r="B1790" s="165">
        <f>IFERROR(__xludf.DUMMYFUNCTION("""COMPUTED_VALUE"""),46044.0)</f>
        <v>46044</v>
      </c>
      <c r="C1790" s="165" t="str">
        <f>IFERROR(__xludf.DUMMYFUNCTION("""COMPUTED_VALUE"""),"KERTASARI CIAMIS")</f>
        <v>KERTASARI CIAMIS</v>
      </c>
      <c r="D1790" s="94">
        <f>IFERROR(__xludf.DUMMYFUNCTION("""COMPUTED_VALUE"""),400.0)</f>
        <v>400</v>
      </c>
    </row>
    <row r="1791">
      <c r="A1791" s="87" t="str">
        <f>IFERROR(__xludf.DUMMYFUNCTION("""COMPUTED_VALUE"""),"ITBISA-IC-NE555P-DIP8")</f>
        <v>ITBISA-IC-NE555P-DIP8</v>
      </c>
      <c r="B1791" s="165">
        <f>IFERROR(__xludf.DUMMYFUNCTION("""COMPUTED_VALUE"""),46045.0)</f>
        <v>46045</v>
      </c>
      <c r="C1791" s="165" t="str">
        <f>IFERROR(__xludf.DUMMYFUNCTION("""COMPUTED_VALUE"""),"KYAI KONTONG")</f>
        <v>KYAI KONTONG</v>
      </c>
      <c r="D1791" s="94">
        <f>IFERROR(__xludf.DUMMYFUNCTION("""COMPUTED_VALUE"""),20.0)</f>
        <v>20</v>
      </c>
    </row>
    <row r="1792">
      <c r="A1792" s="87" t="str">
        <f>IFERROR(__xludf.DUMMYFUNCTION("""COMPUTED_VALUE"""),"ITBISA-IC-NE555P-DIP8")</f>
        <v>ITBISA-IC-NE555P-DIP8</v>
      </c>
      <c r="B1792" s="165">
        <f>IFERROR(__xludf.DUMMYFUNCTION("""COMPUTED_VALUE"""),46047.0)</f>
        <v>46047</v>
      </c>
      <c r="C1792" s="165" t="str">
        <f>IFERROR(__xludf.DUMMYFUNCTION("""COMPUTED_VALUE"""),"KYAI KONTONG")</f>
        <v>KYAI KONTONG</v>
      </c>
      <c r="D1792" s="94">
        <f>IFERROR(__xludf.DUMMYFUNCTION("""COMPUTED_VALUE"""),10.0)</f>
        <v>10</v>
      </c>
    </row>
    <row r="1793">
      <c r="A1793" s="87" t="str">
        <f>IFERROR(__xludf.DUMMYFUNCTION("""COMPUTED_VALUE"""),"ITBISA-IC-NE555P-DIP8")</f>
        <v>ITBISA-IC-NE555P-DIP8</v>
      </c>
      <c r="B1793" s="165">
        <f>IFERROR(__xludf.DUMMYFUNCTION("""COMPUTED_VALUE"""),46048.0)</f>
        <v>46048</v>
      </c>
      <c r="C1793" s="165" t="str">
        <f>IFERROR(__xludf.DUMMYFUNCTION("""COMPUTED_VALUE"""),"KYAI KONTONG")</f>
        <v>KYAI KONTONG</v>
      </c>
      <c r="D1793" s="94">
        <f>IFERROR(__xludf.DUMMYFUNCTION("""COMPUTED_VALUE"""),20.0)</f>
        <v>20</v>
      </c>
    </row>
    <row r="1794">
      <c r="A1794" s="87" t="str">
        <f>IFERROR(__xludf.DUMMYFUNCTION("""COMPUTED_VALUE"""),"ITBISA-IC-NE555P-DIP8")</f>
        <v>ITBISA-IC-NE555P-DIP8</v>
      </c>
      <c r="B1794" s="165">
        <f>IFERROR(__xludf.DUMMYFUNCTION("""COMPUTED_VALUE"""),46049.0)</f>
        <v>46049</v>
      </c>
      <c r="C1794" s="165" t="str">
        <f>IFERROR(__xludf.DUMMYFUNCTION("""COMPUTED_VALUE"""),"KERTASARI CIAMIS")</f>
        <v>KERTASARI CIAMIS</v>
      </c>
      <c r="D1794" s="94">
        <f>IFERROR(__xludf.DUMMYFUNCTION("""COMPUTED_VALUE"""),2000.0)</f>
        <v>2000</v>
      </c>
    </row>
    <row r="1795">
      <c r="A1795" s="87" t="str">
        <f>IFERROR(__xludf.DUMMYFUNCTION("""COMPUTED_VALUE"""),"ITBISA-IC-NE555P-DIP8")</f>
        <v>ITBISA-IC-NE555P-DIP8</v>
      </c>
      <c r="B1795" s="165">
        <f>IFERROR(__xludf.DUMMYFUNCTION("""COMPUTED_VALUE"""),46049.0)</f>
        <v>46049</v>
      </c>
      <c r="C1795" s="165" t="str">
        <f>IFERROR(__xludf.DUMMYFUNCTION("""COMPUTED_VALUE"""),"KYAI KONTONG")</f>
        <v>KYAI KONTONG</v>
      </c>
      <c r="D1795" s="94">
        <f>IFERROR(__xludf.DUMMYFUNCTION("""COMPUTED_VALUE"""),5.0)</f>
        <v>5</v>
      </c>
    </row>
    <row r="1796">
      <c r="A1796" s="87" t="str">
        <f>IFERROR(__xludf.DUMMYFUNCTION("""COMPUTED_VALUE"""),"ITBISA-IC-NE555P-DIP8")</f>
        <v>ITBISA-IC-NE555P-DIP8</v>
      </c>
      <c r="B1796" s="165">
        <f>IFERROR(__xludf.DUMMYFUNCTION("""COMPUTED_VALUE"""),46050.0)</f>
        <v>46050</v>
      </c>
      <c r="C1796" s="165" t="str">
        <f>IFERROR(__xludf.DUMMYFUNCTION("""COMPUTED_VALUE"""),"KERTASARI CIAMIS")</f>
        <v>KERTASARI CIAMIS</v>
      </c>
      <c r="D1796" s="94">
        <f>IFERROR(__xludf.DUMMYFUNCTION("""COMPUTED_VALUE"""),10.0)</f>
        <v>10</v>
      </c>
    </row>
    <row r="1797">
      <c r="A1797" s="87" t="str">
        <f>IFERROR(__xludf.DUMMYFUNCTION("""COMPUTED_VALUE"""),"ITBISA-IC-NE555P-DIP8")</f>
        <v>ITBISA-IC-NE555P-DIP8</v>
      </c>
      <c r="B1797" s="165">
        <f>IFERROR(__xludf.DUMMYFUNCTION("""COMPUTED_VALUE"""),46055.0)</f>
        <v>46055</v>
      </c>
      <c r="C1797" s="165" t="str">
        <f>IFERROR(__xludf.DUMMYFUNCTION("""COMPUTED_VALUE"""),"KYAI KONTONG")</f>
        <v>KYAI KONTONG</v>
      </c>
      <c r="D1797" s="94">
        <f>IFERROR(__xludf.DUMMYFUNCTION("""COMPUTED_VALUE"""),50.0)</f>
        <v>50</v>
      </c>
    </row>
    <row r="1798">
      <c r="A1798" s="87" t="str">
        <f>IFERROR(__xludf.DUMMYFUNCTION("""COMPUTED_VALUE"""),"ITBISA-IC-NE555P-DIP8")</f>
        <v>ITBISA-IC-NE555P-DIP8</v>
      </c>
      <c r="B1798" s="165">
        <f>IFERROR(__xludf.DUMMYFUNCTION("""COMPUTED_VALUE"""),46058.0)</f>
        <v>46058</v>
      </c>
      <c r="C1798" s="165" t="str">
        <f>IFERROR(__xludf.DUMMYFUNCTION("""COMPUTED_VALUE"""),"KERTASARI CIAMIS")</f>
        <v>KERTASARI CIAMIS</v>
      </c>
      <c r="D1798" s="94">
        <f>IFERROR(__xludf.DUMMYFUNCTION("""COMPUTED_VALUE"""),200.0)</f>
        <v>200</v>
      </c>
    </row>
    <row r="1799">
      <c r="A1799" s="87" t="str">
        <f>IFERROR(__xludf.DUMMYFUNCTION("""COMPUTED_VALUE"""),"ITBISA-IC-NE555P-DIP8")</f>
        <v>ITBISA-IC-NE555P-DIP8</v>
      </c>
      <c r="B1799" s="165">
        <f>IFERROR(__xludf.DUMMYFUNCTION("""COMPUTED_VALUE"""),46058.0)</f>
        <v>46058</v>
      </c>
      <c r="C1799" s="165" t="str">
        <f>IFERROR(__xludf.DUMMYFUNCTION("""COMPUTED_VALUE"""),"KYAI KONTONG")</f>
        <v>KYAI KONTONG</v>
      </c>
      <c r="D1799" s="94">
        <f>IFERROR(__xludf.DUMMYFUNCTION("""COMPUTED_VALUE"""),50.0)</f>
        <v>50</v>
      </c>
    </row>
    <row r="1800">
      <c r="A1800" s="87" t="str">
        <f>IFERROR(__xludf.DUMMYFUNCTION("""COMPUTED_VALUE"""),"ITBISA-IC-NE555P-DIP8")</f>
        <v>ITBISA-IC-NE555P-DIP8</v>
      </c>
      <c r="B1800" s="165">
        <f>IFERROR(__xludf.DUMMYFUNCTION("""COMPUTED_VALUE"""),46066.0)</f>
        <v>46066</v>
      </c>
      <c r="C1800" s="165" t="str">
        <f>IFERROR(__xludf.DUMMYFUNCTION("""COMPUTED_VALUE"""),"KYAI KONTONG")</f>
        <v>KYAI KONTONG</v>
      </c>
      <c r="D1800" s="94">
        <f>IFERROR(__xludf.DUMMYFUNCTION("""COMPUTED_VALUE"""),10.0)</f>
        <v>10</v>
      </c>
    </row>
    <row r="1801">
      <c r="A1801" s="87" t="str">
        <f>IFERROR(__xludf.DUMMYFUNCTION("""COMPUTED_VALUE"""),"ITBISA-IC-NE555P-DIP8")</f>
        <v>ITBISA-IC-NE555P-DIP8</v>
      </c>
      <c r="B1801" s="165">
        <f>IFERROR(__xludf.DUMMYFUNCTION("""COMPUTED_VALUE"""),46066.0)</f>
        <v>46066</v>
      </c>
      <c r="C1801" s="165" t="str">
        <f>IFERROR(__xludf.DUMMYFUNCTION("""COMPUTED_VALUE"""),"KYAI KONTONG")</f>
        <v>KYAI KONTONG</v>
      </c>
      <c r="D1801" s="94">
        <f>IFERROR(__xludf.DUMMYFUNCTION("""COMPUTED_VALUE"""),100.0)</f>
        <v>100</v>
      </c>
    </row>
    <row r="1802">
      <c r="A1802" s="87" t="str">
        <f>IFERROR(__xludf.DUMMYFUNCTION("""COMPUTED_VALUE"""),"ITBISA-IC-NE555P-DIP8")</f>
        <v>ITBISA-IC-NE555P-DIP8</v>
      </c>
      <c r="B1802" s="165">
        <f>IFERROR(__xludf.DUMMYFUNCTION("""COMPUTED_VALUE"""),46067.0)</f>
        <v>46067</v>
      </c>
      <c r="C1802" s="165" t="str">
        <f>IFERROR(__xludf.DUMMYFUNCTION("""COMPUTED_VALUE"""),"KERTASARI CIAMIS")</f>
        <v>KERTASARI CIAMIS</v>
      </c>
      <c r="D1802" s="94">
        <f>IFERROR(__xludf.DUMMYFUNCTION("""COMPUTED_VALUE"""),10.0)</f>
        <v>10</v>
      </c>
    </row>
    <row r="1803">
      <c r="A1803" s="87" t="str">
        <f>IFERROR(__xludf.DUMMYFUNCTION("""COMPUTED_VALUE"""),"ITBISA-IC-NE555P-DIP8")</f>
        <v>ITBISA-IC-NE555P-DIP8</v>
      </c>
      <c r="B1803" s="165">
        <f>IFERROR(__xludf.DUMMYFUNCTION("""COMPUTED_VALUE"""),46067.0)</f>
        <v>46067</v>
      </c>
      <c r="C1803" s="165" t="str">
        <f>IFERROR(__xludf.DUMMYFUNCTION("""COMPUTED_VALUE"""),"KERTASARI CIAMIS")</f>
        <v>KERTASARI CIAMIS</v>
      </c>
      <c r="D1803" s="94">
        <f>IFERROR(__xludf.DUMMYFUNCTION("""COMPUTED_VALUE"""),200.0)</f>
        <v>200</v>
      </c>
    </row>
    <row r="1804">
      <c r="A1804" s="87" t="str">
        <f>IFERROR(__xludf.DUMMYFUNCTION("""COMPUTED_VALUE"""),"ITBISA-IC-NE555P-DIP8")</f>
        <v>ITBISA-IC-NE555P-DIP8</v>
      </c>
      <c r="B1804" s="165">
        <f>IFERROR(__xludf.DUMMYFUNCTION("""COMPUTED_VALUE"""),46129.0)</f>
        <v>46129</v>
      </c>
      <c r="C1804" s="165" t="str">
        <f>IFERROR(__xludf.DUMMYFUNCTION("""COMPUTED_VALUE"""),"KYAI KONTONG")</f>
        <v>KYAI KONTONG</v>
      </c>
      <c r="D1804" s="94">
        <f>IFERROR(__xludf.DUMMYFUNCTION("""COMPUTED_VALUE"""),200.0)</f>
        <v>200</v>
      </c>
    </row>
    <row r="1805">
      <c r="A1805" s="87" t="str">
        <f>IFERROR(__xludf.DUMMYFUNCTION("""COMPUTED_VALUE"""),"ITBISA-IC-NE555P-DIP8")</f>
        <v>ITBISA-IC-NE555P-DIP8</v>
      </c>
      <c r="B1805" s="165">
        <f>IFERROR(__xludf.DUMMYFUNCTION("""COMPUTED_VALUE"""),46131.0)</f>
        <v>46131</v>
      </c>
      <c r="C1805" s="165" t="str">
        <f>IFERROR(__xludf.DUMMYFUNCTION("""COMPUTED_VALUE"""),"KYAI KONTONG")</f>
        <v>KYAI KONTONG</v>
      </c>
      <c r="D1805" s="94">
        <f>IFERROR(__xludf.DUMMYFUNCTION("""COMPUTED_VALUE"""),40.0)</f>
        <v>40</v>
      </c>
    </row>
    <row r="1806">
      <c r="A1806" s="87" t="str">
        <f>IFERROR(__xludf.DUMMYFUNCTION("""COMPUTED_VALUE"""),"ITBISA-IC-NE555P-DIP8")</f>
        <v>ITBISA-IC-NE555P-DIP8</v>
      </c>
      <c r="B1806" s="165">
        <f>IFERROR(__xludf.DUMMYFUNCTION("""COMPUTED_VALUE"""),46133.0)</f>
        <v>46133</v>
      </c>
      <c r="C1806" s="165" t="str">
        <f>IFERROR(__xludf.DUMMYFUNCTION("""COMPUTED_VALUE"""),"KYAI KONTONG")</f>
        <v>KYAI KONTONG</v>
      </c>
      <c r="D1806" s="94">
        <f>IFERROR(__xludf.DUMMYFUNCTION("""COMPUTED_VALUE"""),50.0)</f>
        <v>50</v>
      </c>
    </row>
    <row r="1807">
      <c r="A1807" s="87" t="str">
        <f>IFERROR(__xludf.DUMMYFUNCTION("""COMPUTED_VALUE"""),"ITBISA-IC-NE555P-DIP8")</f>
        <v>ITBISA-IC-NE555P-DIP8</v>
      </c>
      <c r="B1807" s="165">
        <f>IFERROR(__xludf.DUMMYFUNCTION("""COMPUTED_VALUE"""),46137.0)</f>
        <v>46137</v>
      </c>
      <c r="C1807" s="165" t="str">
        <f>IFERROR(__xludf.DUMMYFUNCTION("""COMPUTED_VALUE"""),"KYAI KONTONG")</f>
        <v>KYAI KONTONG</v>
      </c>
      <c r="D1807" s="94">
        <f>IFERROR(__xludf.DUMMYFUNCTION("""COMPUTED_VALUE"""),1000.0)</f>
        <v>1000</v>
      </c>
    </row>
    <row r="1808">
      <c r="A1808" s="87" t="str">
        <f>IFERROR(__xludf.DUMMYFUNCTION("""COMPUTED_VALUE"""),"ITBISA-IC-NE555P-DIP8")</f>
        <v>ITBISA-IC-NE555P-DIP8</v>
      </c>
      <c r="B1808" s="165">
        <f>IFERROR(__xludf.DUMMYFUNCTION("""COMPUTED_VALUE"""),46144.0)</f>
        <v>46144</v>
      </c>
      <c r="C1808" s="165" t="str">
        <f>IFERROR(__xludf.DUMMYFUNCTION("""COMPUTED_VALUE"""),"KYAI KONTONG")</f>
        <v>KYAI KONTONG</v>
      </c>
      <c r="D1808" s="94">
        <f>IFERROR(__xludf.DUMMYFUNCTION("""COMPUTED_VALUE"""),100.0)</f>
        <v>100</v>
      </c>
    </row>
    <row r="1809">
      <c r="A1809" s="87" t="str">
        <f>IFERROR(__xludf.DUMMYFUNCTION("""COMPUTED_VALUE"""),"ITBISA-IC-NE555P-DIP8")</f>
        <v>ITBISA-IC-NE555P-DIP8</v>
      </c>
      <c r="B1809" s="165">
        <f>IFERROR(__xludf.DUMMYFUNCTION("""COMPUTED_VALUE"""),46146.0)</f>
        <v>46146</v>
      </c>
      <c r="C1809" s="165" t="str">
        <f>IFERROR(__xludf.DUMMYFUNCTION("""COMPUTED_VALUE"""),"KYAI KONTONG")</f>
        <v>KYAI KONTONG</v>
      </c>
      <c r="D1809" s="94">
        <f>IFERROR(__xludf.DUMMYFUNCTION("""COMPUTED_VALUE"""),150.0)</f>
        <v>150</v>
      </c>
    </row>
    <row r="1810">
      <c r="A1810" s="87" t="str">
        <f>IFERROR(__xludf.DUMMYFUNCTION("""COMPUTED_VALUE"""),"ITBISA-IC-NE555P-DIP8")</f>
        <v>ITBISA-IC-NE555P-DIP8</v>
      </c>
      <c r="B1810" s="165">
        <f>IFERROR(__xludf.DUMMYFUNCTION("""COMPUTED_VALUE"""),46152.0)</f>
        <v>46152</v>
      </c>
      <c r="C1810" s="165" t="str">
        <f>IFERROR(__xludf.DUMMYFUNCTION("""COMPUTED_VALUE"""),"KYAI KONTONG")</f>
        <v>KYAI KONTONG</v>
      </c>
      <c r="D1810" s="94">
        <f>IFERROR(__xludf.DUMMYFUNCTION("""COMPUTED_VALUE"""),200.0)</f>
        <v>200</v>
      </c>
    </row>
    <row r="1811">
      <c r="A1811" s="87" t="str">
        <f>IFERROR(__xludf.DUMMYFUNCTION("""COMPUTED_VALUE"""),"ITBISA-IC-NE555P-DIP8")</f>
        <v>ITBISA-IC-NE555P-DIP8</v>
      </c>
      <c r="B1811" s="165">
        <f>IFERROR(__xludf.DUMMYFUNCTION("""COMPUTED_VALUE"""),46153.0)</f>
        <v>46153</v>
      </c>
      <c r="C1811" s="165" t="str">
        <f>IFERROR(__xludf.DUMMYFUNCTION("""COMPUTED_VALUE"""),"KYAI KONTONG")</f>
        <v>KYAI KONTONG</v>
      </c>
      <c r="D1811" s="94">
        <f>IFERROR(__xludf.DUMMYFUNCTION("""COMPUTED_VALUE"""),5.0)</f>
        <v>5</v>
      </c>
    </row>
    <row r="1812">
      <c r="A1812" s="87" t="str">
        <f>IFERROR(__xludf.DUMMYFUNCTION("""COMPUTED_VALUE"""),"ITBISA-IC-NE555P-DIP8")</f>
        <v>ITBISA-IC-NE555P-DIP8</v>
      </c>
      <c r="B1812" s="165">
        <f>IFERROR(__xludf.DUMMYFUNCTION("""COMPUTED_VALUE"""),46153.0)</f>
        <v>46153</v>
      </c>
      <c r="C1812" s="165" t="str">
        <f>IFERROR(__xludf.DUMMYFUNCTION("""COMPUTED_VALUE"""),"KYAI KONTONG")</f>
        <v>KYAI KONTONG</v>
      </c>
      <c r="D1812" s="94">
        <f>IFERROR(__xludf.DUMMYFUNCTION("""COMPUTED_VALUE"""),25.0)</f>
        <v>25</v>
      </c>
    </row>
    <row r="1813">
      <c r="A1813" s="87" t="str">
        <f>IFERROR(__xludf.DUMMYFUNCTION("""COMPUTED_VALUE"""),"ITBISA-IC-NE555P-DIP8")</f>
        <v>ITBISA-IC-NE555P-DIP8</v>
      </c>
      <c r="B1813" s="165">
        <f>IFERROR(__xludf.DUMMYFUNCTION("""COMPUTED_VALUE"""),46154.0)</f>
        <v>46154</v>
      </c>
      <c r="C1813" s="165" t="str">
        <f>IFERROR(__xludf.DUMMYFUNCTION("""COMPUTED_VALUE"""),"KYAI KONTONG")</f>
        <v>KYAI KONTONG</v>
      </c>
      <c r="D1813" s="94">
        <f>IFERROR(__xludf.DUMMYFUNCTION("""COMPUTED_VALUE"""),5.0)</f>
        <v>5</v>
      </c>
    </row>
    <row r="1814">
      <c r="A1814" s="87" t="str">
        <f>IFERROR(__xludf.DUMMYFUNCTION("""COMPUTED_VALUE"""),"ITBISA-IC-NE555P-DIP8")</f>
        <v>ITBISA-IC-NE555P-DIP8</v>
      </c>
      <c r="B1814" s="165">
        <f>IFERROR(__xludf.DUMMYFUNCTION("""COMPUTED_VALUE"""),46154.0)</f>
        <v>46154</v>
      </c>
      <c r="C1814" s="165" t="str">
        <f>IFERROR(__xludf.DUMMYFUNCTION("""COMPUTED_VALUE"""),"KYAI KONTONG")</f>
        <v>KYAI KONTONG</v>
      </c>
      <c r="D1814" s="94">
        <f>IFERROR(__xludf.DUMMYFUNCTION("""COMPUTED_VALUE"""),5.0)</f>
        <v>5</v>
      </c>
    </row>
    <row r="1815">
      <c r="A1815" s="87" t="str">
        <f>IFERROR(__xludf.DUMMYFUNCTION("""COMPUTED_VALUE"""),"ITBISA-IC-NE555P-DIP8")</f>
        <v>ITBISA-IC-NE555P-DIP8</v>
      </c>
      <c r="B1815" s="165">
        <f>IFERROR(__xludf.DUMMYFUNCTION("""COMPUTED_VALUE"""),46155.0)</f>
        <v>46155</v>
      </c>
      <c r="C1815" s="165" t="str">
        <f>IFERROR(__xludf.DUMMYFUNCTION("""COMPUTED_VALUE"""),"KYAI KONTONG")</f>
        <v>KYAI KONTONG</v>
      </c>
      <c r="D1815" s="94">
        <f>IFERROR(__xludf.DUMMYFUNCTION("""COMPUTED_VALUE"""),15.0)</f>
        <v>15</v>
      </c>
    </row>
    <row r="1816">
      <c r="A1816" s="87" t="str">
        <f>IFERROR(__xludf.DUMMYFUNCTION("""COMPUTED_VALUE"""),"ITBISA-IC-NE555P-DIP8")</f>
        <v>ITBISA-IC-NE555P-DIP8</v>
      </c>
      <c r="B1816" s="165">
        <f>IFERROR(__xludf.DUMMYFUNCTION("""COMPUTED_VALUE"""),46155.0)</f>
        <v>46155</v>
      </c>
      <c r="C1816" s="165" t="str">
        <f>IFERROR(__xludf.DUMMYFUNCTION("""COMPUTED_VALUE"""),"KYAI KONTONG")</f>
        <v>KYAI KONTONG</v>
      </c>
      <c r="D1816" s="94">
        <f>IFERROR(__xludf.DUMMYFUNCTION("""COMPUTED_VALUE"""),300.0)</f>
        <v>300</v>
      </c>
    </row>
    <row r="1817">
      <c r="A1817" s="87" t="str">
        <f>IFERROR(__xludf.DUMMYFUNCTION("""COMPUTED_VALUE"""),"ITBISA-IC-NE555P-DIP8")</f>
        <v>ITBISA-IC-NE555P-DIP8</v>
      </c>
      <c r="B1817" s="165">
        <f>IFERROR(__xludf.DUMMYFUNCTION("""COMPUTED_VALUE"""),46156.0)</f>
        <v>46156</v>
      </c>
      <c r="C1817" s="165" t="str">
        <f>IFERROR(__xludf.DUMMYFUNCTION("""COMPUTED_VALUE"""),"KYAI KONTONG")</f>
        <v>KYAI KONTONG</v>
      </c>
      <c r="D1817" s="94">
        <f>IFERROR(__xludf.DUMMYFUNCTION("""COMPUTED_VALUE"""),20.0)</f>
        <v>20</v>
      </c>
    </row>
    <row r="1818">
      <c r="A1818" s="87" t="str">
        <f>IFERROR(__xludf.DUMMYFUNCTION("""COMPUTED_VALUE"""),"ITBISA-IC-NE555P-DIP8")</f>
        <v>ITBISA-IC-NE555P-DIP8</v>
      </c>
      <c r="B1818" s="165">
        <f>IFERROR(__xludf.DUMMYFUNCTION("""COMPUTED_VALUE"""),46157.0)</f>
        <v>46157</v>
      </c>
      <c r="C1818" s="165" t="str">
        <f>IFERROR(__xludf.DUMMYFUNCTION("""COMPUTED_VALUE"""),"KYAI KONTONG")</f>
        <v>KYAI KONTONG</v>
      </c>
      <c r="D1818" s="94">
        <f>IFERROR(__xludf.DUMMYFUNCTION("""COMPUTED_VALUE"""),5.0)</f>
        <v>5</v>
      </c>
    </row>
    <row r="1819">
      <c r="A1819" s="87" t="str">
        <f>IFERROR(__xludf.DUMMYFUNCTION("""COMPUTED_VALUE"""),"ITBISA-IC-NE555P-DIP8")</f>
        <v>ITBISA-IC-NE555P-DIP8</v>
      </c>
      <c r="B1819" s="165">
        <f>IFERROR(__xludf.DUMMYFUNCTION("""COMPUTED_VALUE"""),46157.0)</f>
        <v>46157</v>
      </c>
      <c r="C1819" s="165" t="str">
        <f>IFERROR(__xludf.DUMMYFUNCTION("""COMPUTED_VALUE"""),"KYAI KONTONG")</f>
        <v>KYAI KONTONG</v>
      </c>
      <c r="D1819" s="94">
        <f>IFERROR(__xludf.DUMMYFUNCTION("""COMPUTED_VALUE"""),100.0)</f>
        <v>100</v>
      </c>
    </row>
    <row r="1820">
      <c r="A1820" s="87" t="str">
        <f>IFERROR(__xludf.DUMMYFUNCTION("""COMPUTED_VALUE"""),"ITBISA-IC-NE555P-DIP8")</f>
        <v>ITBISA-IC-NE555P-DIP8</v>
      </c>
      <c r="B1820" s="165">
        <f>IFERROR(__xludf.DUMMYFUNCTION("""COMPUTED_VALUE"""),46157.0)</f>
        <v>46157</v>
      </c>
      <c r="C1820" s="165" t="str">
        <f>IFERROR(__xludf.DUMMYFUNCTION("""COMPUTED_VALUE"""),"KYAI KONTONG")</f>
        <v>KYAI KONTONG</v>
      </c>
      <c r="D1820" s="94">
        <f>IFERROR(__xludf.DUMMYFUNCTION("""COMPUTED_VALUE"""),100.0)</f>
        <v>100</v>
      </c>
    </row>
    <row r="1821">
      <c r="A1821" s="87" t="str">
        <f>IFERROR(__xludf.DUMMYFUNCTION("""COMPUTED_VALUE"""),"ITBISA-IC-NE555P-DIP8")</f>
        <v>ITBISA-IC-NE555P-DIP8</v>
      </c>
      <c r="B1821" s="165">
        <f>IFERROR(__xludf.DUMMYFUNCTION("""COMPUTED_VALUE"""),46158.0)</f>
        <v>46158</v>
      </c>
      <c r="C1821" s="165" t="str">
        <f>IFERROR(__xludf.DUMMYFUNCTION("""COMPUTED_VALUE"""),"KYAI KONTONG")</f>
        <v>KYAI KONTONG</v>
      </c>
      <c r="D1821" s="94">
        <f>IFERROR(__xludf.DUMMYFUNCTION("""COMPUTED_VALUE"""),200.0)</f>
        <v>200</v>
      </c>
    </row>
    <row r="1822">
      <c r="A1822" s="87" t="str">
        <f>IFERROR(__xludf.DUMMYFUNCTION("""COMPUTED_VALUE"""),"ITBISA-IC-NE555P-DIP8")</f>
        <v>ITBISA-IC-NE555P-DIP8</v>
      </c>
      <c r="B1822" s="165">
        <f>IFERROR(__xludf.DUMMYFUNCTION("""COMPUTED_VALUE"""),46159.0)</f>
        <v>46159</v>
      </c>
      <c r="C1822" s="165" t="str">
        <f>IFERROR(__xludf.DUMMYFUNCTION("""COMPUTED_VALUE"""),"KYAI KONTONG")</f>
        <v>KYAI KONTONG</v>
      </c>
      <c r="D1822" s="94">
        <f>IFERROR(__xludf.DUMMYFUNCTION("""COMPUTED_VALUE"""),5.0)</f>
        <v>5</v>
      </c>
    </row>
    <row r="1823">
      <c r="A1823" s="87" t="str">
        <f>IFERROR(__xludf.DUMMYFUNCTION("""COMPUTED_VALUE"""),"ITBISA-IC-NE555P-DIP8")</f>
        <v>ITBISA-IC-NE555P-DIP8</v>
      </c>
      <c r="B1823" s="165">
        <f>IFERROR(__xludf.DUMMYFUNCTION("""COMPUTED_VALUE"""),46159.0)</f>
        <v>46159</v>
      </c>
      <c r="C1823" s="165" t="str">
        <f>IFERROR(__xludf.DUMMYFUNCTION("""COMPUTED_VALUE"""),"KYAI KONTONG")</f>
        <v>KYAI KONTONG</v>
      </c>
      <c r="D1823" s="94">
        <f>IFERROR(__xludf.DUMMYFUNCTION("""COMPUTED_VALUE"""),500.0)</f>
        <v>500</v>
      </c>
    </row>
    <row r="1824">
      <c r="A1824" s="87" t="str">
        <f>IFERROR(__xludf.DUMMYFUNCTION("""COMPUTED_VALUE"""),"ITBISA-IC-NE555P-DIP8")</f>
        <v>ITBISA-IC-NE555P-DIP8</v>
      </c>
      <c r="B1824" s="165">
        <f>IFERROR(__xludf.DUMMYFUNCTION("""COMPUTED_VALUE"""),46160.0)</f>
        <v>46160</v>
      </c>
      <c r="C1824" s="165" t="str">
        <f>IFERROR(__xludf.DUMMYFUNCTION("""COMPUTED_VALUE"""),"KYAI KONTONG")</f>
        <v>KYAI KONTONG</v>
      </c>
      <c r="D1824" s="94">
        <f>IFERROR(__xludf.DUMMYFUNCTION("""COMPUTED_VALUE"""),10.0)</f>
        <v>10</v>
      </c>
    </row>
    <row r="1825">
      <c r="A1825" s="87" t="str">
        <f>IFERROR(__xludf.DUMMYFUNCTION("""COMPUTED_VALUE"""),"ITBISA-IC-NE555P-DIP8")</f>
        <v>ITBISA-IC-NE555P-DIP8</v>
      </c>
      <c r="B1825" s="165">
        <f>IFERROR(__xludf.DUMMYFUNCTION("""COMPUTED_VALUE"""),46160.0)</f>
        <v>46160</v>
      </c>
      <c r="C1825" s="165" t="str">
        <f>IFERROR(__xludf.DUMMYFUNCTION("""COMPUTED_VALUE"""),"KYAI KONTONG")</f>
        <v>KYAI KONTONG</v>
      </c>
      <c r="D1825" s="94">
        <f>IFERROR(__xludf.DUMMYFUNCTION("""COMPUTED_VALUE"""),50.0)</f>
        <v>50</v>
      </c>
    </row>
    <row r="1826">
      <c r="A1826" s="87" t="str">
        <f>IFERROR(__xludf.DUMMYFUNCTION("""COMPUTED_VALUE"""),"ITBISA-IC-NE555P-DIP8")</f>
        <v>ITBISA-IC-NE555P-DIP8</v>
      </c>
      <c r="B1826" s="165">
        <f>IFERROR(__xludf.DUMMYFUNCTION("""COMPUTED_VALUE"""),46163.0)</f>
        <v>46163</v>
      </c>
      <c r="C1826" s="165" t="str">
        <f>IFERROR(__xludf.DUMMYFUNCTION("""COMPUTED_VALUE"""),"KYAI KONTONG")</f>
        <v>KYAI KONTONG</v>
      </c>
      <c r="D1826" s="94">
        <f>IFERROR(__xludf.DUMMYFUNCTION("""COMPUTED_VALUE"""),10.0)</f>
        <v>10</v>
      </c>
    </row>
    <row r="1827">
      <c r="A1827" s="87" t="str">
        <f>IFERROR(__xludf.DUMMYFUNCTION("""COMPUTED_VALUE"""),"ITBISA-IC-NE555P-DIP8")</f>
        <v>ITBISA-IC-NE555P-DIP8</v>
      </c>
      <c r="B1827" s="165">
        <f>IFERROR(__xludf.DUMMYFUNCTION("""COMPUTED_VALUE"""),46163.0)</f>
        <v>46163</v>
      </c>
      <c r="C1827" s="165" t="str">
        <f>IFERROR(__xludf.DUMMYFUNCTION("""COMPUTED_VALUE"""),"KYAI KONTONG")</f>
        <v>KYAI KONTONG</v>
      </c>
      <c r="D1827" s="94">
        <f>IFERROR(__xludf.DUMMYFUNCTION("""COMPUTED_VALUE"""),200.0)</f>
        <v>200</v>
      </c>
    </row>
    <row r="1828">
      <c r="A1828" s="87" t="str">
        <f>IFERROR(__xludf.DUMMYFUNCTION("""COMPUTED_VALUE"""),"ITBISA-IC-NE555P-DIP8")</f>
        <v>ITBISA-IC-NE555P-DIP8</v>
      </c>
      <c r="B1828" s="165">
        <f>IFERROR(__xludf.DUMMYFUNCTION("""COMPUTED_VALUE"""),46164.0)</f>
        <v>46164</v>
      </c>
      <c r="C1828" s="165" t="str">
        <f>IFERROR(__xludf.DUMMYFUNCTION("""COMPUTED_VALUE"""),"KYAI KONTONG")</f>
        <v>KYAI KONTONG</v>
      </c>
      <c r="D1828" s="94">
        <f>IFERROR(__xludf.DUMMYFUNCTION("""COMPUTED_VALUE"""),14.0)</f>
        <v>14</v>
      </c>
    </row>
    <row r="1829">
      <c r="A1829" s="87" t="str">
        <f>IFERROR(__xludf.DUMMYFUNCTION("""COMPUTED_VALUE"""),"ITBISA-IC-NE555P-DIP8")</f>
        <v>ITBISA-IC-NE555P-DIP8</v>
      </c>
      <c r="B1829" s="165">
        <f>IFERROR(__xludf.DUMMYFUNCTION("""COMPUTED_VALUE"""),46167.0)</f>
        <v>46167</v>
      </c>
      <c r="C1829" s="165" t="str">
        <f>IFERROR(__xludf.DUMMYFUNCTION("""COMPUTED_VALUE"""),"KYAI KONTONG")</f>
        <v>KYAI KONTONG</v>
      </c>
      <c r="D1829" s="94">
        <f>IFERROR(__xludf.DUMMYFUNCTION("""COMPUTED_VALUE"""),150.0)</f>
        <v>150</v>
      </c>
    </row>
    <row r="1830">
      <c r="A1830" s="87" t="str">
        <f>IFERROR(__xludf.DUMMYFUNCTION("""COMPUTED_VALUE"""),"ITBISA-IC-NE555P-DIP8")</f>
        <v>ITBISA-IC-NE555P-DIP8</v>
      </c>
      <c r="B1830" s="165">
        <f>IFERROR(__xludf.DUMMYFUNCTION("""COMPUTED_VALUE"""),46168.0)</f>
        <v>46168</v>
      </c>
      <c r="C1830" s="165" t="str">
        <f>IFERROR(__xludf.DUMMYFUNCTION("""COMPUTED_VALUE"""),"KYAI KONTONG")</f>
        <v>KYAI KONTONG</v>
      </c>
      <c r="D1830" s="94">
        <f>IFERROR(__xludf.DUMMYFUNCTION("""COMPUTED_VALUE"""),100.0)</f>
        <v>100</v>
      </c>
    </row>
    <row r="1831">
      <c r="A1831" s="87" t="str">
        <f>IFERROR(__xludf.DUMMYFUNCTION("""COMPUTED_VALUE"""),"ITBISA-IC-NE555P-DIP8")</f>
        <v>ITBISA-IC-NE555P-DIP8</v>
      </c>
      <c r="B1831" s="165">
        <f>IFERROR(__xludf.DUMMYFUNCTION("""COMPUTED_VALUE"""),46170.0)</f>
        <v>46170</v>
      </c>
      <c r="C1831" s="165" t="str">
        <f>IFERROR(__xludf.DUMMYFUNCTION("""COMPUTED_VALUE"""),"KYAI KONTONG")</f>
        <v>KYAI KONTONG</v>
      </c>
      <c r="D1831" s="94">
        <f>IFERROR(__xludf.DUMMYFUNCTION("""COMPUTED_VALUE"""),10.0)</f>
        <v>10</v>
      </c>
    </row>
    <row r="1832">
      <c r="A1832" s="87" t="str">
        <f>IFERROR(__xludf.DUMMYFUNCTION("""COMPUTED_VALUE"""),"ITBISA-IC-NE555P-DIP8")</f>
        <v>ITBISA-IC-NE555P-DIP8</v>
      </c>
      <c r="B1832" s="165">
        <f>IFERROR(__xludf.DUMMYFUNCTION("""COMPUTED_VALUE"""),46170.0)</f>
        <v>46170</v>
      </c>
      <c r="C1832" s="165" t="str">
        <f>IFERROR(__xludf.DUMMYFUNCTION("""COMPUTED_VALUE"""),"KYAI KONTONG")</f>
        <v>KYAI KONTONG</v>
      </c>
      <c r="D1832" s="94">
        <f>IFERROR(__xludf.DUMMYFUNCTION("""COMPUTED_VALUE"""),10.0)</f>
        <v>10</v>
      </c>
    </row>
    <row r="1833">
      <c r="A1833" s="87" t="str">
        <f>IFERROR(__xludf.DUMMYFUNCTION("""COMPUTED_VALUE"""),"ITBISA-IC-NE555P-DIP8")</f>
        <v>ITBISA-IC-NE555P-DIP8</v>
      </c>
      <c r="B1833" s="165">
        <f>IFERROR(__xludf.DUMMYFUNCTION("""COMPUTED_VALUE"""),46170.0)</f>
        <v>46170</v>
      </c>
      <c r="C1833" s="165" t="str">
        <f>IFERROR(__xludf.DUMMYFUNCTION("""COMPUTED_VALUE"""),"KYAI KONTONG")</f>
        <v>KYAI KONTONG</v>
      </c>
      <c r="D1833" s="94">
        <f>IFERROR(__xludf.DUMMYFUNCTION("""COMPUTED_VALUE"""),10.0)</f>
        <v>10</v>
      </c>
    </row>
    <row r="1834">
      <c r="A1834" s="87" t="str">
        <f>IFERROR(__xludf.DUMMYFUNCTION("""COMPUTED_VALUE"""),"ITBISA-IC-NE555P-DIP8")</f>
        <v>ITBISA-IC-NE555P-DIP8</v>
      </c>
      <c r="B1834" s="165">
        <f>IFERROR(__xludf.DUMMYFUNCTION("""COMPUTED_VALUE"""),46170.0)</f>
        <v>46170</v>
      </c>
      <c r="C1834" s="165" t="str">
        <f>IFERROR(__xludf.DUMMYFUNCTION("""COMPUTED_VALUE"""),"KYAI KONTONG")</f>
        <v>KYAI KONTONG</v>
      </c>
      <c r="D1834" s="94">
        <f>IFERROR(__xludf.DUMMYFUNCTION("""COMPUTED_VALUE"""),10.0)</f>
        <v>10</v>
      </c>
    </row>
    <row r="1835">
      <c r="A1835" s="87" t="str">
        <f>IFERROR(__xludf.DUMMYFUNCTION("""COMPUTED_VALUE"""),"ITBISA-IC-NE555P-DIP8")</f>
        <v>ITBISA-IC-NE555P-DIP8</v>
      </c>
      <c r="B1835" s="165">
        <f>IFERROR(__xludf.DUMMYFUNCTION("""COMPUTED_VALUE"""),46170.0)</f>
        <v>46170</v>
      </c>
      <c r="C1835" s="165" t="str">
        <f>IFERROR(__xludf.DUMMYFUNCTION("""COMPUTED_VALUE"""),"KYAI KONTONG")</f>
        <v>KYAI KONTONG</v>
      </c>
      <c r="D1835" s="94">
        <f>IFERROR(__xludf.DUMMYFUNCTION("""COMPUTED_VALUE"""),100.0)</f>
        <v>100</v>
      </c>
    </row>
    <row r="1836">
      <c r="A1836" s="87" t="str">
        <f>IFERROR(__xludf.DUMMYFUNCTION("""COMPUTED_VALUE"""),"ITBISA-IC-NE555P-DIP8")</f>
        <v>ITBISA-IC-NE555P-DIP8</v>
      </c>
      <c r="B1836" s="165">
        <f>IFERROR(__xludf.DUMMYFUNCTION("""COMPUTED_VALUE"""),46171.0)</f>
        <v>46171</v>
      </c>
      <c r="C1836" s="165" t="str">
        <f>IFERROR(__xludf.DUMMYFUNCTION("""COMPUTED_VALUE"""),"KYAI KONTONG")</f>
        <v>KYAI KONTONG</v>
      </c>
      <c r="D1836" s="94">
        <f>IFERROR(__xludf.DUMMYFUNCTION("""COMPUTED_VALUE"""),10.0)</f>
        <v>10</v>
      </c>
    </row>
    <row r="1837">
      <c r="A1837" s="87" t="str">
        <f>IFERROR(__xludf.DUMMYFUNCTION("""COMPUTED_VALUE"""),"ITBISA-IC-NE555P-DIP8")</f>
        <v>ITBISA-IC-NE555P-DIP8</v>
      </c>
      <c r="B1837" s="165">
        <f>IFERROR(__xludf.DUMMYFUNCTION("""COMPUTED_VALUE"""),46171.0)</f>
        <v>46171</v>
      </c>
      <c r="C1837" s="165" t="str">
        <f>IFERROR(__xludf.DUMMYFUNCTION("""COMPUTED_VALUE"""),"KYAI KONTONG")</f>
        <v>KYAI KONTONG</v>
      </c>
      <c r="D1837" s="94">
        <f>IFERROR(__xludf.DUMMYFUNCTION("""COMPUTED_VALUE"""),25.0)</f>
        <v>25</v>
      </c>
    </row>
    <row r="1838">
      <c r="A1838" s="87" t="str">
        <f>IFERROR(__xludf.DUMMYFUNCTION("""COMPUTED_VALUE"""),"ITBISA-IC-NE555P-DIP8")</f>
        <v>ITBISA-IC-NE555P-DIP8</v>
      </c>
      <c r="B1838" s="165">
        <f>IFERROR(__xludf.DUMMYFUNCTION("""COMPUTED_VALUE"""),46172.0)</f>
        <v>46172</v>
      </c>
      <c r="C1838" s="165" t="str">
        <f>IFERROR(__xludf.DUMMYFUNCTION("""COMPUTED_VALUE"""),"KYAI KONTONG")</f>
        <v>KYAI KONTONG</v>
      </c>
      <c r="D1838" s="94">
        <f>IFERROR(__xludf.DUMMYFUNCTION("""COMPUTED_VALUE"""),10.0)</f>
        <v>10</v>
      </c>
    </row>
    <row r="1839">
      <c r="A1839" s="87" t="str">
        <f>IFERROR(__xludf.DUMMYFUNCTION("""COMPUTED_VALUE"""),"ITBISA-IC-NE555P-DIP8")</f>
        <v>ITBISA-IC-NE555P-DIP8</v>
      </c>
      <c r="B1839" s="165">
        <f>IFERROR(__xludf.DUMMYFUNCTION("""COMPUTED_VALUE"""),46172.0)</f>
        <v>46172</v>
      </c>
      <c r="C1839" s="165" t="str">
        <f>IFERROR(__xludf.DUMMYFUNCTION("""COMPUTED_VALUE"""),"KYAI KONTONG")</f>
        <v>KYAI KONTONG</v>
      </c>
      <c r="D1839" s="94">
        <f>IFERROR(__xludf.DUMMYFUNCTION("""COMPUTED_VALUE"""),200.0)</f>
        <v>200</v>
      </c>
    </row>
    <row r="1840">
      <c r="A1840" s="87" t="str">
        <f>IFERROR(__xludf.DUMMYFUNCTION("""COMPUTED_VALUE"""),"ITBISA-IC-NE555P-DIP8")</f>
        <v>ITBISA-IC-NE555P-DIP8</v>
      </c>
      <c r="B1840" s="165">
        <f>IFERROR(__xludf.DUMMYFUNCTION("""COMPUTED_VALUE"""),46175.0)</f>
        <v>46175</v>
      </c>
      <c r="C1840" s="165" t="str">
        <f>IFERROR(__xludf.DUMMYFUNCTION("""COMPUTED_VALUE"""),"KYAI KONTONG")</f>
        <v>KYAI KONTONG</v>
      </c>
      <c r="D1840" s="94">
        <f>IFERROR(__xludf.DUMMYFUNCTION("""COMPUTED_VALUE"""),10.0)</f>
        <v>10</v>
      </c>
    </row>
    <row r="1841">
      <c r="A1841" s="87" t="str">
        <f>IFERROR(__xludf.DUMMYFUNCTION("""COMPUTED_VALUE"""),"ITBISA-IC-NE555P-DIP8")</f>
        <v>ITBISA-IC-NE555P-DIP8</v>
      </c>
      <c r="B1841" s="165">
        <f>IFERROR(__xludf.DUMMYFUNCTION("""COMPUTED_VALUE"""),46175.0)</f>
        <v>46175</v>
      </c>
      <c r="C1841" s="165" t="str">
        <f>IFERROR(__xludf.DUMMYFUNCTION("""COMPUTED_VALUE"""),"KYAI KONTONG")</f>
        <v>KYAI KONTONG</v>
      </c>
      <c r="D1841" s="94">
        <f>IFERROR(__xludf.DUMMYFUNCTION("""COMPUTED_VALUE"""),25.0)</f>
        <v>25</v>
      </c>
    </row>
    <row r="1842">
      <c r="A1842" s="87" t="str">
        <f>IFERROR(__xludf.DUMMYFUNCTION("""COMPUTED_VALUE"""),"ITBISA-IC-NE555P-DIP8")</f>
        <v>ITBISA-IC-NE555P-DIP8</v>
      </c>
      <c r="B1842" s="165">
        <f>IFERROR(__xludf.DUMMYFUNCTION("""COMPUTED_VALUE"""),46175.0)</f>
        <v>46175</v>
      </c>
      <c r="C1842" s="165" t="str">
        <f>IFERROR(__xludf.DUMMYFUNCTION("""COMPUTED_VALUE"""),"KYAI KONTONG")</f>
        <v>KYAI KONTONG</v>
      </c>
      <c r="D1842" s="94">
        <f>IFERROR(__xludf.DUMMYFUNCTION("""COMPUTED_VALUE"""),100.0)</f>
        <v>100</v>
      </c>
    </row>
    <row r="1843">
      <c r="A1843" s="87" t="str">
        <f>IFERROR(__xludf.DUMMYFUNCTION("""COMPUTED_VALUE"""),"ITBISA-IC-NE555P-DIP8")</f>
        <v>ITBISA-IC-NE555P-DIP8</v>
      </c>
      <c r="B1843" s="165">
        <f>IFERROR(__xludf.DUMMYFUNCTION("""COMPUTED_VALUE"""),46177.0)</f>
        <v>46177</v>
      </c>
      <c r="C1843" s="165" t="str">
        <f>IFERROR(__xludf.DUMMYFUNCTION("""COMPUTED_VALUE"""),"KYAI KONTONG")</f>
        <v>KYAI KONTONG</v>
      </c>
      <c r="D1843" s="94">
        <f>IFERROR(__xludf.DUMMYFUNCTION("""COMPUTED_VALUE"""),200.0)</f>
        <v>200</v>
      </c>
    </row>
    <row r="1844">
      <c r="A1844" s="87" t="str">
        <f>IFERROR(__xludf.DUMMYFUNCTION("""COMPUTED_VALUE"""),"ITBISA-IC-NE555P-DIP8")</f>
        <v>ITBISA-IC-NE555P-DIP8</v>
      </c>
      <c r="B1844" s="165">
        <f>IFERROR(__xludf.DUMMYFUNCTION("""COMPUTED_VALUE"""),46177.0)</f>
        <v>46177</v>
      </c>
      <c r="C1844" s="165" t="str">
        <f>IFERROR(__xludf.DUMMYFUNCTION("""COMPUTED_VALUE"""),"KYAI KONTONG")</f>
        <v>KYAI KONTONG</v>
      </c>
      <c r="D1844" s="94">
        <f>IFERROR(__xludf.DUMMYFUNCTION("""COMPUTED_VALUE"""),2500.0)</f>
        <v>2500</v>
      </c>
    </row>
    <row r="1845">
      <c r="A1845" s="87" t="str">
        <f>IFERROR(__xludf.DUMMYFUNCTION("""COMPUTED_VALUE"""),"ITBISA-IC-NE555P-DIP8")</f>
        <v>ITBISA-IC-NE555P-DIP8</v>
      </c>
      <c r="B1845" s="165">
        <f>IFERROR(__xludf.DUMMYFUNCTION("""COMPUTED_VALUE"""),46183.0)</f>
        <v>46183</v>
      </c>
      <c r="C1845" s="165" t="str">
        <f>IFERROR(__xludf.DUMMYFUNCTION("""COMPUTED_VALUE"""),"KYAI KONTONG")</f>
        <v>KYAI KONTONG</v>
      </c>
      <c r="D1845" s="94">
        <f>IFERROR(__xludf.DUMMYFUNCTION("""COMPUTED_VALUE"""),50.0)</f>
        <v>50</v>
      </c>
    </row>
    <row r="1846">
      <c r="A1846" s="87" t="str">
        <f>IFERROR(__xludf.DUMMYFUNCTION("""COMPUTED_VALUE"""),"ITBISA-IC-NE555P-DIP8")</f>
        <v>ITBISA-IC-NE555P-DIP8</v>
      </c>
      <c r="B1846" s="165">
        <f>IFERROR(__xludf.DUMMYFUNCTION("""COMPUTED_VALUE"""),46183.0)</f>
        <v>46183</v>
      </c>
      <c r="C1846" s="165" t="str">
        <f>IFERROR(__xludf.DUMMYFUNCTION("""COMPUTED_VALUE"""),"KYAI KONTONG")</f>
        <v>KYAI KONTONG</v>
      </c>
      <c r="D1846" s="94">
        <f>IFERROR(__xludf.DUMMYFUNCTION("""COMPUTED_VALUE"""),200.0)</f>
        <v>200</v>
      </c>
    </row>
    <row r="1847">
      <c r="A1847" s="87" t="str">
        <f>IFERROR(__xludf.DUMMYFUNCTION("""COMPUTED_VALUE"""),"ITBISA-IC-NE555P-DIP8")</f>
        <v>ITBISA-IC-NE555P-DIP8</v>
      </c>
      <c r="B1847" s="165">
        <f>IFERROR(__xludf.DUMMYFUNCTION("""COMPUTED_VALUE"""),46187.0)</f>
        <v>46187</v>
      </c>
      <c r="C1847" s="165" t="str">
        <f>IFERROR(__xludf.DUMMYFUNCTION("""COMPUTED_VALUE"""),"KYAI KONTONG")</f>
        <v>KYAI KONTONG</v>
      </c>
      <c r="D1847" s="94">
        <f>IFERROR(__xludf.DUMMYFUNCTION("""COMPUTED_VALUE"""),200.0)</f>
        <v>200</v>
      </c>
    </row>
    <row r="1848">
      <c r="A1848" s="87" t="str">
        <f>IFERROR(__xludf.DUMMYFUNCTION("""COMPUTED_VALUE"""),"ITBISA-IC-NE555P-DIP8")</f>
        <v>ITBISA-IC-NE555P-DIP8</v>
      </c>
      <c r="B1848" s="165">
        <f>IFERROR(__xludf.DUMMYFUNCTION("""COMPUTED_VALUE"""),46190.0)</f>
        <v>46190</v>
      </c>
      <c r="C1848" s="165" t="str">
        <f>IFERROR(__xludf.DUMMYFUNCTION("""COMPUTED_VALUE"""),"KYAI KONTONG")</f>
        <v>KYAI KONTONG</v>
      </c>
      <c r="D1848" s="94">
        <f>IFERROR(__xludf.DUMMYFUNCTION("""COMPUTED_VALUE"""),10.0)</f>
        <v>10</v>
      </c>
    </row>
    <row r="1849">
      <c r="A1849" s="87" t="str">
        <f>IFERROR(__xludf.DUMMYFUNCTION("""COMPUTED_VALUE"""),"ITBISA-IC-NE555P-DIP8")</f>
        <v>ITBISA-IC-NE555P-DIP8</v>
      </c>
      <c r="B1849" s="165">
        <f>IFERROR(__xludf.DUMMYFUNCTION("""COMPUTED_VALUE"""),46190.0)</f>
        <v>46190</v>
      </c>
      <c r="C1849" s="165" t="str">
        <f>IFERROR(__xludf.DUMMYFUNCTION("""COMPUTED_VALUE"""),"KYAI KONTONG")</f>
        <v>KYAI KONTONG</v>
      </c>
      <c r="D1849" s="94">
        <f>IFERROR(__xludf.DUMMYFUNCTION("""COMPUTED_VALUE"""),20.0)</f>
        <v>20</v>
      </c>
    </row>
    <row r="1850">
      <c r="A1850" s="87" t="str">
        <f>IFERROR(__xludf.DUMMYFUNCTION("""COMPUTED_VALUE"""),"ITBISA-IC-NE555P-DIP8")</f>
        <v>ITBISA-IC-NE555P-DIP8</v>
      </c>
      <c r="B1850" s="165">
        <f>IFERROR(__xludf.DUMMYFUNCTION("""COMPUTED_VALUE"""),46190.0)</f>
        <v>46190</v>
      </c>
      <c r="C1850" s="165" t="str">
        <f>IFERROR(__xludf.DUMMYFUNCTION("""COMPUTED_VALUE"""),"KYAI KONTONG")</f>
        <v>KYAI KONTONG</v>
      </c>
      <c r="D1850" s="94">
        <f>IFERROR(__xludf.DUMMYFUNCTION("""COMPUTED_VALUE"""),1000.0)</f>
        <v>1000</v>
      </c>
    </row>
    <row r="1851">
      <c r="A1851" s="87" t="str">
        <f>IFERROR(__xludf.DUMMYFUNCTION("""COMPUTED_VALUE"""),"ITBISA-IC-NE555P-DIP8")</f>
        <v>ITBISA-IC-NE555P-DIP8</v>
      </c>
      <c r="B1851" s="165">
        <f>IFERROR(__xludf.DUMMYFUNCTION("""COMPUTED_VALUE"""),46191.0)</f>
        <v>46191</v>
      </c>
      <c r="C1851" s="165" t="str">
        <f>IFERROR(__xludf.DUMMYFUNCTION("""COMPUTED_VALUE"""),"KYAI KONTONG")</f>
        <v>KYAI KONTONG</v>
      </c>
      <c r="D1851" s="94">
        <f>IFERROR(__xludf.DUMMYFUNCTION("""COMPUTED_VALUE"""),200.0)</f>
        <v>200</v>
      </c>
    </row>
    <row r="1852">
      <c r="A1852" s="87" t="str">
        <f>IFERROR(__xludf.DUMMYFUNCTION("""COMPUTED_VALUE"""),"ITBISA-IC-NE555P-DIP8")</f>
        <v>ITBISA-IC-NE555P-DIP8</v>
      </c>
      <c r="B1852" s="165">
        <f>IFERROR(__xludf.DUMMYFUNCTION("""COMPUTED_VALUE"""),46192.0)</f>
        <v>46192</v>
      </c>
      <c r="C1852" s="165" t="str">
        <f>IFERROR(__xludf.DUMMYFUNCTION("""COMPUTED_VALUE"""),"KYAI KONTONG")</f>
        <v>KYAI KONTONG</v>
      </c>
      <c r="D1852" s="94">
        <f>IFERROR(__xludf.DUMMYFUNCTION("""COMPUTED_VALUE"""),30.0)</f>
        <v>30</v>
      </c>
    </row>
    <row r="1853">
      <c r="A1853" s="87" t="str">
        <f>IFERROR(__xludf.DUMMYFUNCTION("""COMPUTED_VALUE"""),"ITBISA-IC-NE555P-DIP8")</f>
        <v>ITBISA-IC-NE555P-DIP8</v>
      </c>
      <c r="B1853" s="165">
        <f>IFERROR(__xludf.DUMMYFUNCTION("""COMPUTED_VALUE"""),46194.0)</f>
        <v>46194</v>
      </c>
      <c r="C1853" s="165" t="str">
        <f>IFERROR(__xludf.DUMMYFUNCTION("""COMPUTED_VALUE"""),"KYAI KONTONG")</f>
        <v>KYAI KONTONG</v>
      </c>
      <c r="D1853" s="94">
        <f>IFERROR(__xludf.DUMMYFUNCTION("""COMPUTED_VALUE"""),100.0)</f>
        <v>100</v>
      </c>
    </row>
    <row r="1854">
      <c r="A1854" s="87" t="str">
        <f>IFERROR(__xludf.DUMMYFUNCTION("""COMPUTED_VALUE"""),"ITBISA-IC-NE555P-DIP8")</f>
        <v>ITBISA-IC-NE555P-DIP8</v>
      </c>
      <c r="B1854" s="165">
        <f>IFERROR(__xludf.DUMMYFUNCTION("""COMPUTED_VALUE"""),46195.0)</f>
        <v>46195</v>
      </c>
      <c r="C1854" s="165" t="str">
        <f>IFERROR(__xludf.DUMMYFUNCTION("""COMPUTED_VALUE"""),"KYAI KONTONG")</f>
        <v>KYAI KONTONG</v>
      </c>
      <c r="D1854" s="94">
        <f>IFERROR(__xludf.DUMMYFUNCTION("""COMPUTED_VALUE"""),10.0)</f>
        <v>10</v>
      </c>
    </row>
    <row r="1855">
      <c r="A1855" s="87" t="str">
        <f>IFERROR(__xludf.DUMMYFUNCTION("""COMPUTED_VALUE"""),"ITBISA-IC-NE555P-DIP8")</f>
        <v>ITBISA-IC-NE555P-DIP8</v>
      </c>
      <c r="B1855" s="165">
        <f>IFERROR(__xludf.DUMMYFUNCTION("""COMPUTED_VALUE"""),46195.0)</f>
        <v>46195</v>
      </c>
      <c r="C1855" s="165" t="str">
        <f>IFERROR(__xludf.DUMMYFUNCTION("""COMPUTED_VALUE"""),"KYAI KONTONG")</f>
        <v>KYAI KONTONG</v>
      </c>
      <c r="D1855" s="94">
        <f>IFERROR(__xludf.DUMMYFUNCTION("""COMPUTED_VALUE"""),1000.0)</f>
        <v>1000</v>
      </c>
    </row>
    <row r="1856">
      <c r="A1856" s="87" t="str">
        <f>IFERROR(__xludf.DUMMYFUNCTION("""COMPUTED_VALUE"""),"ITBISA-IC-NE555P-DIP8")</f>
        <v>ITBISA-IC-NE555P-DIP8</v>
      </c>
      <c r="B1856" s="165">
        <f>IFERROR(__xludf.DUMMYFUNCTION("""COMPUTED_VALUE"""),46196.0)</f>
        <v>46196</v>
      </c>
      <c r="C1856" s="165" t="str">
        <f>IFERROR(__xludf.DUMMYFUNCTION("""COMPUTED_VALUE"""),"KYAI KONTONG")</f>
        <v>KYAI KONTONG</v>
      </c>
      <c r="D1856" s="94">
        <f>IFERROR(__xludf.DUMMYFUNCTION("""COMPUTED_VALUE"""),20.0)</f>
        <v>20</v>
      </c>
    </row>
    <row r="1857">
      <c r="A1857" s="87" t="str">
        <f>IFERROR(__xludf.DUMMYFUNCTION("""COMPUTED_VALUE"""),"ITBISA-IC-NE555P-DIP8")</f>
        <v>ITBISA-IC-NE555P-DIP8</v>
      </c>
      <c r="B1857" s="165">
        <f>IFERROR(__xludf.DUMMYFUNCTION("""COMPUTED_VALUE"""),46197.0)</f>
        <v>46197</v>
      </c>
      <c r="C1857" s="165" t="str">
        <f>IFERROR(__xludf.DUMMYFUNCTION("""COMPUTED_VALUE"""),"KYAI KONTONG")</f>
        <v>KYAI KONTONG</v>
      </c>
      <c r="D1857" s="94">
        <f>IFERROR(__xludf.DUMMYFUNCTION("""COMPUTED_VALUE"""),50.0)</f>
        <v>50</v>
      </c>
    </row>
    <row r="1858">
      <c r="A1858" s="87" t="str">
        <f>IFERROR(__xludf.DUMMYFUNCTION("""COMPUTED_VALUE"""),"ITBISA-IC-PC817-DIP4")</f>
        <v>ITBISA-IC-PC817-DIP4</v>
      </c>
      <c r="B1858" s="165">
        <f>IFERROR(__xludf.DUMMYFUNCTION("""COMPUTED_VALUE"""),46023.0)</f>
        <v>46023</v>
      </c>
      <c r="C1858" s="165" t="str">
        <f>IFERROR(__xludf.DUMMYFUNCTION("""COMPUTED_VALUE"""),"KYAI KONTONG")</f>
        <v>KYAI KONTONG</v>
      </c>
      <c r="D1858" s="94">
        <f>IFERROR(__xludf.DUMMYFUNCTION("""COMPUTED_VALUE"""),10.0)</f>
        <v>10</v>
      </c>
    </row>
    <row r="1859">
      <c r="A1859" s="87" t="str">
        <f>IFERROR(__xludf.DUMMYFUNCTION("""COMPUTED_VALUE"""),"ITBISA-IC-PC817-DIP4")</f>
        <v>ITBISA-IC-PC817-DIP4</v>
      </c>
      <c r="B1859" s="165">
        <f>IFERROR(__xludf.DUMMYFUNCTION("""COMPUTED_VALUE"""),46023.0)</f>
        <v>46023</v>
      </c>
      <c r="C1859" s="165" t="str">
        <f>IFERROR(__xludf.DUMMYFUNCTION("""COMPUTED_VALUE"""),"KYAI KONTONG")</f>
        <v>KYAI KONTONG</v>
      </c>
      <c r="D1859" s="94">
        <f>IFERROR(__xludf.DUMMYFUNCTION("""COMPUTED_VALUE"""),10.0)</f>
        <v>10</v>
      </c>
    </row>
    <row r="1860">
      <c r="A1860" s="87" t="str">
        <f>IFERROR(__xludf.DUMMYFUNCTION("""COMPUTED_VALUE"""),"ITBISA-IC-PC817-DIP4")</f>
        <v>ITBISA-IC-PC817-DIP4</v>
      </c>
      <c r="B1860" s="165">
        <f>IFERROR(__xludf.DUMMYFUNCTION("""COMPUTED_VALUE"""),46025.0)</f>
        <v>46025</v>
      </c>
      <c r="C1860" s="165" t="str">
        <f>IFERROR(__xludf.DUMMYFUNCTION("""COMPUTED_VALUE"""),"KYAI KONTONG")</f>
        <v>KYAI KONTONG</v>
      </c>
      <c r="D1860" s="94">
        <f>IFERROR(__xludf.DUMMYFUNCTION("""COMPUTED_VALUE"""),3.0)</f>
        <v>3</v>
      </c>
    </row>
    <row r="1861">
      <c r="A1861" s="87" t="str">
        <f>IFERROR(__xludf.DUMMYFUNCTION("""COMPUTED_VALUE"""),"ITBISA-IC-PC817-DIP4")</f>
        <v>ITBISA-IC-PC817-DIP4</v>
      </c>
      <c r="B1861" s="165">
        <f>IFERROR(__xludf.DUMMYFUNCTION("""COMPUTED_VALUE"""),46025.0)</f>
        <v>46025</v>
      </c>
      <c r="C1861" s="165" t="str">
        <f>IFERROR(__xludf.DUMMYFUNCTION("""COMPUTED_VALUE"""),"KYAI KONTONG")</f>
        <v>KYAI KONTONG</v>
      </c>
      <c r="D1861" s="94">
        <f>IFERROR(__xludf.DUMMYFUNCTION("""COMPUTED_VALUE"""),20.0)</f>
        <v>20</v>
      </c>
    </row>
    <row r="1862">
      <c r="A1862" s="87" t="str">
        <f>IFERROR(__xludf.DUMMYFUNCTION("""COMPUTED_VALUE"""),"ITBISA-IC-PC817-DIP4")</f>
        <v>ITBISA-IC-PC817-DIP4</v>
      </c>
      <c r="B1862" s="165">
        <f>IFERROR(__xludf.DUMMYFUNCTION("""COMPUTED_VALUE"""),46026.0)</f>
        <v>46026</v>
      </c>
      <c r="C1862" s="165" t="str">
        <f>IFERROR(__xludf.DUMMYFUNCTION("""COMPUTED_VALUE"""),"KYAI KONTONG")</f>
        <v>KYAI KONTONG</v>
      </c>
      <c r="D1862" s="94">
        <f>IFERROR(__xludf.DUMMYFUNCTION("""COMPUTED_VALUE"""),5.0)</f>
        <v>5</v>
      </c>
    </row>
    <row r="1863">
      <c r="A1863" s="87" t="str">
        <f>IFERROR(__xludf.DUMMYFUNCTION("""COMPUTED_VALUE"""),"ITBISA-IC-PC817-DIP4")</f>
        <v>ITBISA-IC-PC817-DIP4</v>
      </c>
      <c r="B1863" s="165">
        <f>IFERROR(__xludf.DUMMYFUNCTION("""COMPUTED_VALUE"""),46028.0)</f>
        <v>46028</v>
      </c>
      <c r="C1863" s="165" t="str">
        <f>IFERROR(__xludf.DUMMYFUNCTION("""COMPUTED_VALUE"""),"KERTASARI CIAMIS")</f>
        <v>KERTASARI CIAMIS</v>
      </c>
      <c r="D1863" s="94">
        <f>IFERROR(__xludf.DUMMYFUNCTION("""COMPUTED_VALUE"""),20.0)</f>
        <v>20</v>
      </c>
    </row>
    <row r="1864">
      <c r="A1864" s="87" t="str">
        <f>IFERROR(__xludf.DUMMYFUNCTION("""COMPUTED_VALUE"""),"ITBISA-IC-PC817-DIP4")</f>
        <v>ITBISA-IC-PC817-DIP4</v>
      </c>
      <c r="B1864" s="165">
        <f>IFERROR(__xludf.DUMMYFUNCTION("""COMPUTED_VALUE"""),46028.0)</f>
        <v>46028</v>
      </c>
      <c r="C1864" s="165" t="str">
        <f>IFERROR(__xludf.DUMMYFUNCTION("""COMPUTED_VALUE"""),"KERTASARI CIAMIS")</f>
        <v>KERTASARI CIAMIS</v>
      </c>
      <c r="D1864" s="94">
        <f>IFERROR(__xludf.DUMMYFUNCTION("""COMPUTED_VALUE"""),100.0)</f>
        <v>100</v>
      </c>
    </row>
    <row r="1865">
      <c r="A1865" s="87" t="str">
        <f>IFERROR(__xludf.DUMMYFUNCTION("""COMPUTED_VALUE"""),"ITBISA-IC-PC817-DIP4")</f>
        <v>ITBISA-IC-PC817-DIP4</v>
      </c>
      <c r="B1865" s="165">
        <f>IFERROR(__xludf.DUMMYFUNCTION("""COMPUTED_VALUE"""),46029.0)</f>
        <v>46029</v>
      </c>
      <c r="C1865" s="165" t="str">
        <f>IFERROR(__xludf.DUMMYFUNCTION("""COMPUTED_VALUE"""),"KYAI KONTONG")</f>
        <v>KYAI KONTONG</v>
      </c>
      <c r="D1865" s="94">
        <f>IFERROR(__xludf.DUMMYFUNCTION("""COMPUTED_VALUE"""),15.0)</f>
        <v>15</v>
      </c>
    </row>
    <row r="1866">
      <c r="A1866" s="87" t="str">
        <f>IFERROR(__xludf.DUMMYFUNCTION("""COMPUTED_VALUE"""),"ITBISA-IC-PC817-DIP4")</f>
        <v>ITBISA-IC-PC817-DIP4</v>
      </c>
      <c r="B1866" s="165">
        <f>IFERROR(__xludf.DUMMYFUNCTION("""COMPUTED_VALUE"""),46030.0)</f>
        <v>46030</v>
      </c>
      <c r="C1866" s="165" t="str">
        <f>IFERROR(__xludf.DUMMYFUNCTION("""COMPUTED_VALUE"""),"KYAI KONTONG")</f>
        <v>KYAI KONTONG</v>
      </c>
      <c r="D1866" s="94">
        <f>IFERROR(__xludf.DUMMYFUNCTION("""COMPUTED_VALUE"""),30.0)</f>
        <v>30</v>
      </c>
    </row>
    <row r="1867">
      <c r="A1867" s="87" t="str">
        <f>IFERROR(__xludf.DUMMYFUNCTION("""COMPUTED_VALUE"""),"ITBISA-IC-PC817-DIP4")</f>
        <v>ITBISA-IC-PC817-DIP4</v>
      </c>
      <c r="B1867" s="165">
        <f>IFERROR(__xludf.DUMMYFUNCTION("""COMPUTED_VALUE"""),46031.0)</f>
        <v>46031</v>
      </c>
      <c r="C1867" s="165" t="str">
        <f>IFERROR(__xludf.DUMMYFUNCTION("""COMPUTED_VALUE"""),"KERTASARI CIAMIS")</f>
        <v>KERTASARI CIAMIS</v>
      </c>
      <c r="D1867" s="94">
        <f>IFERROR(__xludf.DUMMYFUNCTION("""COMPUTED_VALUE"""),150.0)</f>
        <v>150</v>
      </c>
    </row>
    <row r="1868">
      <c r="A1868" s="87" t="str">
        <f>IFERROR(__xludf.DUMMYFUNCTION("""COMPUTED_VALUE"""),"ITBISA-IC-PC817-DIP4")</f>
        <v>ITBISA-IC-PC817-DIP4</v>
      </c>
      <c r="B1868" s="165">
        <f>IFERROR(__xludf.DUMMYFUNCTION("""COMPUTED_VALUE"""),46032.0)</f>
        <v>46032</v>
      </c>
      <c r="C1868" s="165" t="str">
        <f>IFERROR(__xludf.DUMMYFUNCTION("""COMPUTED_VALUE"""),"KERTASARI CIAMIS")</f>
        <v>KERTASARI CIAMIS</v>
      </c>
      <c r="D1868" s="94">
        <f>IFERROR(__xludf.DUMMYFUNCTION("""COMPUTED_VALUE"""),15.0)</f>
        <v>15</v>
      </c>
    </row>
    <row r="1869">
      <c r="A1869" s="87" t="str">
        <f>IFERROR(__xludf.DUMMYFUNCTION("""COMPUTED_VALUE"""),"ITBISA-IC-PC817-DIP4")</f>
        <v>ITBISA-IC-PC817-DIP4</v>
      </c>
      <c r="B1869" s="165">
        <f>IFERROR(__xludf.DUMMYFUNCTION("""COMPUTED_VALUE"""),46033.0)</f>
        <v>46033</v>
      </c>
      <c r="C1869" s="165" t="str">
        <f>IFERROR(__xludf.DUMMYFUNCTION("""COMPUTED_VALUE"""),"KYAI KONTONG")</f>
        <v>KYAI KONTONG</v>
      </c>
      <c r="D1869" s="94">
        <f>IFERROR(__xludf.DUMMYFUNCTION("""COMPUTED_VALUE"""),10.0)</f>
        <v>10</v>
      </c>
    </row>
    <row r="1870">
      <c r="A1870" s="87" t="str">
        <f>IFERROR(__xludf.DUMMYFUNCTION("""COMPUTED_VALUE"""),"ITBISA-IC-PC817-DIP4")</f>
        <v>ITBISA-IC-PC817-DIP4</v>
      </c>
      <c r="B1870" s="165">
        <f>IFERROR(__xludf.DUMMYFUNCTION("""COMPUTED_VALUE"""),46033.0)</f>
        <v>46033</v>
      </c>
      <c r="C1870" s="165" t="str">
        <f>IFERROR(__xludf.DUMMYFUNCTION("""COMPUTED_VALUE"""),"KYAI KONTONG")</f>
        <v>KYAI KONTONG</v>
      </c>
      <c r="D1870" s="94">
        <f>IFERROR(__xludf.DUMMYFUNCTION("""COMPUTED_VALUE"""),10.0)</f>
        <v>10</v>
      </c>
    </row>
    <row r="1871">
      <c r="A1871" s="87" t="str">
        <f>IFERROR(__xludf.DUMMYFUNCTION("""COMPUTED_VALUE"""),"ITBISA-IC-PC817-DIP4")</f>
        <v>ITBISA-IC-PC817-DIP4</v>
      </c>
      <c r="B1871" s="165">
        <f>IFERROR(__xludf.DUMMYFUNCTION("""COMPUTED_VALUE"""),46033.0)</f>
        <v>46033</v>
      </c>
      <c r="C1871" s="165" t="str">
        <f>IFERROR(__xludf.DUMMYFUNCTION("""COMPUTED_VALUE"""),"KYAI KONTONG")</f>
        <v>KYAI KONTONG</v>
      </c>
      <c r="D1871" s="94">
        <f>IFERROR(__xludf.DUMMYFUNCTION("""COMPUTED_VALUE"""),55.0)</f>
        <v>55</v>
      </c>
    </row>
    <row r="1872">
      <c r="A1872" s="87" t="str">
        <f>IFERROR(__xludf.DUMMYFUNCTION("""COMPUTED_VALUE"""),"ITBISA-IC-PC817-DIP4")</f>
        <v>ITBISA-IC-PC817-DIP4</v>
      </c>
      <c r="B1872" s="165">
        <f>IFERROR(__xludf.DUMMYFUNCTION("""COMPUTED_VALUE"""),46034.0)</f>
        <v>46034</v>
      </c>
      <c r="C1872" s="165" t="str">
        <f>IFERROR(__xludf.DUMMYFUNCTION("""COMPUTED_VALUE"""),"KERTASARI CIAMIS")</f>
        <v>KERTASARI CIAMIS</v>
      </c>
      <c r="D1872" s="94">
        <f>IFERROR(__xludf.DUMMYFUNCTION("""COMPUTED_VALUE"""),10.0)</f>
        <v>10</v>
      </c>
    </row>
    <row r="1873">
      <c r="A1873" s="87" t="str">
        <f>IFERROR(__xludf.DUMMYFUNCTION("""COMPUTED_VALUE"""),"ITBISA-IC-PC817-DIP4")</f>
        <v>ITBISA-IC-PC817-DIP4</v>
      </c>
      <c r="B1873" s="165">
        <f>IFERROR(__xludf.DUMMYFUNCTION("""COMPUTED_VALUE"""),46036.0)</f>
        <v>46036</v>
      </c>
      <c r="C1873" s="165" t="str">
        <f>IFERROR(__xludf.DUMMYFUNCTION("""COMPUTED_VALUE"""),"KERTASARI CIAMIS")</f>
        <v>KERTASARI CIAMIS</v>
      </c>
      <c r="D1873" s="94">
        <f>IFERROR(__xludf.DUMMYFUNCTION("""COMPUTED_VALUE"""),20.0)</f>
        <v>20</v>
      </c>
    </row>
    <row r="1874">
      <c r="A1874" s="87" t="str">
        <f>IFERROR(__xludf.DUMMYFUNCTION("""COMPUTED_VALUE"""),"ITBISA-IC-PC817-DIP4")</f>
        <v>ITBISA-IC-PC817-DIP4</v>
      </c>
      <c r="B1874" s="165">
        <f>IFERROR(__xludf.DUMMYFUNCTION("""COMPUTED_VALUE"""),46036.0)</f>
        <v>46036</v>
      </c>
      <c r="C1874" s="165" t="str">
        <f>IFERROR(__xludf.DUMMYFUNCTION("""COMPUTED_VALUE"""),"KYAI KONTONG")</f>
        <v>KYAI KONTONG</v>
      </c>
      <c r="D1874" s="94">
        <f>IFERROR(__xludf.DUMMYFUNCTION("""COMPUTED_VALUE"""),50.0)</f>
        <v>50</v>
      </c>
    </row>
    <row r="1875">
      <c r="A1875" s="87" t="str">
        <f>IFERROR(__xludf.DUMMYFUNCTION("""COMPUTED_VALUE"""),"ITBISA-IC-PC817-DIP4")</f>
        <v>ITBISA-IC-PC817-DIP4</v>
      </c>
      <c r="B1875" s="165">
        <f>IFERROR(__xludf.DUMMYFUNCTION("""COMPUTED_VALUE"""),46037.0)</f>
        <v>46037</v>
      </c>
      <c r="C1875" s="165" t="str">
        <f>IFERROR(__xludf.DUMMYFUNCTION("""COMPUTED_VALUE"""),"KERTASARI CIAMIS")</f>
        <v>KERTASARI CIAMIS</v>
      </c>
      <c r="D1875" s="94">
        <f>IFERROR(__xludf.DUMMYFUNCTION("""COMPUTED_VALUE"""),10.0)</f>
        <v>10</v>
      </c>
    </row>
    <row r="1876">
      <c r="A1876" s="87" t="str">
        <f>IFERROR(__xludf.DUMMYFUNCTION("""COMPUTED_VALUE"""),"ITBISA-IC-PC817-DIP4")</f>
        <v>ITBISA-IC-PC817-DIP4</v>
      </c>
      <c r="B1876" s="165">
        <f>IFERROR(__xludf.DUMMYFUNCTION("""COMPUTED_VALUE"""),46037.0)</f>
        <v>46037</v>
      </c>
      <c r="C1876" s="165" t="str">
        <f>IFERROR(__xludf.DUMMYFUNCTION("""COMPUTED_VALUE"""),"KYAI KONTONG")</f>
        <v>KYAI KONTONG</v>
      </c>
      <c r="D1876" s="94">
        <f>IFERROR(__xludf.DUMMYFUNCTION("""COMPUTED_VALUE"""),100.0)</f>
        <v>100</v>
      </c>
    </row>
    <row r="1877">
      <c r="A1877" s="87" t="str">
        <f>IFERROR(__xludf.DUMMYFUNCTION("""COMPUTED_VALUE"""),"ITBISA-IC-PC817-DIP4")</f>
        <v>ITBISA-IC-PC817-DIP4</v>
      </c>
      <c r="B1877" s="165">
        <f>IFERROR(__xludf.DUMMYFUNCTION("""COMPUTED_VALUE"""),46038.0)</f>
        <v>46038</v>
      </c>
      <c r="C1877" s="165" t="str">
        <f>IFERROR(__xludf.DUMMYFUNCTION("""COMPUTED_VALUE"""),"KERTASARI CIAMIS")</f>
        <v>KERTASARI CIAMIS</v>
      </c>
      <c r="D1877" s="94">
        <f>IFERROR(__xludf.DUMMYFUNCTION("""COMPUTED_VALUE"""),10.0)</f>
        <v>10</v>
      </c>
    </row>
    <row r="1878">
      <c r="A1878" s="87" t="str">
        <f>IFERROR(__xludf.DUMMYFUNCTION("""COMPUTED_VALUE"""),"ITBISA-IC-PC817-DIP4")</f>
        <v>ITBISA-IC-PC817-DIP4</v>
      </c>
      <c r="B1878" s="165">
        <f>IFERROR(__xludf.DUMMYFUNCTION("""COMPUTED_VALUE"""),46038.0)</f>
        <v>46038</v>
      </c>
      <c r="C1878" s="165" t="str">
        <f>IFERROR(__xludf.DUMMYFUNCTION("""COMPUTED_VALUE"""),"KERTASARI CIAMIS")</f>
        <v>KERTASARI CIAMIS</v>
      </c>
      <c r="D1878" s="94">
        <f>IFERROR(__xludf.DUMMYFUNCTION("""COMPUTED_VALUE"""),10.0)</f>
        <v>10</v>
      </c>
    </row>
    <row r="1879">
      <c r="A1879" s="87" t="str">
        <f>IFERROR(__xludf.DUMMYFUNCTION("""COMPUTED_VALUE"""),"ITBISA-IC-PC817-DIP4")</f>
        <v>ITBISA-IC-PC817-DIP4</v>
      </c>
      <c r="B1879" s="165">
        <f>IFERROR(__xludf.DUMMYFUNCTION("""COMPUTED_VALUE"""),46038.0)</f>
        <v>46038</v>
      </c>
      <c r="C1879" s="165" t="str">
        <f>IFERROR(__xludf.DUMMYFUNCTION("""COMPUTED_VALUE"""),"KERTASARI CIAMIS")</f>
        <v>KERTASARI CIAMIS</v>
      </c>
      <c r="D1879" s="94">
        <f>IFERROR(__xludf.DUMMYFUNCTION("""COMPUTED_VALUE"""),15.0)</f>
        <v>15</v>
      </c>
    </row>
    <row r="1880">
      <c r="A1880" s="87" t="str">
        <f>IFERROR(__xludf.DUMMYFUNCTION("""COMPUTED_VALUE"""),"ITBISA-IC-PC817-DIP4")</f>
        <v>ITBISA-IC-PC817-DIP4</v>
      </c>
      <c r="B1880" s="165">
        <f>IFERROR(__xludf.DUMMYFUNCTION("""COMPUTED_VALUE"""),46038.0)</f>
        <v>46038</v>
      </c>
      <c r="C1880" s="165" t="str">
        <f>IFERROR(__xludf.DUMMYFUNCTION("""COMPUTED_VALUE"""),"KERTASARI CIAMIS")</f>
        <v>KERTASARI CIAMIS</v>
      </c>
      <c r="D1880" s="94">
        <f>IFERROR(__xludf.DUMMYFUNCTION("""COMPUTED_VALUE"""),25.0)</f>
        <v>25</v>
      </c>
    </row>
    <row r="1881">
      <c r="A1881" s="87" t="str">
        <f>IFERROR(__xludf.DUMMYFUNCTION("""COMPUTED_VALUE"""),"ITBISA-IC-PC817-DIP4")</f>
        <v>ITBISA-IC-PC817-DIP4</v>
      </c>
      <c r="B1881" s="165">
        <f>IFERROR(__xludf.DUMMYFUNCTION("""COMPUTED_VALUE"""),46039.0)</f>
        <v>46039</v>
      </c>
      <c r="C1881" s="165" t="str">
        <f>IFERROR(__xludf.DUMMYFUNCTION("""COMPUTED_VALUE"""),"KERTASARI CIAMIS")</f>
        <v>KERTASARI CIAMIS</v>
      </c>
      <c r="D1881" s="94">
        <f>IFERROR(__xludf.DUMMYFUNCTION("""COMPUTED_VALUE"""),10.0)</f>
        <v>10</v>
      </c>
    </row>
    <row r="1882">
      <c r="A1882" s="87" t="str">
        <f>IFERROR(__xludf.DUMMYFUNCTION("""COMPUTED_VALUE"""),"ITBISA-IC-PC817-DIP4")</f>
        <v>ITBISA-IC-PC817-DIP4</v>
      </c>
      <c r="B1882" s="165">
        <f>IFERROR(__xludf.DUMMYFUNCTION("""COMPUTED_VALUE"""),46040.0)</f>
        <v>46040</v>
      </c>
      <c r="C1882" s="165" t="str">
        <f>IFERROR(__xludf.DUMMYFUNCTION("""COMPUTED_VALUE"""),"KERTASARI CIAMIS")</f>
        <v>KERTASARI CIAMIS</v>
      </c>
      <c r="D1882" s="94">
        <f>IFERROR(__xludf.DUMMYFUNCTION("""COMPUTED_VALUE"""),10.0)</f>
        <v>10</v>
      </c>
    </row>
    <row r="1883">
      <c r="A1883" s="87" t="str">
        <f>IFERROR(__xludf.DUMMYFUNCTION("""COMPUTED_VALUE"""),"ITBISA-IC-PC817-DIP4")</f>
        <v>ITBISA-IC-PC817-DIP4</v>
      </c>
      <c r="B1883" s="165">
        <f>IFERROR(__xludf.DUMMYFUNCTION("""COMPUTED_VALUE"""),46040.0)</f>
        <v>46040</v>
      </c>
      <c r="C1883" s="165" t="str">
        <f>IFERROR(__xludf.DUMMYFUNCTION("""COMPUTED_VALUE"""),"KYAI KONTONG")</f>
        <v>KYAI KONTONG</v>
      </c>
      <c r="D1883" s="94">
        <f>IFERROR(__xludf.DUMMYFUNCTION("""COMPUTED_VALUE"""),10.0)</f>
        <v>10</v>
      </c>
    </row>
    <row r="1884">
      <c r="A1884" s="87" t="str">
        <f>IFERROR(__xludf.DUMMYFUNCTION("""COMPUTED_VALUE"""),"ITBISA-IC-PC817-DIP4")</f>
        <v>ITBISA-IC-PC817-DIP4</v>
      </c>
      <c r="B1884" s="165">
        <f>IFERROR(__xludf.DUMMYFUNCTION("""COMPUTED_VALUE"""),46040.0)</f>
        <v>46040</v>
      </c>
      <c r="C1884" s="165" t="str">
        <f>IFERROR(__xludf.DUMMYFUNCTION("""COMPUTED_VALUE"""),"KYAI KONTONG")</f>
        <v>KYAI KONTONG</v>
      </c>
      <c r="D1884" s="94">
        <f>IFERROR(__xludf.DUMMYFUNCTION("""COMPUTED_VALUE"""),1000.0)</f>
        <v>1000</v>
      </c>
    </row>
    <row r="1885">
      <c r="A1885" s="87" t="str">
        <f>IFERROR(__xludf.DUMMYFUNCTION("""COMPUTED_VALUE"""),"ITBISA-IC-PC817-DIP4")</f>
        <v>ITBISA-IC-PC817-DIP4</v>
      </c>
      <c r="B1885" s="165">
        <f>IFERROR(__xludf.DUMMYFUNCTION("""COMPUTED_VALUE"""),46041.0)</f>
        <v>46041</v>
      </c>
      <c r="C1885" s="165" t="str">
        <f>IFERROR(__xludf.DUMMYFUNCTION("""COMPUTED_VALUE"""),"KERTASARI CIAMIS")</f>
        <v>KERTASARI CIAMIS</v>
      </c>
      <c r="D1885" s="94">
        <f>IFERROR(__xludf.DUMMYFUNCTION("""COMPUTED_VALUE"""),10.0)</f>
        <v>10</v>
      </c>
    </row>
    <row r="1886">
      <c r="A1886" s="87" t="str">
        <f>IFERROR(__xludf.DUMMYFUNCTION("""COMPUTED_VALUE"""),"ITBISA-IC-PC817-DIP4")</f>
        <v>ITBISA-IC-PC817-DIP4</v>
      </c>
      <c r="B1886" s="165">
        <f>IFERROR(__xludf.DUMMYFUNCTION("""COMPUTED_VALUE"""),46041.0)</f>
        <v>46041</v>
      </c>
      <c r="C1886" s="165" t="str">
        <f>IFERROR(__xludf.DUMMYFUNCTION("""COMPUTED_VALUE"""),"KERTASARI CIAMIS")</f>
        <v>KERTASARI CIAMIS</v>
      </c>
      <c r="D1886" s="94">
        <f>IFERROR(__xludf.DUMMYFUNCTION("""COMPUTED_VALUE"""),50.0)</f>
        <v>50</v>
      </c>
    </row>
    <row r="1887">
      <c r="A1887" s="87" t="str">
        <f>IFERROR(__xludf.DUMMYFUNCTION("""COMPUTED_VALUE"""),"ITBISA-IC-PC817-DIP4")</f>
        <v>ITBISA-IC-PC817-DIP4</v>
      </c>
      <c r="B1887" s="165">
        <f>IFERROR(__xludf.DUMMYFUNCTION("""COMPUTED_VALUE"""),46041.0)</f>
        <v>46041</v>
      </c>
      <c r="C1887" s="165" t="str">
        <f>IFERROR(__xludf.DUMMYFUNCTION("""COMPUTED_VALUE"""),"KERTASARI CIAMIS")</f>
        <v>KERTASARI CIAMIS</v>
      </c>
      <c r="D1887" s="94">
        <f>IFERROR(__xludf.DUMMYFUNCTION("""COMPUTED_VALUE"""),200.0)</f>
        <v>200</v>
      </c>
    </row>
    <row r="1888">
      <c r="A1888" s="87" t="str">
        <f>IFERROR(__xludf.DUMMYFUNCTION("""COMPUTED_VALUE"""),"ITBISA-IC-PC817-DIP4")</f>
        <v>ITBISA-IC-PC817-DIP4</v>
      </c>
      <c r="B1888" s="165">
        <f>IFERROR(__xludf.DUMMYFUNCTION("""COMPUTED_VALUE"""),46041.0)</f>
        <v>46041</v>
      </c>
      <c r="C1888" s="165" t="str">
        <f>IFERROR(__xludf.DUMMYFUNCTION("""COMPUTED_VALUE"""),"KYAI KONTONG")</f>
        <v>KYAI KONTONG</v>
      </c>
      <c r="D1888" s="94">
        <f>IFERROR(__xludf.DUMMYFUNCTION("""COMPUTED_VALUE"""),30.0)</f>
        <v>30</v>
      </c>
    </row>
    <row r="1889">
      <c r="A1889" s="87" t="str">
        <f>IFERROR(__xludf.DUMMYFUNCTION("""COMPUTED_VALUE"""),"ITBISA-IC-PC817-DIP4")</f>
        <v>ITBISA-IC-PC817-DIP4</v>
      </c>
      <c r="B1889" s="165">
        <f>IFERROR(__xludf.DUMMYFUNCTION("""COMPUTED_VALUE"""),46042.0)</f>
        <v>46042</v>
      </c>
      <c r="C1889" s="165" t="str">
        <f>IFERROR(__xludf.DUMMYFUNCTION("""COMPUTED_VALUE"""),"KERTASARI CIAMIS")</f>
        <v>KERTASARI CIAMIS</v>
      </c>
      <c r="D1889" s="94">
        <f>IFERROR(__xludf.DUMMYFUNCTION("""COMPUTED_VALUE"""),15.0)</f>
        <v>15</v>
      </c>
    </row>
    <row r="1890">
      <c r="A1890" s="87" t="str">
        <f>IFERROR(__xludf.DUMMYFUNCTION("""COMPUTED_VALUE"""),"ITBISA-IC-PC817-DIP4")</f>
        <v>ITBISA-IC-PC817-DIP4</v>
      </c>
      <c r="B1890" s="165">
        <f>IFERROR(__xludf.DUMMYFUNCTION("""COMPUTED_VALUE"""),46043.0)</f>
        <v>46043</v>
      </c>
      <c r="C1890" s="165" t="str">
        <f>IFERROR(__xludf.DUMMYFUNCTION("""COMPUTED_VALUE"""),"KERTASARI CIAMIS")</f>
        <v>KERTASARI CIAMIS</v>
      </c>
      <c r="D1890" s="94">
        <f>IFERROR(__xludf.DUMMYFUNCTION("""COMPUTED_VALUE"""),200.0)</f>
        <v>200</v>
      </c>
    </row>
    <row r="1891">
      <c r="A1891" s="87" t="str">
        <f>IFERROR(__xludf.DUMMYFUNCTION("""COMPUTED_VALUE"""),"ITBISA-IC-PC817-DIP4")</f>
        <v>ITBISA-IC-PC817-DIP4</v>
      </c>
      <c r="B1891" s="165">
        <f>IFERROR(__xludf.DUMMYFUNCTION("""COMPUTED_VALUE"""),46045.0)</f>
        <v>46045</v>
      </c>
      <c r="C1891" s="165" t="str">
        <f>IFERROR(__xludf.DUMMYFUNCTION("""COMPUTED_VALUE"""),"KERTASARI CIAMIS")</f>
        <v>KERTASARI CIAMIS</v>
      </c>
      <c r="D1891" s="94">
        <f>IFERROR(__xludf.DUMMYFUNCTION("""COMPUTED_VALUE"""),15.0)</f>
        <v>15</v>
      </c>
    </row>
    <row r="1892">
      <c r="A1892" s="87" t="str">
        <f>IFERROR(__xludf.DUMMYFUNCTION("""COMPUTED_VALUE"""),"ITBISA-IC-PC817-DIP4")</f>
        <v>ITBISA-IC-PC817-DIP4</v>
      </c>
      <c r="B1892" s="165">
        <f>IFERROR(__xludf.DUMMYFUNCTION("""COMPUTED_VALUE"""),46045.0)</f>
        <v>46045</v>
      </c>
      <c r="C1892" s="165" t="str">
        <f>IFERROR(__xludf.DUMMYFUNCTION("""COMPUTED_VALUE"""),"KERTASARI CIAMIS")</f>
        <v>KERTASARI CIAMIS</v>
      </c>
      <c r="D1892" s="94">
        <f>IFERROR(__xludf.DUMMYFUNCTION("""COMPUTED_VALUE"""),20.0)</f>
        <v>20</v>
      </c>
    </row>
    <row r="1893">
      <c r="A1893" s="87" t="str">
        <f>IFERROR(__xludf.DUMMYFUNCTION("""COMPUTED_VALUE"""),"ITBISA-IC-PC817-DIP4")</f>
        <v>ITBISA-IC-PC817-DIP4</v>
      </c>
      <c r="B1893" s="165">
        <f>IFERROR(__xludf.DUMMYFUNCTION("""COMPUTED_VALUE"""),46045.0)</f>
        <v>46045</v>
      </c>
      <c r="C1893" s="165" t="str">
        <f>IFERROR(__xludf.DUMMYFUNCTION("""COMPUTED_VALUE"""),"KERTASARI CIAMIS")</f>
        <v>KERTASARI CIAMIS</v>
      </c>
      <c r="D1893" s="94">
        <f>IFERROR(__xludf.DUMMYFUNCTION("""COMPUTED_VALUE"""),100.0)</f>
        <v>100</v>
      </c>
    </row>
    <row r="1894">
      <c r="A1894" s="87" t="str">
        <f>IFERROR(__xludf.DUMMYFUNCTION("""COMPUTED_VALUE"""),"ITBISA-IC-PC817-DIP4")</f>
        <v>ITBISA-IC-PC817-DIP4</v>
      </c>
      <c r="B1894" s="165">
        <f>IFERROR(__xludf.DUMMYFUNCTION("""COMPUTED_VALUE"""),46046.0)</f>
        <v>46046</v>
      </c>
      <c r="C1894" s="165" t="str">
        <f>IFERROR(__xludf.DUMMYFUNCTION("""COMPUTED_VALUE"""),"KYAI KONTONG")</f>
        <v>KYAI KONTONG</v>
      </c>
      <c r="D1894" s="94">
        <f>IFERROR(__xludf.DUMMYFUNCTION("""COMPUTED_VALUE"""),20.0)</f>
        <v>20</v>
      </c>
    </row>
    <row r="1895">
      <c r="A1895" s="87" t="str">
        <f>IFERROR(__xludf.DUMMYFUNCTION("""COMPUTED_VALUE"""),"ITBISA-IC-PC817-DIP4")</f>
        <v>ITBISA-IC-PC817-DIP4</v>
      </c>
      <c r="B1895" s="165">
        <f>IFERROR(__xludf.DUMMYFUNCTION("""COMPUTED_VALUE"""),46047.0)</f>
        <v>46047</v>
      </c>
      <c r="C1895" s="165" t="str">
        <f>IFERROR(__xludf.DUMMYFUNCTION("""COMPUTED_VALUE"""),"KERTASARI CIAMIS")</f>
        <v>KERTASARI CIAMIS</v>
      </c>
      <c r="D1895" s="94">
        <f>IFERROR(__xludf.DUMMYFUNCTION("""COMPUTED_VALUE"""),15.0)</f>
        <v>15</v>
      </c>
    </row>
    <row r="1896">
      <c r="A1896" s="87" t="str">
        <f>IFERROR(__xludf.DUMMYFUNCTION("""COMPUTED_VALUE"""),"ITBISA-IC-PC817-DIP4")</f>
        <v>ITBISA-IC-PC817-DIP4</v>
      </c>
      <c r="B1896" s="165">
        <f>IFERROR(__xludf.DUMMYFUNCTION("""COMPUTED_VALUE"""),46047.0)</f>
        <v>46047</v>
      </c>
      <c r="C1896" s="165" t="str">
        <f>IFERROR(__xludf.DUMMYFUNCTION("""COMPUTED_VALUE"""),"KYAI KONTONG")</f>
        <v>KYAI KONTONG</v>
      </c>
      <c r="D1896" s="94">
        <f>IFERROR(__xludf.DUMMYFUNCTION("""COMPUTED_VALUE"""),16.0)</f>
        <v>16</v>
      </c>
    </row>
    <row r="1897">
      <c r="A1897" s="87" t="str">
        <f>IFERROR(__xludf.DUMMYFUNCTION("""COMPUTED_VALUE"""),"ITBISA-IC-PC817-DIP4")</f>
        <v>ITBISA-IC-PC817-DIP4</v>
      </c>
      <c r="B1897" s="165">
        <f>IFERROR(__xludf.DUMMYFUNCTION("""COMPUTED_VALUE"""),46047.0)</f>
        <v>46047</v>
      </c>
      <c r="C1897" s="165" t="str">
        <f>IFERROR(__xludf.DUMMYFUNCTION("""COMPUTED_VALUE"""),"KYAI KONTONG")</f>
        <v>KYAI KONTONG</v>
      </c>
      <c r="D1897" s="94">
        <f>IFERROR(__xludf.DUMMYFUNCTION("""COMPUTED_VALUE"""),200.0)</f>
        <v>200</v>
      </c>
    </row>
    <row r="1898">
      <c r="A1898" s="87" t="str">
        <f>IFERROR(__xludf.DUMMYFUNCTION("""COMPUTED_VALUE"""),"ITBISA-IC-PC817-DIP4")</f>
        <v>ITBISA-IC-PC817-DIP4</v>
      </c>
      <c r="B1898" s="165">
        <f>IFERROR(__xludf.DUMMYFUNCTION("""COMPUTED_VALUE"""),46049.0)</f>
        <v>46049</v>
      </c>
      <c r="C1898" s="165" t="str">
        <f>IFERROR(__xludf.DUMMYFUNCTION("""COMPUTED_VALUE"""),"KYAI KONTONG")</f>
        <v>KYAI KONTONG</v>
      </c>
      <c r="D1898" s="94">
        <f>IFERROR(__xludf.DUMMYFUNCTION("""COMPUTED_VALUE"""),16.0)</f>
        <v>16</v>
      </c>
    </row>
    <row r="1899">
      <c r="A1899" s="87" t="str">
        <f>IFERROR(__xludf.DUMMYFUNCTION("""COMPUTED_VALUE"""),"ITBISA-IC-PC817-DIP4")</f>
        <v>ITBISA-IC-PC817-DIP4</v>
      </c>
      <c r="B1899" s="165">
        <f>IFERROR(__xludf.DUMMYFUNCTION("""COMPUTED_VALUE"""),46049.0)</f>
        <v>46049</v>
      </c>
      <c r="C1899" s="165" t="str">
        <f>IFERROR(__xludf.DUMMYFUNCTION("""COMPUTED_VALUE"""),"KYAI KONTONG")</f>
        <v>KYAI KONTONG</v>
      </c>
      <c r="D1899" s="94">
        <f>IFERROR(__xludf.DUMMYFUNCTION("""COMPUTED_VALUE"""),50.0)</f>
        <v>50</v>
      </c>
    </row>
    <row r="1900">
      <c r="A1900" s="87" t="str">
        <f>IFERROR(__xludf.DUMMYFUNCTION("""COMPUTED_VALUE"""),"ITBISA-IC-PC817-DIP4")</f>
        <v>ITBISA-IC-PC817-DIP4</v>
      </c>
      <c r="B1900" s="165">
        <f>IFERROR(__xludf.DUMMYFUNCTION("""COMPUTED_VALUE"""),46049.0)</f>
        <v>46049</v>
      </c>
      <c r="C1900" s="165" t="str">
        <f>IFERROR(__xludf.DUMMYFUNCTION("""COMPUTED_VALUE"""),"KYAI KONTONG")</f>
        <v>KYAI KONTONG</v>
      </c>
      <c r="D1900" s="94">
        <f>IFERROR(__xludf.DUMMYFUNCTION("""COMPUTED_VALUE"""),100.0)</f>
        <v>100</v>
      </c>
    </row>
    <row r="1901">
      <c r="A1901" s="87" t="str">
        <f>IFERROR(__xludf.DUMMYFUNCTION("""COMPUTED_VALUE"""),"ITBISA-IC-PC817-DIP4")</f>
        <v>ITBISA-IC-PC817-DIP4</v>
      </c>
      <c r="B1901" s="165">
        <f>IFERROR(__xludf.DUMMYFUNCTION("""COMPUTED_VALUE"""),46050.0)</f>
        <v>46050</v>
      </c>
      <c r="C1901" s="165" t="str">
        <f>IFERROR(__xludf.DUMMYFUNCTION("""COMPUTED_VALUE"""),"KERTASARI CIAMIS")</f>
        <v>KERTASARI CIAMIS</v>
      </c>
      <c r="D1901" s="94">
        <f>IFERROR(__xludf.DUMMYFUNCTION("""COMPUTED_VALUE"""),20.0)</f>
        <v>20</v>
      </c>
    </row>
    <row r="1902">
      <c r="A1902" s="87" t="str">
        <f>IFERROR(__xludf.DUMMYFUNCTION("""COMPUTED_VALUE"""),"ITBISA-IC-PC817-DIP4")</f>
        <v>ITBISA-IC-PC817-DIP4</v>
      </c>
      <c r="B1902" s="165">
        <f>IFERROR(__xludf.DUMMYFUNCTION("""COMPUTED_VALUE"""),46050.0)</f>
        <v>46050</v>
      </c>
      <c r="C1902" s="165" t="str">
        <f>IFERROR(__xludf.DUMMYFUNCTION("""COMPUTED_VALUE"""),"KERTASARI CIAMIS")</f>
        <v>KERTASARI CIAMIS</v>
      </c>
      <c r="D1902" s="94">
        <f>IFERROR(__xludf.DUMMYFUNCTION("""COMPUTED_VALUE"""),30.0)</f>
        <v>30</v>
      </c>
    </row>
    <row r="1903">
      <c r="A1903" s="87" t="str">
        <f>IFERROR(__xludf.DUMMYFUNCTION("""COMPUTED_VALUE"""),"ITBISA-IC-PC817-DIP4")</f>
        <v>ITBISA-IC-PC817-DIP4</v>
      </c>
      <c r="B1903" s="165">
        <f>IFERROR(__xludf.DUMMYFUNCTION("""COMPUTED_VALUE"""),46051.0)</f>
        <v>46051</v>
      </c>
      <c r="C1903" s="165" t="str">
        <f>IFERROR(__xludf.DUMMYFUNCTION("""COMPUTED_VALUE"""),"KERTASARI CIAMIS")</f>
        <v>KERTASARI CIAMIS</v>
      </c>
      <c r="D1903" s="94">
        <f>IFERROR(__xludf.DUMMYFUNCTION("""COMPUTED_VALUE"""),20.0)</f>
        <v>20</v>
      </c>
    </row>
    <row r="1904">
      <c r="A1904" s="87" t="str">
        <f>IFERROR(__xludf.DUMMYFUNCTION("""COMPUTED_VALUE"""),"ITBISA-IC-PC817-DIP4")</f>
        <v>ITBISA-IC-PC817-DIP4</v>
      </c>
      <c r="B1904" s="165">
        <f>IFERROR(__xludf.DUMMYFUNCTION("""COMPUTED_VALUE"""),46051.0)</f>
        <v>46051</v>
      </c>
      <c r="C1904" s="165" t="str">
        <f>IFERROR(__xludf.DUMMYFUNCTION("""COMPUTED_VALUE"""),"KERTASARI CIAMIS")</f>
        <v>KERTASARI CIAMIS</v>
      </c>
      <c r="D1904" s="94">
        <f>IFERROR(__xludf.DUMMYFUNCTION("""COMPUTED_VALUE"""),25.0)</f>
        <v>25</v>
      </c>
    </row>
    <row r="1905">
      <c r="A1905" s="87" t="str">
        <f>IFERROR(__xludf.DUMMYFUNCTION("""COMPUTED_VALUE"""),"ITBISA-IC-PC817-DIP4")</f>
        <v>ITBISA-IC-PC817-DIP4</v>
      </c>
      <c r="B1905" s="165">
        <f>IFERROR(__xludf.DUMMYFUNCTION("""COMPUTED_VALUE"""),46051.0)</f>
        <v>46051</v>
      </c>
      <c r="C1905" s="165" t="str">
        <f>IFERROR(__xludf.DUMMYFUNCTION("""COMPUTED_VALUE"""),"KERTASARI CIAMIS")</f>
        <v>KERTASARI CIAMIS</v>
      </c>
      <c r="D1905" s="94">
        <f>IFERROR(__xludf.DUMMYFUNCTION("""COMPUTED_VALUE"""),105.0)</f>
        <v>105</v>
      </c>
    </row>
    <row r="1906">
      <c r="A1906" s="87" t="str">
        <f>IFERROR(__xludf.DUMMYFUNCTION("""COMPUTED_VALUE"""),"ITBISA-IC-PC817-DIP4")</f>
        <v>ITBISA-IC-PC817-DIP4</v>
      </c>
      <c r="B1906" s="165">
        <f>IFERROR(__xludf.DUMMYFUNCTION("""COMPUTED_VALUE"""),46061.0)</f>
        <v>46061</v>
      </c>
      <c r="C1906" s="165" t="str">
        <f>IFERROR(__xludf.DUMMYFUNCTION("""COMPUTED_VALUE"""),"KYAI KONTONG")</f>
        <v>KYAI KONTONG</v>
      </c>
      <c r="D1906" s="94">
        <f>IFERROR(__xludf.DUMMYFUNCTION("""COMPUTED_VALUE"""),20.0)</f>
        <v>20</v>
      </c>
    </row>
    <row r="1907">
      <c r="A1907" s="87" t="str">
        <f>IFERROR(__xludf.DUMMYFUNCTION("""COMPUTED_VALUE"""),"ITBISA-IC-PC817-DIP4")</f>
        <v>ITBISA-IC-PC817-DIP4</v>
      </c>
      <c r="B1907" s="165">
        <f>IFERROR(__xludf.DUMMYFUNCTION("""COMPUTED_VALUE"""),46062.0)</f>
        <v>46062</v>
      </c>
      <c r="C1907" s="165" t="str">
        <f>IFERROR(__xludf.DUMMYFUNCTION("""COMPUTED_VALUE"""),"KYAI KONTONG")</f>
        <v>KYAI KONTONG</v>
      </c>
      <c r="D1907" s="94">
        <f>IFERROR(__xludf.DUMMYFUNCTION("""COMPUTED_VALUE"""),20.0)</f>
        <v>20</v>
      </c>
    </row>
    <row r="1908">
      <c r="A1908" s="87" t="str">
        <f>IFERROR(__xludf.DUMMYFUNCTION("""COMPUTED_VALUE"""),"ITBISA-IC-PC817-DIP4")</f>
        <v>ITBISA-IC-PC817-DIP4</v>
      </c>
      <c r="B1908" s="165">
        <f>IFERROR(__xludf.DUMMYFUNCTION("""COMPUTED_VALUE"""),46073.0)</f>
        <v>46073</v>
      </c>
      <c r="C1908" s="165" t="str">
        <f>IFERROR(__xludf.DUMMYFUNCTION("""COMPUTED_VALUE"""),"KYAI KONTONG")</f>
        <v>KYAI KONTONG</v>
      </c>
      <c r="D1908" s="94">
        <f>IFERROR(__xludf.DUMMYFUNCTION("""COMPUTED_VALUE"""),5.0)</f>
        <v>5</v>
      </c>
    </row>
    <row r="1909">
      <c r="A1909" s="87" t="str">
        <f>IFERROR(__xludf.DUMMYFUNCTION("""COMPUTED_VALUE"""),"ITBISA-IC-PC817-DIP4")</f>
        <v>ITBISA-IC-PC817-DIP4</v>
      </c>
      <c r="B1909" s="165">
        <f>IFERROR(__xludf.DUMMYFUNCTION("""COMPUTED_VALUE"""),46073.0)</f>
        <v>46073</v>
      </c>
      <c r="C1909" s="165" t="str">
        <f>IFERROR(__xludf.DUMMYFUNCTION("""COMPUTED_VALUE"""),"KYAI KONTONG")</f>
        <v>KYAI KONTONG</v>
      </c>
      <c r="D1909" s="94">
        <f>IFERROR(__xludf.DUMMYFUNCTION("""COMPUTED_VALUE"""),50.0)</f>
        <v>50</v>
      </c>
    </row>
    <row r="1910">
      <c r="A1910" s="87" t="str">
        <f>IFERROR(__xludf.DUMMYFUNCTION("""COMPUTED_VALUE"""),"ITBISA-IC-PC817-DIP4")</f>
        <v>ITBISA-IC-PC817-DIP4</v>
      </c>
      <c r="B1910" s="165">
        <f>IFERROR(__xludf.DUMMYFUNCTION("""COMPUTED_VALUE"""),46075.0)</f>
        <v>46075</v>
      </c>
      <c r="C1910" s="165" t="str">
        <f>IFERROR(__xludf.DUMMYFUNCTION("""COMPUTED_VALUE"""),"KERTASARI CIAMIS")</f>
        <v>KERTASARI CIAMIS</v>
      </c>
      <c r="D1910" s="94">
        <f>IFERROR(__xludf.DUMMYFUNCTION("""COMPUTED_VALUE"""),150.0)</f>
        <v>150</v>
      </c>
    </row>
    <row r="1911">
      <c r="A1911" s="87" t="str">
        <f>IFERROR(__xludf.DUMMYFUNCTION("""COMPUTED_VALUE"""),"ITBISA-IC-PC817-DIP4")</f>
        <v>ITBISA-IC-PC817-DIP4</v>
      </c>
      <c r="B1911" s="165">
        <f>IFERROR(__xludf.DUMMYFUNCTION("""COMPUTED_VALUE"""),46078.0)</f>
        <v>46078</v>
      </c>
      <c r="C1911" s="165" t="str">
        <f>IFERROR(__xludf.DUMMYFUNCTION("""COMPUTED_VALUE"""),"KYAI KONTONG")</f>
        <v>KYAI KONTONG</v>
      </c>
      <c r="D1911" s="94">
        <f>IFERROR(__xludf.DUMMYFUNCTION("""COMPUTED_VALUE"""),10.0)</f>
        <v>10</v>
      </c>
    </row>
    <row r="1912">
      <c r="A1912" s="87" t="str">
        <f>IFERROR(__xludf.DUMMYFUNCTION("""COMPUTED_VALUE"""),"ITBISA-IC-PC817-DIP4")</f>
        <v>ITBISA-IC-PC817-DIP4</v>
      </c>
      <c r="B1912" s="165">
        <f>IFERROR(__xludf.DUMMYFUNCTION("""COMPUTED_VALUE"""),46080.0)</f>
        <v>46080</v>
      </c>
      <c r="C1912" s="165" t="str">
        <f>IFERROR(__xludf.DUMMYFUNCTION("""COMPUTED_VALUE"""),"KERTASARI CIAMIS")</f>
        <v>KERTASARI CIAMIS</v>
      </c>
      <c r="D1912" s="94">
        <f>IFERROR(__xludf.DUMMYFUNCTION("""COMPUTED_VALUE"""),500.0)</f>
        <v>500</v>
      </c>
    </row>
    <row r="1913">
      <c r="A1913" s="87" t="str">
        <f>IFERROR(__xludf.DUMMYFUNCTION("""COMPUTED_VALUE"""),"ITBISA-IC-PC817-DIP4")</f>
        <v>ITBISA-IC-PC817-DIP4</v>
      </c>
      <c r="B1913" s="165">
        <f>IFERROR(__xludf.DUMMYFUNCTION("""COMPUTED_VALUE"""),46084.0)</f>
        <v>46084</v>
      </c>
      <c r="C1913" s="165" t="str">
        <f>IFERROR(__xludf.DUMMYFUNCTION("""COMPUTED_VALUE"""),"KYAI KONTONG")</f>
        <v>KYAI KONTONG</v>
      </c>
      <c r="D1913" s="94">
        <f>IFERROR(__xludf.DUMMYFUNCTION("""COMPUTED_VALUE"""),25.0)</f>
        <v>25</v>
      </c>
    </row>
    <row r="1914">
      <c r="A1914" s="87" t="str">
        <f>IFERROR(__xludf.DUMMYFUNCTION("""COMPUTED_VALUE"""),"ITBISA-IC-PC817-DIP4")</f>
        <v>ITBISA-IC-PC817-DIP4</v>
      </c>
      <c r="B1914" s="165">
        <f>IFERROR(__xludf.DUMMYFUNCTION("""COMPUTED_VALUE"""),46087.0)</f>
        <v>46087</v>
      </c>
      <c r="C1914" s="165" t="str">
        <f>IFERROR(__xludf.DUMMYFUNCTION("""COMPUTED_VALUE"""),"KYAI KONTONG")</f>
        <v>KYAI KONTONG</v>
      </c>
      <c r="D1914" s="94">
        <f>IFERROR(__xludf.DUMMYFUNCTION("""COMPUTED_VALUE"""),15.0)</f>
        <v>15</v>
      </c>
    </row>
    <row r="1915">
      <c r="A1915" s="87" t="str">
        <f>IFERROR(__xludf.DUMMYFUNCTION("""COMPUTED_VALUE"""),"ITBISA-IC-PC817-DIP4")</f>
        <v>ITBISA-IC-PC817-DIP4</v>
      </c>
      <c r="B1915" s="165">
        <f>IFERROR(__xludf.DUMMYFUNCTION("""COMPUTED_VALUE"""),46088.0)</f>
        <v>46088</v>
      </c>
      <c r="C1915" s="165" t="str">
        <f>IFERROR(__xludf.DUMMYFUNCTION("""COMPUTED_VALUE"""),"KYAI KONTONG")</f>
        <v>KYAI KONTONG</v>
      </c>
      <c r="D1915" s="94">
        <f>IFERROR(__xludf.DUMMYFUNCTION("""COMPUTED_VALUE"""),50.0)</f>
        <v>50</v>
      </c>
    </row>
    <row r="1916">
      <c r="A1916" s="87" t="str">
        <f>IFERROR(__xludf.DUMMYFUNCTION("""COMPUTED_VALUE"""),"ITBISA-IC-PC817-DIP4")</f>
        <v>ITBISA-IC-PC817-DIP4</v>
      </c>
      <c r="B1916" s="165">
        <f>IFERROR(__xludf.DUMMYFUNCTION("""COMPUTED_VALUE"""),46089.0)</f>
        <v>46089</v>
      </c>
      <c r="C1916" s="165" t="str">
        <f>IFERROR(__xludf.DUMMYFUNCTION("""COMPUTED_VALUE"""),"KYAI KONTONG")</f>
        <v>KYAI KONTONG</v>
      </c>
      <c r="D1916" s="94">
        <f>IFERROR(__xludf.DUMMYFUNCTION("""COMPUTED_VALUE"""),20.0)</f>
        <v>20</v>
      </c>
    </row>
    <row r="1917">
      <c r="A1917" s="87" t="str">
        <f>IFERROR(__xludf.DUMMYFUNCTION("""COMPUTED_VALUE"""),"ITBISA-IC-PC817-DIP4")</f>
        <v>ITBISA-IC-PC817-DIP4</v>
      </c>
      <c r="B1917" s="165">
        <f>IFERROR(__xludf.DUMMYFUNCTION("""COMPUTED_VALUE"""),46091.0)</f>
        <v>46091</v>
      </c>
      <c r="C1917" s="165" t="str">
        <f>IFERROR(__xludf.DUMMYFUNCTION("""COMPUTED_VALUE"""),"KYAI KONTONG")</f>
        <v>KYAI KONTONG</v>
      </c>
      <c r="D1917" s="94">
        <f>IFERROR(__xludf.DUMMYFUNCTION("""COMPUTED_VALUE"""),15.0)</f>
        <v>15</v>
      </c>
    </row>
    <row r="1918">
      <c r="A1918" s="87" t="str">
        <f>IFERROR(__xludf.DUMMYFUNCTION("""COMPUTED_VALUE"""),"ITBISA-IC-PC817-DIP4")</f>
        <v>ITBISA-IC-PC817-DIP4</v>
      </c>
      <c r="B1918" s="165">
        <f>IFERROR(__xludf.DUMMYFUNCTION("""COMPUTED_VALUE"""),46091.0)</f>
        <v>46091</v>
      </c>
      <c r="C1918" s="165" t="str">
        <f>IFERROR(__xludf.DUMMYFUNCTION("""COMPUTED_VALUE"""),"KYAI KONTONG")</f>
        <v>KYAI KONTONG</v>
      </c>
      <c r="D1918" s="94">
        <f>IFERROR(__xludf.DUMMYFUNCTION("""COMPUTED_VALUE"""),1000.0)</f>
        <v>1000</v>
      </c>
    </row>
    <row r="1919">
      <c r="A1919" s="87" t="str">
        <f>IFERROR(__xludf.DUMMYFUNCTION("""COMPUTED_VALUE"""),"ITBISA-IC-PC817-DIP4")</f>
        <v>ITBISA-IC-PC817-DIP4</v>
      </c>
      <c r="B1919" s="165">
        <f>IFERROR(__xludf.DUMMYFUNCTION("""COMPUTED_VALUE"""),46093.0)</f>
        <v>46093</v>
      </c>
      <c r="C1919" s="165" t="str">
        <f>IFERROR(__xludf.DUMMYFUNCTION("""COMPUTED_VALUE"""),"KYAI KONTONG")</f>
        <v>KYAI KONTONG</v>
      </c>
      <c r="D1919" s="94">
        <f>IFERROR(__xludf.DUMMYFUNCTION("""COMPUTED_VALUE"""),15.0)</f>
        <v>15</v>
      </c>
    </row>
    <row r="1920">
      <c r="A1920" s="87" t="str">
        <f>IFERROR(__xludf.DUMMYFUNCTION("""COMPUTED_VALUE"""),"ITBISA-IC-PC817-DIP4")</f>
        <v>ITBISA-IC-PC817-DIP4</v>
      </c>
      <c r="B1920" s="165">
        <f>IFERROR(__xludf.DUMMYFUNCTION("""COMPUTED_VALUE"""),46093.0)</f>
        <v>46093</v>
      </c>
      <c r="C1920" s="165" t="str">
        <f>IFERROR(__xludf.DUMMYFUNCTION("""COMPUTED_VALUE"""),"KYAI KONTONG")</f>
        <v>KYAI KONTONG</v>
      </c>
      <c r="D1920" s="94">
        <f>IFERROR(__xludf.DUMMYFUNCTION("""COMPUTED_VALUE"""),30.0)</f>
        <v>30</v>
      </c>
    </row>
    <row r="1921">
      <c r="A1921" s="87" t="str">
        <f>IFERROR(__xludf.DUMMYFUNCTION("""COMPUTED_VALUE"""),"ITBISA-IC-PC817-DIP4")</f>
        <v>ITBISA-IC-PC817-DIP4</v>
      </c>
      <c r="B1921" s="165">
        <f>IFERROR(__xludf.DUMMYFUNCTION("""COMPUTED_VALUE"""),46096.0)</f>
        <v>46096</v>
      </c>
      <c r="C1921" s="165" t="str">
        <f>IFERROR(__xludf.DUMMYFUNCTION("""COMPUTED_VALUE"""),"KYAI KONTONG")</f>
        <v>KYAI KONTONG</v>
      </c>
      <c r="D1921" s="94">
        <f>IFERROR(__xludf.DUMMYFUNCTION("""COMPUTED_VALUE"""),100.0)</f>
        <v>100</v>
      </c>
    </row>
    <row r="1922">
      <c r="A1922" s="87" t="str">
        <f>IFERROR(__xludf.DUMMYFUNCTION("""COMPUTED_VALUE"""),"ITBISA-IC-PC817-DIP4")</f>
        <v>ITBISA-IC-PC817-DIP4</v>
      </c>
      <c r="B1922" s="165">
        <f>IFERROR(__xludf.DUMMYFUNCTION("""COMPUTED_VALUE"""),46100.0)</f>
        <v>46100</v>
      </c>
      <c r="C1922" s="165" t="str">
        <f>IFERROR(__xludf.DUMMYFUNCTION("""COMPUTED_VALUE"""),"KYAI KONTONG")</f>
        <v>KYAI KONTONG</v>
      </c>
      <c r="D1922" s="94">
        <f>IFERROR(__xludf.DUMMYFUNCTION("""COMPUTED_VALUE"""),15.0)</f>
        <v>15</v>
      </c>
    </row>
    <row r="1923">
      <c r="A1923" s="87" t="str">
        <f>IFERROR(__xludf.DUMMYFUNCTION("""COMPUTED_VALUE"""),"ITBISA-IC-PC817-DIP4")</f>
        <v>ITBISA-IC-PC817-DIP4</v>
      </c>
      <c r="B1923" s="165">
        <f>IFERROR(__xludf.DUMMYFUNCTION("""COMPUTED_VALUE"""),46100.0)</f>
        <v>46100</v>
      </c>
      <c r="C1923" s="165" t="str">
        <f>IFERROR(__xludf.DUMMYFUNCTION("""COMPUTED_VALUE"""),"KYAI KONTONG")</f>
        <v>KYAI KONTONG</v>
      </c>
      <c r="D1923" s="94">
        <f>IFERROR(__xludf.DUMMYFUNCTION("""COMPUTED_VALUE"""),20.0)</f>
        <v>20</v>
      </c>
    </row>
    <row r="1924">
      <c r="A1924" s="87" t="str">
        <f>IFERROR(__xludf.DUMMYFUNCTION("""COMPUTED_VALUE"""),"ITBISA-IC-PC817-DIP4")</f>
        <v>ITBISA-IC-PC817-DIP4</v>
      </c>
      <c r="B1924" s="165">
        <f>IFERROR(__xludf.DUMMYFUNCTION("""COMPUTED_VALUE"""),46100.0)</f>
        <v>46100</v>
      </c>
      <c r="C1924" s="165" t="str">
        <f>IFERROR(__xludf.DUMMYFUNCTION("""COMPUTED_VALUE"""),"KYAI KONTONG")</f>
        <v>KYAI KONTONG</v>
      </c>
      <c r="D1924" s="94">
        <f>IFERROR(__xludf.DUMMYFUNCTION("""COMPUTED_VALUE"""),70.0)</f>
        <v>70</v>
      </c>
    </row>
    <row r="1925">
      <c r="A1925" s="87" t="str">
        <f>IFERROR(__xludf.DUMMYFUNCTION("""COMPUTED_VALUE"""),"ITBISA-IC-PC817-DIP4")</f>
        <v>ITBISA-IC-PC817-DIP4</v>
      </c>
      <c r="B1925" s="165">
        <f>IFERROR(__xludf.DUMMYFUNCTION("""COMPUTED_VALUE"""),46133.0)</f>
        <v>46133</v>
      </c>
      <c r="C1925" s="165" t="str">
        <f>IFERROR(__xludf.DUMMYFUNCTION("""COMPUTED_VALUE"""),"KYAI KONTONG")</f>
        <v>KYAI KONTONG</v>
      </c>
      <c r="D1925" s="94">
        <f>IFERROR(__xludf.DUMMYFUNCTION("""COMPUTED_VALUE"""),30.0)</f>
        <v>30</v>
      </c>
    </row>
    <row r="1926">
      <c r="A1926" s="87" t="str">
        <f>IFERROR(__xludf.DUMMYFUNCTION("""COMPUTED_VALUE"""),"ITBISA-IC-PC817-DIP4")</f>
        <v>ITBISA-IC-PC817-DIP4</v>
      </c>
      <c r="B1926" s="165">
        <f>IFERROR(__xludf.DUMMYFUNCTION("""COMPUTED_VALUE"""),46136.0)</f>
        <v>46136</v>
      </c>
      <c r="C1926" s="165" t="str">
        <f>IFERROR(__xludf.DUMMYFUNCTION("""COMPUTED_VALUE"""),"KYAI KONTONG")</f>
        <v>KYAI KONTONG</v>
      </c>
      <c r="D1926" s="94">
        <f>IFERROR(__xludf.DUMMYFUNCTION("""COMPUTED_VALUE"""),10.0)</f>
        <v>10</v>
      </c>
    </row>
    <row r="1927">
      <c r="A1927" s="87" t="str">
        <f>IFERROR(__xludf.DUMMYFUNCTION("""COMPUTED_VALUE"""),"ITBISA-IC-PC817-DIP4")</f>
        <v>ITBISA-IC-PC817-DIP4</v>
      </c>
      <c r="B1927" s="165">
        <f>IFERROR(__xludf.DUMMYFUNCTION("""COMPUTED_VALUE"""),46141.0)</f>
        <v>46141</v>
      </c>
      <c r="C1927" s="165" t="str">
        <f>IFERROR(__xludf.DUMMYFUNCTION("""COMPUTED_VALUE"""),"KYAI KONTONG")</f>
        <v>KYAI KONTONG</v>
      </c>
      <c r="D1927" s="94">
        <f>IFERROR(__xludf.DUMMYFUNCTION("""COMPUTED_VALUE"""),100.0)</f>
        <v>100</v>
      </c>
    </row>
    <row r="1928">
      <c r="A1928" s="87" t="str">
        <f>IFERROR(__xludf.DUMMYFUNCTION("""COMPUTED_VALUE"""),"ITBISA-IC-PC817-DIP4")</f>
        <v>ITBISA-IC-PC817-DIP4</v>
      </c>
      <c r="B1928" s="165">
        <f>IFERROR(__xludf.DUMMYFUNCTION("""COMPUTED_VALUE"""),46146.0)</f>
        <v>46146</v>
      </c>
      <c r="C1928" s="165" t="str">
        <f>IFERROR(__xludf.DUMMYFUNCTION("""COMPUTED_VALUE"""),"KYAI KONTONG")</f>
        <v>KYAI KONTONG</v>
      </c>
      <c r="D1928" s="94">
        <f>IFERROR(__xludf.DUMMYFUNCTION("""COMPUTED_VALUE"""),40.0)</f>
        <v>40</v>
      </c>
    </row>
    <row r="1929">
      <c r="A1929" s="87" t="str">
        <f>IFERROR(__xludf.DUMMYFUNCTION("""COMPUTED_VALUE"""),"ITBISA-IC-PC817-DIP4")</f>
        <v>ITBISA-IC-PC817-DIP4</v>
      </c>
      <c r="B1929" s="165">
        <f>IFERROR(__xludf.DUMMYFUNCTION("""COMPUTED_VALUE"""),46148.0)</f>
        <v>46148</v>
      </c>
      <c r="C1929" s="165" t="str">
        <f>IFERROR(__xludf.DUMMYFUNCTION("""COMPUTED_VALUE"""),"KYAI KONTONG")</f>
        <v>KYAI KONTONG</v>
      </c>
      <c r="D1929" s="94">
        <f>IFERROR(__xludf.DUMMYFUNCTION("""COMPUTED_VALUE"""),5.0)</f>
        <v>5</v>
      </c>
    </row>
    <row r="1930">
      <c r="A1930" s="87" t="str">
        <f>IFERROR(__xludf.DUMMYFUNCTION("""COMPUTED_VALUE"""),"ITBISA-IC-PC817-DIP4")</f>
        <v>ITBISA-IC-PC817-DIP4</v>
      </c>
      <c r="B1930" s="165">
        <f>IFERROR(__xludf.DUMMYFUNCTION("""COMPUTED_VALUE"""),46148.0)</f>
        <v>46148</v>
      </c>
      <c r="C1930" s="165" t="str">
        <f>IFERROR(__xludf.DUMMYFUNCTION("""COMPUTED_VALUE"""),"KYAI KONTONG")</f>
        <v>KYAI KONTONG</v>
      </c>
      <c r="D1930" s="94">
        <f>IFERROR(__xludf.DUMMYFUNCTION("""COMPUTED_VALUE"""),100.0)</f>
        <v>100</v>
      </c>
    </row>
    <row r="1931">
      <c r="A1931" s="87" t="str">
        <f>IFERROR(__xludf.DUMMYFUNCTION("""COMPUTED_VALUE"""),"ITBISA-IC-PC817-DIP4")</f>
        <v>ITBISA-IC-PC817-DIP4</v>
      </c>
      <c r="B1931" s="165">
        <f>IFERROR(__xludf.DUMMYFUNCTION("""COMPUTED_VALUE"""),46149.0)</f>
        <v>46149</v>
      </c>
      <c r="C1931" s="165" t="str">
        <f>IFERROR(__xludf.DUMMYFUNCTION("""COMPUTED_VALUE"""),"KYAI KONTONG")</f>
        <v>KYAI KONTONG</v>
      </c>
      <c r="D1931" s="94">
        <f>IFERROR(__xludf.DUMMYFUNCTION("""COMPUTED_VALUE"""),5.0)</f>
        <v>5</v>
      </c>
    </row>
    <row r="1932">
      <c r="A1932" s="87" t="str">
        <f>IFERROR(__xludf.DUMMYFUNCTION("""COMPUTED_VALUE"""),"ITBISA-IC-PC817-DIP4")</f>
        <v>ITBISA-IC-PC817-DIP4</v>
      </c>
      <c r="B1932" s="165">
        <f>IFERROR(__xludf.DUMMYFUNCTION("""COMPUTED_VALUE"""),46150.0)</f>
        <v>46150</v>
      </c>
      <c r="C1932" s="165" t="str">
        <f>IFERROR(__xludf.DUMMYFUNCTION("""COMPUTED_VALUE"""),"KYAI KONTONG")</f>
        <v>KYAI KONTONG</v>
      </c>
      <c r="D1932" s="94">
        <f>IFERROR(__xludf.DUMMYFUNCTION("""COMPUTED_VALUE"""),5.0)</f>
        <v>5</v>
      </c>
    </row>
    <row r="1933">
      <c r="A1933" s="87" t="str">
        <f>IFERROR(__xludf.DUMMYFUNCTION("""COMPUTED_VALUE"""),"ITBISA-IC-PC817-DIP4")</f>
        <v>ITBISA-IC-PC817-DIP4</v>
      </c>
      <c r="B1933" s="165">
        <f>IFERROR(__xludf.DUMMYFUNCTION("""COMPUTED_VALUE"""),46150.0)</f>
        <v>46150</v>
      </c>
      <c r="C1933" s="165" t="str">
        <f>IFERROR(__xludf.DUMMYFUNCTION("""COMPUTED_VALUE"""),"KYAI KONTONG")</f>
        <v>KYAI KONTONG</v>
      </c>
      <c r="D1933" s="94">
        <f>IFERROR(__xludf.DUMMYFUNCTION("""COMPUTED_VALUE"""),150.0)</f>
        <v>150</v>
      </c>
    </row>
    <row r="1934">
      <c r="A1934" s="87" t="str">
        <f>IFERROR(__xludf.DUMMYFUNCTION("""COMPUTED_VALUE"""),"ITBISA-IC-PC817-DIP4")</f>
        <v>ITBISA-IC-PC817-DIP4</v>
      </c>
      <c r="B1934" s="165">
        <f>IFERROR(__xludf.DUMMYFUNCTION("""COMPUTED_VALUE"""),46151.0)</f>
        <v>46151</v>
      </c>
      <c r="C1934" s="165" t="str">
        <f>IFERROR(__xludf.DUMMYFUNCTION("""COMPUTED_VALUE"""),"KYAI KONTONG")</f>
        <v>KYAI KONTONG</v>
      </c>
      <c r="D1934" s="94">
        <f>IFERROR(__xludf.DUMMYFUNCTION("""COMPUTED_VALUE"""),15.0)</f>
        <v>15</v>
      </c>
    </row>
    <row r="1935">
      <c r="A1935" s="87" t="str">
        <f>IFERROR(__xludf.DUMMYFUNCTION("""COMPUTED_VALUE"""),"ITBISA-IC-PC817-DIP4")</f>
        <v>ITBISA-IC-PC817-DIP4</v>
      </c>
      <c r="B1935" s="165">
        <f>IFERROR(__xludf.DUMMYFUNCTION("""COMPUTED_VALUE"""),46153.0)</f>
        <v>46153</v>
      </c>
      <c r="C1935" s="165" t="str">
        <f>IFERROR(__xludf.DUMMYFUNCTION("""COMPUTED_VALUE"""),"KYAI KONTONG")</f>
        <v>KYAI KONTONG</v>
      </c>
      <c r="D1935" s="94">
        <f>IFERROR(__xludf.DUMMYFUNCTION("""COMPUTED_VALUE"""),20.0)</f>
        <v>20</v>
      </c>
    </row>
    <row r="1936">
      <c r="A1936" s="87" t="str">
        <f>IFERROR(__xludf.DUMMYFUNCTION("""COMPUTED_VALUE"""),"ITBISA-IC-PC817-DIP4")</f>
        <v>ITBISA-IC-PC817-DIP4</v>
      </c>
      <c r="B1936" s="165">
        <f>IFERROR(__xludf.DUMMYFUNCTION("""COMPUTED_VALUE"""),46153.0)</f>
        <v>46153</v>
      </c>
      <c r="C1936" s="165" t="str">
        <f>IFERROR(__xludf.DUMMYFUNCTION("""COMPUTED_VALUE"""),"KYAI KONTONG")</f>
        <v>KYAI KONTONG</v>
      </c>
      <c r="D1936" s="94">
        <f>IFERROR(__xludf.DUMMYFUNCTION("""COMPUTED_VALUE"""),40.0)</f>
        <v>40</v>
      </c>
    </row>
    <row r="1937">
      <c r="A1937" s="87" t="str">
        <f>IFERROR(__xludf.DUMMYFUNCTION("""COMPUTED_VALUE"""),"ITBISA-IC-PC817-DIP4")</f>
        <v>ITBISA-IC-PC817-DIP4</v>
      </c>
      <c r="B1937" s="165">
        <f>IFERROR(__xludf.DUMMYFUNCTION("""COMPUTED_VALUE"""),46154.0)</f>
        <v>46154</v>
      </c>
      <c r="C1937" s="165" t="str">
        <f>IFERROR(__xludf.DUMMYFUNCTION("""COMPUTED_VALUE"""),"KYAI KONTONG")</f>
        <v>KYAI KONTONG</v>
      </c>
      <c r="D1937" s="94">
        <f>IFERROR(__xludf.DUMMYFUNCTION("""COMPUTED_VALUE"""),5.0)</f>
        <v>5</v>
      </c>
    </row>
    <row r="1938">
      <c r="A1938" s="87" t="str">
        <f>IFERROR(__xludf.DUMMYFUNCTION("""COMPUTED_VALUE"""),"ITBISA-IC-PC817-DIP4")</f>
        <v>ITBISA-IC-PC817-DIP4</v>
      </c>
      <c r="B1938" s="165">
        <f>IFERROR(__xludf.DUMMYFUNCTION("""COMPUTED_VALUE"""),46155.0)</f>
        <v>46155</v>
      </c>
      <c r="C1938" s="165" t="str">
        <f>IFERROR(__xludf.DUMMYFUNCTION("""COMPUTED_VALUE"""),"KYAI KONTONG")</f>
        <v>KYAI KONTONG</v>
      </c>
      <c r="D1938" s="94">
        <f>IFERROR(__xludf.DUMMYFUNCTION("""COMPUTED_VALUE"""),20.0)</f>
        <v>20</v>
      </c>
    </row>
    <row r="1939">
      <c r="A1939" s="87" t="str">
        <f>IFERROR(__xludf.DUMMYFUNCTION("""COMPUTED_VALUE"""),"ITBISA-IC-PC817-DIP4")</f>
        <v>ITBISA-IC-PC817-DIP4</v>
      </c>
      <c r="B1939" s="165">
        <f>IFERROR(__xludf.DUMMYFUNCTION("""COMPUTED_VALUE"""),46156.0)</f>
        <v>46156</v>
      </c>
      <c r="C1939" s="165" t="str">
        <f>IFERROR(__xludf.DUMMYFUNCTION("""COMPUTED_VALUE"""),"KYAI KONTONG")</f>
        <v>KYAI KONTONG</v>
      </c>
      <c r="D1939" s="94">
        <f>IFERROR(__xludf.DUMMYFUNCTION("""COMPUTED_VALUE"""),15.0)</f>
        <v>15</v>
      </c>
    </row>
    <row r="1940">
      <c r="A1940" s="87" t="str">
        <f>IFERROR(__xludf.DUMMYFUNCTION("""COMPUTED_VALUE"""),"ITBISA-IC-PC817-DIP4")</f>
        <v>ITBISA-IC-PC817-DIP4</v>
      </c>
      <c r="B1940" s="165">
        <f>IFERROR(__xludf.DUMMYFUNCTION("""COMPUTED_VALUE"""),46157.0)</f>
        <v>46157</v>
      </c>
      <c r="C1940" s="165" t="str">
        <f>IFERROR(__xludf.DUMMYFUNCTION("""COMPUTED_VALUE"""),"KYAI KONTONG")</f>
        <v>KYAI KONTONG</v>
      </c>
      <c r="D1940" s="94">
        <f>IFERROR(__xludf.DUMMYFUNCTION("""COMPUTED_VALUE"""),5.0)</f>
        <v>5</v>
      </c>
    </row>
    <row r="1941">
      <c r="A1941" s="87" t="str">
        <f>IFERROR(__xludf.DUMMYFUNCTION("""COMPUTED_VALUE"""),"ITBISA-IC-PC817-DIP4")</f>
        <v>ITBISA-IC-PC817-DIP4</v>
      </c>
      <c r="B1941" s="165">
        <f>IFERROR(__xludf.DUMMYFUNCTION("""COMPUTED_VALUE"""),46157.0)</f>
        <v>46157</v>
      </c>
      <c r="C1941" s="165" t="str">
        <f>IFERROR(__xludf.DUMMYFUNCTION("""COMPUTED_VALUE"""),"KYAI KONTONG")</f>
        <v>KYAI KONTONG</v>
      </c>
      <c r="D1941" s="94">
        <f>IFERROR(__xludf.DUMMYFUNCTION("""COMPUTED_VALUE"""),5.0)</f>
        <v>5</v>
      </c>
    </row>
    <row r="1942">
      <c r="A1942" s="87" t="str">
        <f>IFERROR(__xludf.DUMMYFUNCTION("""COMPUTED_VALUE"""),"ITBISA-IC-PC817-DIP4")</f>
        <v>ITBISA-IC-PC817-DIP4</v>
      </c>
      <c r="B1942" s="165">
        <f>IFERROR(__xludf.DUMMYFUNCTION("""COMPUTED_VALUE"""),46157.0)</f>
        <v>46157</v>
      </c>
      <c r="C1942" s="165" t="str">
        <f>IFERROR(__xludf.DUMMYFUNCTION("""COMPUTED_VALUE"""),"KYAI KONTONG")</f>
        <v>KYAI KONTONG</v>
      </c>
      <c r="D1942" s="94">
        <f>IFERROR(__xludf.DUMMYFUNCTION("""COMPUTED_VALUE"""),15.0)</f>
        <v>15</v>
      </c>
    </row>
    <row r="1943">
      <c r="A1943" s="87" t="str">
        <f>IFERROR(__xludf.DUMMYFUNCTION("""COMPUTED_VALUE"""),"ITBISA-IC-PC817-DIP4")</f>
        <v>ITBISA-IC-PC817-DIP4</v>
      </c>
      <c r="B1943" s="165">
        <f>IFERROR(__xludf.DUMMYFUNCTION("""COMPUTED_VALUE"""),46158.0)</f>
        <v>46158</v>
      </c>
      <c r="C1943" s="165" t="str">
        <f>IFERROR(__xludf.DUMMYFUNCTION("""COMPUTED_VALUE"""),"KYAI KONTONG")</f>
        <v>KYAI KONTONG</v>
      </c>
      <c r="D1943" s="94">
        <f>IFERROR(__xludf.DUMMYFUNCTION("""COMPUTED_VALUE"""),5.0)</f>
        <v>5</v>
      </c>
    </row>
    <row r="1944">
      <c r="A1944" s="87" t="str">
        <f>IFERROR(__xludf.DUMMYFUNCTION("""COMPUTED_VALUE"""),"ITBISA-IC-PC817-DIP4")</f>
        <v>ITBISA-IC-PC817-DIP4</v>
      </c>
      <c r="B1944" s="165">
        <f>IFERROR(__xludf.DUMMYFUNCTION("""COMPUTED_VALUE"""),46158.0)</f>
        <v>46158</v>
      </c>
      <c r="C1944" s="165" t="str">
        <f>IFERROR(__xludf.DUMMYFUNCTION("""COMPUTED_VALUE"""),"KYAI KONTONG")</f>
        <v>KYAI KONTONG</v>
      </c>
      <c r="D1944" s="94">
        <f>IFERROR(__xludf.DUMMYFUNCTION("""COMPUTED_VALUE"""),10.0)</f>
        <v>10</v>
      </c>
    </row>
    <row r="1945">
      <c r="A1945" s="87" t="str">
        <f>IFERROR(__xludf.DUMMYFUNCTION("""COMPUTED_VALUE"""),"ITBISA-IC-PC817-DIP4")</f>
        <v>ITBISA-IC-PC817-DIP4</v>
      </c>
      <c r="B1945" s="165">
        <f>IFERROR(__xludf.DUMMYFUNCTION("""COMPUTED_VALUE"""),46159.0)</f>
        <v>46159</v>
      </c>
      <c r="C1945" s="165" t="str">
        <f>IFERROR(__xludf.DUMMYFUNCTION("""COMPUTED_VALUE"""),"KYAI KONTONG")</f>
        <v>KYAI KONTONG</v>
      </c>
      <c r="D1945" s="94">
        <f>IFERROR(__xludf.DUMMYFUNCTION("""COMPUTED_VALUE"""),15.0)</f>
        <v>15</v>
      </c>
    </row>
    <row r="1946">
      <c r="A1946" s="87" t="str">
        <f>IFERROR(__xludf.DUMMYFUNCTION("""COMPUTED_VALUE"""),"ITBISA-IC-PC817-DIP4")</f>
        <v>ITBISA-IC-PC817-DIP4</v>
      </c>
      <c r="B1946" s="165">
        <f>IFERROR(__xludf.DUMMYFUNCTION("""COMPUTED_VALUE"""),46160.0)</f>
        <v>46160</v>
      </c>
      <c r="C1946" s="165" t="str">
        <f>IFERROR(__xludf.DUMMYFUNCTION("""COMPUTED_VALUE"""),"KYAI KONTONG")</f>
        <v>KYAI KONTONG</v>
      </c>
      <c r="D1946" s="94">
        <f>IFERROR(__xludf.DUMMYFUNCTION("""COMPUTED_VALUE"""),50.0)</f>
        <v>50</v>
      </c>
    </row>
    <row r="1947">
      <c r="A1947" s="87" t="str">
        <f>IFERROR(__xludf.DUMMYFUNCTION("""COMPUTED_VALUE"""),"ITBISA-IC-PC817-DIP4")</f>
        <v>ITBISA-IC-PC817-DIP4</v>
      </c>
      <c r="B1947" s="165">
        <f>IFERROR(__xludf.DUMMYFUNCTION("""COMPUTED_VALUE"""),46161.0)</f>
        <v>46161</v>
      </c>
      <c r="C1947" s="165" t="str">
        <f>IFERROR(__xludf.DUMMYFUNCTION("""COMPUTED_VALUE"""),"KYAI KONTONG")</f>
        <v>KYAI KONTONG</v>
      </c>
      <c r="D1947" s="94">
        <f>IFERROR(__xludf.DUMMYFUNCTION("""COMPUTED_VALUE"""),10.0)</f>
        <v>10</v>
      </c>
    </row>
    <row r="1948">
      <c r="A1948" s="87" t="str">
        <f>IFERROR(__xludf.DUMMYFUNCTION("""COMPUTED_VALUE"""),"ITBISA-IC-PC817-DIP4")</f>
        <v>ITBISA-IC-PC817-DIP4</v>
      </c>
      <c r="B1948" s="165">
        <f>IFERROR(__xludf.DUMMYFUNCTION("""COMPUTED_VALUE"""),46162.0)</f>
        <v>46162</v>
      </c>
      <c r="C1948" s="165" t="str">
        <f>IFERROR(__xludf.DUMMYFUNCTION("""COMPUTED_VALUE"""),"KYAI KONTONG")</f>
        <v>KYAI KONTONG</v>
      </c>
      <c r="D1948" s="94">
        <f>IFERROR(__xludf.DUMMYFUNCTION("""COMPUTED_VALUE"""),15.0)</f>
        <v>15</v>
      </c>
    </row>
    <row r="1949">
      <c r="A1949" s="87" t="str">
        <f>IFERROR(__xludf.DUMMYFUNCTION("""COMPUTED_VALUE"""),"ITBISA-IC-PC817-DIP4")</f>
        <v>ITBISA-IC-PC817-DIP4</v>
      </c>
      <c r="B1949" s="165">
        <f>IFERROR(__xludf.DUMMYFUNCTION("""COMPUTED_VALUE"""),46162.0)</f>
        <v>46162</v>
      </c>
      <c r="C1949" s="165" t="str">
        <f>IFERROR(__xludf.DUMMYFUNCTION("""COMPUTED_VALUE"""),"KYAI KONTONG")</f>
        <v>KYAI KONTONG</v>
      </c>
      <c r="D1949" s="94">
        <f>IFERROR(__xludf.DUMMYFUNCTION("""COMPUTED_VALUE"""),15.0)</f>
        <v>15</v>
      </c>
    </row>
    <row r="1950">
      <c r="A1950" s="87" t="str">
        <f>IFERROR(__xludf.DUMMYFUNCTION("""COMPUTED_VALUE"""),"ITBISA-IC-PC817-DIP4")</f>
        <v>ITBISA-IC-PC817-DIP4</v>
      </c>
      <c r="B1950" s="165">
        <f>IFERROR(__xludf.DUMMYFUNCTION("""COMPUTED_VALUE"""),46163.0)</f>
        <v>46163</v>
      </c>
      <c r="C1950" s="165" t="str">
        <f>IFERROR(__xludf.DUMMYFUNCTION("""COMPUTED_VALUE"""),"KYAI KONTONG")</f>
        <v>KYAI KONTONG</v>
      </c>
      <c r="D1950" s="94">
        <f>IFERROR(__xludf.DUMMYFUNCTION("""COMPUTED_VALUE"""),16.0)</f>
        <v>16</v>
      </c>
    </row>
    <row r="1951">
      <c r="A1951" s="87" t="str">
        <f>IFERROR(__xludf.DUMMYFUNCTION("""COMPUTED_VALUE"""),"ITBISA-IC-PC817-DIP4")</f>
        <v>ITBISA-IC-PC817-DIP4</v>
      </c>
      <c r="B1951" s="165">
        <f>IFERROR(__xludf.DUMMYFUNCTION("""COMPUTED_VALUE"""),46163.0)</f>
        <v>46163</v>
      </c>
      <c r="C1951" s="165" t="str">
        <f>IFERROR(__xludf.DUMMYFUNCTION("""COMPUTED_VALUE"""),"KYAI KONTONG")</f>
        <v>KYAI KONTONG</v>
      </c>
      <c r="D1951" s="94">
        <f>IFERROR(__xludf.DUMMYFUNCTION("""COMPUTED_VALUE"""),20.0)</f>
        <v>20</v>
      </c>
    </row>
    <row r="1952">
      <c r="A1952" s="87" t="str">
        <f>IFERROR(__xludf.DUMMYFUNCTION("""COMPUTED_VALUE"""),"ITBISA-IC-PC817-DIP4")</f>
        <v>ITBISA-IC-PC817-DIP4</v>
      </c>
      <c r="B1952" s="165">
        <f>IFERROR(__xludf.DUMMYFUNCTION("""COMPUTED_VALUE"""),46164.0)</f>
        <v>46164</v>
      </c>
      <c r="C1952" s="165" t="str">
        <f>IFERROR(__xludf.DUMMYFUNCTION("""COMPUTED_VALUE"""),"KYAI KONTONG")</f>
        <v>KYAI KONTONG</v>
      </c>
      <c r="D1952" s="94">
        <f>IFERROR(__xludf.DUMMYFUNCTION("""COMPUTED_VALUE"""),20.0)</f>
        <v>20</v>
      </c>
    </row>
    <row r="1953">
      <c r="A1953" s="87" t="str">
        <f>IFERROR(__xludf.DUMMYFUNCTION("""COMPUTED_VALUE"""),"ITBISA-IC-PC817-DIP4")</f>
        <v>ITBISA-IC-PC817-DIP4</v>
      </c>
      <c r="B1953" s="165">
        <f>IFERROR(__xludf.DUMMYFUNCTION("""COMPUTED_VALUE"""),46164.0)</f>
        <v>46164</v>
      </c>
      <c r="C1953" s="165" t="str">
        <f>IFERROR(__xludf.DUMMYFUNCTION("""COMPUTED_VALUE"""),"KYAI KONTONG")</f>
        <v>KYAI KONTONG</v>
      </c>
      <c r="D1953" s="94">
        <f>IFERROR(__xludf.DUMMYFUNCTION("""COMPUTED_VALUE"""),25.0)</f>
        <v>25</v>
      </c>
    </row>
    <row r="1954">
      <c r="A1954" s="87" t="str">
        <f>IFERROR(__xludf.DUMMYFUNCTION("""COMPUTED_VALUE"""),"ITBISA-IC-PC817-DIP4")</f>
        <v>ITBISA-IC-PC817-DIP4</v>
      </c>
      <c r="B1954" s="165">
        <f>IFERROR(__xludf.DUMMYFUNCTION("""COMPUTED_VALUE"""),46165.0)</f>
        <v>46165</v>
      </c>
      <c r="C1954" s="165" t="str">
        <f>IFERROR(__xludf.DUMMYFUNCTION("""COMPUTED_VALUE"""),"KYAI KONTONG")</f>
        <v>KYAI KONTONG</v>
      </c>
      <c r="D1954" s="94">
        <f>IFERROR(__xludf.DUMMYFUNCTION("""COMPUTED_VALUE"""),15.0)</f>
        <v>15</v>
      </c>
    </row>
    <row r="1955">
      <c r="A1955" s="87" t="str">
        <f>IFERROR(__xludf.DUMMYFUNCTION("""COMPUTED_VALUE"""),"ITBISA-IC-PC817-DIP4")</f>
        <v>ITBISA-IC-PC817-DIP4</v>
      </c>
      <c r="B1955" s="165">
        <f>IFERROR(__xludf.DUMMYFUNCTION("""COMPUTED_VALUE"""),46166.0)</f>
        <v>46166</v>
      </c>
      <c r="C1955" s="165" t="str">
        <f>IFERROR(__xludf.DUMMYFUNCTION("""COMPUTED_VALUE"""),"KYAI KONTONG")</f>
        <v>KYAI KONTONG</v>
      </c>
      <c r="D1955" s="94">
        <f>IFERROR(__xludf.DUMMYFUNCTION("""COMPUTED_VALUE"""),5.0)</f>
        <v>5</v>
      </c>
    </row>
    <row r="1956">
      <c r="A1956" s="87" t="str">
        <f>IFERROR(__xludf.DUMMYFUNCTION("""COMPUTED_VALUE"""),"ITBISA-IC-PC817-DIP4")</f>
        <v>ITBISA-IC-PC817-DIP4</v>
      </c>
      <c r="B1956" s="165">
        <f>IFERROR(__xludf.DUMMYFUNCTION("""COMPUTED_VALUE"""),46170.0)</f>
        <v>46170</v>
      </c>
      <c r="C1956" s="165" t="str">
        <f>IFERROR(__xludf.DUMMYFUNCTION("""COMPUTED_VALUE"""),"KYAI KONTONG")</f>
        <v>KYAI KONTONG</v>
      </c>
      <c r="D1956" s="94">
        <f>IFERROR(__xludf.DUMMYFUNCTION("""COMPUTED_VALUE"""),5.0)</f>
        <v>5</v>
      </c>
    </row>
    <row r="1957">
      <c r="A1957" s="87" t="str">
        <f>IFERROR(__xludf.DUMMYFUNCTION("""COMPUTED_VALUE"""),"ITBISA-IC-PC817-DIP4")</f>
        <v>ITBISA-IC-PC817-DIP4</v>
      </c>
      <c r="B1957" s="165">
        <f>IFERROR(__xludf.DUMMYFUNCTION("""COMPUTED_VALUE"""),46170.0)</f>
        <v>46170</v>
      </c>
      <c r="C1957" s="165" t="str">
        <f>IFERROR(__xludf.DUMMYFUNCTION("""COMPUTED_VALUE"""),"KYAI KONTONG")</f>
        <v>KYAI KONTONG</v>
      </c>
      <c r="D1957" s="94">
        <f>IFERROR(__xludf.DUMMYFUNCTION("""COMPUTED_VALUE"""),15.0)</f>
        <v>15</v>
      </c>
    </row>
    <row r="1958">
      <c r="A1958" s="87" t="str">
        <f>IFERROR(__xludf.DUMMYFUNCTION("""COMPUTED_VALUE"""),"ITBISA-IC-PC817-DIP4")</f>
        <v>ITBISA-IC-PC817-DIP4</v>
      </c>
      <c r="B1958" s="165">
        <f>IFERROR(__xludf.DUMMYFUNCTION("""COMPUTED_VALUE"""),46170.0)</f>
        <v>46170</v>
      </c>
      <c r="C1958" s="165" t="str">
        <f>IFERROR(__xludf.DUMMYFUNCTION("""COMPUTED_VALUE"""),"KYAI KONTONG")</f>
        <v>KYAI KONTONG</v>
      </c>
      <c r="D1958" s="94">
        <f>IFERROR(__xludf.DUMMYFUNCTION("""COMPUTED_VALUE"""),15.0)</f>
        <v>15</v>
      </c>
    </row>
    <row r="1959">
      <c r="A1959" s="87" t="str">
        <f>IFERROR(__xludf.DUMMYFUNCTION("""COMPUTED_VALUE"""),"ITBISA-IC-PC817-DIP4")</f>
        <v>ITBISA-IC-PC817-DIP4</v>
      </c>
      <c r="B1959" s="165">
        <f>IFERROR(__xludf.DUMMYFUNCTION("""COMPUTED_VALUE"""),46170.0)</f>
        <v>46170</v>
      </c>
      <c r="C1959" s="165" t="str">
        <f>IFERROR(__xludf.DUMMYFUNCTION("""COMPUTED_VALUE"""),"KYAI KONTONG")</f>
        <v>KYAI KONTONG</v>
      </c>
      <c r="D1959" s="94">
        <f>IFERROR(__xludf.DUMMYFUNCTION("""COMPUTED_VALUE"""),15.0)</f>
        <v>15</v>
      </c>
    </row>
    <row r="1960">
      <c r="A1960" s="87" t="str">
        <f>IFERROR(__xludf.DUMMYFUNCTION("""COMPUTED_VALUE"""),"ITBISA-IC-PC817-DIP4")</f>
        <v>ITBISA-IC-PC817-DIP4</v>
      </c>
      <c r="B1960" s="165">
        <f>IFERROR(__xludf.DUMMYFUNCTION("""COMPUTED_VALUE"""),46170.0)</f>
        <v>46170</v>
      </c>
      <c r="C1960" s="165" t="str">
        <f>IFERROR(__xludf.DUMMYFUNCTION("""COMPUTED_VALUE"""),"KYAI KONTONG")</f>
        <v>KYAI KONTONG</v>
      </c>
      <c r="D1960" s="94">
        <f>IFERROR(__xludf.DUMMYFUNCTION("""COMPUTED_VALUE"""),15.0)</f>
        <v>15</v>
      </c>
    </row>
    <row r="1961">
      <c r="A1961" s="87" t="str">
        <f>IFERROR(__xludf.DUMMYFUNCTION("""COMPUTED_VALUE"""),"ITBISA-IC-PC817-DIP4")</f>
        <v>ITBISA-IC-PC817-DIP4</v>
      </c>
      <c r="B1961" s="165">
        <f>IFERROR(__xludf.DUMMYFUNCTION("""COMPUTED_VALUE"""),46170.0)</f>
        <v>46170</v>
      </c>
      <c r="C1961" s="165" t="str">
        <f>IFERROR(__xludf.DUMMYFUNCTION("""COMPUTED_VALUE"""),"KYAI KONTONG")</f>
        <v>KYAI KONTONG</v>
      </c>
      <c r="D1961" s="94">
        <f>IFERROR(__xludf.DUMMYFUNCTION("""COMPUTED_VALUE"""),20.0)</f>
        <v>20</v>
      </c>
    </row>
    <row r="1962">
      <c r="A1962" s="87" t="str">
        <f>IFERROR(__xludf.DUMMYFUNCTION("""COMPUTED_VALUE"""),"ITBISA-IC-PC817-DIP4")</f>
        <v>ITBISA-IC-PC817-DIP4</v>
      </c>
      <c r="B1962" s="165">
        <f>IFERROR(__xludf.DUMMYFUNCTION("""COMPUTED_VALUE"""),46173.0)</f>
        <v>46173</v>
      </c>
      <c r="C1962" s="165" t="str">
        <f>IFERROR(__xludf.DUMMYFUNCTION("""COMPUTED_VALUE"""),"KYAI KONTONG")</f>
        <v>KYAI KONTONG</v>
      </c>
      <c r="D1962" s="94">
        <f>IFERROR(__xludf.DUMMYFUNCTION("""COMPUTED_VALUE"""),30.0)</f>
        <v>30</v>
      </c>
    </row>
    <row r="1963">
      <c r="A1963" s="87" t="str">
        <f>IFERROR(__xludf.DUMMYFUNCTION("""COMPUTED_VALUE"""),"ITBISA-IC-PC817-DIP4")</f>
        <v>ITBISA-IC-PC817-DIP4</v>
      </c>
      <c r="B1963" s="165">
        <f>IFERROR(__xludf.DUMMYFUNCTION("""COMPUTED_VALUE"""),46175.0)</f>
        <v>46175</v>
      </c>
      <c r="C1963" s="165" t="str">
        <f>IFERROR(__xludf.DUMMYFUNCTION("""COMPUTED_VALUE"""),"KYAI KONTONG")</f>
        <v>KYAI KONTONG</v>
      </c>
      <c r="D1963" s="94">
        <f>IFERROR(__xludf.DUMMYFUNCTION("""COMPUTED_VALUE"""),200.0)</f>
        <v>200</v>
      </c>
    </row>
    <row r="1964">
      <c r="A1964" s="87" t="str">
        <f>IFERROR(__xludf.DUMMYFUNCTION("""COMPUTED_VALUE"""),"ITBISA-IC-PC817-DIP4")</f>
        <v>ITBISA-IC-PC817-DIP4</v>
      </c>
      <c r="B1964" s="165">
        <f>IFERROR(__xludf.DUMMYFUNCTION("""COMPUTED_VALUE"""),46177.0)</f>
        <v>46177</v>
      </c>
      <c r="C1964" s="165" t="str">
        <f>IFERROR(__xludf.DUMMYFUNCTION("""COMPUTED_VALUE"""),"KYAI KONTONG")</f>
        <v>KYAI KONTONG</v>
      </c>
      <c r="D1964" s="94">
        <f>IFERROR(__xludf.DUMMYFUNCTION("""COMPUTED_VALUE"""),15.0)</f>
        <v>15</v>
      </c>
    </row>
    <row r="1965">
      <c r="A1965" s="87" t="str">
        <f>IFERROR(__xludf.DUMMYFUNCTION("""COMPUTED_VALUE"""),"ITBISA-IC-PC817-DIP4")</f>
        <v>ITBISA-IC-PC817-DIP4</v>
      </c>
      <c r="B1965" s="165">
        <f>IFERROR(__xludf.DUMMYFUNCTION("""COMPUTED_VALUE"""),46178.0)</f>
        <v>46178</v>
      </c>
      <c r="C1965" s="165" t="str">
        <f>IFERROR(__xludf.DUMMYFUNCTION("""COMPUTED_VALUE"""),"KYAI KONTONG")</f>
        <v>KYAI KONTONG</v>
      </c>
      <c r="D1965" s="94">
        <f>IFERROR(__xludf.DUMMYFUNCTION("""COMPUTED_VALUE"""),25.0)</f>
        <v>25</v>
      </c>
    </row>
    <row r="1966">
      <c r="A1966" s="87" t="str">
        <f>IFERROR(__xludf.DUMMYFUNCTION("""COMPUTED_VALUE"""),"ITBISA-IC-PC817-DIP4")</f>
        <v>ITBISA-IC-PC817-DIP4</v>
      </c>
      <c r="B1966" s="165">
        <f>IFERROR(__xludf.DUMMYFUNCTION("""COMPUTED_VALUE"""),46179.0)</f>
        <v>46179</v>
      </c>
      <c r="C1966" s="165" t="str">
        <f>IFERROR(__xludf.DUMMYFUNCTION("""COMPUTED_VALUE"""),"KYAI KONTONG")</f>
        <v>KYAI KONTONG</v>
      </c>
      <c r="D1966" s="94">
        <f>IFERROR(__xludf.DUMMYFUNCTION("""COMPUTED_VALUE"""),15.0)</f>
        <v>15</v>
      </c>
    </row>
    <row r="1967">
      <c r="A1967" s="87" t="str">
        <f>IFERROR(__xludf.DUMMYFUNCTION("""COMPUTED_VALUE"""),"ITBISA-IC-PC817-DIP4")</f>
        <v>ITBISA-IC-PC817-DIP4</v>
      </c>
      <c r="B1967" s="165">
        <f>IFERROR(__xludf.DUMMYFUNCTION("""COMPUTED_VALUE"""),46179.0)</f>
        <v>46179</v>
      </c>
      <c r="C1967" s="165" t="str">
        <f>IFERROR(__xludf.DUMMYFUNCTION("""COMPUTED_VALUE"""),"KYAI KONTONG")</f>
        <v>KYAI KONTONG</v>
      </c>
      <c r="D1967" s="94">
        <f>IFERROR(__xludf.DUMMYFUNCTION("""COMPUTED_VALUE"""),15.0)</f>
        <v>15</v>
      </c>
    </row>
    <row r="1968">
      <c r="A1968" s="87" t="str">
        <f>IFERROR(__xludf.DUMMYFUNCTION("""COMPUTED_VALUE"""),"ITBISA-IC-PC817-DIP4")</f>
        <v>ITBISA-IC-PC817-DIP4</v>
      </c>
      <c r="B1968" s="165">
        <f>IFERROR(__xludf.DUMMYFUNCTION("""COMPUTED_VALUE"""),46179.0)</f>
        <v>46179</v>
      </c>
      <c r="C1968" s="165" t="str">
        <f>IFERROR(__xludf.DUMMYFUNCTION("""COMPUTED_VALUE"""),"KYAI KONTONG")</f>
        <v>KYAI KONTONG</v>
      </c>
      <c r="D1968" s="94">
        <f>IFERROR(__xludf.DUMMYFUNCTION("""COMPUTED_VALUE"""),25.0)</f>
        <v>25</v>
      </c>
    </row>
    <row r="1969">
      <c r="A1969" s="87" t="str">
        <f>IFERROR(__xludf.DUMMYFUNCTION("""COMPUTED_VALUE"""),"ITBISA-IC-PC817-DIP4")</f>
        <v>ITBISA-IC-PC817-DIP4</v>
      </c>
      <c r="B1969" s="165">
        <f>IFERROR(__xludf.DUMMYFUNCTION("""COMPUTED_VALUE"""),46181.0)</f>
        <v>46181</v>
      </c>
      <c r="C1969" s="165" t="str">
        <f>IFERROR(__xludf.DUMMYFUNCTION("""COMPUTED_VALUE"""),"KYAI KONTONG")</f>
        <v>KYAI KONTONG</v>
      </c>
      <c r="D1969" s="94">
        <f>IFERROR(__xludf.DUMMYFUNCTION("""COMPUTED_VALUE"""),40.0)</f>
        <v>40</v>
      </c>
    </row>
    <row r="1970">
      <c r="A1970" s="87" t="str">
        <f>IFERROR(__xludf.DUMMYFUNCTION("""COMPUTED_VALUE"""),"ITBISA-IC-PC817-DIP4")</f>
        <v>ITBISA-IC-PC817-DIP4</v>
      </c>
      <c r="B1970" s="165">
        <f>IFERROR(__xludf.DUMMYFUNCTION("""COMPUTED_VALUE"""),46186.0)</f>
        <v>46186</v>
      </c>
      <c r="C1970" s="165" t="str">
        <f>IFERROR(__xludf.DUMMYFUNCTION("""COMPUTED_VALUE"""),"KYAI KONTONG")</f>
        <v>KYAI KONTONG</v>
      </c>
      <c r="D1970" s="94">
        <f>IFERROR(__xludf.DUMMYFUNCTION("""COMPUTED_VALUE"""),15.0)</f>
        <v>15</v>
      </c>
    </row>
    <row r="1971">
      <c r="A1971" s="87" t="str">
        <f>IFERROR(__xludf.DUMMYFUNCTION("""COMPUTED_VALUE"""),"ITBISA-IC-PC817-DIP4")</f>
        <v>ITBISA-IC-PC817-DIP4</v>
      </c>
      <c r="B1971" s="165">
        <f>IFERROR(__xludf.DUMMYFUNCTION("""COMPUTED_VALUE"""),46186.0)</f>
        <v>46186</v>
      </c>
      <c r="C1971" s="165" t="str">
        <f>IFERROR(__xludf.DUMMYFUNCTION("""COMPUTED_VALUE"""),"KYAI KONTONG")</f>
        <v>KYAI KONTONG</v>
      </c>
      <c r="D1971" s="94">
        <f>IFERROR(__xludf.DUMMYFUNCTION("""COMPUTED_VALUE"""),20.0)</f>
        <v>20</v>
      </c>
    </row>
    <row r="1972">
      <c r="A1972" s="87" t="str">
        <f>IFERROR(__xludf.DUMMYFUNCTION("""COMPUTED_VALUE"""),"ITBISA-IC-PC817-DIP4")</f>
        <v>ITBISA-IC-PC817-DIP4</v>
      </c>
      <c r="B1972" s="165">
        <f>IFERROR(__xludf.DUMMYFUNCTION("""COMPUTED_VALUE"""),46186.0)</f>
        <v>46186</v>
      </c>
      <c r="C1972" s="165" t="str">
        <f>IFERROR(__xludf.DUMMYFUNCTION("""COMPUTED_VALUE"""),"KYAI KONTONG")</f>
        <v>KYAI KONTONG</v>
      </c>
      <c r="D1972" s="94">
        <f>IFERROR(__xludf.DUMMYFUNCTION("""COMPUTED_VALUE"""),200.0)</f>
        <v>200</v>
      </c>
    </row>
    <row r="1973">
      <c r="A1973" s="87" t="str">
        <f>IFERROR(__xludf.DUMMYFUNCTION("""COMPUTED_VALUE"""),"ITBISA-IC-PC817-DIP4")</f>
        <v>ITBISA-IC-PC817-DIP4</v>
      </c>
      <c r="B1973" s="165">
        <f>IFERROR(__xludf.DUMMYFUNCTION("""COMPUTED_VALUE"""),46190.0)</f>
        <v>46190</v>
      </c>
      <c r="C1973" s="165" t="str">
        <f>IFERROR(__xludf.DUMMYFUNCTION("""COMPUTED_VALUE"""),"KYAI KONTONG")</f>
        <v>KYAI KONTONG</v>
      </c>
      <c r="D1973" s="94">
        <f>IFERROR(__xludf.DUMMYFUNCTION("""COMPUTED_VALUE"""),25.0)</f>
        <v>25</v>
      </c>
    </row>
    <row r="1974">
      <c r="A1974" s="87" t="str">
        <f>IFERROR(__xludf.DUMMYFUNCTION("""COMPUTED_VALUE"""),"ITBISA-IC-PC817-DIP4")</f>
        <v>ITBISA-IC-PC817-DIP4</v>
      </c>
      <c r="B1974" s="165">
        <f>IFERROR(__xludf.DUMMYFUNCTION("""COMPUTED_VALUE"""),46190.0)</f>
        <v>46190</v>
      </c>
      <c r="C1974" s="165" t="str">
        <f>IFERROR(__xludf.DUMMYFUNCTION("""COMPUTED_VALUE"""),"KYAI KONTONG")</f>
        <v>KYAI KONTONG</v>
      </c>
      <c r="D1974" s="94">
        <f>IFERROR(__xludf.DUMMYFUNCTION("""COMPUTED_VALUE"""),30.0)</f>
        <v>30</v>
      </c>
    </row>
    <row r="1975">
      <c r="A1975" s="87" t="str">
        <f>IFERROR(__xludf.DUMMYFUNCTION("""COMPUTED_VALUE"""),"ITBISA-IC-PC817-DIP4")</f>
        <v>ITBISA-IC-PC817-DIP4</v>
      </c>
      <c r="B1975" s="165">
        <f>IFERROR(__xludf.DUMMYFUNCTION("""COMPUTED_VALUE"""),46191.0)</f>
        <v>46191</v>
      </c>
      <c r="C1975" s="165" t="str">
        <f>IFERROR(__xludf.DUMMYFUNCTION("""COMPUTED_VALUE"""),"KYAI KONTONG")</f>
        <v>KYAI KONTONG</v>
      </c>
      <c r="D1975" s="94">
        <f>IFERROR(__xludf.DUMMYFUNCTION("""COMPUTED_VALUE"""),25.0)</f>
        <v>25</v>
      </c>
    </row>
    <row r="1976">
      <c r="A1976" s="87" t="str">
        <f>IFERROR(__xludf.DUMMYFUNCTION("""COMPUTED_VALUE"""),"ITBISA-IC-PC817-DIP4")</f>
        <v>ITBISA-IC-PC817-DIP4</v>
      </c>
      <c r="B1976" s="165">
        <f>IFERROR(__xludf.DUMMYFUNCTION("""COMPUTED_VALUE"""),46192.0)</f>
        <v>46192</v>
      </c>
      <c r="C1976" s="165" t="str">
        <f>IFERROR(__xludf.DUMMYFUNCTION("""COMPUTED_VALUE"""),"KYAI KONTONG")</f>
        <v>KYAI KONTONG</v>
      </c>
      <c r="D1976" s="94">
        <f>IFERROR(__xludf.DUMMYFUNCTION("""COMPUTED_VALUE"""),20.0)</f>
        <v>20</v>
      </c>
    </row>
    <row r="1977">
      <c r="A1977" s="87" t="str">
        <f>IFERROR(__xludf.DUMMYFUNCTION("""COMPUTED_VALUE"""),"ITBISA-IC-PC817-DIP4")</f>
        <v>ITBISA-IC-PC817-DIP4</v>
      </c>
      <c r="B1977" s="165">
        <f>IFERROR(__xludf.DUMMYFUNCTION("""COMPUTED_VALUE"""),46192.0)</f>
        <v>46192</v>
      </c>
      <c r="C1977" s="165" t="str">
        <f>IFERROR(__xludf.DUMMYFUNCTION("""COMPUTED_VALUE"""),"KYAI KONTONG")</f>
        <v>KYAI KONTONG</v>
      </c>
      <c r="D1977" s="94">
        <f>IFERROR(__xludf.DUMMYFUNCTION("""COMPUTED_VALUE"""),50.0)</f>
        <v>50</v>
      </c>
    </row>
    <row r="1978">
      <c r="A1978" s="87" t="str">
        <f>IFERROR(__xludf.DUMMYFUNCTION("""COMPUTED_VALUE"""),"ITBISA-IC-PC817-DIP4")</f>
        <v>ITBISA-IC-PC817-DIP4</v>
      </c>
      <c r="B1978" s="165">
        <f>IFERROR(__xludf.DUMMYFUNCTION("""COMPUTED_VALUE"""),46193.0)</f>
        <v>46193</v>
      </c>
      <c r="C1978" s="165" t="str">
        <f>IFERROR(__xludf.DUMMYFUNCTION("""COMPUTED_VALUE"""),"KYAI KONTONG")</f>
        <v>KYAI KONTONG</v>
      </c>
      <c r="D1978" s="94">
        <f>IFERROR(__xludf.DUMMYFUNCTION("""COMPUTED_VALUE"""),15.0)</f>
        <v>15</v>
      </c>
    </row>
    <row r="1979">
      <c r="A1979" s="87" t="str">
        <f>IFERROR(__xludf.DUMMYFUNCTION("""COMPUTED_VALUE"""),"ITBISA-IC-PC817-DIP4")</f>
        <v>ITBISA-IC-PC817-DIP4</v>
      </c>
      <c r="B1979" s="165">
        <f>IFERROR(__xludf.DUMMYFUNCTION("""COMPUTED_VALUE"""),46193.0)</f>
        <v>46193</v>
      </c>
      <c r="C1979" s="165" t="str">
        <f>IFERROR(__xludf.DUMMYFUNCTION("""COMPUTED_VALUE"""),"KYAI KONTONG")</f>
        <v>KYAI KONTONG</v>
      </c>
      <c r="D1979" s="94">
        <f>IFERROR(__xludf.DUMMYFUNCTION("""COMPUTED_VALUE"""),15.0)</f>
        <v>15</v>
      </c>
    </row>
    <row r="1980">
      <c r="A1980" s="87" t="str">
        <f>IFERROR(__xludf.DUMMYFUNCTION("""COMPUTED_VALUE"""),"ITBISA-IC-PC817-DIP4")</f>
        <v>ITBISA-IC-PC817-DIP4</v>
      </c>
      <c r="B1980" s="165">
        <f>IFERROR(__xludf.DUMMYFUNCTION("""COMPUTED_VALUE"""),46194.0)</f>
        <v>46194</v>
      </c>
      <c r="C1980" s="165" t="str">
        <f>IFERROR(__xludf.DUMMYFUNCTION("""COMPUTED_VALUE"""),"KYAI KONTONG")</f>
        <v>KYAI KONTONG</v>
      </c>
      <c r="D1980" s="94">
        <f>IFERROR(__xludf.DUMMYFUNCTION("""COMPUTED_VALUE"""),20.0)</f>
        <v>20</v>
      </c>
    </row>
    <row r="1981">
      <c r="A1981" s="87" t="str">
        <f>IFERROR(__xludf.DUMMYFUNCTION("""COMPUTED_VALUE"""),"ITBISA-IC-PC817-DIP4")</f>
        <v>ITBISA-IC-PC817-DIP4</v>
      </c>
      <c r="B1981" s="165">
        <f>IFERROR(__xludf.DUMMYFUNCTION("""COMPUTED_VALUE"""),46194.0)</f>
        <v>46194</v>
      </c>
      <c r="C1981" s="165" t="str">
        <f>IFERROR(__xludf.DUMMYFUNCTION("""COMPUTED_VALUE"""),"KYAI KONTONG")</f>
        <v>KYAI KONTONG</v>
      </c>
      <c r="D1981" s="94">
        <f>IFERROR(__xludf.DUMMYFUNCTION("""COMPUTED_VALUE"""),70.0)</f>
        <v>70</v>
      </c>
    </row>
    <row r="1982">
      <c r="A1982" s="87" t="str">
        <f>IFERROR(__xludf.DUMMYFUNCTION("""COMPUTED_VALUE"""),"ITBISA-IC-PC817-DIP4")</f>
        <v>ITBISA-IC-PC817-DIP4</v>
      </c>
      <c r="B1982" s="165">
        <f>IFERROR(__xludf.DUMMYFUNCTION("""COMPUTED_VALUE"""),46195.0)</f>
        <v>46195</v>
      </c>
      <c r="C1982" s="165" t="str">
        <f>IFERROR(__xludf.DUMMYFUNCTION("""COMPUTED_VALUE"""),"KYAI KONTONG")</f>
        <v>KYAI KONTONG</v>
      </c>
      <c r="D1982" s="94">
        <f>IFERROR(__xludf.DUMMYFUNCTION("""COMPUTED_VALUE"""),15.0)</f>
        <v>15</v>
      </c>
    </row>
    <row r="1983">
      <c r="A1983" s="87" t="str">
        <f>IFERROR(__xludf.DUMMYFUNCTION("""COMPUTED_VALUE"""),"ITBISA-IC-PC817-DIP4")</f>
        <v>ITBISA-IC-PC817-DIP4</v>
      </c>
      <c r="B1983" s="165">
        <f>IFERROR(__xludf.DUMMYFUNCTION("""COMPUTED_VALUE"""),46197.0)</f>
        <v>46197</v>
      </c>
      <c r="C1983" s="165" t="str">
        <f>IFERROR(__xludf.DUMMYFUNCTION("""COMPUTED_VALUE"""),"KYAI KONTONG")</f>
        <v>KYAI KONTONG</v>
      </c>
      <c r="D1983" s="94">
        <f>IFERROR(__xludf.DUMMYFUNCTION("""COMPUTED_VALUE"""),30.0)</f>
        <v>30</v>
      </c>
    </row>
    <row r="1984">
      <c r="A1984" s="87" t="str">
        <f>IFERROR(__xludf.DUMMYFUNCTION("""COMPUTED_VALUE"""),"ITBISA-IC-PC817-DIP4")</f>
        <v>ITBISA-IC-PC817-DIP4</v>
      </c>
      <c r="B1984" s="165">
        <f>IFERROR(__xludf.DUMMYFUNCTION("""COMPUTED_VALUE"""),46198.0)</f>
        <v>46198</v>
      </c>
      <c r="C1984" s="165" t="str">
        <f>IFERROR(__xludf.DUMMYFUNCTION("""COMPUTED_VALUE"""),"KYAI KONTONG")</f>
        <v>KYAI KONTONG</v>
      </c>
      <c r="D1984" s="94">
        <f>IFERROR(__xludf.DUMMYFUNCTION("""COMPUTED_VALUE"""),100.0)</f>
        <v>100</v>
      </c>
    </row>
    <row r="1985">
      <c r="A1985" s="87" t="str">
        <f>IFERROR(__xludf.DUMMYFUNCTION("""COMPUTED_VALUE"""),"ITBISA-IC-UA741CN-DIP8")</f>
        <v>ITBISA-IC-UA741CN-DIP8</v>
      </c>
      <c r="B1985" s="165">
        <f>IFERROR(__xludf.DUMMYFUNCTION("""COMPUTED_VALUE"""),46023.0)</f>
        <v>46023</v>
      </c>
      <c r="C1985" s="165" t="str">
        <f>IFERROR(__xludf.DUMMYFUNCTION("""COMPUTED_VALUE"""),"KYAI KONTONG")</f>
        <v>KYAI KONTONG</v>
      </c>
      <c r="D1985" s="94">
        <f>IFERROR(__xludf.DUMMYFUNCTION("""COMPUTED_VALUE"""),50.0)</f>
        <v>50</v>
      </c>
    </row>
    <row r="1986">
      <c r="A1986" s="87" t="str">
        <f>IFERROR(__xludf.DUMMYFUNCTION("""COMPUTED_VALUE"""),"ITBISA-IC-UA741CN-DIP8")</f>
        <v>ITBISA-IC-UA741CN-DIP8</v>
      </c>
      <c r="B1986" s="165">
        <f>IFERROR(__xludf.DUMMYFUNCTION("""COMPUTED_VALUE"""),46024.0)</f>
        <v>46024</v>
      </c>
      <c r="C1986" s="165" t="str">
        <f>IFERROR(__xludf.DUMMYFUNCTION("""COMPUTED_VALUE"""),"KYAI KONTONG")</f>
        <v>KYAI KONTONG</v>
      </c>
      <c r="D1986" s="94">
        <f>IFERROR(__xludf.DUMMYFUNCTION("""COMPUTED_VALUE"""),16.0)</f>
        <v>16</v>
      </c>
    </row>
    <row r="1987">
      <c r="A1987" s="87" t="str">
        <f>IFERROR(__xludf.DUMMYFUNCTION("""COMPUTED_VALUE"""),"ITBISA-IC-UA741CN-DIP8")</f>
        <v>ITBISA-IC-UA741CN-DIP8</v>
      </c>
      <c r="B1987" s="165">
        <f>IFERROR(__xludf.DUMMYFUNCTION("""COMPUTED_VALUE"""),46024.0)</f>
        <v>46024</v>
      </c>
      <c r="C1987" s="165" t="str">
        <f>IFERROR(__xludf.DUMMYFUNCTION("""COMPUTED_VALUE"""),"KYAI KONTONG")</f>
        <v>KYAI KONTONG</v>
      </c>
      <c r="D1987" s="94">
        <f>IFERROR(__xludf.DUMMYFUNCTION("""COMPUTED_VALUE"""),100.0)</f>
        <v>100</v>
      </c>
    </row>
    <row r="1988">
      <c r="A1988" s="87" t="str">
        <f>IFERROR(__xludf.DUMMYFUNCTION("""COMPUTED_VALUE"""),"ITBISA-IC-UA741CN-DIP8")</f>
        <v>ITBISA-IC-UA741CN-DIP8</v>
      </c>
      <c r="B1988" s="165">
        <f>IFERROR(__xludf.DUMMYFUNCTION("""COMPUTED_VALUE"""),46027.0)</f>
        <v>46027</v>
      </c>
      <c r="C1988" s="165" t="str">
        <f>IFERROR(__xludf.DUMMYFUNCTION("""COMPUTED_VALUE"""),"KERTASARI CIAMIS")</f>
        <v>KERTASARI CIAMIS</v>
      </c>
      <c r="D1988" s="94">
        <f>IFERROR(__xludf.DUMMYFUNCTION("""COMPUTED_VALUE"""),10.0)</f>
        <v>10</v>
      </c>
    </row>
    <row r="1989">
      <c r="A1989" s="87" t="str">
        <f>IFERROR(__xludf.DUMMYFUNCTION("""COMPUTED_VALUE"""),"ITBISA-IC-UA741CN-DIP8")</f>
        <v>ITBISA-IC-UA741CN-DIP8</v>
      </c>
      <c r="B1989" s="165">
        <f>IFERROR(__xludf.DUMMYFUNCTION("""COMPUTED_VALUE"""),46028.0)</f>
        <v>46028</v>
      </c>
      <c r="C1989" s="165" t="str">
        <f>IFERROR(__xludf.DUMMYFUNCTION("""COMPUTED_VALUE"""),"KERTASARI CIAMIS")</f>
        <v>KERTASARI CIAMIS</v>
      </c>
      <c r="D1989" s="94">
        <f>IFERROR(__xludf.DUMMYFUNCTION("""COMPUTED_VALUE"""),5.0)</f>
        <v>5</v>
      </c>
    </row>
    <row r="1990">
      <c r="A1990" s="87" t="str">
        <f>IFERROR(__xludf.DUMMYFUNCTION("""COMPUTED_VALUE"""),"ITBISA-IC-UA741CN-DIP8")</f>
        <v>ITBISA-IC-UA741CN-DIP8</v>
      </c>
      <c r="B1990" s="165">
        <f>IFERROR(__xludf.DUMMYFUNCTION("""COMPUTED_VALUE"""),46035.0)</f>
        <v>46035</v>
      </c>
      <c r="C1990" s="165" t="str">
        <f>IFERROR(__xludf.DUMMYFUNCTION("""COMPUTED_VALUE"""),"KERTASARI CIAMIS")</f>
        <v>KERTASARI CIAMIS</v>
      </c>
      <c r="D1990" s="94">
        <f>IFERROR(__xludf.DUMMYFUNCTION("""COMPUTED_VALUE"""),25.0)</f>
        <v>25</v>
      </c>
    </row>
    <row r="1991">
      <c r="A1991" s="87" t="str">
        <f>IFERROR(__xludf.DUMMYFUNCTION("""COMPUTED_VALUE"""),"ITBISA-IC-UA741CN-DIP8")</f>
        <v>ITBISA-IC-UA741CN-DIP8</v>
      </c>
      <c r="B1991" s="165">
        <f>IFERROR(__xludf.DUMMYFUNCTION("""COMPUTED_VALUE"""),46041.0)</f>
        <v>46041</v>
      </c>
      <c r="C1991" s="165" t="str">
        <f>IFERROR(__xludf.DUMMYFUNCTION("""COMPUTED_VALUE"""),"KERTASARI CIAMIS")</f>
        <v>KERTASARI CIAMIS</v>
      </c>
      <c r="D1991" s="94">
        <f>IFERROR(__xludf.DUMMYFUNCTION("""COMPUTED_VALUE"""),30.0)</f>
        <v>30</v>
      </c>
    </row>
    <row r="1992">
      <c r="A1992" s="87" t="str">
        <f>IFERROR(__xludf.DUMMYFUNCTION("""COMPUTED_VALUE"""),"ITBISA-IC-UA741CN-DIP8")</f>
        <v>ITBISA-IC-UA741CN-DIP8</v>
      </c>
      <c r="B1992" s="165">
        <f>IFERROR(__xludf.DUMMYFUNCTION("""COMPUTED_VALUE"""),46044.0)</f>
        <v>46044</v>
      </c>
      <c r="C1992" s="165" t="str">
        <f>IFERROR(__xludf.DUMMYFUNCTION("""COMPUTED_VALUE"""),"KERTASARI CIAMIS")</f>
        <v>KERTASARI CIAMIS</v>
      </c>
      <c r="D1992" s="94">
        <f>IFERROR(__xludf.DUMMYFUNCTION("""COMPUTED_VALUE"""),20.0)</f>
        <v>20</v>
      </c>
    </row>
    <row r="1993">
      <c r="A1993" s="87" t="str">
        <f>IFERROR(__xludf.DUMMYFUNCTION("""COMPUTED_VALUE"""),"ITBISA-IC-UA741CN-DIP8")</f>
        <v>ITBISA-IC-UA741CN-DIP8</v>
      </c>
      <c r="B1993" s="165">
        <f>IFERROR(__xludf.DUMMYFUNCTION("""COMPUTED_VALUE"""),46047.0)</f>
        <v>46047</v>
      </c>
      <c r="C1993" s="165" t="str">
        <f>IFERROR(__xludf.DUMMYFUNCTION("""COMPUTED_VALUE"""),"KERTASARI CIAMIS")</f>
        <v>KERTASARI CIAMIS</v>
      </c>
      <c r="D1993" s="94">
        <f>IFERROR(__xludf.DUMMYFUNCTION("""COMPUTED_VALUE"""),50.0)</f>
        <v>50</v>
      </c>
    </row>
    <row r="1994">
      <c r="A1994" s="87" t="str">
        <f>IFERROR(__xludf.DUMMYFUNCTION("""COMPUTED_VALUE"""),"ITBISA-IC-UA741CN-DIP8")</f>
        <v>ITBISA-IC-UA741CN-DIP8</v>
      </c>
      <c r="B1994" s="165">
        <f>IFERROR(__xludf.DUMMYFUNCTION("""COMPUTED_VALUE"""),46049.0)</f>
        <v>46049</v>
      </c>
      <c r="C1994" s="165" t="str">
        <f>IFERROR(__xludf.DUMMYFUNCTION("""COMPUTED_VALUE"""),"KERTASARI CIAMIS")</f>
        <v>KERTASARI CIAMIS</v>
      </c>
      <c r="D1994" s="94">
        <f>IFERROR(__xludf.DUMMYFUNCTION("""COMPUTED_VALUE"""),5.0)</f>
        <v>5</v>
      </c>
    </row>
    <row r="1995">
      <c r="A1995" s="87" t="str">
        <f>IFERROR(__xludf.DUMMYFUNCTION("""COMPUTED_VALUE"""),"ITBISA-IC-UA741CN-DIP8")</f>
        <v>ITBISA-IC-UA741CN-DIP8</v>
      </c>
      <c r="B1995" s="165">
        <f>IFERROR(__xludf.DUMMYFUNCTION("""COMPUTED_VALUE"""),46050.0)</f>
        <v>46050</v>
      </c>
      <c r="C1995" s="165" t="str">
        <f>IFERROR(__xludf.DUMMYFUNCTION("""COMPUTED_VALUE"""),"KERTASARI CIAMIS")</f>
        <v>KERTASARI CIAMIS</v>
      </c>
      <c r="D1995" s="94">
        <f>IFERROR(__xludf.DUMMYFUNCTION("""COMPUTED_VALUE"""),12.0)</f>
        <v>12</v>
      </c>
    </row>
    <row r="1996">
      <c r="A1996" s="87" t="str">
        <f>IFERROR(__xludf.DUMMYFUNCTION("""COMPUTED_VALUE"""),"ITBISA-IC-UA741CN-DIP8")</f>
        <v>ITBISA-IC-UA741CN-DIP8</v>
      </c>
      <c r="B1996" s="165">
        <f>IFERROR(__xludf.DUMMYFUNCTION("""COMPUTED_VALUE"""),46054.0)</f>
        <v>46054</v>
      </c>
      <c r="C1996" s="165" t="str">
        <f>IFERROR(__xludf.DUMMYFUNCTION("""COMPUTED_VALUE"""),"KERTASARI CIAMIS")</f>
        <v>KERTASARI CIAMIS</v>
      </c>
      <c r="D1996" s="94">
        <f>IFERROR(__xludf.DUMMYFUNCTION("""COMPUTED_VALUE"""),5.0)</f>
        <v>5</v>
      </c>
    </row>
    <row r="1997">
      <c r="A1997" s="87" t="str">
        <f>IFERROR(__xludf.DUMMYFUNCTION("""COMPUTED_VALUE"""),"ITBISA-IC-UA741CN-DIP8")</f>
        <v>ITBISA-IC-UA741CN-DIP8</v>
      </c>
      <c r="B1997" s="165">
        <f>IFERROR(__xludf.DUMMYFUNCTION("""COMPUTED_VALUE"""),46054.0)</f>
        <v>46054</v>
      </c>
      <c r="C1997" s="165" t="str">
        <f>IFERROR(__xludf.DUMMYFUNCTION("""COMPUTED_VALUE"""),"KERTASARI CIAMIS")</f>
        <v>KERTASARI CIAMIS</v>
      </c>
      <c r="D1997" s="94">
        <f>IFERROR(__xludf.DUMMYFUNCTION("""COMPUTED_VALUE"""),5.0)</f>
        <v>5</v>
      </c>
    </row>
    <row r="1998">
      <c r="A1998" s="87" t="str">
        <f>IFERROR(__xludf.DUMMYFUNCTION("""COMPUTED_VALUE"""),"ITBISA-IC-UA741CN-DIP8")</f>
        <v>ITBISA-IC-UA741CN-DIP8</v>
      </c>
      <c r="B1998" s="165">
        <f>IFERROR(__xludf.DUMMYFUNCTION("""COMPUTED_VALUE"""),46055.0)</f>
        <v>46055</v>
      </c>
      <c r="C1998" s="165" t="str">
        <f>IFERROR(__xludf.DUMMYFUNCTION("""COMPUTED_VALUE"""),"KERTASARI CIAMIS")</f>
        <v>KERTASARI CIAMIS</v>
      </c>
      <c r="D1998" s="94">
        <f>IFERROR(__xludf.DUMMYFUNCTION("""COMPUTED_VALUE"""),30.0)</f>
        <v>30</v>
      </c>
    </row>
    <row r="1999">
      <c r="A1999" s="87" t="str">
        <f>IFERROR(__xludf.DUMMYFUNCTION("""COMPUTED_VALUE"""),"ITBISA-IC-UA741CN-DIP8")</f>
        <v>ITBISA-IC-UA741CN-DIP8</v>
      </c>
      <c r="B1999" s="165">
        <f>IFERROR(__xludf.DUMMYFUNCTION("""COMPUTED_VALUE"""),46056.0)</f>
        <v>46056</v>
      </c>
      <c r="C1999" s="165" t="str">
        <f>IFERROR(__xludf.DUMMYFUNCTION("""COMPUTED_VALUE"""),"KYAI KONTONG")</f>
        <v>KYAI KONTONG</v>
      </c>
      <c r="D1999" s="94">
        <f>IFERROR(__xludf.DUMMYFUNCTION("""COMPUTED_VALUE"""),10.0)</f>
        <v>10</v>
      </c>
    </row>
    <row r="2000">
      <c r="A2000" s="87" t="str">
        <f>IFERROR(__xludf.DUMMYFUNCTION("""COMPUTED_VALUE"""),"ITBISA-IC-UA741CN-DIP8")</f>
        <v>ITBISA-IC-UA741CN-DIP8</v>
      </c>
      <c r="B2000" s="165">
        <f>IFERROR(__xludf.DUMMYFUNCTION("""COMPUTED_VALUE"""),46067.0)</f>
        <v>46067</v>
      </c>
      <c r="C2000" s="165" t="str">
        <f>IFERROR(__xludf.DUMMYFUNCTION("""COMPUTED_VALUE"""),"KERTASARI CIAMIS")</f>
        <v>KERTASARI CIAMIS</v>
      </c>
      <c r="D2000" s="94">
        <f>IFERROR(__xludf.DUMMYFUNCTION("""COMPUTED_VALUE"""),10.0)</f>
        <v>10</v>
      </c>
    </row>
    <row r="2001">
      <c r="A2001" s="87" t="str">
        <f>IFERROR(__xludf.DUMMYFUNCTION("""COMPUTED_VALUE"""),"ITBISA-IC-UA741CN-DIP8")</f>
        <v>ITBISA-IC-UA741CN-DIP8</v>
      </c>
      <c r="B2001" s="165">
        <f>IFERROR(__xludf.DUMMYFUNCTION("""COMPUTED_VALUE"""),46072.0)</f>
        <v>46072</v>
      </c>
      <c r="C2001" s="165" t="str">
        <f>IFERROR(__xludf.DUMMYFUNCTION("""COMPUTED_VALUE"""),"KERTASARI CIAMIS")</f>
        <v>KERTASARI CIAMIS</v>
      </c>
      <c r="D2001" s="94">
        <f>IFERROR(__xludf.DUMMYFUNCTION("""COMPUTED_VALUE"""),10.0)</f>
        <v>10</v>
      </c>
    </row>
    <row r="2002">
      <c r="A2002" s="87" t="str">
        <f>IFERROR(__xludf.DUMMYFUNCTION("""COMPUTED_VALUE"""),"ITBISA-IC-UA741CN-DIP8")</f>
        <v>ITBISA-IC-UA741CN-DIP8</v>
      </c>
      <c r="B2002" s="165">
        <f>IFERROR(__xludf.DUMMYFUNCTION("""COMPUTED_VALUE"""),46073.0)</f>
        <v>46073</v>
      </c>
      <c r="C2002" s="165" t="str">
        <f>IFERROR(__xludf.DUMMYFUNCTION("""COMPUTED_VALUE"""),"KERTASARI CIAMIS")</f>
        <v>KERTASARI CIAMIS</v>
      </c>
      <c r="D2002" s="94">
        <f>IFERROR(__xludf.DUMMYFUNCTION("""COMPUTED_VALUE"""),10.0)</f>
        <v>10</v>
      </c>
    </row>
    <row r="2003">
      <c r="A2003" s="87" t="str">
        <f>IFERROR(__xludf.DUMMYFUNCTION("""COMPUTED_VALUE"""),"ITBISA-IC-UA741CN-DIP8")</f>
        <v>ITBISA-IC-UA741CN-DIP8</v>
      </c>
      <c r="B2003" s="165">
        <f>IFERROR(__xludf.DUMMYFUNCTION("""COMPUTED_VALUE"""),46074.0)</f>
        <v>46074</v>
      </c>
      <c r="C2003" s="165" t="str">
        <f>IFERROR(__xludf.DUMMYFUNCTION("""COMPUTED_VALUE"""),"KERTASARI CIAMIS")</f>
        <v>KERTASARI CIAMIS</v>
      </c>
      <c r="D2003" s="94">
        <f>IFERROR(__xludf.DUMMYFUNCTION("""COMPUTED_VALUE"""),25.0)</f>
        <v>25</v>
      </c>
    </row>
    <row r="2004">
      <c r="A2004" s="87" t="str">
        <f>IFERROR(__xludf.DUMMYFUNCTION("""COMPUTED_VALUE"""),"ITBISA-IC-UA741CN-DIP8")</f>
        <v>ITBISA-IC-UA741CN-DIP8</v>
      </c>
      <c r="B2004" s="165">
        <f>IFERROR(__xludf.DUMMYFUNCTION("""COMPUTED_VALUE"""),46077.0)</f>
        <v>46077</v>
      </c>
      <c r="C2004" s="165" t="str">
        <f>IFERROR(__xludf.DUMMYFUNCTION("""COMPUTED_VALUE"""),"KYAI KONTONG")</f>
        <v>KYAI KONTONG</v>
      </c>
      <c r="D2004" s="94">
        <f>IFERROR(__xludf.DUMMYFUNCTION("""COMPUTED_VALUE"""),11.0)</f>
        <v>11</v>
      </c>
    </row>
    <row r="2005">
      <c r="A2005" s="87" t="str">
        <f>IFERROR(__xludf.DUMMYFUNCTION("""COMPUTED_VALUE"""),"ITBISA-IC-UA741CN-DIP8")</f>
        <v>ITBISA-IC-UA741CN-DIP8</v>
      </c>
      <c r="B2005" s="165">
        <f>IFERROR(__xludf.DUMMYFUNCTION("""COMPUTED_VALUE"""),46077.0)</f>
        <v>46077</v>
      </c>
      <c r="C2005" s="165" t="str">
        <f>IFERROR(__xludf.DUMMYFUNCTION("""COMPUTED_VALUE"""),"KYAI KONTONG")</f>
        <v>KYAI KONTONG</v>
      </c>
      <c r="D2005" s="94">
        <f>IFERROR(__xludf.DUMMYFUNCTION("""COMPUTED_VALUE"""),15.0)</f>
        <v>15</v>
      </c>
    </row>
    <row r="2006">
      <c r="A2006" s="87" t="str">
        <f>IFERROR(__xludf.DUMMYFUNCTION("""COMPUTED_VALUE"""),"ITBISA-IC-UA741CN-DIP8")</f>
        <v>ITBISA-IC-UA741CN-DIP8</v>
      </c>
      <c r="B2006" s="165">
        <f>IFERROR(__xludf.DUMMYFUNCTION("""COMPUTED_VALUE"""),46078.0)</f>
        <v>46078</v>
      </c>
      <c r="C2006" s="165" t="str">
        <f>IFERROR(__xludf.DUMMYFUNCTION("""COMPUTED_VALUE"""),"KYAI KONTONG")</f>
        <v>KYAI KONTONG</v>
      </c>
      <c r="D2006" s="94">
        <f>IFERROR(__xludf.DUMMYFUNCTION("""COMPUTED_VALUE"""),14.0)</f>
        <v>14</v>
      </c>
    </row>
    <row r="2007">
      <c r="A2007" s="87" t="str">
        <f>IFERROR(__xludf.DUMMYFUNCTION("""COMPUTED_VALUE"""),"ITBISA-IC-UA741CN-DIP8")</f>
        <v>ITBISA-IC-UA741CN-DIP8</v>
      </c>
      <c r="B2007" s="165">
        <f>IFERROR(__xludf.DUMMYFUNCTION("""COMPUTED_VALUE"""),46078.0)</f>
        <v>46078</v>
      </c>
      <c r="C2007" s="165" t="str">
        <f>IFERROR(__xludf.DUMMYFUNCTION("""COMPUTED_VALUE"""),"KYAI KONTONG")</f>
        <v>KYAI KONTONG</v>
      </c>
      <c r="D2007" s="94">
        <f>IFERROR(__xludf.DUMMYFUNCTION("""COMPUTED_VALUE"""),25.0)</f>
        <v>25</v>
      </c>
    </row>
    <row r="2008">
      <c r="A2008" s="87" t="str">
        <f>IFERROR(__xludf.DUMMYFUNCTION("""COMPUTED_VALUE"""),"ITBISA-IC-UA741CN-DIP8")</f>
        <v>ITBISA-IC-UA741CN-DIP8</v>
      </c>
      <c r="B2008" s="165">
        <f>IFERROR(__xludf.DUMMYFUNCTION("""COMPUTED_VALUE"""),46079.0)</f>
        <v>46079</v>
      </c>
      <c r="C2008" s="165" t="str">
        <f>IFERROR(__xludf.DUMMYFUNCTION("""COMPUTED_VALUE"""),"KYAI KONTONG")</f>
        <v>KYAI KONTONG</v>
      </c>
      <c r="D2008" s="94">
        <f>IFERROR(__xludf.DUMMYFUNCTION("""COMPUTED_VALUE"""),5.0)</f>
        <v>5</v>
      </c>
    </row>
    <row r="2009">
      <c r="A2009" s="87" t="str">
        <f>IFERROR(__xludf.DUMMYFUNCTION("""COMPUTED_VALUE"""),"ITBISA-IC-UA741CN-DIP8")</f>
        <v>ITBISA-IC-UA741CN-DIP8</v>
      </c>
      <c r="B2009" s="165">
        <f>IFERROR(__xludf.DUMMYFUNCTION("""COMPUTED_VALUE"""),46081.0)</f>
        <v>46081</v>
      </c>
      <c r="C2009" s="165" t="str">
        <f>IFERROR(__xludf.DUMMYFUNCTION("""COMPUTED_VALUE"""),"KERTASARI CIAMIS")</f>
        <v>KERTASARI CIAMIS</v>
      </c>
      <c r="D2009" s="94">
        <f>IFERROR(__xludf.DUMMYFUNCTION("""COMPUTED_VALUE"""),5.0)</f>
        <v>5</v>
      </c>
    </row>
    <row r="2010">
      <c r="A2010" s="87" t="str">
        <f>IFERROR(__xludf.DUMMYFUNCTION("""COMPUTED_VALUE"""),"ITBISA-IC-UA741CN-DIP8")</f>
        <v>ITBISA-IC-UA741CN-DIP8</v>
      </c>
      <c r="B2010" s="165">
        <f>IFERROR(__xludf.DUMMYFUNCTION("""COMPUTED_VALUE"""),46084.0)</f>
        <v>46084</v>
      </c>
      <c r="C2010" s="165" t="str">
        <f>IFERROR(__xludf.DUMMYFUNCTION("""COMPUTED_VALUE"""),"KERTASARI CIAMIS")</f>
        <v>KERTASARI CIAMIS</v>
      </c>
      <c r="D2010" s="94">
        <f>IFERROR(__xludf.DUMMYFUNCTION("""COMPUTED_VALUE"""),25.0)</f>
        <v>25</v>
      </c>
    </row>
    <row r="2011">
      <c r="A2011" s="87" t="str">
        <f>IFERROR(__xludf.DUMMYFUNCTION("""COMPUTED_VALUE"""),"ITBISA-IC-UA741CN-DIP8")</f>
        <v>ITBISA-IC-UA741CN-DIP8</v>
      </c>
      <c r="B2011" s="165">
        <f>IFERROR(__xludf.DUMMYFUNCTION("""COMPUTED_VALUE"""),46084.0)</f>
        <v>46084</v>
      </c>
      <c r="C2011" s="165" t="str">
        <f>IFERROR(__xludf.DUMMYFUNCTION("""COMPUTED_VALUE"""),"KYAI KONTONG")</f>
        <v>KYAI KONTONG</v>
      </c>
      <c r="D2011" s="94">
        <f>IFERROR(__xludf.DUMMYFUNCTION("""COMPUTED_VALUE"""),20.0)</f>
        <v>20</v>
      </c>
    </row>
    <row r="2012">
      <c r="A2012" s="87" t="str">
        <f>IFERROR(__xludf.DUMMYFUNCTION("""COMPUTED_VALUE"""),"ITBISA-IC-UA741CN-DIP8")</f>
        <v>ITBISA-IC-UA741CN-DIP8</v>
      </c>
      <c r="B2012" s="165">
        <f>IFERROR(__xludf.DUMMYFUNCTION("""COMPUTED_VALUE"""),46084.0)</f>
        <v>46084</v>
      </c>
      <c r="C2012" s="165" t="str">
        <f>IFERROR(__xludf.DUMMYFUNCTION("""COMPUTED_VALUE"""),"KYAI KONTONG")</f>
        <v>KYAI KONTONG</v>
      </c>
      <c r="D2012" s="94">
        <f>IFERROR(__xludf.DUMMYFUNCTION("""COMPUTED_VALUE"""),100.0)</f>
        <v>100</v>
      </c>
    </row>
    <row r="2013">
      <c r="A2013" s="87" t="str">
        <f>IFERROR(__xludf.DUMMYFUNCTION("""COMPUTED_VALUE"""),"ITBISA-IC-UA741CN-DIP8")</f>
        <v>ITBISA-IC-UA741CN-DIP8</v>
      </c>
      <c r="B2013" s="165">
        <f>IFERROR(__xludf.DUMMYFUNCTION("""COMPUTED_VALUE"""),46084.0)</f>
        <v>46084</v>
      </c>
      <c r="C2013" s="165" t="str">
        <f>IFERROR(__xludf.DUMMYFUNCTION("""COMPUTED_VALUE"""),"KYAI KONTONG")</f>
        <v>KYAI KONTONG</v>
      </c>
      <c r="D2013" s="94">
        <f>IFERROR(__xludf.DUMMYFUNCTION("""COMPUTED_VALUE"""),200.0)</f>
        <v>200</v>
      </c>
    </row>
    <row r="2014">
      <c r="A2014" s="87" t="str">
        <f>IFERROR(__xludf.DUMMYFUNCTION("""COMPUTED_VALUE"""),"ITBISA-IC-UA741CN-DIP8")</f>
        <v>ITBISA-IC-UA741CN-DIP8</v>
      </c>
      <c r="B2014" s="165">
        <f>IFERROR(__xludf.DUMMYFUNCTION("""COMPUTED_VALUE"""),46085.0)</f>
        <v>46085</v>
      </c>
      <c r="C2014" s="165" t="str">
        <f>IFERROR(__xludf.DUMMYFUNCTION("""COMPUTED_VALUE"""),"KERTASARI CIAMIS")</f>
        <v>KERTASARI CIAMIS</v>
      </c>
      <c r="D2014" s="94">
        <f>IFERROR(__xludf.DUMMYFUNCTION("""COMPUTED_VALUE"""),12.0)</f>
        <v>12</v>
      </c>
    </row>
    <row r="2015">
      <c r="A2015" s="87" t="str">
        <f>IFERROR(__xludf.DUMMYFUNCTION("""COMPUTED_VALUE"""),"ITBISA-IC-UA741CN-DIP8")</f>
        <v>ITBISA-IC-UA741CN-DIP8</v>
      </c>
      <c r="B2015" s="165">
        <f>IFERROR(__xludf.DUMMYFUNCTION("""COMPUTED_VALUE"""),46087.0)</f>
        <v>46087</v>
      </c>
      <c r="C2015" s="165" t="str">
        <f>IFERROR(__xludf.DUMMYFUNCTION("""COMPUTED_VALUE"""),"KYAI KONTONG")</f>
        <v>KYAI KONTONG</v>
      </c>
      <c r="D2015" s="94">
        <f>IFERROR(__xludf.DUMMYFUNCTION("""COMPUTED_VALUE"""),10.0)</f>
        <v>10</v>
      </c>
    </row>
    <row r="2016">
      <c r="A2016" s="87" t="str">
        <f>IFERROR(__xludf.DUMMYFUNCTION("""COMPUTED_VALUE"""),"ITBISA-IC-UA741CN-DIP8")</f>
        <v>ITBISA-IC-UA741CN-DIP8</v>
      </c>
      <c r="B2016" s="165">
        <f>IFERROR(__xludf.DUMMYFUNCTION("""COMPUTED_VALUE"""),46087.0)</f>
        <v>46087</v>
      </c>
      <c r="C2016" s="165" t="str">
        <f>IFERROR(__xludf.DUMMYFUNCTION("""COMPUTED_VALUE"""),"KYAI KONTONG")</f>
        <v>KYAI KONTONG</v>
      </c>
      <c r="D2016" s="94">
        <f>IFERROR(__xludf.DUMMYFUNCTION("""COMPUTED_VALUE"""),20.0)</f>
        <v>20</v>
      </c>
    </row>
    <row r="2017">
      <c r="A2017" s="87" t="str">
        <f>IFERROR(__xludf.DUMMYFUNCTION("""COMPUTED_VALUE"""),"ITBISA-IC-UA741CN-DIP8")</f>
        <v>ITBISA-IC-UA741CN-DIP8</v>
      </c>
      <c r="B2017" s="165">
        <f>IFERROR(__xludf.DUMMYFUNCTION("""COMPUTED_VALUE"""),46088.0)</f>
        <v>46088</v>
      </c>
      <c r="C2017" s="165" t="str">
        <f>IFERROR(__xludf.DUMMYFUNCTION("""COMPUTED_VALUE"""),"KERTASARI CIAMIS")</f>
        <v>KERTASARI CIAMIS</v>
      </c>
      <c r="D2017" s="94">
        <f>IFERROR(__xludf.DUMMYFUNCTION("""COMPUTED_VALUE"""),100.0)</f>
        <v>100</v>
      </c>
    </row>
    <row r="2018">
      <c r="A2018" s="87" t="str">
        <f>IFERROR(__xludf.DUMMYFUNCTION("""COMPUTED_VALUE"""),"ITBISA-IC-UA741CN-DIP8")</f>
        <v>ITBISA-IC-UA741CN-DIP8</v>
      </c>
      <c r="B2018" s="165">
        <f>IFERROR(__xludf.DUMMYFUNCTION("""COMPUTED_VALUE"""),46088.0)</f>
        <v>46088</v>
      </c>
      <c r="C2018" s="165" t="str">
        <f>IFERROR(__xludf.DUMMYFUNCTION("""COMPUTED_VALUE"""),"KYAI KONTONG")</f>
        <v>KYAI KONTONG</v>
      </c>
      <c r="D2018" s="94">
        <f>IFERROR(__xludf.DUMMYFUNCTION("""COMPUTED_VALUE"""),5.0)</f>
        <v>5</v>
      </c>
    </row>
    <row r="2019">
      <c r="A2019" s="87" t="str">
        <f>IFERROR(__xludf.DUMMYFUNCTION("""COMPUTED_VALUE"""),"ITBISA-IC-UA741CN-DIP8")</f>
        <v>ITBISA-IC-UA741CN-DIP8</v>
      </c>
      <c r="B2019" s="165">
        <f>IFERROR(__xludf.DUMMYFUNCTION("""COMPUTED_VALUE"""),46088.0)</f>
        <v>46088</v>
      </c>
      <c r="C2019" s="165" t="str">
        <f>IFERROR(__xludf.DUMMYFUNCTION("""COMPUTED_VALUE"""),"KYAI KONTONG")</f>
        <v>KYAI KONTONG</v>
      </c>
      <c r="D2019" s="94">
        <f>IFERROR(__xludf.DUMMYFUNCTION("""COMPUTED_VALUE"""),20.0)</f>
        <v>20</v>
      </c>
    </row>
    <row r="2020">
      <c r="A2020" s="87" t="str">
        <f>IFERROR(__xludf.DUMMYFUNCTION("""COMPUTED_VALUE"""),"ITBISA-IC-UA741CN-DIP8")</f>
        <v>ITBISA-IC-UA741CN-DIP8</v>
      </c>
      <c r="B2020" s="165">
        <f>IFERROR(__xludf.DUMMYFUNCTION("""COMPUTED_VALUE"""),46089.0)</f>
        <v>46089</v>
      </c>
      <c r="C2020" s="165" t="str">
        <f>IFERROR(__xludf.DUMMYFUNCTION("""COMPUTED_VALUE"""),"KYAI KONTONG")</f>
        <v>KYAI KONTONG</v>
      </c>
      <c r="D2020" s="94">
        <f>IFERROR(__xludf.DUMMYFUNCTION("""COMPUTED_VALUE"""),16.0)</f>
        <v>16</v>
      </c>
    </row>
    <row r="2021">
      <c r="A2021" s="87" t="str">
        <f>IFERROR(__xludf.DUMMYFUNCTION("""COMPUTED_VALUE"""),"ITBISA-IC-UA741CN-DIP8")</f>
        <v>ITBISA-IC-UA741CN-DIP8</v>
      </c>
      <c r="B2021" s="165">
        <f>IFERROR(__xludf.DUMMYFUNCTION("""COMPUTED_VALUE"""),46090.0)</f>
        <v>46090</v>
      </c>
      <c r="C2021" s="165" t="str">
        <f>IFERROR(__xludf.DUMMYFUNCTION("""COMPUTED_VALUE"""),"KYAI KONTONG")</f>
        <v>KYAI KONTONG</v>
      </c>
      <c r="D2021" s="94">
        <f>IFERROR(__xludf.DUMMYFUNCTION("""COMPUTED_VALUE"""),5.0)</f>
        <v>5</v>
      </c>
    </row>
    <row r="2022">
      <c r="A2022" s="87" t="str">
        <f>IFERROR(__xludf.DUMMYFUNCTION("""COMPUTED_VALUE"""),"ITBISA-IC-UA741CN-DIP8")</f>
        <v>ITBISA-IC-UA741CN-DIP8</v>
      </c>
      <c r="B2022" s="165">
        <f>IFERROR(__xludf.DUMMYFUNCTION("""COMPUTED_VALUE"""),46090.0)</f>
        <v>46090</v>
      </c>
      <c r="C2022" s="165" t="str">
        <f>IFERROR(__xludf.DUMMYFUNCTION("""COMPUTED_VALUE"""),"KYAI KONTONG")</f>
        <v>KYAI KONTONG</v>
      </c>
      <c r="D2022" s="94">
        <f>IFERROR(__xludf.DUMMYFUNCTION("""COMPUTED_VALUE"""),6.0)</f>
        <v>6</v>
      </c>
    </row>
    <row r="2023">
      <c r="A2023" s="87" t="str">
        <f>IFERROR(__xludf.DUMMYFUNCTION("""COMPUTED_VALUE"""),"ITBISA-IC-UA741CN-DIP8")</f>
        <v>ITBISA-IC-UA741CN-DIP8</v>
      </c>
      <c r="B2023" s="165">
        <f>IFERROR(__xludf.DUMMYFUNCTION("""COMPUTED_VALUE"""),46090.0)</f>
        <v>46090</v>
      </c>
      <c r="C2023" s="165" t="str">
        <f>IFERROR(__xludf.DUMMYFUNCTION("""COMPUTED_VALUE"""),"KYAI KONTONG")</f>
        <v>KYAI KONTONG</v>
      </c>
      <c r="D2023" s="94">
        <f>IFERROR(__xludf.DUMMYFUNCTION("""COMPUTED_VALUE"""),8.0)</f>
        <v>8</v>
      </c>
    </row>
    <row r="2024">
      <c r="A2024" s="87" t="str">
        <f>IFERROR(__xludf.DUMMYFUNCTION("""COMPUTED_VALUE"""),"ITBISA-IC-UA741CN-DIP8")</f>
        <v>ITBISA-IC-UA741CN-DIP8</v>
      </c>
      <c r="B2024" s="165">
        <f>IFERROR(__xludf.DUMMYFUNCTION("""COMPUTED_VALUE"""),46090.0)</f>
        <v>46090</v>
      </c>
      <c r="C2024" s="165" t="str">
        <f>IFERROR(__xludf.DUMMYFUNCTION("""COMPUTED_VALUE"""),"KYAI KONTONG")</f>
        <v>KYAI KONTONG</v>
      </c>
      <c r="D2024" s="94">
        <f>IFERROR(__xludf.DUMMYFUNCTION("""COMPUTED_VALUE"""),25.0)</f>
        <v>25</v>
      </c>
    </row>
    <row r="2025">
      <c r="A2025" s="87" t="str">
        <f>IFERROR(__xludf.DUMMYFUNCTION("""COMPUTED_VALUE"""),"ITBISA-IC-UA741CN-DIP8")</f>
        <v>ITBISA-IC-UA741CN-DIP8</v>
      </c>
      <c r="B2025" s="165">
        <f>IFERROR(__xludf.DUMMYFUNCTION("""COMPUTED_VALUE"""),46095.0)</f>
        <v>46095</v>
      </c>
      <c r="C2025" s="165" t="str">
        <f>IFERROR(__xludf.DUMMYFUNCTION("""COMPUTED_VALUE"""),"KYAI KONTONG")</f>
        <v>KYAI KONTONG</v>
      </c>
      <c r="D2025" s="94">
        <f>IFERROR(__xludf.DUMMYFUNCTION("""COMPUTED_VALUE"""),10.0)</f>
        <v>10</v>
      </c>
    </row>
    <row r="2026">
      <c r="A2026" s="87" t="str">
        <f>IFERROR(__xludf.DUMMYFUNCTION("""COMPUTED_VALUE"""),"ITBISA-IC-UA741CN-DIP8")</f>
        <v>ITBISA-IC-UA741CN-DIP8</v>
      </c>
      <c r="B2026" s="165">
        <f>IFERROR(__xludf.DUMMYFUNCTION("""COMPUTED_VALUE"""),46101.0)</f>
        <v>46101</v>
      </c>
      <c r="C2026" s="165" t="str">
        <f>IFERROR(__xludf.DUMMYFUNCTION("""COMPUTED_VALUE"""),"KYAI KONTONG")</f>
        <v>KYAI KONTONG</v>
      </c>
      <c r="D2026" s="94">
        <f>IFERROR(__xludf.DUMMYFUNCTION("""COMPUTED_VALUE"""),100.0)</f>
        <v>100</v>
      </c>
    </row>
    <row r="2027">
      <c r="A2027" s="87" t="str">
        <f>IFERROR(__xludf.DUMMYFUNCTION("""COMPUTED_VALUE"""),"ITBISA-IC-UA741CN-DIP8")</f>
        <v>ITBISA-IC-UA741CN-DIP8</v>
      </c>
      <c r="B2027" s="165">
        <f>IFERROR(__xludf.DUMMYFUNCTION("""COMPUTED_VALUE"""),46102.0)</f>
        <v>46102</v>
      </c>
      <c r="C2027" s="165" t="str">
        <f>IFERROR(__xludf.DUMMYFUNCTION("""COMPUTED_VALUE"""),"KYAI KONTONG")</f>
        <v>KYAI KONTONG</v>
      </c>
      <c r="D2027" s="94">
        <f>IFERROR(__xludf.DUMMYFUNCTION("""COMPUTED_VALUE"""),10.0)</f>
        <v>10</v>
      </c>
    </row>
    <row r="2028">
      <c r="A2028" s="87" t="str">
        <f>IFERROR(__xludf.DUMMYFUNCTION("""COMPUTED_VALUE"""),"ITBISA-IC-UA741CN-DIP8")</f>
        <v>ITBISA-IC-UA741CN-DIP8</v>
      </c>
      <c r="B2028" s="165">
        <f>IFERROR(__xludf.DUMMYFUNCTION("""COMPUTED_VALUE"""),46114.0)</f>
        <v>46114</v>
      </c>
      <c r="C2028" s="165" t="str">
        <f>IFERROR(__xludf.DUMMYFUNCTION("""COMPUTED_VALUE"""),"KYAI KONTONG")</f>
        <v>KYAI KONTONG</v>
      </c>
      <c r="D2028" s="94">
        <f>IFERROR(__xludf.DUMMYFUNCTION("""COMPUTED_VALUE"""),25.0)</f>
        <v>25</v>
      </c>
    </row>
    <row r="2029">
      <c r="A2029" s="87" t="str">
        <f>IFERROR(__xludf.DUMMYFUNCTION("""COMPUTED_VALUE"""),"ITBISA-IC-UA741CN-DIP8")</f>
        <v>ITBISA-IC-UA741CN-DIP8</v>
      </c>
      <c r="B2029" s="165">
        <f>IFERROR(__xludf.DUMMYFUNCTION("""COMPUTED_VALUE"""),46115.0)</f>
        <v>46115</v>
      </c>
      <c r="C2029" s="165" t="str">
        <f>IFERROR(__xludf.DUMMYFUNCTION("""COMPUTED_VALUE"""),"KYAI KONTONG")</f>
        <v>KYAI KONTONG</v>
      </c>
      <c r="D2029" s="94">
        <f>IFERROR(__xludf.DUMMYFUNCTION("""COMPUTED_VALUE"""),5.0)</f>
        <v>5</v>
      </c>
    </row>
    <row r="2030">
      <c r="A2030" s="87" t="str">
        <f>IFERROR(__xludf.DUMMYFUNCTION("""COMPUTED_VALUE"""),"ITBISA-IC-UA741CN-DIP8")</f>
        <v>ITBISA-IC-UA741CN-DIP8</v>
      </c>
      <c r="B2030" s="165">
        <f>IFERROR(__xludf.DUMMYFUNCTION("""COMPUTED_VALUE"""),46116.0)</f>
        <v>46116</v>
      </c>
      <c r="C2030" s="165" t="str">
        <f>IFERROR(__xludf.DUMMYFUNCTION("""COMPUTED_VALUE"""),"KYAI KONTONG")</f>
        <v>KYAI KONTONG</v>
      </c>
      <c r="D2030" s="94">
        <f>IFERROR(__xludf.DUMMYFUNCTION("""COMPUTED_VALUE"""),5.0)</f>
        <v>5</v>
      </c>
    </row>
    <row r="2031">
      <c r="A2031" s="87" t="str">
        <f>IFERROR(__xludf.DUMMYFUNCTION("""COMPUTED_VALUE"""),"ITBISA-IC-UA741CN-DIP8")</f>
        <v>ITBISA-IC-UA741CN-DIP8</v>
      </c>
      <c r="B2031" s="165">
        <f>IFERROR(__xludf.DUMMYFUNCTION("""COMPUTED_VALUE"""),46117.0)</f>
        <v>46117</v>
      </c>
      <c r="C2031" s="165" t="str">
        <f>IFERROR(__xludf.DUMMYFUNCTION("""COMPUTED_VALUE"""),"KYAI KONTONG")</f>
        <v>KYAI KONTONG</v>
      </c>
      <c r="D2031" s="94">
        <f>IFERROR(__xludf.DUMMYFUNCTION("""COMPUTED_VALUE"""),10.0)</f>
        <v>10</v>
      </c>
    </row>
    <row r="2032">
      <c r="A2032" s="87" t="str">
        <f>IFERROR(__xludf.DUMMYFUNCTION("""COMPUTED_VALUE"""),"ITBISA-IC-UA741CN-DIP8")</f>
        <v>ITBISA-IC-UA741CN-DIP8</v>
      </c>
      <c r="B2032" s="165">
        <f>IFERROR(__xludf.DUMMYFUNCTION("""COMPUTED_VALUE"""),46117.0)</f>
        <v>46117</v>
      </c>
      <c r="C2032" s="165" t="str">
        <f>IFERROR(__xludf.DUMMYFUNCTION("""COMPUTED_VALUE"""),"KYAI KONTONG")</f>
        <v>KYAI KONTONG</v>
      </c>
      <c r="D2032" s="94">
        <f>IFERROR(__xludf.DUMMYFUNCTION("""COMPUTED_VALUE"""),10.0)</f>
        <v>10</v>
      </c>
    </row>
    <row r="2033">
      <c r="A2033" s="87" t="str">
        <f>IFERROR(__xludf.DUMMYFUNCTION("""COMPUTED_VALUE"""),"ITBISA-IC-UA741CN-DIP8")</f>
        <v>ITBISA-IC-UA741CN-DIP8</v>
      </c>
      <c r="B2033" s="165">
        <f>IFERROR(__xludf.DUMMYFUNCTION("""COMPUTED_VALUE"""),46117.0)</f>
        <v>46117</v>
      </c>
      <c r="C2033" s="165" t="str">
        <f>IFERROR(__xludf.DUMMYFUNCTION("""COMPUTED_VALUE"""),"KYAI KONTONG")</f>
        <v>KYAI KONTONG</v>
      </c>
      <c r="D2033" s="94">
        <f>IFERROR(__xludf.DUMMYFUNCTION("""COMPUTED_VALUE"""),20.0)</f>
        <v>20</v>
      </c>
    </row>
    <row r="2034">
      <c r="A2034" s="87" t="str">
        <f>IFERROR(__xludf.DUMMYFUNCTION("""COMPUTED_VALUE"""),"ITBISA-IC-UA741CN-DIP8")</f>
        <v>ITBISA-IC-UA741CN-DIP8</v>
      </c>
      <c r="B2034" s="165">
        <f>IFERROR(__xludf.DUMMYFUNCTION("""COMPUTED_VALUE"""),46118.0)</f>
        <v>46118</v>
      </c>
      <c r="C2034" s="165" t="str">
        <f>IFERROR(__xludf.DUMMYFUNCTION("""COMPUTED_VALUE"""),"KYAI KONTONG")</f>
        <v>KYAI KONTONG</v>
      </c>
      <c r="D2034" s="94">
        <f>IFERROR(__xludf.DUMMYFUNCTION("""COMPUTED_VALUE"""),50.0)</f>
        <v>50</v>
      </c>
    </row>
    <row r="2035">
      <c r="A2035" s="87" t="str">
        <f>IFERROR(__xludf.DUMMYFUNCTION("""COMPUTED_VALUE"""),"ITBISA-IC-UA741CN-DIP8")</f>
        <v>ITBISA-IC-UA741CN-DIP8</v>
      </c>
      <c r="B2035" s="165">
        <f>IFERROR(__xludf.DUMMYFUNCTION("""COMPUTED_VALUE"""),46118.0)</f>
        <v>46118</v>
      </c>
      <c r="C2035" s="165" t="str">
        <f>IFERROR(__xludf.DUMMYFUNCTION("""COMPUTED_VALUE"""),"KYAI KONTONG")</f>
        <v>KYAI KONTONG</v>
      </c>
      <c r="D2035" s="94">
        <f>IFERROR(__xludf.DUMMYFUNCTION("""COMPUTED_VALUE"""),100.0)</f>
        <v>100</v>
      </c>
    </row>
    <row r="2036">
      <c r="A2036" s="87" t="str">
        <f>IFERROR(__xludf.DUMMYFUNCTION("""COMPUTED_VALUE"""),"ITBISA-IC-UA741CN-DIP8")</f>
        <v>ITBISA-IC-UA741CN-DIP8</v>
      </c>
      <c r="B2036" s="165">
        <f>IFERROR(__xludf.DUMMYFUNCTION("""COMPUTED_VALUE"""),46119.0)</f>
        <v>46119</v>
      </c>
      <c r="C2036" s="165" t="str">
        <f>IFERROR(__xludf.DUMMYFUNCTION("""COMPUTED_VALUE"""),"KYAI KONTONG")</f>
        <v>KYAI KONTONG</v>
      </c>
      <c r="D2036" s="94">
        <f>IFERROR(__xludf.DUMMYFUNCTION("""COMPUTED_VALUE"""),5.0)</f>
        <v>5</v>
      </c>
    </row>
    <row r="2037">
      <c r="A2037" s="87" t="str">
        <f>IFERROR(__xludf.DUMMYFUNCTION("""COMPUTED_VALUE"""),"ITBISA-IC-UA741CN-DIP8")</f>
        <v>ITBISA-IC-UA741CN-DIP8</v>
      </c>
      <c r="B2037" s="165">
        <f>IFERROR(__xludf.DUMMYFUNCTION("""COMPUTED_VALUE"""),46119.0)</f>
        <v>46119</v>
      </c>
      <c r="C2037" s="165" t="str">
        <f>IFERROR(__xludf.DUMMYFUNCTION("""COMPUTED_VALUE"""),"KYAI KONTONG")</f>
        <v>KYAI KONTONG</v>
      </c>
      <c r="D2037" s="94">
        <f>IFERROR(__xludf.DUMMYFUNCTION("""COMPUTED_VALUE"""),10.0)</f>
        <v>10</v>
      </c>
    </row>
    <row r="2038">
      <c r="A2038" s="87" t="str">
        <f>IFERROR(__xludf.DUMMYFUNCTION("""COMPUTED_VALUE"""),"ITBISA-IC-UA741CN-DIP8")</f>
        <v>ITBISA-IC-UA741CN-DIP8</v>
      </c>
      <c r="B2038" s="165">
        <f>IFERROR(__xludf.DUMMYFUNCTION("""COMPUTED_VALUE"""),46123.0)</f>
        <v>46123</v>
      </c>
      <c r="C2038" s="165" t="str">
        <f>IFERROR(__xludf.DUMMYFUNCTION("""COMPUTED_VALUE"""),"KYAI KONTONG")</f>
        <v>KYAI KONTONG</v>
      </c>
      <c r="D2038" s="94">
        <f>IFERROR(__xludf.DUMMYFUNCTION("""COMPUTED_VALUE"""),10.0)</f>
        <v>10</v>
      </c>
    </row>
    <row r="2039">
      <c r="A2039" s="87" t="str">
        <f>IFERROR(__xludf.DUMMYFUNCTION("""COMPUTED_VALUE"""),"ITBISA-IC-UA741CN-DIP8")</f>
        <v>ITBISA-IC-UA741CN-DIP8</v>
      </c>
      <c r="B2039" s="165">
        <f>IFERROR(__xludf.DUMMYFUNCTION("""COMPUTED_VALUE"""),46124.0)</f>
        <v>46124</v>
      </c>
      <c r="C2039" s="165" t="str">
        <f>IFERROR(__xludf.DUMMYFUNCTION("""COMPUTED_VALUE"""),"KYAI KONTONG")</f>
        <v>KYAI KONTONG</v>
      </c>
      <c r="D2039" s="94">
        <f>IFERROR(__xludf.DUMMYFUNCTION("""COMPUTED_VALUE"""),250.0)</f>
        <v>250</v>
      </c>
    </row>
    <row r="2040">
      <c r="A2040" s="87" t="str">
        <f>IFERROR(__xludf.DUMMYFUNCTION("""COMPUTED_VALUE"""),"ITBISA-IC-UA741CN-DIP8")</f>
        <v>ITBISA-IC-UA741CN-DIP8</v>
      </c>
      <c r="B2040" s="165">
        <f>IFERROR(__xludf.DUMMYFUNCTION("""COMPUTED_VALUE"""),46125.0)</f>
        <v>46125</v>
      </c>
      <c r="C2040" s="165" t="str">
        <f>IFERROR(__xludf.DUMMYFUNCTION("""COMPUTED_VALUE"""),"KYAI KONTONG")</f>
        <v>KYAI KONTONG</v>
      </c>
      <c r="D2040" s="94">
        <f>IFERROR(__xludf.DUMMYFUNCTION("""COMPUTED_VALUE"""),25.0)</f>
        <v>25</v>
      </c>
    </row>
    <row r="2041">
      <c r="A2041" s="87" t="str">
        <f>IFERROR(__xludf.DUMMYFUNCTION("""COMPUTED_VALUE"""),"ITBISA-IC-UA741CN-DIP8")</f>
        <v>ITBISA-IC-UA741CN-DIP8</v>
      </c>
      <c r="B2041" s="165">
        <f>IFERROR(__xludf.DUMMYFUNCTION("""COMPUTED_VALUE"""),46128.0)</f>
        <v>46128</v>
      </c>
      <c r="C2041" s="165" t="str">
        <f>IFERROR(__xludf.DUMMYFUNCTION("""COMPUTED_VALUE"""),"KYAI KONTONG")</f>
        <v>KYAI KONTONG</v>
      </c>
      <c r="D2041" s="94">
        <f>IFERROR(__xludf.DUMMYFUNCTION("""COMPUTED_VALUE"""),100.0)</f>
        <v>100</v>
      </c>
    </row>
    <row r="2042">
      <c r="A2042" s="87" t="str">
        <f>IFERROR(__xludf.DUMMYFUNCTION("""COMPUTED_VALUE"""),"ITBISA-IC-UA741CN-DIP8")</f>
        <v>ITBISA-IC-UA741CN-DIP8</v>
      </c>
      <c r="B2042" s="165">
        <f>IFERROR(__xludf.DUMMYFUNCTION("""COMPUTED_VALUE"""),46133.0)</f>
        <v>46133</v>
      </c>
      <c r="C2042" s="165" t="str">
        <f>IFERROR(__xludf.DUMMYFUNCTION("""COMPUTED_VALUE"""),"KYAI KONTONG")</f>
        <v>KYAI KONTONG</v>
      </c>
      <c r="D2042" s="94">
        <f>IFERROR(__xludf.DUMMYFUNCTION("""COMPUTED_VALUE"""),10.0)</f>
        <v>10</v>
      </c>
    </row>
    <row r="2043">
      <c r="A2043" s="87" t="str">
        <f>IFERROR(__xludf.DUMMYFUNCTION("""COMPUTED_VALUE"""),"ITBISA-IC-UA741CN-DIP8")</f>
        <v>ITBISA-IC-UA741CN-DIP8</v>
      </c>
      <c r="B2043" s="165">
        <f>IFERROR(__xludf.DUMMYFUNCTION("""COMPUTED_VALUE"""),46133.0)</f>
        <v>46133</v>
      </c>
      <c r="C2043" s="165" t="str">
        <f>IFERROR(__xludf.DUMMYFUNCTION("""COMPUTED_VALUE"""),"KYAI KONTONG")</f>
        <v>KYAI KONTONG</v>
      </c>
      <c r="D2043" s="94">
        <f>IFERROR(__xludf.DUMMYFUNCTION("""COMPUTED_VALUE"""),25.0)</f>
        <v>25</v>
      </c>
    </row>
    <row r="2044">
      <c r="A2044" s="87" t="str">
        <f>IFERROR(__xludf.DUMMYFUNCTION("""COMPUTED_VALUE"""),"ITBISA-IC-UA741CN-DIP8")</f>
        <v>ITBISA-IC-UA741CN-DIP8</v>
      </c>
      <c r="B2044" s="165">
        <f>IFERROR(__xludf.DUMMYFUNCTION("""COMPUTED_VALUE"""),46134.0)</f>
        <v>46134</v>
      </c>
      <c r="C2044" s="165" t="str">
        <f>IFERROR(__xludf.DUMMYFUNCTION("""COMPUTED_VALUE"""),"KYAI KONTONG")</f>
        <v>KYAI KONTONG</v>
      </c>
      <c r="D2044" s="94">
        <f>IFERROR(__xludf.DUMMYFUNCTION("""COMPUTED_VALUE"""),25.0)</f>
        <v>25</v>
      </c>
    </row>
    <row r="2045">
      <c r="A2045" s="87" t="str">
        <f>IFERROR(__xludf.DUMMYFUNCTION("""COMPUTED_VALUE"""),"ITBISA-IC-UA741CN-DIP8")</f>
        <v>ITBISA-IC-UA741CN-DIP8</v>
      </c>
      <c r="B2045" s="165">
        <f>IFERROR(__xludf.DUMMYFUNCTION("""COMPUTED_VALUE"""),46135.0)</f>
        <v>46135</v>
      </c>
      <c r="C2045" s="165" t="str">
        <f>IFERROR(__xludf.DUMMYFUNCTION("""COMPUTED_VALUE"""),"KYAI KONTONG")</f>
        <v>KYAI KONTONG</v>
      </c>
      <c r="D2045" s="94">
        <f>IFERROR(__xludf.DUMMYFUNCTION("""COMPUTED_VALUE"""),10.0)</f>
        <v>10</v>
      </c>
    </row>
    <row r="2046">
      <c r="A2046" s="87" t="str">
        <f>IFERROR(__xludf.DUMMYFUNCTION("""COMPUTED_VALUE"""),"ITBISA-IC-UA741CN-DIP8")</f>
        <v>ITBISA-IC-UA741CN-DIP8</v>
      </c>
      <c r="B2046" s="165">
        <f>IFERROR(__xludf.DUMMYFUNCTION("""COMPUTED_VALUE"""),46137.0)</f>
        <v>46137</v>
      </c>
      <c r="C2046" s="165" t="str">
        <f>IFERROR(__xludf.DUMMYFUNCTION("""COMPUTED_VALUE"""),"KYAI KONTONG")</f>
        <v>KYAI KONTONG</v>
      </c>
      <c r="D2046" s="94">
        <f>IFERROR(__xludf.DUMMYFUNCTION("""COMPUTED_VALUE"""),8.0)</f>
        <v>8</v>
      </c>
    </row>
    <row r="2047">
      <c r="A2047" s="87" t="str">
        <f>IFERROR(__xludf.DUMMYFUNCTION("""COMPUTED_VALUE"""),"ITBISA-IC-UA741CN-DIP8")</f>
        <v>ITBISA-IC-UA741CN-DIP8</v>
      </c>
      <c r="B2047" s="165">
        <f>IFERROR(__xludf.DUMMYFUNCTION("""COMPUTED_VALUE"""),46139.0)</f>
        <v>46139</v>
      </c>
      <c r="C2047" s="165" t="str">
        <f>IFERROR(__xludf.DUMMYFUNCTION("""COMPUTED_VALUE"""),"KYAI KONTONG")</f>
        <v>KYAI KONTONG</v>
      </c>
      <c r="D2047" s="94">
        <f>IFERROR(__xludf.DUMMYFUNCTION("""COMPUTED_VALUE"""),2.0)</f>
        <v>2</v>
      </c>
    </row>
    <row r="2048">
      <c r="A2048" s="87" t="str">
        <f>IFERROR(__xludf.DUMMYFUNCTION("""COMPUTED_VALUE"""),"ITBISA-IC-UA741CN-DIP8")</f>
        <v>ITBISA-IC-UA741CN-DIP8</v>
      </c>
      <c r="B2048" s="165">
        <f>IFERROR(__xludf.DUMMYFUNCTION("""COMPUTED_VALUE"""),46139.0)</f>
        <v>46139</v>
      </c>
      <c r="C2048" s="165" t="str">
        <f>IFERROR(__xludf.DUMMYFUNCTION("""COMPUTED_VALUE"""),"KYAI KONTONG")</f>
        <v>KYAI KONTONG</v>
      </c>
      <c r="D2048" s="94">
        <f>IFERROR(__xludf.DUMMYFUNCTION("""COMPUTED_VALUE"""),10.0)</f>
        <v>10</v>
      </c>
    </row>
    <row r="2049">
      <c r="A2049" s="87" t="str">
        <f>IFERROR(__xludf.DUMMYFUNCTION("""COMPUTED_VALUE"""),"ITBISA-IC-UA741CN-DIP8")</f>
        <v>ITBISA-IC-UA741CN-DIP8</v>
      </c>
      <c r="B2049" s="165">
        <f>IFERROR(__xludf.DUMMYFUNCTION("""COMPUTED_VALUE"""),46140.0)</f>
        <v>46140</v>
      </c>
      <c r="C2049" s="165" t="str">
        <f>IFERROR(__xludf.DUMMYFUNCTION("""COMPUTED_VALUE"""),"KYAI KONTONG")</f>
        <v>KYAI KONTONG</v>
      </c>
      <c r="D2049" s="94">
        <f>IFERROR(__xludf.DUMMYFUNCTION("""COMPUTED_VALUE"""),25.0)</f>
        <v>25</v>
      </c>
    </row>
    <row r="2050">
      <c r="A2050" s="87" t="str">
        <f>IFERROR(__xludf.DUMMYFUNCTION("""COMPUTED_VALUE"""),"ITBISA-IC-UA741CN-DIP8")</f>
        <v>ITBISA-IC-UA741CN-DIP8</v>
      </c>
      <c r="B2050" s="165">
        <f>IFERROR(__xludf.DUMMYFUNCTION("""COMPUTED_VALUE"""),46142.0)</f>
        <v>46142</v>
      </c>
      <c r="C2050" s="165" t="str">
        <f>IFERROR(__xludf.DUMMYFUNCTION("""COMPUTED_VALUE"""),"KYAI KONTONG")</f>
        <v>KYAI KONTONG</v>
      </c>
      <c r="D2050" s="94">
        <f>IFERROR(__xludf.DUMMYFUNCTION("""COMPUTED_VALUE"""),5.0)</f>
        <v>5</v>
      </c>
    </row>
    <row r="2051">
      <c r="A2051" s="87" t="str">
        <f>IFERROR(__xludf.DUMMYFUNCTION("""COMPUTED_VALUE"""),"ITBISA-IC-UA741CN-DIP8")</f>
        <v>ITBISA-IC-UA741CN-DIP8</v>
      </c>
      <c r="B2051" s="165">
        <f>IFERROR(__xludf.DUMMYFUNCTION("""COMPUTED_VALUE"""),46142.0)</f>
        <v>46142</v>
      </c>
      <c r="C2051" s="165" t="str">
        <f>IFERROR(__xludf.DUMMYFUNCTION("""COMPUTED_VALUE"""),"KYAI KONTONG")</f>
        <v>KYAI KONTONG</v>
      </c>
      <c r="D2051" s="94">
        <f>IFERROR(__xludf.DUMMYFUNCTION("""COMPUTED_VALUE"""),20.0)</f>
        <v>20</v>
      </c>
    </row>
    <row r="2052">
      <c r="A2052" s="87" t="str">
        <f>IFERROR(__xludf.DUMMYFUNCTION("""COMPUTED_VALUE"""),"ITBISA-IC-UA741CN-DIP8")</f>
        <v>ITBISA-IC-UA741CN-DIP8</v>
      </c>
      <c r="B2052" s="165">
        <f>IFERROR(__xludf.DUMMYFUNCTION("""COMPUTED_VALUE"""),46144.0)</f>
        <v>46144</v>
      </c>
      <c r="C2052" s="165" t="str">
        <f>IFERROR(__xludf.DUMMYFUNCTION("""COMPUTED_VALUE"""),"KYAI KONTONG")</f>
        <v>KYAI KONTONG</v>
      </c>
      <c r="D2052" s="94">
        <f>IFERROR(__xludf.DUMMYFUNCTION("""COMPUTED_VALUE"""),5.0)</f>
        <v>5</v>
      </c>
    </row>
    <row r="2053">
      <c r="A2053" s="87" t="str">
        <f>IFERROR(__xludf.DUMMYFUNCTION("""COMPUTED_VALUE"""),"ITBISA-IC-UA741CN-DIP8")</f>
        <v>ITBISA-IC-UA741CN-DIP8</v>
      </c>
      <c r="B2053" s="165">
        <f>IFERROR(__xludf.DUMMYFUNCTION("""COMPUTED_VALUE"""),46144.0)</f>
        <v>46144</v>
      </c>
      <c r="C2053" s="165" t="str">
        <f>IFERROR(__xludf.DUMMYFUNCTION("""COMPUTED_VALUE"""),"KYAI KONTONG")</f>
        <v>KYAI KONTONG</v>
      </c>
      <c r="D2053" s="94">
        <f>IFERROR(__xludf.DUMMYFUNCTION("""COMPUTED_VALUE"""),10.0)</f>
        <v>10</v>
      </c>
    </row>
    <row r="2054">
      <c r="A2054" s="87" t="str">
        <f>IFERROR(__xludf.DUMMYFUNCTION("""COMPUTED_VALUE"""),"ITBISA-IC-UA741CN-DIP8")</f>
        <v>ITBISA-IC-UA741CN-DIP8</v>
      </c>
      <c r="B2054" s="165">
        <f>IFERROR(__xludf.DUMMYFUNCTION("""COMPUTED_VALUE"""),46144.0)</f>
        <v>46144</v>
      </c>
      <c r="C2054" s="165" t="str">
        <f>IFERROR(__xludf.DUMMYFUNCTION("""COMPUTED_VALUE"""),"KYAI KONTONG")</f>
        <v>KYAI KONTONG</v>
      </c>
      <c r="D2054" s="94">
        <f>IFERROR(__xludf.DUMMYFUNCTION("""COMPUTED_VALUE"""),100.0)</f>
        <v>100</v>
      </c>
    </row>
    <row r="2055">
      <c r="A2055" s="87" t="str">
        <f>IFERROR(__xludf.DUMMYFUNCTION("""COMPUTED_VALUE"""),"ITBISA-IC-UA741CN-DIP8")</f>
        <v>ITBISA-IC-UA741CN-DIP8</v>
      </c>
      <c r="B2055" s="165">
        <f>IFERROR(__xludf.DUMMYFUNCTION("""COMPUTED_VALUE"""),46145.0)</f>
        <v>46145</v>
      </c>
      <c r="C2055" s="165" t="str">
        <f>IFERROR(__xludf.DUMMYFUNCTION("""COMPUTED_VALUE"""),"KYAI KONTONG")</f>
        <v>KYAI KONTONG</v>
      </c>
      <c r="D2055" s="94">
        <f>IFERROR(__xludf.DUMMYFUNCTION("""COMPUTED_VALUE"""),4.0)</f>
        <v>4</v>
      </c>
    </row>
    <row r="2056">
      <c r="A2056" s="87" t="str">
        <f>IFERROR(__xludf.DUMMYFUNCTION("""COMPUTED_VALUE"""),"ITBISA-IC-UA741CN-DIP8")</f>
        <v>ITBISA-IC-UA741CN-DIP8</v>
      </c>
      <c r="B2056" s="165">
        <f>IFERROR(__xludf.DUMMYFUNCTION("""COMPUTED_VALUE"""),46147.0)</f>
        <v>46147</v>
      </c>
      <c r="C2056" s="165" t="str">
        <f>IFERROR(__xludf.DUMMYFUNCTION("""COMPUTED_VALUE"""),"KYAI KONTONG")</f>
        <v>KYAI KONTONG</v>
      </c>
      <c r="D2056" s="94">
        <f>IFERROR(__xludf.DUMMYFUNCTION("""COMPUTED_VALUE"""),15.0)</f>
        <v>15</v>
      </c>
    </row>
    <row r="2057">
      <c r="A2057" s="87" t="str">
        <f>IFERROR(__xludf.DUMMYFUNCTION("""COMPUTED_VALUE"""),"ITBISA-IC-UA741CN-DIP8")</f>
        <v>ITBISA-IC-UA741CN-DIP8</v>
      </c>
      <c r="B2057" s="165">
        <f>IFERROR(__xludf.DUMMYFUNCTION("""COMPUTED_VALUE"""),46147.0)</f>
        <v>46147</v>
      </c>
      <c r="C2057" s="165" t="str">
        <f>IFERROR(__xludf.DUMMYFUNCTION("""COMPUTED_VALUE"""),"KYAI KONTONG")</f>
        <v>KYAI KONTONG</v>
      </c>
      <c r="D2057" s="94">
        <f>IFERROR(__xludf.DUMMYFUNCTION("""COMPUTED_VALUE"""),15.0)</f>
        <v>15</v>
      </c>
    </row>
    <row r="2058">
      <c r="A2058" s="87" t="str">
        <f>IFERROR(__xludf.DUMMYFUNCTION("""COMPUTED_VALUE"""),"ITBISA-IC-UA741CN-DIP8")</f>
        <v>ITBISA-IC-UA741CN-DIP8</v>
      </c>
      <c r="B2058" s="165">
        <f>IFERROR(__xludf.DUMMYFUNCTION("""COMPUTED_VALUE"""),46148.0)</f>
        <v>46148</v>
      </c>
      <c r="C2058" s="165" t="str">
        <f>IFERROR(__xludf.DUMMYFUNCTION("""COMPUTED_VALUE"""),"KYAI KONTONG")</f>
        <v>KYAI KONTONG</v>
      </c>
      <c r="D2058" s="94">
        <f>IFERROR(__xludf.DUMMYFUNCTION("""COMPUTED_VALUE"""),5.0)</f>
        <v>5</v>
      </c>
    </row>
    <row r="2059">
      <c r="A2059" s="87" t="str">
        <f>IFERROR(__xludf.DUMMYFUNCTION("""COMPUTED_VALUE"""),"ITBISA-IC-UA741CN-DIP8")</f>
        <v>ITBISA-IC-UA741CN-DIP8</v>
      </c>
      <c r="B2059" s="165">
        <f>IFERROR(__xludf.DUMMYFUNCTION("""COMPUTED_VALUE"""),46149.0)</f>
        <v>46149</v>
      </c>
      <c r="C2059" s="165" t="str">
        <f>IFERROR(__xludf.DUMMYFUNCTION("""COMPUTED_VALUE"""),"KYAI KONTONG")</f>
        <v>KYAI KONTONG</v>
      </c>
      <c r="D2059" s="94">
        <f>IFERROR(__xludf.DUMMYFUNCTION("""COMPUTED_VALUE"""),10.0)</f>
        <v>10</v>
      </c>
    </row>
    <row r="2060">
      <c r="A2060" s="87" t="str">
        <f>IFERROR(__xludf.DUMMYFUNCTION("""COMPUTED_VALUE"""),"ITBISA-IC-UA741CN-DIP8")</f>
        <v>ITBISA-IC-UA741CN-DIP8</v>
      </c>
      <c r="B2060" s="165">
        <f>IFERROR(__xludf.DUMMYFUNCTION("""COMPUTED_VALUE"""),46151.0)</f>
        <v>46151</v>
      </c>
      <c r="C2060" s="165" t="str">
        <f>IFERROR(__xludf.DUMMYFUNCTION("""COMPUTED_VALUE"""),"KYAI KONTONG")</f>
        <v>KYAI KONTONG</v>
      </c>
      <c r="D2060" s="94">
        <f>IFERROR(__xludf.DUMMYFUNCTION("""COMPUTED_VALUE"""),5.0)</f>
        <v>5</v>
      </c>
    </row>
    <row r="2061">
      <c r="A2061" s="87" t="str">
        <f>IFERROR(__xludf.DUMMYFUNCTION("""COMPUTED_VALUE"""),"ITBISA-IC-UA741CN-DIP8")</f>
        <v>ITBISA-IC-UA741CN-DIP8</v>
      </c>
      <c r="B2061" s="165">
        <f>IFERROR(__xludf.DUMMYFUNCTION("""COMPUTED_VALUE"""),46152.0)</f>
        <v>46152</v>
      </c>
      <c r="C2061" s="165" t="str">
        <f>IFERROR(__xludf.DUMMYFUNCTION("""COMPUTED_VALUE"""),"KYAI KONTONG")</f>
        <v>KYAI KONTONG</v>
      </c>
      <c r="D2061" s="94">
        <f>IFERROR(__xludf.DUMMYFUNCTION("""COMPUTED_VALUE"""),10.0)</f>
        <v>10</v>
      </c>
    </row>
    <row r="2062">
      <c r="A2062" s="87" t="str">
        <f>IFERROR(__xludf.DUMMYFUNCTION("""COMPUTED_VALUE"""),"ITBISA-IC-UA741CN-DIP8")</f>
        <v>ITBISA-IC-UA741CN-DIP8</v>
      </c>
      <c r="B2062" s="165">
        <f>IFERROR(__xludf.DUMMYFUNCTION("""COMPUTED_VALUE"""),46154.0)</f>
        <v>46154</v>
      </c>
      <c r="C2062" s="165" t="str">
        <f>IFERROR(__xludf.DUMMYFUNCTION("""COMPUTED_VALUE"""),"KYAI KONTONG")</f>
        <v>KYAI KONTONG</v>
      </c>
      <c r="D2062" s="94">
        <f>IFERROR(__xludf.DUMMYFUNCTION("""COMPUTED_VALUE"""),6.0)</f>
        <v>6</v>
      </c>
    </row>
    <row r="2063">
      <c r="A2063" s="87" t="str">
        <f>IFERROR(__xludf.DUMMYFUNCTION("""COMPUTED_VALUE"""),"ITBISA-IC-UA741CN-DIP8")</f>
        <v>ITBISA-IC-UA741CN-DIP8</v>
      </c>
      <c r="B2063" s="165">
        <f>IFERROR(__xludf.DUMMYFUNCTION("""COMPUTED_VALUE"""),46156.0)</f>
        <v>46156</v>
      </c>
      <c r="C2063" s="165" t="str">
        <f>IFERROR(__xludf.DUMMYFUNCTION("""COMPUTED_VALUE"""),"KYAI KONTONG")</f>
        <v>KYAI KONTONG</v>
      </c>
      <c r="D2063" s="94">
        <f>IFERROR(__xludf.DUMMYFUNCTION("""COMPUTED_VALUE"""),7.0)</f>
        <v>7</v>
      </c>
    </row>
    <row r="2064">
      <c r="A2064" s="87" t="str">
        <f>IFERROR(__xludf.DUMMYFUNCTION("""COMPUTED_VALUE"""),"ITBISA-IC-UA741CN-DIP8")</f>
        <v>ITBISA-IC-UA741CN-DIP8</v>
      </c>
      <c r="B2064" s="165">
        <f>IFERROR(__xludf.DUMMYFUNCTION("""COMPUTED_VALUE"""),46157.0)</f>
        <v>46157</v>
      </c>
      <c r="C2064" s="165" t="str">
        <f>IFERROR(__xludf.DUMMYFUNCTION("""COMPUTED_VALUE"""),"KYAI KONTONG")</f>
        <v>KYAI KONTONG</v>
      </c>
      <c r="D2064" s="94">
        <f>IFERROR(__xludf.DUMMYFUNCTION("""COMPUTED_VALUE"""),50.0)</f>
        <v>50</v>
      </c>
    </row>
    <row r="2065">
      <c r="A2065" s="87" t="str">
        <f>IFERROR(__xludf.DUMMYFUNCTION("""COMPUTED_VALUE"""),"ITBISA-IC-UA741CN-DIP8")</f>
        <v>ITBISA-IC-UA741CN-DIP8</v>
      </c>
      <c r="B2065" s="165">
        <f>IFERROR(__xludf.DUMMYFUNCTION("""COMPUTED_VALUE"""),46158.0)</f>
        <v>46158</v>
      </c>
      <c r="C2065" s="165" t="str">
        <f>IFERROR(__xludf.DUMMYFUNCTION("""COMPUTED_VALUE"""),"KYAI KONTONG")</f>
        <v>KYAI KONTONG</v>
      </c>
      <c r="D2065" s="94">
        <f>IFERROR(__xludf.DUMMYFUNCTION("""COMPUTED_VALUE"""),20.0)</f>
        <v>20</v>
      </c>
    </row>
    <row r="2066">
      <c r="A2066" s="87" t="str">
        <f>IFERROR(__xludf.DUMMYFUNCTION("""COMPUTED_VALUE"""),"ITBISA-IC-UA741CN-DIP8")</f>
        <v>ITBISA-IC-UA741CN-DIP8</v>
      </c>
      <c r="B2066" s="165">
        <f>IFERROR(__xludf.DUMMYFUNCTION("""COMPUTED_VALUE"""),46159.0)</f>
        <v>46159</v>
      </c>
      <c r="C2066" s="165" t="str">
        <f>IFERROR(__xludf.DUMMYFUNCTION("""COMPUTED_VALUE"""),"KYAI KONTONG")</f>
        <v>KYAI KONTONG</v>
      </c>
      <c r="D2066" s="94">
        <f>IFERROR(__xludf.DUMMYFUNCTION("""COMPUTED_VALUE"""),5.0)</f>
        <v>5</v>
      </c>
    </row>
    <row r="2067">
      <c r="A2067" s="87" t="str">
        <f>IFERROR(__xludf.DUMMYFUNCTION("""COMPUTED_VALUE"""),"ITBISA-IC-UA741CN-DIP8")</f>
        <v>ITBISA-IC-UA741CN-DIP8</v>
      </c>
      <c r="B2067" s="165">
        <f>IFERROR(__xludf.DUMMYFUNCTION("""COMPUTED_VALUE"""),46160.0)</f>
        <v>46160</v>
      </c>
      <c r="C2067" s="165" t="str">
        <f>IFERROR(__xludf.DUMMYFUNCTION("""COMPUTED_VALUE"""),"KYAI KONTONG")</f>
        <v>KYAI KONTONG</v>
      </c>
      <c r="D2067" s="94">
        <f>IFERROR(__xludf.DUMMYFUNCTION("""COMPUTED_VALUE"""),50.0)</f>
        <v>50</v>
      </c>
    </row>
    <row r="2068">
      <c r="A2068" s="87" t="str">
        <f>IFERROR(__xludf.DUMMYFUNCTION("""COMPUTED_VALUE"""),"ITBISA-IC-UA741CN-DIP8")</f>
        <v>ITBISA-IC-UA741CN-DIP8</v>
      </c>
      <c r="B2068" s="165">
        <f>IFERROR(__xludf.DUMMYFUNCTION("""COMPUTED_VALUE"""),46164.0)</f>
        <v>46164</v>
      </c>
      <c r="C2068" s="165" t="str">
        <f>IFERROR(__xludf.DUMMYFUNCTION("""COMPUTED_VALUE"""),"KYAI KONTONG")</f>
        <v>KYAI KONTONG</v>
      </c>
      <c r="D2068" s="94">
        <f>IFERROR(__xludf.DUMMYFUNCTION("""COMPUTED_VALUE"""),10.0)</f>
        <v>10</v>
      </c>
    </row>
    <row r="2069">
      <c r="A2069" s="87" t="str">
        <f>IFERROR(__xludf.DUMMYFUNCTION("""COMPUTED_VALUE"""),"ITBISA-IC-UA741CN-DIP8")</f>
        <v>ITBISA-IC-UA741CN-DIP8</v>
      </c>
      <c r="B2069" s="165">
        <f>IFERROR(__xludf.DUMMYFUNCTION("""COMPUTED_VALUE"""),46168.0)</f>
        <v>46168</v>
      </c>
      <c r="C2069" s="165" t="str">
        <f>IFERROR(__xludf.DUMMYFUNCTION("""COMPUTED_VALUE"""),"KYAI KONTONG")</f>
        <v>KYAI KONTONG</v>
      </c>
      <c r="D2069" s="94">
        <f>IFERROR(__xludf.DUMMYFUNCTION("""COMPUTED_VALUE"""),10.0)</f>
        <v>10</v>
      </c>
    </row>
    <row r="2070">
      <c r="A2070" s="87" t="str">
        <f>IFERROR(__xludf.DUMMYFUNCTION("""COMPUTED_VALUE"""),"ITBISA-IC-UA741CN-DIP8")</f>
        <v>ITBISA-IC-UA741CN-DIP8</v>
      </c>
      <c r="B2070" s="165">
        <f>IFERROR(__xludf.DUMMYFUNCTION("""COMPUTED_VALUE"""),46168.0)</f>
        <v>46168</v>
      </c>
      <c r="C2070" s="165" t="str">
        <f>IFERROR(__xludf.DUMMYFUNCTION("""COMPUTED_VALUE"""),"KYAI KONTONG")</f>
        <v>KYAI KONTONG</v>
      </c>
      <c r="D2070" s="94">
        <f>IFERROR(__xludf.DUMMYFUNCTION("""COMPUTED_VALUE"""),10.0)</f>
        <v>10</v>
      </c>
    </row>
    <row r="2071">
      <c r="A2071" s="87" t="str">
        <f>IFERROR(__xludf.DUMMYFUNCTION("""COMPUTED_VALUE"""),"ITBISA-IC-UA741CN-DIP8")</f>
        <v>ITBISA-IC-UA741CN-DIP8</v>
      </c>
      <c r="B2071" s="165">
        <f>IFERROR(__xludf.DUMMYFUNCTION("""COMPUTED_VALUE"""),46170.0)</f>
        <v>46170</v>
      </c>
      <c r="C2071" s="165" t="str">
        <f>IFERROR(__xludf.DUMMYFUNCTION("""COMPUTED_VALUE"""),"KYAI KONTONG")</f>
        <v>KYAI KONTONG</v>
      </c>
      <c r="D2071" s="94">
        <f>IFERROR(__xludf.DUMMYFUNCTION("""COMPUTED_VALUE"""),5.0)</f>
        <v>5</v>
      </c>
    </row>
    <row r="2072">
      <c r="A2072" s="87" t="str">
        <f>IFERROR(__xludf.DUMMYFUNCTION("""COMPUTED_VALUE"""),"ITBISA-IC-UA741CN-DIP8")</f>
        <v>ITBISA-IC-UA741CN-DIP8</v>
      </c>
      <c r="B2072" s="165">
        <f>IFERROR(__xludf.DUMMYFUNCTION("""COMPUTED_VALUE"""),46170.0)</f>
        <v>46170</v>
      </c>
      <c r="C2072" s="165" t="str">
        <f>IFERROR(__xludf.DUMMYFUNCTION("""COMPUTED_VALUE"""),"KYAI KONTONG")</f>
        <v>KYAI KONTONG</v>
      </c>
      <c r="D2072" s="94">
        <f>IFERROR(__xludf.DUMMYFUNCTION("""COMPUTED_VALUE"""),30.0)</f>
        <v>30</v>
      </c>
    </row>
    <row r="2073">
      <c r="A2073" s="87" t="str">
        <f>IFERROR(__xludf.DUMMYFUNCTION("""COMPUTED_VALUE"""),"ITBISA-IC-UA741CN-DIP8")</f>
        <v>ITBISA-IC-UA741CN-DIP8</v>
      </c>
      <c r="B2073" s="165">
        <f>IFERROR(__xludf.DUMMYFUNCTION("""COMPUTED_VALUE"""),46171.0)</f>
        <v>46171</v>
      </c>
      <c r="C2073" s="165" t="str">
        <f>IFERROR(__xludf.DUMMYFUNCTION("""COMPUTED_VALUE"""),"KYAI KONTONG")</f>
        <v>KYAI KONTONG</v>
      </c>
      <c r="D2073" s="94">
        <f>IFERROR(__xludf.DUMMYFUNCTION("""COMPUTED_VALUE"""),50.0)</f>
        <v>50</v>
      </c>
    </row>
    <row r="2074">
      <c r="A2074" s="87" t="str">
        <f>IFERROR(__xludf.DUMMYFUNCTION("""COMPUTED_VALUE"""),"ITBISA-IC-UA741CN-DIP8")</f>
        <v>ITBISA-IC-UA741CN-DIP8</v>
      </c>
      <c r="B2074" s="165">
        <f>IFERROR(__xludf.DUMMYFUNCTION("""COMPUTED_VALUE"""),46171.0)</f>
        <v>46171</v>
      </c>
      <c r="C2074" s="165" t="str">
        <f>IFERROR(__xludf.DUMMYFUNCTION("""COMPUTED_VALUE"""),"KYAI KONTONG")</f>
        <v>KYAI KONTONG</v>
      </c>
      <c r="D2074" s="94">
        <f>IFERROR(__xludf.DUMMYFUNCTION("""COMPUTED_VALUE"""),100.0)</f>
        <v>100</v>
      </c>
    </row>
    <row r="2075">
      <c r="A2075" s="87" t="str">
        <f>IFERROR(__xludf.DUMMYFUNCTION("""COMPUTED_VALUE"""),"ITBISA-IC-UA741CN-DIP8")</f>
        <v>ITBISA-IC-UA741CN-DIP8</v>
      </c>
      <c r="B2075" s="165">
        <f>IFERROR(__xludf.DUMMYFUNCTION("""COMPUTED_VALUE"""),46171.0)</f>
        <v>46171</v>
      </c>
      <c r="C2075" s="165" t="str">
        <f>IFERROR(__xludf.DUMMYFUNCTION("""COMPUTED_VALUE"""),"KYAI KONTONG")</f>
        <v>KYAI KONTONG</v>
      </c>
      <c r="D2075" s="94">
        <f>IFERROR(__xludf.DUMMYFUNCTION("""COMPUTED_VALUE"""),400.0)</f>
        <v>400</v>
      </c>
    </row>
    <row r="2076">
      <c r="A2076" s="87" t="str">
        <f>IFERROR(__xludf.DUMMYFUNCTION("""COMPUTED_VALUE"""),"ITBISA-IC-UA741CN-DIP8")</f>
        <v>ITBISA-IC-UA741CN-DIP8</v>
      </c>
      <c r="B2076" s="165">
        <f>IFERROR(__xludf.DUMMYFUNCTION("""COMPUTED_VALUE"""),46172.0)</f>
        <v>46172</v>
      </c>
      <c r="C2076" s="165" t="str">
        <f>IFERROR(__xludf.DUMMYFUNCTION("""COMPUTED_VALUE"""),"KYAI KONTONG")</f>
        <v>KYAI KONTONG</v>
      </c>
      <c r="D2076" s="94">
        <f>IFERROR(__xludf.DUMMYFUNCTION("""COMPUTED_VALUE"""),20.0)</f>
        <v>20</v>
      </c>
    </row>
    <row r="2077">
      <c r="A2077" s="87" t="str">
        <f>IFERROR(__xludf.DUMMYFUNCTION("""COMPUTED_VALUE"""),"ITBISA-IC-UA741CN-DIP8")</f>
        <v>ITBISA-IC-UA741CN-DIP8</v>
      </c>
      <c r="B2077" s="165">
        <f>IFERROR(__xludf.DUMMYFUNCTION("""COMPUTED_VALUE"""),46173.0)</f>
        <v>46173</v>
      </c>
      <c r="C2077" s="165" t="str">
        <f>IFERROR(__xludf.DUMMYFUNCTION("""COMPUTED_VALUE"""),"KYAI KONTONG")</f>
        <v>KYAI KONTONG</v>
      </c>
      <c r="D2077" s="94">
        <f>IFERROR(__xludf.DUMMYFUNCTION("""COMPUTED_VALUE"""),10.0)</f>
        <v>10</v>
      </c>
    </row>
    <row r="2078">
      <c r="A2078" s="87" t="str">
        <f>IFERROR(__xludf.DUMMYFUNCTION("""COMPUTED_VALUE"""),"ITBISA-IC-UA741CN-DIP8")</f>
        <v>ITBISA-IC-UA741CN-DIP8</v>
      </c>
      <c r="B2078" s="165">
        <f>IFERROR(__xludf.DUMMYFUNCTION("""COMPUTED_VALUE"""),46175.0)</f>
        <v>46175</v>
      </c>
      <c r="C2078" s="165" t="str">
        <f>IFERROR(__xludf.DUMMYFUNCTION("""COMPUTED_VALUE"""),"KYAI KONTONG")</f>
        <v>KYAI KONTONG</v>
      </c>
      <c r="D2078" s="94">
        <f>IFERROR(__xludf.DUMMYFUNCTION("""COMPUTED_VALUE"""),5.0)</f>
        <v>5</v>
      </c>
    </row>
    <row r="2079">
      <c r="A2079" s="87" t="str">
        <f>IFERROR(__xludf.DUMMYFUNCTION("""COMPUTED_VALUE"""),"ITBISA-IC-UA741CN-DIP8")</f>
        <v>ITBISA-IC-UA741CN-DIP8</v>
      </c>
      <c r="B2079" s="165">
        <f>IFERROR(__xludf.DUMMYFUNCTION("""COMPUTED_VALUE"""),46175.0)</f>
        <v>46175</v>
      </c>
      <c r="C2079" s="165" t="str">
        <f>IFERROR(__xludf.DUMMYFUNCTION("""COMPUTED_VALUE"""),"KYAI KONTONG")</f>
        <v>KYAI KONTONG</v>
      </c>
      <c r="D2079" s="94">
        <f>IFERROR(__xludf.DUMMYFUNCTION("""COMPUTED_VALUE"""),10.0)</f>
        <v>10</v>
      </c>
    </row>
    <row r="2080">
      <c r="A2080" s="87" t="str">
        <f>IFERROR(__xludf.DUMMYFUNCTION("""COMPUTED_VALUE"""),"ITBISA-IC-UA741CN-DIP8")</f>
        <v>ITBISA-IC-UA741CN-DIP8</v>
      </c>
      <c r="B2080" s="165">
        <f>IFERROR(__xludf.DUMMYFUNCTION("""COMPUTED_VALUE"""),46176.0)</f>
        <v>46176</v>
      </c>
      <c r="C2080" s="165" t="str">
        <f>IFERROR(__xludf.DUMMYFUNCTION("""COMPUTED_VALUE"""),"KYAI KONTONG")</f>
        <v>KYAI KONTONG</v>
      </c>
      <c r="D2080" s="94">
        <f>IFERROR(__xludf.DUMMYFUNCTION("""COMPUTED_VALUE"""),5.0)</f>
        <v>5</v>
      </c>
    </row>
    <row r="2081">
      <c r="A2081" s="87" t="str">
        <f>IFERROR(__xludf.DUMMYFUNCTION("""COMPUTED_VALUE"""),"ITBISA-IC-UA741CN-DIP8")</f>
        <v>ITBISA-IC-UA741CN-DIP8</v>
      </c>
      <c r="B2081" s="165">
        <f>IFERROR(__xludf.DUMMYFUNCTION("""COMPUTED_VALUE"""),46176.0)</f>
        <v>46176</v>
      </c>
      <c r="C2081" s="165" t="str">
        <f>IFERROR(__xludf.DUMMYFUNCTION("""COMPUTED_VALUE"""),"KYAI KONTONG")</f>
        <v>KYAI KONTONG</v>
      </c>
      <c r="D2081" s="94">
        <f>IFERROR(__xludf.DUMMYFUNCTION("""COMPUTED_VALUE"""),20.0)</f>
        <v>20</v>
      </c>
    </row>
    <row r="2082">
      <c r="A2082" s="87" t="str">
        <f>IFERROR(__xludf.DUMMYFUNCTION("""COMPUTED_VALUE"""),"ITBISA-IC-UA741CN-DIP8")</f>
        <v>ITBISA-IC-UA741CN-DIP8</v>
      </c>
      <c r="B2082" s="165">
        <f>IFERROR(__xludf.DUMMYFUNCTION("""COMPUTED_VALUE"""),46179.0)</f>
        <v>46179</v>
      </c>
      <c r="C2082" s="165" t="str">
        <f>IFERROR(__xludf.DUMMYFUNCTION("""COMPUTED_VALUE"""),"KYAI KONTONG")</f>
        <v>KYAI KONTONG</v>
      </c>
      <c r="D2082" s="94">
        <f>IFERROR(__xludf.DUMMYFUNCTION("""COMPUTED_VALUE"""),5.0)</f>
        <v>5</v>
      </c>
    </row>
    <row r="2083">
      <c r="A2083" s="87" t="str">
        <f>IFERROR(__xludf.DUMMYFUNCTION("""COMPUTED_VALUE"""),"ITBISA-IC-UA741CN-DIP8")</f>
        <v>ITBISA-IC-UA741CN-DIP8</v>
      </c>
      <c r="B2083" s="165">
        <f>IFERROR(__xludf.DUMMYFUNCTION("""COMPUTED_VALUE"""),46179.0)</f>
        <v>46179</v>
      </c>
      <c r="C2083" s="165" t="str">
        <f>IFERROR(__xludf.DUMMYFUNCTION("""COMPUTED_VALUE"""),"KYAI KONTONG")</f>
        <v>KYAI KONTONG</v>
      </c>
      <c r="D2083" s="94">
        <f>IFERROR(__xludf.DUMMYFUNCTION("""COMPUTED_VALUE"""),10.0)</f>
        <v>10</v>
      </c>
    </row>
    <row r="2084">
      <c r="A2084" s="87" t="str">
        <f>IFERROR(__xludf.DUMMYFUNCTION("""COMPUTED_VALUE"""),"ITBISA-IC-UA741CN-DIP8")</f>
        <v>ITBISA-IC-UA741CN-DIP8</v>
      </c>
      <c r="B2084" s="165">
        <f>IFERROR(__xludf.DUMMYFUNCTION("""COMPUTED_VALUE"""),46182.0)</f>
        <v>46182</v>
      </c>
      <c r="C2084" s="165" t="str">
        <f>IFERROR(__xludf.DUMMYFUNCTION("""COMPUTED_VALUE"""),"KYAI KONTONG")</f>
        <v>KYAI KONTONG</v>
      </c>
      <c r="D2084" s="94">
        <f>IFERROR(__xludf.DUMMYFUNCTION("""COMPUTED_VALUE"""),30.0)</f>
        <v>30</v>
      </c>
    </row>
    <row r="2085">
      <c r="A2085" s="87" t="str">
        <f>IFERROR(__xludf.DUMMYFUNCTION("""COMPUTED_VALUE"""),"ITBISA-IC-UA741CN-DIP8")</f>
        <v>ITBISA-IC-UA741CN-DIP8</v>
      </c>
      <c r="B2085" s="165">
        <f>IFERROR(__xludf.DUMMYFUNCTION("""COMPUTED_VALUE"""),46184.0)</f>
        <v>46184</v>
      </c>
      <c r="C2085" s="165" t="str">
        <f>IFERROR(__xludf.DUMMYFUNCTION("""COMPUTED_VALUE"""),"KYAI KONTONG")</f>
        <v>KYAI KONTONG</v>
      </c>
      <c r="D2085" s="94">
        <f>IFERROR(__xludf.DUMMYFUNCTION("""COMPUTED_VALUE"""),10.0)</f>
        <v>10</v>
      </c>
    </row>
    <row r="2086">
      <c r="A2086" s="87" t="str">
        <f>IFERROR(__xludf.DUMMYFUNCTION("""COMPUTED_VALUE"""),"ITBISA-IC-UA741CN-DIP8")</f>
        <v>ITBISA-IC-UA741CN-DIP8</v>
      </c>
      <c r="B2086" s="165">
        <f>IFERROR(__xludf.DUMMYFUNCTION("""COMPUTED_VALUE"""),46185.0)</f>
        <v>46185</v>
      </c>
      <c r="C2086" s="165" t="str">
        <f>IFERROR(__xludf.DUMMYFUNCTION("""COMPUTED_VALUE"""),"KYAI KONTONG")</f>
        <v>KYAI KONTONG</v>
      </c>
      <c r="D2086" s="94">
        <f>IFERROR(__xludf.DUMMYFUNCTION("""COMPUTED_VALUE"""),10.0)</f>
        <v>10</v>
      </c>
    </row>
    <row r="2087">
      <c r="A2087" s="87" t="str">
        <f>IFERROR(__xludf.DUMMYFUNCTION("""COMPUTED_VALUE"""),"ITBISA-IC-UA741CN-DIP8")</f>
        <v>ITBISA-IC-UA741CN-DIP8</v>
      </c>
      <c r="B2087" s="165">
        <f>IFERROR(__xludf.DUMMYFUNCTION("""COMPUTED_VALUE"""),46185.0)</f>
        <v>46185</v>
      </c>
      <c r="C2087" s="165" t="str">
        <f>IFERROR(__xludf.DUMMYFUNCTION("""COMPUTED_VALUE"""),"KYAI KONTONG")</f>
        <v>KYAI KONTONG</v>
      </c>
      <c r="D2087" s="94">
        <f>IFERROR(__xludf.DUMMYFUNCTION("""COMPUTED_VALUE"""),10.0)</f>
        <v>10</v>
      </c>
    </row>
    <row r="2088">
      <c r="A2088" s="87" t="str">
        <f>IFERROR(__xludf.DUMMYFUNCTION("""COMPUTED_VALUE"""),"ITBISA-IC-UA741CN-DIP8")</f>
        <v>ITBISA-IC-UA741CN-DIP8</v>
      </c>
      <c r="B2088" s="165">
        <f>IFERROR(__xludf.DUMMYFUNCTION("""COMPUTED_VALUE"""),46185.0)</f>
        <v>46185</v>
      </c>
      <c r="C2088" s="165" t="str">
        <f>IFERROR(__xludf.DUMMYFUNCTION("""COMPUTED_VALUE"""),"KYAI KONTONG")</f>
        <v>KYAI KONTONG</v>
      </c>
      <c r="D2088" s="94">
        <f>IFERROR(__xludf.DUMMYFUNCTION("""COMPUTED_VALUE"""),10.0)</f>
        <v>10</v>
      </c>
    </row>
    <row r="2089">
      <c r="A2089" s="87" t="str">
        <f>IFERROR(__xludf.DUMMYFUNCTION("""COMPUTED_VALUE"""),"ITBISA-IC-UA741CN-DIP8")</f>
        <v>ITBISA-IC-UA741CN-DIP8</v>
      </c>
      <c r="B2089" s="165">
        <f>IFERROR(__xludf.DUMMYFUNCTION("""COMPUTED_VALUE"""),46187.0)</f>
        <v>46187</v>
      </c>
      <c r="C2089" s="165" t="str">
        <f>IFERROR(__xludf.DUMMYFUNCTION("""COMPUTED_VALUE"""),"KYAI KONTONG")</f>
        <v>KYAI KONTONG</v>
      </c>
      <c r="D2089" s="94">
        <f>IFERROR(__xludf.DUMMYFUNCTION("""COMPUTED_VALUE"""),300.0)</f>
        <v>300</v>
      </c>
    </row>
    <row r="2090">
      <c r="A2090" s="87" t="str">
        <f>IFERROR(__xludf.DUMMYFUNCTION("""COMPUTED_VALUE"""),"ITBISA-IC-UA741CN-DIP8")</f>
        <v>ITBISA-IC-UA741CN-DIP8</v>
      </c>
      <c r="B2090" s="165">
        <f>IFERROR(__xludf.DUMMYFUNCTION("""COMPUTED_VALUE"""),46188.0)</f>
        <v>46188</v>
      </c>
      <c r="C2090" s="165" t="str">
        <f>IFERROR(__xludf.DUMMYFUNCTION("""COMPUTED_VALUE"""),"KYAI KONTONG")</f>
        <v>KYAI KONTONG</v>
      </c>
      <c r="D2090" s="94">
        <f>IFERROR(__xludf.DUMMYFUNCTION("""COMPUTED_VALUE"""),50.0)</f>
        <v>50</v>
      </c>
    </row>
    <row r="2091">
      <c r="A2091" s="87" t="str">
        <f>IFERROR(__xludf.DUMMYFUNCTION("""COMPUTED_VALUE"""),"ITBISA-IC-UA741CN-DIP8")</f>
        <v>ITBISA-IC-UA741CN-DIP8</v>
      </c>
      <c r="B2091" s="165">
        <f>IFERROR(__xludf.DUMMYFUNCTION("""COMPUTED_VALUE"""),46189.0)</f>
        <v>46189</v>
      </c>
      <c r="C2091" s="165" t="str">
        <f>IFERROR(__xludf.DUMMYFUNCTION("""COMPUTED_VALUE"""),"KYAI KONTONG")</f>
        <v>KYAI KONTONG</v>
      </c>
      <c r="D2091" s="94">
        <f>IFERROR(__xludf.DUMMYFUNCTION("""COMPUTED_VALUE"""),5.0)</f>
        <v>5</v>
      </c>
    </row>
    <row r="2092">
      <c r="A2092" s="87" t="str">
        <f>IFERROR(__xludf.DUMMYFUNCTION("""COMPUTED_VALUE"""),"ITBISA-IC-UA741CN-DIP8")</f>
        <v>ITBISA-IC-UA741CN-DIP8</v>
      </c>
      <c r="B2092" s="165">
        <f>IFERROR(__xludf.DUMMYFUNCTION("""COMPUTED_VALUE"""),46190.0)</f>
        <v>46190</v>
      </c>
      <c r="C2092" s="165" t="str">
        <f>IFERROR(__xludf.DUMMYFUNCTION("""COMPUTED_VALUE"""),"KYAI KONTONG")</f>
        <v>KYAI KONTONG</v>
      </c>
      <c r="D2092" s="94">
        <f>IFERROR(__xludf.DUMMYFUNCTION("""COMPUTED_VALUE"""),10.0)</f>
        <v>10</v>
      </c>
    </row>
    <row r="2093">
      <c r="A2093" s="87" t="str">
        <f>IFERROR(__xludf.DUMMYFUNCTION("""COMPUTED_VALUE"""),"ITBISA-IC-UA741CN-DIP8")</f>
        <v>ITBISA-IC-UA741CN-DIP8</v>
      </c>
      <c r="B2093" s="165">
        <f>IFERROR(__xludf.DUMMYFUNCTION("""COMPUTED_VALUE"""),46191.0)</f>
        <v>46191</v>
      </c>
      <c r="C2093" s="165" t="str">
        <f>IFERROR(__xludf.DUMMYFUNCTION("""COMPUTED_VALUE"""),"KYAI KONTONG")</f>
        <v>KYAI KONTONG</v>
      </c>
      <c r="D2093" s="94">
        <f>IFERROR(__xludf.DUMMYFUNCTION("""COMPUTED_VALUE"""),5.0)</f>
        <v>5</v>
      </c>
    </row>
    <row r="2094">
      <c r="A2094" s="87" t="str">
        <f>IFERROR(__xludf.DUMMYFUNCTION("""COMPUTED_VALUE"""),"ITBISA-IC-UA741CN-DIP8")</f>
        <v>ITBISA-IC-UA741CN-DIP8</v>
      </c>
      <c r="B2094" s="165">
        <f>IFERROR(__xludf.DUMMYFUNCTION("""COMPUTED_VALUE"""),46191.0)</f>
        <v>46191</v>
      </c>
      <c r="C2094" s="165" t="str">
        <f>IFERROR(__xludf.DUMMYFUNCTION("""COMPUTED_VALUE"""),"KYAI KONTONG")</f>
        <v>KYAI KONTONG</v>
      </c>
      <c r="D2094" s="94">
        <f>IFERROR(__xludf.DUMMYFUNCTION("""COMPUTED_VALUE"""),30.0)</f>
        <v>30</v>
      </c>
    </row>
    <row r="2095">
      <c r="A2095" s="87" t="str">
        <f>IFERROR(__xludf.DUMMYFUNCTION("""COMPUTED_VALUE"""),"ITBISA-IC-UA741CN-DIP8")</f>
        <v>ITBISA-IC-UA741CN-DIP8</v>
      </c>
      <c r="B2095" s="165">
        <f>IFERROR(__xludf.DUMMYFUNCTION("""COMPUTED_VALUE"""),46192.0)</f>
        <v>46192</v>
      </c>
      <c r="C2095" s="165" t="str">
        <f>IFERROR(__xludf.DUMMYFUNCTION("""COMPUTED_VALUE"""),"KYAI KONTONG")</f>
        <v>KYAI KONTONG</v>
      </c>
      <c r="D2095" s="94">
        <f>IFERROR(__xludf.DUMMYFUNCTION("""COMPUTED_VALUE"""),8.0)</f>
        <v>8</v>
      </c>
    </row>
    <row r="2096">
      <c r="A2096" s="87" t="str">
        <f>IFERROR(__xludf.DUMMYFUNCTION("""COMPUTED_VALUE"""),"ITBISA-IC-UA741CN-DIP8")</f>
        <v>ITBISA-IC-UA741CN-DIP8</v>
      </c>
      <c r="B2096" s="165">
        <f>IFERROR(__xludf.DUMMYFUNCTION("""COMPUTED_VALUE"""),46192.0)</f>
        <v>46192</v>
      </c>
      <c r="C2096" s="165" t="str">
        <f>IFERROR(__xludf.DUMMYFUNCTION("""COMPUTED_VALUE"""),"KYAI KONTONG")</f>
        <v>KYAI KONTONG</v>
      </c>
      <c r="D2096" s="94">
        <f>IFERROR(__xludf.DUMMYFUNCTION("""COMPUTED_VALUE"""),10.0)</f>
        <v>10</v>
      </c>
    </row>
    <row r="2097">
      <c r="A2097" s="87" t="str">
        <f>IFERROR(__xludf.DUMMYFUNCTION("""COMPUTED_VALUE"""),"ITBISA-IC-UA741CN-DIP8")</f>
        <v>ITBISA-IC-UA741CN-DIP8</v>
      </c>
      <c r="B2097" s="165">
        <f>IFERROR(__xludf.DUMMYFUNCTION("""COMPUTED_VALUE"""),46192.0)</f>
        <v>46192</v>
      </c>
      <c r="C2097" s="165" t="str">
        <f>IFERROR(__xludf.DUMMYFUNCTION("""COMPUTED_VALUE"""),"KYAI KONTONG")</f>
        <v>KYAI KONTONG</v>
      </c>
      <c r="D2097" s="94">
        <f>IFERROR(__xludf.DUMMYFUNCTION("""COMPUTED_VALUE"""),30.0)</f>
        <v>30</v>
      </c>
    </row>
    <row r="2098">
      <c r="A2098" s="87" t="str">
        <f>IFERROR(__xludf.DUMMYFUNCTION("""COMPUTED_VALUE"""),"ITBISA-IC-UA741CN-DIP8")</f>
        <v>ITBISA-IC-UA741CN-DIP8</v>
      </c>
      <c r="B2098" s="165">
        <f>IFERROR(__xludf.DUMMYFUNCTION("""COMPUTED_VALUE"""),46192.0)</f>
        <v>46192</v>
      </c>
      <c r="C2098" s="165" t="str">
        <f>IFERROR(__xludf.DUMMYFUNCTION("""COMPUTED_VALUE"""),"KYAI KONTONG")</f>
        <v>KYAI KONTONG</v>
      </c>
      <c r="D2098" s="94">
        <f>IFERROR(__xludf.DUMMYFUNCTION("""COMPUTED_VALUE"""),50.0)</f>
        <v>50</v>
      </c>
    </row>
    <row r="2099">
      <c r="A2099" s="87" t="str">
        <f>IFERROR(__xludf.DUMMYFUNCTION("""COMPUTED_VALUE"""),"ITBISA-IC-UA741CN-DIP8")</f>
        <v>ITBISA-IC-UA741CN-DIP8</v>
      </c>
      <c r="B2099" s="165">
        <f>IFERROR(__xludf.DUMMYFUNCTION("""COMPUTED_VALUE"""),46195.0)</f>
        <v>46195</v>
      </c>
      <c r="C2099" s="165" t="str">
        <f>IFERROR(__xludf.DUMMYFUNCTION("""COMPUTED_VALUE"""),"KYAI KONTONG")</f>
        <v>KYAI KONTONG</v>
      </c>
      <c r="D2099" s="94">
        <f>IFERROR(__xludf.DUMMYFUNCTION("""COMPUTED_VALUE"""),5.0)</f>
        <v>5</v>
      </c>
    </row>
    <row r="2100">
      <c r="A2100" s="87" t="str">
        <f>IFERROR(__xludf.DUMMYFUNCTION("""COMPUTED_VALUE"""),"ITBISA-IC-UA741CN-DIP8")</f>
        <v>ITBISA-IC-UA741CN-DIP8</v>
      </c>
      <c r="B2100" s="165">
        <f>IFERROR(__xludf.DUMMYFUNCTION("""COMPUTED_VALUE"""),46195.0)</f>
        <v>46195</v>
      </c>
      <c r="C2100" s="165" t="str">
        <f>IFERROR(__xludf.DUMMYFUNCTION("""COMPUTED_VALUE"""),"KYAI KONTONG")</f>
        <v>KYAI KONTONG</v>
      </c>
      <c r="D2100" s="94">
        <f>IFERROR(__xludf.DUMMYFUNCTION("""COMPUTED_VALUE"""),5.0)</f>
        <v>5</v>
      </c>
    </row>
    <row r="2101">
      <c r="A2101" s="87" t="str">
        <f>IFERROR(__xludf.DUMMYFUNCTION("""COMPUTED_VALUE"""),"ITBISA-IC-UA741CN-DIP8")</f>
        <v>ITBISA-IC-UA741CN-DIP8</v>
      </c>
      <c r="B2101" s="165">
        <f>IFERROR(__xludf.DUMMYFUNCTION("""COMPUTED_VALUE"""),46196.0)</f>
        <v>46196</v>
      </c>
      <c r="C2101" s="165" t="str">
        <f>IFERROR(__xludf.DUMMYFUNCTION("""COMPUTED_VALUE"""),"KYAI KONTONG")</f>
        <v>KYAI KONTONG</v>
      </c>
      <c r="D2101" s="94">
        <f>IFERROR(__xludf.DUMMYFUNCTION("""COMPUTED_VALUE"""),60.0)</f>
        <v>60</v>
      </c>
    </row>
    <row r="2102">
      <c r="A2102" s="87" t="str">
        <f>IFERROR(__xludf.DUMMYFUNCTION("""COMPUTED_VALUE"""),"ITBISA-IC-UA741CN-DIP8")</f>
        <v>ITBISA-IC-UA741CN-DIP8</v>
      </c>
      <c r="B2102" s="165">
        <f>IFERROR(__xludf.DUMMYFUNCTION("""COMPUTED_VALUE"""),46197.0)</f>
        <v>46197</v>
      </c>
      <c r="C2102" s="165" t="str">
        <f>IFERROR(__xludf.DUMMYFUNCTION("""COMPUTED_VALUE"""),"KYAI KONTONG")</f>
        <v>KYAI KONTONG</v>
      </c>
      <c r="D2102" s="94">
        <f>IFERROR(__xludf.DUMMYFUNCTION("""COMPUTED_VALUE"""),20.0)</f>
        <v>20</v>
      </c>
    </row>
    <row r="2103">
      <c r="A2103" s="87" t="str">
        <f>IFERROR(__xludf.DUMMYFUNCTION("""COMPUTED_VALUE"""),"ITBISA-IC-UA741CN-DIP8")</f>
        <v>ITBISA-IC-UA741CN-DIP8</v>
      </c>
      <c r="B2103" s="165">
        <f>IFERROR(__xludf.DUMMYFUNCTION("""COMPUTED_VALUE"""),46198.0)</f>
        <v>46198</v>
      </c>
      <c r="C2103" s="165" t="str">
        <f>IFERROR(__xludf.DUMMYFUNCTION("""COMPUTED_VALUE"""),"KYAI KONTONG")</f>
        <v>KYAI KONTONG</v>
      </c>
      <c r="D2103" s="94">
        <f>IFERROR(__xludf.DUMMYFUNCTION("""COMPUTED_VALUE"""),5.0)</f>
        <v>5</v>
      </c>
    </row>
    <row r="2104">
      <c r="A2104" s="87" t="str">
        <f>IFERROR(__xludf.DUMMYFUNCTION("""COMPUTED_VALUE"""),"ITBISA-IC-UA741CN-DIP8")</f>
        <v>ITBISA-IC-UA741CN-DIP8</v>
      </c>
      <c r="B2104" s="165">
        <f>IFERROR(__xludf.DUMMYFUNCTION("""COMPUTED_VALUE"""),46198.0)</f>
        <v>46198</v>
      </c>
      <c r="C2104" s="165" t="str">
        <f>IFERROR(__xludf.DUMMYFUNCTION("""COMPUTED_VALUE"""),"KYAI KONTONG")</f>
        <v>KYAI KONTONG</v>
      </c>
      <c r="D2104" s="94">
        <f>IFERROR(__xludf.DUMMYFUNCTION("""COMPUTED_VALUE"""),10.0)</f>
        <v>10</v>
      </c>
    </row>
    <row r="2105">
      <c r="A2105" s="87" t="str">
        <f>IFERROR(__xludf.DUMMYFUNCTION("""COMPUTED_VALUE"""),"ITBISA-IC-ULN2003AN-DIP16")</f>
        <v>ITBISA-IC-ULN2003AN-DIP16</v>
      </c>
      <c r="B2105" s="165">
        <f>IFERROR(__xludf.DUMMYFUNCTION("""COMPUTED_VALUE"""),46035.0)</f>
        <v>46035</v>
      </c>
      <c r="C2105" s="165" t="str">
        <f>IFERROR(__xludf.DUMMYFUNCTION("""COMPUTED_VALUE"""),"KYAI KONTONG")</f>
        <v>KYAI KONTONG</v>
      </c>
      <c r="D2105" s="94">
        <f>IFERROR(__xludf.DUMMYFUNCTION("""COMPUTED_VALUE"""),5.0)</f>
        <v>5</v>
      </c>
    </row>
    <row r="2106">
      <c r="A2106" s="87" t="str">
        <f>IFERROR(__xludf.DUMMYFUNCTION("""COMPUTED_VALUE"""),"ITBISA-IC-ULN2003AN-DIP16")</f>
        <v>ITBISA-IC-ULN2003AN-DIP16</v>
      </c>
      <c r="B2106" s="165">
        <f>IFERROR(__xludf.DUMMYFUNCTION("""COMPUTED_VALUE"""),46037.0)</f>
        <v>46037</v>
      </c>
      <c r="C2106" s="165" t="str">
        <f>IFERROR(__xludf.DUMMYFUNCTION("""COMPUTED_VALUE"""),"KYAI KONTONG")</f>
        <v>KYAI KONTONG</v>
      </c>
      <c r="D2106" s="94">
        <f>IFERROR(__xludf.DUMMYFUNCTION("""COMPUTED_VALUE"""),10.0)</f>
        <v>10</v>
      </c>
    </row>
    <row r="2107">
      <c r="A2107" s="87" t="str">
        <f>IFERROR(__xludf.DUMMYFUNCTION("""COMPUTED_VALUE"""),"ITBISA-IC-ULN2003AN-DIP16")</f>
        <v>ITBISA-IC-ULN2003AN-DIP16</v>
      </c>
      <c r="B2107" s="165">
        <f>IFERROR(__xludf.DUMMYFUNCTION("""COMPUTED_VALUE"""),46041.0)</f>
        <v>46041</v>
      </c>
      <c r="C2107" s="165" t="str">
        <f>IFERROR(__xludf.DUMMYFUNCTION("""COMPUTED_VALUE"""),"KYAI KONTONG")</f>
        <v>KYAI KONTONG</v>
      </c>
      <c r="D2107" s="94">
        <f>IFERROR(__xludf.DUMMYFUNCTION("""COMPUTED_VALUE"""),5.0)</f>
        <v>5</v>
      </c>
    </row>
    <row r="2108">
      <c r="A2108" s="87" t="str">
        <f>IFERROR(__xludf.DUMMYFUNCTION("""COMPUTED_VALUE"""),"ITBISA-IC-ULN2003AN-DIP16")</f>
        <v>ITBISA-IC-ULN2003AN-DIP16</v>
      </c>
      <c r="B2108" s="165">
        <f>IFERROR(__xludf.DUMMYFUNCTION("""COMPUTED_VALUE"""),46051.0)</f>
        <v>46051</v>
      </c>
      <c r="C2108" s="165" t="str">
        <f>IFERROR(__xludf.DUMMYFUNCTION("""COMPUTED_VALUE"""),"KYAI KONTONG")</f>
        <v>KYAI KONTONG</v>
      </c>
      <c r="D2108" s="94">
        <f>IFERROR(__xludf.DUMMYFUNCTION("""COMPUTED_VALUE"""),50.0)</f>
        <v>50</v>
      </c>
    </row>
    <row r="2109">
      <c r="A2109" s="87" t="str">
        <f>IFERROR(__xludf.DUMMYFUNCTION("""COMPUTED_VALUE"""),"ITBISA-IC-ULN2003AN-DIP16")</f>
        <v>ITBISA-IC-ULN2003AN-DIP16</v>
      </c>
      <c r="B2109" s="165">
        <f>IFERROR(__xludf.DUMMYFUNCTION("""COMPUTED_VALUE"""),46055.0)</f>
        <v>46055</v>
      </c>
      <c r="C2109" s="165" t="str">
        <f>IFERROR(__xludf.DUMMYFUNCTION("""COMPUTED_VALUE"""),"KYAI KONTONG")</f>
        <v>KYAI KONTONG</v>
      </c>
      <c r="D2109" s="94">
        <f>IFERROR(__xludf.DUMMYFUNCTION("""COMPUTED_VALUE"""),25.0)</f>
        <v>25</v>
      </c>
    </row>
    <row r="2110">
      <c r="A2110" s="87" t="str">
        <f>IFERROR(__xludf.DUMMYFUNCTION("""COMPUTED_VALUE"""),"ITBISA-IC-ULN2003AN-DIP16")</f>
        <v>ITBISA-IC-ULN2003AN-DIP16</v>
      </c>
      <c r="B2110" s="165">
        <f>IFERROR(__xludf.DUMMYFUNCTION("""COMPUTED_VALUE"""),46060.0)</f>
        <v>46060</v>
      </c>
      <c r="C2110" s="165" t="str">
        <f>IFERROR(__xludf.DUMMYFUNCTION("""COMPUTED_VALUE"""),"KYAI KONTONG")</f>
        <v>KYAI KONTONG</v>
      </c>
      <c r="D2110" s="94">
        <f>IFERROR(__xludf.DUMMYFUNCTION("""COMPUTED_VALUE"""),50.0)</f>
        <v>50</v>
      </c>
    </row>
    <row r="2111">
      <c r="A2111" s="87" t="str">
        <f>IFERROR(__xludf.DUMMYFUNCTION("""COMPUTED_VALUE"""),"ITBISA-IC-ULN2003AN-DIP16")</f>
        <v>ITBISA-IC-ULN2003AN-DIP16</v>
      </c>
      <c r="B2111" s="165">
        <f>IFERROR(__xludf.DUMMYFUNCTION("""COMPUTED_VALUE"""),46064.0)</f>
        <v>46064</v>
      </c>
      <c r="C2111" s="165" t="str">
        <f>IFERROR(__xludf.DUMMYFUNCTION("""COMPUTED_VALUE"""),"KERTASARI CIAMIS")</f>
        <v>KERTASARI CIAMIS</v>
      </c>
      <c r="D2111" s="94">
        <f>IFERROR(__xludf.DUMMYFUNCTION("""COMPUTED_VALUE"""),10.0)</f>
        <v>10</v>
      </c>
    </row>
    <row r="2112">
      <c r="A2112" s="87" t="str">
        <f>IFERROR(__xludf.DUMMYFUNCTION("""COMPUTED_VALUE"""),"ITBISA-IC-ULN2003AN-DIP16")</f>
        <v>ITBISA-IC-ULN2003AN-DIP16</v>
      </c>
      <c r="B2112" s="165">
        <f>IFERROR(__xludf.DUMMYFUNCTION("""COMPUTED_VALUE"""),46066.0)</f>
        <v>46066</v>
      </c>
      <c r="C2112" s="165" t="str">
        <f>IFERROR(__xludf.DUMMYFUNCTION("""COMPUTED_VALUE"""),"KYAI KONTONG")</f>
        <v>KYAI KONTONG</v>
      </c>
      <c r="D2112" s="94">
        <f>IFERROR(__xludf.DUMMYFUNCTION("""COMPUTED_VALUE"""),5.0)</f>
        <v>5</v>
      </c>
    </row>
    <row r="2113">
      <c r="A2113" s="87" t="str">
        <f>IFERROR(__xludf.DUMMYFUNCTION("""COMPUTED_VALUE"""),"ITBISA-IC-ULN2003AN-DIP16")</f>
        <v>ITBISA-IC-ULN2003AN-DIP16</v>
      </c>
      <c r="B2113" s="165">
        <f>IFERROR(__xludf.DUMMYFUNCTION("""COMPUTED_VALUE"""),46069.0)</f>
        <v>46069</v>
      </c>
      <c r="C2113" s="165" t="str">
        <f>IFERROR(__xludf.DUMMYFUNCTION("""COMPUTED_VALUE"""),"KYAI KONTONG")</f>
        <v>KYAI KONTONG</v>
      </c>
      <c r="D2113" s="94">
        <f>IFERROR(__xludf.DUMMYFUNCTION("""COMPUTED_VALUE"""),50.0)</f>
        <v>50</v>
      </c>
    </row>
    <row r="2114">
      <c r="A2114" s="87" t="str">
        <f>IFERROR(__xludf.DUMMYFUNCTION("""COMPUTED_VALUE"""),"ITBISA-IC-ULN2003AN-DIP16")</f>
        <v>ITBISA-IC-ULN2003AN-DIP16</v>
      </c>
      <c r="B2114" s="165">
        <f>IFERROR(__xludf.DUMMYFUNCTION("""COMPUTED_VALUE"""),46071.0)</f>
        <v>46071</v>
      </c>
      <c r="C2114" s="165" t="str">
        <f>IFERROR(__xludf.DUMMYFUNCTION("""COMPUTED_VALUE"""),"KYAI KONTONG")</f>
        <v>KYAI KONTONG</v>
      </c>
      <c r="D2114" s="94">
        <f>IFERROR(__xludf.DUMMYFUNCTION("""COMPUTED_VALUE"""),5.0)</f>
        <v>5</v>
      </c>
    </row>
    <row r="2115">
      <c r="A2115" s="87" t="str">
        <f>IFERROR(__xludf.DUMMYFUNCTION("""COMPUTED_VALUE"""),"ITBISA-IC-ULN2003AN-DIP16")</f>
        <v>ITBISA-IC-ULN2003AN-DIP16</v>
      </c>
      <c r="B2115" s="165">
        <f>IFERROR(__xludf.DUMMYFUNCTION("""COMPUTED_VALUE"""),46074.0)</f>
        <v>46074</v>
      </c>
      <c r="C2115" s="165" t="str">
        <f>IFERROR(__xludf.DUMMYFUNCTION("""COMPUTED_VALUE"""),"KYAI KONTONG")</f>
        <v>KYAI KONTONG</v>
      </c>
      <c r="D2115" s="94">
        <f>IFERROR(__xludf.DUMMYFUNCTION("""COMPUTED_VALUE"""),12.0)</f>
        <v>12</v>
      </c>
    </row>
    <row r="2116">
      <c r="A2116" s="87" t="str">
        <f>IFERROR(__xludf.DUMMYFUNCTION("""COMPUTED_VALUE"""),"ITBISA-IC-ULN2003AN-DIP16")</f>
        <v>ITBISA-IC-ULN2003AN-DIP16</v>
      </c>
      <c r="B2116" s="165">
        <f>IFERROR(__xludf.DUMMYFUNCTION("""COMPUTED_VALUE"""),46075.0)</f>
        <v>46075</v>
      </c>
      <c r="C2116" s="165" t="str">
        <f>IFERROR(__xludf.DUMMYFUNCTION("""COMPUTED_VALUE"""),"KYAI KONTONG")</f>
        <v>KYAI KONTONG</v>
      </c>
      <c r="D2116" s="94">
        <f>IFERROR(__xludf.DUMMYFUNCTION("""COMPUTED_VALUE"""),12.0)</f>
        <v>12</v>
      </c>
    </row>
    <row r="2117">
      <c r="A2117" s="87" t="str">
        <f>IFERROR(__xludf.DUMMYFUNCTION("""COMPUTED_VALUE"""),"ITBISA-IC-ULN2003AN-DIP16")</f>
        <v>ITBISA-IC-ULN2003AN-DIP16</v>
      </c>
      <c r="B2117" s="165">
        <f>IFERROR(__xludf.DUMMYFUNCTION("""COMPUTED_VALUE"""),46078.0)</f>
        <v>46078</v>
      </c>
      <c r="C2117" s="165" t="str">
        <f>IFERROR(__xludf.DUMMYFUNCTION("""COMPUTED_VALUE"""),"KYAI KONTONG")</f>
        <v>KYAI KONTONG</v>
      </c>
      <c r="D2117" s="94">
        <f>IFERROR(__xludf.DUMMYFUNCTION("""COMPUTED_VALUE"""),2.0)</f>
        <v>2</v>
      </c>
    </row>
    <row r="2118">
      <c r="A2118" s="87" t="str">
        <f>IFERROR(__xludf.DUMMYFUNCTION("""COMPUTED_VALUE"""),"ITBISA-IC-ULN2003AN-DIP16")</f>
        <v>ITBISA-IC-ULN2003AN-DIP16</v>
      </c>
      <c r="B2118" s="165">
        <f>IFERROR(__xludf.DUMMYFUNCTION("""COMPUTED_VALUE"""),46079.0)</f>
        <v>46079</v>
      </c>
      <c r="C2118" s="165" t="str">
        <f>IFERROR(__xludf.DUMMYFUNCTION("""COMPUTED_VALUE"""),"KYAI KONTONG")</f>
        <v>KYAI KONTONG</v>
      </c>
      <c r="D2118" s="94">
        <f>IFERROR(__xludf.DUMMYFUNCTION("""COMPUTED_VALUE"""),20.0)</f>
        <v>20</v>
      </c>
    </row>
    <row r="2119">
      <c r="A2119" s="87" t="str">
        <f>IFERROR(__xludf.DUMMYFUNCTION("""COMPUTED_VALUE"""),"ITBISA-IC-ULN2003AN-DIP16")</f>
        <v>ITBISA-IC-ULN2003AN-DIP16</v>
      </c>
      <c r="B2119" s="165">
        <f>IFERROR(__xludf.DUMMYFUNCTION("""COMPUTED_VALUE"""),46084.0)</f>
        <v>46084</v>
      </c>
      <c r="C2119" s="165" t="str">
        <f>IFERROR(__xludf.DUMMYFUNCTION("""COMPUTED_VALUE"""),"KYAI KONTONG")</f>
        <v>KYAI KONTONG</v>
      </c>
      <c r="D2119" s="94">
        <f>IFERROR(__xludf.DUMMYFUNCTION("""COMPUTED_VALUE"""),25.0)</f>
        <v>25</v>
      </c>
    </row>
    <row r="2120">
      <c r="A2120" s="87" t="str">
        <f>IFERROR(__xludf.DUMMYFUNCTION("""COMPUTED_VALUE"""),"ITBISA-IC-ULN2003AN-DIP16")</f>
        <v>ITBISA-IC-ULN2003AN-DIP16</v>
      </c>
      <c r="B2120" s="165">
        <f>IFERROR(__xludf.DUMMYFUNCTION("""COMPUTED_VALUE"""),46085.0)</f>
        <v>46085</v>
      </c>
      <c r="C2120" s="165" t="str">
        <f>IFERROR(__xludf.DUMMYFUNCTION("""COMPUTED_VALUE"""),"KYAI KONTONG")</f>
        <v>KYAI KONTONG</v>
      </c>
      <c r="D2120" s="94">
        <f>IFERROR(__xludf.DUMMYFUNCTION("""COMPUTED_VALUE"""),30.0)</f>
        <v>30</v>
      </c>
    </row>
    <row r="2121">
      <c r="A2121" s="87" t="str">
        <f>IFERROR(__xludf.DUMMYFUNCTION("""COMPUTED_VALUE"""),"ITBISA-IC-ULN2003AN-DIP16")</f>
        <v>ITBISA-IC-ULN2003AN-DIP16</v>
      </c>
      <c r="B2121" s="165">
        <f>IFERROR(__xludf.DUMMYFUNCTION("""COMPUTED_VALUE"""),46118.0)</f>
        <v>46118</v>
      </c>
      <c r="C2121" s="165" t="str">
        <f>IFERROR(__xludf.DUMMYFUNCTION("""COMPUTED_VALUE"""),"KYAI KONTONG")</f>
        <v>KYAI KONTONG</v>
      </c>
      <c r="D2121" s="94">
        <f>IFERROR(__xludf.DUMMYFUNCTION("""COMPUTED_VALUE"""),25.0)</f>
        <v>25</v>
      </c>
    </row>
    <row r="2122">
      <c r="A2122" s="87" t="str">
        <f>IFERROR(__xludf.DUMMYFUNCTION("""COMPUTED_VALUE"""),"ITBISA-IC-ULN2003AN-DIP16")</f>
        <v>ITBISA-IC-ULN2003AN-DIP16</v>
      </c>
      <c r="B2122" s="165">
        <f>IFERROR(__xludf.DUMMYFUNCTION("""COMPUTED_VALUE"""),46118.0)</f>
        <v>46118</v>
      </c>
      <c r="C2122" s="165" t="str">
        <f>IFERROR(__xludf.DUMMYFUNCTION("""COMPUTED_VALUE"""),"KYAI KONTONG")</f>
        <v>KYAI KONTONG</v>
      </c>
      <c r="D2122" s="94">
        <f>IFERROR(__xludf.DUMMYFUNCTION("""COMPUTED_VALUE"""),100.0)</f>
        <v>100</v>
      </c>
    </row>
    <row r="2123">
      <c r="A2123" s="87" t="str">
        <f>IFERROR(__xludf.DUMMYFUNCTION("""COMPUTED_VALUE"""),"ITBISA-IC-ULN2003AN-DIP16")</f>
        <v>ITBISA-IC-ULN2003AN-DIP16</v>
      </c>
      <c r="B2123" s="165">
        <f>IFERROR(__xludf.DUMMYFUNCTION("""COMPUTED_VALUE"""),46124.0)</f>
        <v>46124</v>
      </c>
      <c r="C2123" s="165" t="str">
        <f>IFERROR(__xludf.DUMMYFUNCTION("""COMPUTED_VALUE"""),"KYAI KONTONG")</f>
        <v>KYAI KONTONG</v>
      </c>
      <c r="D2123" s="94">
        <f>IFERROR(__xludf.DUMMYFUNCTION("""COMPUTED_VALUE"""),10.0)</f>
        <v>10</v>
      </c>
    </row>
    <row r="2124">
      <c r="A2124" s="87" t="str">
        <f>IFERROR(__xludf.DUMMYFUNCTION("""COMPUTED_VALUE"""),"ITBISA-IC-ULN2003AN-DIP16")</f>
        <v>ITBISA-IC-ULN2003AN-DIP16</v>
      </c>
      <c r="B2124" s="165">
        <f>IFERROR(__xludf.DUMMYFUNCTION("""COMPUTED_VALUE"""),46127.0)</f>
        <v>46127</v>
      </c>
      <c r="C2124" s="165" t="str">
        <f>IFERROR(__xludf.DUMMYFUNCTION("""COMPUTED_VALUE"""),"KYAI KONTONG")</f>
        <v>KYAI KONTONG</v>
      </c>
      <c r="D2124" s="94">
        <f>IFERROR(__xludf.DUMMYFUNCTION("""COMPUTED_VALUE"""),15.0)</f>
        <v>15</v>
      </c>
    </row>
    <row r="2125">
      <c r="A2125" s="87" t="str">
        <f>IFERROR(__xludf.DUMMYFUNCTION("""COMPUTED_VALUE"""),"ITBISA-IC-ULN2003AN-DIP16")</f>
        <v>ITBISA-IC-ULN2003AN-DIP16</v>
      </c>
      <c r="B2125" s="165">
        <f>IFERROR(__xludf.DUMMYFUNCTION("""COMPUTED_VALUE"""),46128.0)</f>
        <v>46128</v>
      </c>
      <c r="C2125" s="165" t="str">
        <f>IFERROR(__xludf.DUMMYFUNCTION("""COMPUTED_VALUE"""),"KYAI KONTONG")</f>
        <v>KYAI KONTONG</v>
      </c>
      <c r="D2125" s="94">
        <f>IFERROR(__xludf.DUMMYFUNCTION("""COMPUTED_VALUE"""),10.0)</f>
        <v>10</v>
      </c>
    </row>
    <row r="2126">
      <c r="A2126" s="87" t="str">
        <f>IFERROR(__xludf.DUMMYFUNCTION("""COMPUTED_VALUE"""),"ITBISA-IC-ULN2003AN-DIP16")</f>
        <v>ITBISA-IC-ULN2003AN-DIP16</v>
      </c>
      <c r="B2126" s="165">
        <f>IFERROR(__xludf.DUMMYFUNCTION("""COMPUTED_VALUE"""),46134.0)</f>
        <v>46134</v>
      </c>
      <c r="C2126" s="165" t="str">
        <f>IFERROR(__xludf.DUMMYFUNCTION("""COMPUTED_VALUE"""),"KYAI KONTONG")</f>
        <v>KYAI KONTONG</v>
      </c>
      <c r="D2126" s="94">
        <f>IFERROR(__xludf.DUMMYFUNCTION("""COMPUTED_VALUE"""),25.0)</f>
        <v>25</v>
      </c>
    </row>
    <row r="2127">
      <c r="A2127" s="87" t="str">
        <f>IFERROR(__xludf.DUMMYFUNCTION("""COMPUTED_VALUE"""),"ITBISA-IC-ULN2003AN-DIP16")</f>
        <v>ITBISA-IC-ULN2003AN-DIP16</v>
      </c>
      <c r="B2127" s="165">
        <f>IFERROR(__xludf.DUMMYFUNCTION("""COMPUTED_VALUE"""),46139.0)</f>
        <v>46139</v>
      </c>
      <c r="C2127" s="165" t="str">
        <f>IFERROR(__xludf.DUMMYFUNCTION("""COMPUTED_VALUE"""),"KYAI KONTONG")</f>
        <v>KYAI KONTONG</v>
      </c>
      <c r="D2127" s="94">
        <f>IFERROR(__xludf.DUMMYFUNCTION("""COMPUTED_VALUE"""),5.0)</f>
        <v>5</v>
      </c>
    </row>
    <row r="2128">
      <c r="A2128" s="87" t="str">
        <f>IFERROR(__xludf.DUMMYFUNCTION("""COMPUTED_VALUE"""),"ITBISA-IC-ULN2003AN-DIP16")</f>
        <v>ITBISA-IC-ULN2003AN-DIP16</v>
      </c>
      <c r="B2128" s="165">
        <f>IFERROR(__xludf.DUMMYFUNCTION("""COMPUTED_VALUE"""),46140.0)</f>
        <v>46140</v>
      </c>
      <c r="C2128" s="165" t="str">
        <f>IFERROR(__xludf.DUMMYFUNCTION("""COMPUTED_VALUE"""),"KYAI KONTONG")</f>
        <v>KYAI KONTONG</v>
      </c>
      <c r="D2128" s="94">
        <f>IFERROR(__xludf.DUMMYFUNCTION("""COMPUTED_VALUE"""),5.0)</f>
        <v>5</v>
      </c>
    </row>
    <row r="2129">
      <c r="A2129" s="87" t="str">
        <f>IFERROR(__xludf.DUMMYFUNCTION("""COMPUTED_VALUE"""),"ITBISA-IC-ULN2003AN-DIP16")</f>
        <v>ITBISA-IC-ULN2003AN-DIP16</v>
      </c>
      <c r="B2129" s="165">
        <f>IFERROR(__xludf.DUMMYFUNCTION("""COMPUTED_VALUE"""),46141.0)</f>
        <v>46141</v>
      </c>
      <c r="C2129" s="165" t="str">
        <f>IFERROR(__xludf.DUMMYFUNCTION("""COMPUTED_VALUE"""),"KYAI KONTONG")</f>
        <v>KYAI KONTONG</v>
      </c>
      <c r="D2129" s="94">
        <f>IFERROR(__xludf.DUMMYFUNCTION("""COMPUTED_VALUE"""),20.0)</f>
        <v>20</v>
      </c>
    </row>
    <row r="2130">
      <c r="A2130" s="87" t="str">
        <f>IFERROR(__xludf.DUMMYFUNCTION("""COMPUTED_VALUE"""),"ITBISA-IC-ULN2003AN-DIP16")</f>
        <v>ITBISA-IC-ULN2003AN-DIP16</v>
      </c>
      <c r="B2130" s="165">
        <f>IFERROR(__xludf.DUMMYFUNCTION("""COMPUTED_VALUE"""),46141.0)</f>
        <v>46141</v>
      </c>
      <c r="C2130" s="165" t="str">
        <f>IFERROR(__xludf.DUMMYFUNCTION("""COMPUTED_VALUE"""),"KYAI KONTONG")</f>
        <v>KYAI KONTONG</v>
      </c>
      <c r="D2130" s="94">
        <f>IFERROR(__xludf.DUMMYFUNCTION("""COMPUTED_VALUE"""),60.0)</f>
        <v>60</v>
      </c>
    </row>
    <row r="2131">
      <c r="A2131" s="87" t="str">
        <f>IFERROR(__xludf.DUMMYFUNCTION("""COMPUTED_VALUE"""),"ITBISA-IC-ULN2003AN-DIP16")</f>
        <v>ITBISA-IC-ULN2003AN-DIP16</v>
      </c>
      <c r="B2131" s="165">
        <f>IFERROR(__xludf.DUMMYFUNCTION("""COMPUTED_VALUE"""),46143.0)</f>
        <v>46143</v>
      </c>
      <c r="C2131" s="165" t="str">
        <f>IFERROR(__xludf.DUMMYFUNCTION("""COMPUTED_VALUE"""),"KYAI KONTONG")</f>
        <v>KYAI KONTONG</v>
      </c>
      <c r="D2131" s="94">
        <f>IFERROR(__xludf.DUMMYFUNCTION("""COMPUTED_VALUE"""),5.0)</f>
        <v>5</v>
      </c>
    </row>
    <row r="2132">
      <c r="A2132" s="87" t="str">
        <f>IFERROR(__xludf.DUMMYFUNCTION("""COMPUTED_VALUE"""),"ITBISA-IC-ULN2003AN-DIP16")</f>
        <v>ITBISA-IC-ULN2003AN-DIP16</v>
      </c>
      <c r="B2132" s="165">
        <f>IFERROR(__xludf.DUMMYFUNCTION("""COMPUTED_VALUE"""),46146.0)</f>
        <v>46146</v>
      </c>
      <c r="C2132" s="165" t="str">
        <f>IFERROR(__xludf.DUMMYFUNCTION("""COMPUTED_VALUE"""),"KYAI KONTONG")</f>
        <v>KYAI KONTONG</v>
      </c>
      <c r="D2132" s="94">
        <f>IFERROR(__xludf.DUMMYFUNCTION("""COMPUTED_VALUE"""),28.0)</f>
        <v>28</v>
      </c>
    </row>
    <row r="2133">
      <c r="A2133" s="87" t="str">
        <f>IFERROR(__xludf.DUMMYFUNCTION("""COMPUTED_VALUE"""),"ITBISA-IC-ULN2003AN-DIP16")</f>
        <v>ITBISA-IC-ULN2003AN-DIP16</v>
      </c>
      <c r="B2133" s="165">
        <f>IFERROR(__xludf.DUMMYFUNCTION("""COMPUTED_VALUE"""),46147.0)</f>
        <v>46147</v>
      </c>
      <c r="C2133" s="165" t="str">
        <f>IFERROR(__xludf.DUMMYFUNCTION("""COMPUTED_VALUE"""),"KYAI KONTONG")</f>
        <v>KYAI KONTONG</v>
      </c>
      <c r="D2133" s="94">
        <f>IFERROR(__xludf.DUMMYFUNCTION("""COMPUTED_VALUE"""),7.0)</f>
        <v>7</v>
      </c>
    </row>
    <row r="2134">
      <c r="A2134" s="87" t="str">
        <f>IFERROR(__xludf.DUMMYFUNCTION("""COMPUTED_VALUE"""),"ITBISA-IC-ULN2003AN-DIP16")</f>
        <v>ITBISA-IC-ULN2003AN-DIP16</v>
      </c>
      <c r="B2134" s="165">
        <f>IFERROR(__xludf.DUMMYFUNCTION("""COMPUTED_VALUE"""),46149.0)</f>
        <v>46149</v>
      </c>
      <c r="C2134" s="165" t="str">
        <f>IFERROR(__xludf.DUMMYFUNCTION("""COMPUTED_VALUE"""),"KYAI KONTONG")</f>
        <v>KYAI KONTONG</v>
      </c>
      <c r="D2134" s="94">
        <f>IFERROR(__xludf.DUMMYFUNCTION("""COMPUTED_VALUE"""),10.0)</f>
        <v>10</v>
      </c>
    </row>
    <row r="2135">
      <c r="A2135" s="87" t="str">
        <f>IFERROR(__xludf.DUMMYFUNCTION("""COMPUTED_VALUE"""),"ITBISA-IC-ULN2003AN-DIP16")</f>
        <v>ITBISA-IC-ULN2003AN-DIP16</v>
      </c>
      <c r="B2135" s="165">
        <f>IFERROR(__xludf.DUMMYFUNCTION("""COMPUTED_VALUE"""),46153.0)</f>
        <v>46153</v>
      </c>
      <c r="C2135" s="165" t="str">
        <f>IFERROR(__xludf.DUMMYFUNCTION("""COMPUTED_VALUE"""),"KYAI KONTONG")</f>
        <v>KYAI KONTONG</v>
      </c>
      <c r="D2135" s="94">
        <f>IFERROR(__xludf.DUMMYFUNCTION("""COMPUTED_VALUE"""),5.0)</f>
        <v>5</v>
      </c>
    </row>
    <row r="2136">
      <c r="A2136" s="87" t="str">
        <f>IFERROR(__xludf.DUMMYFUNCTION("""COMPUTED_VALUE"""),"ITBISA-IC-ULN2003AN-DIP16")</f>
        <v>ITBISA-IC-ULN2003AN-DIP16</v>
      </c>
      <c r="B2136" s="165">
        <f>IFERROR(__xludf.DUMMYFUNCTION("""COMPUTED_VALUE"""),46153.0)</f>
        <v>46153</v>
      </c>
      <c r="C2136" s="165" t="str">
        <f>IFERROR(__xludf.DUMMYFUNCTION("""COMPUTED_VALUE"""),"KYAI KONTONG")</f>
        <v>KYAI KONTONG</v>
      </c>
      <c r="D2136" s="94">
        <f>IFERROR(__xludf.DUMMYFUNCTION("""COMPUTED_VALUE"""),25.0)</f>
        <v>25</v>
      </c>
    </row>
    <row r="2137">
      <c r="A2137" s="87" t="str">
        <f>IFERROR(__xludf.DUMMYFUNCTION("""COMPUTED_VALUE"""),"ITBISA-IC-ULN2003AN-DIP16")</f>
        <v>ITBISA-IC-ULN2003AN-DIP16</v>
      </c>
      <c r="B2137" s="165">
        <f>IFERROR(__xludf.DUMMYFUNCTION("""COMPUTED_VALUE"""),46157.0)</f>
        <v>46157</v>
      </c>
      <c r="C2137" s="165" t="str">
        <f>IFERROR(__xludf.DUMMYFUNCTION("""COMPUTED_VALUE"""),"KYAI KONTONG")</f>
        <v>KYAI KONTONG</v>
      </c>
      <c r="D2137" s="94">
        <f>IFERROR(__xludf.DUMMYFUNCTION("""COMPUTED_VALUE"""),5.0)</f>
        <v>5</v>
      </c>
    </row>
    <row r="2138">
      <c r="A2138" s="87" t="str">
        <f>IFERROR(__xludf.DUMMYFUNCTION("""COMPUTED_VALUE"""),"ITBISA-IC-ULN2003AN-DIP16")</f>
        <v>ITBISA-IC-ULN2003AN-DIP16</v>
      </c>
      <c r="B2138" s="165">
        <f>IFERROR(__xludf.DUMMYFUNCTION("""COMPUTED_VALUE"""),46157.0)</f>
        <v>46157</v>
      </c>
      <c r="C2138" s="165" t="str">
        <f>IFERROR(__xludf.DUMMYFUNCTION("""COMPUTED_VALUE"""),"KYAI KONTONG")</f>
        <v>KYAI KONTONG</v>
      </c>
      <c r="D2138" s="94">
        <f>IFERROR(__xludf.DUMMYFUNCTION("""COMPUTED_VALUE"""),10.0)</f>
        <v>10</v>
      </c>
    </row>
    <row r="2139">
      <c r="A2139" s="87" t="str">
        <f>IFERROR(__xludf.DUMMYFUNCTION("""COMPUTED_VALUE"""),"ITBISA-IC-ULN2003AN-DIP16")</f>
        <v>ITBISA-IC-ULN2003AN-DIP16</v>
      </c>
      <c r="B2139" s="165">
        <f>IFERROR(__xludf.DUMMYFUNCTION("""COMPUTED_VALUE"""),46159.0)</f>
        <v>46159</v>
      </c>
      <c r="C2139" s="165" t="str">
        <f>IFERROR(__xludf.DUMMYFUNCTION("""COMPUTED_VALUE"""),"KYAI KONTONG")</f>
        <v>KYAI KONTONG</v>
      </c>
      <c r="D2139" s="94">
        <f>IFERROR(__xludf.DUMMYFUNCTION("""COMPUTED_VALUE"""),5.0)</f>
        <v>5</v>
      </c>
    </row>
    <row r="2140">
      <c r="A2140" s="87" t="str">
        <f>IFERROR(__xludf.DUMMYFUNCTION("""COMPUTED_VALUE"""),"ITBISA-IC-ULN2003AN-DIP16")</f>
        <v>ITBISA-IC-ULN2003AN-DIP16</v>
      </c>
      <c r="B2140" s="165">
        <f>IFERROR(__xludf.DUMMYFUNCTION("""COMPUTED_VALUE"""),46162.0)</f>
        <v>46162</v>
      </c>
      <c r="C2140" s="165" t="str">
        <f>IFERROR(__xludf.DUMMYFUNCTION("""COMPUTED_VALUE"""),"KYAI KONTONG")</f>
        <v>KYAI KONTONG</v>
      </c>
      <c r="D2140" s="94">
        <f>IFERROR(__xludf.DUMMYFUNCTION("""COMPUTED_VALUE"""),5.0)</f>
        <v>5</v>
      </c>
    </row>
    <row r="2141">
      <c r="A2141" s="87" t="str">
        <f>IFERROR(__xludf.DUMMYFUNCTION("""COMPUTED_VALUE"""),"ITBISA-IC-ULN2003AN-DIP16")</f>
        <v>ITBISA-IC-ULN2003AN-DIP16</v>
      </c>
      <c r="B2141" s="165">
        <f>IFERROR(__xludf.DUMMYFUNCTION("""COMPUTED_VALUE"""),46164.0)</f>
        <v>46164</v>
      </c>
      <c r="C2141" s="165" t="str">
        <f>IFERROR(__xludf.DUMMYFUNCTION("""COMPUTED_VALUE"""),"KYAI KONTONG")</f>
        <v>KYAI KONTONG</v>
      </c>
      <c r="D2141" s="94">
        <f>IFERROR(__xludf.DUMMYFUNCTION("""COMPUTED_VALUE"""),5.0)</f>
        <v>5</v>
      </c>
    </row>
    <row r="2142">
      <c r="A2142" s="87" t="str">
        <f>IFERROR(__xludf.DUMMYFUNCTION("""COMPUTED_VALUE"""),"ITBISA-IC-ULN2003AN-DIP16")</f>
        <v>ITBISA-IC-ULN2003AN-DIP16</v>
      </c>
      <c r="B2142" s="165">
        <f>IFERROR(__xludf.DUMMYFUNCTION("""COMPUTED_VALUE"""),46166.0)</f>
        <v>46166</v>
      </c>
      <c r="C2142" s="165" t="str">
        <f>IFERROR(__xludf.DUMMYFUNCTION("""COMPUTED_VALUE"""),"KYAI KONTONG")</f>
        <v>KYAI KONTONG</v>
      </c>
      <c r="D2142" s="94">
        <f>IFERROR(__xludf.DUMMYFUNCTION("""COMPUTED_VALUE"""),5.0)</f>
        <v>5</v>
      </c>
    </row>
    <row r="2143">
      <c r="A2143" s="87" t="str">
        <f>IFERROR(__xludf.DUMMYFUNCTION("""COMPUTED_VALUE"""),"ITBISA-IC-ULN2003AN-DIP16")</f>
        <v>ITBISA-IC-ULN2003AN-DIP16</v>
      </c>
      <c r="B2143" s="165">
        <f>IFERROR(__xludf.DUMMYFUNCTION("""COMPUTED_VALUE"""),46170.0)</f>
        <v>46170</v>
      </c>
      <c r="C2143" s="165" t="str">
        <f>IFERROR(__xludf.DUMMYFUNCTION("""COMPUTED_VALUE"""),"KYAI KONTONG")</f>
        <v>KYAI KONTONG</v>
      </c>
      <c r="D2143" s="94">
        <f>IFERROR(__xludf.DUMMYFUNCTION("""COMPUTED_VALUE"""),5.0)</f>
        <v>5</v>
      </c>
    </row>
    <row r="2144">
      <c r="A2144" s="87" t="str">
        <f>IFERROR(__xludf.DUMMYFUNCTION("""COMPUTED_VALUE"""),"ITBISA-IC-ULN2003AN-DIP16")</f>
        <v>ITBISA-IC-ULN2003AN-DIP16</v>
      </c>
      <c r="B2144" s="165">
        <f>IFERROR(__xludf.DUMMYFUNCTION("""COMPUTED_VALUE"""),46170.0)</f>
        <v>46170</v>
      </c>
      <c r="C2144" s="165" t="str">
        <f>IFERROR(__xludf.DUMMYFUNCTION("""COMPUTED_VALUE"""),"KYAI KONTONG")</f>
        <v>KYAI KONTONG</v>
      </c>
      <c r="D2144" s="94">
        <f>IFERROR(__xludf.DUMMYFUNCTION("""COMPUTED_VALUE"""),5.0)</f>
        <v>5</v>
      </c>
    </row>
    <row r="2145">
      <c r="A2145" s="87" t="str">
        <f>IFERROR(__xludf.DUMMYFUNCTION("""COMPUTED_VALUE"""),"ITBISA-IC-ULN2003AN-DIP16")</f>
        <v>ITBISA-IC-ULN2003AN-DIP16</v>
      </c>
      <c r="B2145" s="165">
        <f>IFERROR(__xludf.DUMMYFUNCTION("""COMPUTED_VALUE"""),46186.0)</f>
        <v>46186</v>
      </c>
      <c r="C2145" s="165" t="str">
        <f>IFERROR(__xludf.DUMMYFUNCTION("""COMPUTED_VALUE"""),"KYAI KONTONG")</f>
        <v>KYAI KONTONG</v>
      </c>
      <c r="D2145" s="94">
        <f>IFERROR(__xludf.DUMMYFUNCTION("""COMPUTED_VALUE"""),50.0)</f>
        <v>50</v>
      </c>
    </row>
    <row r="2146">
      <c r="A2146" s="87" t="str">
        <f>IFERROR(__xludf.DUMMYFUNCTION("""COMPUTED_VALUE"""),"ITBISA-IC-ULN2003AN-DIP16")</f>
        <v>ITBISA-IC-ULN2003AN-DIP16</v>
      </c>
      <c r="B2146" s="165">
        <f>IFERROR(__xludf.DUMMYFUNCTION("""COMPUTED_VALUE"""),46190.0)</f>
        <v>46190</v>
      </c>
      <c r="C2146" s="165" t="str">
        <f>IFERROR(__xludf.DUMMYFUNCTION("""COMPUTED_VALUE"""),"KYAI KONTONG")</f>
        <v>KYAI KONTONG</v>
      </c>
      <c r="D2146" s="94">
        <f>IFERROR(__xludf.DUMMYFUNCTION("""COMPUTED_VALUE"""),10.0)</f>
        <v>10</v>
      </c>
    </row>
    <row r="2147">
      <c r="A2147" s="87" t="str">
        <f>IFERROR(__xludf.DUMMYFUNCTION("""COMPUTED_VALUE"""),"ITBISA-IC-ULN2003AN-DIP16")</f>
        <v>ITBISA-IC-ULN2003AN-DIP16</v>
      </c>
      <c r="B2147" s="165">
        <f>IFERROR(__xludf.DUMMYFUNCTION("""COMPUTED_VALUE"""),46190.0)</f>
        <v>46190</v>
      </c>
      <c r="C2147" s="165" t="str">
        <f>IFERROR(__xludf.DUMMYFUNCTION("""COMPUTED_VALUE"""),"KYAI KONTONG")</f>
        <v>KYAI KONTONG</v>
      </c>
      <c r="D2147" s="94">
        <f>IFERROR(__xludf.DUMMYFUNCTION("""COMPUTED_VALUE"""),25.0)</f>
        <v>25</v>
      </c>
    </row>
    <row r="2148">
      <c r="A2148" s="87" t="str">
        <f>IFERROR(__xludf.DUMMYFUNCTION("""COMPUTED_VALUE"""),"ITBISA-IC-ULN2003AN-DIP16")</f>
        <v>ITBISA-IC-ULN2003AN-DIP16</v>
      </c>
      <c r="B2148" s="165">
        <f>IFERROR(__xludf.DUMMYFUNCTION("""COMPUTED_VALUE"""),46191.0)</f>
        <v>46191</v>
      </c>
      <c r="C2148" s="165" t="str">
        <f>IFERROR(__xludf.DUMMYFUNCTION("""COMPUTED_VALUE"""),"KYAI KONTONG")</f>
        <v>KYAI KONTONG</v>
      </c>
      <c r="D2148" s="94">
        <f>IFERROR(__xludf.DUMMYFUNCTION("""COMPUTED_VALUE"""),6.0)</f>
        <v>6</v>
      </c>
    </row>
    <row r="2149">
      <c r="A2149" s="87" t="str">
        <f>IFERROR(__xludf.DUMMYFUNCTION("""COMPUTED_VALUE"""),"ITBISA-IC-ULN2003AN-DIP16")</f>
        <v>ITBISA-IC-ULN2003AN-DIP16</v>
      </c>
      <c r="B2149" s="165">
        <f>IFERROR(__xludf.DUMMYFUNCTION("""COMPUTED_VALUE"""),46193.0)</f>
        <v>46193</v>
      </c>
      <c r="C2149" s="165" t="str">
        <f>IFERROR(__xludf.DUMMYFUNCTION("""COMPUTED_VALUE"""),"KYAI KONTONG")</f>
        <v>KYAI KONTONG</v>
      </c>
      <c r="D2149" s="94">
        <f>IFERROR(__xludf.DUMMYFUNCTION("""COMPUTED_VALUE"""),100.0)</f>
        <v>100</v>
      </c>
    </row>
    <row r="2150">
      <c r="A2150" s="87" t="str">
        <f>IFERROR(__xludf.DUMMYFUNCTION("""COMPUTED_VALUE"""),"ITBISA-IC-ULN2003AN-DIP16")</f>
        <v>ITBISA-IC-ULN2003AN-DIP16</v>
      </c>
      <c r="B2150" s="165">
        <f>IFERROR(__xludf.DUMMYFUNCTION("""COMPUTED_VALUE"""),46196.0)</f>
        <v>46196</v>
      </c>
      <c r="C2150" s="165" t="str">
        <f>IFERROR(__xludf.DUMMYFUNCTION("""COMPUTED_VALUE"""),"KYAI KONTONG")</f>
        <v>KYAI KONTONG</v>
      </c>
      <c r="D2150" s="94">
        <f>IFERROR(__xludf.DUMMYFUNCTION("""COMPUTED_VALUE"""),50.0)</f>
        <v>50</v>
      </c>
    </row>
    <row r="2151">
      <c r="A2151" s="87" t="str">
        <f>IFERROR(__xludf.DUMMYFUNCTION("""COMPUTED_VALUE"""),"ITBISA-IC-ULN2803APG-DIP18")</f>
        <v>ITBISA-IC-ULN2803APG-DIP18</v>
      </c>
      <c r="B2151" s="165">
        <f>IFERROR(__xludf.DUMMYFUNCTION("""COMPUTED_VALUE"""),46031.0)</f>
        <v>46031</v>
      </c>
      <c r="C2151" s="165" t="str">
        <f>IFERROR(__xludf.DUMMYFUNCTION("""COMPUTED_VALUE"""),"KYAI KONTONG")</f>
        <v>KYAI KONTONG</v>
      </c>
      <c r="D2151" s="94">
        <f>IFERROR(__xludf.DUMMYFUNCTION("""COMPUTED_VALUE"""),25.0)</f>
        <v>25</v>
      </c>
    </row>
    <row r="2152">
      <c r="A2152" s="87" t="str">
        <f>IFERROR(__xludf.DUMMYFUNCTION("""COMPUTED_VALUE"""),"ITBISA-IC-ULN2803APG-DIP18")</f>
        <v>ITBISA-IC-ULN2803APG-DIP18</v>
      </c>
      <c r="B2152" s="165">
        <f>IFERROR(__xludf.DUMMYFUNCTION("""COMPUTED_VALUE"""),46032.0)</f>
        <v>46032</v>
      </c>
      <c r="C2152" s="165" t="str">
        <f>IFERROR(__xludf.DUMMYFUNCTION("""COMPUTED_VALUE"""),"KERTASARI CIAMIS")</f>
        <v>KERTASARI CIAMIS</v>
      </c>
      <c r="D2152" s="94">
        <f>IFERROR(__xludf.DUMMYFUNCTION("""COMPUTED_VALUE"""),6.0)</f>
        <v>6</v>
      </c>
    </row>
    <row r="2153">
      <c r="A2153" s="87" t="str">
        <f>IFERROR(__xludf.DUMMYFUNCTION("""COMPUTED_VALUE"""),"ITBISA-IC-ULN2803APG-DIP18")</f>
        <v>ITBISA-IC-ULN2803APG-DIP18</v>
      </c>
      <c r="B2153" s="165">
        <f>IFERROR(__xludf.DUMMYFUNCTION("""COMPUTED_VALUE"""),46034.0)</f>
        <v>46034</v>
      </c>
      <c r="C2153" s="165" t="str">
        <f>IFERROR(__xludf.DUMMYFUNCTION("""COMPUTED_VALUE"""),"KYAI KONTONG")</f>
        <v>KYAI KONTONG</v>
      </c>
      <c r="D2153" s="94">
        <f>IFERROR(__xludf.DUMMYFUNCTION("""COMPUTED_VALUE"""),5.0)</f>
        <v>5</v>
      </c>
    </row>
    <row r="2154">
      <c r="A2154" s="87" t="str">
        <f>IFERROR(__xludf.DUMMYFUNCTION("""COMPUTED_VALUE"""),"ITBISA-IC-ULN2803APG-DIP18")</f>
        <v>ITBISA-IC-ULN2803APG-DIP18</v>
      </c>
      <c r="B2154" s="165">
        <f>IFERROR(__xludf.DUMMYFUNCTION("""COMPUTED_VALUE"""),46042.0)</f>
        <v>46042</v>
      </c>
      <c r="C2154" s="165" t="str">
        <f>IFERROR(__xludf.DUMMYFUNCTION("""COMPUTED_VALUE"""),"KYAI KONTONG")</f>
        <v>KYAI KONTONG</v>
      </c>
      <c r="D2154" s="94">
        <f>IFERROR(__xludf.DUMMYFUNCTION("""COMPUTED_VALUE"""),80.0)</f>
        <v>80</v>
      </c>
    </row>
    <row r="2155">
      <c r="A2155" s="87" t="str">
        <f>IFERROR(__xludf.DUMMYFUNCTION("""COMPUTED_VALUE"""),"ITBISA-IC-ULN2803APG-DIP18")</f>
        <v>ITBISA-IC-ULN2803APG-DIP18</v>
      </c>
      <c r="B2155" s="165">
        <f>IFERROR(__xludf.DUMMYFUNCTION("""COMPUTED_VALUE"""),46051.0)</f>
        <v>46051</v>
      </c>
      <c r="C2155" s="165" t="str">
        <f>IFERROR(__xludf.DUMMYFUNCTION("""COMPUTED_VALUE"""),"KYAI KONTONG")</f>
        <v>KYAI KONTONG</v>
      </c>
      <c r="D2155" s="94">
        <f>IFERROR(__xludf.DUMMYFUNCTION("""COMPUTED_VALUE"""),7.0)</f>
        <v>7</v>
      </c>
    </row>
    <row r="2156">
      <c r="A2156" s="87" t="str">
        <f>IFERROR(__xludf.DUMMYFUNCTION("""COMPUTED_VALUE"""),"ITBISA-IC-ULN2803APG-DIP18")</f>
        <v>ITBISA-IC-ULN2803APG-DIP18</v>
      </c>
      <c r="B2156" s="165">
        <f>IFERROR(__xludf.DUMMYFUNCTION("""COMPUTED_VALUE"""),46051.0)</f>
        <v>46051</v>
      </c>
      <c r="C2156" s="165" t="str">
        <f>IFERROR(__xludf.DUMMYFUNCTION("""COMPUTED_VALUE"""),"KYAI KONTONG")</f>
        <v>KYAI KONTONG</v>
      </c>
      <c r="D2156" s="94">
        <f>IFERROR(__xludf.DUMMYFUNCTION("""COMPUTED_VALUE"""),40.0)</f>
        <v>40</v>
      </c>
    </row>
    <row r="2157">
      <c r="A2157" s="87" t="str">
        <f>IFERROR(__xludf.DUMMYFUNCTION("""COMPUTED_VALUE"""),"ITBISA-IC-ULN2803APG-DIP18")</f>
        <v>ITBISA-IC-ULN2803APG-DIP18</v>
      </c>
      <c r="B2157" s="165">
        <f>IFERROR(__xludf.DUMMYFUNCTION("""COMPUTED_VALUE"""),46055.0)</f>
        <v>46055</v>
      </c>
      <c r="C2157" s="165" t="str">
        <f>IFERROR(__xludf.DUMMYFUNCTION("""COMPUTED_VALUE"""),"KYAI KONTONG")</f>
        <v>KYAI KONTONG</v>
      </c>
      <c r="D2157" s="94">
        <f>IFERROR(__xludf.DUMMYFUNCTION("""COMPUTED_VALUE"""),20.0)</f>
        <v>20</v>
      </c>
    </row>
    <row r="2158">
      <c r="A2158" s="87" t="str">
        <f>IFERROR(__xludf.DUMMYFUNCTION("""COMPUTED_VALUE"""),"ITBISA-IC-ULN2803APG-DIP18")</f>
        <v>ITBISA-IC-ULN2803APG-DIP18</v>
      </c>
      <c r="B2158" s="165">
        <f>IFERROR(__xludf.DUMMYFUNCTION("""COMPUTED_VALUE"""),46058.0)</f>
        <v>46058</v>
      </c>
      <c r="C2158" s="165" t="str">
        <f>IFERROR(__xludf.DUMMYFUNCTION("""COMPUTED_VALUE"""),"KYAI KONTONG")</f>
        <v>KYAI KONTONG</v>
      </c>
      <c r="D2158" s="94">
        <f>IFERROR(__xludf.DUMMYFUNCTION("""COMPUTED_VALUE"""),150.0)</f>
        <v>150</v>
      </c>
    </row>
    <row r="2159">
      <c r="A2159" s="87" t="str">
        <f>IFERROR(__xludf.DUMMYFUNCTION("""COMPUTED_VALUE"""),"ITBISA-IC-ULN2803APG-DIP18")</f>
        <v>ITBISA-IC-ULN2803APG-DIP18</v>
      </c>
      <c r="B2159" s="165">
        <f>IFERROR(__xludf.DUMMYFUNCTION("""COMPUTED_VALUE"""),46066.0)</f>
        <v>46066</v>
      </c>
      <c r="C2159" s="165" t="str">
        <f>IFERROR(__xludf.DUMMYFUNCTION("""COMPUTED_VALUE"""),"KERTASARI CIAMIS")</f>
        <v>KERTASARI CIAMIS</v>
      </c>
      <c r="D2159" s="94">
        <f>IFERROR(__xludf.DUMMYFUNCTION("""COMPUTED_VALUE"""),50.0)</f>
        <v>50</v>
      </c>
    </row>
    <row r="2160">
      <c r="A2160" s="87" t="str">
        <f>IFERROR(__xludf.DUMMYFUNCTION("""COMPUTED_VALUE"""),"ITBISA-IC-ULN2803APG-DIP18")</f>
        <v>ITBISA-IC-ULN2803APG-DIP18</v>
      </c>
      <c r="B2160" s="165">
        <f>IFERROR(__xludf.DUMMYFUNCTION("""COMPUTED_VALUE"""),46071.0)</f>
        <v>46071</v>
      </c>
      <c r="C2160" s="165" t="str">
        <f>IFERROR(__xludf.DUMMYFUNCTION("""COMPUTED_VALUE"""),"KYAI KONTONG")</f>
        <v>KYAI KONTONG</v>
      </c>
      <c r="D2160" s="94">
        <f>IFERROR(__xludf.DUMMYFUNCTION("""COMPUTED_VALUE"""),1.0)</f>
        <v>1</v>
      </c>
    </row>
    <row r="2161">
      <c r="A2161" s="87" t="str">
        <f>IFERROR(__xludf.DUMMYFUNCTION("""COMPUTED_VALUE"""),"ITBISA-IC-ULN2803APG-DIP18")</f>
        <v>ITBISA-IC-ULN2803APG-DIP18</v>
      </c>
      <c r="B2161" s="165">
        <f>IFERROR(__xludf.DUMMYFUNCTION("""COMPUTED_VALUE"""),46075.0)</f>
        <v>46075</v>
      </c>
      <c r="C2161" s="165" t="str">
        <f>IFERROR(__xludf.DUMMYFUNCTION("""COMPUTED_VALUE"""),"KYAI KONTONG")</f>
        <v>KYAI KONTONG</v>
      </c>
      <c r="D2161" s="94">
        <f>IFERROR(__xludf.DUMMYFUNCTION("""COMPUTED_VALUE"""),8.0)</f>
        <v>8</v>
      </c>
    </row>
    <row r="2162">
      <c r="A2162" s="87" t="str">
        <f>IFERROR(__xludf.DUMMYFUNCTION("""COMPUTED_VALUE"""),"ITBISA-IC-ULN2803APG-DIP18")</f>
        <v>ITBISA-IC-ULN2803APG-DIP18</v>
      </c>
      <c r="B2162" s="165">
        <f>IFERROR(__xludf.DUMMYFUNCTION("""COMPUTED_VALUE"""),46077.0)</f>
        <v>46077</v>
      </c>
      <c r="C2162" s="165" t="str">
        <f>IFERROR(__xludf.DUMMYFUNCTION("""COMPUTED_VALUE"""),"KYAI KONTONG")</f>
        <v>KYAI KONTONG</v>
      </c>
      <c r="D2162" s="94">
        <f>IFERROR(__xludf.DUMMYFUNCTION("""COMPUTED_VALUE"""),100.0)</f>
        <v>100</v>
      </c>
    </row>
    <row r="2163">
      <c r="A2163" s="87" t="str">
        <f>IFERROR(__xludf.DUMMYFUNCTION("""COMPUTED_VALUE"""),"ITBISA-IC-ULN2803APG-DIP18")</f>
        <v>ITBISA-IC-ULN2803APG-DIP18</v>
      </c>
      <c r="B2163" s="165">
        <f>IFERROR(__xludf.DUMMYFUNCTION("""COMPUTED_VALUE"""),46078.0)</f>
        <v>46078</v>
      </c>
      <c r="C2163" s="165" t="str">
        <f>IFERROR(__xludf.DUMMYFUNCTION("""COMPUTED_VALUE"""),"KYAI KONTONG")</f>
        <v>KYAI KONTONG</v>
      </c>
      <c r="D2163" s="94">
        <f>IFERROR(__xludf.DUMMYFUNCTION("""COMPUTED_VALUE"""),15.0)</f>
        <v>15</v>
      </c>
    </row>
    <row r="2164">
      <c r="A2164" s="87" t="str">
        <f>IFERROR(__xludf.DUMMYFUNCTION("""COMPUTED_VALUE"""),"ITBISA-IC-ULN2803APG-DIP18")</f>
        <v>ITBISA-IC-ULN2803APG-DIP18</v>
      </c>
      <c r="B2164" s="165">
        <f>IFERROR(__xludf.DUMMYFUNCTION("""COMPUTED_VALUE"""),46079.0)</f>
        <v>46079</v>
      </c>
      <c r="C2164" s="165" t="str">
        <f>IFERROR(__xludf.DUMMYFUNCTION("""COMPUTED_VALUE"""),"KYAI KONTONG")</f>
        <v>KYAI KONTONG</v>
      </c>
      <c r="D2164" s="94">
        <f>IFERROR(__xludf.DUMMYFUNCTION("""COMPUTED_VALUE"""),20.0)</f>
        <v>20</v>
      </c>
    </row>
    <row r="2165">
      <c r="A2165" s="87" t="str">
        <f>IFERROR(__xludf.DUMMYFUNCTION("""COMPUTED_VALUE"""),"ITBISA-IC-ULN2803APG-DIP18")</f>
        <v>ITBISA-IC-ULN2803APG-DIP18</v>
      </c>
      <c r="B2165" s="165">
        <f>IFERROR(__xludf.DUMMYFUNCTION("""COMPUTED_VALUE"""),46084.0)</f>
        <v>46084</v>
      </c>
      <c r="C2165" s="165" t="str">
        <f>IFERROR(__xludf.DUMMYFUNCTION("""COMPUTED_VALUE"""),"KYAI KONTONG")</f>
        <v>KYAI KONTONG</v>
      </c>
      <c r="D2165" s="94">
        <f>IFERROR(__xludf.DUMMYFUNCTION("""COMPUTED_VALUE"""),20.0)</f>
        <v>20</v>
      </c>
    </row>
    <row r="2166">
      <c r="A2166" s="87" t="str">
        <f>IFERROR(__xludf.DUMMYFUNCTION("""COMPUTED_VALUE"""),"ITBISA-IC-ULN2803APG-DIP18")</f>
        <v>ITBISA-IC-ULN2803APG-DIP18</v>
      </c>
      <c r="B2166" s="165">
        <f>IFERROR(__xludf.DUMMYFUNCTION("""COMPUTED_VALUE"""),46086.0)</f>
        <v>46086</v>
      </c>
      <c r="C2166" s="165" t="str">
        <f>IFERROR(__xludf.DUMMYFUNCTION("""COMPUTED_VALUE"""),"KERTASARI CIAMIS")</f>
        <v>KERTASARI CIAMIS</v>
      </c>
      <c r="D2166" s="94">
        <f>IFERROR(__xludf.DUMMYFUNCTION("""COMPUTED_VALUE"""),100.0)</f>
        <v>100</v>
      </c>
    </row>
    <row r="2167">
      <c r="A2167" s="87" t="str">
        <f>IFERROR(__xludf.DUMMYFUNCTION("""COMPUTED_VALUE"""),"ITBISA-IC-ULN2803APG-DIP18")</f>
        <v>ITBISA-IC-ULN2803APG-DIP18</v>
      </c>
      <c r="B2167" s="165">
        <f>IFERROR(__xludf.DUMMYFUNCTION("""COMPUTED_VALUE"""),46093.0)</f>
        <v>46093</v>
      </c>
      <c r="C2167" s="165" t="str">
        <f>IFERROR(__xludf.DUMMYFUNCTION("""COMPUTED_VALUE"""),"KYAI KONTONG")</f>
        <v>KYAI KONTONG</v>
      </c>
      <c r="D2167" s="94">
        <f>IFERROR(__xludf.DUMMYFUNCTION("""COMPUTED_VALUE"""),10.0)</f>
        <v>10</v>
      </c>
    </row>
    <row r="2168">
      <c r="A2168" s="87" t="str">
        <f>IFERROR(__xludf.DUMMYFUNCTION("""COMPUTED_VALUE"""),"ITBISA-IC-ULN2803APG-DIP18")</f>
        <v>ITBISA-IC-ULN2803APG-DIP18</v>
      </c>
      <c r="B2168" s="165">
        <f>IFERROR(__xludf.DUMMYFUNCTION("""COMPUTED_VALUE"""),46134.0)</f>
        <v>46134</v>
      </c>
      <c r="C2168" s="165" t="str">
        <f>IFERROR(__xludf.DUMMYFUNCTION("""COMPUTED_VALUE"""),"KYAI KONTONG")</f>
        <v>KYAI KONTONG</v>
      </c>
      <c r="D2168" s="94">
        <f>IFERROR(__xludf.DUMMYFUNCTION("""COMPUTED_VALUE"""),20.0)</f>
        <v>20</v>
      </c>
    </row>
    <row r="2169">
      <c r="A2169" s="87" t="str">
        <f>IFERROR(__xludf.DUMMYFUNCTION("""COMPUTED_VALUE"""),"ITBISA-IC-ULN2803APG-DIP18")</f>
        <v>ITBISA-IC-ULN2803APG-DIP18</v>
      </c>
      <c r="B2169" s="165">
        <f>IFERROR(__xludf.DUMMYFUNCTION("""COMPUTED_VALUE"""),46138.0)</f>
        <v>46138</v>
      </c>
      <c r="C2169" s="165" t="str">
        <f>IFERROR(__xludf.DUMMYFUNCTION("""COMPUTED_VALUE"""),"KYAI KONTONG")</f>
        <v>KYAI KONTONG</v>
      </c>
      <c r="D2169" s="94">
        <f>IFERROR(__xludf.DUMMYFUNCTION("""COMPUTED_VALUE"""),18.0)</f>
        <v>18</v>
      </c>
    </row>
    <row r="2170">
      <c r="A2170" s="87" t="str">
        <f>IFERROR(__xludf.DUMMYFUNCTION("""COMPUTED_VALUE"""),"ITBISA-IC-ULN2803APG-DIP18")</f>
        <v>ITBISA-IC-ULN2803APG-DIP18</v>
      </c>
      <c r="B2170" s="165">
        <f>IFERROR(__xludf.DUMMYFUNCTION("""COMPUTED_VALUE"""),46144.0)</f>
        <v>46144</v>
      </c>
      <c r="C2170" s="165" t="str">
        <f>IFERROR(__xludf.DUMMYFUNCTION("""COMPUTED_VALUE"""),"KYAI KONTONG")</f>
        <v>KYAI KONTONG</v>
      </c>
      <c r="D2170" s="94">
        <f>IFERROR(__xludf.DUMMYFUNCTION("""COMPUTED_VALUE"""),10.0)</f>
        <v>10</v>
      </c>
    </row>
    <row r="2171">
      <c r="A2171" s="87" t="str">
        <f>IFERROR(__xludf.DUMMYFUNCTION("""COMPUTED_VALUE"""),"ITBISA-IC-ULN2803APG-DIP18")</f>
        <v>ITBISA-IC-ULN2803APG-DIP18</v>
      </c>
      <c r="B2171" s="165">
        <f>IFERROR(__xludf.DUMMYFUNCTION("""COMPUTED_VALUE"""),46146.0)</f>
        <v>46146</v>
      </c>
      <c r="C2171" s="165" t="str">
        <f>IFERROR(__xludf.DUMMYFUNCTION("""COMPUTED_VALUE"""),"KYAI KONTONG")</f>
        <v>KYAI KONTONG</v>
      </c>
      <c r="D2171" s="94">
        <f>IFERROR(__xludf.DUMMYFUNCTION("""COMPUTED_VALUE"""),150.0)</f>
        <v>150</v>
      </c>
    </row>
    <row r="2172">
      <c r="A2172" s="87" t="str">
        <f>IFERROR(__xludf.DUMMYFUNCTION("""COMPUTED_VALUE"""),"ITBISA-IC-ULN2803APG-DIP18")</f>
        <v>ITBISA-IC-ULN2803APG-DIP18</v>
      </c>
      <c r="B2172" s="165">
        <f>IFERROR(__xludf.DUMMYFUNCTION("""COMPUTED_VALUE"""),46153.0)</f>
        <v>46153</v>
      </c>
      <c r="C2172" s="165" t="str">
        <f>IFERROR(__xludf.DUMMYFUNCTION("""COMPUTED_VALUE"""),"KYAI KONTONG")</f>
        <v>KYAI KONTONG</v>
      </c>
      <c r="D2172" s="94">
        <f>IFERROR(__xludf.DUMMYFUNCTION("""COMPUTED_VALUE"""),40.0)</f>
        <v>40</v>
      </c>
    </row>
    <row r="2173">
      <c r="A2173" s="87" t="str">
        <f>IFERROR(__xludf.DUMMYFUNCTION("""COMPUTED_VALUE"""),"ITBISA-IC-ULN2803APG-DIP18")</f>
        <v>ITBISA-IC-ULN2803APG-DIP18</v>
      </c>
      <c r="B2173" s="165">
        <f>IFERROR(__xludf.DUMMYFUNCTION("""COMPUTED_VALUE"""),46154.0)</f>
        <v>46154</v>
      </c>
      <c r="C2173" s="165" t="str">
        <f>IFERROR(__xludf.DUMMYFUNCTION("""COMPUTED_VALUE"""),"KYAI KONTONG")</f>
        <v>KYAI KONTONG</v>
      </c>
      <c r="D2173" s="94">
        <f>IFERROR(__xludf.DUMMYFUNCTION("""COMPUTED_VALUE"""),50.0)</f>
        <v>50</v>
      </c>
    </row>
    <row r="2174">
      <c r="A2174" s="87" t="str">
        <f>IFERROR(__xludf.DUMMYFUNCTION("""COMPUTED_VALUE"""),"ITBISA-IC-ULN2803APG-DIP18")</f>
        <v>ITBISA-IC-ULN2803APG-DIP18</v>
      </c>
      <c r="B2174" s="165">
        <f>IFERROR(__xludf.DUMMYFUNCTION("""COMPUTED_VALUE"""),46163.0)</f>
        <v>46163</v>
      </c>
      <c r="C2174" s="165" t="str">
        <f>IFERROR(__xludf.DUMMYFUNCTION("""COMPUTED_VALUE"""),"KYAI KONTONG")</f>
        <v>KYAI KONTONG</v>
      </c>
      <c r="D2174" s="94">
        <f>IFERROR(__xludf.DUMMYFUNCTION("""COMPUTED_VALUE"""),50.0)</f>
        <v>50</v>
      </c>
    </row>
    <row r="2175">
      <c r="A2175" s="87" t="str">
        <f>IFERROR(__xludf.DUMMYFUNCTION("""COMPUTED_VALUE"""),"ITBISA-IC-ULN2803APG-DIP18")</f>
        <v>ITBISA-IC-ULN2803APG-DIP18</v>
      </c>
      <c r="B2175" s="165">
        <f>IFERROR(__xludf.DUMMYFUNCTION("""COMPUTED_VALUE"""),46165.0)</f>
        <v>46165</v>
      </c>
      <c r="C2175" s="165" t="str">
        <f>IFERROR(__xludf.DUMMYFUNCTION("""COMPUTED_VALUE"""),"KYAI KONTONG")</f>
        <v>KYAI KONTONG</v>
      </c>
      <c r="D2175" s="94">
        <f>IFERROR(__xludf.DUMMYFUNCTION("""COMPUTED_VALUE"""),6.0)</f>
        <v>6</v>
      </c>
    </row>
    <row r="2176">
      <c r="A2176" s="87" t="str">
        <f>IFERROR(__xludf.DUMMYFUNCTION("""COMPUTED_VALUE"""),"ITBISA-IC-ULN2803APG-DIP18")</f>
        <v>ITBISA-IC-ULN2803APG-DIP18</v>
      </c>
      <c r="B2176" s="165">
        <f>IFERROR(__xludf.DUMMYFUNCTION("""COMPUTED_VALUE"""),46170.0)</f>
        <v>46170</v>
      </c>
      <c r="C2176" s="165" t="str">
        <f>IFERROR(__xludf.DUMMYFUNCTION("""COMPUTED_VALUE"""),"KYAI KONTONG")</f>
        <v>KYAI KONTONG</v>
      </c>
      <c r="D2176" s="94">
        <f>IFERROR(__xludf.DUMMYFUNCTION("""COMPUTED_VALUE"""),5.0)</f>
        <v>5</v>
      </c>
    </row>
    <row r="2177">
      <c r="A2177" s="87" t="str">
        <f>IFERROR(__xludf.DUMMYFUNCTION("""COMPUTED_VALUE"""),"ITBISA-IC-ULN2803APG-DIP18")</f>
        <v>ITBISA-IC-ULN2803APG-DIP18</v>
      </c>
      <c r="B2177" s="165">
        <f>IFERROR(__xludf.DUMMYFUNCTION("""COMPUTED_VALUE"""),46170.0)</f>
        <v>46170</v>
      </c>
      <c r="C2177" s="165" t="str">
        <f>IFERROR(__xludf.DUMMYFUNCTION("""COMPUTED_VALUE"""),"KYAI KONTONG")</f>
        <v>KYAI KONTONG</v>
      </c>
      <c r="D2177" s="94">
        <f>IFERROR(__xludf.DUMMYFUNCTION("""COMPUTED_VALUE"""),5.0)</f>
        <v>5</v>
      </c>
    </row>
    <row r="2178">
      <c r="A2178" s="87" t="str">
        <f>IFERROR(__xludf.DUMMYFUNCTION("""COMPUTED_VALUE"""),"ITBISA-IC-ULN2803APG-DIP18")</f>
        <v>ITBISA-IC-ULN2803APG-DIP18</v>
      </c>
      <c r="B2178" s="165">
        <f>IFERROR(__xludf.DUMMYFUNCTION("""COMPUTED_VALUE"""),46171.0)</f>
        <v>46171</v>
      </c>
      <c r="C2178" s="165" t="str">
        <f>IFERROR(__xludf.DUMMYFUNCTION("""COMPUTED_VALUE"""),"KYAI KONTONG")</f>
        <v>KYAI KONTONG</v>
      </c>
      <c r="D2178" s="94">
        <f>IFERROR(__xludf.DUMMYFUNCTION("""COMPUTED_VALUE"""),20.0)</f>
        <v>20</v>
      </c>
    </row>
    <row r="2179">
      <c r="A2179" s="87" t="str">
        <f>IFERROR(__xludf.DUMMYFUNCTION("""COMPUTED_VALUE"""),"ITBISA-IC-ULN2803APG-DIP18")</f>
        <v>ITBISA-IC-ULN2803APG-DIP18</v>
      </c>
      <c r="B2179" s="165">
        <f>IFERROR(__xludf.DUMMYFUNCTION("""COMPUTED_VALUE"""),46172.0)</f>
        <v>46172</v>
      </c>
      <c r="C2179" s="165" t="str">
        <f>IFERROR(__xludf.DUMMYFUNCTION("""COMPUTED_VALUE"""),"KYAI KONTONG")</f>
        <v>KYAI KONTONG</v>
      </c>
      <c r="D2179" s="94">
        <f>IFERROR(__xludf.DUMMYFUNCTION("""COMPUTED_VALUE"""),7.0)</f>
        <v>7</v>
      </c>
    </row>
    <row r="2180">
      <c r="A2180" s="87" t="str">
        <f>IFERROR(__xludf.DUMMYFUNCTION("""COMPUTED_VALUE"""),"ITBISA-IC-ULN2803APG-DIP18")</f>
        <v>ITBISA-IC-ULN2803APG-DIP18</v>
      </c>
      <c r="B2180" s="165">
        <f>IFERROR(__xludf.DUMMYFUNCTION("""COMPUTED_VALUE"""),46174.0)</f>
        <v>46174</v>
      </c>
      <c r="C2180" s="165" t="str">
        <f>IFERROR(__xludf.DUMMYFUNCTION("""COMPUTED_VALUE"""),"KYAI KONTONG")</f>
        <v>KYAI KONTONG</v>
      </c>
      <c r="D2180" s="94">
        <f>IFERROR(__xludf.DUMMYFUNCTION("""COMPUTED_VALUE"""),7.0)</f>
        <v>7</v>
      </c>
    </row>
    <row r="2181">
      <c r="A2181" s="87" t="str">
        <f>IFERROR(__xludf.DUMMYFUNCTION("""COMPUTED_VALUE"""),"ITBISA-IC-ULN2803APG-DIP18")</f>
        <v>ITBISA-IC-ULN2803APG-DIP18</v>
      </c>
      <c r="B2181" s="165">
        <f>IFERROR(__xludf.DUMMYFUNCTION("""COMPUTED_VALUE"""),46191.0)</f>
        <v>46191</v>
      </c>
      <c r="C2181" s="165" t="str">
        <f>IFERROR(__xludf.DUMMYFUNCTION("""COMPUTED_VALUE"""),"KYAI KONTONG")</f>
        <v>KYAI KONTONG</v>
      </c>
      <c r="D2181" s="94">
        <f>IFERROR(__xludf.DUMMYFUNCTION("""COMPUTED_VALUE"""),10.0)</f>
        <v>10</v>
      </c>
    </row>
    <row r="2182">
      <c r="A2182" s="87" t="str">
        <f>IFERROR(__xludf.DUMMYFUNCTION("""COMPUTED_VALUE"""),"ITBISA-IDC-2X5-AMPHENOL-FEMALE")</f>
        <v>ITBISA-IDC-2X5-AMPHENOL-FEMALE</v>
      </c>
      <c r="B2182" s="165">
        <f>IFERROR(__xludf.DUMMYFUNCTION("""COMPUTED_VALUE"""),46024.0)</f>
        <v>46024</v>
      </c>
      <c r="C2182" s="165" t="str">
        <f>IFERROR(__xludf.DUMMYFUNCTION("""COMPUTED_VALUE"""),"KYAI KONTONG")</f>
        <v>KYAI KONTONG</v>
      </c>
      <c r="D2182" s="94">
        <f>IFERROR(__xludf.DUMMYFUNCTION("""COMPUTED_VALUE"""),100.0)</f>
        <v>100</v>
      </c>
    </row>
    <row r="2183">
      <c r="A2183" s="87" t="str">
        <f>IFERROR(__xludf.DUMMYFUNCTION("""COMPUTED_VALUE"""),"ITBISA-IDC-2X5-AMPHENOL-FEMALE")</f>
        <v>ITBISA-IDC-2X5-AMPHENOL-FEMALE</v>
      </c>
      <c r="B2183" s="165">
        <f>IFERROR(__xludf.DUMMYFUNCTION("""COMPUTED_VALUE"""),46027.0)</f>
        <v>46027</v>
      </c>
      <c r="C2183" s="165" t="str">
        <f>IFERROR(__xludf.DUMMYFUNCTION("""COMPUTED_VALUE"""),"KERTASARI CIAMIS")</f>
        <v>KERTASARI CIAMIS</v>
      </c>
      <c r="D2183" s="94">
        <f>IFERROR(__xludf.DUMMYFUNCTION("""COMPUTED_VALUE"""),10.0)</f>
        <v>10</v>
      </c>
    </row>
    <row r="2184">
      <c r="A2184" s="87" t="str">
        <f>IFERROR(__xludf.DUMMYFUNCTION("""COMPUTED_VALUE"""),"ITBISA-IDC-2X5-AMPHENOL-FEMALE")</f>
        <v>ITBISA-IDC-2X5-AMPHENOL-FEMALE</v>
      </c>
      <c r="B2184" s="165">
        <f>IFERROR(__xludf.DUMMYFUNCTION("""COMPUTED_VALUE"""),46028.0)</f>
        <v>46028</v>
      </c>
      <c r="C2184" s="165" t="str">
        <f>IFERROR(__xludf.DUMMYFUNCTION("""COMPUTED_VALUE"""),"KYAI KONTONG")</f>
        <v>KYAI KONTONG</v>
      </c>
      <c r="D2184" s="94">
        <f>IFERROR(__xludf.DUMMYFUNCTION("""COMPUTED_VALUE"""),10.0)</f>
        <v>10</v>
      </c>
    </row>
    <row r="2185">
      <c r="A2185" s="87" t="str">
        <f>IFERROR(__xludf.DUMMYFUNCTION("""COMPUTED_VALUE"""),"ITBISA-IDC-2X5-AMPHENOL-FEMALE")</f>
        <v>ITBISA-IDC-2X5-AMPHENOL-FEMALE</v>
      </c>
      <c r="B2185" s="165">
        <f>IFERROR(__xludf.DUMMYFUNCTION("""COMPUTED_VALUE"""),46031.0)</f>
        <v>46031</v>
      </c>
      <c r="C2185" s="165" t="str">
        <f>IFERROR(__xludf.DUMMYFUNCTION("""COMPUTED_VALUE"""),"KERTASARI CIAMIS")</f>
        <v>KERTASARI CIAMIS</v>
      </c>
      <c r="D2185" s="94">
        <f>IFERROR(__xludf.DUMMYFUNCTION("""COMPUTED_VALUE"""),110.0)</f>
        <v>110</v>
      </c>
    </row>
    <row r="2186">
      <c r="A2186" s="87" t="str">
        <f>IFERROR(__xludf.DUMMYFUNCTION("""COMPUTED_VALUE"""),"ITBISA-IDC-2X5-AMPHENOL-FEMALE")</f>
        <v>ITBISA-IDC-2X5-AMPHENOL-FEMALE</v>
      </c>
      <c r="B2186" s="165">
        <f>IFERROR(__xludf.DUMMYFUNCTION("""COMPUTED_VALUE"""),46039.0)</f>
        <v>46039</v>
      </c>
      <c r="C2186" s="165" t="str">
        <f>IFERROR(__xludf.DUMMYFUNCTION("""COMPUTED_VALUE"""),"KYAI KONTONG")</f>
        <v>KYAI KONTONG</v>
      </c>
      <c r="D2186" s="94">
        <f>IFERROR(__xludf.DUMMYFUNCTION("""COMPUTED_VALUE"""),100.0)</f>
        <v>100</v>
      </c>
    </row>
    <row r="2187">
      <c r="A2187" s="87" t="str">
        <f>IFERROR(__xludf.DUMMYFUNCTION("""COMPUTED_VALUE"""),"ITBISA-IDC-2X5-AMPHENOL-FEMALE")</f>
        <v>ITBISA-IDC-2X5-AMPHENOL-FEMALE</v>
      </c>
      <c r="B2187" s="165">
        <f>IFERROR(__xludf.DUMMYFUNCTION("""COMPUTED_VALUE"""),46046.0)</f>
        <v>46046</v>
      </c>
      <c r="C2187" s="165" t="str">
        <f>IFERROR(__xludf.DUMMYFUNCTION("""COMPUTED_VALUE"""),"KYAI KONTONG")</f>
        <v>KYAI KONTONG</v>
      </c>
      <c r="D2187" s="94">
        <f>IFERROR(__xludf.DUMMYFUNCTION("""COMPUTED_VALUE"""),100.0)</f>
        <v>100</v>
      </c>
    </row>
    <row r="2188">
      <c r="A2188" s="87" t="str">
        <f>IFERROR(__xludf.DUMMYFUNCTION("""COMPUTED_VALUE"""),"ITBISA-IDC-2X5-AMPHENOL-FEMALE")</f>
        <v>ITBISA-IDC-2X5-AMPHENOL-FEMALE</v>
      </c>
      <c r="B2188" s="165">
        <f>IFERROR(__xludf.DUMMYFUNCTION("""COMPUTED_VALUE"""),46052.0)</f>
        <v>46052</v>
      </c>
      <c r="C2188" s="165" t="str">
        <f>IFERROR(__xludf.DUMMYFUNCTION("""COMPUTED_VALUE"""),"KERTASARI CIAMIS")</f>
        <v>KERTASARI CIAMIS</v>
      </c>
      <c r="D2188" s="94">
        <f>IFERROR(__xludf.DUMMYFUNCTION("""COMPUTED_VALUE"""),100.0)</f>
        <v>100</v>
      </c>
    </row>
    <row r="2189">
      <c r="A2189" s="87" t="str">
        <f>IFERROR(__xludf.DUMMYFUNCTION("""COMPUTED_VALUE"""),"ITBISA-IDC-2X5-AMPHENOL-FEMALE")</f>
        <v>ITBISA-IDC-2X5-AMPHENOL-FEMALE</v>
      </c>
      <c r="B2189" s="165">
        <f>IFERROR(__xludf.DUMMYFUNCTION("""COMPUTED_VALUE"""),46058.0)</f>
        <v>46058</v>
      </c>
      <c r="C2189" s="165" t="str">
        <f>IFERROR(__xludf.DUMMYFUNCTION("""COMPUTED_VALUE"""),"KERTASARI CIAMIS")</f>
        <v>KERTASARI CIAMIS</v>
      </c>
      <c r="D2189" s="94">
        <f>IFERROR(__xludf.DUMMYFUNCTION("""COMPUTED_VALUE"""),100.0)</f>
        <v>100</v>
      </c>
    </row>
    <row r="2190">
      <c r="A2190" s="87" t="str">
        <f>IFERROR(__xludf.DUMMYFUNCTION("""COMPUTED_VALUE"""),"ITBISA-IDC-2X5-AMPHENOL-FEMALE")</f>
        <v>ITBISA-IDC-2X5-AMPHENOL-FEMALE</v>
      </c>
      <c r="B2190" s="165">
        <f>IFERROR(__xludf.DUMMYFUNCTION("""COMPUTED_VALUE"""),46060.0)</f>
        <v>46060</v>
      </c>
      <c r="C2190" s="165" t="str">
        <f>IFERROR(__xludf.DUMMYFUNCTION("""COMPUTED_VALUE"""),"KYAI KONTONG")</f>
        <v>KYAI KONTONG</v>
      </c>
      <c r="D2190" s="94">
        <f>IFERROR(__xludf.DUMMYFUNCTION("""COMPUTED_VALUE"""),20.0)</f>
        <v>20</v>
      </c>
    </row>
    <row r="2191">
      <c r="A2191" s="87" t="str">
        <f>IFERROR(__xludf.DUMMYFUNCTION("""COMPUTED_VALUE"""),"ITBISA-IDC-2X5-AMPHENOL-FEMALE")</f>
        <v>ITBISA-IDC-2X5-AMPHENOL-FEMALE</v>
      </c>
      <c r="B2191" s="165">
        <f>IFERROR(__xludf.DUMMYFUNCTION("""COMPUTED_VALUE"""),46067.0)</f>
        <v>46067</v>
      </c>
      <c r="C2191" s="165" t="str">
        <f>IFERROR(__xludf.DUMMYFUNCTION("""COMPUTED_VALUE"""),"KERTASARI CIAMIS")</f>
        <v>KERTASARI CIAMIS</v>
      </c>
      <c r="D2191" s="94">
        <f>IFERROR(__xludf.DUMMYFUNCTION("""COMPUTED_VALUE"""),110.0)</f>
        <v>110</v>
      </c>
    </row>
    <row r="2192">
      <c r="A2192" s="87" t="str">
        <f>IFERROR(__xludf.DUMMYFUNCTION("""COMPUTED_VALUE"""),"ITBISA-IDC-2X5-AMPHENOL-FEMALE")</f>
        <v>ITBISA-IDC-2X5-AMPHENOL-FEMALE</v>
      </c>
      <c r="B2192" s="165">
        <f>IFERROR(__xludf.DUMMYFUNCTION("""COMPUTED_VALUE"""),46074.0)</f>
        <v>46074</v>
      </c>
      <c r="C2192" s="165" t="str">
        <f>IFERROR(__xludf.DUMMYFUNCTION("""COMPUTED_VALUE"""),"KERTASARI CIAMIS")</f>
        <v>KERTASARI CIAMIS</v>
      </c>
      <c r="D2192" s="94">
        <f>IFERROR(__xludf.DUMMYFUNCTION("""COMPUTED_VALUE"""),100.0)</f>
        <v>100</v>
      </c>
    </row>
    <row r="2193">
      <c r="A2193" s="87" t="str">
        <f>IFERROR(__xludf.DUMMYFUNCTION("""COMPUTED_VALUE"""),"ITBISA-IDC-2X5-AMPHENOL-FEMALE")</f>
        <v>ITBISA-IDC-2X5-AMPHENOL-FEMALE</v>
      </c>
      <c r="B2193" s="165">
        <f>IFERROR(__xludf.DUMMYFUNCTION("""COMPUTED_VALUE"""),46081.0)</f>
        <v>46081</v>
      </c>
      <c r="C2193" s="165" t="str">
        <f>IFERROR(__xludf.DUMMYFUNCTION("""COMPUTED_VALUE"""),"KERTASARI CIAMIS")</f>
        <v>KERTASARI CIAMIS</v>
      </c>
      <c r="D2193" s="94">
        <f>IFERROR(__xludf.DUMMYFUNCTION("""COMPUTED_VALUE"""),110.0)</f>
        <v>110</v>
      </c>
    </row>
    <row r="2194">
      <c r="A2194" s="87" t="str">
        <f>IFERROR(__xludf.DUMMYFUNCTION("""COMPUTED_VALUE"""),"ITBISA-IDC-2X5-AMPHENOL-FEMALE")</f>
        <v>ITBISA-IDC-2X5-AMPHENOL-FEMALE</v>
      </c>
      <c r="B2194" s="165">
        <f>IFERROR(__xludf.DUMMYFUNCTION("""COMPUTED_VALUE"""),46089.0)</f>
        <v>46089</v>
      </c>
      <c r="C2194" s="165" t="str">
        <f>IFERROR(__xludf.DUMMYFUNCTION("""COMPUTED_VALUE"""),"KYAI KONTONG")</f>
        <v>KYAI KONTONG</v>
      </c>
      <c r="D2194" s="94">
        <f>IFERROR(__xludf.DUMMYFUNCTION("""COMPUTED_VALUE"""),100.0)</f>
        <v>100</v>
      </c>
    </row>
    <row r="2195">
      <c r="A2195" s="87" t="str">
        <f>IFERROR(__xludf.DUMMYFUNCTION("""COMPUTED_VALUE"""),"ITBISA-IDC-2X5-AMPHENOL-FEMALE")</f>
        <v>ITBISA-IDC-2X5-AMPHENOL-FEMALE</v>
      </c>
      <c r="B2195" s="165">
        <f>IFERROR(__xludf.DUMMYFUNCTION("""COMPUTED_VALUE"""),46132.0)</f>
        <v>46132</v>
      </c>
      <c r="C2195" s="165" t="str">
        <f>IFERROR(__xludf.DUMMYFUNCTION("""COMPUTED_VALUE"""),"KYAI KONTONG")</f>
        <v>KYAI KONTONG</v>
      </c>
      <c r="D2195" s="94">
        <f>IFERROR(__xludf.DUMMYFUNCTION("""COMPUTED_VALUE"""),10.0)</f>
        <v>10</v>
      </c>
    </row>
    <row r="2196">
      <c r="A2196" s="87" t="str">
        <f>IFERROR(__xludf.DUMMYFUNCTION("""COMPUTED_VALUE"""),"ITBISA-IDC-2X5-AMPHENOL-FEMALE")</f>
        <v>ITBISA-IDC-2X5-AMPHENOL-FEMALE</v>
      </c>
      <c r="B2196" s="165">
        <f>IFERROR(__xludf.DUMMYFUNCTION("""COMPUTED_VALUE"""),46133.0)</f>
        <v>46133</v>
      </c>
      <c r="C2196" s="165" t="str">
        <f>IFERROR(__xludf.DUMMYFUNCTION("""COMPUTED_VALUE"""),"KYAI KONTONG")</f>
        <v>KYAI KONTONG</v>
      </c>
      <c r="D2196" s="94">
        <f>IFERROR(__xludf.DUMMYFUNCTION("""COMPUTED_VALUE"""),20.0)</f>
        <v>20</v>
      </c>
    </row>
    <row r="2197">
      <c r="A2197" s="87" t="str">
        <f>IFERROR(__xludf.DUMMYFUNCTION("""COMPUTED_VALUE"""),"ITBISA-IDC-2X5-AMPHENOL-FEMALE")</f>
        <v>ITBISA-IDC-2X5-AMPHENOL-FEMALE</v>
      </c>
      <c r="B2197" s="165">
        <f>IFERROR(__xludf.DUMMYFUNCTION("""COMPUTED_VALUE"""),46135.0)</f>
        <v>46135</v>
      </c>
      <c r="C2197" s="165" t="str">
        <f>IFERROR(__xludf.DUMMYFUNCTION("""COMPUTED_VALUE"""),"KYAI KONTONG")</f>
        <v>KYAI KONTONG</v>
      </c>
      <c r="D2197" s="94">
        <f>IFERROR(__xludf.DUMMYFUNCTION("""COMPUTED_VALUE"""),5.0)</f>
        <v>5</v>
      </c>
    </row>
    <row r="2198">
      <c r="A2198" s="87" t="str">
        <f>IFERROR(__xludf.DUMMYFUNCTION("""COMPUTED_VALUE"""),"ITBISA-IDC-2X5-AMPHENOL-FEMALE")</f>
        <v>ITBISA-IDC-2X5-AMPHENOL-FEMALE</v>
      </c>
      <c r="B2198" s="165">
        <f>IFERROR(__xludf.DUMMYFUNCTION("""COMPUTED_VALUE"""),46144.0)</f>
        <v>46144</v>
      </c>
      <c r="C2198" s="165" t="str">
        <f>IFERROR(__xludf.DUMMYFUNCTION("""COMPUTED_VALUE"""),"KYAI KONTONG")</f>
        <v>KYAI KONTONG</v>
      </c>
      <c r="D2198" s="94">
        <f>IFERROR(__xludf.DUMMYFUNCTION("""COMPUTED_VALUE"""),6.0)</f>
        <v>6</v>
      </c>
    </row>
    <row r="2199">
      <c r="A2199" s="87" t="str">
        <f>IFERROR(__xludf.DUMMYFUNCTION("""COMPUTED_VALUE"""),"ITBISA-IDC-2X5-AMPHENOL-FEMALE")</f>
        <v>ITBISA-IDC-2X5-AMPHENOL-FEMALE</v>
      </c>
      <c r="B2199" s="165">
        <f>IFERROR(__xludf.DUMMYFUNCTION("""COMPUTED_VALUE"""),46146.0)</f>
        <v>46146</v>
      </c>
      <c r="C2199" s="165" t="str">
        <f>IFERROR(__xludf.DUMMYFUNCTION("""COMPUTED_VALUE"""),"KYAI KONTONG")</f>
        <v>KYAI KONTONG</v>
      </c>
      <c r="D2199" s="94">
        <f>IFERROR(__xludf.DUMMYFUNCTION("""COMPUTED_VALUE"""),30.0)</f>
        <v>30</v>
      </c>
    </row>
    <row r="2200">
      <c r="A2200" s="87" t="str">
        <f>IFERROR(__xludf.DUMMYFUNCTION("""COMPUTED_VALUE"""),"ITBISA-IDC-2X5-AMPHENOL-FEMALE")</f>
        <v>ITBISA-IDC-2X5-AMPHENOL-FEMALE</v>
      </c>
      <c r="B2200" s="165">
        <f>IFERROR(__xludf.DUMMYFUNCTION("""COMPUTED_VALUE"""),46147.0)</f>
        <v>46147</v>
      </c>
      <c r="C2200" s="165" t="str">
        <f>IFERROR(__xludf.DUMMYFUNCTION("""COMPUTED_VALUE"""),"KYAI KONTONG")</f>
        <v>KYAI KONTONG</v>
      </c>
      <c r="D2200" s="94">
        <f>IFERROR(__xludf.DUMMYFUNCTION("""COMPUTED_VALUE"""),50.0)</f>
        <v>50</v>
      </c>
    </row>
    <row r="2201">
      <c r="A2201" s="87" t="str">
        <f>IFERROR(__xludf.DUMMYFUNCTION("""COMPUTED_VALUE"""),"ITBISA-IDC-2X5-AMPHENOL-FEMALE")</f>
        <v>ITBISA-IDC-2X5-AMPHENOL-FEMALE</v>
      </c>
      <c r="B2201" s="165">
        <f>IFERROR(__xludf.DUMMYFUNCTION("""COMPUTED_VALUE"""),46147.0)</f>
        <v>46147</v>
      </c>
      <c r="C2201" s="165" t="str">
        <f>IFERROR(__xludf.DUMMYFUNCTION("""COMPUTED_VALUE"""),"KYAI KONTONG")</f>
        <v>KYAI KONTONG</v>
      </c>
      <c r="D2201" s="94">
        <f>IFERROR(__xludf.DUMMYFUNCTION("""COMPUTED_VALUE"""),110.0)</f>
        <v>110</v>
      </c>
    </row>
    <row r="2202">
      <c r="A2202" s="87" t="str">
        <f>IFERROR(__xludf.DUMMYFUNCTION("""COMPUTED_VALUE"""),"ITBISA-IDC-2X5-AMPHENOL-FEMALE")</f>
        <v>ITBISA-IDC-2X5-AMPHENOL-FEMALE</v>
      </c>
      <c r="B2202" s="165">
        <f>IFERROR(__xludf.DUMMYFUNCTION("""COMPUTED_VALUE"""),46158.0)</f>
        <v>46158</v>
      </c>
      <c r="C2202" s="165" t="str">
        <f>IFERROR(__xludf.DUMMYFUNCTION("""COMPUTED_VALUE"""),"KYAI KONTONG")</f>
        <v>KYAI KONTONG</v>
      </c>
      <c r="D2202" s="94">
        <f>IFERROR(__xludf.DUMMYFUNCTION("""COMPUTED_VALUE"""),5.0)</f>
        <v>5</v>
      </c>
    </row>
    <row r="2203">
      <c r="A2203" s="87" t="str">
        <f>IFERROR(__xludf.DUMMYFUNCTION("""COMPUTED_VALUE"""),"ITBISA-IDC-2X5-AMPHENOL-FEMALE")</f>
        <v>ITBISA-IDC-2X5-AMPHENOL-FEMALE</v>
      </c>
      <c r="B2203" s="165">
        <f>IFERROR(__xludf.DUMMYFUNCTION("""COMPUTED_VALUE"""),46163.0)</f>
        <v>46163</v>
      </c>
      <c r="C2203" s="165" t="str">
        <f>IFERROR(__xludf.DUMMYFUNCTION("""COMPUTED_VALUE"""),"KYAI KONTONG")</f>
        <v>KYAI KONTONG</v>
      </c>
      <c r="D2203" s="94">
        <f>IFERROR(__xludf.DUMMYFUNCTION("""COMPUTED_VALUE"""),20.0)</f>
        <v>20</v>
      </c>
    </row>
    <row r="2204">
      <c r="A2204" s="87" t="str">
        <f>IFERROR(__xludf.DUMMYFUNCTION("""COMPUTED_VALUE"""),"ITBISA-IDC-2X5-AMPHENOL-FEMALE")</f>
        <v>ITBISA-IDC-2X5-AMPHENOL-FEMALE</v>
      </c>
      <c r="B2204" s="165">
        <f>IFERROR(__xludf.DUMMYFUNCTION("""COMPUTED_VALUE"""),46177.0)</f>
        <v>46177</v>
      </c>
      <c r="C2204" s="165" t="str">
        <f>IFERROR(__xludf.DUMMYFUNCTION("""COMPUTED_VALUE"""),"KYAI KONTONG")</f>
        <v>KYAI KONTONG</v>
      </c>
      <c r="D2204" s="94">
        <f>IFERROR(__xludf.DUMMYFUNCTION("""COMPUTED_VALUE"""),60.0)</f>
        <v>60</v>
      </c>
    </row>
    <row r="2205">
      <c r="A2205" s="87" t="str">
        <f>IFERROR(__xludf.DUMMYFUNCTION("""COMPUTED_VALUE"""),"ITBISA-IDC-2X5-AMPHENOL-FEMALE")</f>
        <v>ITBISA-IDC-2X5-AMPHENOL-FEMALE</v>
      </c>
      <c r="B2205" s="165">
        <f>IFERROR(__xludf.DUMMYFUNCTION("""COMPUTED_VALUE"""),46179.0)</f>
        <v>46179</v>
      </c>
      <c r="C2205" s="165" t="str">
        <f>IFERROR(__xludf.DUMMYFUNCTION("""COMPUTED_VALUE"""),"KYAI KONTONG")</f>
        <v>KYAI KONTONG</v>
      </c>
      <c r="D2205" s="94">
        <f>IFERROR(__xludf.DUMMYFUNCTION("""COMPUTED_VALUE"""),100.0)</f>
        <v>100</v>
      </c>
    </row>
    <row r="2206">
      <c r="A2206" s="87" t="str">
        <f>IFERROR(__xludf.DUMMYFUNCTION("""COMPUTED_VALUE"""),"ITBISA-IDC-2X5-AMPHENOL-MALE")</f>
        <v>ITBISA-IDC-2X5-AMPHENOL-MALE</v>
      </c>
      <c r="B2206" s="165">
        <f>IFERROR(__xludf.DUMMYFUNCTION("""COMPUTED_VALUE"""),46042.0)</f>
        <v>46042</v>
      </c>
      <c r="C2206" s="165" t="str">
        <f>IFERROR(__xludf.DUMMYFUNCTION("""COMPUTED_VALUE"""),"KYAI KONTONG")</f>
        <v>KYAI KONTONG</v>
      </c>
      <c r="D2206" s="94">
        <f>IFERROR(__xludf.DUMMYFUNCTION("""COMPUTED_VALUE"""),5.0)</f>
        <v>5</v>
      </c>
    </row>
    <row r="2207">
      <c r="A2207" s="87" t="str">
        <f>IFERROR(__xludf.DUMMYFUNCTION("""COMPUTED_VALUE"""),"ITBISA-IDC-2X5-AMPHENOL-MALE")</f>
        <v>ITBISA-IDC-2X5-AMPHENOL-MALE</v>
      </c>
      <c r="B2207" s="165">
        <f>IFERROR(__xludf.DUMMYFUNCTION("""COMPUTED_VALUE"""),46058.0)</f>
        <v>46058</v>
      </c>
      <c r="C2207" s="165" t="str">
        <f>IFERROR(__xludf.DUMMYFUNCTION("""COMPUTED_VALUE"""),"KYAI KONTONG")</f>
        <v>KYAI KONTONG</v>
      </c>
      <c r="D2207" s="94">
        <f>IFERROR(__xludf.DUMMYFUNCTION("""COMPUTED_VALUE"""),3.0)</f>
        <v>3</v>
      </c>
    </row>
    <row r="2208">
      <c r="A2208" s="87" t="str">
        <f>IFERROR(__xludf.DUMMYFUNCTION("""COMPUTED_VALUE"""),"ITBISA-IDC-2X5-AMPHENOL-MALE")</f>
        <v>ITBISA-IDC-2X5-AMPHENOL-MALE</v>
      </c>
      <c r="B2208" s="165">
        <f>IFERROR(__xludf.DUMMYFUNCTION("""COMPUTED_VALUE"""),46098.0)</f>
        <v>46098</v>
      </c>
      <c r="C2208" s="165" t="str">
        <f>IFERROR(__xludf.DUMMYFUNCTION("""COMPUTED_VALUE"""),"KYAI KONTONG")</f>
        <v>KYAI KONTONG</v>
      </c>
      <c r="D2208" s="94">
        <f>IFERROR(__xludf.DUMMYFUNCTION("""COMPUTED_VALUE"""),2.0)</f>
        <v>2</v>
      </c>
    </row>
    <row r="2209">
      <c r="A2209" s="87" t="str">
        <f>IFERROR(__xludf.DUMMYFUNCTION("""COMPUTED_VALUE"""),"ITBISA-IDC-2X5-AMPHENOL-MALE")</f>
        <v>ITBISA-IDC-2X5-AMPHENOL-MALE</v>
      </c>
      <c r="B2209" s="165">
        <f>IFERROR(__xludf.DUMMYFUNCTION("""COMPUTED_VALUE"""),46146.0)</f>
        <v>46146</v>
      </c>
      <c r="C2209" s="165" t="str">
        <f>IFERROR(__xludf.DUMMYFUNCTION("""COMPUTED_VALUE"""),"KYAI KONTONG")</f>
        <v>KYAI KONTONG</v>
      </c>
      <c r="D2209" s="94">
        <f>IFERROR(__xludf.DUMMYFUNCTION("""COMPUTED_VALUE"""),30.0)</f>
        <v>30</v>
      </c>
    </row>
    <row r="2210">
      <c r="A2210" s="87" t="str">
        <f>IFERROR(__xludf.DUMMYFUNCTION("""COMPUTED_VALUE"""),"ITBISA-IDC-2X5-AMPHENOL-MALE")</f>
        <v>ITBISA-IDC-2X5-AMPHENOL-MALE</v>
      </c>
      <c r="B2210" s="165">
        <f>IFERROR(__xludf.DUMMYFUNCTION("""COMPUTED_VALUE"""),46147.0)</f>
        <v>46147</v>
      </c>
      <c r="C2210" s="165" t="str">
        <f>IFERROR(__xludf.DUMMYFUNCTION("""COMPUTED_VALUE"""),"KYAI KONTONG")</f>
        <v>KYAI KONTONG</v>
      </c>
      <c r="D2210" s="94">
        <f>IFERROR(__xludf.DUMMYFUNCTION("""COMPUTED_VALUE"""),100.0)</f>
        <v>100</v>
      </c>
    </row>
    <row r="2211">
      <c r="A2211" s="87" t="str">
        <f>IFERROR(__xludf.DUMMYFUNCTION("""COMPUTED_VALUE"""),"ITBISA-IDC-2X5-AMPHENOL-MALE")</f>
        <v>ITBISA-IDC-2X5-AMPHENOL-MALE</v>
      </c>
      <c r="B2211" s="165">
        <f>IFERROR(__xludf.DUMMYFUNCTION("""COMPUTED_VALUE"""),46158.0)</f>
        <v>46158</v>
      </c>
      <c r="C2211" s="165" t="str">
        <f>IFERROR(__xludf.DUMMYFUNCTION("""COMPUTED_VALUE"""),"KYAI KONTONG")</f>
        <v>KYAI KONTONG</v>
      </c>
      <c r="D2211" s="94">
        <f>IFERROR(__xludf.DUMMYFUNCTION("""COMPUTED_VALUE"""),5.0)</f>
        <v>5</v>
      </c>
    </row>
    <row r="2212">
      <c r="A2212" s="87" t="str">
        <f>IFERROR(__xludf.DUMMYFUNCTION("""COMPUTED_VALUE"""),"ITBISA-INFRARED-1838")</f>
        <v>ITBISA-INFRARED-1838</v>
      </c>
      <c r="B2212" s="165">
        <f>IFERROR(__xludf.DUMMYFUNCTION("""COMPUTED_VALUE"""),46025.0)</f>
        <v>46025</v>
      </c>
      <c r="C2212" s="165" t="str">
        <f>IFERROR(__xludf.DUMMYFUNCTION("""COMPUTED_VALUE"""),"KYAI KONTONG")</f>
        <v>KYAI KONTONG</v>
      </c>
      <c r="D2212" s="94">
        <f>IFERROR(__xludf.DUMMYFUNCTION("""COMPUTED_VALUE"""),5.0)</f>
        <v>5</v>
      </c>
    </row>
    <row r="2213">
      <c r="A2213" s="87" t="str">
        <f>IFERROR(__xludf.DUMMYFUNCTION("""COMPUTED_VALUE"""),"ITBISA-INFRARED-1838")</f>
        <v>ITBISA-INFRARED-1838</v>
      </c>
      <c r="B2213" s="165">
        <f>IFERROR(__xludf.DUMMYFUNCTION("""COMPUTED_VALUE"""),46025.0)</f>
        <v>46025</v>
      </c>
      <c r="C2213" s="165" t="str">
        <f>IFERROR(__xludf.DUMMYFUNCTION("""COMPUTED_VALUE"""),"KYAI KONTONG")</f>
        <v>KYAI KONTONG</v>
      </c>
      <c r="D2213" s="94">
        <f>IFERROR(__xludf.DUMMYFUNCTION("""COMPUTED_VALUE"""),5.0)</f>
        <v>5</v>
      </c>
    </row>
    <row r="2214">
      <c r="A2214" s="87" t="str">
        <f>IFERROR(__xludf.DUMMYFUNCTION("""COMPUTED_VALUE"""),"ITBISA-INFRARED-1838")</f>
        <v>ITBISA-INFRARED-1838</v>
      </c>
      <c r="B2214" s="165">
        <f>IFERROR(__xludf.DUMMYFUNCTION("""COMPUTED_VALUE"""),46033.0)</f>
        <v>46033</v>
      </c>
      <c r="C2214" s="165" t="str">
        <f>IFERROR(__xludf.DUMMYFUNCTION("""COMPUTED_VALUE"""),"KYAI KONTONG")</f>
        <v>KYAI KONTONG</v>
      </c>
      <c r="D2214" s="94">
        <f>IFERROR(__xludf.DUMMYFUNCTION("""COMPUTED_VALUE"""),10.0)</f>
        <v>10</v>
      </c>
    </row>
    <row r="2215">
      <c r="A2215" s="87" t="str">
        <f>IFERROR(__xludf.DUMMYFUNCTION("""COMPUTED_VALUE"""),"ITBISA-INFRARED-1838")</f>
        <v>ITBISA-INFRARED-1838</v>
      </c>
      <c r="B2215" s="165">
        <f>IFERROR(__xludf.DUMMYFUNCTION("""COMPUTED_VALUE"""),46036.0)</f>
        <v>46036</v>
      </c>
      <c r="C2215" s="165" t="str">
        <f>IFERROR(__xludf.DUMMYFUNCTION("""COMPUTED_VALUE"""),"KYAI KONTONG")</f>
        <v>KYAI KONTONG</v>
      </c>
      <c r="D2215" s="94">
        <f>IFERROR(__xludf.DUMMYFUNCTION("""COMPUTED_VALUE"""),12.0)</f>
        <v>12</v>
      </c>
    </row>
    <row r="2216">
      <c r="A2216" s="87" t="str">
        <f>IFERROR(__xludf.DUMMYFUNCTION("""COMPUTED_VALUE"""),"ITBISA-INFRARED-1838")</f>
        <v>ITBISA-INFRARED-1838</v>
      </c>
      <c r="B2216" s="165">
        <f>IFERROR(__xludf.DUMMYFUNCTION("""COMPUTED_VALUE"""),46037.0)</f>
        <v>46037</v>
      </c>
      <c r="C2216" s="165" t="str">
        <f>IFERROR(__xludf.DUMMYFUNCTION("""COMPUTED_VALUE"""),"KYAI KONTONG")</f>
        <v>KYAI KONTONG</v>
      </c>
      <c r="D2216" s="94">
        <f>IFERROR(__xludf.DUMMYFUNCTION("""COMPUTED_VALUE"""),10.0)</f>
        <v>10</v>
      </c>
    </row>
    <row r="2217">
      <c r="A2217" s="87" t="str">
        <f>IFERROR(__xludf.DUMMYFUNCTION("""COMPUTED_VALUE"""),"ITBISA-INFRARED-1838")</f>
        <v>ITBISA-INFRARED-1838</v>
      </c>
      <c r="B2217" s="165">
        <f>IFERROR(__xludf.DUMMYFUNCTION("""COMPUTED_VALUE"""),46039.0)</f>
        <v>46039</v>
      </c>
      <c r="C2217" s="165" t="str">
        <f>IFERROR(__xludf.DUMMYFUNCTION("""COMPUTED_VALUE"""),"KERTASARI CIAMIS")</f>
        <v>KERTASARI CIAMIS</v>
      </c>
      <c r="D2217" s="94">
        <f>IFERROR(__xludf.DUMMYFUNCTION("""COMPUTED_VALUE"""),10.0)</f>
        <v>10</v>
      </c>
    </row>
    <row r="2218">
      <c r="A2218" s="87" t="str">
        <f>IFERROR(__xludf.DUMMYFUNCTION("""COMPUTED_VALUE"""),"ITBISA-INFRARED-1838")</f>
        <v>ITBISA-INFRARED-1838</v>
      </c>
      <c r="B2218" s="165">
        <f>IFERROR(__xludf.DUMMYFUNCTION("""COMPUTED_VALUE"""),46040.0)</f>
        <v>46040</v>
      </c>
      <c r="C2218" s="165" t="str">
        <f>IFERROR(__xludf.DUMMYFUNCTION("""COMPUTED_VALUE"""),"KYAI KONTONG")</f>
        <v>KYAI KONTONG</v>
      </c>
      <c r="D2218" s="94">
        <f>IFERROR(__xludf.DUMMYFUNCTION("""COMPUTED_VALUE"""),10.0)</f>
        <v>10</v>
      </c>
    </row>
    <row r="2219">
      <c r="A2219" s="87" t="str">
        <f>IFERROR(__xludf.DUMMYFUNCTION("""COMPUTED_VALUE"""),"ITBISA-INFRARED-1838")</f>
        <v>ITBISA-INFRARED-1838</v>
      </c>
      <c r="B2219" s="165">
        <f>IFERROR(__xludf.DUMMYFUNCTION("""COMPUTED_VALUE"""),46041.0)</f>
        <v>46041</v>
      </c>
      <c r="C2219" s="165" t="str">
        <f>IFERROR(__xludf.DUMMYFUNCTION("""COMPUTED_VALUE"""),"KYAI KONTONG")</f>
        <v>KYAI KONTONG</v>
      </c>
      <c r="D2219" s="94">
        <f>IFERROR(__xludf.DUMMYFUNCTION("""COMPUTED_VALUE"""),5.0)</f>
        <v>5</v>
      </c>
    </row>
    <row r="2220">
      <c r="A2220" s="87" t="str">
        <f>IFERROR(__xludf.DUMMYFUNCTION("""COMPUTED_VALUE"""),"ITBISA-INFRARED-1838")</f>
        <v>ITBISA-INFRARED-1838</v>
      </c>
      <c r="B2220" s="165">
        <f>IFERROR(__xludf.DUMMYFUNCTION("""COMPUTED_VALUE"""),46045.0)</f>
        <v>46045</v>
      </c>
      <c r="C2220" s="165" t="str">
        <f>IFERROR(__xludf.DUMMYFUNCTION("""COMPUTED_VALUE"""),"KERTASARI CIAMIS")</f>
        <v>KERTASARI CIAMIS</v>
      </c>
      <c r="D2220" s="94">
        <f>IFERROR(__xludf.DUMMYFUNCTION("""COMPUTED_VALUE"""),5.0)</f>
        <v>5</v>
      </c>
    </row>
    <row r="2221">
      <c r="A2221" s="87" t="str">
        <f>IFERROR(__xludf.DUMMYFUNCTION("""COMPUTED_VALUE"""),"ITBISA-INFRARED-1838")</f>
        <v>ITBISA-INFRARED-1838</v>
      </c>
      <c r="B2221" s="165">
        <f>IFERROR(__xludf.DUMMYFUNCTION("""COMPUTED_VALUE"""),46047.0)</f>
        <v>46047</v>
      </c>
      <c r="C2221" s="165" t="str">
        <f>IFERROR(__xludf.DUMMYFUNCTION("""COMPUTED_VALUE"""),"KERTASARI CIAMIS")</f>
        <v>KERTASARI CIAMIS</v>
      </c>
      <c r="D2221" s="94">
        <f>IFERROR(__xludf.DUMMYFUNCTION("""COMPUTED_VALUE"""),20.0)</f>
        <v>20</v>
      </c>
    </row>
    <row r="2222">
      <c r="A2222" s="87" t="str">
        <f>IFERROR(__xludf.DUMMYFUNCTION("""COMPUTED_VALUE"""),"ITBISA-INFRARED-1838")</f>
        <v>ITBISA-INFRARED-1838</v>
      </c>
      <c r="B2222" s="165">
        <f>IFERROR(__xludf.DUMMYFUNCTION("""COMPUTED_VALUE"""),46048.0)</f>
        <v>46048</v>
      </c>
      <c r="C2222" s="165" t="str">
        <f>IFERROR(__xludf.DUMMYFUNCTION("""COMPUTED_VALUE"""),"KYAI KONTONG")</f>
        <v>KYAI KONTONG</v>
      </c>
      <c r="D2222" s="94">
        <f>IFERROR(__xludf.DUMMYFUNCTION("""COMPUTED_VALUE"""),5.0)</f>
        <v>5</v>
      </c>
    </row>
    <row r="2223">
      <c r="A2223" s="87" t="str">
        <f>IFERROR(__xludf.DUMMYFUNCTION("""COMPUTED_VALUE"""),"ITBISA-INFRARED-1838")</f>
        <v>ITBISA-INFRARED-1838</v>
      </c>
      <c r="B2223" s="165">
        <f>IFERROR(__xludf.DUMMYFUNCTION("""COMPUTED_VALUE"""),46049.0)</f>
        <v>46049</v>
      </c>
      <c r="C2223" s="165" t="str">
        <f>IFERROR(__xludf.DUMMYFUNCTION("""COMPUTED_VALUE"""),"KYAI KONTONG")</f>
        <v>KYAI KONTONG</v>
      </c>
      <c r="D2223" s="94">
        <f>IFERROR(__xludf.DUMMYFUNCTION("""COMPUTED_VALUE"""),10.0)</f>
        <v>10</v>
      </c>
    </row>
    <row r="2224">
      <c r="A2224" s="87" t="str">
        <f>IFERROR(__xludf.DUMMYFUNCTION("""COMPUTED_VALUE"""),"ITBISA-INFRARED-1838")</f>
        <v>ITBISA-INFRARED-1838</v>
      </c>
      <c r="B2224" s="165">
        <f>IFERROR(__xludf.DUMMYFUNCTION("""COMPUTED_VALUE"""),46057.0)</f>
        <v>46057</v>
      </c>
      <c r="C2224" s="165" t="str">
        <f>IFERROR(__xludf.DUMMYFUNCTION("""COMPUTED_VALUE"""),"KERTASARI CIAMIS")</f>
        <v>KERTASARI CIAMIS</v>
      </c>
      <c r="D2224" s="94">
        <f>IFERROR(__xludf.DUMMYFUNCTION("""COMPUTED_VALUE"""),10.0)</f>
        <v>10</v>
      </c>
    </row>
    <row r="2225">
      <c r="A2225" s="87" t="str">
        <f>IFERROR(__xludf.DUMMYFUNCTION("""COMPUTED_VALUE"""),"ITBISA-INFRARED-1838")</f>
        <v>ITBISA-INFRARED-1838</v>
      </c>
      <c r="B2225" s="165">
        <f>IFERROR(__xludf.DUMMYFUNCTION("""COMPUTED_VALUE"""),46070.0)</f>
        <v>46070</v>
      </c>
      <c r="C2225" s="165" t="str">
        <f>IFERROR(__xludf.DUMMYFUNCTION("""COMPUTED_VALUE"""),"KYAI KONTONG")</f>
        <v>KYAI KONTONG</v>
      </c>
      <c r="D2225" s="94">
        <f>IFERROR(__xludf.DUMMYFUNCTION("""COMPUTED_VALUE"""),10.0)</f>
        <v>10</v>
      </c>
    </row>
    <row r="2226">
      <c r="A2226" s="87" t="str">
        <f>IFERROR(__xludf.DUMMYFUNCTION("""COMPUTED_VALUE"""),"ITBISA-INFRARED-1838")</f>
        <v>ITBISA-INFRARED-1838</v>
      </c>
      <c r="B2226" s="165">
        <f>IFERROR(__xludf.DUMMYFUNCTION("""COMPUTED_VALUE"""),46073.0)</f>
        <v>46073</v>
      </c>
      <c r="C2226" s="165" t="str">
        <f>IFERROR(__xludf.DUMMYFUNCTION("""COMPUTED_VALUE"""),"KERTASARI CIAMIS")</f>
        <v>KERTASARI CIAMIS</v>
      </c>
      <c r="D2226" s="94">
        <f>IFERROR(__xludf.DUMMYFUNCTION("""COMPUTED_VALUE"""),10.0)</f>
        <v>10</v>
      </c>
    </row>
    <row r="2227">
      <c r="A2227" s="87" t="str">
        <f>IFERROR(__xludf.DUMMYFUNCTION("""COMPUTED_VALUE"""),"ITBISA-INFRARED-1838")</f>
        <v>ITBISA-INFRARED-1838</v>
      </c>
      <c r="B2227" s="165">
        <f>IFERROR(__xludf.DUMMYFUNCTION("""COMPUTED_VALUE"""),46077.0)</f>
        <v>46077</v>
      </c>
      <c r="C2227" s="165" t="str">
        <f>IFERROR(__xludf.DUMMYFUNCTION("""COMPUTED_VALUE"""),"KERTASARI CIAMIS")</f>
        <v>KERTASARI CIAMIS</v>
      </c>
      <c r="D2227" s="94">
        <f>IFERROR(__xludf.DUMMYFUNCTION("""COMPUTED_VALUE"""),20.0)</f>
        <v>20</v>
      </c>
    </row>
    <row r="2228">
      <c r="A2228" s="87" t="str">
        <f>IFERROR(__xludf.DUMMYFUNCTION("""COMPUTED_VALUE"""),"ITBISA-INFRARED-1838")</f>
        <v>ITBISA-INFRARED-1838</v>
      </c>
      <c r="B2228" s="165">
        <f>IFERROR(__xludf.DUMMYFUNCTION("""COMPUTED_VALUE"""),46077.0)</f>
        <v>46077</v>
      </c>
      <c r="C2228" s="165" t="str">
        <f>IFERROR(__xludf.DUMMYFUNCTION("""COMPUTED_VALUE"""),"KYAI KONTONG")</f>
        <v>KYAI KONTONG</v>
      </c>
      <c r="D2228" s="94">
        <f>IFERROR(__xludf.DUMMYFUNCTION("""COMPUTED_VALUE"""),15.0)</f>
        <v>15</v>
      </c>
    </row>
    <row r="2229">
      <c r="A2229" s="87" t="str">
        <f>IFERROR(__xludf.DUMMYFUNCTION("""COMPUTED_VALUE"""),"ITBISA-INFRARED-1838")</f>
        <v>ITBISA-INFRARED-1838</v>
      </c>
      <c r="B2229" s="165">
        <f>IFERROR(__xludf.DUMMYFUNCTION("""COMPUTED_VALUE"""),46078.0)</f>
        <v>46078</v>
      </c>
      <c r="C2229" s="165" t="str">
        <f>IFERROR(__xludf.DUMMYFUNCTION("""COMPUTED_VALUE"""),"KYAI KONTONG")</f>
        <v>KYAI KONTONG</v>
      </c>
      <c r="D2229" s="94">
        <f>IFERROR(__xludf.DUMMYFUNCTION("""COMPUTED_VALUE"""),5.0)</f>
        <v>5</v>
      </c>
    </row>
    <row r="2230">
      <c r="A2230" s="87" t="str">
        <f>IFERROR(__xludf.DUMMYFUNCTION("""COMPUTED_VALUE"""),"ITBISA-INFRARED-1838")</f>
        <v>ITBISA-INFRARED-1838</v>
      </c>
      <c r="B2230" s="165">
        <f>IFERROR(__xludf.DUMMYFUNCTION("""COMPUTED_VALUE"""),46080.0)</f>
        <v>46080</v>
      </c>
      <c r="C2230" s="165" t="str">
        <f>IFERROR(__xludf.DUMMYFUNCTION("""COMPUTED_VALUE"""),"KYAI KONTONG")</f>
        <v>KYAI KONTONG</v>
      </c>
      <c r="D2230" s="94">
        <f>IFERROR(__xludf.DUMMYFUNCTION("""COMPUTED_VALUE"""),20.0)</f>
        <v>20</v>
      </c>
    </row>
    <row r="2231">
      <c r="A2231" s="87" t="str">
        <f>IFERROR(__xludf.DUMMYFUNCTION("""COMPUTED_VALUE"""),"ITBISA-INFRARED-1838")</f>
        <v>ITBISA-INFRARED-1838</v>
      </c>
      <c r="B2231" s="165">
        <f>IFERROR(__xludf.DUMMYFUNCTION("""COMPUTED_VALUE"""),46084.0)</f>
        <v>46084</v>
      </c>
      <c r="C2231" s="165" t="str">
        <f>IFERROR(__xludf.DUMMYFUNCTION("""COMPUTED_VALUE"""),"KYAI KONTONG")</f>
        <v>KYAI KONTONG</v>
      </c>
      <c r="D2231" s="94">
        <f>IFERROR(__xludf.DUMMYFUNCTION("""COMPUTED_VALUE"""),15.0)</f>
        <v>15</v>
      </c>
    </row>
    <row r="2232">
      <c r="A2232" s="87" t="str">
        <f>IFERROR(__xludf.DUMMYFUNCTION("""COMPUTED_VALUE"""),"ITBISA-INFRARED-1838")</f>
        <v>ITBISA-INFRARED-1838</v>
      </c>
      <c r="B2232" s="165">
        <f>IFERROR(__xludf.DUMMYFUNCTION("""COMPUTED_VALUE"""),46091.0)</f>
        <v>46091</v>
      </c>
      <c r="C2232" s="165" t="str">
        <f>IFERROR(__xludf.DUMMYFUNCTION("""COMPUTED_VALUE"""),"KYAI KONTONG")</f>
        <v>KYAI KONTONG</v>
      </c>
      <c r="D2232" s="94">
        <f>IFERROR(__xludf.DUMMYFUNCTION("""COMPUTED_VALUE"""),10.0)</f>
        <v>10</v>
      </c>
    </row>
    <row r="2233">
      <c r="A2233" s="87" t="str">
        <f>IFERROR(__xludf.DUMMYFUNCTION("""COMPUTED_VALUE"""),"ITBISA-INFRARED-1838")</f>
        <v>ITBISA-INFRARED-1838</v>
      </c>
      <c r="B2233" s="165">
        <f>IFERROR(__xludf.DUMMYFUNCTION("""COMPUTED_VALUE"""),46103.0)</f>
        <v>46103</v>
      </c>
      <c r="C2233" s="165" t="str">
        <f>IFERROR(__xludf.DUMMYFUNCTION("""COMPUTED_VALUE"""),"KYAI KONTONG")</f>
        <v>KYAI KONTONG</v>
      </c>
      <c r="D2233" s="94">
        <f>IFERROR(__xludf.DUMMYFUNCTION("""COMPUTED_VALUE"""),10.0)</f>
        <v>10</v>
      </c>
    </row>
    <row r="2234">
      <c r="A2234" s="87" t="str">
        <f>IFERROR(__xludf.DUMMYFUNCTION("""COMPUTED_VALUE"""),"ITBISA-INFRARED-1838")</f>
        <v>ITBISA-INFRARED-1838</v>
      </c>
      <c r="B2234" s="165">
        <f>IFERROR(__xludf.DUMMYFUNCTION("""COMPUTED_VALUE"""),46104.0)</f>
        <v>46104</v>
      </c>
      <c r="C2234" s="165" t="str">
        <f>IFERROR(__xludf.DUMMYFUNCTION("""COMPUTED_VALUE"""),"KYAI KONTONG")</f>
        <v>KYAI KONTONG</v>
      </c>
      <c r="D2234" s="94">
        <f>IFERROR(__xludf.DUMMYFUNCTION("""COMPUTED_VALUE"""),50.0)</f>
        <v>50</v>
      </c>
    </row>
    <row r="2235">
      <c r="A2235" s="87" t="str">
        <f>IFERROR(__xludf.DUMMYFUNCTION("""COMPUTED_VALUE"""),"ITBISA-INFRARED-1838")</f>
        <v>ITBISA-INFRARED-1838</v>
      </c>
      <c r="B2235" s="165">
        <f>IFERROR(__xludf.DUMMYFUNCTION("""COMPUTED_VALUE"""),46120.0)</f>
        <v>46120</v>
      </c>
      <c r="C2235" s="165" t="str">
        <f>IFERROR(__xludf.DUMMYFUNCTION("""COMPUTED_VALUE"""),"KYAI KONTONG")</f>
        <v>KYAI KONTONG</v>
      </c>
      <c r="D2235" s="94">
        <f>IFERROR(__xludf.DUMMYFUNCTION("""COMPUTED_VALUE"""),190.0)</f>
        <v>190</v>
      </c>
    </row>
    <row r="2236">
      <c r="A2236" s="87" t="str">
        <f>IFERROR(__xludf.DUMMYFUNCTION("""COMPUTED_VALUE"""),"ITBISA-INFRARED-1838")</f>
        <v>ITBISA-INFRARED-1838</v>
      </c>
      <c r="B2236" s="165">
        <f>IFERROR(__xludf.DUMMYFUNCTION("""COMPUTED_VALUE"""),46148.0)</f>
        <v>46148</v>
      </c>
      <c r="C2236" s="165" t="str">
        <f>IFERROR(__xludf.DUMMYFUNCTION("""COMPUTED_VALUE"""),"KYAI KONTONG")</f>
        <v>KYAI KONTONG</v>
      </c>
      <c r="D2236" s="94">
        <f>IFERROR(__xludf.DUMMYFUNCTION("""COMPUTED_VALUE"""),35.0)</f>
        <v>35</v>
      </c>
    </row>
    <row r="2237">
      <c r="A2237" s="87" t="str">
        <f>IFERROR(__xludf.DUMMYFUNCTION("""COMPUTED_VALUE"""),"ITBISA-INFRARED-1838")</f>
        <v>ITBISA-INFRARED-1838</v>
      </c>
      <c r="B2237" s="165">
        <f>IFERROR(__xludf.DUMMYFUNCTION("""COMPUTED_VALUE"""),46148.0)</f>
        <v>46148</v>
      </c>
      <c r="C2237" s="165" t="str">
        <f>IFERROR(__xludf.DUMMYFUNCTION("""COMPUTED_VALUE"""),"KYAI KONTONG")</f>
        <v>KYAI KONTONG</v>
      </c>
      <c r="D2237" s="94">
        <f>IFERROR(__xludf.DUMMYFUNCTION("""COMPUTED_VALUE"""),100.0)</f>
        <v>100</v>
      </c>
    </row>
    <row r="2238">
      <c r="A2238" s="87" t="str">
        <f>IFERROR(__xludf.DUMMYFUNCTION("""COMPUTED_VALUE"""),"ITBISA-INFRARED-1838")</f>
        <v>ITBISA-INFRARED-1838</v>
      </c>
      <c r="B2238" s="165">
        <f>IFERROR(__xludf.DUMMYFUNCTION("""COMPUTED_VALUE"""),46154.0)</f>
        <v>46154</v>
      </c>
      <c r="C2238" s="165" t="str">
        <f>IFERROR(__xludf.DUMMYFUNCTION("""COMPUTED_VALUE"""),"KYAI KONTONG")</f>
        <v>KYAI KONTONG</v>
      </c>
      <c r="D2238" s="94">
        <f>IFERROR(__xludf.DUMMYFUNCTION("""COMPUTED_VALUE"""),10.0)</f>
        <v>10</v>
      </c>
    </row>
    <row r="2239">
      <c r="A2239" s="87" t="str">
        <f>IFERROR(__xludf.DUMMYFUNCTION("""COMPUTED_VALUE"""),"ITBISA-INFRARED-1838")</f>
        <v>ITBISA-INFRARED-1838</v>
      </c>
      <c r="B2239" s="165">
        <f>IFERROR(__xludf.DUMMYFUNCTION("""COMPUTED_VALUE"""),46155.0)</f>
        <v>46155</v>
      </c>
      <c r="C2239" s="165" t="str">
        <f>IFERROR(__xludf.DUMMYFUNCTION("""COMPUTED_VALUE"""),"KYAI KONTONG")</f>
        <v>KYAI KONTONG</v>
      </c>
      <c r="D2239" s="94">
        <f>IFERROR(__xludf.DUMMYFUNCTION("""COMPUTED_VALUE"""),8.0)</f>
        <v>8</v>
      </c>
    </row>
    <row r="2240">
      <c r="A2240" s="87" t="str">
        <f>IFERROR(__xludf.DUMMYFUNCTION("""COMPUTED_VALUE"""),"ITBISA-INFRARED-1838")</f>
        <v>ITBISA-INFRARED-1838</v>
      </c>
      <c r="B2240" s="165">
        <f>IFERROR(__xludf.DUMMYFUNCTION("""COMPUTED_VALUE"""),46158.0)</f>
        <v>46158</v>
      </c>
      <c r="C2240" s="165" t="str">
        <f>IFERROR(__xludf.DUMMYFUNCTION("""COMPUTED_VALUE"""),"KYAI KONTONG")</f>
        <v>KYAI KONTONG</v>
      </c>
      <c r="D2240" s="94">
        <f>IFERROR(__xludf.DUMMYFUNCTION("""COMPUTED_VALUE"""),20.0)</f>
        <v>20</v>
      </c>
    </row>
    <row r="2241">
      <c r="A2241" s="87" t="str">
        <f>IFERROR(__xludf.DUMMYFUNCTION("""COMPUTED_VALUE"""),"ITBISA-INFRARED-1838")</f>
        <v>ITBISA-INFRARED-1838</v>
      </c>
      <c r="B2241" s="165">
        <f>IFERROR(__xludf.DUMMYFUNCTION("""COMPUTED_VALUE"""),46162.0)</f>
        <v>46162</v>
      </c>
      <c r="C2241" s="165" t="str">
        <f>IFERROR(__xludf.DUMMYFUNCTION("""COMPUTED_VALUE"""),"KYAI KONTONG")</f>
        <v>KYAI KONTONG</v>
      </c>
      <c r="D2241" s="94">
        <f>IFERROR(__xludf.DUMMYFUNCTION("""COMPUTED_VALUE"""),10.0)</f>
        <v>10</v>
      </c>
    </row>
    <row r="2242">
      <c r="A2242" s="87" t="str">
        <f>IFERROR(__xludf.DUMMYFUNCTION("""COMPUTED_VALUE"""),"ITBISA-INFRARED-1838")</f>
        <v>ITBISA-INFRARED-1838</v>
      </c>
      <c r="B2242" s="165">
        <f>IFERROR(__xludf.DUMMYFUNCTION("""COMPUTED_VALUE"""),46165.0)</f>
        <v>46165</v>
      </c>
      <c r="C2242" s="165" t="str">
        <f>IFERROR(__xludf.DUMMYFUNCTION("""COMPUTED_VALUE"""),"KYAI KONTONG")</f>
        <v>KYAI KONTONG</v>
      </c>
      <c r="D2242" s="94">
        <f>IFERROR(__xludf.DUMMYFUNCTION("""COMPUTED_VALUE"""),30.0)</f>
        <v>30</v>
      </c>
    </row>
    <row r="2243">
      <c r="A2243" s="87" t="str">
        <f>IFERROR(__xludf.DUMMYFUNCTION("""COMPUTED_VALUE"""),"ITBISA-INFRARED-1838")</f>
        <v>ITBISA-INFRARED-1838</v>
      </c>
      <c r="B2243" s="165">
        <f>IFERROR(__xludf.DUMMYFUNCTION("""COMPUTED_VALUE"""),46167.0)</f>
        <v>46167</v>
      </c>
      <c r="C2243" s="165" t="str">
        <f>IFERROR(__xludf.DUMMYFUNCTION("""COMPUTED_VALUE"""),"KYAI KONTONG")</f>
        <v>KYAI KONTONG</v>
      </c>
      <c r="D2243" s="94">
        <f>IFERROR(__xludf.DUMMYFUNCTION("""COMPUTED_VALUE"""),10.0)</f>
        <v>10</v>
      </c>
    </row>
    <row r="2244">
      <c r="A2244" s="87" t="str">
        <f>IFERROR(__xludf.DUMMYFUNCTION("""COMPUTED_VALUE"""),"ITBISA-INFRARED-1838")</f>
        <v>ITBISA-INFRARED-1838</v>
      </c>
      <c r="B2244" s="165">
        <f>IFERROR(__xludf.DUMMYFUNCTION("""COMPUTED_VALUE"""),46171.0)</f>
        <v>46171</v>
      </c>
      <c r="C2244" s="165" t="str">
        <f>IFERROR(__xludf.DUMMYFUNCTION("""COMPUTED_VALUE"""),"KYAI KONTONG")</f>
        <v>KYAI KONTONG</v>
      </c>
      <c r="D2244" s="94">
        <f>IFERROR(__xludf.DUMMYFUNCTION("""COMPUTED_VALUE"""),10.0)</f>
        <v>10</v>
      </c>
    </row>
    <row r="2245">
      <c r="A2245" s="87" t="str">
        <f>IFERROR(__xludf.DUMMYFUNCTION("""COMPUTED_VALUE"""),"ITBISA-INFRARED-1838")</f>
        <v>ITBISA-INFRARED-1838</v>
      </c>
      <c r="B2245" s="165">
        <f>IFERROR(__xludf.DUMMYFUNCTION("""COMPUTED_VALUE"""),46173.0)</f>
        <v>46173</v>
      </c>
      <c r="C2245" s="165" t="str">
        <f>IFERROR(__xludf.DUMMYFUNCTION("""COMPUTED_VALUE"""),"KYAI KONTONG")</f>
        <v>KYAI KONTONG</v>
      </c>
      <c r="D2245" s="94">
        <f>IFERROR(__xludf.DUMMYFUNCTION("""COMPUTED_VALUE"""),20.0)</f>
        <v>20</v>
      </c>
    </row>
    <row r="2246">
      <c r="A2246" s="87" t="str">
        <f>IFERROR(__xludf.DUMMYFUNCTION("""COMPUTED_VALUE"""),"ITBISA-INFRARED-1838")</f>
        <v>ITBISA-INFRARED-1838</v>
      </c>
      <c r="B2246" s="165">
        <f>IFERROR(__xludf.DUMMYFUNCTION("""COMPUTED_VALUE"""),46176.0)</f>
        <v>46176</v>
      </c>
      <c r="C2246" s="165" t="str">
        <f>IFERROR(__xludf.DUMMYFUNCTION("""COMPUTED_VALUE"""),"KYAI KONTONG")</f>
        <v>KYAI KONTONG</v>
      </c>
      <c r="D2246" s="94">
        <f>IFERROR(__xludf.DUMMYFUNCTION("""COMPUTED_VALUE"""),10.0)</f>
        <v>10</v>
      </c>
    </row>
    <row r="2247">
      <c r="A2247" s="87" t="str">
        <f>IFERROR(__xludf.DUMMYFUNCTION("""COMPUTED_VALUE"""),"ITBISA-INFRARED-1838")</f>
        <v>ITBISA-INFRARED-1838</v>
      </c>
      <c r="B2247" s="165">
        <f>IFERROR(__xludf.DUMMYFUNCTION("""COMPUTED_VALUE"""),46177.0)</f>
        <v>46177</v>
      </c>
      <c r="C2247" s="165" t="str">
        <f>IFERROR(__xludf.DUMMYFUNCTION("""COMPUTED_VALUE"""),"KYAI KONTONG")</f>
        <v>KYAI KONTONG</v>
      </c>
      <c r="D2247" s="94">
        <f>IFERROR(__xludf.DUMMYFUNCTION("""COMPUTED_VALUE"""),10.0)</f>
        <v>10</v>
      </c>
    </row>
    <row r="2248">
      <c r="A2248" s="87" t="str">
        <f>IFERROR(__xludf.DUMMYFUNCTION("""COMPUTED_VALUE"""),"ITBISA-INFRARED-1838")</f>
        <v>ITBISA-INFRARED-1838</v>
      </c>
      <c r="B2248" s="165">
        <f>IFERROR(__xludf.DUMMYFUNCTION("""COMPUTED_VALUE"""),46177.0)</f>
        <v>46177</v>
      </c>
      <c r="C2248" s="165" t="str">
        <f>IFERROR(__xludf.DUMMYFUNCTION("""COMPUTED_VALUE"""),"KYAI KONTONG")</f>
        <v>KYAI KONTONG</v>
      </c>
      <c r="D2248" s="94">
        <f>IFERROR(__xludf.DUMMYFUNCTION("""COMPUTED_VALUE"""),10.0)</f>
        <v>10</v>
      </c>
    </row>
    <row r="2249">
      <c r="A2249" s="87" t="str">
        <f>IFERROR(__xludf.DUMMYFUNCTION("""COMPUTED_VALUE"""),"ITBISA-INFRARED-1838")</f>
        <v>ITBISA-INFRARED-1838</v>
      </c>
      <c r="B2249" s="165">
        <f>IFERROR(__xludf.DUMMYFUNCTION("""COMPUTED_VALUE"""),46181.0)</f>
        <v>46181</v>
      </c>
      <c r="C2249" s="165" t="str">
        <f>IFERROR(__xludf.DUMMYFUNCTION("""COMPUTED_VALUE"""),"KYAI KONTONG")</f>
        <v>KYAI KONTONG</v>
      </c>
      <c r="D2249" s="94">
        <f>IFERROR(__xludf.DUMMYFUNCTION("""COMPUTED_VALUE"""),10.0)</f>
        <v>10</v>
      </c>
    </row>
    <row r="2250">
      <c r="A2250" s="87" t="str">
        <f>IFERROR(__xludf.DUMMYFUNCTION("""COMPUTED_VALUE"""),"ITBISA-INFRARED-1838")</f>
        <v>ITBISA-INFRARED-1838</v>
      </c>
      <c r="B2250" s="165">
        <f>IFERROR(__xludf.DUMMYFUNCTION("""COMPUTED_VALUE"""),46182.0)</f>
        <v>46182</v>
      </c>
      <c r="C2250" s="165" t="str">
        <f>IFERROR(__xludf.DUMMYFUNCTION("""COMPUTED_VALUE"""),"KYAI KONTONG")</f>
        <v>KYAI KONTONG</v>
      </c>
      <c r="D2250" s="94">
        <f>IFERROR(__xludf.DUMMYFUNCTION("""COMPUTED_VALUE"""),10.0)</f>
        <v>10</v>
      </c>
    </row>
    <row r="2251">
      <c r="A2251" s="87" t="str">
        <f>IFERROR(__xludf.DUMMYFUNCTION("""COMPUTED_VALUE"""),"ITBISA-INFRARED-1838")</f>
        <v>ITBISA-INFRARED-1838</v>
      </c>
      <c r="B2251" s="165">
        <f>IFERROR(__xludf.DUMMYFUNCTION("""COMPUTED_VALUE"""),46184.0)</f>
        <v>46184</v>
      </c>
      <c r="C2251" s="165" t="str">
        <f>IFERROR(__xludf.DUMMYFUNCTION("""COMPUTED_VALUE"""),"KYAI KONTONG")</f>
        <v>KYAI KONTONG</v>
      </c>
      <c r="D2251" s="94">
        <f>IFERROR(__xludf.DUMMYFUNCTION("""COMPUTED_VALUE"""),10.0)</f>
        <v>10</v>
      </c>
    </row>
    <row r="2252">
      <c r="A2252" s="87" t="str">
        <f>IFERROR(__xludf.DUMMYFUNCTION("""COMPUTED_VALUE"""),"ITBISA-INFRARED-1838")</f>
        <v>ITBISA-INFRARED-1838</v>
      </c>
      <c r="B2252" s="165">
        <f>IFERROR(__xludf.DUMMYFUNCTION("""COMPUTED_VALUE"""),46184.0)</f>
        <v>46184</v>
      </c>
      <c r="C2252" s="165" t="str">
        <f>IFERROR(__xludf.DUMMYFUNCTION("""COMPUTED_VALUE"""),"KYAI KONTONG")</f>
        <v>KYAI KONTONG</v>
      </c>
      <c r="D2252" s="94">
        <f>IFERROR(__xludf.DUMMYFUNCTION("""COMPUTED_VALUE"""),51.0)</f>
        <v>51</v>
      </c>
    </row>
    <row r="2253">
      <c r="A2253" s="87" t="str">
        <f>IFERROR(__xludf.DUMMYFUNCTION("""COMPUTED_VALUE"""),"ITBISA-INFRARED-1838")</f>
        <v>ITBISA-INFRARED-1838</v>
      </c>
      <c r="B2253" s="165">
        <f>IFERROR(__xludf.DUMMYFUNCTION("""COMPUTED_VALUE"""),46185.0)</f>
        <v>46185</v>
      </c>
      <c r="C2253" s="165" t="str">
        <f>IFERROR(__xludf.DUMMYFUNCTION("""COMPUTED_VALUE"""),"KYAI KONTONG")</f>
        <v>KYAI KONTONG</v>
      </c>
      <c r="D2253" s="94">
        <f>IFERROR(__xludf.DUMMYFUNCTION("""COMPUTED_VALUE"""),10.0)</f>
        <v>10</v>
      </c>
    </row>
    <row r="2254">
      <c r="A2254" s="87" t="str">
        <f>IFERROR(__xludf.DUMMYFUNCTION("""COMPUTED_VALUE"""),"ITBISA-INFRARED-1838")</f>
        <v>ITBISA-INFRARED-1838</v>
      </c>
      <c r="B2254" s="165">
        <f>IFERROR(__xludf.DUMMYFUNCTION("""COMPUTED_VALUE"""),46187.0)</f>
        <v>46187</v>
      </c>
      <c r="C2254" s="165" t="str">
        <f>IFERROR(__xludf.DUMMYFUNCTION("""COMPUTED_VALUE"""),"KYAI KONTONG")</f>
        <v>KYAI KONTONG</v>
      </c>
      <c r="D2254" s="94">
        <f>IFERROR(__xludf.DUMMYFUNCTION("""COMPUTED_VALUE"""),25.0)</f>
        <v>25</v>
      </c>
    </row>
    <row r="2255">
      <c r="A2255" s="87" t="str">
        <f>IFERROR(__xludf.DUMMYFUNCTION("""COMPUTED_VALUE"""),"ITBISA-INFRARED-1838")</f>
        <v>ITBISA-INFRARED-1838</v>
      </c>
      <c r="B2255" s="165">
        <f>IFERROR(__xludf.DUMMYFUNCTION("""COMPUTED_VALUE"""),46187.0)</f>
        <v>46187</v>
      </c>
      <c r="C2255" s="165" t="str">
        <f>IFERROR(__xludf.DUMMYFUNCTION("""COMPUTED_VALUE"""),"KYAI KONTONG")</f>
        <v>KYAI KONTONG</v>
      </c>
      <c r="D2255" s="94">
        <f>IFERROR(__xludf.DUMMYFUNCTION("""COMPUTED_VALUE"""),26.0)</f>
        <v>26</v>
      </c>
    </row>
    <row r="2256">
      <c r="A2256" s="87" t="str">
        <f>IFERROR(__xludf.DUMMYFUNCTION("""COMPUTED_VALUE"""),"ITBISA-INFRARED-1838")</f>
        <v>ITBISA-INFRARED-1838</v>
      </c>
      <c r="B2256" s="165">
        <f>IFERROR(__xludf.DUMMYFUNCTION("""COMPUTED_VALUE"""),46189.0)</f>
        <v>46189</v>
      </c>
      <c r="C2256" s="165" t="str">
        <f>IFERROR(__xludf.DUMMYFUNCTION("""COMPUTED_VALUE"""),"KYAI KONTONG")</f>
        <v>KYAI KONTONG</v>
      </c>
      <c r="D2256" s="94">
        <f>IFERROR(__xludf.DUMMYFUNCTION("""COMPUTED_VALUE"""),25.0)</f>
        <v>25</v>
      </c>
    </row>
    <row r="2257">
      <c r="A2257" s="87" t="str">
        <f>IFERROR(__xludf.DUMMYFUNCTION("""COMPUTED_VALUE"""),"ITBISA-INFRARED-1838")</f>
        <v>ITBISA-INFRARED-1838</v>
      </c>
      <c r="B2257" s="165">
        <f>IFERROR(__xludf.DUMMYFUNCTION("""COMPUTED_VALUE"""),46190.0)</f>
        <v>46190</v>
      </c>
      <c r="C2257" s="165" t="str">
        <f>IFERROR(__xludf.DUMMYFUNCTION("""COMPUTED_VALUE"""),"KYAI KONTONG")</f>
        <v>KYAI KONTONG</v>
      </c>
      <c r="D2257" s="94">
        <f>IFERROR(__xludf.DUMMYFUNCTION("""COMPUTED_VALUE"""),20.0)</f>
        <v>20</v>
      </c>
    </row>
    <row r="2258">
      <c r="A2258" s="87" t="str">
        <f>IFERROR(__xludf.DUMMYFUNCTION("""COMPUTED_VALUE"""),"ITBISA-INFRARED-1838")</f>
        <v>ITBISA-INFRARED-1838</v>
      </c>
      <c r="B2258" s="165">
        <f>IFERROR(__xludf.DUMMYFUNCTION("""COMPUTED_VALUE"""),46191.0)</f>
        <v>46191</v>
      </c>
      <c r="C2258" s="165" t="str">
        <f>IFERROR(__xludf.DUMMYFUNCTION("""COMPUTED_VALUE"""),"KYAI KONTONG")</f>
        <v>KYAI KONTONG</v>
      </c>
      <c r="D2258" s="94">
        <f>IFERROR(__xludf.DUMMYFUNCTION("""COMPUTED_VALUE"""),10.0)</f>
        <v>10</v>
      </c>
    </row>
    <row r="2259">
      <c r="A2259" s="87" t="str">
        <f>IFERROR(__xludf.DUMMYFUNCTION("""COMPUTED_VALUE"""),"ITBISA-INFRARED-1838")</f>
        <v>ITBISA-INFRARED-1838</v>
      </c>
      <c r="B2259" s="165">
        <f>IFERROR(__xludf.DUMMYFUNCTION("""COMPUTED_VALUE"""),46191.0)</f>
        <v>46191</v>
      </c>
      <c r="C2259" s="165" t="str">
        <f>IFERROR(__xludf.DUMMYFUNCTION("""COMPUTED_VALUE"""),"KYAI KONTONG")</f>
        <v>KYAI KONTONG</v>
      </c>
      <c r="D2259" s="94">
        <f>IFERROR(__xludf.DUMMYFUNCTION("""COMPUTED_VALUE"""),13.0)</f>
        <v>13</v>
      </c>
    </row>
    <row r="2260">
      <c r="A2260" s="87" t="str">
        <f>IFERROR(__xludf.DUMMYFUNCTION("""COMPUTED_VALUE"""),"ITBISA-INFRARED-1838")</f>
        <v>ITBISA-INFRARED-1838</v>
      </c>
      <c r="B2260" s="165">
        <f>IFERROR(__xludf.DUMMYFUNCTION("""COMPUTED_VALUE"""),46191.0)</f>
        <v>46191</v>
      </c>
      <c r="C2260" s="165" t="str">
        <f>IFERROR(__xludf.DUMMYFUNCTION("""COMPUTED_VALUE"""),"KYAI KONTONG")</f>
        <v>KYAI KONTONG</v>
      </c>
      <c r="D2260" s="94">
        <f>IFERROR(__xludf.DUMMYFUNCTION("""COMPUTED_VALUE"""),20.0)</f>
        <v>20</v>
      </c>
    </row>
    <row r="2261">
      <c r="A2261" s="87" t="str">
        <f>IFERROR(__xludf.DUMMYFUNCTION("""COMPUTED_VALUE"""),"ITBISA-INFRARED-1838")</f>
        <v>ITBISA-INFRARED-1838</v>
      </c>
      <c r="B2261" s="165">
        <f>IFERROR(__xludf.DUMMYFUNCTION("""COMPUTED_VALUE"""),46191.0)</f>
        <v>46191</v>
      </c>
      <c r="C2261" s="165" t="str">
        <f>IFERROR(__xludf.DUMMYFUNCTION("""COMPUTED_VALUE"""),"KYAI KONTONG")</f>
        <v>KYAI KONTONG</v>
      </c>
      <c r="D2261" s="94">
        <f>IFERROR(__xludf.DUMMYFUNCTION("""COMPUTED_VALUE"""),24.0)</f>
        <v>24</v>
      </c>
    </row>
    <row r="2262">
      <c r="A2262" s="87" t="str">
        <f>IFERROR(__xludf.DUMMYFUNCTION("""COMPUTED_VALUE"""),"ITBISA-INFRARED-1838")</f>
        <v>ITBISA-INFRARED-1838</v>
      </c>
      <c r="B2262" s="165">
        <f>IFERROR(__xludf.DUMMYFUNCTION("""COMPUTED_VALUE"""),46192.0)</f>
        <v>46192</v>
      </c>
      <c r="C2262" s="165" t="str">
        <f>IFERROR(__xludf.DUMMYFUNCTION("""COMPUTED_VALUE"""),"KYAI KONTONG")</f>
        <v>KYAI KONTONG</v>
      </c>
      <c r="D2262" s="94">
        <f>IFERROR(__xludf.DUMMYFUNCTION("""COMPUTED_VALUE"""),10.0)</f>
        <v>10</v>
      </c>
    </row>
    <row r="2263">
      <c r="A2263" s="87" t="str">
        <f>IFERROR(__xludf.DUMMYFUNCTION("""COMPUTED_VALUE"""),"ITBISA-INFRARED-1838")</f>
        <v>ITBISA-INFRARED-1838</v>
      </c>
      <c r="B2263" s="165">
        <f>IFERROR(__xludf.DUMMYFUNCTION("""COMPUTED_VALUE"""),46193.0)</f>
        <v>46193</v>
      </c>
      <c r="C2263" s="165" t="str">
        <f>IFERROR(__xludf.DUMMYFUNCTION("""COMPUTED_VALUE"""),"KYAI KONTONG")</f>
        <v>KYAI KONTONG</v>
      </c>
      <c r="D2263" s="94">
        <f>IFERROR(__xludf.DUMMYFUNCTION("""COMPUTED_VALUE"""),40.0)</f>
        <v>40</v>
      </c>
    </row>
    <row r="2264">
      <c r="A2264" s="87" t="str">
        <f>IFERROR(__xludf.DUMMYFUNCTION("""COMPUTED_VALUE"""),"ITBISA-INFRARED-1838")</f>
        <v>ITBISA-INFRARED-1838</v>
      </c>
      <c r="B2264" s="165">
        <f>IFERROR(__xludf.DUMMYFUNCTION("""COMPUTED_VALUE"""),46197.0)</f>
        <v>46197</v>
      </c>
      <c r="C2264" s="165" t="str">
        <f>IFERROR(__xludf.DUMMYFUNCTION("""COMPUTED_VALUE"""),"KYAI KONTONG")</f>
        <v>KYAI KONTONG</v>
      </c>
      <c r="D2264" s="94">
        <f>IFERROR(__xludf.DUMMYFUNCTION("""COMPUTED_VALUE"""),20.0)</f>
        <v>20</v>
      </c>
    </row>
    <row r="2265">
      <c r="A2265" s="87" t="str">
        <f>IFERROR(__xludf.DUMMYFUNCTION("""COMPUTED_VALUE"""),"ITBISA-INFRARED-1838")</f>
        <v>ITBISA-INFRARED-1838</v>
      </c>
      <c r="B2265" s="165">
        <f>IFERROR(__xludf.DUMMYFUNCTION("""COMPUTED_VALUE"""),46197.0)</f>
        <v>46197</v>
      </c>
      <c r="C2265" s="165" t="str">
        <f>IFERROR(__xludf.DUMMYFUNCTION("""COMPUTED_VALUE"""),"KYAI KONTONG")</f>
        <v>KYAI KONTONG</v>
      </c>
      <c r="D2265" s="94">
        <f>IFERROR(__xludf.DUMMYFUNCTION("""COMPUTED_VALUE"""),20.0)</f>
        <v>20</v>
      </c>
    </row>
    <row r="2266">
      <c r="A2266" s="87" t="str">
        <f>IFERROR(__xludf.DUMMYFUNCTION("""COMPUTED_VALUE"""),"ITBISA-JACK-DC-005-FEMALE")</f>
        <v>ITBISA-JACK-DC-005-FEMALE</v>
      </c>
      <c r="B2266" s="165">
        <f>IFERROR(__xludf.DUMMYFUNCTION("""COMPUTED_VALUE"""),46023.0)</f>
        <v>46023</v>
      </c>
      <c r="C2266" s="165" t="str">
        <f>IFERROR(__xludf.DUMMYFUNCTION("""COMPUTED_VALUE"""),"KYAI KONTONG")</f>
        <v>KYAI KONTONG</v>
      </c>
      <c r="D2266" s="94">
        <f>IFERROR(__xludf.DUMMYFUNCTION("""COMPUTED_VALUE"""),2.0)</f>
        <v>2</v>
      </c>
    </row>
    <row r="2267">
      <c r="A2267" s="87" t="str">
        <f>IFERROR(__xludf.DUMMYFUNCTION("""COMPUTED_VALUE"""),"ITBISA-JACK-DC-005-FEMALE")</f>
        <v>ITBISA-JACK-DC-005-FEMALE</v>
      </c>
      <c r="B2267" s="165">
        <f>IFERROR(__xludf.DUMMYFUNCTION("""COMPUTED_VALUE"""),46023.0)</f>
        <v>46023</v>
      </c>
      <c r="C2267" s="165" t="str">
        <f>IFERROR(__xludf.DUMMYFUNCTION("""COMPUTED_VALUE"""),"KYAI KONTONG")</f>
        <v>KYAI KONTONG</v>
      </c>
      <c r="D2267" s="94">
        <f>IFERROR(__xludf.DUMMYFUNCTION("""COMPUTED_VALUE"""),10.0)</f>
        <v>10</v>
      </c>
    </row>
    <row r="2268">
      <c r="A2268" s="87" t="str">
        <f>IFERROR(__xludf.DUMMYFUNCTION("""COMPUTED_VALUE"""),"ITBISA-JACK-DC-005-FEMALE")</f>
        <v>ITBISA-JACK-DC-005-FEMALE</v>
      </c>
      <c r="B2268" s="165">
        <f>IFERROR(__xludf.DUMMYFUNCTION("""COMPUTED_VALUE"""),46024.0)</f>
        <v>46024</v>
      </c>
      <c r="C2268" s="165" t="str">
        <f>IFERROR(__xludf.DUMMYFUNCTION("""COMPUTED_VALUE"""),"KYAI KONTONG")</f>
        <v>KYAI KONTONG</v>
      </c>
      <c r="D2268" s="94">
        <f>IFERROR(__xludf.DUMMYFUNCTION("""COMPUTED_VALUE"""),1.0)</f>
        <v>1</v>
      </c>
    </row>
    <row r="2269">
      <c r="A2269" s="87" t="str">
        <f>IFERROR(__xludf.DUMMYFUNCTION("""COMPUTED_VALUE"""),"ITBISA-JACK-DC-005-FEMALE")</f>
        <v>ITBISA-JACK-DC-005-FEMALE</v>
      </c>
      <c r="B2269" s="165">
        <f>IFERROR(__xludf.DUMMYFUNCTION("""COMPUTED_VALUE"""),46026.0)</f>
        <v>46026</v>
      </c>
      <c r="C2269" s="165" t="str">
        <f>IFERROR(__xludf.DUMMYFUNCTION("""COMPUTED_VALUE"""),"KYAI KONTONG")</f>
        <v>KYAI KONTONG</v>
      </c>
      <c r="D2269" s="94">
        <f>IFERROR(__xludf.DUMMYFUNCTION("""COMPUTED_VALUE"""),12.0)</f>
        <v>12</v>
      </c>
    </row>
    <row r="2270">
      <c r="A2270" s="87" t="str">
        <f>IFERROR(__xludf.DUMMYFUNCTION("""COMPUTED_VALUE"""),"ITBISA-JACK-DC-005-FEMALE")</f>
        <v>ITBISA-JACK-DC-005-FEMALE</v>
      </c>
      <c r="B2270" s="165">
        <f>IFERROR(__xludf.DUMMYFUNCTION("""COMPUTED_VALUE"""),46027.0)</f>
        <v>46027</v>
      </c>
      <c r="C2270" s="165" t="str">
        <f>IFERROR(__xludf.DUMMYFUNCTION("""COMPUTED_VALUE"""),"KYAI KONTONG")</f>
        <v>KYAI KONTONG</v>
      </c>
      <c r="D2270" s="94">
        <f>IFERROR(__xludf.DUMMYFUNCTION("""COMPUTED_VALUE"""),10.0)</f>
        <v>10</v>
      </c>
    </row>
    <row r="2271">
      <c r="A2271" s="87" t="str">
        <f>IFERROR(__xludf.DUMMYFUNCTION("""COMPUTED_VALUE"""),"ITBISA-JACK-DC-005-FEMALE")</f>
        <v>ITBISA-JACK-DC-005-FEMALE</v>
      </c>
      <c r="B2271" s="165">
        <f>IFERROR(__xludf.DUMMYFUNCTION("""COMPUTED_VALUE"""),46028.0)</f>
        <v>46028</v>
      </c>
      <c r="C2271" s="165" t="str">
        <f>IFERROR(__xludf.DUMMYFUNCTION("""COMPUTED_VALUE"""),"KERTASARI CIAMIS")</f>
        <v>KERTASARI CIAMIS</v>
      </c>
      <c r="D2271" s="94">
        <f>IFERROR(__xludf.DUMMYFUNCTION("""COMPUTED_VALUE"""),1.0)</f>
        <v>1</v>
      </c>
    </row>
    <row r="2272">
      <c r="A2272" s="87" t="str">
        <f>IFERROR(__xludf.DUMMYFUNCTION("""COMPUTED_VALUE"""),"ITBISA-JACK-DC-005-FEMALE")</f>
        <v>ITBISA-JACK-DC-005-FEMALE</v>
      </c>
      <c r="B2272" s="165">
        <f>IFERROR(__xludf.DUMMYFUNCTION("""COMPUTED_VALUE"""),46029.0)</f>
        <v>46029</v>
      </c>
      <c r="C2272" s="165" t="str">
        <f>IFERROR(__xludf.DUMMYFUNCTION("""COMPUTED_VALUE"""),"KERTASARI CIAMIS")</f>
        <v>KERTASARI CIAMIS</v>
      </c>
      <c r="D2272" s="94">
        <f>IFERROR(__xludf.DUMMYFUNCTION("""COMPUTED_VALUE"""),2.0)</f>
        <v>2</v>
      </c>
    </row>
    <row r="2273">
      <c r="A2273" s="87" t="str">
        <f>IFERROR(__xludf.DUMMYFUNCTION("""COMPUTED_VALUE"""),"ITBISA-JACK-DC-005-FEMALE")</f>
        <v>ITBISA-JACK-DC-005-FEMALE</v>
      </c>
      <c r="B2273" s="165">
        <f>IFERROR(__xludf.DUMMYFUNCTION("""COMPUTED_VALUE"""),46029.0)</f>
        <v>46029</v>
      </c>
      <c r="C2273" s="165" t="str">
        <f>IFERROR(__xludf.DUMMYFUNCTION("""COMPUTED_VALUE"""),"KYAI KONTONG")</f>
        <v>KYAI KONTONG</v>
      </c>
      <c r="D2273" s="94">
        <f>IFERROR(__xludf.DUMMYFUNCTION("""COMPUTED_VALUE"""),1.0)</f>
        <v>1</v>
      </c>
    </row>
    <row r="2274">
      <c r="A2274" s="87" t="str">
        <f>IFERROR(__xludf.DUMMYFUNCTION("""COMPUTED_VALUE"""),"ITBISA-JACK-DC-005-FEMALE")</f>
        <v>ITBISA-JACK-DC-005-FEMALE</v>
      </c>
      <c r="B2274" s="165">
        <f>IFERROR(__xludf.DUMMYFUNCTION("""COMPUTED_VALUE"""),46029.0)</f>
        <v>46029</v>
      </c>
      <c r="C2274" s="165" t="str">
        <f>IFERROR(__xludf.DUMMYFUNCTION("""COMPUTED_VALUE"""),"KYAI KONTONG")</f>
        <v>KYAI KONTONG</v>
      </c>
      <c r="D2274" s="94">
        <f>IFERROR(__xludf.DUMMYFUNCTION("""COMPUTED_VALUE"""),2.0)</f>
        <v>2</v>
      </c>
    </row>
    <row r="2275">
      <c r="A2275" s="87" t="str">
        <f>IFERROR(__xludf.DUMMYFUNCTION("""COMPUTED_VALUE"""),"ITBISA-JACK-DC-005-FEMALE")</f>
        <v>ITBISA-JACK-DC-005-FEMALE</v>
      </c>
      <c r="B2275" s="165">
        <f>IFERROR(__xludf.DUMMYFUNCTION("""COMPUTED_VALUE"""),46030.0)</f>
        <v>46030</v>
      </c>
      <c r="C2275" s="165" t="str">
        <f>IFERROR(__xludf.DUMMYFUNCTION("""COMPUTED_VALUE"""),"KYAI KONTONG")</f>
        <v>KYAI KONTONG</v>
      </c>
      <c r="D2275" s="94">
        <f>IFERROR(__xludf.DUMMYFUNCTION("""COMPUTED_VALUE"""),10.0)</f>
        <v>10</v>
      </c>
    </row>
    <row r="2276">
      <c r="A2276" s="87" t="str">
        <f>IFERROR(__xludf.DUMMYFUNCTION("""COMPUTED_VALUE"""),"ITBISA-JACK-DC-005-FEMALE")</f>
        <v>ITBISA-JACK-DC-005-FEMALE</v>
      </c>
      <c r="B2276" s="165">
        <f>IFERROR(__xludf.DUMMYFUNCTION("""COMPUTED_VALUE"""),46032.0)</f>
        <v>46032</v>
      </c>
      <c r="C2276" s="165" t="str">
        <f>IFERROR(__xludf.DUMMYFUNCTION("""COMPUTED_VALUE"""),"KYAI KONTONG")</f>
        <v>KYAI KONTONG</v>
      </c>
      <c r="D2276" s="94">
        <f>IFERROR(__xludf.DUMMYFUNCTION("""COMPUTED_VALUE"""),1.0)</f>
        <v>1</v>
      </c>
    </row>
    <row r="2277">
      <c r="A2277" s="87" t="str">
        <f>IFERROR(__xludf.DUMMYFUNCTION("""COMPUTED_VALUE"""),"ITBISA-JACK-DC-005-FEMALE")</f>
        <v>ITBISA-JACK-DC-005-FEMALE</v>
      </c>
      <c r="B2277" s="165">
        <f>IFERROR(__xludf.DUMMYFUNCTION("""COMPUTED_VALUE"""),46033.0)</f>
        <v>46033</v>
      </c>
      <c r="C2277" s="165" t="str">
        <f>IFERROR(__xludf.DUMMYFUNCTION("""COMPUTED_VALUE"""),"KYAI KONTONG")</f>
        <v>KYAI KONTONG</v>
      </c>
      <c r="D2277" s="94">
        <f>IFERROR(__xludf.DUMMYFUNCTION("""COMPUTED_VALUE"""),1.0)</f>
        <v>1</v>
      </c>
    </row>
    <row r="2278">
      <c r="A2278" s="87" t="str">
        <f>IFERROR(__xludf.DUMMYFUNCTION("""COMPUTED_VALUE"""),"ITBISA-JACK-DC-005-FEMALE")</f>
        <v>ITBISA-JACK-DC-005-FEMALE</v>
      </c>
      <c r="B2278" s="165">
        <f>IFERROR(__xludf.DUMMYFUNCTION("""COMPUTED_VALUE"""),46033.0)</f>
        <v>46033</v>
      </c>
      <c r="C2278" s="165" t="str">
        <f>IFERROR(__xludf.DUMMYFUNCTION("""COMPUTED_VALUE"""),"KYAI KONTONG")</f>
        <v>KYAI KONTONG</v>
      </c>
      <c r="D2278" s="94">
        <f>IFERROR(__xludf.DUMMYFUNCTION("""COMPUTED_VALUE"""),1.0)</f>
        <v>1</v>
      </c>
    </row>
    <row r="2279">
      <c r="A2279" s="87" t="str">
        <f>IFERROR(__xludf.DUMMYFUNCTION("""COMPUTED_VALUE"""),"ITBISA-JACK-DC-005-FEMALE")</f>
        <v>ITBISA-JACK-DC-005-FEMALE</v>
      </c>
      <c r="B2279" s="165">
        <f>IFERROR(__xludf.DUMMYFUNCTION("""COMPUTED_VALUE"""),46033.0)</f>
        <v>46033</v>
      </c>
      <c r="C2279" s="165" t="str">
        <f>IFERROR(__xludf.DUMMYFUNCTION("""COMPUTED_VALUE"""),"KYAI KONTONG")</f>
        <v>KYAI KONTONG</v>
      </c>
      <c r="D2279" s="94">
        <f>IFERROR(__xludf.DUMMYFUNCTION("""COMPUTED_VALUE"""),4.0)</f>
        <v>4</v>
      </c>
    </row>
    <row r="2280">
      <c r="A2280" s="87" t="str">
        <f>IFERROR(__xludf.DUMMYFUNCTION("""COMPUTED_VALUE"""),"ITBISA-JACK-DC-005-FEMALE")</f>
        <v>ITBISA-JACK-DC-005-FEMALE</v>
      </c>
      <c r="B2280" s="165">
        <f>IFERROR(__xludf.DUMMYFUNCTION("""COMPUTED_VALUE"""),46033.0)</f>
        <v>46033</v>
      </c>
      <c r="C2280" s="165" t="str">
        <f>IFERROR(__xludf.DUMMYFUNCTION("""COMPUTED_VALUE"""),"KYAI KONTONG")</f>
        <v>KYAI KONTONG</v>
      </c>
      <c r="D2280" s="94">
        <f>IFERROR(__xludf.DUMMYFUNCTION("""COMPUTED_VALUE"""),5.0)</f>
        <v>5</v>
      </c>
    </row>
    <row r="2281">
      <c r="A2281" s="87" t="str">
        <f>IFERROR(__xludf.DUMMYFUNCTION("""COMPUTED_VALUE"""),"ITBISA-JACK-DC-005-FEMALE")</f>
        <v>ITBISA-JACK-DC-005-FEMALE</v>
      </c>
      <c r="B2281" s="165">
        <f>IFERROR(__xludf.DUMMYFUNCTION("""COMPUTED_VALUE"""),46033.0)</f>
        <v>46033</v>
      </c>
      <c r="C2281" s="165" t="str">
        <f>IFERROR(__xludf.DUMMYFUNCTION("""COMPUTED_VALUE"""),"KYAI KONTONG")</f>
        <v>KYAI KONTONG</v>
      </c>
      <c r="D2281" s="94">
        <f>IFERROR(__xludf.DUMMYFUNCTION("""COMPUTED_VALUE"""),6.0)</f>
        <v>6</v>
      </c>
    </row>
    <row r="2282">
      <c r="A2282" s="87" t="str">
        <f>IFERROR(__xludf.DUMMYFUNCTION("""COMPUTED_VALUE"""),"ITBISA-JACK-DC-005-FEMALE")</f>
        <v>ITBISA-JACK-DC-005-FEMALE</v>
      </c>
      <c r="B2282" s="165">
        <f>IFERROR(__xludf.DUMMYFUNCTION("""COMPUTED_VALUE"""),46035.0)</f>
        <v>46035</v>
      </c>
      <c r="C2282" s="165" t="str">
        <f>IFERROR(__xludf.DUMMYFUNCTION("""COMPUTED_VALUE"""),"KYAI KONTONG")</f>
        <v>KYAI KONTONG</v>
      </c>
      <c r="D2282" s="94">
        <f>IFERROR(__xludf.DUMMYFUNCTION("""COMPUTED_VALUE"""),2.0)</f>
        <v>2</v>
      </c>
    </row>
    <row r="2283">
      <c r="A2283" s="87" t="str">
        <f>IFERROR(__xludf.DUMMYFUNCTION("""COMPUTED_VALUE"""),"ITBISA-JACK-DC-005-FEMALE")</f>
        <v>ITBISA-JACK-DC-005-FEMALE</v>
      </c>
      <c r="B2283" s="165">
        <f>IFERROR(__xludf.DUMMYFUNCTION("""COMPUTED_VALUE"""),46036.0)</f>
        <v>46036</v>
      </c>
      <c r="C2283" s="165" t="str">
        <f>IFERROR(__xludf.DUMMYFUNCTION("""COMPUTED_VALUE"""),"KYAI KONTONG")</f>
        <v>KYAI KONTONG</v>
      </c>
      <c r="D2283" s="94">
        <f>IFERROR(__xludf.DUMMYFUNCTION("""COMPUTED_VALUE"""),6.0)</f>
        <v>6</v>
      </c>
    </row>
    <row r="2284">
      <c r="A2284" s="87" t="str">
        <f>IFERROR(__xludf.DUMMYFUNCTION("""COMPUTED_VALUE"""),"ITBISA-JACK-DC-005-FEMALE")</f>
        <v>ITBISA-JACK-DC-005-FEMALE</v>
      </c>
      <c r="B2284" s="165">
        <f>IFERROR(__xludf.DUMMYFUNCTION("""COMPUTED_VALUE"""),46040.0)</f>
        <v>46040</v>
      </c>
      <c r="C2284" s="165" t="str">
        <f>IFERROR(__xludf.DUMMYFUNCTION("""COMPUTED_VALUE"""),"KYAI KONTONG")</f>
        <v>KYAI KONTONG</v>
      </c>
      <c r="D2284" s="94">
        <f>IFERROR(__xludf.DUMMYFUNCTION("""COMPUTED_VALUE"""),5.0)</f>
        <v>5</v>
      </c>
    </row>
    <row r="2285">
      <c r="A2285" s="87" t="str">
        <f>IFERROR(__xludf.DUMMYFUNCTION("""COMPUTED_VALUE"""),"ITBISA-JACK-DC-005-FEMALE")</f>
        <v>ITBISA-JACK-DC-005-FEMALE</v>
      </c>
      <c r="B2285" s="165">
        <f>IFERROR(__xludf.DUMMYFUNCTION("""COMPUTED_VALUE"""),46040.0)</f>
        <v>46040</v>
      </c>
      <c r="C2285" s="165" t="str">
        <f>IFERROR(__xludf.DUMMYFUNCTION("""COMPUTED_VALUE"""),"KYAI KONTONG")</f>
        <v>KYAI KONTONG</v>
      </c>
      <c r="D2285" s="94">
        <f>IFERROR(__xludf.DUMMYFUNCTION("""COMPUTED_VALUE"""),5.0)</f>
        <v>5</v>
      </c>
    </row>
    <row r="2286">
      <c r="A2286" s="87" t="str">
        <f>IFERROR(__xludf.DUMMYFUNCTION("""COMPUTED_VALUE"""),"ITBISA-JACK-DC-005-FEMALE")</f>
        <v>ITBISA-JACK-DC-005-FEMALE</v>
      </c>
      <c r="B2286" s="165">
        <f>IFERROR(__xludf.DUMMYFUNCTION("""COMPUTED_VALUE"""),46041.0)</f>
        <v>46041</v>
      </c>
      <c r="C2286" s="165" t="str">
        <f>IFERROR(__xludf.DUMMYFUNCTION("""COMPUTED_VALUE"""),"KYAI KONTONG")</f>
        <v>KYAI KONTONG</v>
      </c>
      <c r="D2286" s="94">
        <f>IFERROR(__xludf.DUMMYFUNCTION("""COMPUTED_VALUE"""),1.0)</f>
        <v>1</v>
      </c>
    </row>
    <row r="2287">
      <c r="A2287" s="87" t="str">
        <f>IFERROR(__xludf.DUMMYFUNCTION("""COMPUTED_VALUE"""),"ITBISA-JACK-DC-005-FEMALE")</f>
        <v>ITBISA-JACK-DC-005-FEMALE</v>
      </c>
      <c r="B2287" s="165">
        <f>IFERROR(__xludf.DUMMYFUNCTION("""COMPUTED_VALUE"""),46041.0)</f>
        <v>46041</v>
      </c>
      <c r="C2287" s="165" t="str">
        <f>IFERROR(__xludf.DUMMYFUNCTION("""COMPUTED_VALUE"""),"KYAI KONTONG")</f>
        <v>KYAI KONTONG</v>
      </c>
      <c r="D2287" s="94">
        <f>IFERROR(__xludf.DUMMYFUNCTION("""COMPUTED_VALUE"""),4.0)</f>
        <v>4</v>
      </c>
    </row>
    <row r="2288">
      <c r="A2288" s="87" t="str">
        <f>IFERROR(__xludf.DUMMYFUNCTION("""COMPUTED_VALUE"""),"ITBISA-JACK-DC-005-FEMALE")</f>
        <v>ITBISA-JACK-DC-005-FEMALE</v>
      </c>
      <c r="B2288" s="165">
        <f>IFERROR(__xludf.DUMMYFUNCTION("""COMPUTED_VALUE"""),46042.0)</f>
        <v>46042</v>
      </c>
      <c r="C2288" s="165" t="str">
        <f>IFERROR(__xludf.DUMMYFUNCTION("""COMPUTED_VALUE"""),"KYAI KONTONG")</f>
        <v>KYAI KONTONG</v>
      </c>
      <c r="D2288" s="94">
        <f>IFERROR(__xludf.DUMMYFUNCTION("""COMPUTED_VALUE"""),1.0)</f>
        <v>1</v>
      </c>
    </row>
    <row r="2289">
      <c r="A2289" s="87" t="str">
        <f>IFERROR(__xludf.DUMMYFUNCTION("""COMPUTED_VALUE"""),"ITBISA-JACK-DC-005-FEMALE")</f>
        <v>ITBISA-JACK-DC-005-FEMALE</v>
      </c>
      <c r="B2289" s="165">
        <f>IFERROR(__xludf.DUMMYFUNCTION("""COMPUTED_VALUE"""),46043.0)</f>
        <v>46043</v>
      </c>
      <c r="C2289" s="165" t="str">
        <f>IFERROR(__xludf.DUMMYFUNCTION("""COMPUTED_VALUE"""),"KERTASARI CIAMIS")</f>
        <v>KERTASARI CIAMIS</v>
      </c>
      <c r="D2289" s="94">
        <f>IFERROR(__xludf.DUMMYFUNCTION("""COMPUTED_VALUE"""),2.0)</f>
        <v>2</v>
      </c>
    </row>
    <row r="2290">
      <c r="A2290" s="87" t="str">
        <f>IFERROR(__xludf.DUMMYFUNCTION("""COMPUTED_VALUE"""),"ITBISA-JACK-DC-005-FEMALE")</f>
        <v>ITBISA-JACK-DC-005-FEMALE</v>
      </c>
      <c r="B2290" s="165">
        <f>IFERROR(__xludf.DUMMYFUNCTION("""COMPUTED_VALUE"""),46043.0)</f>
        <v>46043</v>
      </c>
      <c r="C2290" s="165" t="str">
        <f>IFERROR(__xludf.DUMMYFUNCTION("""COMPUTED_VALUE"""),"KYAI KONTONG")</f>
        <v>KYAI KONTONG</v>
      </c>
      <c r="D2290" s="94">
        <f>IFERROR(__xludf.DUMMYFUNCTION("""COMPUTED_VALUE"""),5.0)</f>
        <v>5</v>
      </c>
    </row>
    <row r="2291">
      <c r="A2291" s="87" t="str">
        <f>IFERROR(__xludf.DUMMYFUNCTION("""COMPUTED_VALUE"""),"ITBISA-JACK-DC-005-FEMALE")</f>
        <v>ITBISA-JACK-DC-005-FEMALE</v>
      </c>
      <c r="B2291" s="165">
        <f>IFERROR(__xludf.DUMMYFUNCTION("""COMPUTED_VALUE"""),46044.0)</f>
        <v>46044</v>
      </c>
      <c r="C2291" s="165" t="str">
        <f>IFERROR(__xludf.DUMMYFUNCTION("""COMPUTED_VALUE"""),"KERTASARI CIAMIS")</f>
        <v>KERTASARI CIAMIS</v>
      </c>
      <c r="D2291" s="94">
        <f>IFERROR(__xludf.DUMMYFUNCTION("""COMPUTED_VALUE"""),1.0)</f>
        <v>1</v>
      </c>
    </row>
    <row r="2292">
      <c r="A2292" s="87" t="str">
        <f>IFERROR(__xludf.DUMMYFUNCTION("""COMPUTED_VALUE"""),"ITBISA-JACK-DC-005-FEMALE")</f>
        <v>ITBISA-JACK-DC-005-FEMALE</v>
      </c>
      <c r="B2292" s="165">
        <f>IFERROR(__xludf.DUMMYFUNCTION("""COMPUTED_VALUE"""),46044.0)</f>
        <v>46044</v>
      </c>
      <c r="C2292" s="165" t="str">
        <f>IFERROR(__xludf.DUMMYFUNCTION("""COMPUTED_VALUE"""),"KERTASARI CIAMIS")</f>
        <v>KERTASARI CIAMIS</v>
      </c>
      <c r="D2292" s="94">
        <f>IFERROR(__xludf.DUMMYFUNCTION("""COMPUTED_VALUE"""),5.0)</f>
        <v>5</v>
      </c>
    </row>
    <row r="2293">
      <c r="A2293" s="87" t="str">
        <f>IFERROR(__xludf.DUMMYFUNCTION("""COMPUTED_VALUE"""),"ITBISA-JACK-DC-005-FEMALE")</f>
        <v>ITBISA-JACK-DC-005-FEMALE</v>
      </c>
      <c r="B2293" s="165">
        <f>IFERROR(__xludf.DUMMYFUNCTION("""COMPUTED_VALUE"""),46045.0)</f>
        <v>46045</v>
      </c>
      <c r="C2293" s="165" t="str">
        <f>IFERROR(__xludf.DUMMYFUNCTION("""COMPUTED_VALUE"""),"KERTASARI CIAMIS")</f>
        <v>KERTASARI CIAMIS</v>
      </c>
      <c r="D2293" s="94">
        <f>IFERROR(__xludf.DUMMYFUNCTION("""COMPUTED_VALUE"""),1.0)</f>
        <v>1</v>
      </c>
    </row>
    <row r="2294">
      <c r="A2294" s="87" t="str">
        <f>IFERROR(__xludf.DUMMYFUNCTION("""COMPUTED_VALUE"""),"ITBISA-JACK-DC-005-FEMALE")</f>
        <v>ITBISA-JACK-DC-005-FEMALE</v>
      </c>
      <c r="B2294" s="165">
        <f>IFERROR(__xludf.DUMMYFUNCTION("""COMPUTED_VALUE"""),46045.0)</f>
        <v>46045</v>
      </c>
      <c r="C2294" s="165" t="str">
        <f>IFERROR(__xludf.DUMMYFUNCTION("""COMPUTED_VALUE"""),"KERTASARI CIAMIS")</f>
        <v>KERTASARI CIAMIS</v>
      </c>
      <c r="D2294" s="94">
        <f>IFERROR(__xludf.DUMMYFUNCTION("""COMPUTED_VALUE"""),4.0)</f>
        <v>4</v>
      </c>
    </row>
    <row r="2295">
      <c r="A2295" s="87" t="str">
        <f>IFERROR(__xludf.DUMMYFUNCTION("""COMPUTED_VALUE"""),"ITBISA-JACK-DC-005-FEMALE")</f>
        <v>ITBISA-JACK-DC-005-FEMALE</v>
      </c>
      <c r="B2295" s="165">
        <f>IFERROR(__xludf.DUMMYFUNCTION("""COMPUTED_VALUE"""),46046.0)</f>
        <v>46046</v>
      </c>
      <c r="C2295" s="165" t="str">
        <f>IFERROR(__xludf.DUMMYFUNCTION("""COMPUTED_VALUE"""),"KERTASARI CIAMIS")</f>
        <v>KERTASARI CIAMIS</v>
      </c>
      <c r="D2295" s="94">
        <f>IFERROR(__xludf.DUMMYFUNCTION("""COMPUTED_VALUE"""),6.0)</f>
        <v>6</v>
      </c>
    </row>
    <row r="2296">
      <c r="A2296" s="87" t="str">
        <f>IFERROR(__xludf.DUMMYFUNCTION("""COMPUTED_VALUE"""),"ITBISA-JACK-DC-005-FEMALE")</f>
        <v>ITBISA-JACK-DC-005-FEMALE</v>
      </c>
      <c r="B2296" s="165">
        <f>IFERROR(__xludf.DUMMYFUNCTION("""COMPUTED_VALUE"""),46046.0)</f>
        <v>46046</v>
      </c>
      <c r="C2296" s="165" t="str">
        <f>IFERROR(__xludf.DUMMYFUNCTION("""COMPUTED_VALUE"""),"KERTASARI CIAMIS")</f>
        <v>KERTASARI CIAMIS</v>
      </c>
      <c r="D2296" s="94">
        <f>IFERROR(__xludf.DUMMYFUNCTION("""COMPUTED_VALUE"""),10.0)</f>
        <v>10</v>
      </c>
    </row>
    <row r="2297">
      <c r="A2297" s="87" t="str">
        <f>IFERROR(__xludf.DUMMYFUNCTION("""COMPUTED_VALUE"""),"ITBISA-JACK-DC-005-FEMALE")</f>
        <v>ITBISA-JACK-DC-005-FEMALE</v>
      </c>
      <c r="B2297" s="165">
        <f>IFERROR(__xludf.DUMMYFUNCTION("""COMPUTED_VALUE"""),46047.0)</f>
        <v>46047</v>
      </c>
      <c r="C2297" s="165" t="str">
        <f>IFERROR(__xludf.DUMMYFUNCTION("""COMPUTED_VALUE"""),"KERTASARI CIAMIS")</f>
        <v>KERTASARI CIAMIS</v>
      </c>
      <c r="D2297" s="94">
        <f>IFERROR(__xludf.DUMMYFUNCTION("""COMPUTED_VALUE"""),5.0)</f>
        <v>5</v>
      </c>
    </row>
    <row r="2298">
      <c r="A2298" s="87" t="str">
        <f>IFERROR(__xludf.DUMMYFUNCTION("""COMPUTED_VALUE"""),"ITBISA-JACK-DC-005-FEMALE")</f>
        <v>ITBISA-JACK-DC-005-FEMALE</v>
      </c>
      <c r="B2298" s="165">
        <f>IFERROR(__xludf.DUMMYFUNCTION("""COMPUTED_VALUE"""),46047.0)</f>
        <v>46047</v>
      </c>
      <c r="C2298" s="165" t="str">
        <f>IFERROR(__xludf.DUMMYFUNCTION("""COMPUTED_VALUE"""),"KYAI KONTONG")</f>
        <v>KYAI KONTONG</v>
      </c>
      <c r="D2298" s="94">
        <f>IFERROR(__xludf.DUMMYFUNCTION("""COMPUTED_VALUE"""),15.0)</f>
        <v>15</v>
      </c>
    </row>
    <row r="2299">
      <c r="A2299" s="87" t="str">
        <f>IFERROR(__xludf.DUMMYFUNCTION("""COMPUTED_VALUE"""),"ITBISA-JACK-DC-005-FEMALE")</f>
        <v>ITBISA-JACK-DC-005-FEMALE</v>
      </c>
      <c r="B2299" s="165">
        <f>IFERROR(__xludf.DUMMYFUNCTION("""COMPUTED_VALUE"""),46048.0)</f>
        <v>46048</v>
      </c>
      <c r="C2299" s="165" t="str">
        <f>IFERROR(__xludf.DUMMYFUNCTION("""COMPUTED_VALUE"""),"KYAI KONTONG")</f>
        <v>KYAI KONTONG</v>
      </c>
      <c r="D2299" s="94">
        <f>IFERROR(__xludf.DUMMYFUNCTION("""COMPUTED_VALUE"""),5.0)</f>
        <v>5</v>
      </c>
    </row>
    <row r="2300">
      <c r="A2300" s="87" t="str">
        <f>IFERROR(__xludf.DUMMYFUNCTION("""COMPUTED_VALUE"""),"ITBISA-JACK-DC-005-FEMALE")</f>
        <v>ITBISA-JACK-DC-005-FEMALE</v>
      </c>
      <c r="B2300" s="165">
        <f>IFERROR(__xludf.DUMMYFUNCTION("""COMPUTED_VALUE"""),46049.0)</f>
        <v>46049</v>
      </c>
      <c r="C2300" s="165" t="str">
        <f>IFERROR(__xludf.DUMMYFUNCTION("""COMPUTED_VALUE"""),"KERTASARI CIAMIS")</f>
        <v>KERTASARI CIAMIS</v>
      </c>
      <c r="D2300" s="94">
        <f>IFERROR(__xludf.DUMMYFUNCTION("""COMPUTED_VALUE"""),5.0)</f>
        <v>5</v>
      </c>
    </row>
    <row r="2301">
      <c r="A2301" s="87" t="str">
        <f>IFERROR(__xludf.DUMMYFUNCTION("""COMPUTED_VALUE"""),"ITBISA-JACK-DC-005-FEMALE")</f>
        <v>ITBISA-JACK-DC-005-FEMALE</v>
      </c>
      <c r="B2301" s="165">
        <f>IFERROR(__xludf.DUMMYFUNCTION("""COMPUTED_VALUE"""),46050.0)</f>
        <v>46050</v>
      </c>
      <c r="C2301" s="165" t="str">
        <f>IFERROR(__xludf.DUMMYFUNCTION("""COMPUTED_VALUE"""),"KERTASARI CIAMIS")</f>
        <v>KERTASARI CIAMIS</v>
      </c>
      <c r="D2301" s="94">
        <f>IFERROR(__xludf.DUMMYFUNCTION("""COMPUTED_VALUE"""),50.0)</f>
        <v>50</v>
      </c>
    </row>
    <row r="2302">
      <c r="A2302" s="87" t="str">
        <f>IFERROR(__xludf.DUMMYFUNCTION("""COMPUTED_VALUE"""),"ITBISA-JACK-DC-005-FEMALE")</f>
        <v>ITBISA-JACK-DC-005-FEMALE</v>
      </c>
      <c r="B2302" s="165">
        <f>IFERROR(__xludf.DUMMYFUNCTION("""COMPUTED_VALUE"""),46052.0)</f>
        <v>46052</v>
      </c>
      <c r="C2302" s="165" t="str">
        <f>IFERROR(__xludf.DUMMYFUNCTION("""COMPUTED_VALUE"""),"KERTASARI CIAMIS")</f>
        <v>KERTASARI CIAMIS</v>
      </c>
      <c r="D2302" s="94">
        <f>IFERROR(__xludf.DUMMYFUNCTION("""COMPUTED_VALUE"""),5.0)</f>
        <v>5</v>
      </c>
    </row>
    <row r="2303">
      <c r="A2303" s="87" t="str">
        <f>IFERROR(__xludf.DUMMYFUNCTION("""COMPUTED_VALUE"""),"ITBISA-JACK-DC-005-FEMALE")</f>
        <v>ITBISA-JACK-DC-005-FEMALE</v>
      </c>
      <c r="B2303" s="165">
        <f>IFERROR(__xludf.DUMMYFUNCTION("""COMPUTED_VALUE"""),46052.0)</f>
        <v>46052</v>
      </c>
      <c r="C2303" s="165" t="str">
        <f>IFERROR(__xludf.DUMMYFUNCTION("""COMPUTED_VALUE"""),"KERTASARI CIAMIS")</f>
        <v>KERTASARI CIAMIS</v>
      </c>
      <c r="D2303" s="94">
        <f>IFERROR(__xludf.DUMMYFUNCTION("""COMPUTED_VALUE"""),5.0)</f>
        <v>5</v>
      </c>
    </row>
    <row r="2304">
      <c r="A2304" s="87" t="str">
        <f>IFERROR(__xludf.DUMMYFUNCTION("""COMPUTED_VALUE"""),"ITBISA-JACK-DC-005-FEMALE")</f>
        <v>ITBISA-JACK-DC-005-FEMALE</v>
      </c>
      <c r="B2304" s="165">
        <f>IFERROR(__xludf.DUMMYFUNCTION("""COMPUTED_VALUE"""),46052.0)</f>
        <v>46052</v>
      </c>
      <c r="C2304" s="165" t="str">
        <f>IFERROR(__xludf.DUMMYFUNCTION("""COMPUTED_VALUE"""),"KERTASARI CIAMIS")</f>
        <v>KERTASARI CIAMIS</v>
      </c>
      <c r="D2304" s="94">
        <f>IFERROR(__xludf.DUMMYFUNCTION("""COMPUTED_VALUE"""),10.0)</f>
        <v>10</v>
      </c>
    </row>
    <row r="2305">
      <c r="A2305" s="87" t="str">
        <f>IFERROR(__xludf.DUMMYFUNCTION("""COMPUTED_VALUE"""),"ITBISA-JACK-DC-005-FEMALE")</f>
        <v>ITBISA-JACK-DC-005-FEMALE</v>
      </c>
      <c r="B2305" s="165">
        <f>IFERROR(__xludf.DUMMYFUNCTION("""COMPUTED_VALUE"""),46052.0)</f>
        <v>46052</v>
      </c>
      <c r="C2305" s="165" t="str">
        <f>IFERROR(__xludf.DUMMYFUNCTION("""COMPUTED_VALUE"""),"KERTASARI CIAMIS")</f>
        <v>KERTASARI CIAMIS</v>
      </c>
      <c r="D2305" s="94">
        <f>IFERROR(__xludf.DUMMYFUNCTION("""COMPUTED_VALUE"""),30.0)</f>
        <v>30</v>
      </c>
    </row>
    <row r="2306">
      <c r="A2306" s="87" t="str">
        <f>IFERROR(__xludf.DUMMYFUNCTION("""COMPUTED_VALUE"""),"ITBISA-JACK-DC-005-FEMALE")</f>
        <v>ITBISA-JACK-DC-005-FEMALE</v>
      </c>
      <c r="B2306" s="165">
        <f>IFERROR(__xludf.DUMMYFUNCTION("""COMPUTED_VALUE"""),46052.0)</f>
        <v>46052</v>
      </c>
      <c r="C2306" s="165" t="str">
        <f>IFERROR(__xludf.DUMMYFUNCTION("""COMPUTED_VALUE"""),"KERTASARI CIAMIS")</f>
        <v>KERTASARI CIAMIS</v>
      </c>
      <c r="D2306" s="94">
        <f>IFERROR(__xludf.DUMMYFUNCTION("""COMPUTED_VALUE"""),30.0)</f>
        <v>30</v>
      </c>
    </row>
    <row r="2307">
      <c r="A2307" s="87" t="str">
        <f>IFERROR(__xludf.DUMMYFUNCTION("""COMPUTED_VALUE"""),"ITBISA-JACK-DC-005-FEMALE")</f>
        <v>ITBISA-JACK-DC-005-FEMALE</v>
      </c>
      <c r="B2307" s="165">
        <f>IFERROR(__xludf.DUMMYFUNCTION("""COMPUTED_VALUE"""),46053.0)</f>
        <v>46053</v>
      </c>
      <c r="C2307" s="165" t="str">
        <f>IFERROR(__xludf.DUMMYFUNCTION("""COMPUTED_VALUE"""),"KERTASARI CIAMIS")</f>
        <v>KERTASARI CIAMIS</v>
      </c>
      <c r="D2307" s="94">
        <f>IFERROR(__xludf.DUMMYFUNCTION("""COMPUTED_VALUE"""),5.0)</f>
        <v>5</v>
      </c>
    </row>
    <row r="2308">
      <c r="A2308" s="87" t="str">
        <f>IFERROR(__xludf.DUMMYFUNCTION("""COMPUTED_VALUE"""),"ITBISA-JACK-DC-005-FEMALE")</f>
        <v>ITBISA-JACK-DC-005-FEMALE</v>
      </c>
      <c r="B2308" s="165">
        <f>IFERROR(__xludf.DUMMYFUNCTION("""COMPUTED_VALUE"""),46053.0)</f>
        <v>46053</v>
      </c>
      <c r="C2308" s="165" t="str">
        <f>IFERROR(__xludf.DUMMYFUNCTION("""COMPUTED_VALUE"""),"KERTASARI CIAMIS")</f>
        <v>KERTASARI CIAMIS</v>
      </c>
      <c r="D2308" s="94">
        <f>IFERROR(__xludf.DUMMYFUNCTION("""COMPUTED_VALUE"""),5.0)</f>
        <v>5</v>
      </c>
    </row>
    <row r="2309">
      <c r="A2309" s="87" t="str">
        <f>IFERROR(__xludf.DUMMYFUNCTION("""COMPUTED_VALUE"""),"ITBISA-JACK-DC-005-FEMALE")</f>
        <v>ITBISA-JACK-DC-005-FEMALE</v>
      </c>
      <c r="B2309" s="165">
        <f>IFERROR(__xludf.DUMMYFUNCTION("""COMPUTED_VALUE"""),46053.0)</f>
        <v>46053</v>
      </c>
      <c r="C2309" s="165" t="str">
        <f>IFERROR(__xludf.DUMMYFUNCTION("""COMPUTED_VALUE"""),"KERTASARI CIAMIS")</f>
        <v>KERTASARI CIAMIS</v>
      </c>
      <c r="D2309" s="94">
        <f>IFERROR(__xludf.DUMMYFUNCTION("""COMPUTED_VALUE"""),6.0)</f>
        <v>6</v>
      </c>
    </row>
    <row r="2310">
      <c r="A2310" s="87" t="str">
        <f>IFERROR(__xludf.DUMMYFUNCTION("""COMPUTED_VALUE"""),"ITBISA-JACK-DC-005-FEMALE")</f>
        <v>ITBISA-JACK-DC-005-FEMALE</v>
      </c>
      <c r="B2310" s="165">
        <f>IFERROR(__xludf.DUMMYFUNCTION("""COMPUTED_VALUE"""),46054.0)</f>
        <v>46054</v>
      </c>
      <c r="C2310" s="165" t="str">
        <f>IFERROR(__xludf.DUMMYFUNCTION("""COMPUTED_VALUE"""),"KERTASARI CIAMIS")</f>
        <v>KERTASARI CIAMIS</v>
      </c>
      <c r="D2310" s="94">
        <f>IFERROR(__xludf.DUMMYFUNCTION("""COMPUTED_VALUE"""),10.0)</f>
        <v>10</v>
      </c>
    </row>
    <row r="2311">
      <c r="A2311" s="87" t="str">
        <f>IFERROR(__xludf.DUMMYFUNCTION("""COMPUTED_VALUE"""),"ITBISA-JACK-DC-005-FEMALE")</f>
        <v>ITBISA-JACK-DC-005-FEMALE</v>
      </c>
      <c r="B2311" s="165">
        <f>IFERROR(__xludf.DUMMYFUNCTION("""COMPUTED_VALUE"""),46054.0)</f>
        <v>46054</v>
      </c>
      <c r="C2311" s="165" t="str">
        <f>IFERROR(__xludf.DUMMYFUNCTION("""COMPUTED_VALUE"""),"KERTASARI CIAMIS")</f>
        <v>KERTASARI CIAMIS</v>
      </c>
      <c r="D2311" s="94">
        <f>IFERROR(__xludf.DUMMYFUNCTION("""COMPUTED_VALUE"""),24.0)</f>
        <v>24</v>
      </c>
    </row>
    <row r="2312">
      <c r="A2312" s="87" t="str">
        <f>IFERROR(__xludf.DUMMYFUNCTION("""COMPUTED_VALUE"""),"ITBISA-JACK-DC-005-FEMALE")</f>
        <v>ITBISA-JACK-DC-005-FEMALE</v>
      </c>
      <c r="B2312" s="165">
        <f>IFERROR(__xludf.DUMMYFUNCTION("""COMPUTED_VALUE"""),46055.0)</f>
        <v>46055</v>
      </c>
      <c r="C2312" s="165" t="str">
        <f>IFERROR(__xludf.DUMMYFUNCTION("""COMPUTED_VALUE"""),"KERTASARI CIAMIS")</f>
        <v>KERTASARI CIAMIS</v>
      </c>
      <c r="D2312" s="94">
        <f>IFERROR(__xludf.DUMMYFUNCTION("""COMPUTED_VALUE"""),5.0)</f>
        <v>5</v>
      </c>
    </row>
    <row r="2313">
      <c r="A2313" s="87" t="str">
        <f>IFERROR(__xludf.DUMMYFUNCTION("""COMPUTED_VALUE"""),"ITBISA-JACK-DC-005-FEMALE")</f>
        <v>ITBISA-JACK-DC-005-FEMALE</v>
      </c>
      <c r="B2313" s="165">
        <f>IFERROR(__xludf.DUMMYFUNCTION("""COMPUTED_VALUE"""),46055.0)</f>
        <v>46055</v>
      </c>
      <c r="C2313" s="165" t="str">
        <f>IFERROR(__xludf.DUMMYFUNCTION("""COMPUTED_VALUE"""),"KERTASARI CIAMIS")</f>
        <v>KERTASARI CIAMIS</v>
      </c>
      <c r="D2313" s="94">
        <f>IFERROR(__xludf.DUMMYFUNCTION("""COMPUTED_VALUE"""),5.0)</f>
        <v>5</v>
      </c>
    </row>
    <row r="2314">
      <c r="A2314" s="87" t="str">
        <f>IFERROR(__xludf.DUMMYFUNCTION("""COMPUTED_VALUE"""),"ITBISA-JACK-DC-005-FEMALE")</f>
        <v>ITBISA-JACK-DC-005-FEMALE</v>
      </c>
      <c r="B2314" s="165">
        <f>IFERROR(__xludf.DUMMYFUNCTION("""COMPUTED_VALUE"""),46060.0)</f>
        <v>46060</v>
      </c>
      <c r="C2314" s="165" t="str">
        <f>IFERROR(__xludf.DUMMYFUNCTION("""COMPUTED_VALUE"""),"KERTASARI CIAMIS")</f>
        <v>KERTASARI CIAMIS</v>
      </c>
      <c r="D2314" s="94">
        <f>IFERROR(__xludf.DUMMYFUNCTION("""COMPUTED_VALUE"""),10.0)</f>
        <v>10</v>
      </c>
    </row>
    <row r="2315">
      <c r="A2315" s="87" t="str">
        <f>IFERROR(__xludf.DUMMYFUNCTION("""COMPUTED_VALUE"""),"ITBISA-JACK-DC-005-FEMALE")</f>
        <v>ITBISA-JACK-DC-005-FEMALE</v>
      </c>
      <c r="B2315" s="165">
        <f>IFERROR(__xludf.DUMMYFUNCTION("""COMPUTED_VALUE"""),46065.0)</f>
        <v>46065</v>
      </c>
      <c r="C2315" s="165" t="str">
        <f>IFERROR(__xludf.DUMMYFUNCTION("""COMPUTED_VALUE"""),"KYAI KONTONG")</f>
        <v>KYAI KONTONG</v>
      </c>
      <c r="D2315" s="94">
        <f>IFERROR(__xludf.DUMMYFUNCTION("""COMPUTED_VALUE"""),20.0)</f>
        <v>20</v>
      </c>
    </row>
    <row r="2316">
      <c r="A2316" s="87" t="str">
        <f>IFERROR(__xludf.DUMMYFUNCTION("""COMPUTED_VALUE"""),"ITBISA-JACK-DC-005-FEMALE")</f>
        <v>ITBISA-JACK-DC-005-FEMALE</v>
      </c>
      <c r="B2316" s="165">
        <f>IFERROR(__xludf.DUMMYFUNCTION("""COMPUTED_VALUE"""),46069.0)</f>
        <v>46069</v>
      </c>
      <c r="C2316" s="165" t="str">
        <f>IFERROR(__xludf.DUMMYFUNCTION("""COMPUTED_VALUE"""),"KERTASARI CIAMIS")</f>
        <v>KERTASARI CIAMIS</v>
      </c>
      <c r="D2316" s="94">
        <f>IFERROR(__xludf.DUMMYFUNCTION("""COMPUTED_VALUE"""),10.0)</f>
        <v>10</v>
      </c>
    </row>
    <row r="2317">
      <c r="A2317" s="87" t="str">
        <f>IFERROR(__xludf.DUMMYFUNCTION("""COMPUTED_VALUE"""),"ITBISA-JACK-DC-005-FEMALE")</f>
        <v>ITBISA-JACK-DC-005-FEMALE</v>
      </c>
      <c r="B2317" s="165">
        <f>IFERROR(__xludf.DUMMYFUNCTION("""COMPUTED_VALUE"""),46070.0)</f>
        <v>46070</v>
      </c>
      <c r="C2317" s="165" t="str">
        <f>IFERROR(__xludf.DUMMYFUNCTION("""COMPUTED_VALUE"""),"KERTASARI CIAMIS")</f>
        <v>KERTASARI CIAMIS</v>
      </c>
      <c r="D2317" s="94">
        <f>IFERROR(__xludf.DUMMYFUNCTION("""COMPUTED_VALUE"""),50.0)</f>
        <v>50</v>
      </c>
    </row>
    <row r="2318">
      <c r="A2318" s="87" t="str">
        <f>IFERROR(__xludf.DUMMYFUNCTION("""COMPUTED_VALUE"""),"ITBISA-JACK-DC-005-FEMALE")</f>
        <v>ITBISA-JACK-DC-005-FEMALE</v>
      </c>
      <c r="B2318" s="165">
        <f>IFERROR(__xludf.DUMMYFUNCTION("""COMPUTED_VALUE"""),46075.0)</f>
        <v>46075</v>
      </c>
      <c r="C2318" s="165" t="str">
        <f>IFERROR(__xludf.DUMMYFUNCTION("""COMPUTED_VALUE"""),"KERTASARI CIAMIS")</f>
        <v>KERTASARI CIAMIS</v>
      </c>
      <c r="D2318" s="94">
        <f>IFERROR(__xludf.DUMMYFUNCTION("""COMPUTED_VALUE"""),5.0)</f>
        <v>5</v>
      </c>
    </row>
    <row r="2319">
      <c r="A2319" s="87" t="str">
        <f>IFERROR(__xludf.DUMMYFUNCTION("""COMPUTED_VALUE"""),"ITBISA-JACK-DC-005-FEMALE")</f>
        <v>ITBISA-JACK-DC-005-FEMALE</v>
      </c>
      <c r="B2319" s="165">
        <f>IFERROR(__xludf.DUMMYFUNCTION("""COMPUTED_VALUE"""),46077.0)</f>
        <v>46077</v>
      </c>
      <c r="C2319" s="165" t="str">
        <f>IFERROR(__xludf.DUMMYFUNCTION("""COMPUTED_VALUE"""),"KERTASARI CIAMIS")</f>
        <v>KERTASARI CIAMIS</v>
      </c>
      <c r="D2319" s="94">
        <f>IFERROR(__xludf.DUMMYFUNCTION("""COMPUTED_VALUE"""),50.0)</f>
        <v>50</v>
      </c>
    </row>
    <row r="2320">
      <c r="A2320" s="87" t="str">
        <f>IFERROR(__xludf.DUMMYFUNCTION("""COMPUTED_VALUE"""),"ITBISA-JACK-DC-005-FEMALE")</f>
        <v>ITBISA-JACK-DC-005-FEMALE</v>
      </c>
      <c r="B2320" s="165">
        <f>IFERROR(__xludf.DUMMYFUNCTION("""COMPUTED_VALUE"""),46080.0)</f>
        <v>46080</v>
      </c>
      <c r="C2320" s="165" t="str">
        <f>IFERROR(__xludf.DUMMYFUNCTION("""COMPUTED_VALUE"""),"KERTASARI CIAMIS")</f>
        <v>KERTASARI CIAMIS</v>
      </c>
      <c r="D2320" s="94">
        <f>IFERROR(__xludf.DUMMYFUNCTION("""COMPUTED_VALUE"""),10.0)</f>
        <v>10</v>
      </c>
    </row>
    <row r="2321">
      <c r="A2321" s="87" t="str">
        <f>IFERROR(__xludf.DUMMYFUNCTION("""COMPUTED_VALUE"""),"ITBISA-JACK-DC-005-FEMALE")</f>
        <v>ITBISA-JACK-DC-005-FEMALE</v>
      </c>
      <c r="B2321" s="165">
        <f>IFERROR(__xludf.DUMMYFUNCTION("""COMPUTED_VALUE"""),46093.0)</f>
        <v>46093</v>
      </c>
      <c r="C2321" s="165" t="str">
        <f>IFERROR(__xludf.DUMMYFUNCTION("""COMPUTED_VALUE"""),"KYAI KONTONG")</f>
        <v>KYAI KONTONG</v>
      </c>
      <c r="D2321" s="94">
        <f>IFERROR(__xludf.DUMMYFUNCTION("""COMPUTED_VALUE"""),50.0)</f>
        <v>50</v>
      </c>
    </row>
    <row r="2322">
      <c r="A2322" s="87" t="str">
        <f>IFERROR(__xludf.DUMMYFUNCTION("""COMPUTED_VALUE"""),"ITBISA-JACK-DC-005-FEMALE")</f>
        <v>ITBISA-JACK-DC-005-FEMALE</v>
      </c>
      <c r="B2322" s="165">
        <f>IFERROR(__xludf.DUMMYFUNCTION("""COMPUTED_VALUE"""),46135.0)</f>
        <v>46135</v>
      </c>
      <c r="C2322" s="165" t="str">
        <f>IFERROR(__xludf.DUMMYFUNCTION("""COMPUTED_VALUE"""),"KYAI KONTONG")</f>
        <v>KYAI KONTONG</v>
      </c>
      <c r="D2322" s="94">
        <f>IFERROR(__xludf.DUMMYFUNCTION("""COMPUTED_VALUE"""),5.0)</f>
        <v>5</v>
      </c>
    </row>
    <row r="2323">
      <c r="A2323" s="87" t="str">
        <f>IFERROR(__xludf.DUMMYFUNCTION("""COMPUTED_VALUE"""),"ITBISA-JACK-DC-005-FEMALE")</f>
        <v>ITBISA-JACK-DC-005-FEMALE</v>
      </c>
      <c r="B2323" s="165">
        <f>IFERROR(__xludf.DUMMYFUNCTION("""COMPUTED_VALUE"""),46136.0)</f>
        <v>46136</v>
      </c>
      <c r="C2323" s="165" t="str">
        <f>IFERROR(__xludf.DUMMYFUNCTION("""COMPUTED_VALUE"""),"KYAI KONTONG")</f>
        <v>KYAI KONTONG</v>
      </c>
      <c r="D2323" s="94">
        <f>IFERROR(__xludf.DUMMYFUNCTION("""COMPUTED_VALUE"""),5.0)</f>
        <v>5</v>
      </c>
    </row>
    <row r="2324">
      <c r="A2324" s="87" t="str">
        <f>IFERROR(__xludf.DUMMYFUNCTION("""COMPUTED_VALUE"""),"ITBISA-JACK-DC-005-FEMALE")</f>
        <v>ITBISA-JACK-DC-005-FEMALE</v>
      </c>
      <c r="B2324" s="165">
        <f>IFERROR(__xludf.DUMMYFUNCTION("""COMPUTED_VALUE"""),46145.0)</f>
        <v>46145</v>
      </c>
      <c r="C2324" s="165" t="str">
        <f>IFERROR(__xludf.DUMMYFUNCTION("""COMPUTED_VALUE"""),"KYAI KONTONG")</f>
        <v>KYAI KONTONG</v>
      </c>
      <c r="D2324" s="94">
        <f>IFERROR(__xludf.DUMMYFUNCTION("""COMPUTED_VALUE"""),5.0)</f>
        <v>5</v>
      </c>
    </row>
    <row r="2325">
      <c r="A2325" s="87" t="str">
        <f>IFERROR(__xludf.DUMMYFUNCTION("""COMPUTED_VALUE"""),"ITBISA-JACK-DC-005-FEMALE")</f>
        <v>ITBISA-JACK-DC-005-FEMALE</v>
      </c>
      <c r="B2325" s="165">
        <f>IFERROR(__xludf.DUMMYFUNCTION("""COMPUTED_VALUE"""),46146.0)</f>
        <v>46146</v>
      </c>
      <c r="C2325" s="165" t="str">
        <f>IFERROR(__xludf.DUMMYFUNCTION("""COMPUTED_VALUE"""),"KYAI KONTONG")</f>
        <v>KYAI KONTONG</v>
      </c>
      <c r="D2325" s="94">
        <f>IFERROR(__xludf.DUMMYFUNCTION("""COMPUTED_VALUE"""),10.0)</f>
        <v>10</v>
      </c>
    </row>
    <row r="2326">
      <c r="A2326" s="87" t="str">
        <f>IFERROR(__xludf.DUMMYFUNCTION("""COMPUTED_VALUE"""),"ITBISA-JACK-DC-005-FEMALE")</f>
        <v>ITBISA-JACK-DC-005-FEMALE</v>
      </c>
      <c r="B2326" s="165">
        <f>IFERROR(__xludf.DUMMYFUNCTION("""COMPUTED_VALUE"""),46147.0)</f>
        <v>46147</v>
      </c>
      <c r="C2326" s="165" t="str">
        <f>IFERROR(__xludf.DUMMYFUNCTION("""COMPUTED_VALUE"""),"KYAI KONTONG")</f>
        <v>KYAI KONTONG</v>
      </c>
      <c r="D2326" s="94">
        <f>IFERROR(__xludf.DUMMYFUNCTION("""COMPUTED_VALUE"""),5.0)</f>
        <v>5</v>
      </c>
    </row>
    <row r="2327">
      <c r="A2327" s="87" t="str">
        <f>IFERROR(__xludf.DUMMYFUNCTION("""COMPUTED_VALUE"""),"ITBISA-JACK-DC-005-FEMALE")</f>
        <v>ITBISA-JACK-DC-005-FEMALE</v>
      </c>
      <c r="B2327" s="165">
        <f>IFERROR(__xludf.DUMMYFUNCTION("""COMPUTED_VALUE"""),46153.0)</f>
        <v>46153</v>
      </c>
      <c r="C2327" s="165" t="str">
        <f>IFERROR(__xludf.DUMMYFUNCTION("""COMPUTED_VALUE"""),"KYAI KONTONG")</f>
        <v>KYAI KONTONG</v>
      </c>
      <c r="D2327" s="94">
        <f>IFERROR(__xludf.DUMMYFUNCTION("""COMPUTED_VALUE"""),5.0)</f>
        <v>5</v>
      </c>
    </row>
    <row r="2328">
      <c r="A2328" s="87" t="str">
        <f>IFERROR(__xludf.DUMMYFUNCTION("""COMPUTED_VALUE"""),"ITBISA-JACK-DC-005-FEMALE")</f>
        <v>ITBISA-JACK-DC-005-FEMALE</v>
      </c>
      <c r="B2328" s="165">
        <f>IFERROR(__xludf.DUMMYFUNCTION("""COMPUTED_VALUE"""),46153.0)</f>
        <v>46153</v>
      </c>
      <c r="C2328" s="165" t="str">
        <f>IFERROR(__xludf.DUMMYFUNCTION("""COMPUTED_VALUE"""),"KYAI KONTONG")</f>
        <v>KYAI KONTONG</v>
      </c>
      <c r="D2328" s="94">
        <f>IFERROR(__xludf.DUMMYFUNCTION("""COMPUTED_VALUE"""),10.0)</f>
        <v>10</v>
      </c>
    </row>
    <row r="2329">
      <c r="A2329" s="87" t="str">
        <f>IFERROR(__xludf.DUMMYFUNCTION("""COMPUTED_VALUE"""),"ITBISA-JACK-DC-005-FEMALE")</f>
        <v>ITBISA-JACK-DC-005-FEMALE</v>
      </c>
      <c r="B2329" s="165">
        <f>IFERROR(__xludf.DUMMYFUNCTION("""COMPUTED_VALUE"""),46155.0)</f>
        <v>46155</v>
      </c>
      <c r="C2329" s="165" t="str">
        <f>IFERROR(__xludf.DUMMYFUNCTION("""COMPUTED_VALUE"""),"KYAI KONTONG")</f>
        <v>KYAI KONTONG</v>
      </c>
      <c r="D2329" s="94">
        <f>IFERROR(__xludf.DUMMYFUNCTION("""COMPUTED_VALUE"""),10.0)</f>
        <v>10</v>
      </c>
    </row>
    <row r="2330">
      <c r="A2330" s="87" t="str">
        <f>IFERROR(__xludf.DUMMYFUNCTION("""COMPUTED_VALUE"""),"ITBISA-JACK-DC-005-FEMALE")</f>
        <v>ITBISA-JACK-DC-005-FEMALE</v>
      </c>
      <c r="B2330" s="165">
        <f>IFERROR(__xludf.DUMMYFUNCTION("""COMPUTED_VALUE"""),46159.0)</f>
        <v>46159</v>
      </c>
      <c r="C2330" s="165" t="str">
        <f>IFERROR(__xludf.DUMMYFUNCTION("""COMPUTED_VALUE"""),"KYAI KONTONG")</f>
        <v>KYAI KONTONG</v>
      </c>
      <c r="D2330" s="94">
        <f>IFERROR(__xludf.DUMMYFUNCTION("""COMPUTED_VALUE"""),5.0)</f>
        <v>5</v>
      </c>
    </row>
    <row r="2331">
      <c r="A2331" s="87" t="str">
        <f>IFERROR(__xludf.DUMMYFUNCTION("""COMPUTED_VALUE"""),"ITBISA-JACK-DC-005-FEMALE")</f>
        <v>ITBISA-JACK-DC-005-FEMALE</v>
      </c>
      <c r="B2331" s="165">
        <f>IFERROR(__xludf.DUMMYFUNCTION("""COMPUTED_VALUE"""),46159.0)</f>
        <v>46159</v>
      </c>
      <c r="C2331" s="165" t="str">
        <f>IFERROR(__xludf.DUMMYFUNCTION("""COMPUTED_VALUE"""),"KYAI KONTONG")</f>
        <v>KYAI KONTONG</v>
      </c>
      <c r="D2331" s="94">
        <f>IFERROR(__xludf.DUMMYFUNCTION("""COMPUTED_VALUE"""),15.0)</f>
        <v>15</v>
      </c>
    </row>
    <row r="2332">
      <c r="A2332" s="87" t="str">
        <f>IFERROR(__xludf.DUMMYFUNCTION("""COMPUTED_VALUE"""),"ITBISA-JACK-DC-005-FEMALE")</f>
        <v>ITBISA-JACK-DC-005-FEMALE</v>
      </c>
      <c r="B2332" s="165">
        <f>IFERROR(__xludf.DUMMYFUNCTION("""COMPUTED_VALUE"""),46162.0)</f>
        <v>46162</v>
      </c>
      <c r="C2332" s="165" t="str">
        <f>IFERROR(__xludf.DUMMYFUNCTION("""COMPUTED_VALUE"""),"KYAI KONTONG")</f>
        <v>KYAI KONTONG</v>
      </c>
      <c r="D2332" s="94">
        <f>IFERROR(__xludf.DUMMYFUNCTION("""COMPUTED_VALUE"""),5.0)</f>
        <v>5</v>
      </c>
    </row>
    <row r="2333">
      <c r="A2333" s="87" t="str">
        <f>IFERROR(__xludf.DUMMYFUNCTION("""COMPUTED_VALUE"""),"ITBISA-JACK-DC-005-FEMALE")</f>
        <v>ITBISA-JACK-DC-005-FEMALE</v>
      </c>
      <c r="B2333" s="165">
        <f>IFERROR(__xludf.DUMMYFUNCTION("""COMPUTED_VALUE"""),46164.0)</f>
        <v>46164</v>
      </c>
      <c r="C2333" s="165" t="str">
        <f>IFERROR(__xludf.DUMMYFUNCTION("""COMPUTED_VALUE"""),"KYAI KONTONG")</f>
        <v>KYAI KONTONG</v>
      </c>
      <c r="D2333" s="94">
        <f>IFERROR(__xludf.DUMMYFUNCTION("""COMPUTED_VALUE"""),1.0)</f>
        <v>1</v>
      </c>
    </row>
    <row r="2334">
      <c r="A2334" s="87" t="str">
        <f>IFERROR(__xludf.DUMMYFUNCTION("""COMPUTED_VALUE"""),"ITBISA-JACK-DC-005-FEMALE")</f>
        <v>ITBISA-JACK-DC-005-FEMALE</v>
      </c>
      <c r="B2334" s="165">
        <f>IFERROR(__xludf.DUMMYFUNCTION("""COMPUTED_VALUE"""),46164.0)</f>
        <v>46164</v>
      </c>
      <c r="C2334" s="165" t="str">
        <f>IFERROR(__xludf.DUMMYFUNCTION("""COMPUTED_VALUE"""),"KYAI KONTONG")</f>
        <v>KYAI KONTONG</v>
      </c>
      <c r="D2334" s="94">
        <f>IFERROR(__xludf.DUMMYFUNCTION("""COMPUTED_VALUE"""),5.0)</f>
        <v>5</v>
      </c>
    </row>
    <row r="2335">
      <c r="A2335" s="87" t="str">
        <f>IFERROR(__xludf.DUMMYFUNCTION("""COMPUTED_VALUE"""),"ITBISA-JACK-DC-005-FEMALE")</f>
        <v>ITBISA-JACK-DC-005-FEMALE</v>
      </c>
      <c r="B2335" s="165">
        <f>IFERROR(__xludf.DUMMYFUNCTION("""COMPUTED_VALUE"""),46167.0)</f>
        <v>46167</v>
      </c>
      <c r="C2335" s="165" t="str">
        <f>IFERROR(__xludf.DUMMYFUNCTION("""COMPUTED_VALUE"""),"KYAI KONTONG")</f>
        <v>KYAI KONTONG</v>
      </c>
      <c r="D2335" s="94">
        <f>IFERROR(__xludf.DUMMYFUNCTION("""COMPUTED_VALUE"""),5.0)</f>
        <v>5</v>
      </c>
    </row>
    <row r="2336">
      <c r="A2336" s="87" t="str">
        <f>IFERROR(__xludf.DUMMYFUNCTION("""COMPUTED_VALUE"""),"ITBISA-JACK-DC-005-FEMALE")</f>
        <v>ITBISA-JACK-DC-005-FEMALE</v>
      </c>
      <c r="B2336" s="165">
        <f>IFERROR(__xludf.DUMMYFUNCTION("""COMPUTED_VALUE"""),46167.0)</f>
        <v>46167</v>
      </c>
      <c r="C2336" s="165" t="str">
        <f>IFERROR(__xludf.DUMMYFUNCTION("""COMPUTED_VALUE"""),"KYAI KONTONG")</f>
        <v>KYAI KONTONG</v>
      </c>
      <c r="D2336" s="94">
        <f>IFERROR(__xludf.DUMMYFUNCTION("""COMPUTED_VALUE"""),100.0)</f>
        <v>100</v>
      </c>
    </row>
    <row r="2337">
      <c r="A2337" s="87" t="str">
        <f>IFERROR(__xludf.DUMMYFUNCTION("""COMPUTED_VALUE"""),"ITBISA-JACK-DC-005-FEMALE")</f>
        <v>ITBISA-JACK-DC-005-FEMALE</v>
      </c>
      <c r="B2337" s="165">
        <f>IFERROR(__xludf.DUMMYFUNCTION("""COMPUTED_VALUE"""),46173.0)</f>
        <v>46173</v>
      </c>
      <c r="C2337" s="165" t="str">
        <f>IFERROR(__xludf.DUMMYFUNCTION("""COMPUTED_VALUE"""),"KYAI KONTONG")</f>
        <v>KYAI KONTONG</v>
      </c>
      <c r="D2337" s="94">
        <f>IFERROR(__xludf.DUMMYFUNCTION("""COMPUTED_VALUE"""),10.0)</f>
        <v>10</v>
      </c>
    </row>
    <row r="2338">
      <c r="A2338" s="87" t="str">
        <f>IFERROR(__xludf.DUMMYFUNCTION("""COMPUTED_VALUE"""),"ITBISA-JACK-DC-005-FEMALE")</f>
        <v>ITBISA-JACK-DC-005-FEMALE</v>
      </c>
      <c r="B2338" s="165">
        <f>IFERROR(__xludf.DUMMYFUNCTION("""COMPUTED_VALUE"""),46174.0)</f>
        <v>46174</v>
      </c>
      <c r="C2338" s="165" t="str">
        <f>IFERROR(__xludf.DUMMYFUNCTION("""COMPUTED_VALUE"""),"KYAI KONTONG")</f>
        <v>KYAI KONTONG</v>
      </c>
      <c r="D2338" s="94">
        <f>IFERROR(__xludf.DUMMYFUNCTION("""COMPUTED_VALUE"""),10.0)</f>
        <v>10</v>
      </c>
    </row>
    <row r="2339">
      <c r="A2339" s="87" t="str">
        <f>IFERROR(__xludf.DUMMYFUNCTION("""COMPUTED_VALUE"""),"ITBISA-JACK-DC-005-FEMALE")</f>
        <v>ITBISA-JACK-DC-005-FEMALE</v>
      </c>
      <c r="B2339" s="165">
        <f>IFERROR(__xludf.DUMMYFUNCTION("""COMPUTED_VALUE"""),46174.0)</f>
        <v>46174</v>
      </c>
      <c r="C2339" s="165" t="str">
        <f>IFERROR(__xludf.DUMMYFUNCTION("""COMPUTED_VALUE"""),"KYAI KONTONG")</f>
        <v>KYAI KONTONG</v>
      </c>
      <c r="D2339" s="94">
        <f>IFERROR(__xludf.DUMMYFUNCTION("""COMPUTED_VALUE"""),30.0)</f>
        <v>30</v>
      </c>
    </row>
    <row r="2340">
      <c r="A2340" s="87" t="str">
        <f>IFERROR(__xludf.DUMMYFUNCTION("""COMPUTED_VALUE"""),"ITBISA-JACK-DC-005-FEMALE")</f>
        <v>ITBISA-JACK-DC-005-FEMALE</v>
      </c>
      <c r="B2340" s="165">
        <f>IFERROR(__xludf.DUMMYFUNCTION("""COMPUTED_VALUE"""),46176.0)</f>
        <v>46176</v>
      </c>
      <c r="C2340" s="165" t="str">
        <f>IFERROR(__xludf.DUMMYFUNCTION("""COMPUTED_VALUE"""),"KYAI KONTONG")</f>
        <v>KYAI KONTONG</v>
      </c>
      <c r="D2340" s="94">
        <f>IFERROR(__xludf.DUMMYFUNCTION("""COMPUTED_VALUE"""),20.0)</f>
        <v>20</v>
      </c>
    </row>
    <row r="2341">
      <c r="A2341" s="87" t="str">
        <f>IFERROR(__xludf.DUMMYFUNCTION("""COMPUTED_VALUE"""),"ITBISA-JACK-DC-005-FEMALE")</f>
        <v>ITBISA-JACK-DC-005-FEMALE</v>
      </c>
      <c r="B2341" s="165">
        <f>IFERROR(__xludf.DUMMYFUNCTION("""COMPUTED_VALUE"""),46178.0)</f>
        <v>46178</v>
      </c>
      <c r="C2341" s="165" t="str">
        <f>IFERROR(__xludf.DUMMYFUNCTION("""COMPUTED_VALUE"""),"KYAI KONTONG")</f>
        <v>KYAI KONTONG</v>
      </c>
      <c r="D2341" s="94">
        <f>IFERROR(__xludf.DUMMYFUNCTION("""COMPUTED_VALUE"""),1.0)</f>
        <v>1</v>
      </c>
    </row>
    <row r="2342">
      <c r="A2342" s="87" t="str">
        <f>IFERROR(__xludf.DUMMYFUNCTION("""COMPUTED_VALUE"""),"ITBISA-JACK-DC-005-FEMALE")</f>
        <v>ITBISA-JACK-DC-005-FEMALE</v>
      </c>
      <c r="B2342" s="165">
        <f>IFERROR(__xludf.DUMMYFUNCTION("""COMPUTED_VALUE"""),46183.0)</f>
        <v>46183</v>
      </c>
      <c r="C2342" s="165" t="str">
        <f>IFERROR(__xludf.DUMMYFUNCTION("""COMPUTED_VALUE"""),"KYAI KONTONG")</f>
        <v>KYAI KONTONG</v>
      </c>
      <c r="D2342" s="94">
        <f>IFERROR(__xludf.DUMMYFUNCTION("""COMPUTED_VALUE"""),5.0)</f>
        <v>5</v>
      </c>
    </row>
    <row r="2343">
      <c r="A2343" s="87" t="str">
        <f>IFERROR(__xludf.DUMMYFUNCTION("""COMPUTED_VALUE"""),"ITBISA-JACK-DC-005-FEMALE")</f>
        <v>ITBISA-JACK-DC-005-FEMALE</v>
      </c>
      <c r="B2343" s="165">
        <f>IFERROR(__xludf.DUMMYFUNCTION("""COMPUTED_VALUE"""),46184.0)</f>
        <v>46184</v>
      </c>
      <c r="C2343" s="165" t="str">
        <f>IFERROR(__xludf.DUMMYFUNCTION("""COMPUTED_VALUE"""),"KYAI KONTONG")</f>
        <v>KYAI KONTONG</v>
      </c>
      <c r="D2343" s="94">
        <f>IFERROR(__xludf.DUMMYFUNCTION("""COMPUTED_VALUE"""),50.0)</f>
        <v>50</v>
      </c>
    </row>
    <row r="2344">
      <c r="A2344" s="87" t="str">
        <f>IFERROR(__xludf.DUMMYFUNCTION("""COMPUTED_VALUE"""),"ITBISA-JACK-DC-005-FEMALE")</f>
        <v>ITBISA-JACK-DC-005-FEMALE</v>
      </c>
      <c r="B2344" s="165">
        <f>IFERROR(__xludf.DUMMYFUNCTION("""COMPUTED_VALUE"""),46196.0)</f>
        <v>46196</v>
      </c>
      <c r="C2344" s="165" t="str">
        <f>IFERROR(__xludf.DUMMYFUNCTION("""COMPUTED_VALUE"""),"KYAI KONTONG")</f>
        <v>KYAI KONTONG</v>
      </c>
      <c r="D2344" s="94">
        <f>IFERROR(__xludf.DUMMYFUNCTION("""COMPUTED_VALUE"""),5.0)</f>
        <v>5</v>
      </c>
    </row>
    <row r="2345">
      <c r="A2345" s="87" t="str">
        <f>IFERROR(__xludf.DUMMYFUNCTION("""COMPUTED_VALUE"""),"ITBISA-JACK-DC-005-FEMALE")</f>
        <v>ITBISA-JACK-DC-005-FEMALE</v>
      </c>
      <c r="B2345" s="165">
        <f>IFERROR(__xludf.DUMMYFUNCTION("""COMPUTED_VALUE"""),46198.0)</f>
        <v>46198</v>
      </c>
      <c r="C2345" s="165" t="str">
        <f>IFERROR(__xludf.DUMMYFUNCTION("""COMPUTED_VALUE"""),"KYAI KONTONG")</f>
        <v>KYAI KONTONG</v>
      </c>
      <c r="D2345" s="94">
        <f>IFERROR(__xludf.DUMMYFUNCTION("""COMPUTED_VALUE"""),5.0)</f>
        <v>5</v>
      </c>
    </row>
    <row r="2346">
      <c r="A2346" s="87" t="str">
        <f>IFERROR(__xludf.DUMMYFUNCTION("""COMPUTED_VALUE"""),"ITBISA-JUMPER-FF-10CM")</f>
        <v>ITBISA-JUMPER-FF-10CM</v>
      </c>
      <c r="B2346" s="165">
        <f>IFERROR(__xludf.DUMMYFUNCTION("""COMPUTED_VALUE"""),46029.0)</f>
        <v>46029</v>
      </c>
      <c r="C2346" s="165" t="str">
        <f>IFERROR(__xludf.DUMMYFUNCTION("""COMPUTED_VALUE"""),"KYAI KONTONG")</f>
        <v>KYAI KONTONG</v>
      </c>
      <c r="D2346" s="94">
        <f>IFERROR(__xludf.DUMMYFUNCTION("""COMPUTED_VALUE"""),40.0)</f>
        <v>40</v>
      </c>
    </row>
    <row r="2347">
      <c r="A2347" s="87" t="str">
        <f>IFERROR(__xludf.DUMMYFUNCTION("""COMPUTED_VALUE"""),"ITBISA-JUMPER-FF-10CM")</f>
        <v>ITBISA-JUMPER-FF-10CM</v>
      </c>
      <c r="B2347" s="165">
        <f>IFERROR(__xludf.DUMMYFUNCTION("""COMPUTED_VALUE"""),46036.0)</f>
        <v>46036</v>
      </c>
      <c r="C2347" s="165" t="str">
        <f>IFERROR(__xludf.DUMMYFUNCTION("""COMPUTED_VALUE"""),"KYAI KONTONG")</f>
        <v>KYAI KONTONG</v>
      </c>
      <c r="D2347" s="94">
        <f>IFERROR(__xludf.DUMMYFUNCTION("""COMPUTED_VALUE"""),40.0)</f>
        <v>40</v>
      </c>
    </row>
    <row r="2348">
      <c r="A2348" s="87" t="str">
        <f>IFERROR(__xludf.DUMMYFUNCTION("""COMPUTED_VALUE"""),"ITBISA-JUMPER-FF-10CM")</f>
        <v>ITBISA-JUMPER-FF-10CM</v>
      </c>
      <c r="B2348" s="165">
        <f>IFERROR(__xludf.DUMMYFUNCTION("""COMPUTED_VALUE"""),46044.0)</f>
        <v>46044</v>
      </c>
      <c r="C2348" s="165" t="str">
        <f>IFERROR(__xludf.DUMMYFUNCTION("""COMPUTED_VALUE"""),"KYAI KONTONG")</f>
        <v>KYAI KONTONG</v>
      </c>
      <c r="D2348" s="94">
        <f>IFERROR(__xludf.DUMMYFUNCTION("""COMPUTED_VALUE"""),40.0)</f>
        <v>40</v>
      </c>
    </row>
    <row r="2349">
      <c r="A2349" s="87" t="str">
        <f>IFERROR(__xludf.DUMMYFUNCTION("""COMPUTED_VALUE"""),"ITBISA-JUMPER-FF-10CM")</f>
        <v>ITBISA-JUMPER-FF-10CM</v>
      </c>
      <c r="B2349" s="165">
        <f>IFERROR(__xludf.DUMMYFUNCTION("""COMPUTED_VALUE"""),46052.0)</f>
        <v>46052</v>
      </c>
      <c r="C2349" s="165" t="str">
        <f>IFERROR(__xludf.DUMMYFUNCTION("""COMPUTED_VALUE"""),"KYAI KONTONG")</f>
        <v>KYAI KONTONG</v>
      </c>
      <c r="D2349" s="94">
        <f>IFERROR(__xludf.DUMMYFUNCTION("""COMPUTED_VALUE"""),40.0)</f>
        <v>40</v>
      </c>
    </row>
    <row r="2350">
      <c r="A2350" s="87" t="str">
        <f>IFERROR(__xludf.DUMMYFUNCTION("""COMPUTED_VALUE"""),"ITBISA-JUMPER-FF-10CM")</f>
        <v>ITBISA-JUMPER-FF-10CM</v>
      </c>
      <c r="B2350" s="165">
        <f>IFERROR(__xludf.DUMMYFUNCTION("""COMPUTED_VALUE"""),46058.0)</f>
        <v>46058</v>
      </c>
      <c r="C2350" s="165" t="str">
        <f>IFERROR(__xludf.DUMMYFUNCTION("""COMPUTED_VALUE"""),"KYAI KONTONG")</f>
        <v>KYAI KONTONG</v>
      </c>
      <c r="D2350" s="94">
        <f>IFERROR(__xludf.DUMMYFUNCTION("""COMPUTED_VALUE"""),40.0)</f>
        <v>40</v>
      </c>
    </row>
    <row r="2351">
      <c r="A2351" s="87" t="str">
        <f>IFERROR(__xludf.DUMMYFUNCTION("""COMPUTED_VALUE"""),"ITBISA-JUMPER-FF-10CM")</f>
        <v>ITBISA-JUMPER-FF-10CM</v>
      </c>
      <c r="B2351" s="165">
        <f>IFERROR(__xludf.DUMMYFUNCTION("""COMPUTED_VALUE"""),46060.0)</f>
        <v>46060</v>
      </c>
      <c r="C2351" s="165" t="str">
        <f>IFERROR(__xludf.DUMMYFUNCTION("""COMPUTED_VALUE"""),"KYAI KONTONG")</f>
        <v>KYAI KONTONG</v>
      </c>
      <c r="D2351" s="94">
        <f>IFERROR(__xludf.DUMMYFUNCTION("""COMPUTED_VALUE"""),160.0)</f>
        <v>160</v>
      </c>
    </row>
    <row r="2352">
      <c r="A2352" s="87" t="str">
        <f>IFERROR(__xludf.DUMMYFUNCTION("""COMPUTED_VALUE"""),"ITBISA-JUMPER-FF-10CM")</f>
        <v>ITBISA-JUMPER-FF-10CM</v>
      </c>
      <c r="B2352" s="165">
        <f>IFERROR(__xludf.DUMMYFUNCTION("""COMPUTED_VALUE"""),46064.0)</f>
        <v>46064</v>
      </c>
      <c r="C2352" s="165" t="str">
        <f>IFERROR(__xludf.DUMMYFUNCTION("""COMPUTED_VALUE"""),"KYAI KONTONG")</f>
        <v>KYAI KONTONG</v>
      </c>
      <c r="D2352" s="94">
        <f>IFERROR(__xludf.DUMMYFUNCTION("""COMPUTED_VALUE"""),40.0)</f>
        <v>40</v>
      </c>
    </row>
    <row r="2353">
      <c r="A2353" s="87" t="str">
        <f>IFERROR(__xludf.DUMMYFUNCTION("""COMPUTED_VALUE"""),"ITBISA-JUMPER-FF-10CM")</f>
        <v>ITBISA-JUMPER-FF-10CM</v>
      </c>
      <c r="B2353" s="165">
        <f>IFERROR(__xludf.DUMMYFUNCTION("""COMPUTED_VALUE"""),46066.0)</f>
        <v>46066</v>
      </c>
      <c r="C2353" s="165" t="str">
        <f>IFERROR(__xludf.DUMMYFUNCTION("""COMPUTED_VALUE"""),"KYAI KONTONG")</f>
        <v>KYAI KONTONG</v>
      </c>
      <c r="D2353" s="94">
        <f>IFERROR(__xludf.DUMMYFUNCTION("""COMPUTED_VALUE"""),40.0)</f>
        <v>40</v>
      </c>
    </row>
    <row r="2354">
      <c r="A2354" s="87" t="str">
        <f>IFERROR(__xludf.DUMMYFUNCTION("""COMPUTED_VALUE"""),"ITBISA-JUMPER-FF-10CM")</f>
        <v>ITBISA-JUMPER-FF-10CM</v>
      </c>
      <c r="B2354" s="165">
        <f>IFERROR(__xludf.DUMMYFUNCTION("""COMPUTED_VALUE"""),46071.0)</f>
        <v>46071</v>
      </c>
      <c r="C2354" s="165" t="str">
        <f>IFERROR(__xludf.DUMMYFUNCTION("""COMPUTED_VALUE"""),"KYAI KONTONG")</f>
        <v>KYAI KONTONG</v>
      </c>
      <c r="D2354" s="94">
        <f>IFERROR(__xludf.DUMMYFUNCTION("""COMPUTED_VALUE"""),40.0)</f>
        <v>40</v>
      </c>
    </row>
    <row r="2355">
      <c r="A2355" s="87" t="str">
        <f>IFERROR(__xludf.DUMMYFUNCTION("""COMPUTED_VALUE"""),"ITBISA-JUMPER-FF-10CM")</f>
        <v>ITBISA-JUMPER-FF-10CM</v>
      </c>
      <c r="B2355" s="165">
        <f>IFERROR(__xludf.DUMMYFUNCTION("""COMPUTED_VALUE"""),46083.0)</f>
        <v>46083</v>
      </c>
      <c r="C2355" s="165" t="str">
        <f>IFERROR(__xludf.DUMMYFUNCTION("""COMPUTED_VALUE"""),"KYAI KONTONG")</f>
        <v>KYAI KONTONG</v>
      </c>
      <c r="D2355" s="94">
        <f>IFERROR(__xludf.DUMMYFUNCTION("""COMPUTED_VALUE"""),40.0)</f>
        <v>40</v>
      </c>
    </row>
    <row r="2356">
      <c r="A2356" s="87" t="str">
        <f>IFERROR(__xludf.DUMMYFUNCTION("""COMPUTED_VALUE"""),"ITBISA-JUMPER-FF-10CM")</f>
        <v>ITBISA-JUMPER-FF-10CM</v>
      </c>
      <c r="B2356" s="165">
        <f>IFERROR(__xludf.DUMMYFUNCTION("""COMPUTED_VALUE"""),46095.0)</f>
        <v>46095</v>
      </c>
      <c r="C2356" s="165" t="str">
        <f>IFERROR(__xludf.DUMMYFUNCTION("""COMPUTED_VALUE"""),"KYAI KONTONG")</f>
        <v>KYAI KONTONG</v>
      </c>
      <c r="D2356" s="94">
        <f>IFERROR(__xludf.DUMMYFUNCTION("""COMPUTED_VALUE"""),40.0)</f>
        <v>40</v>
      </c>
    </row>
    <row r="2357">
      <c r="A2357" s="87" t="str">
        <f>IFERROR(__xludf.DUMMYFUNCTION("""COMPUTED_VALUE"""),"ITBISA-JUMPER-FF-10CM")</f>
        <v>ITBISA-JUMPER-FF-10CM</v>
      </c>
      <c r="B2357" s="165">
        <f>IFERROR(__xludf.DUMMYFUNCTION("""COMPUTED_VALUE"""),46121.0)</f>
        <v>46121</v>
      </c>
      <c r="C2357" s="165" t="str">
        <f>IFERROR(__xludf.DUMMYFUNCTION("""COMPUTED_VALUE"""),"KYAI KONTONG")</f>
        <v>KYAI KONTONG</v>
      </c>
      <c r="D2357" s="94">
        <f>IFERROR(__xludf.DUMMYFUNCTION("""COMPUTED_VALUE"""),40.0)</f>
        <v>40</v>
      </c>
    </row>
    <row r="2358">
      <c r="A2358" s="87" t="str">
        <f>IFERROR(__xludf.DUMMYFUNCTION("""COMPUTED_VALUE"""),"ITBISA-JUMPER-FF-10CM")</f>
        <v>ITBISA-JUMPER-FF-10CM</v>
      </c>
      <c r="B2358" s="165">
        <f>IFERROR(__xludf.DUMMYFUNCTION("""COMPUTED_VALUE"""),46134.0)</f>
        <v>46134</v>
      </c>
      <c r="C2358" s="165" t="str">
        <f>IFERROR(__xludf.DUMMYFUNCTION("""COMPUTED_VALUE"""),"KYAI KONTONG")</f>
        <v>KYAI KONTONG</v>
      </c>
      <c r="D2358" s="94">
        <f>IFERROR(__xludf.DUMMYFUNCTION("""COMPUTED_VALUE"""),40.0)</f>
        <v>40</v>
      </c>
    </row>
    <row r="2359">
      <c r="A2359" s="87" t="str">
        <f>IFERROR(__xludf.DUMMYFUNCTION("""COMPUTED_VALUE"""),"ITBISA-JUMPER-FF-10CM")</f>
        <v>ITBISA-JUMPER-FF-10CM</v>
      </c>
      <c r="B2359" s="165">
        <f>IFERROR(__xludf.DUMMYFUNCTION("""COMPUTED_VALUE"""),46138.0)</f>
        <v>46138</v>
      </c>
      <c r="C2359" s="165" t="str">
        <f>IFERROR(__xludf.DUMMYFUNCTION("""COMPUTED_VALUE"""),"KYAI KONTONG")</f>
        <v>KYAI KONTONG</v>
      </c>
      <c r="D2359" s="94">
        <f>IFERROR(__xludf.DUMMYFUNCTION("""COMPUTED_VALUE"""),40.0)</f>
        <v>40</v>
      </c>
    </row>
    <row r="2360">
      <c r="A2360" s="87" t="str">
        <f>IFERROR(__xludf.DUMMYFUNCTION("""COMPUTED_VALUE"""),"ITBISA-JUMPER-FF-10CM")</f>
        <v>ITBISA-JUMPER-FF-10CM</v>
      </c>
      <c r="B2360" s="165">
        <f>IFERROR(__xludf.DUMMYFUNCTION("""COMPUTED_VALUE"""),46153.0)</f>
        <v>46153</v>
      </c>
      <c r="C2360" s="165" t="str">
        <f>IFERROR(__xludf.DUMMYFUNCTION("""COMPUTED_VALUE"""),"KYAI KONTONG")</f>
        <v>KYAI KONTONG</v>
      </c>
      <c r="D2360" s="94">
        <f>IFERROR(__xludf.DUMMYFUNCTION("""COMPUTED_VALUE"""),40.0)</f>
        <v>40</v>
      </c>
    </row>
    <row r="2361">
      <c r="A2361" s="87" t="str">
        <f>IFERROR(__xludf.DUMMYFUNCTION("""COMPUTED_VALUE"""),"ITBISA-JUMPER-FF-10CM")</f>
        <v>ITBISA-JUMPER-FF-10CM</v>
      </c>
      <c r="B2361" s="165">
        <f>IFERROR(__xludf.DUMMYFUNCTION("""COMPUTED_VALUE"""),46155.0)</f>
        <v>46155</v>
      </c>
      <c r="C2361" s="165" t="str">
        <f>IFERROR(__xludf.DUMMYFUNCTION("""COMPUTED_VALUE"""),"KYAI KONTONG")</f>
        <v>KYAI KONTONG</v>
      </c>
      <c r="D2361" s="94">
        <f>IFERROR(__xludf.DUMMYFUNCTION("""COMPUTED_VALUE"""),40.0)</f>
        <v>40</v>
      </c>
    </row>
    <row r="2362">
      <c r="A2362" s="87" t="str">
        <f>IFERROR(__xludf.DUMMYFUNCTION("""COMPUTED_VALUE"""),"ITBISA-JUMPER-FF-10CM")</f>
        <v>ITBISA-JUMPER-FF-10CM</v>
      </c>
      <c r="B2362" s="165">
        <f>IFERROR(__xludf.DUMMYFUNCTION("""COMPUTED_VALUE"""),46156.0)</f>
        <v>46156</v>
      </c>
      <c r="C2362" s="165" t="str">
        <f>IFERROR(__xludf.DUMMYFUNCTION("""COMPUTED_VALUE"""),"KYAI KONTONG")</f>
        <v>KYAI KONTONG</v>
      </c>
      <c r="D2362" s="94">
        <f>IFERROR(__xludf.DUMMYFUNCTION("""COMPUTED_VALUE"""),40.0)</f>
        <v>40</v>
      </c>
    </row>
    <row r="2363">
      <c r="A2363" s="87" t="str">
        <f>IFERROR(__xludf.DUMMYFUNCTION("""COMPUTED_VALUE"""),"ITBISA-JUMPER-FF-10CM")</f>
        <v>ITBISA-JUMPER-FF-10CM</v>
      </c>
      <c r="B2363" s="165">
        <f>IFERROR(__xludf.DUMMYFUNCTION("""COMPUTED_VALUE"""),46164.0)</f>
        <v>46164</v>
      </c>
      <c r="C2363" s="165" t="str">
        <f>IFERROR(__xludf.DUMMYFUNCTION("""COMPUTED_VALUE"""),"KYAI KONTONG")</f>
        <v>KYAI KONTONG</v>
      </c>
      <c r="D2363" s="94">
        <f>IFERROR(__xludf.DUMMYFUNCTION("""COMPUTED_VALUE"""),80.0)</f>
        <v>80</v>
      </c>
    </row>
    <row r="2364">
      <c r="A2364" s="87" t="str">
        <f>IFERROR(__xludf.DUMMYFUNCTION("""COMPUTED_VALUE"""),"ITBISA-JUMPER-FF-10CM")</f>
        <v>ITBISA-JUMPER-FF-10CM</v>
      </c>
      <c r="B2364" s="165">
        <f>IFERROR(__xludf.DUMMYFUNCTION("""COMPUTED_VALUE"""),46167.0)</f>
        <v>46167</v>
      </c>
      <c r="C2364" s="165" t="str">
        <f>IFERROR(__xludf.DUMMYFUNCTION("""COMPUTED_VALUE"""),"KYAI KONTONG")</f>
        <v>KYAI KONTONG</v>
      </c>
      <c r="D2364" s="94">
        <f>IFERROR(__xludf.DUMMYFUNCTION("""COMPUTED_VALUE"""),40.0)</f>
        <v>40</v>
      </c>
    </row>
    <row r="2365">
      <c r="A2365" s="87" t="str">
        <f>IFERROR(__xludf.DUMMYFUNCTION("""COMPUTED_VALUE"""),"ITBISA-JUMPER-FF-10CM")</f>
        <v>ITBISA-JUMPER-FF-10CM</v>
      </c>
      <c r="B2365" s="165">
        <f>IFERROR(__xludf.DUMMYFUNCTION("""COMPUTED_VALUE"""),46175.0)</f>
        <v>46175</v>
      </c>
      <c r="C2365" s="165" t="str">
        <f>IFERROR(__xludf.DUMMYFUNCTION("""COMPUTED_VALUE"""),"KYAI KONTONG")</f>
        <v>KYAI KONTONG</v>
      </c>
      <c r="D2365" s="94">
        <f>IFERROR(__xludf.DUMMYFUNCTION("""COMPUTED_VALUE"""),40.0)</f>
        <v>40</v>
      </c>
    </row>
    <row r="2366">
      <c r="A2366" s="87" t="str">
        <f>IFERROR(__xludf.DUMMYFUNCTION("""COMPUTED_VALUE"""),"ITBISA-JUMPER-FF-10CM")</f>
        <v>ITBISA-JUMPER-FF-10CM</v>
      </c>
      <c r="B2366" s="165">
        <f>IFERROR(__xludf.DUMMYFUNCTION("""COMPUTED_VALUE"""),46175.0)</f>
        <v>46175</v>
      </c>
      <c r="C2366" s="165" t="str">
        <f>IFERROR(__xludf.DUMMYFUNCTION("""COMPUTED_VALUE"""),"KYAI KONTONG")</f>
        <v>KYAI KONTONG</v>
      </c>
      <c r="D2366" s="94">
        <f>IFERROR(__xludf.DUMMYFUNCTION("""COMPUTED_VALUE"""),40.0)</f>
        <v>40</v>
      </c>
    </row>
    <row r="2367">
      <c r="A2367" s="87" t="str">
        <f>IFERROR(__xludf.DUMMYFUNCTION("""COMPUTED_VALUE"""),"ITBISA-JUMPER-FF-10CM")</f>
        <v>ITBISA-JUMPER-FF-10CM</v>
      </c>
      <c r="B2367" s="165">
        <f>IFERROR(__xludf.DUMMYFUNCTION("""COMPUTED_VALUE"""),46177.0)</f>
        <v>46177</v>
      </c>
      <c r="C2367" s="165" t="str">
        <f>IFERROR(__xludf.DUMMYFUNCTION("""COMPUTED_VALUE"""),"KYAI KONTONG")</f>
        <v>KYAI KONTONG</v>
      </c>
      <c r="D2367" s="94">
        <f>IFERROR(__xludf.DUMMYFUNCTION("""COMPUTED_VALUE"""),40.0)</f>
        <v>40</v>
      </c>
    </row>
    <row r="2368">
      <c r="A2368" s="87" t="str">
        <f>IFERROR(__xludf.DUMMYFUNCTION("""COMPUTED_VALUE"""),"ITBISA-JUMPER-FF-10CM")</f>
        <v>ITBISA-JUMPER-FF-10CM</v>
      </c>
      <c r="B2368" s="165">
        <f>IFERROR(__xludf.DUMMYFUNCTION("""COMPUTED_VALUE"""),46178.0)</f>
        <v>46178</v>
      </c>
      <c r="C2368" s="165" t="str">
        <f>IFERROR(__xludf.DUMMYFUNCTION("""COMPUTED_VALUE"""),"KYAI KONTONG")</f>
        <v>KYAI KONTONG</v>
      </c>
      <c r="D2368" s="94">
        <f>IFERROR(__xludf.DUMMYFUNCTION("""COMPUTED_VALUE"""),40.0)</f>
        <v>40</v>
      </c>
    </row>
    <row r="2369">
      <c r="A2369" s="87" t="str">
        <f>IFERROR(__xludf.DUMMYFUNCTION("""COMPUTED_VALUE"""),"ITBISA-JUMPER-FF-10CM")</f>
        <v>ITBISA-JUMPER-FF-10CM</v>
      </c>
      <c r="B2369" s="165">
        <f>IFERROR(__xludf.DUMMYFUNCTION("""COMPUTED_VALUE"""),46181.0)</f>
        <v>46181</v>
      </c>
      <c r="C2369" s="165" t="str">
        <f>IFERROR(__xludf.DUMMYFUNCTION("""COMPUTED_VALUE"""),"KYAI KONTONG")</f>
        <v>KYAI KONTONG</v>
      </c>
      <c r="D2369" s="94">
        <f>IFERROR(__xludf.DUMMYFUNCTION("""COMPUTED_VALUE"""),40.0)</f>
        <v>40</v>
      </c>
    </row>
    <row r="2370">
      <c r="A2370" s="87" t="str">
        <f>IFERROR(__xludf.DUMMYFUNCTION("""COMPUTED_VALUE"""),"ITBISA-JUMPER-FF-10CM")</f>
        <v>ITBISA-JUMPER-FF-10CM</v>
      </c>
      <c r="B2370" s="165">
        <f>IFERROR(__xludf.DUMMYFUNCTION("""COMPUTED_VALUE"""),46181.0)</f>
        <v>46181</v>
      </c>
      <c r="C2370" s="165" t="str">
        <f>IFERROR(__xludf.DUMMYFUNCTION("""COMPUTED_VALUE"""),"KYAI KONTONG")</f>
        <v>KYAI KONTONG</v>
      </c>
      <c r="D2370" s="94">
        <f>IFERROR(__xludf.DUMMYFUNCTION("""COMPUTED_VALUE"""),80.0)</f>
        <v>80</v>
      </c>
    </row>
    <row r="2371">
      <c r="A2371" s="87" t="str">
        <f>IFERROR(__xludf.DUMMYFUNCTION("""COMPUTED_VALUE"""),"ITBISA-JUMPER-FF-10CM")</f>
        <v>ITBISA-JUMPER-FF-10CM</v>
      </c>
      <c r="B2371" s="165">
        <f>IFERROR(__xludf.DUMMYFUNCTION("""COMPUTED_VALUE"""),46182.0)</f>
        <v>46182</v>
      </c>
      <c r="C2371" s="165" t="str">
        <f>IFERROR(__xludf.DUMMYFUNCTION("""COMPUTED_VALUE"""),"KYAI KONTONG")</f>
        <v>KYAI KONTONG</v>
      </c>
      <c r="D2371" s="94">
        <f>IFERROR(__xludf.DUMMYFUNCTION("""COMPUTED_VALUE"""),400.0)</f>
        <v>400</v>
      </c>
    </row>
    <row r="2372">
      <c r="A2372" s="87" t="str">
        <f>IFERROR(__xludf.DUMMYFUNCTION("""COMPUTED_VALUE"""),"ITBISA-JUMPER-FF-10CM")</f>
        <v>ITBISA-JUMPER-FF-10CM</v>
      </c>
      <c r="B2372" s="165">
        <f>IFERROR(__xludf.DUMMYFUNCTION("""COMPUTED_VALUE"""),46190.0)</f>
        <v>46190</v>
      </c>
      <c r="C2372" s="165" t="str">
        <f>IFERROR(__xludf.DUMMYFUNCTION("""COMPUTED_VALUE"""),"KYAI KONTONG")</f>
        <v>KYAI KONTONG</v>
      </c>
      <c r="D2372" s="94">
        <f>IFERROR(__xludf.DUMMYFUNCTION("""COMPUTED_VALUE"""),40.0)</f>
        <v>40</v>
      </c>
    </row>
    <row r="2373">
      <c r="A2373" s="87" t="str">
        <f>IFERROR(__xludf.DUMMYFUNCTION("""COMPUTED_VALUE"""),"ITBISA-JUMPER-FF-10CM")</f>
        <v>ITBISA-JUMPER-FF-10CM</v>
      </c>
      <c r="B2373" s="165">
        <f>IFERROR(__xludf.DUMMYFUNCTION("""COMPUTED_VALUE"""),46190.0)</f>
        <v>46190</v>
      </c>
      <c r="C2373" s="165" t="str">
        <f>IFERROR(__xludf.DUMMYFUNCTION("""COMPUTED_VALUE"""),"KYAI KONTONG")</f>
        <v>KYAI KONTONG</v>
      </c>
      <c r="D2373" s="94">
        <f>IFERROR(__xludf.DUMMYFUNCTION("""COMPUTED_VALUE"""),120.0)</f>
        <v>120</v>
      </c>
    </row>
    <row r="2374">
      <c r="A2374" s="87" t="str">
        <f>IFERROR(__xludf.DUMMYFUNCTION("""COMPUTED_VALUE"""),"ITBISA-JUMPER-FF-10CM")</f>
        <v>ITBISA-JUMPER-FF-10CM</v>
      </c>
      <c r="B2374" s="165">
        <f>IFERROR(__xludf.DUMMYFUNCTION("""COMPUTED_VALUE"""),46191.0)</f>
        <v>46191</v>
      </c>
      <c r="C2374" s="165" t="str">
        <f>IFERROR(__xludf.DUMMYFUNCTION("""COMPUTED_VALUE"""),"KYAI KONTONG")</f>
        <v>KYAI KONTONG</v>
      </c>
      <c r="D2374" s="94">
        <f>IFERROR(__xludf.DUMMYFUNCTION("""COMPUTED_VALUE"""),40.0)</f>
        <v>40</v>
      </c>
    </row>
    <row r="2375">
      <c r="A2375" s="87" t="str">
        <f>IFERROR(__xludf.DUMMYFUNCTION("""COMPUTED_VALUE"""),"ITBISA-JUMPER-FF-10CM")</f>
        <v>ITBISA-JUMPER-FF-10CM</v>
      </c>
      <c r="B2375" s="165">
        <f>IFERROR(__xludf.DUMMYFUNCTION("""COMPUTED_VALUE"""),46191.0)</f>
        <v>46191</v>
      </c>
      <c r="C2375" s="165" t="str">
        <f>IFERROR(__xludf.DUMMYFUNCTION("""COMPUTED_VALUE"""),"KYAI KONTONG")</f>
        <v>KYAI KONTONG</v>
      </c>
      <c r="D2375" s="94">
        <f>IFERROR(__xludf.DUMMYFUNCTION("""COMPUTED_VALUE"""),40.0)</f>
        <v>40</v>
      </c>
    </row>
    <row r="2376">
      <c r="A2376" s="87" t="str">
        <f>IFERROR(__xludf.DUMMYFUNCTION("""COMPUTED_VALUE"""),"ITBISA-JUMPER-FF-10CM")</f>
        <v>ITBISA-JUMPER-FF-10CM</v>
      </c>
      <c r="B2376" s="165">
        <f>IFERROR(__xludf.DUMMYFUNCTION("""COMPUTED_VALUE"""),46191.0)</f>
        <v>46191</v>
      </c>
      <c r="C2376" s="165" t="str">
        <f>IFERROR(__xludf.DUMMYFUNCTION("""COMPUTED_VALUE"""),"KYAI KONTONG")</f>
        <v>KYAI KONTONG</v>
      </c>
      <c r="D2376" s="94">
        <f>IFERROR(__xludf.DUMMYFUNCTION("""COMPUTED_VALUE"""),40.0)</f>
        <v>40</v>
      </c>
    </row>
    <row r="2377">
      <c r="A2377" s="87" t="str">
        <f>IFERROR(__xludf.DUMMYFUNCTION("""COMPUTED_VALUE"""),"ITBISA-JUMPER-FF-10CM")</f>
        <v>ITBISA-JUMPER-FF-10CM</v>
      </c>
      <c r="B2377" s="165">
        <f>IFERROR(__xludf.DUMMYFUNCTION("""COMPUTED_VALUE"""),46195.0)</f>
        <v>46195</v>
      </c>
      <c r="C2377" s="165" t="str">
        <f>IFERROR(__xludf.DUMMYFUNCTION("""COMPUTED_VALUE"""),"KYAI KONTONG")</f>
        <v>KYAI KONTONG</v>
      </c>
      <c r="D2377" s="94">
        <f>IFERROR(__xludf.DUMMYFUNCTION("""COMPUTED_VALUE"""),40.0)</f>
        <v>40</v>
      </c>
    </row>
    <row r="2378">
      <c r="A2378" s="87" t="str">
        <f>IFERROR(__xludf.DUMMYFUNCTION("""COMPUTED_VALUE"""),"ITBISA-JUMPER-FF-10CM")</f>
        <v>ITBISA-JUMPER-FF-10CM</v>
      </c>
      <c r="B2378" s="165">
        <f>IFERROR(__xludf.DUMMYFUNCTION("""COMPUTED_VALUE"""),46196.0)</f>
        <v>46196</v>
      </c>
      <c r="C2378" s="165" t="str">
        <f>IFERROR(__xludf.DUMMYFUNCTION("""COMPUTED_VALUE"""),"KYAI KONTONG")</f>
        <v>KYAI KONTONG</v>
      </c>
      <c r="D2378" s="94">
        <f>IFERROR(__xludf.DUMMYFUNCTION("""COMPUTED_VALUE"""),160.0)</f>
        <v>160</v>
      </c>
    </row>
    <row r="2379">
      <c r="A2379" s="87" t="str">
        <f>IFERROR(__xludf.DUMMYFUNCTION("""COMPUTED_VALUE"""),"ITBISA-JUMPER-FF-20CM")</f>
        <v>ITBISA-JUMPER-FF-20CM</v>
      </c>
      <c r="B2379" s="165">
        <f>IFERROR(__xludf.DUMMYFUNCTION("""COMPUTED_VALUE"""),46074.0)</f>
        <v>46074</v>
      </c>
      <c r="C2379" s="165" t="str">
        <f>IFERROR(__xludf.DUMMYFUNCTION("""COMPUTED_VALUE"""),"KYAI KONTONG")</f>
        <v>KYAI KONTONG</v>
      </c>
      <c r="D2379" s="94">
        <f>IFERROR(__xludf.DUMMYFUNCTION("""COMPUTED_VALUE"""),40.0)</f>
        <v>40</v>
      </c>
    </row>
    <row r="2380">
      <c r="A2380" s="87" t="str">
        <f>IFERROR(__xludf.DUMMYFUNCTION("""COMPUTED_VALUE"""),"ITBISA-JUMPER-FF-20CM")</f>
        <v>ITBISA-JUMPER-FF-20CM</v>
      </c>
      <c r="B2380" s="165">
        <f>IFERROR(__xludf.DUMMYFUNCTION("""COMPUTED_VALUE"""),46096.0)</f>
        <v>46096</v>
      </c>
      <c r="C2380" s="165" t="str">
        <f>IFERROR(__xludf.DUMMYFUNCTION("""COMPUTED_VALUE"""),"KYAI KONTONG")</f>
        <v>KYAI KONTONG</v>
      </c>
      <c r="D2380" s="94">
        <f>IFERROR(__xludf.DUMMYFUNCTION("""COMPUTED_VALUE"""),40.0)</f>
        <v>40</v>
      </c>
    </row>
    <row r="2381">
      <c r="A2381" s="87" t="str">
        <f>IFERROR(__xludf.DUMMYFUNCTION("""COMPUTED_VALUE"""),"ITBISA-JUMPER-FF-20CM")</f>
        <v>ITBISA-JUMPER-FF-20CM</v>
      </c>
      <c r="B2381" s="165">
        <f>IFERROR(__xludf.DUMMYFUNCTION("""COMPUTED_VALUE"""),46163.0)</f>
        <v>46163</v>
      </c>
      <c r="C2381" s="165" t="str">
        <f>IFERROR(__xludf.DUMMYFUNCTION("""COMPUTED_VALUE"""),"KYAI KONTONG")</f>
        <v>KYAI KONTONG</v>
      </c>
      <c r="D2381" s="94">
        <f>IFERROR(__xludf.DUMMYFUNCTION("""COMPUTED_VALUE"""),40.0)</f>
        <v>40</v>
      </c>
    </row>
    <row r="2382">
      <c r="A2382" s="87" t="str">
        <f>IFERROR(__xludf.DUMMYFUNCTION("""COMPUTED_VALUE"""),"ITBISA-JUMPER-FF-20CM")</f>
        <v>ITBISA-JUMPER-FF-20CM</v>
      </c>
      <c r="B2382" s="165">
        <f>IFERROR(__xludf.DUMMYFUNCTION("""COMPUTED_VALUE"""),46169.0)</f>
        <v>46169</v>
      </c>
      <c r="C2382" s="165" t="str">
        <f>IFERROR(__xludf.DUMMYFUNCTION("""COMPUTED_VALUE"""),"KYAI KONTONG")</f>
        <v>KYAI KONTONG</v>
      </c>
      <c r="D2382" s="94">
        <f>IFERROR(__xludf.DUMMYFUNCTION("""COMPUTED_VALUE"""),40.0)</f>
        <v>40</v>
      </c>
    </row>
    <row r="2383">
      <c r="A2383" s="87" t="str">
        <f>IFERROR(__xludf.DUMMYFUNCTION("""COMPUTED_VALUE"""),"ITBISA-JUMPER-FF-20CM")</f>
        <v>ITBISA-JUMPER-FF-20CM</v>
      </c>
      <c r="B2383" s="165">
        <f>IFERROR(__xludf.DUMMYFUNCTION("""COMPUTED_VALUE"""),46170.0)</f>
        <v>46170</v>
      </c>
      <c r="C2383" s="165" t="str">
        <f>IFERROR(__xludf.DUMMYFUNCTION("""COMPUTED_VALUE"""),"KYAI KONTONG")</f>
        <v>KYAI KONTONG</v>
      </c>
      <c r="D2383" s="94">
        <f>IFERROR(__xludf.DUMMYFUNCTION("""COMPUTED_VALUE"""),40.0)</f>
        <v>40</v>
      </c>
    </row>
    <row r="2384">
      <c r="A2384" s="87" t="str">
        <f>IFERROR(__xludf.DUMMYFUNCTION("""COMPUTED_VALUE"""),"ITBISA-JUMPER-FF-20CM")</f>
        <v>ITBISA-JUMPER-FF-20CM</v>
      </c>
      <c r="B2384" s="165">
        <f>IFERROR(__xludf.DUMMYFUNCTION("""COMPUTED_VALUE"""),46177.0)</f>
        <v>46177</v>
      </c>
      <c r="C2384" s="165" t="str">
        <f>IFERROR(__xludf.DUMMYFUNCTION("""COMPUTED_VALUE"""),"KYAI KONTONG")</f>
        <v>KYAI KONTONG</v>
      </c>
      <c r="D2384" s="94">
        <f>IFERROR(__xludf.DUMMYFUNCTION("""COMPUTED_VALUE"""),40.0)</f>
        <v>40</v>
      </c>
    </row>
    <row r="2385">
      <c r="A2385" s="87" t="str">
        <f>IFERROR(__xludf.DUMMYFUNCTION("""COMPUTED_VALUE"""),"ITBISA-JUMPER-FF-20CM")</f>
        <v>ITBISA-JUMPER-FF-20CM</v>
      </c>
      <c r="B2385" s="165">
        <f>IFERROR(__xludf.DUMMYFUNCTION("""COMPUTED_VALUE"""),46192.0)</f>
        <v>46192</v>
      </c>
      <c r="C2385" s="165" t="str">
        <f>IFERROR(__xludf.DUMMYFUNCTION("""COMPUTED_VALUE"""),"KYAI KONTONG")</f>
        <v>KYAI KONTONG</v>
      </c>
      <c r="D2385" s="94">
        <f>IFERROR(__xludf.DUMMYFUNCTION("""COMPUTED_VALUE"""),40.0)</f>
        <v>40</v>
      </c>
    </row>
    <row r="2386">
      <c r="A2386" s="87" t="str">
        <f>IFERROR(__xludf.DUMMYFUNCTION("""COMPUTED_VALUE"""),"ITBISA-JUMPER-FF-20CM")</f>
        <v>ITBISA-JUMPER-FF-20CM</v>
      </c>
      <c r="B2386" s="165">
        <f>IFERROR(__xludf.DUMMYFUNCTION("""COMPUTED_VALUE"""),46192.0)</f>
        <v>46192</v>
      </c>
      <c r="C2386" s="165" t="str">
        <f>IFERROR(__xludf.DUMMYFUNCTION("""COMPUTED_VALUE"""),"KYAI KONTONG")</f>
        <v>KYAI KONTONG</v>
      </c>
      <c r="D2386" s="94">
        <f>IFERROR(__xludf.DUMMYFUNCTION("""COMPUTED_VALUE"""),40.0)</f>
        <v>40</v>
      </c>
    </row>
    <row r="2387">
      <c r="A2387" s="87" t="str">
        <f>IFERROR(__xludf.DUMMYFUNCTION("""COMPUTED_VALUE"""),"ITBISA-JUMPER-FF-20CM")</f>
        <v>ITBISA-JUMPER-FF-20CM</v>
      </c>
      <c r="B2387" s="165">
        <f>IFERROR(__xludf.DUMMYFUNCTION("""COMPUTED_VALUE"""),46195.0)</f>
        <v>46195</v>
      </c>
      <c r="C2387" s="165" t="str">
        <f>IFERROR(__xludf.DUMMYFUNCTION("""COMPUTED_VALUE"""),"KYAI KONTONG")</f>
        <v>KYAI KONTONG</v>
      </c>
      <c r="D2387" s="94">
        <f>IFERROR(__xludf.DUMMYFUNCTION("""COMPUTED_VALUE"""),40.0)</f>
        <v>40</v>
      </c>
    </row>
    <row r="2388">
      <c r="A2388" s="87" t="str">
        <f>IFERROR(__xludf.DUMMYFUNCTION("""COMPUTED_VALUE"""),"ITBISA-JUMPER-FF-20CM")</f>
        <v>ITBISA-JUMPER-FF-20CM</v>
      </c>
      <c r="B2388" s="165">
        <f>IFERROR(__xludf.DUMMYFUNCTION("""COMPUTED_VALUE"""),46196.0)</f>
        <v>46196</v>
      </c>
      <c r="C2388" s="165" t="str">
        <f>IFERROR(__xludf.DUMMYFUNCTION("""COMPUTED_VALUE"""),"KYAI KONTONG")</f>
        <v>KYAI KONTONG</v>
      </c>
      <c r="D2388" s="94">
        <f>IFERROR(__xludf.DUMMYFUNCTION("""COMPUTED_VALUE"""),640.0)</f>
        <v>640</v>
      </c>
    </row>
    <row r="2389">
      <c r="A2389" s="87" t="str">
        <f>IFERROR(__xludf.DUMMYFUNCTION("""COMPUTED_VALUE"""),"ITBISA-JUMPER-MF-10CM")</f>
        <v>ITBISA-JUMPER-MF-10CM</v>
      </c>
      <c r="B2389" s="165">
        <f>IFERROR(__xludf.DUMMYFUNCTION("""COMPUTED_VALUE"""),46034.0)</f>
        <v>46034</v>
      </c>
      <c r="C2389" s="165" t="str">
        <f>IFERROR(__xludf.DUMMYFUNCTION("""COMPUTED_VALUE"""),"KYAI KONTONG")</f>
        <v>KYAI KONTONG</v>
      </c>
      <c r="D2389" s="94">
        <f>IFERROR(__xludf.DUMMYFUNCTION("""COMPUTED_VALUE"""),40.0)</f>
        <v>40</v>
      </c>
    </row>
    <row r="2390">
      <c r="A2390" s="87" t="str">
        <f>IFERROR(__xludf.DUMMYFUNCTION("""COMPUTED_VALUE"""),"ITBISA-JUMPER-MF-10CM")</f>
        <v>ITBISA-JUMPER-MF-10CM</v>
      </c>
      <c r="B2390" s="165">
        <f>IFERROR(__xludf.DUMMYFUNCTION("""COMPUTED_VALUE"""),46049.0)</f>
        <v>46049</v>
      </c>
      <c r="C2390" s="165" t="str">
        <f>IFERROR(__xludf.DUMMYFUNCTION("""COMPUTED_VALUE"""),"KYAI KONTONG")</f>
        <v>KYAI KONTONG</v>
      </c>
      <c r="D2390" s="94">
        <f>IFERROR(__xludf.DUMMYFUNCTION("""COMPUTED_VALUE"""),40.0)</f>
        <v>40</v>
      </c>
    </row>
    <row r="2391">
      <c r="A2391" s="87" t="str">
        <f>IFERROR(__xludf.DUMMYFUNCTION("""COMPUTED_VALUE"""),"ITBISA-JUMPER-MF-10CM")</f>
        <v>ITBISA-JUMPER-MF-10CM</v>
      </c>
      <c r="B2391" s="165">
        <f>IFERROR(__xludf.DUMMYFUNCTION("""COMPUTED_VALUE"""),46066.0)</f>
        <v>46066</v>
      </c>
      <c r="C2391" s="165" t="str">
        <f>IFERROR(__xludf.DUMMYFUNCTION("""COMPUTED_VALUE"""),"KYAI KONTONG")</f>
        <v>KYAI KONTONG</v>
      </c>
      <c r="D2391" s="94">
        <f>IFERROR(__xludf.DUMMYFUNCTION("""COMPUTED_VALUE"""),40.0)</f>
        <v>40</v>
      </c>
    </row>
    <row r="2392">
      <c r="A2392" s="87" t="str">
        <f>IFERROR(__xludf.DUMMYFUNCTION("""COMPUTED_VALUE"""),"ITBISA-JUMPER-MF-10CM")</f>
        <v>ITBISA-JUMPER-MF-10CM</v>
      </c>
      <c r="B2392" s="165">
        <f>IFERROR(__xludf.DUMMYFUNCTION("""COMPUTED_VALUE"""),46073.0)</f>
        <v>46073</v>
      </c>
      <c r="C2392" s="165" t="str">
        <f>IFERROR(__xludf.DUMMYFUNCTION("""COMPUTED_VALUE"""),"KYAI KONTONG")</f>
        <v>KYAI KONTONG</v>
      </c>
      <c r="D2392" s="94">
        <f>IFERROR(__xludf.DUMMYFUNCTION("""COMPUTED_VALUE"""),40.0)</f>
        <v>40</v>
      </c>
    </row>
    <row r="2393">
      <c r="A2393" s="87" t="str">
        <f>IFERROR(__xludf.DUMMYFUNCTION("""COMPUTED_VALUE"""),"ITBISA-JUMPER-MF-10CM")</f>
        <v>ITBISA-JUMPER-MF-10CM</v>
      </c>
      <c r="B2393" s="165">
        <f>IFERROR(__xludf.DUMMYFUNCTION("""COMPUTED_VALUE"""),46083.0)</f>
        <v>46083</v>
      </c>
      <c r="C2393" s="165" t="str">
        <f>IFERROR(__xludf.DUMMYFUNCTION("""COMPUTED_VALUE"""),"KYAI KONTONG")</f>
        <v>KYAI KONTONG</v>
      </c>
      <c r="D2393" s="94">
        <f>IFERROR(__xludf.DUMMYFUNCTION("""COMPUTED_VALUE"""),40.0)</f>
        <v>40</v>
      </c>
    </row>
    <row r="2394">
      <c r="A2394" s="87" t="str">
        <f>IFERROR(__xludf.DUMMYFUNCTION("""COMPUTED_VALUE"""),"ITBISA-JUMPER-MF-10CM")</f>
        <v>ITBISA-JUMPER-MF-10CM</v>
      </c>
      <c r="B2394" s="165">
        <f>IFERROR(__xludf.DUMMYFUNCTION("""COMPUTED_VALUE"""),46092.0)</f>
        <v>46092</v>
      </c>
      <c r="C2394" s="165" t="str">
        <f>IFERROR(__xludf.DUMMYFUNCTION("""COMPUTED_VALUE"""),"KYAI KONTONG")</f>
        <v>KYAI KONTONG</v>
      </c>
      <c r="D2394" s="94">
        <f>IFERROR(__xludf.DUMMYFUNCTION("""COMPUTED_VALUE"""),160.0)</f>
        <v>160</v>
      </c>
    </row>
    <row r="2395">
      <c r="A2395" s="87" t="str">
        <f>IFERROR(__xludf.DUMMYFUNCTION("""COMPUTED_VALUE"""),"ITBISA-JUMPER-MF-10CM")</f>
        <v>ITBISA-JUMPER-MF-10CM</v>
      </c>
      <c r="B2395" s="165">
        <f>IFERROR(__xludf.DUMMYFUNCTION("""COMPUTED_VALUE"""),46129.0)</f>
        <v>46129</v>
      </c>
      <c r="C2395" s="165" t="str">
        <f>IFERROR(__xludf.DUMMYFUNCTION("""COMPUTED_VALUE"""),"KYAI KONTONG")</f>
        <v>KYAI KONTONG</v>
      </c>
      <c r="D2395" s="94">
        <f>IFERROR(__xludf.DUMMYFUNCTION("""COMPUTED_VALUE"""),80.0)</f>
        <v>80</v>
      </c>
    </row>
    <row r="2396">
      <c r="A2396" s="87" t="str">
        <f>IFERROR(__xludf.DUMMYFUNCTION("""COMPUTED_VALUE"""),"ITBISA-JUMPER-MF-10CM")</f>
        <v>ITBISA-JUMPER-MF-10CM</v>
      </c>
      <c r="B2396" s="165">
        <f>IFERROR(__xludf.DUMMYFUNCTION("""COMPUTED_VALUE"""),46132.0)</f>
        <v>46132</v>
      </c>
      <c r="C2396" s="165" t="str">
        <f>IFERROR(__xludf.DUMMYFUNCTION("""COMPUTED_VALUE"""),"KYAI KONTONG")</f>
        <v>KYAI KONTONG</v>
      </c>
      <c r="D2396" s="94">
        <f>IFERROR(__xludf.DUMMYFUNCTION("""COMPUTED_VALUE"""),40.0)</f>
        <v>40</v>
      </c>
    </row>
    <row r="2397">
      <c r="A2397" s="87" t="str">
        <f>IFERROR(__xludf.DUMMYFUNCTION("""COMPUTED_VALUE"""),"ITBISA-JUMPER-MF-10CM")</f>
        <v>ITBISA-JUMPER-MF-10CM</v>
      </c>
      <c r="B2397" s="165">
        <f>IFERROR(__xludf.DUMMYFUNCTION("""COMPUTED_VALUE"""),46135.0)</f>
        <v>46135</v>
      </c>
      <c r="C2397" s="165" t="str">
        <f>IFERROR(__xludf.DUMMYFUNCTION("""COMPUTED_VALUE"""),"KYAI KONTONG")</f>
        <v>KYAI KONTONG</v>
      </c>
      <c r="D2397" s="94">
        <f>IFERROR(__xludf.DUMMYFUNCTION("""COMPUTED_VALUE"""),40.0)</f>
        <v>40</v>
      </c>
    </row>
    <row r="2398">
      <c r="A2398" s="87" t="str">
        <f>IFERROR(__xludf.DUMMYFUNCTION("""COMPUTED_VALUE"""),"ITBISA-JUMPER-MF-10CM")</f>
        <v>ITBISA-JUMPER-MF-10CM</v>
      </c>
      <c r="B2398" s="165">
        <f>IFERROR(__xludf.DUMMYFUNCTION("""COMPUTED_VALUE"""),46139.0)</f>
        <v>46139</v>
      </c>
      <c r="C2398" s="165" t="str">
        <f>IFERROR(__xludf.DUMMYFUNCTION("""COMPUTED_VALUE"""),"KYAI KONTONG")</f>
        <v>KYAI KONTONG</v>
      </c>
      <c r="D2398" s="94">
        <f>IFERROR(__xludf.DUMMYFUNCTION("""COMPUTED_VALUE"""),40.0)</f>
        <v>40</v>
      </c>
    </row>
    <row r="2399">
      <c r="A2399" s="87" t="str">
        <f>IFERROR(__xludf.DUMMYFUNCTION("""COMPUTED_VALUE"""),"ITBISA-JUMPER-MF-10CM")</f>
        <v>ITBISA-JUMPER-MF-10CM</v>
      </c>
      <c r="B2399" s="165">
        <f>IFERROR(__xludf.DUMMYFUNCTION("""COMPUTED_VALUE"""),46150.0)</f>
        <v>46150</v>
      </c>
      <c r="C2399" s="165" t="str">
        <f>IFERROR(__xludf.DUMMYFUNCTION("""COMPUTED_VALUE"""),"KYAI KONTONG")</f>
        <v>KYAI KONTONG</v>
      </c>
      <c r="D2399" s="94">
        <f>IFERROR(__xludf.DUMMYFUNCTION("""COMPUTED_VALUE"""),80.0)</f>
        <v>80</v>
      </c>
    </row>
    <row r="2400">
      <c r="A2400" s="87" t="str">
        <f>IFERROR(__xludf.DUMMYFUNCTION("""COMPUTED_VALUE"""),"ITBISA-JUMPER-MF-10CM")</f>
        <v>ITBISA-JUMPER-MF-10CM</v>
      </c>
      <c r="B2400" s="165">
        <f>IFERROR(__xludf.DUMMYFUNCTION("""COMPUTED_VALUE"""),46152.0)</f>
        <v>46152</v>
      </c>
      <c r="C2400" s="165" t="str">
        <f>IFERROR(__xludf.DUMMYFUNCTION("""COMPUTED_VALUE"""),"KYAI KONTONG")</f>
        <v>KYAI KONTONG</v>
      </c>
      <c r="D2400" s="94">
        <f>IFERROR(__xludf.DUMMYFUNCTION("""COMPUTED_VALUE"""),40.0)</f>
        <v>40</v>
      </c>
    </row>
    <row r="2401">
      <c r="A2401" s="87" t="str">
        <f>IFERROR(__xludf.DUMMYFUNCTION("""COMPUTED_VALUE"""),"ITBISA-JUMPER-MF-10CM")</f>
        <v>ITBISA-JUMPER-MF-10CM</v>
      </c>
      <c r="B2401" s="165">
        <f>IFERROR(__xludf.DUMMYFUNCTION("""COMPUTED_VALUE"""),46155.0)</f>
        <v>46155</v>
      </c>
      <c r="C2401" s="165" t="str">
        <f>IFERROR(__xludf.DUMMYFUNCTION("""COMPUTED_VALUE"""),"KYAI KONTONG")</f>
        <v>KYAI KONTONG</v>
      </c>
      <c r="D2401" s="94">
        <f>IFERROR(__xludf.DUMMYFUNCTION("""COMPUTED_VALUE"""),40.0)</f>
        <v>40</v>
      </c>
    </row>
    <row r="2402">
      <c r="A2402" s="87" t="str">
        <f>IFERROR(__xludf.DUMMYFUNCTION("""COMPUTED_VALUE"""),"ITBISA-JUMPER-MF-10CM")</f>
        <v>ITBISA-JUMPER-MF-10CM</v>
      </c>
      <c r="B2402" s="165">
        <f>IFERROR(__xludf.DUMMYFUNCTION("""COMPUTED_VALUE"""),46155.0)</f>
        <v>46155</v>
      </c>
      <c r="C2402" s="165" t="str">
        <f>IFERROR(__xludf.DUMMYFUNCTION("""COMPUTED_VALUE"""),"KYAI KONTONG")</f>
        <v>KYAI KONTONG</v>
      </c>
      <c r="D2402" s="94">
        <f>IFERROR(__xludf.DUMMYFUNCTION("""COMPUTED_VALUE"""),80.0)</f>
        <v>80</v>
      </c>
    </row>
    <row r="2403">
      <c r="A2403" s="87" t="str">
        <f>IFERROR(__xludf.DUMMYFUNCTION("""COMPUTED_VALUE"""),"ITBISA-JUMPER-MF-10CM")</f>
        <v>ITBISA-JUMPER-MF-10CM</v>
      </c>
      <c r="B2403" s="165">
        <f>IFERROR(__xludf.DUMMYFUNCTION("""COMPUTED_VALUE"""),46158.0)</f>
        <v>46158</v>
      </c>
      <c r="C2403" s="165" t="str">
        <f>IFERROR(__xludf.DUMMYFUNCTION("""COMPUTED_VALUE"""),"KYAI KONTONG")</f>
        <v>KYAI KONTONG</v>
      </c>
      <c r="D2403" s="94">
        <f>IFERROR(__xludf.DUMMYFUNCTION("""COMPUTED_VALUE"""),40.0)</f>
        <v>40</v>
      </c>
    </row>
    <row r="2404">
      <c r="A2404" s="87" t="str">
        <f>IFERROR(__xludf.DUMMYFUNCTION("""COMPUTED_VALUE"""),"ITBISA-JUMPER-MF-10CM")</f>
        <v>ITBISA-JUMPER-MF-10CM</v>
      </c>
      <c r="B2404" s="165">
        <f>IFERROR(__xludf.DUMMYFUNCTION("""COMPUTED_VALUE"""),46164.0)</f>
        <v>46164</v>
      </c>
      <c r="C2404" s="165" t="str">
        <f>IFERROR(__xludf.DUMMYFUNCTION("""COMPUTED_VALUE"""),"KYAI KONTONG")</f>
        <v>KYAI KONTONG</v>
      </c>
      <c r="D2404" s="94">
        <f>IFERROR(__xludf.DUMMYFUNCTION("""COMPUTED_VALUE"""),80.0)</f>
        <v>80</v>
      </c>
    </row>
    <row r="2405">
      <c r="A2405" s="87" t="str">
        <f>IFERROR(__xludf.DUMMYFUNCTION("""COMPUTED_VALUE"""),"ITBISA-JUMPER-MF-10CM")</f>
        <v>ITBISA-JUMPER-MF-10CM</v>
      </c>
      <c r="B2405" s="165">
        <f>IFERROR(__xludf.DUMMYFUNCTION("""COMPUTED_VALUE"""),46169.0)</f>
        <v>46169</v>
      </c>
      <c r="C2405" s="165" t="str">
        <f>IFERROR(__xludf.DUMMYFUNCTION("""COMPUTED_VALUE"""),"KYAI KONTONG")</f>
        <v>KYAI KONTONG</v>
      </c>
      <c r="D2405" s="94">
        <f>IFERROR(__xludf.DUMMYFUNCTION("""COMPUTED_VALUE"""),40.0)</f>
        <v>40</v>
      </c>
    </row>
    <row r="2406">
      <c r="A2406" s="87" t="str">
        <f>IFERROR(__xludf.DUMMYFUNCTION("""COMPUTED_VALUE"""),"ITBISA-JUMPER-MF-10CM")</f>
        <v>ITBISA-JUMPER-MF-10CM</v>
      </c>
      <c r="B2406" s="165">
        <f>IFERROR(__xludf.DUMMYFUNCTION("""COMPUTED_VALUE"""),46172.0)</f>
        <v>46172</v>
      </c>
      <c r="C2406" s="165" t="str">
        <f>IFERROR(__xludf.DUMMYFUNCTION("""COMPUTED_VALUE"""),"KYAI KONTONG")</f>
        <v>KYAI KONTONG</v>
      </c>
      <c r="D2406" s="94">
        <f>IFERROR(__xludf.DUMMYFUNCTION("""COMPUTED_VALUE"""),40.0)</f>
        <v>40</v>
      </c>
    </row>
    <row r="2407">
      <c r="A2407" s="87" t="str">
        <f>IFERROR(__xludf.DUMMYFUNCTION("""COMPUTED_VALUE"""),"ITBISA-JUMPER-MF-10CM")</f>
        <v>ITBISA-JUMPER-MF-10CM</v>
      </c>
      <c r="B2407" s="165">
        <f>IFERROR(__xludf.DUMMYFUNCTION("""COMPUTED_VALUE"""),46173.0)</f>
        <v>46173</v>
      </c>
      <c r="C2407" s="165" t="str">
        <f>IFERROR(__xludf.DUMMYFUNCTION("""COMPUTED_VALUE"""),"KYAI KONTONG")</f>
        <v>KYAI KONTONG</v>
      </c>
      <c r="D2407" s="94">
        <f>IFERROR(__xludf.DUMMYFUNCTION("""COMPUTED_VALUE"""),40.0)</f>
        <v>40</v>
      </c>
    </row>
    <row r="2408">
      <c r="A2408" s="87" t="str">
        <f>IFERROR(__xludf.DUMMYFUNCTION("""COMPUTED_VALUE"""),"ITBISA-JUMPER-MF-10CM")</f>
        <v>ITBISA-JUMPER-MF-10CM</v>
      </c>
      <c r="B2408" s="165">
        <f>IFERROR(__xludf.DUMMYFUNCTION("""COMPUTED_VALUE"""),46175.0)</f>
        <v>46175</v>
      </c>
      <c r="C2408" s="165" t="str">
        <f>IFERROR(__xludf.DUMMYFUNCTION("""COMPUTED_VALUE"""),"KYAI KONTONG")</f>
        <v>KYAI KONTONG</v>
      </c>
      <c r="D2408" s="94">
        <f>IFERROR(__xludf.DUMMYFUNCTION("""COMPUTED_VALUE"""),40.0)</f>
        <v>40</v>
      </c>
    </row>
    <row r="2409">
      <c r="A2409" s="87" t="str">
        <f>IFERROR(__xludf.DUMMYFUNCTION("""COMPUTED_VALUE"""),"ITBISA-JUMPER-MF-10CM")</f>
        <v>ITBISA-JUMPER-MF-10CM</v>
      </c>
      <c r="B2409" s="165">
        <f>IFERROR(__xludf.DUMMYFUNCTION("""COMPUTED_VALUE"""),46175.0)</f>
        <v>46175</v>
      </c>
      <c r="C2409" s="165" t="str">
        <f>IFERROR(__xludf.DUMMYFUNCTION("""COMPUTED_VALUE"""),"KYAI KONTONG")</f>
        <v>KYAI KONTONG</v>
      </c>
      <c r="D2409" s="94">
        <f>IFERROR(__xludf.DUMMYFUNCTION("""COMPUTED_VALUE"""),40.0)</f>
        <v>40</v>
      </c>
    </row>
    <row r="2410">
      <c r="A2410" s="87" t="str">
        <f>IFERROR(__xludf.DUMMYFUNCTION("""COMPUTED_VALUE"""),"ITBISA-JUMPER-MF-10CM")</f>
        <v>ITBISA-JUMPER-MF-10CM</v>
      </c>
      <c r="B2410" s="165">
        <f>IFERROR(__xludf.DUMMYFUNCTION("""COMPUTED_VALUE"""),46180.0)</f>
        <v>46180</v>
      </c>
      <c r="C2410" s="165" t="str">
        <f>IFERROR(__xludf.DUMMYFUNCTION("""COMPUTED_VALUE"""),"KYAI KONTONG")</f>
        <v>KYAI KONTONG</v>
      </c>
      <c r="D2410" s="94">
        <f>IFERROR(__xludf.DUMMYFUNCTION("""COMPUTED_VALUE"""),40.0)</f>
        <v>40</v>
      </c>
    </row>
    <row r="2411">
      <c r="A2411" s="87" t="str">
        <f>IFERROR(__xludf.DUMMYFUNCTION("""COMPUTED_VALUE"""),"ITBISA-JUMPER-MF-10CM")</f>
        <v>ITBISA-JUMPER-MF-10CM</v>
      </c>
      <c r="B2411" s="165">
        <f>IFERROR(__xludf.DUMMYFUNCTION("""COMPUTED_VALUE"""),46181.0)</f>
        <v>46181</v>
      </c>
      <c r="C2411" s="165" t="str">
        <f>IFERROR(__xludf.DUMMYFUNCTION("""COMPUTED_VALUE"""),"KYAI KONTONG")</f>
        <v>KYAI KONTONG</v>
      </c>
      <c r="D2411" s="94">
        <f>IFERROR(__xludf.DUMMYFUNCTION("""COMPUTED_VALUE"""),40.0)</f>
        <v>40</v>
      </c>
    </row>
    <row r="2412">
      <c r="A2412" s="87" t="str">
        <f>IFERROR(__xludf.DUMMYFUNCTION("""COMPUTED_VALUE"""),"ITBISA-JUMPER-MF-10CM")</f>
        <v>ITBISA-JUMPER-MF-10CM</v>
      </c>
      <c r="B2412" s="165">
        <f>IFERROR(__xludf.DUMMYFUNCTION("""COMPUTED_VALUE"""),46182.0)</f>
        <v>46182</v>
      </c>
      <c r="C2412" s="165" t="str">
        <f>IFERROR(__xludf.DUMMYFUNCTION("""COMPUTED_VALUE"""),"KYAI KONTONG")</f>
        <v>KYAI KONTONG</v>
      </c>
      <c r="D2412" s="94">
        <f>IFERROR(__xludf.DUMMYFUNCTION("""COMPUTED_VALUE"""),40.0)</f>
        <v>40</v>
      </c>
    </row>
    <row r="2413">
      <c r="A2413" s="87" t="str">
        <f>IFERROR(__xludf.DUMMYFUNCTION("""COMPUTED_VALUE"""),"ITBISA-JUMPER-MF-10CM")</f>
        <v>ITBISA-JUMPER-MF-10CM</v>
      </c>
      <c r="B2413" s="165">
        <f>IFERROR(__xludf.DUMMYFUNCTION("""COMPUTED_VALUE"""),46190.0)</f>
        <v>46190</v>
      </c>
      <c r="C2413" s="165" t="str">
        <f>IFERROR(__xludf.DUMMYFUNCTION("""COMPUTED_VALUE"""),"KYAI KONTONG")</f>
        <v>KYAI KONTONG</v>
      </c>
      <c r="D2413" s="94">
        <f>IFERROR(__xludf.DUMMYFUNCTION("""COMPUTED_VALUE"""),40.0)</f>
        <v>40</v>
      </c>
    </row>
    <row r="2414">
      <c r="A2414" s="87" t="str">
        <f>IFERROR(__xludf.DUMMYFUNCTION("""COMPUTED_VALUE"""),"ITBISA-JUMPER-MF-10CM")</f>
        <v>ITBISA-JUMPER-MF-10CM</v>
      </c>
      <c r="B2414" s="165">
        <f>IFERROR(__xludf.DUMMYFUNCTION("""COMPUTED_VALUE"""),46190.0)</f>
        <v>46190</v>
      </c>
      <c r="C2414" s="165" t="str">
        <f>IFERROR(__xludf.DUMMYFUNCTION("""COMPUTED_VALUE"""),"KYAI KONTONG")</f>
        <v>KYAI KONTONG</v>
      </c>
      <c r="D2414" s="94">
        <f>IFERROR(__xludf.DUMMYFUNCTION("""COMPUTED_VALUE"""),120.0)</f>
        <v>120</v>
      </c>
    </row>
    <row r="2415">
      <c r="A2415" s="87" t="str">
        <f>IFERROR(__xludf.DUMMYFUNCTION("""COMPUTED_VALUE"""),"ITBISA-JUMPER-MF-10CM")</f>
        <v>ITBISA-JUMPER-MF-10CM</v>
      </c>
      <c r="B2415" s="165">
        <f>IFERROR(__xludf.DUMMYFUNCTION("""COMPUTED_VALUE"""),46191.0)</f>
        <v>46191</v>
      </c>
      <c r="C2415" s="165" t="str">
        <f>IFERROR(__xludf.DUMMYFUNCTION("""COMPUTED_VALUE"""),"KYAI KONTONG")</f>
        <v>KYAI KONTONG</v>
      </c>
      <c r="D2415" s="94">
        <f>IFERROR(__xludf.DUMMYFUNCTION("""COMPUTED_VALUE"""),40.0)</f>
        <v>40</v>
      </c>
    </row>
    <row r="2416">
      <c r="A2416" s="87" t="str">
        <f>IFERROR(__xludf.DUMMYFUNCTION("""COMPUTED_VALUE"""),"ITBISA-JUMPER-MF-10CM")</f>
        <v>ITBISA-JUMPER-MF-10CM</v>
      </c>
      <c r="B2416" s="165">
        <f>IFERROR(__xludf.DUMMYFUNCTION("""COMPUTED_VALUE"""),46191.0)</f>
        <v>46191</v>
      </c>
      <c r="C2416" s="165" t="str">
        <f>IFERROR(__xludf.DUMMYFUNCTION("""COMPUTED_VALUE"""),"KYAI KONTONG")</f>
        <v>KYAI KONTONG</v>
      </c>
      <c r="D2416" s="94">
        <f>IFERROR(__xludf.DUMMYFUNCTION("""COMPUTED_VALUE"""),40.0)</f>
        <v>40</v>
      </c>
    </row>
    <row r="2417">
      <c r="A2417" s="87" t="str">
        <f>IFERROR(__xludf.DUMMYFUNCTION("""COMPUTED_VALUE"""),"ITBISA-JUMPER-MF-10CM")</f>
        <v>ITBISA-JUMPER-MF-10CM</v>
      </c>
      <c r="B2417" s="165">
        <f>IFERROR(__xludf.DUMMYFUNCTION("""COMPUTED_VALUE"""),46191.0)</f>
        <v>46191</v>
      </c>
      <c r="C2417" s="165" t="str">
        <f>IFERROR(__xludf.DUMMYFUNCTION("""COMPUTED_VALUE"""),"KYAI KONTONG")</f>
        <v>KYAI KONTONG</v>
      </c>
      <c r="D2417" s="94">
        <f>IFERROR(__xludf.DUMMYFUNCTION("""COMPUTED_VALUE"""),40.0)</f>
        <v>40</v>
      </c>
    </row>
    <row r="2418">
      <c r="A2418" s="87" t="str">
        <f>IFERROR(__xludf.DUMMYFUNCTION("""COMPUTED_VALUE"""),"ITBISA-JUMPER-MF-10CM")</f>
        <v>ITBISA-JUMPER-MF-10CM</v>
      </c>
      <c r="B2418" s="165">
        <f>IFERROR(__xludf.DUMMYFUNCTION("""COMPUTED_VALUE"""),46192.0)</f>
        <v>46192</v>
      </c>
      <c r="C2418" s="165" t="str">
        <f>IFERROR(__xludf.DUMMYFUNCTION("""COMPUTED_VALUE"""),"KYAI KONTONG")</f>
        <v>KYAI KONTONG</v>
      </c>
      <c r="D2418" s="94">
        <f>IFERROR(__xludf.DUMMYFUNCTION("""COMPUTED_VALUE"""),40.0)</f>
        <v>40</v>
      </c>
    </row>
    <row r="2419">
      <c r="A2419" s="87" t="str">
        <f>IFERROR(__xludf.DUMMYFUNCTION("""COMPUTED_VALUE"""),"ITBISA-JUMPER-MF-10CM")</f>
        <v>ITBISA-JUMPER-MF-10CM</v>
      </c>
      <c r="B2419" s="165">
        <f>IFERROR(__xludf.DUMMYFUNCTION("""COMPUTED_VALUE"""),46192.0)</f>
        <v>46192</v>
      </c>
      <c r="C2419" s="165" t="str">
        <f>IFERROR(__xludf.DUMMYFUNCTION("""COMPUTED_VALUE"""),"KYAI KONTONG")</f>
        <v>KYAI KONTONG</v>
      </c>
      <c r="D2419" s="94">
        <f>IFERROR(__xludf.DUMMYFUNCTION("""COMPUTED_VALUE"""),40.0)</f>
        <v>40</v>
      </c>
    </row>
    <row r="2420">
      <c r="A2420" s="87" t="str">
        <f>IFERROR(__xludf.DUMMYFUNCTION("""COMPUTED_VALUE"""),"ITBISA-JUMPER-MF-10CM")</f>
        <v>ITBISA-JUMPER-MF-10CM</v>
      </c>
      <c r="B2420" s="165">
        <f>IFERROR(__xludf.DUMMYFUNCTION("""COMPUTED_VALUE"""),46196.0)</f>
        <v>46196</v>
      </c>
      <c r="C2420" s="165" t="str">
        <f>IFERROR(__xludf.DUMMYFUNCTION("""COMPUTED_VALUE"""),"KYAI KONTONG")</f>
        <v>KYAI KONTONG</v>
      </c>
      <c r="D2420" s="94">
        <f>IFERROR(__xludf.DUMMYFUNCTION("""COMPUTED_VALUE"""),40.0)</f>
        <v>40</v>
      </c>
    </row>
    <row r="2421">
      <c r="A2421" s="87" t="str">
        <f>IFERROR(__xludf.DUMMYFUNCTION("""COMPUTED_VALUE"""),"ITBISA-JUMPER-MF-10CM")</f>
        <v>ITBISA-JUMPER-MF-10CM</v>
      </c>
      <c r="B2421" s="165">
        <f>IFERROR(__xludf.DUMMYFUNCTION("""COMPUTED_VALUE"""),46197.0)</f>
        <v>46197</v>
      </c>
      <c r="C2421" s="165" t="str">
        <f>IFERROR(__xludf.DUMMYFUNCTION("""COMPUTED_VALUE"""),"KYAI KONTONG")</f>
        <v>KYAI KONTONG</v>
      </c>
      <c r="D2421" s="94">
        <f>IFERROR(__xludf.DUMMYFUNCTION("""COMPUTED_VALUE"""),40.0)</f>
        <v>40</v>
      </c>
    </row>
    <row r="2422">
      <c r="A2422" s="87" t="str">
        <f>IFERROR(__xludf.DUMMYFUNCTION("""COMPUTED_VALUE"""),"ITBISA-JUMPER-MF-20CM")</f>
        <v>ITBISA-JUMPER-MF-20CM</v>
      </c>
      <c r="B2422" s="165">
        <f>IFERROR(__xludf.DUMMYFUNCTION("""COMPUTED_VALUE"""),45995.0)</f>
        <v>45995</v>
      </c>
      <c r="C2422" s="165" t="str">
        <f>IFERROR(__xludf.DUMMYFUNCTION("""COMPUTED_VALUE"""),"KYAI KONTONG")</f>
        <v>KYAI KONTONG</v>
      </c>
      <c r="D2422" s="94">
        <f>IFERROR(__xludf.DUMMYFUNCTION("""COMPUTED_VALUE"""),40.0)</f>
        <v>40</v>
      </c>
    </row>
    <row r="2423">
      <c r="A2423" s="87" t="str">
        <f>IFERROR(__xludf.DUMMYFUNCTION("""COMPUTED_VALUE"""),"ITBISA-JUMPER-MF-20CM")</f>
        <v>ITBISA-JUMPER-MF-20CM</v>
      </c>
      <c r="B2423" s="165">
        <f>IFERROR(__xludf.DUMMYFUNCTION("""COMPUTED_VALUE"""),46025.0)</f>
        <v>46025</v>
      </c>
      <c r="C2423" s="165" t="str">
        <f>IFERROR(__xludf.DUMMYFUNCTION("""COMPUTED_VALUE"""),"KYAI KONTONG")</f>
        <v>KYAI KONTONG</v>
      </c>
      <c r="D2423" s="94">
        <f>IFERROR(__xludf.DUMMYFUNCTION("""COMPUTED_VALUE"""),40.0)</f>
        <v>40</v>
      </c>
    </row>
    <row r="2424">
      <c r="A2424" s="87" t="str">
        <f>IFERROR(__xludf.DUMMYFUNCTION("""COMPUTED_VALUE"""),"ITBISA-JUMPER-MF-20CM")</f>
        <v>ITBISA-JUMPER-MF-20CM</v>
      </c>
      <c r="B2424" s="165">
        <f>IFERROR(__xludf.DUMMYFUNCTION("""COMPUTED_VALUE"""),46026.0)</f>
        <v>46026</v>
      </c>
      <c r="C2424" s="165" t="str">
        <f>IFERROR(__xludf.DUMMYFUNCTION("""COMPUTED_VALUE"""),"KYAI KONTONG")</f>
        <v>KYAI KONTONG</v>
      </c>
      <c r="D2424" s="94">
        <f>IFERROR(__xludf.DUMMYFUNCTION("""COMPUTED_VALUE"""),40.0)</f>
        <v>40</v>
      </c>
    </row>
    <row r="2425">
      <c r="A2425" s="87" t="str">
        <f>IFERROR(__xludf.DUMMYFUNCTION("""COMPUTED_VALUE"""),"ITBISA-JUMPER-MF-20CM")</f>
        <v>ITBISA-JUMPER-MF-20CM</v>
      </c>
      <c r="B2425" s="165">
        <f>IFERROR(__xludf.DUMMYFUNCTION("""COMPUTED_VALUE"""),46028.0)</f>
        <v>46028</v>
      </c>
      <c r="C2425" s="165" t="str">
        <f>IFERROR(__xludf.DUMMYFUNCTION("""COMPUTED_VALUE"""),"KERTASARI CIAMIS")</f>
        <v>KERTASARI CIAMIS</v>
      </c>
      <c r="D2425" s="94">
        <f>IFERROR(__xludf.DUMMYFUNCTION("""COMPUTED_VALUE"""),40.0)</f>
        <v>40</v>
      </c>
    </row>
    <row r="2426">
      <c r="A2426" s="87" t="str">
        <f>IFERROR(__xludf.DUMMYFUNCTION("""COMPUTED_VALUE"""),"ITBISA-JUMPER-MF-20CM")</f>
        <v>ITBISA-JUMPER-MF-20CM</v>
      </c>
      <c r="B2426" s="165">
        <f>IFERROR(__xludf.DUMMYFUNCTION("""COMPUTED_VALUE"""),46029.0)</f>
        <v>46029</v>
      </c>
      <c r="C2426" s="165" t="str">
        <f>IFERROR(__xludf.DUMMYFUNCTION("""COMPUTED_VALUE"""),"KYAI KONTONG")</f>
        <v>KYAI KONTONG</v>
      </c>
      <c r="D2426" s="94">
        <f>IFERROR(__xludf.DUMMYFUNCTION("""COMPUTED_VALUE"""),40.0)</f>
        <v>40</v>
      </c>
    </row>
    <row r="2427">
      <c r="A2427" s="87" t="str">
        <f>IFERROR(__xludf.DUMMYFUNCTION("""COMPUTED_VALUE"""),"ITBISA-JUMPER-MF-20CM")</f>
        <v>ITBISA-JUMPER-MF-20CM</v>
      </c>
      <c r="B2427" s="165">
        <f>IFERROR(__xludf.DUMMYFUNCTION("""COMPUTED_VALUE"""),46029.0)</f>
        <v>46029</v>
      </c>
      <c r="C2427" s="165" t="str">
        <f>IFERROR(__xludf.DUMMYFUNCTION("""COMPUTED_VALUE"""),"KYAI KONTONG")</f>
        <v>KYAI KONTONG</v>
      </c>
      <c r="D2427" s="94">
        <f>IFERROR(__xludf.DUMMYFUNCTION("""COMPUTED_VALUE"""),40.0)</f>
        <v>40</v>
      </c>
    </row>
    <row r="2428">
      <c r="A2428" s="87" t="str">
        <f>IFERROR(__xludf.DUMMYFUNCTION("""COMPUTED_VALUE"""),"ITBISA-JUMPER-MF-20CM")</f>
        <v>ITBISA-JUMPER-MF-20CM</v>
      </c>
      <c r="B2428" s="165">
        <f>IFERROR(__xludf.DUMMYFUNCTION("""COMPUTED_VALUE"""),46033.0)</f>
        <v>46033</v>
      </c>
      <c r="C2428" s="165" t="str">
        <f>IFERROR(__xludf.DUMMYFUNCTION("""COMPUTED_VALUE"""),"KYAI KONTONG")</f>
        <v>KYAI KONTONG</v>
      </c>
      <c r="D2428" s="94">
        <f>IFERROR(__xludf.DUMMYFUNCTION("""COMPUTED_VALUE"""),40.0)</f>
        <v>40</v>
      </c>
    </row>
    <row r="2429">
      <c r="A2429" s="87" t="str">
        <f>IFERROR(__xludf.DUMMYFUNCTION("""COMPUTED_VALUE"""),"ITBISA-JUMPER-MF-20CM")</f>
        <v>ITBISA-JUMPER-MF-20CM</v>
      </c>
      <c r="B2429" s="165">
        <f>IFERROR(__xludf.DUMMYFUNCTION("""COMPUTED_VALUE"""),46049.0)</f>
        <v>46049</v>
      </c>
      <c r="C2429" s="165" t="str">
        <f>IFERROR(__xludf.DUMMYFUNCTION("""COMPUTED_VALUE"""),"KYAI KONTONG")</f>
        <v>KYAI KONTONG</v>
      </c>
      <c r="D2429" s="94">
        <f>IFERROR(__xludf.DUMMYFUNCTION("""COMPUTED_VALUE"""),40.0)</f>
        <v>40</v>
      </c>
    </row>
    <row r="2430">
      <c r="A2430" s="87" t="str">
        <f>IFERROR(__xludf.DUMMYFUNCTION("""COMPUTED_VALUE"""),"ITBISA-JUMPER-MF-20CM")</f>
        <v>ITBISA-JUMPER-MF-20CM</v>
      </c>
      <c r="B2430" s="165">
        <f>IFERROR(__xludf.DUMMYFUNCTION("""COMPUTED_VALUE"""),46074.0)</f>
        <v>46074</v>
      </c>
      <c r="C2430" s="165" t="str">
        <f>IFERROR(__xludf.DUMMYFUNCTION("""COMPUTED_VALUE"""),"KYAI KONTONG")</f>
        <v>KYAI KONTONG</v>
      </c>
      <c r="D2430" s="94">
        <f>IFERROR(__xludf.DUMMYFUNCTION("""COMPUTED_VALUE"""),40.0)</f>
        <v>40</v>
      </c>
    </row>
    <row r="2431">
      <c r="A2431" s="87" t="str">
        <f>IFERROR(__xludf.DUMMYFUNCTION("""COMPUTED_VALUE"""),"ITBISA-JUMPER-MF-20CM")</f>
        <v>ITBISA-JUMPER-MF-20CM</v>
      </c>
      <c r="B2431" s="165">
        <f>IFERROR(__xludf.DUMMYFUNCTION("""COMPUTED_VALUE"""),46088.0)</f>
        <v>46088</v>
      </c>
      <c r="C2431" s="165" t="str">
        <f>IFERROR(__xludf.DUMMYFUNCTION("""COMPUTED_VALUE"""),"KERTASARI CIAMIS")</f>
        <v>KERTASARI CIAMIS</v>
      </c>
      <c r="D2431" s="94">
        <f>IFERROR(__xludf.DUMMYFUNCTION("""COMPUTED_VALUE"""),40.0)</f>
        <v>40</v>
      </c>
    </row>
    <row r="2432">
      <c r="A2432" s="87" t="str">
        <f>IFERROR(__xludf.DUMMYFUNCTION("""COMPUTED_VALUE"""),"ITBISA-JUMPER-MF-20CM")</f>
        <v>ITBISA-JUMPER-MF-20CM</v>
      </c>
      <c r="B2432" s="165">
        <f>IFERROR(__xludf.DUMMYFUNCTION("""COMPUTED_VALUE"""),46130.0)</f>
        <v>46130</v>
      </c>
      <c r="C2432" s="165" t="str">
        <f>IFERROR(__xludf.DUMMYFUNCTION("""COMPUTED_VALUE"""),"KYAI KONTONG")</f>
        <v>KYAI KONTONG</v>
      </c>
      <c r="D2432" s="94">
        <f>IFERROR(__xludf.DUMMYFUNCTION("""COMPUTED_VALUE"""),40.0)</f>
        <v>40</v>
      </c>
    </row>
    <row r="2433">
      <c r="A2433" s="87" t="str">
        <f>IFERROR(__xludf.DUMMYFUNCTION("""COMPUTED_VALUE"""),"ITBISA-JUMPER-MF-20CM")</f>
        <v>ITBISA-JUMPER-MF-20CM</v>
      </c>
      <c r="B2433" s="165">
        <f>IFERROR(__xludf.DUMMYFUNCTION("""COMPUTED_VALUE"""),46135.0)</f>
        <v>46135</v>
      </c>
      <c r="C2433" s="165" t="str">
        <f>IFERROR(__xludf.DUMMYFUNCTION("""COMPUTED_VALUE"""),"KYAI KONTONG")</f>
        <v>KYAI KONTONG</v>
      </c>
      <c r="D2433" s="94">
        <f>IFERROR(__xludf.DUMMYFUNCTION("""COMPUTED_VALUE"""),40.0)</f>
        <v>40</v>
      </c>
    </row>
    <row r="2434">
      <c r="A2434" s="87" t="str">
        <f>IFERROR(__xludf.DUMMYFUNCTION("""COMPUTED_VALUE"""),"ITBISA-JUMPER-MF-20CM")</f>
        <v>ITBISA-JUMPER-MF-20CM</v>
      </c>
      <c r="B2434" s="165">
        <f>IFERROR(__xludf.DUMMYFUNCTION("""COMPUTED_VALUE"""),46141.0)</f>
        <v>46141</v>
      </c>
      <c r="C2434" s="165" t="str">
        <f>IFERROR(__xludf.DUMMYFUNCTION("""COMPUTED_VALUE"""),"KYAI KONTONG")</f>
        <v>KYAI KONTONG</v>
      </c>
      <c r="D2434" s="94">
        <f>IFERROR(__xludf.DUMMYFUNCTION("""COMPUTED_VALUE"""),80.0)</f>
        <v>80</v>
      </c>
    </row>
    <row r="2435">
      <c r="A2435" s="87" t="str">
        <f>IFERROR(__xludf.DUMMYFUNCTION("""COMPUTED_VALUE"""),"ITBISA-JUMPER-MF-20CM")</f>
        <v>ITBISA-JUMPER-MF-20CM</v>
      </c>
      <c r="B2435" s="165">
        <f>IFERROR(__xludf.DUMMYFUNCTION("""COMPUTED_VALUE"""),46146.0)</f>
        <v>46146</v>
      </c>
      <c r="C2435" s="165" t="str">
        <f>IFERROR(__xludf.DUMMYFUNCTION("""COMPUTED_VALUE"""),"KYAI KONTONG")</f>
        <v>KYAI KONTONG</v>
      </c>
      <c r="D2435" s="94">
        <f>IFERROR(__xludf.DUMMYFUNCTION("""COMPUTED_VALUE"""),40.0)</f>
        <v>40</v>
      </c>
    </row>
    <row r="2436">
      <c r="A2436" s="87" t="str">
        <f>IFERROR(__xludf.DUMMYFUNCTION("""COMPUTED_VALUE"""),"ITBISA-JUMPER-MF-20CM")</f>
        <v>ITBISA-JUMPER-MF-20CM</v>
      </c>
      <c r="B2436" s="165">
        <f>IFERROR(__xludf.DUMMYFUNCTION("""COMPUTED_VALUE"""),46151.0)</f>
        <v>46151</v>
      </c>
      <c r="C2436" s="165" t="str">
        <f>IFERROR(__xludf.DUMMYFUNCTION("""COMPUTED_VALUE"""),"KYAI KONTONG")</f>
        <v>KYAI KONTONG</v>
      </c>
      <c r="D2436" s="94">
        <f>IFERROR(__xludf.DUMMYFUNCTION("""COMPUTED_VALUE"""),40.0)</f>
        <v>40</v>
      </c>
    </row>
    <row r="2437">
      <c r="A2437" s="87" t="str">
        <f>IFERROR(__xludf.DUMMYFUNCTION("""COMPUTED_VALUE"""),"ITBISA-JUMPER-MF-20CM")</f>
        <v>ITBISA-JUMPER-MF-20CM</v>
      </c>
      <c r="B2437" s="165">
        <f>IFERROR(__xludf.DUMMYFUNCTION("""COMPUTED_VALUE"""),46152.0)</f>
        <v>46152</v>
      </c>
      <c r="C2437" s="165" t="str">
        <f>IFERROR(__xludf.DUMMYFUNCTION("""COMPUTED_VALUE"""),"KYAI KONTONG")</f>
        <v>KYAI KONTONG</v>
      </c>
      <c r="D2437" s="94">
        <f>IFERROR(__xludf.DUMMYFUNCTION("""COMPUTED_VALUE"""),40.0)</f>
        <v>40</v>
      </c>
    </row>
    <row r="2438">
      <c r="A2438" s="87" t="str">
        <f>IFERROR(__xludf.DUMMYFUNCTION("""COMPUTED_VALUE"""),"ITBISA-JUMPER-MF-20CM")</f>
        <v>ITBISA-JUMPER-MF-20CM</v>
      </c>
      <c r="B2438" s="165">
        <f>IFERROR(__xludf.DUMMYFUNCTION("""COMPUTED_VALUE"""),46154.0)</f>
        <v>46154</v>
      </c>
      <c r="C2438" s="165" t="str">
        <f>IFERROR(__xludf.DUMMYFUNCTION("""COMPUTED_VALUE"""),"KYAI KONTONG")</f>
        <v>KYAI KONTONG</v>
      </c>
      <c r="D2438" s="94">
        <f>IFERROR(__xludf.DUMMYFUNCTION("""COMPUTED_VALUE"""),40.0)</f>
        <v>40</v>
      </c>
    </row>
    <row r="2439">
      <c r="A2439" s="87" t="str">
        <f>IFERROR(__xludf.DUMMYFUNCTION("""COMPUTED_VALUE"""),"ITBISA-JUMPER-MF-20CM")</f>
        <v>ITBISA-JUMPER-MF-20CM</v>
      </c>
      <c r="B2439" s="165">
        <f>IFERROR(__xludf.DUMMYFUNCTION("""COMPUTED_VALUE"""),46168.0)</f>
        <v>46168</v>
      </c>
      <c r="C2439" s="165" t="str">
        <f>IFERROR(__xludf.DUMMYFUNCTION("""COMPUTED_VALUE"""),"KYAI KONTONG")</f>
        <v>KYAI KONTONG</v>
      </c>
      <c r="D2439" s="94">
        <f>IFERROR(__xludf.DUMMYFUNCTION("""COMPUTED_VALUE"""),40.0)</f>
        <v>40</v>
      </c>
    </row>
    <row r="2440">
      <c r="A2440" s="87" t="str">
        <f>IFERROR(__xludf.DUMMYFUNCTION("""COMPUTED_VALUE"""),"ITBISA-JUMPER-MF-20CM")</f>
        <v>ITBISA-JUMPER-MF-20CM</v>
      </c>
      <c r="B2440" s="165">
        <f>IFERROR(__xludf.DUMMYFUNCTION("""COMPUTED_VALUE"""),46168.0)</f>
        <v>46168</v>
      </c>
      <c r="C2440" s="165" t="str">
        <f>IFERROR(__xludf.DUMMYFUNCTION("""COMPUTED_VALUE"""),"KYAI KONTONG")</f>
        <v>KYAI KONTONG</v>
      </c>
      <c r="D2440" s="94">
        <f>IFERROR(__xludf.DUMMYFUNCTION("""COMPUTED_VALUE"""),80.0)</f>
        <v>80</v>
      </c>
    </row>
    <row r="2441">
      <c r="A2441" s="87" t="str">
        <f>IFERROR(__xludf.DUMMYFUNCTION("""COMPUTED_VALUE"""),"ITBISA-JUMPER-MF-20CM")</f>
        <v>ITBISA-JUMPER-MF-20CM</v>
      </c>
      <c r="B2441" s="165">
        <f>IFERROR(__xludf.DUMMYFUNCTION("""COMPUTED_VALUE"""),46169.0)</f>
        <v>46169</v>
      </c>
      <c r="C2441" s="165" t="str">
        <f>IFERROR(__xludf.DUMMYFUNCTION("""COMPUTED_VALUE"""),"KYAI KONTONG")</f>
        <v>KYAI KONTONG</v>
      </c>
      <c r="D2441" s="94">
        <f>IFERROR(__xludf.DUMMYFUNCTION("""COMPUTED_VALUE"""),40.0)</f>
        <v>40</v>
      </c>
    </row>
    <row r="2442">
      <c r="A2442" s="87" t="str">
        <f>IFERROR(__xludf.DUMMYFUNCTION("""COMPUTED_VALUE"""),"ITBISA-JUMPER-MF-20CM")</f>
        <v>ITBISA-JUMPER-MF-20CM</v>
      </c>
      <c r="B2442" s="165">
        <f>IFERROR(__xludf.DUMMYFUNCTION("""COMPUTED_VALUE"""),46170.0)</f>
        <v>46170</v>
      </c>
      <c r="C2442" s="165" t="str">
        <f>IFERROR(__xludf.DUMMYFUNCTION("""COMPUTED_VALUE"""),"KYAI KONTONG")</f>
        <v>KYAI KONTONG</v>
      </c>
      <c r="D2442" s="94">
        <f>IFERROR(__xludf.DUMMYFUNCTION("""COMPUTED_VALUE"""),40.0)</f>
        <v>40</v>
      </c>
    </row>
    <row r="2443">
      <c r="A2443" s="87" t="str">
        <f>IFERROR(__xludf.DUMMYFUNCTION("""COMPUTED_VALUE"""),"ITBISA-JUMPER-MF-20CM")</f>
        <v>ITBISA-JUMPER-MF-20CM</v>
      </c>
      <c r="B2443" s="165">
        <f>IFERROR(__xludf.DUMMYFUNCTION("""COMPUTED_VALUE"""),46179.0)</f>
        <v>46179</v>
      </c>
      <c r="C2443" s="165" t="str">
        <f>IFERROR(__xludf.DUMMYFUNCTION("""COMPUTED_VALUE"""),"KYAI KONTONG")</f>
        <v>KYAI KONTONG</v>
      </c>
      <c r="D2443" s="94">
        <f>IFERROR(__xludf.DUMMYFUNCTION("""COMPUTED_VALUE"""),40.0)</f>
        <v>40</v>
      </c>
    </row>
    <row r="2444">
      <c r="A2444" s="87" t="str">
        <f>IFERROR(__xludf.DUMMYFUNCTION("""COMPUTED_VALUE"""),"ITBISA-JUMPER-MF-20CM")</f>
        <v>ITBISA-JUMPER-MF-20CM</v>
      </c>
      <c r="B2444" s="165">
        <f>IFERROR(__xludf.DUMMYFUNCTION("""COMPUTED_VALUE"""),46181.0)</f>
        <v>46181</v>
      </c>
      <c r="C2444" s="165" t="str">
        <f>IFERROR(__xludf.DUMMYFUNCTION("""COMPUTED_VALUE"""),"KYAI KONTONG")</f>
        <v>KYAI KONTONG</v>
      </c>
      <c r="D2444" s="94">
        <f>IFERROR(__xludf.DUMMYFUNCTION("""COMPUTED_VALUE"""),40.0)</f>
        <v>40</v>
      </c>
    </row>
    <row r="2445">
      <c r="A2445" s="87" t="str">
        <f>IFERROR(__xludf.DUMMYFUNCTION("""COMPUTED_VALUE"""),"ITBISA-JUMPER-MF-20CM")</f>
        <v>ITBISA-JUMPER-MF-20CM</v>
      </c>
      <c r="B2445" s="165">
        <f>IFERROR(__xludf.DUMMYFUNCTION("""COMPUTED_VALUE"""),46182.0)</f>
        <v>46182</v>
      </c>
      <c r="C2445" s="165" t="str">
        <f>IFERROR(__xludf.DUMMYFUNCTION("""COMPUTED_VALUE"""),"KYAI KONTONG")</f>
        <v>KYAI KONTONG</v>
      </c>
      <c r="D2445" s="94">
        <f>IFERROR(__xludf.DUMMYFUNCTION("""COMPUTED_VALUE"""),200.0)</f>
        <v>200</v>
      </c>
    </row>
    <row r="2446">
      <c r="A2446" s="87" t="str">
        <f>IFERROR(__xludf.DUMMYFUNCTION("""COMPUTED_VALUE"""),"ITBISA-JUMPER-MF-20CM")</f>
        <v>ITBISA-JUMPER-MF-20CM</v>
      </c>
      <c r="B2446" s="165">
        <f>IFERROR(__xludf.DUMMYFUNCTION("""COMPUTED_VALUE"""),46187.0)</f>
        <v>46187</v>
      </c>
      <c r="C2446" s="165" t="str">
        <f>IFERROR(__xludf.DUMMYFUNCTION("""COMPUTED_VALUE"""),"KYAI KONTONG")</f>
        <v>KYAI KONTONG</v>
      </c>
      <c r="D2446" s="94">
        <f>IFERROR(__xludf.DUMMYFUNCTION("""COMPUTED_VALUE"""),40.0)</f>
        <v>40</v>
      </c>
    </row>
    <row r="2447">
      <c r="A2447" s="87" t="str">
        <f>IFERROR(__xludf.DUMMYFUNCTION("""COMPUTED_VALUE"""),"ITBISA-JUMPER-MF-20CM")</f>
        <v>ITBISA-JUMPER-MF-20CM</v>
      </c>
      <c r="B2447" s="165">
        <f>IFERROR(__xludf.DUMMYFUNCTION("""COMPUTED_VALUE"""),46187.0)</f>
        <v>46187</v>
      </c>
      <c r="C2447" s="165" t="str">
        <f>IFERROR(__xludf.DUMMYFUNCTION("""COMPUTED_VALUE"""),"KYAI KONTONG")</f>
        <v>KYAI KONTONG</v>
      </c>
      <c r="D2447" s="94">
        <f>IFERROR(__xludf.DUMMYFUNCTION("""COMPUTED_VALUE"""),40.0)</f>
        <v>40</v>
      </c>
    </row>
    <row r="2448">
      <c r="A2448" s="87" t="str">
        <f>IFERROR(__xludf.DUMMYFUNCTION("""COMPUTED_VALUE"""),"ITBISA-JUMPER-MF-20CM")</f>
        <v>ITBISA-JUMPER-MF-20CM</v>
      </c>
      <c r="B2448" s="165">
        <f>IFERROR(__xludf.DUMMYFUNCTION("""COMPUTED_VALUE"""),46190.0)</f>
        <v>46190</v>
      </c>
      <c r="C2448" s="165" t="str">
        <f>IFERROR(__xludf.DUMMYFUNCTION("""COMPUTED_VALUE"""),"KYAI KONTONG")</f>
        <v>KYAI KONTONG</v>
      </c>
      <c r="D2448" s="94">
        <f>IFERROR(__xludf.DUMMYFUNCTION("""COMPUTED_VALUE"""),40.0)</f>
        <v>40</v>
      </c>
    </row>
    <row r="2449">
      <c r="A2449" s="87" t="str">
        <f>IFERROR(__xludf.DUMMYFUNCTION("""COMPUTED_VALUE"""),"ITBISA-JUMPER-MF-20CM")</f>
        <v>ITBISA-JUMPER-MF-20CM</v>
      </c>
      <c r="B2449" s="165">
        <f>IFERROR(__xludf.DUMMYFUNCTION("""COMPUTED_VALUE"""),46192.0)</f>
        <v>46192</v>
      </c>
      <c r="C2449" s="165" t="str">
        <f>IFERROR(__xludf.DUMMYFUNCTION("""COMPUTED_VALUE"""),"KYAI KONTONG")</f>
        <v>KYAI KONTONG</v>
      </c>
      <c r="D2449" s="94">
        <f>IFERROR(__xludf.DUMMYFUNCTION("""COMPUTED_VALUE"""),40.0)</f>
        <v>40</v>
      </c>
    </row>
    <row r="2450">
      <c r="A2450" s="87" t="str">
        <f>IFERROR(__xludf.DUMMYFUNCTION("""COMPUTED_VALUE"""),"ITBISA-JUMPER-MF-20CM")</f>
        <v>ITBISA-JUMPER-MF-20CM</v>
      </c>
      <c r="B2450" s="165">
        <f>IFERROR(__xludf.DUMMYFUNCTION("""COMPUTED_VALUE"""),46196.0)</f>
        <v>46196</v>
      </c>
      <c r="C2450" s="165" t="str">
        <f>IFERROR(__xludf.DUMMYFUNCTION("""COMPUTED_VALUE"""),"KYAI KONTONG")</f>
        <v>KYAI KONTONG</v>
      </c>
      <c r="D2450" s="94">
        <f>IFERROR(__xludf.DUMMYFUNCTION("""COMPUTED_VALUE"""),640.0)</f>
        <v>640</v>
      </c>
    </row>
    <row r="2451">
      <c r="A2451" s="87" t="str">
        <f>IFERROR(__xludf.DUMMYFUNCTION("""COMPUTED_VALUE"""),"ITBISA-JUMPER-MM-10CM")</f>
        <v>ITBISA-JUMPER-MM-10CM</v>
      </c>
      <c r="B2451" s="165">
        <f>IFERROR(__xludf.DUMMYFUNCTION("""COMPUTED_VALUE"""),46027.0)</f>
        <v>46027</v>
      </c>
      <c r="C2451" s="165" t="str">
        <f>IFERROR(__xludf.DUMMYFUNCTION("""COMPUTED_VALUE"""),"KYAI KONTONG")</f>
        <v>KYAI KONTONG</v>
      </c>
      <c r="D2451" s="94">
        <f>IFERROR(__xludf.DUMMYFUNCTION("""COMPUTED_VALUE"""),40.0)</f>
        <v>40</v>
      </c>
    </row>
    <row r="2452">
      <c r="A2452" s="87" t="str">
        <f>IFERROR(__xludf.DUMMYFUNCTION("""COMPUTED_VALUE"""),"ITBISA-JUMPER-MM-10CM")</f>
        <v>ITBISA-JUMPER-MM-10CM</v>
      </c>
      <c r="B2452" s="165">
        <f>IFERROR(__xludf.DUMMYFUNCTION("""COMPUTED_VALUE"""),46034.0)</f>
        <v>46034</v>
      </c>
      <c r="C2452" s="165" t="str">
        <f>IFERROR(__xludf.DUMMYFUNCTION("""COMPUTED_VALUE"""),"KYAI KONTONG")</f>
        <v>KYAI KONTONG</v>
      </c>
      <c r="D2452" s="94">
        <f>IFERROR(__xludf.DUMMYFUNCTION("""COMPUTED_VALUE"""),40.0)</f>
        <v>40</v>
      </c>
    </row>
    <row r="2453">
      <c r="A2453" s="87" t="str">
        <f>IFERROR(__xludf.DUMMYFUNCTION("""COMPUTED_VALUE"""),"ITBISA-JUMPER-MM-10CM")</f>
        <v>ITBISA-JUMPER-MM-10CM</v>
      </c>
      <c r="B2453" s="165">
        <f>IFERROR(__xludf.DUMMYFUNCTION("""COMPUTED_VALUE"""),46044.0)</f>
        <v>46044</v>
      </c>
      <c r="C2453" s="165" t="str">
        <f>IFERROR(__xludf.DUMMYFUNCTION("""COMPUTED_VALUE"""),"KYAI KONTONG")</f>
        <v>KYAI KONTONG</v>
      </c>
      <c r="D2453" s="94">
        <f>IFERROR(__xludf.DUMMYFUNCTION("""COMPUTED_VALUE"""),40.0)</f>
        <v>40</v>
      </c>
    </row>
    <row r="2454">
      <c r="A2454" s="87" t="str">
        <f>IFERROR(__xludf.DUMMYFUNCTION("""COMPUTED_VALUE"""),"ITBISA-JUMPER-MM-10CM")</f>
        <v>ITBISA-JUMPER-MM-10CM</v>
      </c>
      <c r="B2454" s="165">
        <f>IFERROR(__xludf.DUMMYFUNCTION("""COMPUTED_VALUE"""),46078.0)</f>
        <v>46078</v>
      </c>
      <c r="C2454" s="165" t="str">
        <f>IFERROR(__xludf.DUMMYFUNCTION("""COMPUTED_VALUE"""),"KYAI KONTONG")</f>
        <v>KYAI KONTONG</v>
      </c>
      <c r="D2454" s="94">
        <f>IFERROR(__xludf.DUMMYFUNCTION("""COMPUTED_VALUE"""),40.0)</f>
        <v>40</v>
      </c>
    </row>
    <row r="2455">
      <c r="A2455" s="87" t="str">
        <f>IFERROR(__xludf.DUMMYFUNCTION("""COMPUTED_VALUE"""),"ITBISA-JUMPER-MM-10CM")</f>
        <v>ITBISA-JUMPER-MM-10CM</v>
      </c>
      <c r="B2455" s="165">
        <f>IFERROR(__xludf.DUMMYFUNCTION("""COMPUTED_VALUE"""),46083.0)</f>
        <v>46083</v>
      </c>
      <c r="C2455" s="165" t="str">
        <f>IFERROR(__xludf.DUMMYFUNCTION("""COMPUTED_VALUE"""),"KYAI KONTONG")</f>
        <v>KYAI KONTONG</v>
      </c>
      <c r="D2455" s="94">
        <f>IFERROR(__xludf.DUMMYFUNCTION("""COMPUTED_VALUE"""),40.0)</f>
        <v>40</v>
      </c>
    </row>
    <row r="2456">
      <c r="A2456" s="87" t="str">
        <f>IFERROR(__xludf.DUMMYFUNCTION("""COMPUTED_VALUE"""),"ITBISA-JUMPER-MM-10CM")</f>
        <v>ITBISA-JUMPER-MM-10CM</v>
      </c>
      <c r="B2456" s="165">
        <f>IFERROR(__xludf.DUMMYFUNCTION("""COMPUTED_VALUE"""),46114.0)</f>
        <v>46114</v>
      </c>
      <c r="C2456" s="165" t="str">
        <f>IFERROR(__xludf.DUMMYFUNCTION("""COMPUTED_VALUE"""),"KYAI KONTONG")</f>
        <v>KYAI KONTONG</v>
      </c>
      <c r="D2456" s="94">
        <f>IFERROR(__xludf.DUMMYFUNCTION("""COMPUTED_VALUE"""),40.0)</f>
        <v>40</v>
      </c>
    </row>
    <row r="2457">
      <c r="A2457" s="87" t="str">
        <f>IFERROR(__xludf.DUMMYFUNCTION("""COMPUTED_VALUE"""),"ITBISA-JUMPER-MM-10CM")</f>
        <v>ITBISA-JUMPER-MM-10CM</v>
      </c>
      <c r="B2457" s="165">
        <f>IFERROR(__xludf.DUMMYFUNCTION("""COMPUTED_VALUE"""),46125.0)</f>
        <v>46125</v>
      </c>
      <c r="C2457" s="165" t="str">
        <f>IFERROR(__xludf.DUMMYFUNCTION("""COMPUTED_VALUE"""),"KYAI KONTONG")</f>
        <v>KYAI KONTONG</v>
      </c>
      <c r="D2457" s="94">
        <f>IFERROR(__xludf.DUMMYFUNCTION("""COMPUTED_VALUE"""),40.0)</f>
        <v>40</v>
      </c>
    </row>
    <row r="2458">
      <c r="A2458" s="87" t="str">
        <f>IFERROR(__xludf.DUMMYFUNCTION("""COMPUTED_VALUE"""),"ITBISA-JUMPER-MM-10CM")</f>
        <v>ITBISA-JUMPER-MM-10CM</v>
      </c>
      <c r="B2458" s="165">
        <f>IFERROR(__xludf.DUMMYFUNCTION("""COMPUTED_VALUE"""),46133.0)</f>
        <v>46133</v>
      </c>
      <c r="C2458" s="165" t="str">
        <f>IFERROR(__xludf.DUMMYFUNCTION("""COMPUTED_VALUE"""),"KYAI KONTONG")</f>
        <v>KYAI KONTONG</v>
      </c>
      <c r="D2458" s="94">
        <f>IFERROR(__xludf.DUMMYFUNCTION("""COMPUTED_VALUE"""),80.0)</f>
        <v>80</v>
      </c>
    </row>
    <row r="2459">
      <c r="A2459" s="87" t="str">
        <f>IFERROR(__xludf.DUMMYFUNCTION("""COMPUTED_VALUE"""),"ITBISA-JUMPER-MM-10CM")</f>
        <v>ITBISA-JUMPER-MM-10CM</v>
      </c>
      <c r="B2459" s="165">
        <f>IFERROR(__xludf.DUMMYFUNCTION("""COMPUTED_VALUE"""),46134.0)</f>
        <v>46134</v>
      </c>
      <c r="C2459" s="165" t="str">
        <f>IFERROR(__xludf.DUMMYFUNCTION("""COMPUTED_VALUE"""),"KYAI KONTONG")</f>
        <v>KYAI KONTONG</v>
      </c>
      <c r="D2459" s="94">
        <f>IFERROR(__xludf.DUMMYFUNCTION("""COMPUTED_VALUE"""),600.0)</f>
        <v>600</v>
      </c>
    </row>
    <row r="2460">
      <c r="A2460" s="87" t="str">
        <f>IFERROR(__xludf.DUMMYFUNCTION("""COMPUTED_VALUE"""),"ITBISA-JUMPER-MM-10CM")</f>
        <v>ITBISA-JUMPER-MM-10CM</v>
      </c>
      <c r="B2460" s="165">
        <f>IFERROR(__xludf.DUMMYFUNCTION("""COMPUTED_VALUE"""),46137.0)</f>
        <v>46137</v>
      </c>
      <c r="C2460" s="165" t="str">
        <f>IFERROR(__xludf.DUMMYFUNCTION("""COMPUTED_VALUE"""),"KYAI KONTONG")</f>
        <v>KYAI KONTONG</v>
      </c>
      <c r="D2460" s="94">
        <f>IFERROR(__xludf.DUMMYFUNCTION("""COMPUTED_VALUE"""),80.0)</f>
        <v>80</v>
      </c>
    </row>
    <row r="2461">
      <c r="A2461" s="87" t="str">
        <f>IFERROR(__xludf.DUMMYFUNCTION("""COMPUTED_VALUE"""),"ITBISA-JUMPER-MM-10CM")</f>
        <v>ITBISA-JUMPER-MM-10CM</v>
      </c>
      <c r="B2461" s="165">
        <f>IFERROR(__xludf.DUMMYFUNCTION("""COMPUTED_VALUE"""),46153.0)</f>
        <v>46153</v>
      </c>
      <c r="C2461" s="165" t="str">
        <f>IFERROR(__xludf.DUMMYFUNCTION("""COMPUTED_VALUE"""),"KYAI KONTONG")</f>
        <v>KYAI KONTONG</v>
      </c>
      <c r="D2461" s="94">
        <f>IFERROR(__xludf.DUMMYFUNCTION("""COMPUTED_VALUE"""),40.0)</f>
        <v>40</v>
      </c>
    </row>
    <row r="2462">
      <c r="A2462" s="87" t="str">
        <f>IFERROR(__xludf.DUMMYFUNCTION("""COMPUTED_VALUE"""),"ITBISA-JUMPER-MM-10CM")</f>
        <v>ITBISA-JUMPER-MM-10CM</v>
      </c>
      <c r="B2462" s="165">
        <f>IFERROR(__xludf.DUMMYFUNCTION("""COMPUTED_VALUE"""),46154.0)</f>
        <v>46154</v>
      </c>
      <c r="C2462" s="165" t="str">
        <f>IFERROR(__xludf.DUMMYFUNCTION("""COMPUTED_VALUE"""),"KYAI KONTONG")</f>
        <v>KYAI KONTONG</v>
      </c>
      <c r="D2462" s="94">
        <f>IFERROR(__xludf.DUMMYFUNCTION("""COMPUTED_VALUE"""),40.0)</f>
        <v>40</v>
      </c>
    </row>
    <row r="2463">
      <c r="A2463" s="87" t="str">
        <f>IFERROR(__xludf.DUMMYFUNCTION("""COMPUTED_VALUE"""),"ITBISA-JUMPER-MM-10CM")</f>
        <v>ITBISA-JUMPER-MM-10CM</v>
      </c>
      <c r="B2463" s="165">
        <f>IFERROR(__xludf.DUMMYFUNCTION("""COMPUTED_VALUE"""),46155.0)</f>
        <v>46155</v>
      </c>
      <c r="C2463" s="165" t="str">
        <f>IFERROR(__xludf.DUMMYFUNCTION("""COMPUTED_VALUE"""),"KYAI KONTONG")</f>
        <v>KYAI KONTONG</v>
      </c>
      <c r="D2463" s="94">
        <f>IFERROR(__xludf.DUMMYFUNCTION("""COMPUTED_VALUE"""),80.0)</f>
        <v>80</v>
      </c>
    </row>
    <row r="2464">
      <c r="A2464" s="87" t="str">
        <f>IFERROR(__xludf.DUMMYFUNCTION("""COMPUTED_VALUE"""),"ITBISA-JUMPER-MM-10CM")</f>
        <v>ITBISA-JUMPER-MM-10CM</v>
      </c>
      <c r="B2464" s="165">
        <f>IFERROR(__xludf.DUMMYFUNCTION("""COMPUTED_VALUE"""),46162.0)</f>
        <v>46162</v>
      </c>
      <c r="C2464" s="165" t="str">
        <f>IFERROR(__xludf.DUMMYFUNCTION("""COMPUTED_VALUE"""),"KYAI KONTONG")</f>
        <v>KYAI KONTONG</v>
      </c>
      <c r="D2464" s="94">
        <f>IFERROR(__xludf.DUMMYFUNCTION("""COMPUTED_VALUE"""),200.0)</f>
        <v>200</v>
      </c>
    </row>
    <row r="2465">
      <c r="A2465" s="87" t="str">
        <f>IFERROR(__xludf.DUMMYFUNCTION("""COMPUTED_VALUE"""),"ITBISA-JUMPER-MM-10CM")</f>
        <v>ITBISA-JUMPER-MM-10CM</v>
      </c>
      <c r="B2465" s="165">
        <f>IFERROR(__xludf.DUMMYFUNCTION("""COMPUTED_VALUE"""),46163.0)</f>
        <v>46163</v>
      </c>
      <c r="C2465" s="165" t="str">
        <f>IFERROR(__xludf.DUMMYFUNCTION("""COMPUTED_VALUE"""),"KYAI KONTONG")</f>
        <v>KYAI KONTONG</v>
      </c>
      <c r="D2465" s="94">
        <f>IFERROR(__xludf.DUMMYFUNCTION("""COMPUTED_VALUE"""),40.0)</f>
        <v>40</v>
      </c>
    </row>
    <row r="2466">
      <c r="A2466" s="87" t="str">
        <f>IFERROR(__xludf.DUMMYFUNCTION("""COMPUTED_VALUE"""),"ITBISA-JUMPER-MM-10CM")</f>
        <v>ITBISA-JUMPER-MM-10CM</v>
      </c>
      <c r="B2466" s="165">
        <f>IFERROR(__xludf.DUMMYFUNCTION("""COMPUTED_VALUE"""),46163.0)</f>
        <v>46163</v>
      </c>
      <c r="C2466" s="165" t="str">
        <f>IFERROR(__xludf.DUMMYFUNCTION("""COMPUTED_VALUE"""),"KYAI KONTONG")</f>
        <v>KYAI KONTONG</v>
      </c>
      <c r="D2466" s="94">
        <f>IFERROR(__xludf.DUMMYFUNCTION("""COMPUTED_VALUE"""),40.0)</f>
        <v>40</v>
      </c>
    </row>
    <row r="2467">
      <c r="A2467" s="87" t="str">
        <f>IFERROR(__xludf.DUMMYFUNCTION("""COMPUTED_VALUE"""),"ITBISA-JUMPER-MM-10CM")</f>
        <v>ITBISA-JUMPER-MM-10CM</v>
      </c>
      <c r="B2467" s="165">
        <f>IFERROR(__xludf.DUMMYFUNCTION("""COMPUTED_VALUE"""),46164.0)</f>
        <v>46164</v>
      </c>
      <c r="C2467" s="165" t="str">
        <f>IFERROR(__xludf.DUMMYFUNCTION("""COMPUTED_VALUE"""),"KYAI KONTONG")</f>
        <v>KYAI KONTONG</v>
      </c>
      <c r="D2467" s="94">
        <f>IFERROR(__xludf.DUMMYFUNCTION("""COMPUTED_VALUE"""),80.0)</f>
        <v>80</v>
      </c>
    </row>
    <row r="2468">
      <c r="A2468" s="87" t="str">
        <f>IFERROR(__xludf.DUMMYFUNCTION("""COMPUTED_VALUE"""),"ITBISA-JUMPER-MM-10CM")</f>
        <v>ITBISA-JUMPER-MM-10CM</v>
      </c>
      <c r="B2468" s="165">
        <f>IFERROR(__xludf.DUMMYFUNCTION("""COMPUTED_VALUE"""),46167.0)</f>
        <v>46167</v>
      </c>
      <c r="C2468" s="165" t="str">
        <f>IFERROR(__xludf.DUMMYFUNCTION("""COMPUTED_VALUE"""),"KYAI KONTONG")</f>
        <v>KYAI KONTONG</v>
      </c>
      <c r="D2468" s="94">
        <f>IFERROR(__xludf.DUMMYFUNCTION("""COMPUTED_VALUE"""),40.0)</f>
        <v>40</v>
      </c>
    </row>
    <row r="2469">
      <c r="A2469" s="87" t="str">
        <f>IFERROR(__xludf.DUMMYFUNCTION("""COMPUTED_VALUE"""),"ITBISA-JUMPER-MM-10CM")</f>
        <v>ITBISA-JUMPER-MM-10CM</v>
      </c>
      <c r="B2469" s="165">
        <f>IFERROR(__xludf.DUMMYFUNCTION("""COMPUTED_VALUE"""),46167.0)</f>
        <v>46167</v>
      </c>
      <c r="C2469" s="165" t="str">
        <f>IFERROR(__xludf.DUMMYFUNCTION("""COMPUTED_VALUE"""),"KYAI KONTONG")</f>
        <v>KYAI KONTONG</v>
      </c>
      <c r="D2469" s="94">
        <f>IFERROR(__xludf.DUMMYFUNCTION("""COMPUTED_VALUE"""),80.0)</f>
        <v>80</v>
      </c>
    </row>
    <row r="2470">
      <c r="A2470" s="87" t="str">
        <f>IFERROR(__xludf.DUMMYFUNCTION("""COMPUTED_VALUE"""),"ITBISA-JUMPER-MM-10CM")</f>
        <v>ITBISA-JUMPER-MM-10CM</v>
      </c>
      <c r="B2470" s="165">
        <f>IFERROR(__xludf.DUMMYFUNCTION("""COMPUTED_VALUE"""),46172.0)</f>
        <v>46172</v>
      </c>
      <c r="C2470" s="165" t="str">
        <f>IFERROR(__xludf.DUMMYFUNCTION("""COMPUTED_VALUE"""),"KYAI KONTONG")</f>
        <v>KYAI KONTONG</v>
      </c>
      <c r="D2470" s="94">
        <f>IFERROR(__xludf.DUMMYFUNCTION("""COMPUTED_VALUE"""),40.0)</f>
        <v>40</v>
      </c>
    </row>
    <row r="2471">
      <c r="A2471" s="87" t="str">
        <f>IFERROR(__xludf.DUMMYFUNCTION("""COMPUTED_VALUE"""),"ITBISA-JUMPER-MM-10CM")</f>
        <v>ITBISA-JUMPER-MM-10CM</v>
      </c>
      <c r="B2471" s="165">
        <f>IFERROR(__xludf.DUMMYFUNCTION("""COMPUTED_VALUE"""),46175.0)</f>
        <v>46175</v>
      </c>
      <c r="C2471" s="165" t="str">
        <f>IFERROR(__xludf.DUMMYFUNCTION("""COMPUTED_VALUE"""),"KYAI KONTONG")</f>
        <v>KYAI KONTONG</v>
      </c>
      <c r="D2471" s="94">
        <f>IFERROR(__xludf.DUMMYFUNCTION("""COMPUTED_VALUE"""),40.0)</f>
        <v>40</v>
      </c>
    </row>
    <row r="2472">
      <c r="A2472" s="87" t="str">
        <f>IFERROR(__xludf.DUMMYFUNCTION("""COMPUTED_VALUE"""),"ITBISA-JUMPER-MM-10CM")</f>
        <v>ITBISA-JUMPER-MM-10CM</v>
      </c>
      <c r="B2472" s="165">
        <f>IFERROR(__xludf.DUMMYFUNCTION("""COMPUTED_VALUE"""),46175.0)</f>
        <v>46175</v>
      </c>
      <c r="C2472" s="165" t="str">
        <f>IFERROR(__xludf.DUMMYFUNCTION("""COMPUTED_VALUE"""),"KYAI KONTONG")</f>
        <v>KYAI KONTONG</v>
      </c>
      <c r="D2472" s="94">
        <f>IFERROR(__xludf.DUMMYFUNCTION("""COMPUTED_VALUE"""),40.0)</f>
        <v>40</v>
      </c>
    </row>
    <row r="2473">
      <c r="A2473" s="87" t="str">
        <f>IFERROR(__xludf.DUMMYFUNCTION("""COMPUTED_VALUE"""),"ITBISA-JUMPER-MM-10CM")</f>
        <v>ITBISA-JUMPER-MM-10CM</v>
      </c>
      <c r="B2473" s="165">
        <f>IFERROR(__xludf.DUMMYFUNCTION("""COMPUTED_VALUE"""),46175.0)</f>
        <v>46175</v>
      </c>
      <c r="C2473" s="165" t="str">
        <f>IFERROR(__xludf.DUMMYFUNCTION("""COMPUTED_VALUE"""),"KYAI KONTONG")</f>
        <v>KYAI KONTONG</v>
      </c>
      <c r="D2473" s="94">
        <f>IFERROR(__xludf.DUMMYFUNCTION("""COMPUTED_VALUE"""),40.0)</f>
        <v>40</v>
      </c>
    </row>
    <row r="2474">
      <c r="A2474" s="87" t="str">
        <f>IFERROR(__xludf.DUMMYFUNCTION("""COMPUTED_VALUE"""),"ITBISA-JUMPER-MM-10CM")</f>
        <v>ITBISA-JUMPER-MM-10CM</v>
      </c>
      <c r="B2474" s="165">
        <f>IFERROR(__xludf.DUMMYFUNCTION("""COMPUTED_VALUE"""),46178.0)</f>
        <v>46178</v>
      </c>
      <c r="C2474" s="165" t="str">
        <f>IFERROR(__xludf.DUMMYFUNCTION("""COMPUTED_VALUE"""),"KYAI KONTONG")</f>
        <v>KYAI KONTONG</v>
      </c>
      <c r="D2474" s="94">
        <f>IFERROR(__xludf.DUMMYFUNCTION("""COMPUTED_VALUE"""),40.0)</f>
        <v>40</v>
      </c>
    </row>
    <row r="2475">
      <c r="A2475" s="87" t="str">
        <f>IFERROR(__xludf.DUMMYFUNCTION("""COMPUTED_VALUE"""),"ITBISA-JUMPER-MM-10CM")</f>
        <v>ITBISA-JUMPER-MM-10CM</v>
      </c>
      <c r="B2475" s="165">
        <f>IFERROR(__xludf.DUMMYFUNCTION("""COMPUTED_VALUE"""),46179.0)</f>
        <v>46179</v>
      </c>
      <c r="C2475" s="165" t="str">
        <f>IFERROR(__xludf.DUMMYFUNCTION("""COMPUTED_VALUE"""),"KYAI KONTONG")</f>
        <v>KYAI KONTONG</v>
      </c>
      <c r="D2475" s="94">
        <f>IFERROR(__xludf.DUMMYFUNCTION("""COMPUTED_VALUE"""),40.0)</f>
        <v>40</v>
      </c>
    </row>
    <row r="2476">
      <c r="A2476" s="87" t="str">
        <f>IFERROR(__xludf.DUMMYFUNCTION("""COMPUTED_VALUE"""),"ITBISA-JUMPER-MM-10CM")</f>
        <v>ITBISA-JUMPER-MM-10CM</v>
      </c>
      <c r="B2476" s="165">
        <f>IFERROR(__xludf.DUMMYFUNCTION("""COMPUTED_VALUE"""),46180.0)</f>
        <v>46180</v>
      </c>
      <c r="C2476" s="165" t="str">
        <f>IFERROR(__xludf.DUMMYFUNCTION("""COMPUTED_VALUE"""),"KYAI KONTONG")</f>
        <v>KYAI KONTONG</v>
      </c>
      <c r="D2476" s="94">
        <f>IFERROR(__xludf.DUMMYFUNCTION("""COMPUTED_VALUE"""),40.0)</f>
        <v>40</v>
      </c>
    </row>
    <row r="2477">
      <c r="A2477" s="87" t="str">
        <f>IFERROR(__xludf.DUMMYFUNCTION("""COMPUTED_VALUE"""),"ITBISA-JUMPER-MM-10CM")</f>
        <v>ITBISA-JUMPER-MM-10CM</v>
      </c>
      <c r="B2477" s="165">
        <f>IFERROR(__xludf.DUMMYFUNCTION("""COMPUTED_VALUE"""),46181.0)</f>
        <v>46181</v>
      </c>
      <c r="C2477" s="165" t="str">
        <f>IFERROR(__xludf.DUMMYFUNCTION("""COMPUTED_VALUE"""),"KYAI KONTONG")</f>
        <v>KYAI KONTONG</v>
      </c>
      <c r="D2477" s="94">
        <f>IFERROR(__xludf.DUMMYFUNCTION("""COMPUTED_VALUE"""),40.0)</f>
        <v>40</v>
      </c>
    </row>
    <row r="2478">
      <c r="A2478" s="87" t="str">
        <f>IFERROR(__xludf.DUMMYFUNCTION("""COMPUTED_VALUE"""),"ITBISA-JUMPER-MM-10CM")</f>
        <v>ITBISA-JUMPER-MM-10CM</v>
      </c>
      <c r="B2478" s="165">
        <f>IFERROR(__xludf.DUMMYFUNCTION("""COMPUTED_VALUE"""),46182.0)</f>
        <v>46182</v>
      </c>
      <c r="C2478" s="165" t="str">
        <f>IFERROR(__xludf.DUMMYFUNCTION("""COMPUTED_VALUE"""),"KYAI KONTONG")</f>
        <v>KYAI KONTONG</v>
      </c>
      <c r="D2478" s="94">
        <f>IFERROR(__xludf.DUMMYFUNCTION("""COMPUTED_VALUE"""),40.0)</f>
        <v>40</v>
      </c>
    </row>
    <row r="2479">
      <c r="A2479" s="87" t="str">
        <f>IFERROR(__xludf.DUMMYFUNCTION("""COMPUTED_VALUE"""),"ITBISA-JUMPER-MM-10CM")</f>
        <v>ITBISA-JUMPER-MM-10CM</v>
      </c>
      <c r="B2479" s="165">
        <f>IFERROR(__xludf.DUMMYFUNCTION("""COMPUTED_VALUE"""),46184.0)</f>
        <v>46184</v>
      </c>
      <c r="C2479" s="165" t="str">
        <f>IFERROR(__xludf.DUMMYFUNCTION("""COMPUTED_VALUE"""),"KYAI KONTONG")</f>
        <v>KYAI KONTONG</v>
      </c>
      <c r="D2479" s="94">
        <f>IFERROR(__xludf.DUMMYFUNCTION("""COMPUTED_VALUE"""),40.0)</f>
        <v>40</v>
      </c>
    </row>
    <row r="2480">
      <c r="A2480" s="87" t="str">
        <f>IFERROR(__xludf.DUMMYFUNCTION("""COMPUTED_VALUE"""),"ITBISA-JUMPER-MM-10CM")</f>
        <v>ITBISA-JUMPER-MM-10CM</v>
      </c>
      <c r="B2480" s="165">
        <f>IFERROR(__xludf.DUMMYFUNCTION("""COMPUTED_VALUE"""),46184.0)</f>
        <v>46184</v>
      </c>
      <c r="C2480" s="165" t="str">
        <f>IFERROR(__xludf.DUMMYFUNCTION("""COMPUTED_VALUE"""),"KYAI KONTONG")</f>
        <v>KYAI KONTONG</v>
      </c>
      <c r="D2480" s="94">
        <f>IFERROR(__xludf.DUMMYFUNCTION("""COMPUTED_VALUE"""),80.0)</f>
        <v>80</v>
      </c>
    </row>
    <row r="2481">
      <c r="A2481" s="87" t="str">
        <f>IFERROR(__xludf.DUMMYFUNCTION("""COMPUTED_VALUE"""),"ITBISA-JUMPER-MM-10CM")</f>
        <v>ITBISA-JUMPER-MM-10CM</v>
      </c>
      <c r="B2481" s="165">
        <f>IFERROR(__xludf.DUMMYFUNCTION("""COMPUTED_VALUE"""),46187.0)</f>
        <v>46187</v>
      </c>
      <c r="C2481" s="165" t="str">
        <f>IFERROR(__xludf.DUMMYFUNCTION("""COMPUTED_VALUE"""),"KYAI KONTONG")</f>
        <v>KYAI KONTONG</v>
      </c>
      <c r="D2481" s="94">
        <f>IFERROR(__xludf.DUMMYFUNCTION("""COMPUTED_VALUE"""),80.0)</f>
        <v>80</v>
      </c>
    </row>
    <row r="2482">
      <c r="A2482" s="87" t="str">
        <f>IFERROR(__xludf.DUMMYFUNCTION("""COMPUTED_VALUE"""),"ITBISA-JUMPER-MM-10CM")</f>
        <v>ITBISA-JUMPER-MM-10CM</v>
      </c>
      <c r="B2482" s="165">
        <f>IFERROR(__xludf.DUMMYFUNCTION("""COMPUTED_VALUE"""),46189.0)</f>
        <v>46189</v>
      </c>
      <c r="C2482" s="165" t="str">
        <f>IFERROR(__xludf.DUMMYFUNCTION("""COMPUTED_VALUE"""),"KYAI KONTONG")</f>
        <v>KYAI KONTONG</v>
      </c>
      <c r="D2482" s="94">
        <f>IFERROR(__xludf.DUMMYFUNCTION("""COMPUTED_VALUE"""),400.0)</f>
        <v>400</v>
      </c>
    </row>
    <row r="2483">
      <c r="A2483" s="87" t="str">
        <f>IFERROR(__xludf.DUMMYFUNCTION("""COMPUTED_VALUE"""),"ITBISA-JUMPER-MM-10CM")</f>
        <v>ITBISA-JUMPER-MM-10CM</v>
      </c>
      <c r="B2483" s="165">
        <f>IFERROR(__xludf.DUMMYFUNCTION("""COMPUTED_VALUE"""),46190.0)</f>
        <v>46190</v>
      </c>
      <c r="C2483" s="165" t="str">
        <f>IFERROR(__xludf.DUMMYFUNCTION("""COMPUTED_VALUE"""),"KYAI KONTONG")</f>
        <v>KYAI KONTONG</v>
      </c>
      <c r="D2483" s="94">
        <f>IFERROR(__xludf.DUMMYFUNCTION("""COMPUTED_VALUE"""),80.0)</f>
        <v>80</v>
      </c>
    </row>
    <row r="2484">
      <c r="A2484" s="87" t="str">
        <f>IFERROR(__xludf.DUMMYFUNCTION("""COMPUTED_VALUE"""),"ITBISA-JUMPER-MM-10CM")</f>
        <v>ITBISA-JUMPER-MM-10CM</v>
      </c>
      <c r="B2484" s="165">
        <f>IFERROR(__xludf.DUMMYFUNCTION("""COMPUTED_VALUE"""),46190.0)</f>
        <v>46190</v>
      </c>
      <c r="C2484" s="165" t="str">
        <f>IFERROR(__xludf.DUMMYFUNCTION("""COMPUTED_VALUE"""),"KYAI KONTONG")</f>
        <v>KYAI KONTONG</v>
      </c>
      <c r="D2484" s="94">
        <f>IFERROR(__xludf.DUMMYFUNCTION("""COMPUTED_VALUE"""),120.0)</f>
        <v>120</v>
      </c>
    </row>
    <row r="2485">
      <c r="A2485" s="87" t="str">
        <f>IFERROR(__xludf.DUMMYFUNCTION("""COMPUTED_VALUE"""),"ITBISA-JUMPER-MM-10CM")</f>
        <v>ITBISA-JUMPER-MM-10CM</v>
      </c>
      <c r="B2485" s="165">
        <f>IFERROR(__xludf.DUMMYFUNCTION("""COMPUTED_VALUE"""),46191.0)</f>
        <v>46191</v>
      </c>
      <c r="C2485" s="165" t="str">
        <f>IFERROR(__xludf.DUMMYFUNCTION("""COMPUTED_VALUE"""),"KYAI KONTONG")</f>
        <v>KYAI KONTONG</v>
      </c>
      <c r="D2485" s="94">
        <f>IFERROR(__xludf.DUMMYFUNCTION("""COMPUTED_VALUE"""),40.0)</f>
        <v>40</v>
      </c>
    </row>
    <row r="2486">
      <c r="A2486" s="87" t="str">
        <f>IFERROR(__xludf.DUMMYFUNCTION("""COMPUTED_VALUE"""),"ITBISA-JUMPER-MM-10CM")</f>
        <v>ITBISA-JUMPER-MM-10CM</v>
      </c>
      <c r="B2486" s="165">
        <f>IFERROR(__xludf.DUMMYFUNCTION("""COMPUTED_VALUE"""),46191.0)</f>
        <v>46191</v>
      </c>
      <c r="C2486" s="165" t="str">
        <f>IFERROR(__xludf.DUMMYFUNCTION("""COMPUTED_VALUE"""),"KYAI KONTONG")</f>
        <v>KYAI KONTONG</v>
      </c>
      <c r="D2486" s="94">
        <f>IFERROR(__xludf.DUMMYFUNCTION("""COMPUTED_VALUE"""),40.0)</f>
        <v>40</v>
      </c>
    </row>
    <row r="2487">
      <c r="A2487" s="87" t="str">
        <f>IFERROR(__xludf.DUMMYFUNCTION("""COMPUTED_VALUE"""),"ITBISA-JUMPER-MM-10CM")</f>
        <v>ITBISA-JUMPER-MM-10CM</v>
      </c>
      <c r="B2487" s="165">
        <f>IFERROR(__xludf.DUMMYFUNCTION("""COMPUTED_VALUE"""),46192.0)</f>
        <v>46192</v>
      </c>
      <c r="C2487" s="165" t="str">
        <f>IFERROR(__xludf.DUMMYFUNCTION("""COMPUTED_VALUE"""),"KYAI KONTONG")</f>
        <v>KYAI KONTONG</v>
      </c>
      <c r="D2487" s="94">
        <f>IFERROR(__xludf.DUMMYFUNCTION("""COMPUTED_VALUE"""),40.0)</f>
        <v>40</v>
      </c>
    </row>
    <row r="2488">
      <c r="A2488" s="87" t="str">
        <f>IFERROR(__xludf.DUMMYFUNCTION("""COMPUTED_VALUE"""),"ITBISA-JUMPER-MM-10CM")</f>
        <v>ITBISA-JUMPER-MM-10CM</v>
      </c>
      <c r="B2488" s="165">
        <f>IFERROR(__xludf.DUMMYFUNCTION("""COMPUTED_VALUE"""),46196.0)</f>
        <v>46196</v>
      </c>
      <c r="C2488" s="165" t="str">
        <f>IFERROR(__xludf.DUMMYFUNCTION("""COMPUTED_VALUE"""),"KYAI KONTONG")</f>
        <v>KYAI KONTONG</v>
      </c>
      <c r="D2488" s="94">
        <f>IFERROR(__xludf.DUMMYFUNCTION("""COMPUTED_VALUE"""),160.0)</f>
        <v>160</v>
      </c>
    </row>
    <row r="2489">
      <c r="A2489" s="87" t="str">
        <f>IFERROR(__xludf.DUMMYFUNCTION("""COMPUTED_VALUE"""),"ITBISA-JUMPER-MM-10CM")</f>
        <v>ITBISA-JUMPER-MM-10CM</v>
      </c>
      <c r="B2489" s="165">
        <f>IFERROR(__xludf.DUMMYFUNCTION("""COMPUTED_VALUE"""),46197.0)</f>
        <v>46197</v>
      </c>
      <c r="C2489" s="165" t="str">
        <f>IFERROR(__xludf.DUMMYFUNCTION("""COMPUTED_VALUE"""),"KYAI KONTONG")</f>
        <v>KYAI KONTONG</v>
      </c>
      <c r="D2489" s="94">
        <f>IFERROR(__xludf.DUMMYFUNCTION("""COMPUTED_VALUE"""),40.0)</f>
        <v>40</v>
      </c>
    </row>
    <row r="2490">
      <c r="A2490" s="87" t="str">
        <f>IFERROR(__xludf.DUMMYFUNCTION("""COMPUTED_VALUE"""),"ITBISA-JUMPER-MM-20CM")</f>
        <v>ITBISA-JUMPER-MM-20CM</v>
      </c>
      <c r="B2490" s="165">
        <f>IFERROR(__xludf.DUMMYFUNCTION("""COMPUTED_VALUE"""),45993.0)</f>
        <v>45993</v>
      </c>
      <c r="C2490" s="165" t="str">
        <f>IFERROR(__xludf.DUMMYFUNCTION("""COMPUTED_VALUE"""),"KYAI KONTONG")</f>
        <v>KYAI KONTONG</v>
      </c>
      <c r="D2490" s="94">
        <f>IFERROR(__xludf.DUMMYFUNCTION("""COMPUTED_VALUE"""),40.0)</f>
        <v>40</v>
      </c>
    </row>
    <row r="2491">
      <c r="A2491" s="87" t="str">
        <f>IFERROR(__xludf.DUMMYFUNCTION("""COMPUTED_VALUE"""),"ITBISA-JUMPER-MM-20CM")</f>
        <v>ITBISA-JUMPER-MM-20CM</v>
      </c>
      <c r="B2491" s="165">
        <f>IFERROR(__xludf.DUMMYFUNCTION("""COMPUTED_VALUE"""),46026.0)</f>
        <v>46026</v>
      </c>
      <c r="C2491" s="165" t="str">
        <f>IFERROR(__xludf.DUMMYFUNCTION("""COMPUTED_VALUE"""),"KYAI KONTONG")</f>
        <v>KYAI KONTONG</v>
      </c>
      <c r="D2491" s="94">
        <f>IFERROR(__xludf.DUMMYFUNCTION("""COMPUTED_VALUE"""),40.0)</f>
        <v>40</v>
      </c>
    </row>
    <row r="2492">
      <c r="A2492" s="87" t="str">
        <f>IFERROR(__xludf.DUMMYFUNCTION("""COMPUTED_VALUE"""),"ITBISA-JUMPER-MM-20CM")</f>
        <v>ITBISA-JUMPER-MM-20CM</v>
      </c>
      <c r="B2492" s="165">
        <f>IFERROR(__xludf.DUMMYFUNCTION("""COMPUTED_VALUE"""),46029.0)</f>
        <v>46029</v>
      </c>
      <c r="C2492" s="165" t="str">
        <f>IFERROR(__xludf.DUMMYFUNCTION("""COMPUTED_VALUE"""),"KYAI KONTONG")</f>
        <v>KYAI KONTONG</v>
      </c>
      <c r="D2492" s="94">
        <f>IFERROR(__xludf.DUMMYFUNCTION("""COMPUTED_VALUE"""),40.0)</f>
        <v>40</v>
      </c>
    </row>
    <row r="2493">
      <c r="A2493" s="87" t="str">
        <f>IFERROR(__xludf.DUMMYFUNCTION("""COMPUTED_VALUE"""),"ITBISA-JUMPER-MM-20CM")</f>
        <v>ITBISA-JUMPER-MM-20CM</v>
      </c>
      <c r="B2493" s="165">
        <f>IFERROR(__xludf.DUMMYFUNCTION("""COMPUTED_VALUE"""),46054.0)</f>
        <v>46054</v>
      </c>
      <c r="C2493" s="165" t="str">
        <f>IFERROR(__xludf.DUMMYFUNCTION("""COMPUTED_VALUE"""),"KYAI KONTONG")</f>
        <v>KYAI KONTONG</v>
      </c>
      <c r="D2493" s="94">
        <f>IFERROR(__xludf.DUMMYFUNCTION("""COMPUTED_VALUE"""),40.0)</f>
        <v>40</v>
      </c>
    </row>
    <row r="2494">
      <c r="A2494" s="87" t="str">
        <f>IFERROR(__xludf.DUMMYFUNCTION("""COMPUTED_VALUE"""),"ITBISA-JUMPER-MM-20CM")</f>
        <v>ITBISA-JUMPER-MM-20CM</v>
      </c>
      <c r="B2494" s="165">
        <f>IFERROR(__xludf.DUMMYFUNCTION("""COMPUTED_VALUE"""),46071.0)</f>
        <v>46071</v>
      </c>
      <c r="C2494" s="165" t="str">
        <f>IFERROR(__xludf.DUMMYFUNCTION("""COMPUTED_VALUE"""),"KYAI KONTONG")</f>
        <v>KYAI KONTONG</v>
      </c>
      <c r="D2494" s="94">
        <f>IFERROR(__xludf.DUMMYFUNCTION("""COMPUTED_VALUE"""),40.0)</f>
        <v>40</v>
      </c>
    </row>
    <row r="2495">
      <c r="A2495" s="87" t="str">
        <f>IFERROR(__xludf.DUMMYFUNCTION("""COMPUTED_VALUE"""),"ITBISA-JUMPER-MM-20CM")</f>
        <v>ITBISA-JUMPER-MM-20CM</v>
      </c>
      <c r="B2495" s="165">
        <f>IFERROR(__xludf.DUMMYFUNCTION("""COMPUTED_VALUE"""),46130.0)</f>
        <v>46130</v>
      </c>
      <c r="C2495" s="165" t="str">
        <f>IFERROR(__xludf.DUMMYFUNCTION("""COMPUTED_VALUE"""),"KYAI KONTONG")</f>
        <v>KYAI KONTONG</v>
      </c>
      <c r="D2495" s="94">
        <f>IFERROR(__xludf.DUMMYFUNCTION("""COMPUTED_VALUE"""),40.0)</f>
        <v>40</v>
      </c>
    </row>
    <row r="2496">
      <c r="A2496" s="87" t="str">
        <f>IFERROR(__xludf.DUMMYFUNCTION("""COMPUTED_VALUE"""),"ITBISA-JUMPER-MM-20CM")</f>
        <v>ITBISA-JUMPER-MM-20CM</v>
      </c>
      <c r="B2496" s="165">
        <f>IFERROR(__xludf.DUMMYFUNCTION("""COMPUTED_VALUE"""),46141.0)</f>
        <v>46141</v>
      </c>
      <c r="C2496" s="165" t="str">
        <f>IFERROR(__xludf.DUMMYFUNCTION("""COMPUTED_VALUE"""),"KYAI KONTONG")</f>
        <v>KYAI KONTONG</v>
      </c>
      <c r="D2496" s="94">
        <f>IFERROR(__xludf.DUMMYFUNCTION("""COMPUTED_VALUE"""),80.0)</f>
        <v>80</v>
      </c>
    </row>
    <row r="2497">
      <c r="A2497" s="87" t="str">
        <f>IFERROR(__xludf.DUMMYFUNCTION("""COMPUTED_VALUE"""),"ITBISA-JUMPER-MM-20CM")</f>
        <v>ITBISA-JUMPER-MM-20CM</v>
      </c>
      <c r="B2497" s="165">
        <f>IFERROR(__xludf.DUMMYFUNCTION("""COMPUTED_VALUE"""),46154.0)</f>
        <v>46154</v>
      </c>
      <c r="C2497" s="165" t="str">
        <f>IFERROR(__xludf.DUMMYFUNCTION("""COMPUTED_VALUE"""),"KYAI KONTONG")</f>
        <v>KYAI KONTONG</v>
      </c>
      <c r="D2497" s="94">
        <f>IFERROR(__xludf.DUMMYFUNCTION("""COMPUTED_VALUE"""),40.0)</f>
        <v>40</v>
      </c>
    </row>
    <row r="2498">
      <c r="A2498" s="87" t="str">
        <f>IFERROR(__xludf.DUMMYFUNCTION("""COMPUTED_VALUE"""),"ITBISA-JUMPER-MM-20CM")</f>
        <v>ITBISA-JUMPER-MM-20CM</v>
      </c>
      <c r="B2498" s="165">
        <f>IFERROR(__xludf.DUMMYFUNCTION("""COMPUTED_VALUE"""),46167.0)</f>
        <v>46167</v>
      </c>
      <c r="C2498" s="165" t="str">
        <f>IFERROR(__xludf.DUMMYFUNCTION("""COMPUTED_VALUE"""),"KYAI KONTONG")</f>
        <v>KYAI KONTONG</v>
      </c>
      <c r="D2498" s="94">
        <f>IFERROR(__xludf.DUMMYFUNCTION("""COMPUTED_VALUE"""),80.0)</f>
        <v>80</v>
      </c>
    </row>
    <row r="2499">
      <c r="A2499" s="87" t="str">
        <f>IFERROR(__xludf.DUMMYFUNCTION("""COMPUTED_VALUE"""),"ITBISA-JUMPER-MM-20CM")</f>
        <v>ITBISA-JUMPER-MM-20CM</v>
      </c>
      <c r="B2499" s="165">
        <f>IFERROR(__xludf.DUMMYFUNCTION("""COMPUTED_VALUE"""),46168.0)</f>
        <v>46168</v>
      </c>
      <c r="C2499" s="165" t="str">
        <f>IFERROR(__xludf.DUMMYFUNCTION("""COMPUTED_VALUE"""),"KYAI KONTONG")</f>
        <v>KYAI KONTONG</v>
      </c>
      <c r="D2499" s="94">
        <f>IFERROR(__xludf.DUMMYFUNCTION("""COMPUTED_VALUE"""),40.0)</f>
        <v>40</v>
      </c>
    </row>
    <row r="2500">
      <c r="A2500" s="87" t="str">
        <f>IFERROR(__xludf.DUMMYFUNCTION("""COMPUTED_VALUE"""),"ITBISA-JUMPER-MM-20CM")</f>
        <v>ITBISA-JUMPER-MM-20CM</v>
      </c>
      <c r="B2500" s="165">
        <f>IFERROR(__xludf.DUMMYFUNCTION("""COMPUTED_VALUE"""),46169.0)</f>
        <v>46169</v>
      </c>
      <c r="C2500" s="165" t="str">
        <f>IFERROR(__xludf.DUMMYFUNCTION("""COMPUTED_VALUE"""),"KYAI KONTONG")</f>
        <v>KYAI KONTONG</v>
      </c>
      <c r="D2500" s="94">
        <f>IFERROR(__xludf.DUMMYFUNCTION("""COMPUTED_VALUE"""),40.0)</f>
        <v>40</v>
      </c>
    </row>
    <row r="2501">
      <c r="A2501" s="87" t="str">
        <f>IFERROR(__xludf.DUMMYFUNCTION("""COMPUTED_VALUE"""),"ITBISA-JUMPER-MM-20CM")</f>
        <v>ITBISA-JUMPER-MM-20CM</v>
      </c>
      <c r="B2501" s="165">
        <f>IFERROR(__xludf.DUMMYFUNCTION("""COMPUTED_VALUE"""),46169.0)</f>
        <v>46169</v>
      </c>
      <c r="C2501" s="165" t="str">
        <f>IFERROR(__xludf.DUMMYFUNCTION("""COMPUTED_VALUE"""),"KYAI KONTONG")</f>
        <v>KYAI KONTONG</v>
      </c>
      <c r="D2501" s="94">
        <f>IFERROR(__xludf.DUMMYFUNCTION("""COMPUTED_VALUE"""),40.0)</f>
        <v>40</v>
      </c>
    </row>
    <row r="2502">
      <c r="A2502" s="87" t="str">
        <f>IFERROR(__xludf.DUMMYFUNCTION("""COMPUTED_VALUE"""),"ITBISA-JUMPER-MM-20CM")</f>
        <v>ITBISA-JUMPER-MM-20CM</v>
      </c>
      <c r="B2502" s="165">
        <f>IFERROR(__xludf.DUMMYFUNCTION("""COMPUTED_VALUE"""),46170.0)</f>
        <v>46170</v>
      </c>
      <c r="C2502" s="165" t="str">
        <f>IFERROR(__xludf.DUMMYFUNCTION("""COMPUTED_VALUE"""),"KYAI KONTONG")</f>
        <v>KYAI KONTONG</v>
      </c>
      <c r="D2502" s="94">
        <f>IFERROR(__xludf.DUMMYFUNCTION("""COMPUTED_VALUE"""),40.0)</f>
        <v>40</v>
      </c>
    </row>
    <row r="2503">
      <c r="A2503" s="87" t="str">
        <f>IFERROR(__xludf.DUMMYFUNCTION("""COMPUTED_VALUE"""),"ITBISA-JUMPER-MM-20CM")</f>
        <v>ITBISA-JUMPER-MM-20CM</v>
      </c>
      <c r="B2503" s="165">
        <f>IFERROR(__xludf.DUMMYFUNCTION("""COMPUTED_VALUE"""),46172.0)</f>
        <v>46172</v>
      </c>
      <c r="C2503" s="165" t="str">
        <f>IFERROR(__xludf.DUMMYFUNCTION("""COMPUTED_VALUE"""),"KYAI KONTONG")</f>
        <v>KYAI KONTONG</v>
      </c>
      <c r="D2503" s="94">
        <f>IFERROR(__xludf.DUMMYFUNCTION("""COMPUTED_VALUE"""),40.0)</f>
        <v>40</v>
      </c>
    </row>
    <row r="2504">
      <c r="A2504" s="87" t="str">
        <f>IFERROR(__xludf.DUMMYFUNCTION("""COMPUTED_VALUE"""),"ITBISA-JUMPER-MM-20CM")</f>
        <v>ITBISA-JUMPER-MM-20CM</v>
      </c>
      <c r="B2504" s="165">
        <f>IFERROR(__xludf.DUMMYFUNCTION("""COMPUTED_VALUE"""),46175.0)</f>
        <v>46175</v>
      </c>
      <c r="C2504" s="165" t="str">
        <f>IFERROR(__xludf.DUMMYFUNCTION("""COMPUTED_VALUE"""),"KYAI KONTONG")</f>
        <v>KYAI KONTONG</v>
      </c>
      <c r="D2504" s="94">
        <f>IFERROR(__xludf.DUMMYFUNCTION("""COMPUTED_VALUE"""),40.0)</f>
        <v>40</v>
      </c>
    </row>
    <row r="2505">
      <c r="A2505" s="87" t="str">
        <f>IFERROR(__xludf.DUMMYFUNCTION("""COMPUTED_VALUE"""),"ITBISA-JUMPER-MM-20CM")</f>
        <v>ITBISA-JUMPER-MM-20CM</v>
      </c>
      <c r="B2505" s="165">
        <f>IFERROR(__xludf.DUMMYFUNCTION("""COMPUTED_VALUE"""),46177.0)</f>
        <v>46177</v>
      </c>
      <c r="C2505" s="165" t="str">
        <f>IFERROR(__xludf.DUMMYFUNCTION("""COMPUTED_VALUE"""),"KYAI KONTONG")</f>
        <v>KYAI KONTONG</v>
      </c>
      <c r="D2505" s="94">
        <f>IFERROR(__xludf.DUMMYFUNCTION("""COMPUTED_VALUE"""),40.0)</f>
        <v>40</v>
      </c>
    </row>
    <row r="2506">
      <c r="A2506" s="87" t="str">
        <f>IFERROR(__xludf.DUMMYFUNCTION("""COMPUTED_VALUE"""),"ITBISA-JUMPER-MM-20CM")</f>
        <v>ITBISA-JUMPER-MM-20CM</v>
      </c>
      <c r="B2506" s="165">
        <f>IFERROR(__xludf.DUMMYFUNCTION("""COMPUTED_VALUE"""),46181.0)</f>
        <v>46181</v>
      </c>
      <c r="C2506" s="165" t="str">
        <f>IFERROR(__xludf.DUMMYFUNCTION("""COMPUTED_VALUE"""),"KYAI KONTONG")</f>
        <v>KYAI KONTONG</v>
      </c>
      <c r="D2506" s="94">
        <f>IFERROR(__xludf.DUMMYFUNCTION("""COMPUTED_VALUE"""),40.0)</f>
        <v>40</v>
      </c>
    </row>
    <row r="2507">
      <c r="A2507" s="87" t="str">
        <f>IFERROR(__xludf.DUMMYFUNCTION("""COMPUTED_VALUE"""),"ITBISA-JUMPER-MM-20CM")</f>
        <v>ITBISA-JUMPER-MM-20CM</v>
      </c>
      <c r="B2507" s="165">
        <f>IFERROR(__xludf.DUMMYFUNCTION("""COMPUTED_VALUE"""),46182.0)</f>
        <v>46182</v>
      </c>
      <c r="C2507" s="165" t="str">
        <f>IFERROR(__xludf.DUMMYFUNCTION("""COMPUTED_VALUE"""),"KYAI KONTONG")</f>
        <v>KYAI KONTONG</v>
      </c>
      <c r="D2507" s="94">
        <f>IFERROR(__xludf.DUMMYFUNCTION("""COMPUTED_VALUE"""),40.0)</f>
        <v>40</v>
      </c>
    </row>
    <row r="2508">
      <c r="A2508" s="87" t="str">
        <f>IFERROR(__xludf.DUMMYFUNCTION("""COMPUTED_VALUE"""),"ITBISA-JUMPER-MM-20CM")</f>
        <v>ITBISA-JUMPER-MM-20CM</v>
      </c>
      <c r="B2508" s="165">
        <f>IFERROR(__xludf.DUMMYFUNCTION("""COMPUTED_VALUE"""),46183.0)</f>
        <v>46183</v>
      </c>
      <c r="C2508" s="165" t="str">
        <f>IFERROR(__xludf.DUMMYFUNCTION("""COMPUTED_VALUE"""),"KYAI KONTONG")</f>
        <v>KYAI KONTONG</v>
      </c>
      <c r="D2508" s="94">
        <f>IFERROR(__xludf.DUMMYFUNCTION("""COMPUTED_VALUE"""),40.0)</f>
        <v>40</v>
      </c>
    </row>
    <row r="2509">
      <c r="A2509" s="87" t="str">
        <f>IFERROR(__xludf.DUMMYFUNCTION("""COMPUTED_VALUE"""),"ITBISA-JUMPER-MM-20CM")</f>
        <v>ITBISA-JUMPER-MM-20CM</v>
      </c>
      <c r="B2509" s="165">
        <f>IFERROR(__xludf.DUMMYFUNCTION("""COMPUTED_VALUE"""),46183.0)</f>
        <v>46183</v>
      </c>
      <c r="C2509" s="165" t="str">
        <f>IFERROR(__xludf.DUMMYFUNCTION("""COMPUTED_VALUE"""),"KYAI KONTONG")</f>
        <v>KYAI KONTONG</v>
      </c>
      <c r="D2509" s="94">
        <f>IFERROR(__xludf.DUMMYFUNCTION("""COMPUTED_VALUE"""),160.0)</f>
        <v>160</v>
      </c>
    </row>
    <row r="2510">
      <c r="A2510" s="87" t="str">
        <f>IFERROR(__xludf.DUMMYFUNCTION("""COMPUTED_VALUE"""),"ITBISA-JUMPER-MM-20CM")</f>
        <v>ITBISA-JUMPER-MM-20CM</v>
      </c>
      <c r="B2510" s="165">
        <f>IFERROR(__xludf.DUMMYFUNCTION("""COMPUTED_VALUE"""),46184.0)</f>
        <v>46184</v>
      </c>
      <c r="C2510" s="165" t="str">
        <f>IFERROR(__xludf.DUMMYFUNCTION("""COMPUTED_VALUE"""),"KYAI KONTONG")</f>
        <v>KYAI KONTONG</v>
      </c>
      <c r="D2510" s="94">
        <f>IFERROR(__xludf.DUMMYFUNCTION("""COMPUTED_VALUE"""),40.0)</f>
        <v>40</v>
      </c>
    </row>
    <row r="2511">
      <c r="A2511" s="87" t="str">
        <f>IFERROR(__xludf.DUMMYFUNCTION("""COMPUTED_VALUE"""),"ITBISA-JUMPER-MM-20CM")</f>
        <v>ITBISA-JUMPER-MM-20CM</v>
      </c>
      <c r="B2511" s="165">
        <f>IFERROR(__xludf.DUMMYFUNCTION("""COMPUTED_VALUE"""),46187.0)</f>
        <v>46187</v>
      </c>
      <c r="C2511" s="165" t="str">
        <f>IFERROR(__xludf.DUMMYFUNCTION("""COMPUTED_VALUE"""),"KYAI KONTONG")</f>
        <v>KYAI KONTONG</v>
      </c>
      <c r="D2511" s="94">
        <f>IFERROR(__xludf.DUMMYFUNCTION("""COMPUTED_VALUE"""),40.0)</f>
        <v>40</v>
      </c>
    </row>
    <row r="2512">
      <c r="A2512" s="87" t="str">
        <f>IFERROR(__xludf.DUMMYFUNCTION("""COMPUTED_VALUE"""),"ITBISA-JUMPER-MM-20CM")</f>
        <v>ITBISA-JUMPER-MM-20CM</v>
      </c>
      <c r="B2512" s="165">
        <f>IFERROR(__xludf.DUMMYFUNCTION("""COMPUTED_VALUE"""),46190.0)</f>
        <v>46190</v>
      </c>
      <c r="C2512" s="165" t="str">
        <f>IFERROR(__xludf.DUMMYFUNCTION("""COMPUTED_VALUE"""),"KYAI KONTONG")</f>
        <v>KYAI KONTONG</v>
      </c>
      <c r="D2512" s="94">
        <f>IFERROR(__xludf.DUMMYFUNCTION("""COMPUTED_VALUE"""),40.0)</f>
        <v>40</v>
      </c>
    </row>
    <row r="2513">
      <c r="A2513" s="87" t="str">
        <f>IFERROR(__xludf.DUMMYFUNCTION("""COMPUTED_VALUE"""),"ITBISA-JUMPER-MM-20CM")</f>
        <v>ITBISA-JUMPER-MM-20CM</v>
      </c>
      <c r="B2513" s="165">
        <f>IFERROR(__xludf.DUMMYFUNCTION("""COMPUTED_VALUE"""),46192.0)</f>
        <v>46192</v>
      </c>
      <c r="C2513" s="165" t="str">
        <f>IFERROR(__xludf.DUMMYFUNCTION("""COMPUTED_VALUE"""),"KYAI KONTONG")</f>
        <v>KYAI KONTONG</v>
      </c>
      <c r="D2513" s="94">
        <f>IFERROR(__xludf.DUMMYFUNCTION("""COMPUTED_VALUE"""),40.0)</f>
        <v>40</v>
      </c>
    </row>
    <row r="2514">
      <c r="A2514" s="87" t="str">
        <f>IFERROR(__xludf.DUMMYFUNCTION("""COMPUTED_VALUE"""),"ITBISA-JUMPER-MM-20CM")</f>
        <v>ITBISA-JUMPER-MM-20CM</v>
      </c>
      <c r="B2514" s="165">
        <f>IFERROR(__xludf.DUMMYFUNCTION("""COMPUTED_VALUE"""),46196.0)</f>
        <v>46196</v>
      </c>
      <c r="C2514" s="165" t="str">
        <f>IFERROR(__xludf.DUMMYFUNCTION("""COMPUTED_VALUE"""),"KYAI KONTONG")</f>
        <v>KYAI KONTONG</v>
      </c>
      <c r="D2514" s="94">
        <f>IFERROR(__xludf.DUMMYFUNCTION("""COMPUTED_VALUE"""),640.0)</f>
        <v>640</v>
      </c>
    </row>
    <row r="2515">
      <c r="A2515" s="87" t="str">
        <f>IFERROR(__xludf.DUMMYFUNCTION("""COMPUTED_VALUE"""),"ITBISA-KAPASITOR-ELCO-100UF-25V")</f>
        <v>ITBISA-KAPASITOR-ELCO-100UF-25V</v>
      </c>
      <c r="B2515" s="165">
        <f>IFERROR(__xludf.DUMMYFUNCTION("""COMPUTED_VALUE"""),46167.0)</f>
        <v>46167</v>
      </c>
      <c r="C2515" s="165" t="str">
        <f>IFERROR(__xludf.DUMMYFUNCTION("""COMPUTED_VALUE"""),"KYAI KONTONG")</f>
        <v>KYAI KONTONG</v>
      </c>
      <c r="D2515" s="94">
        <f>IFERROR(__xludf.DUMMYFUNCTION("""COMPUTED_VALUE"""),10.0)</f>
        <v>10</v>
      </c>
    </row>
    <row r="2516">
      <c r="A2516" s="87" t="str">
        <f>IFERROR(__xludf.DUMMYFUNCTION("""COMPUTED_VALUE"""),"ITBISA-KAPASITOR-ELCO-2200UF-25V")</f>
        <v>ITBISA-KAPASITOR-ELCO-2200UF-25V</v>
      </c>
      <c r="B2516" s="165">
        <f>IFERROR(__xludf.DUMMYFUNCTION("""COMPUTED_VALUE"""),45993.0)</f>
        <v>45993</v>
      </c>
      <c r="C2516" s="165" t="str">
        <f>IFERROR(__xludf.DUMMYFUNCTION("""COMPUTED_VALUE"""),"KYAI KONTONG")</f>
        <v>KYAI KONTONG</v>
      </c>
      <c r="D2516" s="94">
        <f>IFERROR(__xludf.DUMMYFUNCTION("""COMPUTED_VALUE"""),1.0)</f>
        <v>1</v>
      </c>
    </row>
    <row r="2517">
      <c r="A2517" s="87" t="str">
        <f>IFERROR(__xludf.DUMMYFUNCTION("""COMPUTED_VALUE"""),"ITBISA-KAPASITOR-ELCO-2200UF-25V")</f>
        <v>ITBISA-KAPASITOR-ELCO-2200UF-25V</v>
      </c>
      <c r="B2517" s="165">
        <f>IFERROR(__xludf.DUMMYFUNCTION("""COMPUTED_VALUE"""),46031.0)</f>
        <v>46031</v>
      </c>
      <c r="C2517" s="165" t="str">
        <f>IFERROR(__xludf.DUMMYFUNCTION("""COMPUTED_VALUE"""),"KYAI KONTONG")</f>
        <v>KYAI KONTONG</v>
      </c>
      <c r="D2517" s="94">
        <f>IFERROR(__xludf.DUMMYFUNCTION("""COMPUTED_VALUE"""),1.0)</f>
        <v>1</v>
      </c>
    </row>
    <row r="2518">
      <c r="A2518" s="87" t="str">
        <f>IFERROR(__xludf.DUMMYFUNCTION("""COMPUTED_VALUE"""),"ITBISA-KAPASITOR-ELCO-2200UF-25V")</f>
        <v>ITBISA-KAPASITOR-ELCO-2200UF-25V</v>
      </c>
      <c r="B2518" s="165">
        <f>IFERROR(__xludf.DUMMYFUNCTION("""COMPUTED_VALUE"""),46032.0)</f>
        <v>46032</v>
      </c>
      <c r="C2518" s="165" t="str">
        <f>IFERROR(__xludf.DUMMYFUNCTION("""COMPUTED_VALUE"""),"KYAI KONTONG")</f>
        <v>KYAI KONTONG</v>
      </c>
      <c r="D2518" s="94">
        <f>IFERROR(__xludf.DUMMYFUNCTION("""COMPUTED_VALUE"""),2.0)</f>
        <v>2</v>
      </c>
    </row>
    <row r="2519">
      <c r="A2519" s="87" t="str">
        <f>IFERROR(__xludf.DUMMYFUNCTION("""COMPUTED_VALUE"""),"ITBISA-KAPASITOR-ELCO-2200UF-25V")</f>
        <v>ITBISA-KAPASITOR-ELCO-2200UF-25V</v>
      </c>
      <c r="B2519" s="165">
        <f>IFERROR(__xludf.DUMMYFUNCTION("""COMPUTED_VALUE"""),46034.0)</f>
        <v>46034</v>
      </c>
      <c r="C2519" s="165" t="str">
        <f>IFERROR(__xludf.DUMMYFUNCTION("""COMPUTED_VALUE"""),"KYAI KONTONG")</f>
        <v>KYAI KONTONG</v>
      </c>
      <c r="D2519" s="94">
        <f>IFERROR(__xludf.DUMMYFUNCTION("""COMPUTED_VALUE"""),5.0)</f>
        <v>5</v>
      </c>
    </row>
    <row r="2520">
      <c r="A2520" s="87" t="str">
        <f>IFERROR(__xludf.DUMMYFUNCTION("""COMPUTED_VALUE"""),"ITBISA-KAPASITOR-ELCO-2200UF-25V")</f>
        <v>ITBISA-KAPASITOR-ELCO-2200UF-25V</v>
      </c>
      <c r="B2520" s="165">
        <f>IFERROR(__xludf.DUMMYFUNCTION("""COMPUTED_VALUE"""),46035.0)</f>
        <v>46035</v>
      </c>
      <c r="C2520" s="165" t="str">
        <f>IFERROR(__xludf.DUMMYFUNCTION("""COMPUTED_VALUE"""),"KYAI KONTONG")</f>
        <v>KYAI KONTONG</v>
      </c>
      <c r="D2520" s="94">
        <f>IFERROR(__xludf.DUMMYFUNCTION("""COMPUTED_VALUE"""),5.0)</f>
        <v>5</v>
      </c>
    </row>
    <row r="2521">
      <c r="A2521" s="87" t="str">
        <f>IFERROR(__xludf.DUMMYFUNCTION("""COMPUTED_VALUE"""),"ITBISA-KAPASITOR-ELCO-2200UF-25V")</f>
        <v>ITBISA-KAPASITOR-ELCO-2200UF-25V</v>
      </c>
      <c r="B2521" s="165">
        <f>IFERROR(__xludf.DUMMYFUNCTION("""COMPUTED_VALUE"""),46036.0)</f>
        <v>46036</v>
      </c>
      <c r="C2521" s="165" t="str">
        <f>IFERROR(__xludf.DUMMYFUNCTION("""COMPUTED_VALUE"""),"KYAI KONTONG")</f>
        <v>KYAI KONTONG</v>
      </c>
      <c r="D2521" s="94">
        <f>IFERROR(__xludf.DUMMYFUNCTION("""COMPUTED_VALUE"""),10.0)</f>
        <v>10</v>
      </c>
    </row>
    <row r="2522">
      <c r="A2522" s="87" t="str">
        <f>IFERROR(__xludf.DUMMYFUNCTION("""COMPUTED_VALUE"""),"ITBISA-KAPASITOR-ELCO-2200UF-25V")</f>
        <v>ITBISA-KAPASITOR-ELCO-2200UF-25V</v>
      </c>
      <c r="B2522" s="165">
        <f>IFERROR(__xludf.DUMMYFUNCTION("""COMPUTED_VALUE"""),46039.0)</f>
        <v>46039</v>
      </c>
      <c r="C2522" s="165" t="str">
        <f>IFERROR(__xludf.DUMMYFUNCTION("""COMPUTED_VALUE"""),"KYAI KONTONG")</f>
        <v>KYAI KONTONG</v>
      </c>
      <c r="D2522" s="94">
        <f>IFERROR(__xludf.DUMMYFUNCTION("""COMPUTED_VALUE"""),5.0)</f>
        <v>5</v>
      </c>
    </row>
    <row r="2523">
      <c r="A2523" s="87" t="str">
        <f>IFERROR(__xludf.DUMMYFUNCTION("""COMPUTED_VALUE"""),"ITBISA-KAPASITOR-ELCO-2200UF-25V")</f>
        <v>ITBISA-KAPASITOR-ELCO-2200UF-25V</v>
      </c>
      <c r="B2523" s="165">
        <f>IFERROR(__xludf.DUMMYFUNCTION("""COMPUTED_VALUE"""),46039.0)</f>
        <v>46039</v>
      </c>
      <c r="C2523" s="165" t="str">
        <f>IFERROR(__xludf.DUMMYFUNCTION("""COMPUTED_VALUE"""),"KYAI KONTONG")</f>
        <v>KYAI KONTONG</v>
      </c>
      <c r="D2523" s="94">
        <f>IFERROR(__xludf.DUMMYFUNCTION("""COMPUTED_VALUE"""),5.0)</f>
        <v>5</v>
      </c>
    </row>
    <row r="2524">
      <c r="A2524" s="87" t="str">
        <f>IFERROR(__xludf.DUMMYFUNCTION("""COMPUTED_VALUE"""),"ITBISA-KAPASITOR-ELCO-2200UF-25V")</f>
        <v>ITBISA-KAPASITOR-ELCO-2200UF-25V</v>
      </c>
      <c r="B2524" s="165">
        <f>IFERROR(__xludf.DUMMYFUNCTION("""COMPUTED_VALUE"""),46041.0)</f>
        <v>46041</v>
      </c>
      <c r="C2524" s="165" t="str">
        <f>IFERROR(__xludf.DUMMYFUNCTION("""COMPUTED_VALUE"""),"KYAI KONTONG")</f>
        <v>KYAI KONTONG</v>
      </c>
      <c r="D2524" s="94">
        <f>IFERROR(__xludf.DUMMYFUNCTION("""COMPUTED_VALUE"""),5.0)</f>
        <v>5</v>
      </c>
    </row>
    <row r="2525">
      <c r="A2525" s="87" t="str">
        <f>IFERROR(__xludf.DUMMYFUNCTION("""COMPUTED_VALUE"""),"ITBISA-KAPASITOR-ELCO-2200UF-25V")</f>
        <v>ITBISA-KAPASITOR-ELCO-2200UF-25V</v>
      </c>
      <c r="B2525" s="165">
        <f>IFERROR(__xludf.DUMMYFUNCTION("""COMPUTED_VALUE"""),46043.0)</f>
        <v>46043</v>
      </c>
      <c r="C2525" s="165" t="str">
        <f>IFERROR(__xludf.DUMMYFUNCTION("""COMPUTED_VALUE"""),"KYAI KONTONG")</f>
        <v>KYAI KONTONG</v>
      </c>
      <c r="D2525" s="94">
        <f>IFERROR(__xludf.DUMMYFUNCTION("""COMPUTED_VALUE"""),5.0)</f>
        <v>5</v>
      </c>
    </row>
    <row r="2526">
      <c r="A2526" s="87" t="str">
        <f>IFERROR(__xludf.DUMMYFUNCTION("""COMPUTED_VALUE"""),"ITBISA-KAPASITOR-ELCO-2200UF-25V")</f>
        <v>ITBISA-KAPASITOR-ELCO-2200UF-25V</v>
      </c>
      <c r="B2526" s="165">
        <f>IFERROR(__xludf.DUMMYFUNCTION("""COMPUTED_VALUE"""),46044.0)</f>
        <v>46044</v>
      </c>
      <c r="C2526" s="165" t="str">
        <f>IFERROR(__xludf.DUMMYFUNCTION("""COMPUTED_VALUE"""),"KYAI KONTONG")</f>
        <v>KYAI KONTONG</v>
      </c>
      <c r="D2526" s="94">
        <f>IFERROR(__xludf.DUMMYFUNCTION("""COMPUTED_VALUE"""),5.0)</f>
        <v>5</v>
      </c>
    </row>
    <row r="2527">
      <c r="A2527" s="87" t="str">
        <f>IFERROR(__xludf.DUMMYFUNCTION("""COMPUTED_VALUE"""),"ITBISA-KAPASITOR-ELCO-2200UF-25V")</f>
        <v>ITBISA-KAPASITOR-ELCO-2200UF-25V</v>
      </c>
      <c r="B2527" s="165">
        <f>IFERROR(__xludf.DUMMYFUNCTION("""COMPUTED_VALUE"""),46048.0)</f>
        <v>46048</v>
      </c>
      <c r="C2527" s="165" t="str">
        <f>IFERROR(__xludf.DUMMYFUNCTION("""COMPUTED_VALUE"""),"KYAI KONTONG")</f>
        <v>KYAI KONTONG</v>
      </c>
      <c r="D2527" s="94">
        <f>IFERROR(__xludf.DUMMYFUNCTION("""COMPUTED_VALUE"""),5.0)</f>
        <v>5</v>
      </c>
    </row>
    <row r="2528">
      <c r="A2528" s="87" t="str">
        <f>IFERROR(__xludf.DUMMYFUNCTION("""COMPUTED_VALUE"""),"ITBISA-KAPASITOR-ELCO-2200UF-25V")</f>
        <v>ITBISA-KAPASITOR-ELCO-2200UF-25V</v>
      </c>
      <c r="B2528" s="165">
        <f>IFERROR(__xludf.DUMMYFUNCTION("""COMPUTED_VALUE"""),46054.0)</f>
        <v>46054</v>
      </c>
      <c r="C2528" s="165" t="str">
        <f>IFERROR(__xludf.DUMMYFUNCTION("""COMPUTED_VALUE"""),"KYAI KONTONG")</f>
        <v>KYAI KONTONG</v>
      </c>
      <c r="D2528" s="94">
        <f>IFERROR(__xludf.DUMMYFUNCTION("""COMPUTED_VALUE"""),5.0)</f>
        <v>5</v>
      </c>
    </row>
    <row r="2529">
      <c r="A2529" s="87" t="str">
        <f>IFERROR(__xludf.DUMMYFUNCTION("""COMPUTED_VALUE"""),"ITBISA-KAPASITOR-ELCO-2200UF-25V")</f>
        <v>ITBISA-KAPASITOR-ELCO-2200UF-25V</v>
      </c>
      <c r="B2529" s="165">
        <f>IFERROR(__xludf.DUMMYFUNCTION("""COMPUTED_VALUE"""),46054.0)</f>
        <v>46054</v>
      </c>
      <c r="C2529" s="165" t="str">
        <f>IFERROR(__xludf.DUMMYFUNCTION("""COMPUTED_VALUE"""),"KYAI KONTONG")</f>
        <v>KYAI KONTONG</v>
      </c>
      <c r="D2529" s="94">
        <f>IFERROR(__xludf.DUMMYFUNCTION("""COMPUTED_VALUE"""),5.0)</f>
        <v>5</v>
      </c>
    </row>
    <row r="2530">
      <c r="A2530" s="87" t="str">
        <f>IFERROR(__xludf.DUMMYFUNCTION("""COMPUTED_VALUE"""),"ITBISA-KAPASITOR-ELCO-2200UF-25V")</f>
        <v>ITBISA-KAPASITOR-ELCO-2200UF-25V</v>
      </c>
      <c r="B2530" s="165">
        <f>IFERROR(__xludf.DUMMYFUNCTION("""COMPUTED_VALUE"""),46064.0)</f>
        <v>46064</v>
      </c>
      <c r="C2530" s="165" t="str">
        <f>IFERROR(__xludf.DUMMYFUNCTION("""COMPUTED_VALUE"""),"KYAI KONTONG")</f>
        <v>KYAI KONTONG</v>
      </c>
      <c r="D2530" s="94">
        <f>IFERROR(__xludf.DUMMYFUNCTION("""COMPUTED_VALUE"""),5.0)</f>
        <v>5</v>
      </c>
    </row>
    <row r="2531">
      <c r="A2531" s="87" t="str">
        <f>IFERROR(__xludf.DUMMYFUNCTION("""COMPUTED_VALUE"""),"ITBISA-KAPASITOR-ELCO-2200UF-25V")</f>
        <v>ITBISA-KAPASITOR-ELCO-2200UF-25V</v>
      </c>
      <c r="B2531" s="165">
        <f>IFERROR(__xludf.DUMMYFUNCTION("""COMPUTED_VALUE"""),46073.0)</f>
        <v>46073</v>
      </c>
      <c r="C2531" s="165" t="str">
        <f>IFERROR(__xludf.DUMMYFUNCTION("""COMPUTED_VALUE"""),"KERTASARI CIAMIS")</f>
        <v>KERTASARI CIAMIS</v>
      </c>
      <c r="D2531" s="94">
        <f>IFERROR(__xludf.DUMMYFUNCTION("""COMPUTED_VALUE"""),50.0)</f>
        <v>50</v>
      </c>
    </row>
    <row r="2532">
      <c r="A2532" s="87" t="str">
        <f>IFERROR(__xludf.DUMMYFUNCTION("""COMPUTED_VALUE"""),"ITBISA-KAPASITOR-ELCO-2200UF-25V")</f>
        <v>ITBISA-KAPASITOR-ELCO-2200UF-25V</v>
      </c>
      <c r="B2532" s="165">
        <f>IFERROR(__xludf.DUMMYFUNCTION("""COMPUTED_VALUE"""),46078.0)</f>
        <v>46078</v>
      </c>
      <c r="C2532" s="165" t="str">
        <f>IFERROR(__xludf.DUMMYFUNCTION("""COMPUTED_VALUE"""),"KYAI KONTONG")</f>
        <v>KYAI KONTONG</v>
      </c>
      <c r="D2532" s="94">
        <f>IFERROR(__xludf.DUMMYFUNCTION("""COMPUTED_VALUE"""),4.0)</f>
        <v>4</v>
      </c>
    </row>
    <row r="2533">
      <c r="A2533" s="87" t="str">
        <f>IFERROR(__xludf.DUMMYFUNCTION("""COMPUTED_VALUE"""),"ITBISA-KAPASITOR-ELCO-2200UF-25V")</f>
        <v>ITBISA-KAPASITOR-ELCO-2200UF-25V</v>
      </c>
      <c r="B2533" s="165">
        <f>IFERROR(__xludf.DUMMYFUNCTION("""COMPUTED_VALUE"""),46102.0)</f>
        <v>46102</v>
      </c>
      <c r="C2533" s="165" t="str">
        <f>IFERROR(__xludf.DUMMYFUNCTION("""COMPUTED_VALUE"""),"KYAI KONTONG")</f>
        <v>KYAI KONTONG</v>
      </c>
      <c r="D2533" s="94">
        <f>IFERROR(__xludf.DUMMYFUNCTION("""COMPUTED_VALUE"""),10.0)</f>
        <v>10</v>
      </c>
    </row>
    <row r="2534">
      <c r="A2534" s="87" t="str">
        <f>IFERROR(__xludf.DUMMYFUNCTION("""COMPUTED_VALUE"""),"ITBISA-KAPASITOR-ELCO-2200UF-25V")</f>
        <v>ITBISA-KAPASITOR-ELCO-2200UF-25V</v>
      </c>
      <c r="B2534" s="165">
        <f>IFERROR(__xludf.DUMMYFUNCTION("""COMPUTED_VALUE"""),46120.0)</f>
        <v>46120</v>
      </c>
      <c r="C2534" s="165" t="str">
        <f>IFERROR(__xludf.DUMMYFUNCTION("""COMPUTED_VALUE"""),"KYAI KONTONG")</f>
        <v>KYAI KONTONG</v>
      </c>
      <c r="D2534" s="94">
        <f>IFERROR(__xludf.DUMMYFUNCTION("""COMPUTED_VALUE"""),10.0)</f>
        <v>10</v>
      </c>
    </row>
    <row r="2535">
      <c r="A2535" s="87" t="str">
        <f>IFERROR(__xludf.DUMMYFUNCTION("""COMPUTED_VALUE"""),"ITBISA-KAPASITOR-ELCO-2200UF-25V")</f>
        <v>ITBISA-KAPASITOR-ELCO-2200UF-25V</v>
      </c>
      <c r="B2535" s="165">
        <f>IFERROR(__xludf.DUMMYFUNCTION("""COMPUTED_VALUE"""),46134.0)</f>
        <v>46134</v>
      </c>
      <c r="C2535" s="165" t="str">
        <f>IFERROR(__xludf.DUMMYFUNCTION("""COMPUTED_VALUE"""),"KYAI KONTONG")</f>
        <v>KYAI KONTONG</v>
      </c>
      <c r="D2535" s="94">
        <f>IFERROR(__xludf.DUMMYFUNCTION("""COMPUTED_VALUE"""),1.0)</f>
        <v>1</v>
      </c>
    </row>
    <row r="2536">
      <c r="A2536" s="87" t="str">
        <f>IFERROR(__xludf.DUMMYFUNCTION("""COMPUTED_VALUE"""),"ITBISA-KAPASITOR-ELCO-2200UF-25V")</f>
        <v>ITBISA-KAPASITOR-ELCO-2200UF-25V</v>
      </c>
      <c r="B2536" s="165">
        <f>IFERROR(__xludf.DUMMYFUNCTION("""COMPUTED_VALUE"""),46143.0)</f>
        <v>46143</v>
      </c>
      <c r="C2536" s="165" t="str">
        <f>IFERROR(__xludf.DUMMYFUNCTION("""COMPUTED_VALUE"""),"KYAI KONTONG")</f>
        <v>KYAI KONTONG</v>
      </c>
      <c r="D2536" s="94">
        <f>IFERROR(__xludf.DUMMYFUNCTION("""COMPUTED_VALUE"""),9.0)</f>
        <v>9</v>
      </c>
    </row>
    <row r="2537">
      <c r="A2537" s="87" t="str">
        <f>IFERROR(__xludf.DUMMYFUNCTION("""COMPUTED_VALUE"""),"ITBISA-KAPASITOR-ELCO-2200UF-25V")</f>
        <v>ITBISA-KAPASITOR-ELCO-2200UF-25V</v>
      </c>
      <c r="B2537" s="165">
        <f>IFERROR(__xludf.DUMMYFUNCTION("""COMPUTED_VALUE"""),46150.0)</f>
        <v>46150</v>
      </c>
      <c r="C2537" s="165" t="str">
        <f>IFERROR(__xludf.DUMMYFUNCTION("""COMPUTED_VALUE"""),"KYAI KONTONG")</f>
        <v>KYAI KONTONG</v>
      </c>
      <c r="D2537" s="94">
        <f>IFERROR(__xludf.DUMMYFUNCTION("""COMPUTED_VALUE"""),2.0)</f>
        <v>2</v>
      </c>
    </row>
    <row r="2538">
      <c r="A2538" s="87" t="str">
        <f>IFERROR(__xludf.DUMMYFUNCTION("""COMPUTED_VALUE"""),"ITBISA-KAPASITOR-ELCO-2200UF-25V")</f>
        <v>ITBISA-KAPASITOR-ELCO-2200UF-25V</v>
      </c>
      <c r="B2538" s="165">
        <f>IFERROR(__xludf.DUMMYFUNCTION("""COMPUTED_VALUE"""),46163.0)</f>
        <v>46163</v>
      </c>
      <c r="C2538" s="165" t="str">
        <f>IFERROR(__xludf.DUMMYFUNCTION("""COMPUTED_VALUE"""),"KYAI KONTONG")</f>
        <v>KYAI KONTONG</v>
      </c>
      <c r="D2538" s="94">
        <f>IFERROR(__xludf.DUMMYFUNCTION("""COMPUTED_VALUE"""),10.0)</f>
        <v>10</v>
      </c>
    </row>
    <row r="2539">
      <c r="A2539" s="87" t="str">
        <f>IFERROR(__xludf.DUMMYFUNCTION("""COMPUTED_VALUE"""),"ITBISA-KAPASITOR-ELCO-2200UF-25V")</f>
        <v>ITBISA-KAPASITOR-ELCO-2200UF-25V</v>
      </c>
      <c r="B2539" s="165">
        <f>IFERROR(__xludf.DUMMYFUNCTION("""COMPUTED_VALUE"""),46169.0)</f>
        <v>46169</v>
      </c>
      <c r="C2539" s="165" t="str">
        <f>IFERROR(__xludf.DUMMYFUNCTION("""COMPUTED_VALUE"""),"KYAI KONTONG")</f>
        <v>KYAI KONTONG</v>
      </c>
      <c r="D2539" s="94">
        <f>IFERROR(__xludf.DUMMYFUNCTION("""COMPUTED_VALUE"""),10.0)</f>
        <v>10</v>
      </c>
    </row>
    <row r="2540">
      <c r="A2540" s="87" t="str">
        <f>IFERROR(__xludf.DUMMYFUNCTION("""COMPUTED_VALUE"""),"ITBISA-KAPASITOR-ELCO-2200UF-25V")</f>
        <v>ITBISA-KAPASITOR-ELCO-2200UF-25V</v>
      </c>
      <c r="B2540" s="165">
        <f>IFERROR(__xludf.DUMMYFUNCTION("""COMPUTED_VALUE"""),46184.0)</f>
        <v>46184</v>
      </c>
      <c r="C2540" s="165" t="str">
        <f>IFERROR(__xludf.DUMMYFUNCTION("""COMPUTED_VALUE"""),"KYAI KONTONG")</f>
        <v>KYAI KONTONG</v>
      </c>
      <c r="D2540" s="94">
        <f>IFERROR(__xludf.DUMMYFUNCTION("""COMPUTED_VALUE"""),1.0)</f>
        <v>1</v>
      </c>
    </row>
    <row r="2541">
      <c r="A2541" s="87" t="str">
        <f>IFERROR(__xludf.DUMMYFUNCTION("""COMPUTED_VALUE"""),"ITBISA-KAPASITOR-ELCO-2200UF-25V")</f>
        <v>ITBISA-KAPASITOR-ELCO-2200UF-25V</v>
      </c>
      <c r="B2541" s="165">
        <f>IFERROR(__xludf.DUMMYFUNCTION("""COMPUTED_VALUE"""),46186.0)</f>
        <v>46186</v>
      </c>
      <c r="C2541" s="165" t="str">
        <f>IFERROR(__xludf.DUMMYFUNCTION("""COMPUTED_VALUE"""),"KYAI KONTONG")</f>
        <v>KYAI KONTONG</v>
      </c>
      <c r="D2541" s="94">
        <f>IFERROR(__xludf.DUMMYFUNCTION("""COMPUTED_VALUE"""),10.0)</f>
        <v>10</v>
      </c>
    </row>
    <row r="2542">
      <c r="A2542" s="87" t="str">
        <f>IFERROR(__xludf.DUMMYFUNCTION("""COMPUTED_VALUE"""),"ITBISA-KAPASITOR-ELCO-2200UF-25V")</f>
        <v>ITBISA-KAPASITOR-ELCO-2200UF-25V</v>
      </c>
      <c r="B2542" s="165">
        <f>IFERROR(__xludf.DUMMYFUNCTION("""COMPUTED_VALUE"""),46190.0)</f>
        <v>46190</v>
      </c>
      <c r="C2542" s="165" t="str">
        <f>IFERROR(__xludf.DUMMYFUNCTION("""COMPUTED_VALUE"""),"KYAI KONTONG")</f>
        <v>KYAI KONTONG</v>
      </c>
      <c r="D2542" s="94">
        <f>IFERROR(__xludf.DUMMYFUNCTION("""COMPUTED_VALUE"""),10.0)</f>
        <v>10</v>
      </c>
    </row>
    <row r="2543">
      <c r="A2543" s="87" t="str">
        <f>IFERROR(__xludf.DUMMYFUNCTION("""COMPUTED_VALUE"""),"ITBISA-LCD-16X2-BLUE")</f>
        <v>ITBISA-LCD-16X2-BLUE</v>
      </c>
      <c r="B2543" s="165">
        <f>IFERROR(__xludf.DUMMYFUNCTION("""COMPUTED_VALUE"""),46030.0)</f>
        <v>46030</v>
      </c>
      <c r="C2543" s="165" t="str">
        <f>IFERROR(__xludf.DUMMYFUNCTION("""COMPUTED_VALUE"""),"KERTASARI CIAMIS")</f>
        <v>KERTASARI CIAMIS</v>
      </c>
      <c r="D2543" s="94">
        <f>IFERROR(__xludf.DUMMYFUNCTION("""COMPUTED_VALUE"""),1.0)</f>
        <v>1</v>
      </c>
    </row>
    <row r="2544">
      <c r="A2544" s="87" t="str">
        <f>IFERROR(__xludf.DUMMYFUNCTION("""COMPUTED_VALUE"""),"ITBISA-LCD-16X2-BLUE")</f>
        <v>ITBISA-LCD-16X2-BLUE</v>
      </c>
      <c r="B2544" s="165">
        <f>IFERROR(__xludf.DUMMYFUNCTION("""COMPUTED_VALUE"""),46031.0)</f>
        <v>46031</v>
      </c>
      <c r="C2544" s="165" t="str">
        <f>IFERROR(__xludf.DUMMYFUNCTION("""COMPUTED_VALUE"""),"KYAI KONTONG")</f>
        <v>KYAI KONTONG</v>
      </c>
      <c r="D2544" s="94">
        <f>IFERROR(__xludf.DUMMYFUNCTION("""COMPUTED_VALUE"""),1.0)</f>
        <v>1</v>
      </c>
    </row>
    <row r="2545">
      <c r="A2545" s="87" t="str">
        <f>IFERROR(__xludf.DUMMYFUNCTION("""COMPUTED_VALUE"""),"ITBISA-LCD-16X2-BLUE")</f>
        <v>ITBISA-LCD-16X2-BLUE</v>
      </c>
      <c r="B2545" s="165">
        <f>IFERROR(__xludf.DUMMYFUNCTION("""COMPUTED_VALUE"""),46036.0)</f>
        <v>46036</v>
      </c>
      <c r="C2545" s="165" t="str">
        <f>IFERROR(__xludf.DUMMYFUNCTION("""COMPUTED_VALUE"""),"KERTASARI CIAMIS")</f>
        <v>KERTASARI CIAMIS</v>
      </c>
      <c r="D2545" s="94">
        <f>IFERROR(__xludf.DUMMYFUNCTION("""COMPUTED_VALUE"""),10.0)</f>
        <v>10</v>
      </c>
    </row>
    <row r="2546">
      <c r="A2546" s="87" t="str">
        <f>IFERROR(__xludf.DUMMYFUNCTION("""COMPUTED_VALUE"""),"ITBISA-LCD-16X2-BLUE")</f>
        <v>ITBISA-LCD-16X2-BLUE</v>
      </c>
      <c r="B2546" s="165">
        <f>IFERROR(__xludf.DUMMYFUNCTION("""COMPUTED_VALUE"""),46038.0)</f>
        <v>46038</v>
      </c>
      <c r="C2546" s="165" t="str">
        <f>IFERROR(__xludf.DUMMYFUNCTION("""COMPUTED_VALUE"""),"KYAI KONTONG")</f>
        <v>KYAI KONTONG</v>
      </c>
      <c r="D2546" s="94">
        <f>IFERROR(__xludf.DUMMYFUNCTION("""COMPUTED_VALUE"""),1.0)</f>
        <v>1</v>
      </c>
    </row>
    <row r="2547">
      <c r="A2547" s="87" t="str">
        <f>IFERROR(__xludf.DUMMYFUNCTION("""COMPUTED_VALUE"""),"ITBISA-LCD-16X2-BLUE")</f>
        <v>ITBISA-LCD-16X2-BLUE</v>
      </c>
      <c r="B2547" s="165">
        <f>IFERROR(__xludf.DUMMYFUNCTION("""COMPUTED_VALUE"""),46057.0)</f>
        <v>46057</v>
      </c>
      <c r="C2547" s="165" t="str">
        <f>IFERROR(__xludf.DUMMYFUNCTION("""COMPUTED_VALUE"""),"KYAI KONTONG")</f>
        <v>KYAI KONTONG</v>
      </c>
      <c r="D2547" s="94">
        <f>IFERROR(__xludf.DUMMYFUNCTION("""COMPUTED_VALUE"""),1.0)</f>
        <v>1</v>
      </c>
    </row>
    <row r="2548">
      <c r="A2548" s="87" t="str">
        <f>IFERROR(__xludf.DUMMYFUNCTION("""COMPUTED_VALUE"""),"ITBISA-LCD-16X2-BLUE")</f>
        <v>ITBISA-LCD-16X2-BLUE</v>
      </c>
      <c r="B2548" s="165">
        <f>IFERROR(__xludf.DUMMYFUNCTION("""COMPUTED_VALUE"""),46092.0)</f>
        <v>46092</v>
      </c>
      <c r="C2548" s="165" t="str">
        <f>IFERROR(__xludf.DUMMYFUNCTION("""COMPUTED_VALUE"""),"KYAI KONTONG")</f>
        <v>KYAI KONTONG</v>
      </c>
      <c r="D2548" s="94">
        <f>IFERROR(__xludf.DUMMYFUNCTION("""COMPUTED_VALUE"""),1.0)</f>
        <v>1</v>
      </c>
    </row>
    <row r="2549">
      <c r="A2549" s="87" t="str">
        <f>IFERROR(__xludf.DUMMYFUNCTION("""COMPUTED_VALUE"""),"ITBISA-LCD-16X2-BLUE")</f>
        <v>ITBISA-LCD-16X2-BLUE</v>
      </c>
      <c r="B2549" s="165">
        <f>IFERROR(__xludf.DUMMYFUNCTION("""COMPUTED_VALUE"""),46101.0)</f>
        <v>46101</v>
      </c>
      <c r="C2549" s="165" t="str">
        <f>IFERROR(__xludf.DUMMYFUNCTION("""COMPUTED_VALUE"""),"KYAI KONTONG")</f>
        <v>KYAI KONTONG</v>
      </c>
      <c r="D2549" s="94">
        <f>IFERROR(__xludf.DUMMYFUNCTION("""COMPUTED_VALUE"""),1.0)</f>
        <v>1</v>
      </c>
    </row>
    <row r="2550">
      <c r="A2550" s="87" t="str">
        <f>IFERROR(__xludf.DUMMYFUNCTION("""COMPUTED_VALUE"""),"ITBISA-LCD-16X2-BLUE")</f>
        <v>ITBISA-LCD-16X2-BLUE</v>
      </c>
      <c r="B2550" s="165">
        <f>IFERROR(__xludf.DUMMYFUNCTION("""COMPUTED_VALUE"""),46121.0)</f>
        <v>46121</v>
      </c>
      <c r="C2550" s="165" t="str">
        <f>IFERROR(__xludf.DUMMYFUNCTION("""COMPUTED_VALUE"""),"KYAI KONTONG")</f>
        <v>KYAI KONTONG</v>
      </c>
      <c r="D2550" s="94">
        <f>IFERROR(__xludf.DUMMYFUNCTION("""COMPUTED_VALUE"""),4.0)</f>
        <v>4</v>
      </c>
    </row>
    <row r="2551">
      <c r="A2551" s="87" t="str">
        <f>IFERROR(__xludf.DUMMYFUNCTION("""COMPUTED_VALUE"""),"ITBISA-LCD-16X2-BLUE")</f>
        <v>ITBISA-LCD-16X2-BLUE</v>
      </c>
      <c r="B2551" s="165">
        <f>IFERROR(__xludf.DUMMYFUNCTION("""COMPUTED_VALUE"""),46127.0)</f>
        <v>46127</v>
      </c>
      <c r="C2551" s="165" t="str">
        <f>IFERROR(__xludf.DUMMYFUNCTION("""COMPUTED_VALUE"""),"KYAI KONTONG")</f>
        <v>KYAI KONTONG</v>
      </c>
      <c r="D2551" s="94">
        <f>IFERROR(__xludf.DUMMYFUNCTION("""COMPUTED_VALUE"""),1.0)</f>
        <v>1</v>
      </c>
    </row>
    <row r="2552">
      <c r="A2552" s="87" t="str">
        <f>IFERROR(__xludf.DUMMYFUNCTION("""COMPUTED_VALUE"""),"ITBISA-LCD-16X2-BLUE")</f>
        <v>ITBISA-LCD-16X2-BLUE</v>
      </c>
      <c r="B2552" s="165">
        <f>IFERROR(__xludf.DUMMYFUNCTION("""COMPUTED_VALUE"""),46133.0)</f>
        <v>46133</v>
      </c>
      <c r="C2552" s="165" t="str">
        <f>IFERROR(__xludf.DUMMYFUNCTION("""COMPUTED_VALUE"""),"KYAI KONTONG")</f>
        <v>KYAI KONTONG</v>
      </c>
      <c r="D2552" s="94">
        <f>IFERROR(__xludf.DUMMYFUNCTION("""COMPUTED_VALUE"""),30.0)</f>
        <v>30</v>
      </c>
    </row>
    <row r="2553">
      <c r="A2553" s="87" t="str">
        <f>IFERROR(__xludf.DUMMYFUNCTION("""COMPUTED_VALUE"""),"ITBISA-LCD-16X2-BLUE")</f>
        <v>ITBISA-LCD-16X2-BLUE</v>
      </c>
      <c r="B2553" s="165">
        <f>IFERROR(__xludf.DUMMYFUNCTION("""COMPUTED_VALUE"""),46134.0)</f>
        <v>46134</v>
      </c>
      <c r="C2553" s="165" t="str">
        <f>IFERROR(__xludf.DUMMYFUNCTION("""COMPUTED_VALUE"""),"KYAI KONTONG")</f>
        <v>KYAI KONTONG</v>
      </c>
      <c r="D2553" s="94">
        <f>IFERROR(__xludf.DUMMYFUNCTION("""COMPUTED_VALUE"""),4.0)</f>
        <v>4</v>
      </c>
    </row>
    <row r="2554">
      <c r="A2554" s="87" t="str">
        <f>IFERROR(__xludf.DUMMYFUNCTION("""COMPUTED_VALUE"""),"ITBISA-LCD-16X2-BLUE")</f>
        <v>ITBISA-LCD-16X2-BLUE</v>
      </c>
      <c r="B2554" s="165">
        <f>IFERROR(__xludf.DUMMYFUNCTION("""COMPUTED_VALUE"""),46137.0)</f>
        <v>46137</v>
      </c>
      <c r="C2554" s="165" t="str">
        <f>IFERROR(__xludf.DUMMYFUNCTION("""COMPUTED_VALUE"""),"KYAI KONTONG")</f>
        <v>KYAI KONTONG</v>
      </c>
      <c r="D2554" s="94">
        <f>IFERROR(__xludf.DUMMYFUNCTION("""COMPUTED_VALUE"""),2.0)</f>
        <v>2</v>
      </c>
    </row>
    <row r="2555">
      <c r="A2555" s="87" t="str">
        <f>IFERROR(__xludf.DUMMYFUNCTION("""COMPUTED_VALUE"""),"ITBISA-LCD-16X2-BLUE")</f>
        <v>ITBISA-LCD-16X2-BLUE</v>
      </c>
      <c r="B2555" s="165">
        <f>IFERROR(__xludf.DUMMYFUNCTION("""COMPUTED_VALUE"""),46148.0)</f>
        <v>46148</v>
      </c>
      <c r="C2555" s="165" t="str">
        <f>IFERROR(__xludf.DUMMYFUNCTION("""COMPUTED_VALUE"""),"KYAI KONTONG")</f>
        <v>KYAI KONTONG</v>
      </c>
      <c r="D2555" s="94">
        <f>IFERROR(__xludf.DUMMYFUNCTION("""COMPUTED_VALUE"""),1.0)</f>
        <v>1</v>
      </c>
    </row>
    <row r="2556">
      <c r="A2556" s="87" t="str">
        <f>IFERROR(__xludf.DUMMYFUNCTION("""COMPUTED_VALUE"""),"ITBISA-LCD-16X2-BLUE")</f>
        <v>ITBISA-LCD-16X2-BLUE</v>
      </c>
      <c r="B2556" s="165">
        <f>IFERROR(__xludf.DUMMYFUNCTION("""COMPUTED_VALUE"""),46153.0)</f>
        <v>46153</v>
      </c>
      <c r="C2556" s="165" t="str">
        <f>IFERROR(__xludf.DUMMYFUNCTION("""COMPUTED_VALUE"""),"KYAI KONTONG")</f>
        <v>KYAI KONTONG</v>
      </c>
      <c r="D2556" s="94">
        <f>IFERROR(__xludf.DUMMYFUNCTION("""COMPUTED_VALUE"""),1.0)</f>
        <v>1</v>
      </c>
    </row>
    <row r="2557">
      <c r="A2557" s="87" t="str">
        <f>IFERROR(__xludf.DUMMYFUNCTION("""COMPUTED_VALUE"""),"ITBISA-LCD-16X2-BLUE")</f>
        <v>ITBISA-LCD-16X2-BLUE</v>
      </c>
      <c r="B2557" s="165">
        <f>IFERROR(__xludf.DUMMYFUNCTION("""COMPUTED_VALUE"""),46154.0)</f>
        <v>46154</v>
      </c>
      <c r="C2557" s="165" t="str">
        <f>IFERROR(__xludf.DUMMYFUNCTION("""COMPUTED_VALUE"""),"KYAI KONTONG")</f>
        <v>KYAI KONTONG</v>
      </c>
      <c r="D2557" s="94">
        <f>IFERROR(__xludf.DUMMYFUNCTION("""COMPUTED_VALUE"""),1.0)</f>
        <v>1</v>
      </c>
    </row>
    <row r="2558">
      <c r="A2558" s="87" t="str">
        <f>IFERROR(__xludf.DUMMYFUNCTION("""COMPUTED_VALUE"""),"ITBISA-LCD-16X2-BLUE")</f>
        <v>ITBISA-LCD-16X2-BLUE</v>
      </c>
      <c r="B2558" s="165">
        <f>IFERROR(__xludf.DUMMYFUNCTION("""COMPUTED_VALUE"""),46155.0)</f>
        <v>46155</v>
      </c>
      <c r="C2558" s="165" t="str">
        <f>IFERROR(__xludf.DUMMYFUNCTION("""COMPUTED_VALUE"""),"KYAI KONTONG")</f>
        <v>KYAI KONTONG</v>
      </c>
      <c r="D2558" s="94">
        <f>IFERROR(__xludf.DUMMYFUNCTION("""COMPUTED_VALUE"""),8.0)</f>
        <v>8</v>
      </c>
    </row>
    <row r="2559">
      <c r="A2559" s="87" t="str">
        <f>IFERROR(__xludf.DUMMYFUNCTION("""COMPUTED_VALUE"""),"ITBISA-LCD-16X2-BLUE")</f>
        <v>ITBISA-LCD-16X2-BLUE</v>
      </c>
      <c r="B2559" s="165">
        <f>IFERROR(__xludf.DUMMYFUNCTION("""COMPUTED_VALUE"""),46156.0)</f>
        <v>46156</v>
      </c>
      <c r="C2559" s="165" t="str">
        <f>IFERROR(__xludf.DUMMYFUNCTION("""COMPUTED_VALUE"""),"KYAI KONTONG")</f>
        <v>KYAI KONTONG</v>
      </c>
      <c r="D2559" s="94">
        <f>IFERROR(__xludf.DUMMYFUNCTION("""COMPUTED_VALUE"""),1.0)</f>
        <v>1</v>
      </c>
    </row>
    <row r="2560">
      <c r="A2560" s="87" t="str">
        <f>IFERROR(__xludf.DUMMYFUNCTION("""COMPUTED_VALUE"""),"ITBISA-LCD-16X2-BLUE")</f>
        <v>ITBISA-LCD-16X2-BLUE</v>
      </c>
      <c r="B2560" s="165">
        <f>IFERROR(__xludf.DUMMYFUNCTION("""COMPUTED_VALUE"""),46156.0)</f>
        <v>46156</v>
      </c>
      <c r="C2560" s="165" t="str">
        <f>IFERROR(__xludf.DUMMYFUNCTION("""COMPUTED_VALUE"""),"KYAI KONTONG")</f>
        <v>KYAI KONTONG</v>
      </c>
      <c r="D2560" s="94">
        <f>IFERROR(__xludf.DUMMYFUNCTION("""COMPUTED_VALUE"""),1.0)</f>
        <v>1</v>
      </c>
    </row>
    <row r="2561">
      <c r="A2561" s="87" t="str">
        <f>IFERROR(__xludf.DUMMYFUNCTION("""COMPUTED_VALUE"""),"ITBISA-LCD-16X2-BLUE")</f>
        <v>ITBISA-LCD-16X2-BLUE</v>
      </c>
      <c r="B2561" s="165">
        <f>IFERROR(__xludf.DUMMYFUNCTION("""COMPUTED_VALUE"""),46156.0)</f>
        <v>46156</v>
      </c>
      <c r="C2561" s="165" t="str">
        <f>IFERROR(__xludf.DUMMYFUNCTION("""COMPUTED_VALUE"""),"KYAI KONTONG")</f>
        <v>KYAI KONTONG</v>
      </c>
      <c r="D2561" s="94">
        <f>IFERROR(__xludf.DUMMYFUNCTION("""COMPUTED_VALUE"""),3.0)</f>
        <v>3</v>
      </c>
    </row>
    <row r="2562">
      <c r="A2562" s="87" t="str">
        <f>IFERROR(__xludf.DUMMYFUNCTION("""COMPUTED_VALUE"""),"ITBISA-LCD-16X2-BLUE")</f>
        <v>ITBISA-LCD-16X2-BLUE</v>
      </c>
      <c r="B2562" s="165">
        <f>IFERROR(__xludf.DUMMYFUNCTION("""COMPUTED_VALUE"""),46157.0)</f>
        <v>46157</v>
      </c>
      <c r="C2562" s="165" t="str">
        <f>IFERROR(__xludf.DUMMYFUNCTION("""COMPUTED_VALUE"""),"KYAI KONTONG")</f>
        <v>KYAI KONTONG</v>
      </c>
      <c r="D2562" s="94">
        <f>IFERROR(__xludf.DUMMYFUNCTION("""COMPUTED_VALUE"""),1.0)</f>
        <v>1</v>
      </c>
    </row>
    <row r="2563">
      <c r="A2563" s="87" t="str">
        <f>IFERROR(__xludf.DUMMYFUNCTION("""COMPUTED_VALUE"""),"ITBISA-LCD-16X2-BLUE")</f>
        <v>ITBISA-LCD-16X2-BLUE</v>
      </c>
      <c r="B2563" s="165">
        <f>IFERROR(__xludf.DUMMYFUNCTION("""COMPUTED_VALUE"""),46158.0)</f>
        <v>46158</v>
      </c>
      <c r="C2563" s="165" t="str">
        <f>IFERROR(__xludf.DUMMYFUNCTION("""COMPUTED_VALUE"""),"KYAI KONTONG")</f>
        <v>KYAI KONTONG</v>
      </c>
      <c r="D2563" s="94">
        <f>IFERROR(__xludf.DUMMYFUNCTION("""COMPUTED_VALUE"""),5.0)</f>
        <v>5</v>
      </c>
    </row>
    <row r="2564">
      <c r="A2564" s="87" t="str">
        <f>IFERROR(__xludf.DUMMYFUNCTION("""COMPUTED_VALUE"""),"ITBISA-LCD-16X2-BLUE")</f>
        <v>ITBISA-LCD-16X2-BLUE</v>
      </c>
      <c r="B2564" s="165">
        <f>IFERROR(__xludf.DUMMYFUNCTION("""COMPUTED_VALUE"""),46161.0)</f>
        <v>46161</v>
      </c>
      <c r="C2564" s="165" t="str">
        <f>IFERROR(__xludf.DUMMYFUNCTION("""COMPUTED_VALUE"""),"KYAI KONTONG")</f>
        <v>KYAI KONTONG</v>
      </c>
      <c r="D2564" s="94">
        <f>IFERROR(__xludf.DUMMYFUNCTION("""COMPUTED_VALUE"""),2.0)</f>
        <v>2</v>
      </c>
    </row>
    <row r="2565">
      <c r="A2565" s="87" t="str">
        <f>IFERROR(__xludf.DUMMYFUNCTION("""COMPUTED_VALUE"""),"ITBISA-LCD-16X2-BLUE")</f>
        <v>ITBISA-LCD-16X2-BLUE</v>
      </c>
      <c r="B2565" s="165">
        <f>IFERROR(__xludf.DUMMYFUNCTION("""COMPUTED_VALUE"""),46164.0)</f>
        <v>46164</v>
      </c>
      <c r="C2565" s="165" t="str">
        <f>IFERROR(__xludf.DUMMYFUNCTION("""COMPUTED_VALUE"""),"KYAI KONTONG")</f>
        <v>KYAI KONTONG</v>
      </c>
      <c r="D2565" s="94">
        <f>IFERROR(__xludf.DUMMYFUNCTION("""COMPUTED_VALUE"""),1.0)</f>
        <v>1</v>
      </c>
    </row>
    <row r="2566">
      <c r="A2566" s="87" t="str">
        <f>IFERROR(__xludf.DUMMYFUNCTION("""COMPUTED_VALUE"""),"ITBISA-LCD-16X2-BLUE")</f>
        <v>ITBISA-LCD-16X2-BLUE</v>
      </c>
      <c r="B2566" s="165">
        <f>IFERROR(__xludf.DUMMYFUNCTION("""COMPUTED_VALUE"""),46166.0)</f>
        <v>46166</v>
      </c>
      <c r="C2566" s="165" t="str">
        <f>IFERROR(__xludf.DUMMYFUNCTION("""COMPUTED_VALUE"""),"KYAI KONTONG")</f>
        <v>KYAI KONTONG</v>
      </c>
      <c r="D2566" s="94">
        <f>IFERROR(__xludf.DUMMYFUNCTION("""COMPUTED_VALUE"""),1.0)</f>
        <v>1</v>
      </c>
    </row>
    <row r="2567">
      <c r="A2567" s="87" t="str">
        <f>IFERROR(__xludf.DUMMYFUNCTION("""COMPUTED_VALUE"""),"ITBISA-LCD-16X2-BLUE")</f>
        <v>ITBISA-LCD-16X2-BLUE</v>
      </c>
      <c r="B2567" s="165">
        <f>IFERROR(__xludf.DUMMYFUNCTION("""COMPUTED_VALUE"""),46166.0)</f>
        <v>46166</v>
      </c>
      <c r="C2567" s="165" t="str">
        <f>IFERROR(__xludf.DUMMYFUNCTION("""COMPUTED_VALUE"""),"KYAI KONTONG")</f>
        <v>KYAI KONTONG</v>
      </c>
      <c r="D2567" s="94">
        <f>IFERROR(__xludf.DUMMYFUNCTION("""COMPUTED_VALUE"""),1.0)</f>
        <v>1</v>
      </c>
    </row>
    <row r="2568">
      <c r="A2568" s="87" t="str">
        <f>IFERROR(__xludf.DUMMYFUNCTION("""COMPUTED_VALUE"""),"ITBISA-LCD-16X2-BLUE")</f>
        <v>ITBISA-LCD-16X2-BLUE</v>
      </c>
      <c r="B2568" s="165">
        <f>IFERROR(__xludf.DUMMYFUNCTION("""COMPUTED_VALUE"""),46167.0)</f>
        <v>46167</v>
      </c>
      <c r="C2568" s="165" t="str">
        <f>IFERROR(__xludf.DUMMYFUNCTION("""COMPUTED_VALUE"""),"KYAI KONTONG")</f>
        <v>KYAI KONTONG</v>
      </c>
      <c r="D2568" s="94">
        <f>IFERROR(__xludf.DUMMYFUNCTION("""COMPUTED_VALUE"""),1.0)</f>
        <v>1</v>
      </c>
    </row>
    <row r="2569">
      <c r="A2569" s="87" t="str">
        <f>IFERROR(__xludf.DUMMYFUNCTION("""COMPUTED_VALUE"""),"ITBISA-LCD-16X2-BLUE")</f>
        <v>ITBISA-LCD-16X2-BLUE</v>
      </c>
      <c r="B2569" s="165">
        <f>IFERROR(__xludf.DUMMYFUNCTION("""COMPUTED_VALUE"""),46167.0)</f>
        <v>46167</v>
      </c>
      <c r="C2569" s="165" t="str">
        <f>IFERROR(__xludf.DUMMYFUNCTION("""COMPUTED_VALUE"""),"KYAI KONTONG")</f>
        <v>KYAI KONTONG</v>
      </c>
      <c r="D2569" s="94">
        <f>IFERROR(__xludf.DUMMYFUNCTION("""COMPUTED_VALUE"""),1.0)</f>
        <v>1</v>
      </c>
    </row>
    <row r="2570">
      <c r="A2570" s="87" t="str">
        <f>IFERROR(__xludf.DUMMYFUNCTION("""COMPUTED_VALUE"""),"ITBISA-LCD-16X2-BLUE")</f>
        <v>ITBISA-LCD-16X2-BLUE</v>
      </c>
      <c r="B2570" s="165">
        <f>IFERROR(__xludf.DUMMYFUNCTION("""COMPUTED_VALUE"""),46168.0)</f>
        <v>46168</v>
      </c>
      <c r="C2570" s="165" t="str">
        <f>IFERROR(__xludf.DUMMYFUNCTION("""COMPUTED_VALUE"""),"KYAI KONTONG")</f>
        <v>KYAI KONTONG</v>
      </c>
      <c r="D2570" s="94">
        <f>IFERROR(__xludf.DUMMYFUNCTION("""COMPUTED_VALUE"""),1.0)</f>
        <v>1</v>
      </c>
    </row>
    <row r="2571">
      <c r="A2571" s="87" t="str">
        <f>IFERROR(__xludf.DUMMYFUNCTION("""COMPUTED_VALUE"""),"ITBISA-LCD-16X2-BLUE")</f>
        <v>ITBISA-LCD-16X2-BLUE</v>
      </c>
      <c r="B2571" s="165">
        <f>IFERROR(__xludf.DUMMYFUNCTION("""COMPUTED_VALUE"""),46181.0)</f>
        <v>46181</v>
      </c>
      <c r="C2571" s="165" t="str">
        <f>IFERROR(__xludf.DUMMYFUNCTION("""COMPUTED_VALUE"""),"KYAI KONTONG")</f>
        <v>KYAI KONTONG</v>
      </c>
      <c r="D2571" s="94">
        <f>IFERROR(__xludf.DUMMYFUNCTION("""COMPUTED_VALUE"""),1.0)</f>
        <v>1</v>
      </c>
    </row>
    <row r="2572">
      <c r="A2572" s="87" t="str">
        <f>IFERROR(__xludf.DUMMYFUNCTION("""COMPUTED_VALUE"""),"ITBISA-LCD-16X2-GREEN")</f>
        <v>ITBISA-LCD-16X2-GREEN</v>
      </c>
      <c r="B2572" s="165">
        <f>IFERROR(__xludf.DUMMYFUNCTION("""COMPUTED_VALUE"""),46045.0)</f>
        <v>46045</v>
      </c>
      <c r="C2572" s="165" t="str">
        <f>IFERROR(__xludf.DUMMYFUNCTION("""COMPUTED_VALUE"""),"KYAI KONTONG")</f>
        <v>KYAI KONTONG</v>
      </c>
      <c r="D2572" s="94">
        <f>IFERROR(__xludf.DUMMYFUNCTION("""COMPUTED_VALUE"""),1.0)</f>
        <v>1</v>
      </c>
    </row>
    <row r="2573">
      <c r="A2573" s="87" t="str">
        <f>IFERROR(__xludf.DUMMYFUNCTION("""COMPUTED_VALUE"""),"ITBISA-LCD-16X2-GREEN")</f>
        <v>ITBISA-LCD-16X2-GREEN</v>
      </c>
      <c r="B2573" s="165">
        <f>IFERROR(__xludf.DUMMYFUNCTION("""COMPUTED_VALUE"""),46057.0)</f>
        <v>46057</v>
      </c>
      <c r="C2573" s="165" t="str">
        <f>IFERROR(__xludf.DUMMYFUNCTION("""COMPUTED_VALUE"""),"KYAI KONTONG")</f>
        <v>KYAI KONTONG</v>
      </c>
      <c r="D2573" s="94">
        <f>IFERROR(__xludf.DUMMYFUNCTION("""COMPUTED_VALUE"""),1.0)</f>
        <v>1</v>
      </c>
    </row>
    <row r="2574">
      <c r="A2574" s="87" t="str">
        <f>IFERROR(__xludf.DUMMYFUNCTION("""COMPUTED_VALUE"""),"ITBISA-LCD-16X2-GREEN")</f>
        <v>ITBISA-LCD-16X2-GREEN</v>
      </c>
      <c r="B2574" s="165">
        <f>IFERROR(__xludf.DUMMYFUNCTION("""COMPUTED_VALUE"""),46072.0)</f>
        <v>46072</v>
      </c>
      <c r="C2574" s="165" t="str">
        <f>IFERROR(__xludf.DUMMYFUNCTION("""COMPUTED_VALUE"""),"KYAI KONTONG")</f>
        <v>KYAI KONTONG</v>
      </c>
      <c r="D2574" s="94">
        <f>IFERROR(__xludf.DUMMYFUNCTION("""COMPUTED_VALUE"""),1.0)</f>
        <v>1</v>
      </c>
    </row>
    <row r="2575">
      <c r="A2575" s="87" t="str">
        <f>IFERROR(__xludf.DUMMYFUNCTION("""COMPUTED_VALUE"""),"ITBISA-LCD-16X2-GREEN")</f>
        <v>ITBISA-LCD-16X2-GREEN</v>
      </c>
      <c r="B2575" s="165">
        <f>IFERROR(__xludf.DUMMYFUNCTION("""COMPUTED_VALUE"""),46087.0)</f>
        <v>46087</v>
      </c>
      <c r="C2575" s="165" t="str">
        <f>IFERROR(__xludf.DUMMYFUNCTION("""COMPUTED_VALUE"""),"KYAI KONTONG")</f>
        <v>KYAI KONTONG</v>
      </c>
      <c r="D2575" s="94">
        <f>IFERROR(__xludf.DUMMYFUNCTION("""COMPUTED_VALUE"""),4.0)</f>
        <v>4</v>
      </c>
    </row>
    <row r="2576">
      <c r="A2576" s="87" t="str">
        <f>IFERROR(__xludf.DUMMYFUNCTION("""COMPUTED_VALUE"""),"ITBISA-LCD-16X2-GREEN")</f>
        <v>ITBISA-LCD-16X2-GREEN</v>
      </c>
      <c r="B2576" s="165">
        <f>IFERROR(__xludf.DUMMYFUNCTION("""COMPUTED_VALUE"""),46123.0)</f>
        <v>46123</v>
      </c>
      <c r="C2576" s="165" t="str">
        <f>IFERROR(__xludf.DUMMYFUNCTION("""COMPUTED_VALUE"""),"KYAI KONTONG")</f>
        <v>KYAI KONTONG</v>
      </c>
      <c r="D2576" s="94">
        <f>IFERROR(__xludf.DUMMYFUNCTION("""COMPUTED_VALUE"""),1.0)</f>
        <v>1</v>
      </c>
    </row>
    <row r="2577">
      <c r="A2577" s="87" t="str">
        <f>IFERROR(__xludf.DUMMYFUNCTION("""COMPUTED_VALUE"""),"ITBISA-LCD-16X2-GREEN")</f>
        <v>ITBISA-LCD-16X2-GREEN</v>
      </c>
      <c r="B2577" s="165">
        <f>IFERROR(__xludf.DUMMYFUNCTION("""COMPUTED_VALUE"""),46126.0)</f>
        <v>46126</v>
      </c>
      <c r="C2577" s="165" t="str">
        <f>IFERROR(__xludf.DUMMYFUNCTION("""COMPUTED_VALUE"""),"KYAI KONTONG")</f>
        <v>KYAI KONTONG</v>
      </c>
      <c r="D2577" s="94">
        <f>IFERROR(__xludf.DUMMYFUNCTION("""COMPUTED_VALUE"""),30.0)</f>
        <v>30</v>
      </c>
    </row>
    <row r="2578">
      <c r="A2578" s="87" t="str">
        <f>IFERROR(__xludf.DUMMYFUNCTION("""COMPUTED_VALUE"""),"ITBISA-LCD-16X2-GREEN")</f>
        <v>ITBISA-LCD-16X2-GREEN</v>
      </c>
      <c r="B2578" s="165">
        <f>IFERROR(__xludf.DUMMYFUNCTION("""COMPUTED_VALUE"""),46132.0)</f>
        <v>46132</v>
      </c>
      <c r="C2578" s="165" t="str">
        <f>IFERROR(__xludf.DUMMYFUNCTION("""COMPUTED_VALUE"""),"KYAI KONTONG")</f>
        <v>KYAI KONTONG</v>
      </c>
      <c r="D2578" s="94">
        <f>IFERROR(__xludf.DUMMYFUNCTION("""COMPUTED_VALUE"""),4.0)</f>
        <v>4</v>
      </c>
    </row>
    <row r="2579">
      <c r="A2579" s="87" t="str">
        <f>IFERROR(__xludf.DUMMYFUNCTION("""COMPUTED_VALUE"""),"ITBISA-LCD-16X2-GREEN")</f>
        <v>ITBISA-LCD-16X2-GREEN</v>
      </c>
      <c r="B2579" s="165">
        <f>IFERROR(__xludf.DUMMYFUNCTION("""COMPUTED_VALUE"""),46134.0)</f>
        <v>46134</v>
      </c>
      <c r="C2579" s="165" t="str">
        <f>IFERROR(__xludf.DUMMYFUNCTION("""COMPUTED_VALUE"""),"KYAI KONTONG")</f>
        <v>KYAI KONTONG</v>
      </c>
      <c r="D2579" s="94">
        <f>IFERROR(__xludf.DUMMYFUNCTION("""COMPUTED_VALUE"""),4.0)</f>
        <v>4</v>
      </c>
    </row>
    <row r="2580">
      <c r="A2580" s="87" t="str">
        <f>IFERROR(__xludf.DUMMYFUNCTION("""COMPUTED_VALUE"""),"ITBISA-LCD-16X2-GREEN")</f>
        <v>ITBISA-LCD-16X2-GREEN</v>
      </c>
      <c r="B2580" s="165">
        <f>IFERROR(__xludf.DUMMYFUNCTION("""COMPUTED_VALUE"""),46134.0)</f>
        <v>46134</v>
      </c>
      <c r="C2580" s="165" t="str">
        <f>IFERROR(__xludf.DUMMYFUNCTION("""COMPUTED_VALUE"""),"KYAI KONTONG")</f>
        <v>KYAI KONTONG</v>
      </c>
      <c r="D2580" s="94">
        <f>IFERROR(__xludf.DUMMYFUNCTION("""COMPUTED_VALUE"""),10.0)</f>
        <v>10</v>
      </c>
    </row>
    <row r="2581">
      <c r="A2581" s="87" t="str">
        <f>IFERROR(__xludf.DUMMYFUNCTION("""COMPUTED_VALUE"""),"ITBISA-LCD-16X2-GREEN")</f>
        <v>ITBISA-LCD-16X2-GREEN</v>
      </c>
      <c r="B2581" s="165">
        <f>IFERROR(__xludf.DUMMYFUNCTION("""COMPUTED_VALUE"""),46137.0)</f>
        <v>46137</v>
      </c>
      <c r="C2581" s="165" t="str">
        <f>IFERROR(__xludf.DUMMYFUNCTION("""COMPUTED_VALUE"""),"KYAI KONTONG")</f>
        <v>KYAI KONTONG</v>
      </c>
      <c r="D2581" s="94">
        <f>IFERROR(__xludf.DUMMYFUNCTION("""COMPUTED_VALUE"""),6.0)</f>
        <v>6</v>
      </c>
    </row>
    <row r="2582">
      <c r="A2582" s="87" t="str">
        <f>IFERROR(__xludf.DUMMYFUNCTION("""COMPUTED_VALUE"""),"ITBISA-LCD-16X2-GREEN")</f>
        <v>ITBISA-LCD-16X2-GREEN</v>
      </c>
      <c r="B2582" s="165">
        <f>IFERROR(__xludf.DUMMYFUNCTION("""COMPUTED_VALUE"""),46144.0)</f>
        <v>46144</v>
      </c>
      <c r="C2582" s="165" t="str">
        <f>IFERROR(__xludf.DUMMYFUNCTION("""COMPUTED_VALUE"""),"KYAI KONTONG")</f>
        <v>KYAI KONTONG</v>
      </c>
      <c r="D2582" s="94">
        <f>IFERROR(__xludf.DUMMYFUNCTION("""COMPUTED_VALUE"""),2.0)</f>
        <v>2</v>
      </c>
    </row>
    <row r="2583">
      <c r="A2583" s="87" t="str">
        <f>IFERROR(__xludf.DUMMYFUNCTION("""COMPUTED_VALUE"""),"ITBISA-LCD-16X2-GREEN")</f>
        <v>ITBISA-LCD-16X2-GREEN</v>
      </c>
      <c r="B2583" s="165">
        <f>IFERROR(__xludf.DUMMYFUNCTION("""COMPUTED_VALUE"""),46148.0)</f>
        <v>46148</v>
      </c>
      <c r="C2583" s="165" t="str">
        <f>IFERROR(__xludf.DUMMYFUNCTION("""COMPUTED_VALUE"""),"KYAI KONTONG")</f>
        <v>KYAI KONTONG</v>
      </c>
      <c r="D2583" s="94">
        <f>IFERROR(__xludf.DUMMYFUNCTION("""COMPUTED_VALUE"""),1.0)</f>
        <v>1</v>
      </c>
    </row>
    <row r="2584">
      <c r="A2584" s="87" t="str">
        <f>IFERROR(__xludf.DUMMYFUNCTION("""COMPUTED_VALUE"""),"ITBISA-LCD-16X2-GREEN")</f>
        <v>ITBISA-LCD-16X2-GREEN</v>
      </c>
      <c r="B2584" s="165">
        <f>IFERROR(__xludf.DUMMYFUNCTION("""COMPUTED_VALUE"""),46156.0)</f>
        <v>46156</v>
      </c>
      <c r="C2584" s="165" t="str">
        <f>IFERROR(__xludf.DUMMYFUNCTION("""COMPUTED_VALUE"""),"KYAI KONTONG")</f>
        <v>KYAI KONTONG</v>
      </c>
      <c r="D2584" s="94">
        <f>IFERROR(__xludf.DUMMYFUNCTION("""COMPUTED_VALUE"""),1.0)</f>
        <v>1</v>
      </c>
    </row>
    <row r="2585">
      <c r="A2585" s="87" t="str">
        <f>IFERROR(__xludf.DUMMYFUNCTION("""COMPUTED_VALUE"""),"ITBISA-LCD-16X2-GREEN")</f>
        <v>ITBISA-LCD-16X2-GREEN</v>
      </c>
      <c r="B2585" s="165">
        <f>IFERROR(__xludf.DUMMYFUNCTION("""COMPUTED_VALUE"""),46157.0)</f>
        <v>46157</v>
      </c>
      <c r="C2585" s="165" t="str">
        <f>IFERROR(__xludf.DUMMYFUNCTION("""COMPUTED_VALUE"""),"KYAI KONTONG")</f>
        <v>KYAI KONTONG</v>
      </c>
      <c r="D2585" s="94">
        <f>IFERROR(__xludf.DUMMYFUNCTION("""COMPUTED_VALUE"""),1.0)</f>
        <v>1</v>
      </c>
    </row>
    <row r="2586">
      <c r="A2586" s="87" t="str">
        <f>IFERROR(__xludf.DUMMYFUNCTION("""COMPUTED_VALUE"""),"ITBISA-LCD-16X2-GREEN")</f>
        <v>ITBISA-LCD-16X2-GREEN</v>
      </c>
      <c r="B2586" s="165">
        <f>IFERROR(__xludf.DUMMYFUNCTION("""COMPUTED_VALUE"""),46157.0)</f>
        <v>46157</v>
      </c>
      <c r="C2586" s="165" t="str">
        <f>IFERROR(__xludf.DUMMYFUNCTION("""COMPUTED_VALUE"""),"KYAI KONTONG")</f>
        <v>KYAI KONTONG</v>
      </c>
      <c r="D2586" s="94">
        <f>IFERROR(__xludf.DUMMYFUNCTION("""COMPUTED_VALUE"""),9.0)</f>
        <v>9</v>
      </c>
    </row>
    <row r="2587">
      <c r="A2587" s="87" t="str">
        <f>IFERROR(__xludf.DUMMYFUNCTION("""COMPUTED_VALUE"""),"ITBISA-LCD-16X2-GREEN")</f>
        <v>ITBISA-LCD-16X2-GREEN</v>
      </c>
      <c r="B2587" s="165">
        <f>IFERROR(__xludf.DUMMYFUNCTION("""COMPUTED_VALUE"""),46160.0)</f>
        <v>46160</v>
      </c>
      <c r="C2587" s="165" t="str">
        <f>IFERROR(__xludf.DUMMYFUNCTION("""COMPUTED_VALUE"""),"KYAI KONTONG")</f>
        <v>KYAI KONTONG</v>
      </c>
      <c r="D2587" s="94">
        <f>IFERROR(__xludf.DUMMYFUNCTION("""COMPUTED_VALUE"""),2.0)</f>
        <v>2</v>
      </c>
    </row>
    <row r="2588">
      <c r="A2588" s="87" t="str">
        <f>IFERROR(__xludf.DUMMYFUNCTION("""COMPUTED_VALUE"""),"ITBISA-LCD-16X2-GREEN")</f>
        <v>ITBISA-LCD-16X2-GREEN</v>
      </c>
      <c r="B2588" s="165">
        <f>IFERROR(__xludf.DUMMYFUNCTION("""COMPUTED_VALUE"""),46161.0)</f>
        <v>46161</v>
      </c>
      <c r="C2588" s="165" t="str">
        <f>IFERROR(__xludf.DUMMYFUNCTION("""COMPUTED_VALUE"""),"KYAI KONTONG")</f>
        <v>KYAI KONTONG</v>
      </c>
      <c r="D2588" s="94">
        <f>IFERROR(__xludf.DUMMYFUNCTION("""COMPUTED_VALUE"""),1.0)</f>
        <v>1</v>
      </c>
    </row>
    <row r="2589">
      <c r="A2589" s="87" t="str">
        <f>IFERROR(__xludf.DUMMYFUNCTION("""COMPUTED_VALUE"""),"ITBISA-LCD-16X2-GREEN")</f>
        <v>ITBISA-LCD-16X2-GREEN</v>
      </c>
      <c r="B2589" s="165">
        <f>IFERROR(__xludf.DUMMYFUNCTION("""COMPUTED_VALUE"""),46161.0)</f>
        <v>46161</v>
      </c>
      <c r="C2589" s="165" t="str">
        <f>IFERROR(__xludf.DUMMYFUNCTION("""COMPUTED_VALUE"""),"KYAI KONTONG")</f>
        <v>KYAI KONTONG</v>
      </c>
      <c r="D2589" s="94">
        <f>IFERROR(__xludf.DUMMYFUNCTION("""COMPUTED_VALUE"""),2.0)</f>
        <v>2</v>
      </c>
    </row>
    <row r="2590">
      <c r="A2590" s="87" t="str">
        <f>IFERROR(__xludf.DUMMYFUNCTION("""COMPUTED_VALUE"""),"ITBISA-LCD-16X2-GREEN")</f>
        <v>ITBISA-LCD-16X2-GREEN</v>
      </c>
      <c r="B2590" s="165">
        <f>IFERROR(__xludf.DUMMYFUNCTION("""COMPUTED_VALUE"""),46167.0)</f>
        <v>46167</v>
      </c>
      <c r="C2590" s="165" t="str">
        <f>IFERROR(__xludf.DUMMYFUNCTION("""COMPUTED_VALUE"""),"KYAI KONTONG")</f>
        <v>KYAI KONTONG</v>
      </c>
      <c r="D2590" s="94">
        <f>IFERROR(__xludf.DUMMYFUNCTION("""COMPUTED_VALUE"""),1.0)</f>
        <v>1</v>
      </c>
    </row>
    <row r="2591">
      <c r="A2591" s="87" t="str">
        <f>IFERROR(__xludf.DUMMYFUNCTION("""COMPUTED_VALUE"""),"ITBISA-LCD-16X2-GREEN")</f>
        <v>ITBISA-LCD-16X2-GREEN</v>
      </c>
      <c r="B2591" s="165">
        <f>IFERROR(__xludf.DUMMYFUNCTION("""COMPUTED_VALUE"""),46167.0)</f>
        <v>46167</v>
      </c>
      <c r="C2591" s="165" t="str">
        <f>IFERROR(__xludf.DUMMYFUNCTION("""COMPUTED_VALUE"""),"KYAI KONTONG")</f>
        <v>KYAI KONTONG</v>
      </c>
      <c r="D2591" s="94">
        <f>IFERROR(__xludf.DUMMYFUNCTION("""COMPUTED_VALUE"""),1.0)</f>
        <v>1</v>
      </c>
    </row>
    <row r="2592">
      <c r="A2592" s="87" t="str">
        <f>IFERROR(__xludf.DUMMYFUNCTION("""COMPUTED_VALUE"""),"ITBISA-LCD-16X2-GREEN")</f>
        <v>ITBISA-LCD-16X2-GREEN</v>
      </c>
      <c r="B2592" s="165">
        <f>IFERROR(__xludf.DUMMYFUNCTION("""COMPUTED_VALUE"""),46178.0)</f>
        <v>46178</v>
      </c>
      <c r="C2592" s="165" t="str">
        <f>IFERROR(__xludf.DUMMYFUNCTION("""COMPUTED_VALUE"""),"KYAI KONTONG")</f>
        <v>KYAI KONTONG</v>
      </c>
      <c r="D2592" s="94">
        <f>IFERROR(__xludf.DUMMYFUNCTION("""COMPUTED_VALUE"""),1.0)</f>
        <v>1</v>
      </c>
    </row>
    <row r="2593">
      <c r="A2593" s="87" t="str">
        <f>IFERROR(__xludf.DUMMYFUNCTION("""COMPUTED_VALUE"""),"ITBISA-LCD-16X2-GREEN")</f>
        <v>ITBISA-LCD-16X2-GREEN</v>
      </c>
      <c r="B2593" s="165">
        <f>IFERROR(__xludf.DUMMYFUNCTION("""COMPUTED_VALUE"""),46181.0)</f>
        <v>46181</v>
      </c>
      <c r="C2593" s="165" t="str">
        <f>IFERROR(__xludf.DUMMYFUNCTION("""COMPUTED_VALUE"""),"KYAI KONTONG")</f>
        <v>KYAI KONTONG</v>
      </c>
      <c r="D2593" s="94">
        <f>IFERROR(__xludf.DUMMYFUNCTION("""COMPUTED_VALUE"""),1.0)</f>
        <v>1</v>
      </c>
    </row>
    <row r="2594">
      <c r="A2594" s="87" t="str">
        <f>IFERROR(__xludf.DUMMYFUNCTION("""COMPUTED_VALUE"""),"ITBISA-LDR-GL5516")</f>
        <v>ITBISA-LDR-GL5516</v>
      </c>
      <c r="B2594" s="165">
        <f>IFERROR(__xludf.DUMMYFUNCTION("""COMPUTED_VALUE"""),46030.0)</f>
        <v>46030</v>
      </c>
      <c r="C2594" s="165" t="str">
        <f>IFERROR(__xludf.DUMMYFUNCTION("""COMPUTED_VALUE"""),"KERTASARI CIAMIS")</f>
        <v>KERTASARI CIAMIS</v>
      </c>
      <c r="D2594" s="94">
        <f>IFERROR(__xludf.DUMMYFUNCTION("""COMPUTED_VALUE"""),5.0)</f>
        <v>5</v>
      </c>
    </row>
    <row r="2595">
      <c r="A2595" s="87" t="str">
        <f>IFERROR(__xludf.DUMMYFUNCTION("""COMPUTED_VALUE"""),"ITBISA-LDR-GL5516")</f>
        <v>ITBISA-LDR-GL5516</v>
      </c>
      <c r="B2595" s="165">
        <f>IFERROR(__xludf.DUMMYFUNCTION("""COMPUTED_VALUE"""),46032.0)</f>
        <v>46032</v>
      </c>
      <c r="C2595" s="165" t="str">
        <f>IFERROR(__xludf.DUMMYFUNCTION("""COMPUTED_VALUE"""),"KERTASARI CIAMIS")</f>
        <v>KERTASARI CIAMIS</v>
      </c>
      <c r="D2595" s="94">
        <f>IFERROR(__xludf.DUMMYFUNCTION("""COMPUTED_VALUE"""),5.0)</f>
        <v>5</v>
      </c>
    </row>
    <row r="2596">
      <c r="A2596" s="87" t="str">
        <f>IFERROR(__xludf.DUMMYFUNCTION("""COMPUTED_VALUE"""),"ITBISA-LDR-GL5516")</f>
        <v>ITBISA-LDR-GL5516</v>
      </c>
      <c r="B2596" s="165">
        <f>IFERROR(__xludf.DUMMYFUNCTION("""COMPUTED_VALUE"""),46032.0)</f>
        <v>46032</v>
      </c>
      <c r="C2596" s="165" t="str">
        <f>IFERROR(__xludf.DUMMYFUNCTION("""COMPUTED_VALUE"""),"KERTASARI CIAMIS")</f>
        <v>KERTASARI CIAMIS</v>
      </c>
      <c r="D2596" s="94">
        <f>IFERROR(__xludf.DUMMYFUNCTION("""COMPUTED_VALUE"""),5.0)</f>
        <v>5</v>
      </c>
    </row>
    <row r="2597">
      <c r="A2597" s="87" t="str">
        <f>IFERROR(__xludf.DUMMYFUNCTION("""COMPUTED_VALUE"""),"ITBISA-LDR-GL5516")</f>
        <v>ITBISA-LDR-GL5516</v>
      </c>
      <c r="B2597" s="165">
        <f>IFERROR(__xludf.DUMMYFUNCTION("""COMPUTED_VALUE"""),46033.0)</f>
        <v>46033</v>
      </c>
      <c r="C2597" s="165" t="str">
        <f>IFERROR(__xludf.DUMMYFUNCTION("""COMPUTED_VALUE"""),"KYAI KONTONG")</f>
        <v>KYAI KONTONG</v>
      </c>
      <c r="D2597" s="94">
        <f>IFERROR(__xludf.DUMMYFUNCTION("""COMPUTED_VALUE"""),5.0)</f>
        <v>5</v>
      </c>
    </row>
    <row r="2598">
      <c r="A2598" s="87" t="str">
        <f>IFERROR(__xludf.DUMMYFUNCTION("""COMPUTED_VALUE"""),"ITBISA-LDR-GL5516")</f>
        <v>ITBISA-LDR-GL5516</v>
      </c>
      <c r="B2598" s="165">
        <f>IFERROR(__xludf.DUMMYFUNCTION("""COMPUTED_VALUE"""),46033.0)</f>
        <v>46033</v>
      </c>
      <c r="C2598" s="165" t="str">
        <f>IFERROR(__xludf.DUMMYFUNCTION("""COMPUTED_VALUE"""),"KYAI KONTONG")</f>
        <v>KYAI KONTONG</v>
      </c>
      <c r="D2598" s="94">
        <f>IFERROR(__xludf.DUMMYFUNCTION("""COMPUTED_VALUE"""),10.0)</f>
        <v>10</v>
      </c>
    </row>
    <row r="2599">
      <c r="A2599" s="87" t="str">
        <f>IFERROR(__xludf.DUMMYFUNCTION("""COMPUTED_VALUE"""),"ITBISA-LDR-GL5516")</f>
        <v>ITBISA-LDR-GL5516</v>
      </c>
      <c r="B2599" s="165">
        <f>IFERROR(__xludf.DUMMYFUNCTION("""COMPUTED_VALUE"""),46035.0)</f>
        <v>46035</v>
      </c>
      <c r="C2599" s="165" t="str">
        <f>IFERROR(__xludf.DUMMYFUNCTION("""COMPUTED_VALUE"""),"KERTASARI CIAMIS")</f>
        <v>KERTASARI CIAMIS</v>
      </c>
      <c r="D2599" s="94">
        <f>IFERROR(__xludf.DUMMYFUNCTION("""COMPUTED_VALUE"""),5.0)</f>
        <v>5</v>
      </c>
    </row>
    <row r="2600">
      <c r="A2600" s="87" t="str">
        <f>IFERROR(__xludf.DUMMYFUNCTION("""COMPUTED_VALUE"""),"ITBISA-LDR-GL5516")</f>
        <v>ITBISA-LDR-GL5516</v>
      </c>
      <c r="B2600" s="165">
        <f>IFERROR(__xludf.DUMMYFUNCTION("""COMPUTED_VALUE"""),46035.0)</f>
        <v>46035</v>
      </c>
      <c r="C2600" s="165" t="str">
        <f>IFERROR(__xludf.DUMMYFUNCTION("""COMPUTED_VALUE"""),"KYAI KONTONG")</f>
        <v>KYAI KONTONG</v>
      </c>
      <c r="D2600" s="94">
        <f>IFERROR(__xludf.DUMMYFUNCTION("""COMPUTED_VALUE"""),25.0)</f>
        <v>25</v>
      </c>
    </row>
    <row r="2601">
      <c r="A2601" s="87" t="str">
        <f>IFERROR(__xludf.DUMMYFUNCTION("""COMPUTED_VALUE"""),"ITBISA-LDR-GL5516")</f>
        <v>ITBISA-LDR-GL5516</v>
      </c>
      <c r="B2601" s="165">
        <f>IFERROR(__xludf.DUMMYFUNCTION("""COMPUTED_VALUE"""),46036.0)</f>
        <v>46036</v>
      </c>
      <c r="C2601" s="165" t="str">
        <f>IFERROR(__xludf.DUMMYFUNCTION("""COMPUTED_VALUE"""),"KYAI KONTONG")</f>
        <v>KYAI KONTONG</v>
      </c>
      <c r="D2601" s="94">
        <f>IFERROR(__xludf.DUMMYFUNCTION("""COMPUTED_VALUE"""),3.0)</f>
        <v>3</v>
      </c>
    </row>
    <row r="2602">
      <c r="A2602" s="87" t="str">
        <f>IFERROR(__xludf.DUMMYFUNCTION("""COMPUTED_VALUE"""),"ITBISA-LDR-GL5516")</f>
        <v>ITBISA-LDR-GL5516</v>
      </c>
      <c r="B2602" s="165">
        <f>IFERROR(__xludf.DUMMYFUNCTION("""COMPUTED_VALUE"""),46036.0)</f>
        <v>46036</v>
      </c>
      <c r="C2602" s="165" t="str">
        <f>IFERROR(__xludf.DUMMYFUNCTION("""COMPUTED_VALUE"""),"KYAI KONTONG")</f>
        <v>KYAI KONTONG</v>
      </c>
      <c r="D2602" s="94">
        <f>IFERROR(__xludf.DUMMYFUNCTION("""COMPUTED_VALUE"""),5.0)</f>
        <v>5</v>
      </c>
    </row>
    <row r="2603">
      <c r="A2603" s="87" t="str">
        <f>IFERROR(__xludf.DUMMYFUNCTION("""COMPUTED_VALUE"""),"ITBISA-LDR-GL5516")</f>
        <v>ITBISA-LDR-GL5516</v>
      </c>
      <c r="B2603" s="165">
        <f>IFERROR(__xludf.DUMMYFUNCTION("""COMPUTED_VALUE"""),46041.0)</f>
        <v>46041</v>
      </c>
      <c r="C2603" s="165" t="str">
        <f>IFERROR(__xludf.DUMMYFUNCTION("""COMPUTED_VALUE"""),"KERTASARI CIAMIS")</f>
        <v>KERTASARI CIAMIS</v>
      </c>
      <c r="D2603" s="94">
        <f>IFERROR(__xludf.DUMMYFUNCTION("""COMPUTED_VALUE"""),5.0)</f>
        <v>5</v>
      </c>
    </row>
    <row r="2604">
      <c r="A2604" s="87" t="str">
        <f>IFERROR(__xludf.DUMMYFUNCTION("""COMPUTED_VALUE"""),"ITBISA-LDR-GL5516")</f>
        <v>ITBISA-LDR-GL5516</v>
      </c>
      <c r="B2604" s="165">
        <f>IFERROR(__xludf.DUMMYFUNCTION("""COMPUTED_VALUE"""),46041.0)</f>
        <v>46041</v>
      </c>
      <c r="C2604" s="165" t="str">
        <f>IFERROR(__xludf.DUMMYFUNCTION("""COMPUTED_VALUE"""),"KYAI KONTONG")</f>
        <v>KYAI KONTONG</v>
      </c>
      <c r="D2604" s="94">
        <f>IFERROR(__xludf.DUMMYFUNCTION("""COMPUTED_VALUE"""),15.0)</f>
        <v>15</v>
      </c>
    </row>
    <row r="2605">
      <c r="A2605" s="87" t="str">
        <f>IFERROR(__xludf.DUMMYFUNCTION("""COMPUTED_VALUE"""),"ITBISA-LDR-GL5516")</f>
        <v>ITBISA-LDR-GL5516</v>
      </c>
      <c r="B2605" s="165">
        <f>IFERROR(__xludf.DUMMYFUNCTION("""COMPUTED_VALUE"""),46043.0)</f>
        <v>46043</v>
      </c>
      <c r="C2605" s="165" t="str">
        <f>IFERROR(__xludf.DUMMYFUNCTION("""COMPUTED_VALUE"""),"KERTASARI CIAMIS")</f>
        <v>KERTASARI CIAMIS</v>
      </c>
      <c r="D2605" s="94">
        <f>IFERROR(__xludf.DUMMYFUNCTION("""COMPUTED_VALUE"""),5.0)</f>
        <v>5</v>
      </c>
    </row>
    <row r="2606">
      <c r="A2606" s="87" t="str">
        <f>IFERROR(__xludf.DUMMYFUNCTION("""COMPUTED_VALUE"""),"ITBISA-LDR-GL5516")</f>
        <v>ITBISA-LDR-GL5516</v>
      </c>
      <c r="B2606" s="165">
        <f>IFERROR(__xludf.DUMMYFUNCTION("""COMPUTED_VALUE"""),46044.0)</f>
        <v>46044</v>
      </c>
      <c r="C2606" s="165" t="str">
        <f>IFERROR(__xludf.DUMMYFUNCTION("""COMPUTED_VALUE"""),"KYAI KONTONG")</f>
        <v>KYAI KONTONG</v>
      </c>
      <c r="D2606" s="94">
        <f>IFERROR(__xludf.DUMMYFUNCTION("""COMPUTED_VALUE"""),20.0)</f>
        <v>20</v>
      </c>
    </row>
    <row r="2607">
      <c r="A2607" s="87" t="str">
        <f>IFERROR(__xludf.DUMMYFUNCTION("""COMPUTED_VALUE"""),"ITBISA-LDR-GL5516")</f>
        <v>ITBISA-LDR-GL5516</v>
      </c>
      <c r="B2607" s="165">
        <f>IFERROR(__xludf.DUMMYFUNCTION("""COMPUTED_VALUE"""),46044.0)</f>
        <v>46044</v>
      </c>
      <c r="C2607" s="165" t="str">
        <f>IFERROR(__xludf.DUMMYFUNCTION("""COMPUTED_VALUE"""),"KYAI KONTONG")</f>
        <v>KYAI KONTONG</v>
      </c>
      <c r="D2607" s="94">
        <f>IFERROR(__xludf.DUMMYFUNCTION("""COMPUTED_VALUE"""),20.0)</f>
        <v>20</v>
      </c>
    </row>
    <row r="2608">
      <c r="A2608" s="87" t="str">
        <f>IFERROR(__xludf.DUMMYFUNCTION("""COMPUTED_VALUE"""),"ITBISA-LDR-GL5516")</f>
        <v>ITBISA-LDR-GL5516</v>
      </c>
      <c r="B2608" s="165">
        <f>IFERROR(__xludf.DUMMYFUNCTION("""COMPUTED_VALUE"""),46045.0)</f>
        <v>46045</v>
      </c>
      <c r="C2608" s="165" t="str">
        <f>IFERROR(__xludf.DUMMYFUNCTION("""COMPUTED_VALUE"""),"KYAI KONTONG")</f>
        <v>KYAI KONTONG</v>
      </c>
      <c r="D2608" s="94">
        <f>IFERROR(__xludf.DUMMYFUNCTION("""COMPUTED_VALUE"""),10.0)</f>
        <v>10</v>
      </c>
    </row>
    <row r="2609">
      <c r="A2609" s="87" t="str">
        <f>IFERROR(__xludf.DUMMYFUNCTION("""COMPUTED_VALUE"""),"ITBISA-LDR-GL5516")</f>
        <v>ITBISA-LDR-GL5516</v>
      </c>
      <c r="B2609" s="165">
        <f>IFERROR(__xludf.DUMMYFUNCTION("""COMPUTED_VALUE"""),46051.0)</f>
        <v>46051</v>
      </c>
      <c r="C2609" s="165" t="str">
        <f>IFERROR(__xludf.DUMMYFUNCTION("""COMPUTED_VALUE"""),"KYAI KONTONG")</f>
        <v>KYAI KONTONG</v>
      </c>
      <c r="D2609" s="94">
        <f>IFERROR(__xludf.DUMMYFUNCTION("""COMPUTED_VALUE"""),10.0)</f>
        <v>10</v>
      </c>
    </row>
    <row r="2610">
      <c r="A2610" s="87" t="str">
        <f>IFERROR(__xludf.DUMMYFUNCTION("""COMPUTED_VALUE"""),"ITBISA-LDR-GL5516")</f>
        <v>ITBISA-LDR-GL5516</v>
      </c>
      <c r="B2610" s="165">
        <f>IFERROR(__xludf.DUMMYFUNCTION("""COMPUTED_VALUE"""),46053.0)</f>
        <v>46053</v>
      </c>
      <c r="C2610" s="165" t="str">
        <f>IFERROR(__xludf.DUMMYFUNCTION("""COMPUTED_VALUE"""),"KERTASARI CIAMIS")</f>
        <v>KERTASARI CIAMIS</v>
      </c>
      <c r="D2610" s="94">
        <f>IFERROR(__xludf.DUMMYFUNCTION("""COMPUTED_VALUE"""),10.0)</f>
        <v>10</v>
      </c>
    </row>
    <row r="2611">
      <c r="A2611" s="87" t="str">
        <f>IFERROR(__xludf.DUMMYFUNCTION("""COMPUTED_VALUE"""),"ITBISA-LDR-GL5516")</f>
        <v>ITBISA-LDR-GL5516</v>
      </c>
      <c r="B2611" s="165">
        <f>IFERROR(__xludf.DUMMYFUNCTION("""COMPUTED_VALUE"""),46054.0)</f>
        <v>46054</v>
      </c>
      <c r="C2611" s="165" t="str">
        <f>IFERROR(__xludf.DUMMYFUNCTION("""COMPUTED_VALUE"""),"KERTASARI CIAMIS")</f>
        <v>KERTASARI CIAMIS</v>
      </c>
      <c r="D2611" s="94">
        <f>IFERROR(__xludf.DUMMYFUNCTION("""COMPUTED_VALUE"""),10.0)</f>
        <v>10</v>
      </c>
    </row>
    <row r="2612">
      <c r="A2612" s="87" t="str">
        <f>IFERROR(__xludf.DUMMYFUNCTION("""COMPUTED_VALUE"""),"ITBISA-LDR-GL5516")</f>
        <v>ITBISA-LDR-GL5516</v>
      </c>
      <c r="B2612" s="165">
        <f>IFERROR(__xludf.DUMMYFUNCTION("""COMPUTED_VALUE"""),46080.0)</f>
        <v>46080</v>
      </c>
      <c r="C2612" s="165" t="str">
        <f>IFERROR(__xludf.DUMMYFUNCTION("""COMPUTED_VALUE"""),"KYAI KONTONG")</f>
        <v>KYAI KONTONG</v>
      </c>
      <c r="D2612" s="94">
        <f>IFERROR(__xludf.DUMMYFUNCTION("""COMPUTED_VALUE"""),10.0)</f>
        <v>10</v>
      </c>
    </row>
    <row r="2613">
      <c r="A2613" s="87" t="str">
        <f>IFERROR(__xludf.DUMMYFUNCTION("""COMPUTED_VALUE"""),"ITBISA-LDR-GL5516")</f>
        <v>ITBISA-LDR-GL5516</v>
      </c>
      <c r="B2613" s="165">
        <f>IFERROR(__xludf.DUMMYFUNCTION("""COMPUTED_VALUE"""),46090.0)</f>
        <v>46090</v>
      </c>
      <c r="C2613" s="165" t="str">
        <f>IFERROR(__xludf.DUMMYFUNCTION("""COMPUTED_VALUE"""),"KYAI KONTONG")</f>
        <v>KYAI KONTONG</v>
      </c>
      <c r="D2613" s="94">
        <f>IFERROR(__xludf.DUMMYFUNCTION("""COMPUTED_VALUE"""),10.0)</f>
        <v>10</v>
      </c>
    </row>
    <row r="2614">
      <c r="A2614" s="87" t="str">
        <f>IFERROR(__xludf.DUMMYFUNCTION("""COMPUTED_VALUE"""),"ITBISA-LDR-GL5516")</f>
        <v>ITBISA-LDR-GL5516</v>
      </c>
      <c r="B2614" s="165">
        <f>IFERROR(__xludf.DUMMYFUNCTION("""COMPUTED_VALUE"""),46116.0)</f>
        <v>46116</v>
      </c>
      <c r="C2614" s="165" t="str">
        <f>IFERROR(__xludf.DUMMYFUNCTION("""COMPUTED_VALUE"""),"KYAI KONTONG")</f>
        <v>KYAI KONTONG</v>
      </c>
      <c r="D2614" s="94">
        <f>IFERROR(__xludf.DUMMYFUNCTION("""COMPUTED_VALUE"""),1.0)</f>
        <v>1</v>
      </c>
    </row>
    <row r="2615">
      <c r="A2615" s="87" t="str">
        <f>IFERROR(__xludf.DUMMYFUNCTION("""COMPUTED_VALUE"""),"ITBISA-LDR-GL5516")</f>
        <v>ITBISA-LDR-GL5516</v>
      </c>
      <c r="B2615" s="165">
        <f>IFERROR(__xludf.DUMMYFUNCTION("""COMPUTED_VALUE"""),46144.0)</f>
        <v>46144</v>
      </c>
      <c r="C2615" s="165" t="str">
        <f>IFERROR(__xludf.DUMMYFUNCTION("""COMPUTED_VALUE"""),"KYAI KONTONG")</f>
        <v>KYAI KONTONG</v>
      </c>
      <c r="D2615" s="94">
        <f>IFERROR(__xludf.DUMMYFUNCTION("""COMPUTED_VALUE"""),10.0)</f>
        <v>10</v>
      </c>
    </row>
    <row r="2616">
      <c r="A2616" s="87" t="str">
        <f>IFERROR(__xludf.DUMMYFUNCTION("""COMPUTED_VALUE"""),"ITBISA-LDR-GL5516")</f>
        <v>ITBISA-LDR-GL5516</v>
      </c>
      <c r="B2616" s="165">
        <f>IFERROR(__xludf.DUMMYFUNCTION("""COMPUTED_VALUE"""),46147.0)</f>
        <v>46147</v>
      </c>
      <c r="C2616" s="165" t="str">
        <f>IFERROR(__xludf.DUMMYFUNCTION("""COMPUTED_VALUE"""),"KYAI KONTONG")</f>
        <v>KYAI KONTONG</v>
      </c>
      <c r="D2616" s="94">
        <f>IFERROR(__xludf.DUMMYFUNCTION("""COMPUTED_VALUE"""),30.0)</f>
        <v>30</v>
      </c>
    </row>
    <row r="2617">
      <c r="A2617" s="87" t="str">
        <f>IFERROR(__xludf.DUMMYFUNCTION("""COMPUTED_VALUE"""),"ITBISA-LDR-GL5516")</f>
        <v>ITBISA-LDR-GL5516</v>
      </c>
      <c r="B2617" s="165">
        <f>IFERROR(__xludf.DUMMYFUNCTION("""COMPUTED_VALUE"""),46149.0)</f>
        <v>46149</v>
      </c>
      <c r="C2617" s="165" t="str">
        <f>IFERROR(__xludf.DUMMYFUNCTION("""COMPUTED_VALUE"""),"KYAI KONTONG")</f>
        <v>KYAI KONTONG</v>
      </c>
      <c r="D2617" s="94">
        <f>IFERROR(__xludf.DUMMYFUNCTION("""COMPUTED_VALUE"""),10.0)</f>
        <v>10</v>
      </c>
    </row>
    <row r="2618">
      <c r="A2618" s="87" t="str">
        <f>IFERROR(__xludf.DUMMYFUNCTION("""COMPUTED_VALUE"""),"ITBISA-LDR-GL5516")</f>
        <v>ITBISA-LDR-GL5516</v>
      </c>
      <c r="B2618" s="165">
        <f>IFERROR(__xludf.DUMMYFUNCTION("""COMPUTED_VALUE"""),46156.0)</f>
        <v>46156</v>
      </c>
      <c r="C2618" s="165" t="str">
        <f>IFERROR(__xludf.DUMMYFUNCTION("""COMPUTED_VALUE"""),"KYAI KONTONG")</f>
        <v>KYAI KONTONG</v>
      </c>
      <c r="D2618" s="94">
        <f>IFERROR(__xludf.DUMMYFUNCTION("""COMPUTED_VALUE"""),3.0)</f>
        <v>3</v>
      </c>
    </row>
    <row r="2619">
      <c r="A2619" s="87" t="str">
        <f>IFERROR(__xludf.DUMMYFUNCTION("""COMPUTED_VALUE"""),"ITBISA-LDR-GL5516")</f>
        <v>ITBISA-LDR-GL5516</v>
      </c>
      <c r="B2619" s="165">
        <f>IFERROR(__xludf.DUMMYFUNCTION("""COMPUTED_VALUE"""),46156.0)</f>
        <v>46156</v>
      </c>
      <c r="C2619" s="165" t="str">
        <f>IFERROR(__xludf.DUMMYFUNCTION("""COMPUTED_VALUE"""),"KYAI KONTONG")</f>
        <v>KYAI KONTONG</v>
      </c>
      <c r="D2619" s="94">
        <f>IFERROR(__xludf.DUMMYFUNCTION("""COMPUTED_VALUE"""),10.0)</f>
        <v>10</v>
      </c>
    </row>
    <row r="2620">
      <c r="A2620" s="87" t="str">
        <f>IFERROR(__xludf.DUMMYFUNCTION("""COMPUTED_VALUE"""),"ITBISA-LDR-GL5516")</f>
        <v>ITBISA-LDR-GL5516</v>
      </c>
      <c r="B2620" s="165">
        <f>IFERROR(__xludf.DUMMYFUNCTION("""COMPUTED_VALUE"""),46156.0)</f>
        <v>46156</v>
      </c>
      <c r="C2620" s="165" t="str">
        <f>IFERROR(__xludf.DUMMYFUNCTION("""COMPUTED_VALUE"""),"KYAI KONTONG")</f>
        <v>KYAI KONTONG</v>
      </c>
      <c r="D2620" s="94">
        <f>IFERROR(__xludf.DUMMYFUNCTION("""COMPUTED_VALUE"""),20.0)</f>
        <v>20</v>
      </c>
    </row>
    <row r="2621">
      <c r="A2621" s="87" t="str">
        <f>IFERROR(__xludf.DUMMYFUNCTION("""COMPUTED_VALUE"""),"ITBISA-LDR-GL5516")</f>
        <v>ITBISA-LDR-GL5516</v>
      </c>
      <c r="B2621" s="165">
        <f>IFERROR(__xludf.DUMMYFUNCTION("""COMPUTED_VALUE"""),46162.0)</f>
        <v>46162</v>
      </c>
      <c r="C2621" s="165" t="str">
        <f>IFERROR(__xludf.DUMMYFUNCTION("""COMPUTED_VALUE"""),"KYAI KONTONG")</f>
        <v>KYAI KONTONG</v>
      </c>
      <c r="D2621" s="94">
        <f>IFERROR(__xludf.DUMMYFUNCTION("""COMPUTED_VALUE"""),10.0)</f>
        <v>10</v>
      </c>
    </row>
    <row r="2622">
      <c r="A2622" s="87" t="str">
        <f>IFERROR(__xludf.DUMMYFUNCTION("""COMPUTED_VALUE"""),"ITBISA-LDR-GL5516")</f>
        <v>ITBISA-LDR-GL5516</v>
      </c>
      <c r="B2622" s="165">
        <f>IFERROR(__xludf.DUMMYFUNCTION("""COMPUTED_VALUE"""),46162.0)</f>
        <v>46162</v>
      </c>
      <c r="C2622" s="165" t="str">
        <f>IFERROR(__xludf.DUMMYFUNCTION("""COMPUTED_VALUE"""),"KYAI KONTONG")</f>
        <v>KYAI KONTONG</v>
      </c>
      <c r="D2622" s="94">
        <f>IFERROR(__xludf.DUMMYFUNCTION("""COMPUTED_VALUE"""),10.0)</f>
        <v>10</v>
      </c>
    </row>
    <row r="2623">
      <c r="A2623" s="87" t="str">
        <f>IFERROR(__xludf.DUMMYFUNCTION("""COMPUTED_VALUE"""),"ITBISA-LDR-GL5516")</f>
        <v>ITBISA-LDR-GL5516</v>
      </c>
      <c r="B2623" s="165">
        <f>IFERROR(__xludf.DUMMYFUNCTION("""COMPUTED_VALUE"""),46162.0)</f>
        <v>46162</v>
      </c>
      <c r="C2623" s="165" t="str">
        <f>IFERROR(__xludf.DUMMYFUNCTION("""COMPUTED_VALUE"""),"KYAI KONTONG")</f>
        <v>KYAI KONTONG</v>
      </c>
      <c r="D2623" s="94">
        <f>IFERROR(__xludf.DUMMYFUNCTION("""COMPUTED_VALUE"""),15.0)</f>
        <v>15</v>
      </c>
    </row>
    <row r="2624">
      <c r="A2624" s="87" t="str">
        <f>IFERROR(__xludf.DUMMYFUNCTION("""COMPUTED_VALUE"""),"ITBISA-LDR-GL5516")</f>
        <v>ITBISA-LDR-GL5516</v>
      </c>
      <c r="B2624" s="165">
        <f>IFERROR(__xludf.DUMMYFUNCTION("""COMPUTED_VALUE"""),46166.0)</f>
        <v>46166</v>
      </c>
      <c r="C2624" s="165" t="str">
        <f>IFERROR(__xludf.DUMMYFUNCTION("""COMPUTED_VALUE"""),"KYAI KONTONG")</f>
        <v>KYAI KONTONG</v>
      </c>
      <c r="D2624" s="94">
        <f>IFERROR(__xludf.DUMMYFUNCTION("""COMPUTED_VALUE"""),44.0)</f>
        <v>44</v>
      </c>
    </row>
    <row r="2625">
      <c r="A2625" s="87" t="str">
        <f>IFERROR(__xludf.DUMMYFUNCTION("""COMPUTED_VALUE"""),"ITBISA-LDR-GL5516")</f>
        <v>ITBISA-LDR-GL5516</v>
      </c>
      <c r="B2625" s="165">
        <f>IFERROR(__xludf.DUMMYFUNCTION("""COMPUTED_VALUE"""),46168.0)</f>
        <v>46168</v>
      </c>
      <c r="C2625" s="165" t="str">
        <f>IFERROR(__xludf.DUMMYFUNCTION("""COMPUTED_VALUE"""),"KYAI KONTONG")</f>
        <v>KYAI KONTONG</v>
      </c>
      <c r="D2625" s="94">
        <f>IFERROR(__xludf.DUMMYFUNCTION("""COMPUTED_VALUE"""),20.0)</f>
        <v>20</v>
      </c>
    </row>
    <row r="2626">
      <c r="A2626" s="87" t="str">
        <f>IFERROR(__xludf.DUMMYFUNCTION("""COMPUTED_VALUE"""),"ITBISA-LDR-GL5516")</f>
        <v>ITBISA-LDR-GL5516</v>
      </c>
      <c r="B2626" s="165">
        <f>IFERROR(__xludf.DUMMYFUNCTION("""COMPUTED_VALUE"""),46169.0)</f>
        <v>46169</v>
      </c>
      <c r="C2626" s="165" t="str">
        <f>IFERROR(__xludf.DUMMYFUNCTION("""COMPUTED_VALUE"""),"KYAI KONTONG")</f>
        <v>KYAI KONTONG</v>
      </c>
      <c r="D2626" s="94">
        <f>IFERROR(__xludf.DUMMYFUNCTION("""COMPUTED_VALUE"""),6.0)</f>
        <v>6</v>
      </c>
    </row>
    <row r="2627">
      <c r="A2627" s="87" t="str">
        <f>IFERROR(__xludf.DUMMYFUNCTION("""COMPUTED_VALUE"""),"ITBISA-LDR-GL5516")</f>
        <v>ITBISA-LDR-GL5516</v>
      </c>
      <c r="B2627" s="165">
        <f>IFERROR(__xludf.DUMMYFUNCTION("""COMPUTED_VALUE"""),46169.0)</f>
        <v>46169</v>
      </c>
      <c r="C2627" s="165" t="str">
        <f>IFERROR(__xludf.DUMMYFUNCTION("""COMPUTED_VALUE"""),"KYAI KONTONG")</f>
        <v>KYAI KONTONG</v>
      </c>
      <c r="D2627" s="94">
        <f>IFERROR(__xludf.DUMMYFUNCTION("""COMPUTED_VALUE"""),10.0)</f>
        <v>10</v>
      </c>
    </row>
    <row r="2628">
      <c r="A2628" s="87" t="str">
        <f>IFERROR(__xludf.DUMMYFUNCTION("""COMPUTED_VALUE"""),"ITBISA-LDR-GL5516")</f>
        <v>ITBISA-LDR-GL5516</v>
      </c>
      <c r="B2628" s="165">
        <f>IFERROR(__xludf.DUMMYFUNCTION("""COMPUTED_VALUE"""),46171.0)</f>
        <v>46171</v>
      </c>
      <c r="C2628" s="165" t="str">
        <f>IFERROR(__xludf.DUMMYFUNCTION("""COMPUTED_VALUE"""),"KYAI KONTONG")</f>
        <v>KYAI KONTONG</v>
      </c>
      <c r="D2628" s="94">
        <f>IFERROR(__xludf.DUMMYFUNCTION("""COMPUTED_VALUE"""),10.0)</f>
        <v>10</v>
      </c>
    </row>
    <row r="2629">
      <c r="A2629" s="87" t="str">
        <f>IFERROR(__xludf.DUMMYFUNCTION("""COMPUTED_VALUE"""),"ITBISA-LDR-GL5516")</f>
        <v>ITBISA-LDR-GL5516</v>
      </c>
      <c r="B2629" s="165">
        <f>IFERROR(__xludf.DUMMYFUNCTION("""COMPUTED_VALUE"""),46178.0)</f>
        <v>46178</v>
      </c>
      <c r="C2629" s="165" t="str">
        <f>IFERROR(__xludf.DUMMYFUNCTION("""COMPUTED_VALUE"""),"KYAI KONTONG")</f>
        <v>KYAI KONTONG</v>
      </c>
      <c r="D2629" s="94">
        <f>IFERROR(__xludf.DUMMYFUNCTION("""COMPUTED_VALUE"""),1.0)</f>
        <v>1</v>
      </c>
    </row>
    <row r="2630">
      <c r="A2630" s="87" t="str">
        <f>IFERROR(__xludf.DUMMYFUNCTION("""COMPUTED_VALUE"""),"ITBISA-LDR-GL5516")</f>
        <v>ITBISA-LDR-GL5516</v>
      </c>
      <c r="B2630" s="165">
        <f>IFERROR(__xludf.DUMMYFUNCTION("""COMPUTED_VALUE"""),46192.0)</f>
        <v>46192</v>
      </c>
      <c r="C2630" s="165" t="str">
        <f>IFERROR(__xludf.DUMMYFUNCTION("""COMPUTED_VALUE"""),"KYAI KONTONG")</f>
        <v>KYAI KONTONG</v>
      </c>
      <c r="D2630" s="94">
        <f>IFERROR(__xludf.DUMMYFUNCTION("""COMPUTED_VALUE"""),1.0)</f>
        <v>1</v>
      </c>
    </row>
    <row r="2631">
      <c r="A2631" s="87" t="str">
        <f>IFERROR(__xludf.DUMMYFUNCTION("""COMPUTED_VALUE"""),"ITBISA-LED-MAX7219-4IN1-TIGHT")</f>
        <v>ITBISA-LED-MAX7219-4IN1-TIGHT</v>
      </c>
      <c r="B2631" s="165">
        <f>IFERROR(__xludf.DUMMYFUNCTION("""COMPUTED_VALUE"""),46026.0)</f>
        <v>46026</v>
      </c>
      <c r="C2631" s="165" t="str">
        <f>IFERROR(__xludf.DUMMYFUNCTION("""COMPUTED_VALUE"""),"KYAI KONTONG")</f>
        <v>KYAI KONTONG</v>
      </c>
      <c r="D2631" s="94">
        <f>IFERROR(__xludf.DUMMYFUNCTION("""COMPUTED_VALUE"""),2.0)</f>
        <v>2</v>
      </c>
    </row>
    <row r="2632">
      <c r="A2632" s="87" t="str">
        <f>IFERROR(__xludf.DUMMYFUNCTION("""COMPUTED_VALUE"""),"ITBISA-LED-MAX7219-4IN1-TIGHT")</f>
        <v>ITBISA-LED-MAX7219-4IN1-TIGHT</v>
      </c>
      <c r="B2632" s="165">
        <f>IFERROR(__xludf.DUMMYFUNCTION("""COMPUTED_VALUE"""),46047.0)</f>
        <v>46047</v>
      </c>
      <c r="C2632" s="165" t="str">
        <f>IFERROR(__xludf.DUMMYFUNCTION("""COMPUTED_VALUE"""),"KERTASARI CIAMIS")</f>
        <v>KERTASARI CIAMIS</v>
      </c>
      <c r="D2632" s="94">
        <f>IFERROR(__xludf.DUMMYFUNCTION("""COMPUTED_VALUE"""),1.0)</f>
        <v>1</v>
      </c>
    </row>
    <row r="2633">
      <c r="A2633" s="87" t="str">
        <f>IFERROR(__xludf.DUMMYFUNCTION("""COMPUTED_VALUE"""),"ITBISA-LED-MAX7219-4IN1-TIGHT")</f>
        <v>ITBISA-LED-MAX7219-4IN1-TIGHT</v>
      </c>
      <c r="B2633" s="165">
        <f>IFERROR(__xludf.DUMMYFUNCTION("""COMPUTED_VALUE"""),46052.0)</f>
        <v>46052</v>
      </c>
      <c r="C2633" s="165" t="str">
        <f>IFERROR(__xludf.DUMMYFUNCTION("""COMPUTED_VALUE"""),"KYAI KONTONG")</f>
        <v>KYAI KONTONG</v>
      </c>
      <c r="D2633" s="94">
        <f>IFERROR(__xludf.DUMMYFUNCTION("""COMPUTED_VALUE"""),1.0)</f>
        <v>1</v>
      </c>
    </row>
    <row r="2634">
      <c r="A2634" s="87" t="str">
        <f>IFERROR(__xludf.DUMMYFUNCTION("""COMPUTED_VALUE"""),"ITBISA-LED-MAX7219-4IN1-TIGHT")</f>
        <v>ITBISA-LED-MAX7219-4IN1-TIGHT</v>
      </c>
      <c r="B2634" s="165">
        <f>IFERROR(__xludf.DUMMYFUNCTION("""COMPUTED_VALUE"""),46103.0)</f>
        <v>46103</v>
      </c>
      <c r="C2634" s="165" t="str">
        <f>IFERROR(__xludf.DUMMYFUNCTION("""COMPUTED_VALUE"""),"KYAI KONTONG")</f>
        <v>KYAI KONTONG</v>
      </c>
      <c r="D2634" s="94">
        <f>IFERROR(__xludf.DUMMYFUNCTION("""COMPUTED_VALUE"""),1.0)</f>
        <v>1</v>
      </c>
    </row>
    <row r="2635">
      <c r="A2635" s="87" t="str">
        <f>IFERROR(__xludf.DUMMYFUNCTION("""COMPUTED_VALUE"""),"ITBISA-LED-MAX7219-4IN1-TIGHT")</f>
        <v>ITBISA-LED-MAX7219-4IN1-TIGHT</v>
      </c>
      <c r="B2635" s="165">
        <f>IFERROR(__xludf.DUMMYFUNCTION("""COMPUTED_VALUE"""),46129.0)</f>
        <v>46129</v>
      </c>
      <c r="C2635" s="165" t="str">
        <f>IFERROR(__xludf.DUMMYFUNCTION("""COMPUTED_VALUE"""),"KYAI KONTONG")</f>
        <v>KYAI KONTONG</v>
      </c>
      <c r="D2635" s="94">
        <f>IFERROR(__xludf.DUMMYFUNCTION("""COMPUTED_VALUE"""),2.0)</f>
        <v>2</v>
      </c>
    </row>
    <row r="2636">
      <c r="A2636" s="87" t="str">
        <f>IFERROR(__xludf.DUMMYFUNCTION("""COMPUTED_VALUE"""),"ITBISA-LED-MAX7219-4IN1-TIGHT")</f>
        <v>ITBISA-LED-MAX7219-4IN1-TIGHT</v>
      </c>
      <c r="B2636" s="165">
        <f>IFERROR(__xludf.DUMMYFUNCTION("""COMPUTED_VALUE"""),46145.0)</f>
        <v>46145</v>
      </c>
      <c r="C2636" s="165" t="str">
        <f>IFERROR(__xludf.DUMMYFUNCTION("""COMPUTED_VALUE"""),"KYAI KONTONG")</f>
        <v>KYAI KONTONG</v>
      </c>
      <c r="D2636" s="94">
        <f>IFERROR(__xludf.DUMMYFUNCTION("""COMPUTED_VALUE"""),2.0)</f>
        <v>2</v>
      </c>
    </row>
    <row r="2637">
      <c r="A2637" s="87" t="str">
        <f>IFERROR(__xludf.DUMMYFUNCTION("""COMPUTED_VALUE"""),"ITBISA-LED-MAX7219-4IN1-TIGHT")</f>
        <v>ITBISA-LED-MAX7219-4IN1-TIGHT</v>
      </c>
      <c r="B2637" s="165">
        <f>IFERROR(__xludf.DUMMYFUNCTION("""COMPUTED_VALUE"""),46156.0)</f>
        <v>46156</v>
      </c>
      <c r="C2637" s="165" t="str">
        <f>IFERROR(__xludf.DUMMYFUNCTION("""COMPUTED_VALUE"""),"KYAI KONTONG")</f>
        <v>KYAI KONTONG</v>
      </c>
      <c r="D2637" s="94">
        <f>IFERROR(__xludf.DUMMYFUNCTION("""COMPUTED_VALUE"""),1.0)</f>
        <v>1</v>
      </c>
    </row>
    <row r="2638">
      <c r="A2638" s="87" t="str">
        <f>IFERROR(__xludf.DUMMYFUNCTION("""COMPUTED_VALUE"""),"ITBISA-LED-MAX7219-4IN1-TIGHT")</f>
        <v>ITBISA-LED-MAX7219-4IN1-TIGHT</v>
      </c>
      <c r="B2638" s="165">
        <f>IFERROR(__xludf.DUMMYFUNCTION("""COMPUTED_VALUE"""),46167.0)</f>
        <v>46167</v>
      </c>
      <c r="C2638" s="165" t="str">
        <f>IFERROR(__xludf.DUMMYFUNCTION("""COMPUTED_VALUE"""),"KYAI KONTONG")</f>
        <v>KYAI KONTONG</v>
      </c>
      <c r="D2638" s="94">
        <f>IFERROR(__xludf.DUMMYFUNCTION("""COMPUTED_VALUE"""),1.0)</f>
        <v>1</v>
      </c>
    </row>
    <row r="2639">
      <c r="A2639" s="87" t="str">
        <f>IFERROR(__xludf.DUMMYFUNCTION("""COMPUTED_VALUE"""),"ITBISA-LED-MAX7219-4IN1-TIGHT")</f>
        <v>ITBISA-LED-MAX7219-4IN1-TIGHT</v>
      </c>
      <c r="B2639" s="165">
        <f>IFERROR(__xludf.DUMMYFUNCTION("""COMPUTED_VALUE"""),46174.0)</f>
        <v>46174</v>
      </c>
      <c r="C2639" s="165" t="str">
        <f>IFERROR(__xludf.DUMMYFUNCTION("""COMPUTED_VALUE"""),"KYAI KONTONG")</f>
        <v>KYAI KONTONG</v>
      </c>
      <c r="D2639" s="94">
        <f>IFERROR(__xludf.DUMMYFUNCTION("""COMPUTED_VALUE"""),1.0)</f>
        <v>1</v>
      </c>
    </row>
    <row r="2640">
      <c r="A2640" s="87" t="str">
        <f>IFERROR(__xludf.DUMMYFUNCTION("""COMPUTED_VALUE"""),"ITBISA-LED-MAX7219-4IN1-TIGHT")</f>
        <v>ITBISA-LED-MAX7219-4IN1-TIGHT</v>
      </c>
      <c r="B2640" s="165">
        <f>IFERROR(__xludf.DUMMYFUNCTION("""COMPUTED_VALUE"""),46192.0)</f>
        <v>46192</v>
      </c>
      <c r="C2640" s="165" t="str">
        <f>IFERROR(__xludf.DUMMYFUNCTION("""COMPUTED_VALUE"""),"KYAI KONTONG")</f>
        <v>KYAI KONTONG</v>
      </c>
      <c r="D2640" s="94">
        <f>IFERROR(__xludf.DUMMYFUNCTION("""COMPUTED_VALUE"""),1.0)</f>
        <v>1</v>
      </c>
    </row>
    <row r="2641">
      <c r="A2641" s="87" t="str">
        <f>IFERROR(__xludf.DUMMYFUNCTION("""COMPUTED_VALUE"""),"ITBISA-LED-MAX7219-4IN1-TIGHT")</f>
        <v>ITBISA-LED-MAX7219-4IN1-TIGHT</v>
      </c>
      <c r="B2641" s="165">
        <f>IFERROR(__xludf.DUMMYFUNCTION("""COMPUTED_VALUE"""),46196.0)</f>
        <v>46196</v>
      </c>
      <c r="C2641" s="165" t="str">
        <f>IFERROR(__xludf.DUMMYFUNCTION("""COMPUTED_VALUE"""),"KYAI KONTONG")</f>
        <v>KYAI KONTONG</v>
      </c>
      <c r="D2641" s="94">
        <f>IFERROR(__xludf.DUMMYFUNCTION("""COMPUTED_VALUE"""),1.0)</f>
        <v>1</v>
      </c>
    </row>
    <row r="2642">
      <c r="A2642" s="87" t="str">
        <f>IFERROR(__xludf.DUMMYFUNCTION("""COMPUTED_VALUE"""),"ITBISA-LED-SUPERBRIGHT-5MM-BLUE")</f>
        <v>ITBISA-LED-SUPERBRIGHT-5MM-BLUE</v>
      </c>
      <c r="B2642" s="165">
        <f>IFERROR(__xludf.DUMMYFUNCTION("""COMPUTED_VALUE"""),46025.0)</f>
        <v>46025</v>
      </c>
      <c r="C2642" s="165" t="str">
        <f>IFERROR(__xludf.DUMMYFUNCTION("""COMPUTED_VALUE"""),"KYAI KONTONG")</f>
        <v>KYAI KONTONG</v>
      </c>
      <c r="D2642" s="94">
        <f>IFERROR(__xludf.DUMMYFUNCTION("""COMPUTED_VALUE"""),10.0)</f>
        <v>10</v>
      </c>
    </row>
    <row r="2643">
      <c r="A2643" s="87" t="str">
        <f>IFERROR(__xludf.DUMMYFUNCTION("""COMPUTED_VALUE"""),"ITBISA-LED-SUPERBRIGHT-5MM-BLUE")</f>
        <v>ITBISA-LED-SUPERBRIGHT-5MM-BLUE</v>
      </c>
      <c r="B2643" s="165">
        <f>IFERROR(__xludf.DUMMYFUNCTION("""COMPUTED_VALUE"""),46025.0)</f>
        <v>46025</v>
      </c>
      <c r="C2643" s="165" t="str">
        <f>IFERROR(__xludf.DUMMYFUNCTION("""COMPUTED_VALUE"""),"KYAI KONTONG")</f>
        <v>KYAI KONTONG</v>
      </c>
      <c r="D2643" s="94">
        <f>IFERROR(__xludf.DUMMYFUNCTION("""COMPUTED_VALUE"""),10.0)</f>
        <v>10</v>
      </c>
    </row>
    <row r="2644">
      <c r="A2644" s="87" t="str">
        <f>IFERROR(__xludf.DUMMYFUNCTION("""COMPUTED_VALUE"""),"ITBISA-LED-SUPERBRIGHT-5MM-BLUE")</f>
        <v>ITBISA-LED-SUPERBRIGHT-5MM-BLUE</v>
      </c>
      <c r="B2644" s="165">
        <f>IFERROR(__xludf.DUMMYFUNCTION("""COMPUTED_VALUE"""),46026.0)</f>
        <v>46026</v>
      </c>
      <c r="C2644" s="165" t="str">
        <f>IFERROR(__xludf.DUMMYFUNCTION("""COMPUTED_VALUE"""),"KYAI KONTONG")</f>
        <v>KYAI KONTONG</v>
      </c>
      <c r="D2644" s="94">
        <f>IFERROR(__xludf.DUMMYFUNCTION("""COMPUTED_VALUE"""),25.0)</f>
        <v>25</v>
      </c>
    </row>
    <row r="2645">
      <c r="A2645" s="87" t="str">
        <f>IFERROR(__xludf.DUMMYFUNCTION("""COMPUTED_VALUE"""),"ITBISA-LED-SUPERBRIGHT-5MM-BLUE")</f>
        <v>ITBISA-LED-SUPERBRIGHT-5MM-BLUE</v>
      </c>
      <c r="B2645" s="165">
        <f>IFERROR(__xludf.DUMMYFUNCTION("""COMPUTED_VALUE"""),46027.0)</f>
        <v>46027</v>
      </c>
      <c r="C2645" s="165" t="str">
        <f>IFERROR(__xludf.DUMMYFUNCTION("""COMPUTED_VALUE"""),"KYAI KONTONG")</f>
        <v>KYAI KONTONG</v>
      </c>
      <c r="D2645" s="94">
        <f>IFERROR(__xludf.DUMMYFUNCTION("""COMPUTED_VALUE"""),10.0)</f>
        <v>10</v>
      </c>
    </row>
    <row r="2646">
      <c r="A2646" s="87" t="str">
        <f>IFERROR(__xludf.DUMMYFUNCTION("""COMPUTED_VALUE"""),"ITBISA-LED-SUPERBRIGHT-5MM-BLUE")</f>
        <v>ITBISA-LED-SUPERBRIGHT-5MM-BLUE</v>
      </c>
      <c r="B2646" s="165">
        <f>IFERROR(__xludf.DUMMYFUNCTION("""COMPUTED_VALUE"""),46029.0)</f>
        <v>46029</v>
      </c>
      <c r="C2646" s="165" t="str">
        <f>IFERROR(__xludf.DUMMYFUNCTION("""COMPUTED_VALUE"""),"KYAI KONTONG")</f>
        <v>KYAI KONTONG</v>
      </c>
      <c r="D2646" s="94">
        <f>IFERROR(__xludf.DUMMYFUNCTION("""COMPUTED_VALUE"""),4.0)</f>
        <v>4</v>
      </c>
    </row>
    <row r="2647">
      <c r="A2647" s="87" t="str">
        <f>IFERROR(__xludf.DUMMYFUNCTION("""COMPUTED_VALUE"""),"ITBISA-LED-SUPERBRIGHT-5MM-BLUE")</f>
        <v>ITBISA-LED-SUPERBRIGHT-5MM-BLUE</v>
      </c>
      <c r="B2647" s="165">
        <f>IFERROR(__xludf.DUMMYFUNCTION("""COMPUTED_VALUE"""),46029.0)</f>
        <v>46029</v>
      </c>
      <c r="C2647" s="165" t="str">
        <f>IFERROR(__xludf.DUMMYFUNCTION("""COMPUTED_VALUE"""),"KYAI KONTONG")</f>
        <v>KYAI KONTONG</v>
      </c>
      <c r="D2647" s="94">
        <f>IFERROR(__xludf.DUMMYFUNCTION("""COMPUTED_VALUE"""),5.0)</f>
        <v>5</v>
      </c>
    </row>
    <row r="2648">
      <c r="A2648" s="87" t="str">
        <f>IFERROR(__xludf.DUMMYFUNCTION("""COMPUTED_VALUE"""),"ITBISA-LED-SUPERBRIGHT-5MM-BLUE")</f>
        <v>ITBISA-LED-SUPERBRIGHT-5MM-BLUE</v>
      </c>
      <c r="B2648" s="165">
        <f>IFERROR(__xludf.DUMMYFUNCTION("""COMPUTED_VALUE"""),46030.0)</f>
        <v>46030</v>
      </c>
      <c r="C2648" s="165" t="str">
        <f>IFERROR(__xludf.DUMMYFUNCTION("""COMPUTED_VALUE"""),"KYAI KONTONG")</f>
        <v>KYAI KONTONG</v>
      </c>
      <c r="D2648" s="94">
        <f>IFERROR(__xludf.DUMMYFUNCTION("""COMPUTED_VALUE"""),2.0)</f>
        <v>2</v>
      </c>
    </row>
    <row r="2649">
      <c r="A2649" s="87" t="str">
        <f>IFERROR(__xludf.DUMMYFUNCTION("""COMPUTED_VALUE"""),"ITBISA-LED-SUPERBRIGHT-5MM-BLUE")</f>
        <v>ITBISA-LED-SUPERBRIGHT-5MM-BLUE</v>
      </c>
      <c r="B2649" s="165">
        <f>IFERROR(__xludf.DUMMYFUNCTION("""COMPUTED_VALUE"""),46032.0)</f>
        <v>46032</v>
      </c>
      <c r="C2649" s="165" t="str">
        <f>IFERROR(__xludf.DUMMYFUNCTION("""COMPUTED_VALUE"""),"KYAI KONTONG")</f>
        <v>KYAI KONTONG</v>
      </c>
      <c r="D2649" s="94">
        <f>IFERROR(__xludf.DUMMYFUNCTION("""COMPUTED_VALUE"""),10.0)</f>
        <v>10</v>
      </c>
    </row>
    <row r="2650">
      <c r="A2650" s="87" t="str">
        <f>IFERROR(__xludf.DUMMYFUNCTION("""COMPUTED_VALUE"""),"ITBISA-LED-SUPERBRIGHT-5MM-BLUE")</f>
        <v>ITBISA-LED-SUPERBRIGHT-5MM-BLUE</v>
      </c>
      <c r="B2650" s="165">
        <f>IFERROR(__xludf.DUMMYFUNCTION("""COMPUTED_VALUE"""),46033.0)</f>
        <v>46033</v>
      </c>
      <c r="C2650" s="165" t="str">
        <f>IFERROR(__xludf.DUMMYFUNCTION("""COMPUTED_VALUE"""),"KYAI KONTONG")</f>
        <v>KYAI KONTONG</v>
      </c>
      <c r="D2650" s="94">
        <f>IFERROR(__xludf.DUMMYFUNCTION("""COMPUTED_VALUE"""),25.0)</f>
        <v>25</v>
      </c>
    </row>
    <row r="2651">
      <c r="A2651" s="87" t="str">
        <f>IFERROR(__xludf.DUMMYFUNCTION("""COMPUTED_VALUE"""),"ITBISA-LED-SUPERBRIGHT-5MM-BLUE")</f>
        <v>ITBISA-LED-SUPERBRIGHT-5MM-BLUE</v>
      </c>
      <c r="B2651" s="165">
        <f>IFERROR(__xludf.DUMMYFUNCTION("""COMPUTED_VALUE"""),46035.0)</f>
        <v>46035</v>
      </c>
      <c r="C2651" s="165" t="str">
        <f>IFERROR(__xludf.DUMMYFUNCTION("""COMPUTED_VALUE"""),"KERTASARI CIAMIS")</f>
        <v>KERTASARI CIAMIS</v>
      </c>
      <c r="D2651" s="94">
        <f>IFERROR(__xludf.DUMMYFUNCTION("""COMPUTED_VALUE"""),10.0)</f>
        <v>10</v>
      </c>
    </row>
    <row r="2652">
      <c r="A2652" s="87" t="str">
        <f>IFERROR(__xludf.DUMMYFUNCTION("""COMPUTED_VALUE"""),"ITBISA-LED-SUPERBRIGHT-5MM-BLUE")</f>
        <v>ITBISA-LED-SUPERBRIGHT-5MM-BLUE</v>
      </c>
      <c r="B2652" s="165">
        <f>IFERROR(__xludf.DUMMYFUNCTION("""COMPUTED_VALUE"""),46035.0)</f>
        <v>46035</v>
      </c>
      <c r="C2652" s="165" t="str">
        <f>IFERROR(__xludf.DUMMYFUNCTION("""COMPUTED_VALUE"""),"KYAI KONTONG")</f>
        <v>KYAI KONTONG</v>
      </c>
      <c r="D2652" s="94">
        <f>IFERROR(__xludf.DUMMYFUNCTION("""COMPUTED_VALUE"""),2.0)</f>
        <v>2</v>
      </c>
    </row>
    <row r="2653">
      <c r="A2653" s="87" t="str">
        <f>IFERROR(__xludf.DUMMYFUNCTION("""COMPUTED_VALUE"""),"ITBISA-LED-SUPERBRIGHT-5MM-BLUE")</f>
        <v>ITBISA-LED-SUPERBRIGHT-5MM-BLUE</v>
      </c>
      <c r="B2653" s="165">
        <f>IFERROR(__xludf.DUMMYFUNCTION("""COMPUTED_VALUE"""),46037.0)</f>
        <v>46037</v>
      </c>
      <c r="C2653" s="165" t="str">
        <f>IFERROR(__xludf.DUMMYFUNCTION("""COMPUTED_VALUE"""),"KYAI KONTONG")</f>
        <v>KYAI KONTONG</v>
      </c>
      <c r="D2653" s="94">
        <f>IFERROR(__xludf.DUMMYFUNCTION("""COMPUTED_VALUE"""),6.0)</f>
        <v>6</v>
      </c>
    </row>
    <row r="2654">
      <c r="A2654" s="87" t="str">
        <f>IFERROR(__xludf.DUMMYFUNCTION("""COMPUTED_VALUE"""),"ITBISA-LED-SUPERBRIGHT-5MM-BLUE")</f>
        <v>ITBISA-LED-SUPERBRIGHT-5MM-BLUE</v>
      </c>
      <c r="B2654" s="165">
        <f>IFERROR(__xludf.DUMMYFUNCTION("""COMPUTED_VALUE"""),46037.0)</f>
        <v>46037</v>
      </c>
      <c r="C2654" s="165" t="str">
        <f>IFERROR(__xludf.DUMMYFUNCTION("""COMPUTED_VALUE"""),"KYAI KONTONG")</f>
        <v>KYAI KONTONG</v>
      </c>
      <c r="D2654" s="94">
        <f>IFERROR(__xludf.DUMMYFUNCTION("""COMPUTED_VALUE"""),10.0)</f>
        <v>10</v>
      </c>
    </row>
    <row r="2655">
      <c r="A2655" s="87" t="str">
        <f>IFERROR(__xludf.DUMMYFUNCTION("""COMPUTED_VALUE"""),"ITBISA-LED-SUPERBRIGHT-5MM-BLUE")</f>
        <v>ITBISA-LED-SUPERBRIGHT-5MM-BLUE</v>
      </c>
      <c r="B2655" s="165">
        <f>IFERROR(__xludf.DUMMYFUNCTION("""COMPUTED_VALUE"""),46039.0)</f>
        <v>46039</v>
      </c>
      <c r="C2655" s="165" t="str">
        <f>IFERROR(__xludf.DUMMYFUNCTION("""COMPUTED_VALUE"""),"KERTASARI CIAMIS")</f>
        <v>KERTASARI CIAMIS</v>
      </c>
      <c r="D2655" s="94">
        <f>IFERROR(__xludf.DUMMYFUNCTION("""COMPUTED_VALUE"""),10.0)</f>
        <v>10</v>
      </c>
    </row>
    <row r="2656">
      <c r="A2656" s="87" t="str">
        <f>IFERROR(__xludf.DUMMYFUNCTION("""COMPUTED_VALUE"""),"ITBISA-LED-SUPERBRIGHT-5MM-BLUE")</f>
        <v>ITBISA-LED-SUPERBRIGHT-5MM-BLUE</v>
      </c>
      <c r="B2656" s="165">
        <f>IFERROR(__xludf.DUMMYFUNCTION("""COMPUTED_VALUE"""),46040.0)</f>
        <v>46040</v>
      </c>
      <c r="C2656" s="165" t="str">
        <f>IFERROR(__xludf.DUMMYFUNCTION("""COMPUTED_VALUE"""),"KYAI KONTONG")</f>
        <v>KYAI KONTONG</v>
      </c>
      <c r="D2656" s="94">
        <f>IFERROR(__xludf.DUMMYFUNCTION("""COMPUTED_VALUE"""),10.0)</f>
        <v>10</v>
      </c>
    </row>
    <row r="2657">
      <c r="A2657" s="87" t="str">
        <f>IFERROR(__xludf.DUMMYFUNCTION("""COMPUTED_VALUE"""),"ITBISA-LED-SUPERBRIGHT-5MM-BLUE")</f>
        <v>ITBISA-LED-SUPERBRIGHT-5MM-BLUE</v>
      </c>
      <c r="B2657" s="165">
        <f>IFERROR(__xludf.DUMMYFUNCTION("""COMPUTED_VALUE"""),46042.0)</f>
        <v>46042</v>
      </c>
      <c r="C2657" s="165" t="str">
        <f>IFERROR(__xludf.DUMMYFUNCTION("""COMPUTED_VALUE"""),"KYAI KONTONG")</f>
        <v>KYAI KONTONG</v>
      </c>
      <c r="D2657" s="94">
        <f>IFERROR(__xludf.DUMMYFUNCTION("""COMPUTED_VALUE"""),10.0)</f>
        <v>10</v>
      </c>
    </row>
    <row r="2658">
      <c r="A2658" s="87" t="str">
        <f>IFERROR(__xludf.DUMMYFUNCTION("""COMPUTED_VALUE"""),"ITBISA-LED-SUPERBRIGHT-5MM-BLUE")</f>
        <v>ITBISA-LED-SUPERBRIGHT-5MM-BLUE</v>
      </c>
      <c r="B2658" s="165">
        <f>IFERROR(__xludf.DUMMYFUNCTION("""COMPUTED_VALUE"""),46043.0)</f>
        <v>46043</v>
      </c>
      <c r="C2658" s="165" t="str">
        <f>IFERROR(__xludf.DUMMYFUNCTION("""COMPUTED_VALUE"""),"KERTASARI CIAMIS")</f>
        <v>KERTASARI CIAMIS</v>
      </c>
      <c r="D2658" s="94">
        <f>IFERROR(__xludf.DUMMYFUNCTION("""COMPUTED_VALUE"""),10.0)</f>
        <v>10</v>
      </c>
    </row>
    <row r="2659">
      <c r="A2659" s="87" t="str">
        <f>IFERROR(__xludf.DUMMYFUNCTION("""COMPUTED_VALUE"""),"ITBISA-LED-SUPERBRIGHT-5MM-BLUE")</f>
        <v>ITBISA-LED-SUPERBRIGHT-5MM-BLUE</v>
      </c>
      <c r="B2659" s="165">
        <f>IFERROR(__xludf.DUMMYFUNCTION("""COMPUTED_VALUE"""),46043.0)</f>
        <v>46043</v>
      </c>
      <c r="C2659" s="165" t="str">
        <f>IFERROR(__xludf.DUMMYFUNCTION("""COMPUTED_VALUE"""),"KERTASARI CIAMIS")</f>
        <v>KERTASARI CIAMIS</v>
      </c>
      <c r="D2659" s="94">
        <f>IFERROR(__xludf.DUMMYFUNCTION("""COMPUTED_VALUE"""),10.0)</f>
        <v>10</v>
      </c>
    </row>
    <row r="2660">
      <c r="A2660" s="87" t="str">
        <f>IFERROR(__xludf.DUMMYFUNCTION("""COMPUTED_VALUE"""),"ITBISA-LED-SUPERBRIGHT-5MM-BLUE")</f>
        <v>ITBISA-LED-SUPERBRIGHT-5MM-BLUE</v>
      </c>
      <c r="B2660" s="165">
        <f>IFERROR(__xludf.DUMMYFUNCTION("""COMPUTED_VALUE"""),46044.0)</f>
        <v>46044</v>
      </c>
      <c r="C2660" s="165" t="str">
        <f>IFERROR(__xludf.DUMMYFUNCTION("""COMPUTED_VALUE"""),"KERTASARI CIAMIS")</f>
        <v>KERTASARI CIAMIS</v>
      </c>
      <c r="D2660" s="94">
        <f>IFERROR(__xludf.DUMMYFUNCTION("""COMPUTED_VALUE"""),3.0)</f>
        <v>3</v>
      </c>
    </row>
    <row r="2661">
      <c r="A2661" s="87" t="str">
        <f>IFERROR(__xludf.DUMMYFUNCTION("""COMPUTED_VALUE"""),"ITBISA-LED-SUPERBRIGHT-5MM-BLUE")</f>
        <v>ITBISA-LED-SUPERBRIGHT-5MM-BLUE</v>
      </c>
      <c r="B2661" s="165">
        <f>IFERROR(__xludf.DUMMYFUNCTION("""COMPUTED_VALUE"""),46044.0)</f>
        <v>46044</v>
      </c>
      <c r="C2661" s="165" t="str">
        <f>IFERROR(__xludf.DUMMYFUNCTION("""COMPUTED_VALUE"""),"KERTASARI CIAMIS")</f>
        <v>KERTASARI CIAMIS</v>
      </c>
      <c r="D2661" s="94">
        <f>IFERROR(__xludf.DUMMYFUNCTION("""COMPUTED_VALUE"""),5.0)</f>
        <v>5</v>
      </c>
    </row>
    <row r="2662">
      <c r="A2662" s="87" t="str">
        <f>IFERROR(__xludf.DUMMYFUNCTION("""COMPUTED_VALUE"""),"ITBISA-LED-SUPERBRIGHT-5MM-BLUE")</f>
        <v>ITBISA-LED-SUPERBRIGHT-5MM-BLUE</v>
      </c>
      <c r="B2662" s="165">
        <f>IFERROR(__xludf.DUMMYFUNCTION("""COMPUTED_VALUE"""),46044.0)</f>
        <v>46044</v>
      </c>
      <c r="C2662" s="165" t="str">
        <f>IFERROR(__xludf.DUMMYFUNCTION("""COMPUTED_VALUE"""),"KYAI KONTONG")</f>
        <v>KYAI KONTONG</v>
      </c>
      <c r="D2662" s="94">
        <f>IFERROR(__xludf.DUMMYFUNCTION("""COMPUTED_VALUE"""),3.0)</f>
        <v>3</v>
      </c>
    </row>
    <row r="2663">
      <c r="A2663" s="87" t="str">
        <f>IFERROR(__xludf.DUMMYFUNCTION("""COMPUTED_VALUE"""),"ITBISA-LED-SUPERBRIGHT-5MM-BLUE")</f>
        <v>ITBISA-LED-SUPERBRIGHT-5MM-BLUE</v>
      </c>
      <c r="B2663" s="165">
        <f>IFERROR(__xludf.DUMMYFUNCTION("""COMPUTED_VALUE"""),46044.0)</f>
        <v>46044</v>
      </c>
      <c r="C2663" s="165" t="str">
        <f>IFERROR(__xludf.DUMMYFUNCTION("""COMPUTED_VALUE"""),"KYAI KONTONG")</f>
        <v>KYAI KONTONG</v>
      </c>
      <c r="D2663" s="94">
        <f>IFERROR(__xludf.DUMMYFUNCTION("""COMPUTED_VALUE"""),5.0)</f>
        <v>5</v>
      </c>
    </row>
    <row r="2664">
      <c r="A2664" s="87" t="str">
        <f>IFERROR(__xludf.DUMMYFUNCTION("""COMPUTED_VALUE"""),"ITBISA-LED-SUPERBRIGHT-5MM-BLUE")</f>
        <v>ITBISA-LED-SUPERBRIGHT-5MM-BLUE</v>
      </c>
      <c r="B2664" s="165">
        <f>IFERROR(__xludf.DUMMYFUNCTION("""COMPUTED_VALUE"""),46045.0)</f>
        <v>46045</v>
      </c>
      <c r="C2664" s="165" t="str">
        <f>IFERROR(__xludf.DUMMYFUNCTION("""COMPUTED_VALUE"""),"KERTASARI CIAMIS")</f>
        <v>KERTASARI CIAMIS</v>
      </c>
      <c r="D2664" s="94">
        <f>IFERROR(__xludf.DUMMYFUNCTION("""COMPUTED_VALUE"""),10.0)</f>
        <v>10</v>
      </c>
    </row>
    <row r="2665">
      <c r="A2665" s="87" t="str">
        <f>IFERROR(__xludf.DUMMYFUNCTION("""COMPUTED_VALUE"""),"ITBISA-LED-SUPERBRIGHT-5MM-BLUE")</f>
        <v>ITBISA-LED-SUPERBRIGHT-5MM-BLUE</v>
      </c>
      <c r="B2665" s="165">
        <f>IFERROR(__xludf.DUMMYFUNCTION("""COMPUTED_VALUE"""),46046.0)</f>
        <v>46046</v>
      </c>
      <c r="C2665" s="165" t="str">
        <f>IFERROR(__xludf.DUMMYFUNCTION("""COMPUTED_VALUE"""),"KYAI KONTONG")</f>
        <v>KYAI KONTONG</v>
      </c>
      <c r="D2665" s="94">
        <f>IFERROR(__xludf.DUMMYFUNCTION("""COMPUTED_VALUE"""),5.0)</f>
        <v>5</v>
      </c>
    </row>
    <row r="2666">
      <c r="A2666" s="87" t="str">
        <f>IFERROR(__xludf.DUMMYFUNCTION("""COMPUTED_VALUE"""),"ITBISA-LED-SUPERBRIGHT-5MM-BLUE")</f>
        <v>ITBISA-LED-SUPERBRIGHT-5MM-BLUE</v>
      </c>
      <c r="B2666" s="165">
        <f>IFERROR(__xludf.DUMMYFUNCTION("""COMPUTED_VALUE"""),46047.0)</f>
        <v>46047</v>
      </c>
      <c r="C2666" s="165" t="str">
        <f>IFERROR(__xludf.DUMMYFUNCTION("""COMPUTED_VALUE"""),"KERTASARI CIAMIS")</f>
        <v>KERTASARI CIAMIS</v>
      </c>
      <c r="D2666" s="94">
        <f>IFERROR(__xludf.DUMMYFUNCTION("""COMPUTED_VALUE"""),5.0)</f>
        <v>5</v>
      </c>
    </row>
    <row r="2667">
      <c r="A2667" s="87" t="str">
        <f>IFERROR(__xludf.DUMMYFUNCTION("""COMPUTED_VALUE"""),"ITBISA-LED-SUPERBRIGHT-5MM-BLUE")</f>
        <v>ITBISA-LED-SUPERBRIGHT-5MM-BLUE</v>
      </c>
      <c r="B2667" s="165">
        <f>IFERROR(__xludf.DUMMYFUNCTION("""COMPUTED_VALUE"""),46047.0)</f>
        <v>46047</v>
      </c>
      <c r="C2667" s="165" t="str">
        <f>IFERROR(__xludf.DUMMYFUNCTION("""COMPUTED_VALUE"""),"KERTASARI CIAMIS")</f>
        <v>KERTASARI CIAMIS</v>
      </c>
      <c r="D2667" s="94">
        <f>IFERROR(__xludf.DUMMYFUNCTION("""COMPUTED_VALUE"""),10.0)</f>
        <v>10</v>
      </c>
    </row>
    <row r="2668">
      <c r="A2668" s="87" t="str">
        <f>IFERROR(__xludf.DUMMYFUNCTION("""COMPUTED_VALUE"""),"ITBISA-LED-SUPERBRIGHT-5MM-BLUE")</f>
        <v>ITBISA-LED-SUPERBRIGHT-5MM-BLUE</v>
      </c>
      <c r="B2668" s="165">
        <f>IFERROR(__xludf.DUMMYFUNCTION("""COMPUTED_VALUE"""),46053.0)</f>
        <v>46053</v>
      </c>
      <c r="C2668" s="165" t="str">
        <f>IFERROR(__xludf.DUMMYFUNCTION("""COMPUTED_VALUE"""),"KYAI KONTONG")</f>
        <v>KYAI KONTONG</v>
      </c>
      <c r="D2668" s="94">
        <f>IFERROR(__xludf.DUMMYFUNCTION("""COMPUTED_VALUE"""),15.0)</f>
        <v>15</v>
      </c>
    </row>
    <row r="2669">
      <c r="A2669" s="87" t="str">
        <f>IFERROR(__xludf.DUMMYFUNCTION("""COMPUTED_VALUE"""),"ITBISA-LED-SUPERBRIGHT-5MM-BLUE")</f>
        <v>ITBISA-LED-SUPERBRIGHT-5MM-BLUE</v>
      </c>
      <c r="B2669" s="165">
        <f>IFERROR(__xludf.DUMMYFUNCTION("""COMPUTED_VALUE"""),46056.0)</f>
        <v>46056</v>
      </c>
      <c r="C2669" s="165" t="str">
        <f>IFERROR(__xludf.DUMMYFUNCTION("""COMPUTED_VALUE"""),"KYAI KONTONG")</f>
        <v>KYAI KONTONG</v>
      </c>
      <c r="D2669" s="94">
        <f>IFERROR(__xludf.DUMMYFUNCTION("""COMPUTED_VALUE"""),15.0)</f>
        <v>15</v>
      </c>
    </row>
    <row r="2670">
      <c r="A2670" s="87" t="str">
        <f>IFERROR(__xludf.DUMMYFUNCTION("""COMPUTED_VALUE"""),"ITBISA-LED-SUPERBRIGHT-5MM-BLUE")</f>
        <v>ITBISA-LED-SUPERBRIGHT-5MM-BLUE</v>
      </c>
      <c r="B2670" s="165">
        <f>IFERROR(__xludf.DUMMYFUNCTION("""COMPUTED_VALUE"""),46063.0)</f>
        <v>46063</v>
      </c>
      <c r="C2670" s="165" t="str">
        <f>IFERROR(__xludf.DUMMYFUNCTION("""COMPUTED_VALUE"""),"KYAI KONTONG")</f>
        <v>KYAI KONTONG</v>
      </c>
      <c r="D2670" s="94">
        <f>IFERROR(__xludf.DUMMYFUNCTION("""COMPUTED_VALUE"""),20.0)</f>
        <v>20</v>
      </c>
    </row>
    <row r="2671">
      <c r="A2671" s="87" t="str">
        <f>IFERROR(__xludf.DUMMYFUNCTION("""COMPUTED_VALUE"""),"ITBISA-LED-SUPERBRIGHT-5MM-BLUE")</f>
        <v>ITBISA-LED-SUPERBRIGHT-5MM-BLUE</v>
      </c>
      <c r="B2671" s="165">
        <f>IFERROR(__xludf.DUMMYFUNCTION("""COMPUTED_VALUE"""),46091.0)</f>
        <v>46091</v>
      </c>
      <c r="C2671" s="165" t="str">
        <f>IFERROR(__xludf.DUMMYFUNCTION("""COMPUTED_VALUE"""),"KYAI KONTONG")</f>
        <v>KYAI KONTONG</v>
      </c>
      <c r="D2671" s="94">
        <f>IFERROR(__xludf.DUMMYFUNCTION("""COMPUTED_VALUE"""),15.0)</f>
        <v>15</v>
      </c>
    </row>
    <row r="2672">
      <c r="A2672" s="87" t="str">
        <f>IFERROR(__xludf.DUMMYFUNCTION("""COMPUTED_VALUE"""),"ITBISA-LED-SUPERBRIGHT-5MM-BLUE")</f>
        <v>ITBISA-LED-SUPERBRIGHT-5MM-BLUE</v>
      </c>
      <c r="B2672" s="165">
        <f>IFERROR(__xludf.DUMMYFUNCTION("""COMPUTED_VALUE"""),46133.0)</f>
        <v>46133</v>
      </c>
      <c r="C2672" s="165" t="str">
        <f>IFERROR(__xludf.DUMMYFUNCTION("""COMPUTED_VALUE"""),"KYAI KONTONG")</f>
        <v>KYAI KONTONG</v>
      </c>
      <c r="D2672" s="94">
        <f>IFERROR(__xludf.DUMMYFUNCTION("""COMPUTED_VALUE"""),15.0)</f>
        <v>15</v>
      </c>
    </row>
    <row r="2673">
      <c r="A2673" s="87" t="str">
        <f>IFERROR(__xludf.DUMMYFUNCTION("""COMPUTED_VALUE"""),"ITBISA-LED-SUPERBRIGHT-5MM-BLUE")</f>
        <v>ITBISA-LED-SUPERBRIGHT-5MM-BLUE</v>
      </c>
      <c r="B2673" s="165">
        <f>IFERROR(__xludf.DUMMYFUNCTION("""COMPUTED_VALUE"""),46143.0)</f>
        <v>46143</v>
      </c>
      <c r="C2673" s="165" t="str">
        <f>IFERROR(__xludf.DUMMYFUNCTION("""COMPUTED_VALUE"""),"KYAI KONTONG")</f>
        <v>KYAI KONTONG</v>
      </c>
      <c r="D2673" s="94">
        <f>IFERROR(__xludf.DUMMYFUNCTION("""COMPUTED_VALUE"""),1.0)</f>
        <v>1</v>
      </c>
    </row>
    <row r="2674">
      <c r="A2674" s="87" t="str">
        <f>IFERROR(__xludf.DUMMYFUNCTION("""COMPUTED_VALUE"""),"ITBISA-LED-SUPERBRIGHT-5MM-BLUE")</f>
        <v>ITBISA-LED-SUPERBRIGHT-5MM-BLUE</v>
      </c>
      <c r="B2674" s="165">
        <f>IFERROR(__xludf.DUMMYFUNCTION("""COMPUTED_VALUE"""),46144.0)</f>
        <v>46144</v>
      </c>
      <c r="C2674" s="165" t="str">
        <f>IFERROR(__xludf.DUMMYFUNCTION("""COMPUTED_VALUE"""),"KYAI KONTONG")</f>
        <v>KYAI KONTONG</v>
      </c>
      <c r="D2674" s="94">
        <f>IFERROR(__xludf.DUMMYFUNCTION("""COMPUTED_VALUE"""),15.0)</f>
        <v>15</v>
      </c>
    </row>
    <row r="2675">
      <c r="A2675" s="87" t="str">
        <f>IFERROR(__xludf.DUMMYFUNCTION("""COMPUTED_VALUE"""),"ITBISA-LED-SUPERBRIGHT-5MM-BLUE")</f>
        <v>ITBISA-LED-SUPERBRIGHT-5MM-BLUE</v>
      </c>
      <c r="B2675" s="165">
        <f>IFERROR(__xludf.DUMMYFUNCTION("""COMPUTED_VALUE"""),46148.0)</f>
        <v>46148</v>
      </c>
      <c r="C2675" s="165" t="str">
        <f>IFERROR(__xludf.DUMMYFUNCTION("""COMPUTED_VALUE"""),"KYAI KONTONG")</f>
        <v>KYAI KONTONG</v>
      </c>
      <c r="D2675" s="94">
        <f>IFERROR(__xludf.DUMMYFUNCTION("""COMPUTED_VALUE"""),15.0)</f>
        <v>15</v>
      </c>
    </row>
    <row r="2676">
      <c r="A2676" s="87" t="str">
        <f>IFERROR(__xludf.DUMMYFUNCTION("""COMPUTED_VALUE"""),"ITBISA-LED-SUPERBRIGHT-5MM-BLUE")</f>
        <v>ITBISA-LED-SUPERBRIGHT-5MM-BLUE</v>
      </c>
      <c r="B2676" s="165">
        <f>IFERROR(__xludf.DUMMYFUNCTION("""COMPUTED_VALUE"""),46149.0)</f>
        <v>46149</v>
      </c>
      <c r="C2676" s="165" t="str">
        <f>IFERROR(__xludf.DUMMYFUNCTION("""COMPUTED_VALUE"""),"KYAI KONTONG")</f>
        <v>KYAI KONTONG</v>
      </c>
      <c r="D2676" s="94">
        <f>IFERROR(__xludf.DUMMYFUNCTION("""COMPUTED_VALUE"""),3.0)</f>
        <v>3</v>
      </c>
    </row>
    <row r="2677">
      <c r="A2677" s="87" t="str">
        <f>IFERROR(__xludf.DUMMYFUNCTION("""COMPUTED_VALUE"""),"ITBISA-LED-SUPERBRIGHT-5MM-BLUE")</f>
        <v>ITBISA-LED-SUPERBRIGHT-5MM-BLUE</v>
      </c>
      <c r="B2677" s="165">
        <f>IFERROR(__xludf.DUMMYFUNCTION("""COMPUTED_VALUE"""),46149.0)</f>
        <v>46149</v>
      </c>
      <c r="C2677" s="165" t="str">
        <f>IFERROR(__xludf.DUMMYFUNCTION("""COMPUTED_VALUE"""),"KYAI KONTONG")</f>
        <v>KYAI KONTONG</v>
      </c>
      <c r="D2677" s="94">
        <f>IFERROR(__xludf.DUMMYFUNCTION("""COMPUTED_VALUE"""),5.0)</f>
        <v>5</v>
      </c>
    </row>
    <row r="2678">
      <c r="A2678" s="87" t="str">
        <f>IFERROR(__xludf.DUMMYFUNCTION("""COMPUTED_VALUE"""),"ITBISA-LED-SUPERBRIGHT-5MM-BLUE")</f>
        <v>ITBISA-LED-SUPERBRIGHT-5MM-BLUE</v>
      </c>
      <c r="B2678" s="165">
        <f>IFERROR(__xludf.DUMMYFUNCTION("""COMPUTED_VALUE"""),46159.0)</f>
        <v>46159</v>
      </c>
      <c r="C2678" s="165" t="str">
        <f>IFERROR(__xludf.DUMMYFUNCTION("""COMPUTED_VALUE"""),"KYAI KONTONG")</f>
        <v>KYAI KONTONG</v>
      </c>
      <c r="D2678" s="94">
        <f>IFERROR(__xludf.DUMMYFUNCTION("""COMPUTED_VALUE"""),8.0)</f>
        <v>8</v>
      </c>
    </row>
    <row r="2679">
      <c r="A2679" s="87" t="str">
        <f>IFERROR(__xludf.DUMMYFUNCTION("""COMPUTED_VALUE"""),"ITBISA-LED-SUPERBRIGHT-5MM-BLUE")</f>
        <v>ITBISA-LED-SUPERBRIGHT-5MM-BLUE</v>
      </c>
      <c r="B2679" s="165">
        <f>IFERROR(__xludf.DUMMYFUNCTION("""COMPUTED_VALUE"""),46174.0)</f>
        <v>46174</v>
      </c>
      <c r="C2679" s="165" t="str">
        <f>IFERROR(__xludf.DUMMYFUNCTION("""COMPUTED_VALUE"""),"KYAI KONTONG")</f>
        <v>KYAI KONTONG</v>
      </c>
      <c r="D2679" s="94">
        <f>IFERROR(__xludf.DUMMYFUNCTION("""COMPUTED_VALUE"""),2.0)</f>
        <v>2</v>
      </c>
    </row>
    <row r="2680">
      <c r="A2680" s="87" t="str">
        <f>IFERROR(__xludf.DUMMYFUNCTION("""COMPUTED_VALUE"""),"ITBISA-LED-SUPERBRIGHT-5MM-BLUE")</f>
        <v>ITBISA-LED-SUPERBRIGHT-5MM-BLUE</v>
      </c>
      <c r="B2680" s="165">
        <f>IFERROR(__xludf.DUMMYFUNCTION("""COMPUTED_VALUE"""),46175.0)</f>
        <v>46175</v>
      </c>
      <c r="C2680" s="165" t="str">
        <f>IFERROR(__xludf.DUMMYFUNCTION("""COMPUTED_VALUE"""),"KYAI KONTONG")</f>
        <v>KYAI KONTONG</v>
      </c>
      <c r="D2680" s="94">
        <f>IFERROR(__xludf.DUMMYFUNCTION("""COMPUTED_VALUE"""),5.0)</f>
        <v>5</v>
      </c>
    </row>
    <row r="2681">
      <c r="A2681" s="87" t="str">
        <f>IFERROR(__xludf.DUMMYFUNCTION("""COMPUTED_VALUE"""),"ITBISA-LED-SUPERBRIGHT-5MM-BLUE")</f>
        <v>ITBISA-LED-SUPERBRIGHT-5MM-BLUE</v>
      </c>
      <c r="B2681" s="165">
        <f>IFERROR(__xludf.DUMMYFUNCTION("""COMPUTED_VALUE"""),46177.0)</f>
        <v>46177</v>
      </c>
      <c r="C2681" s="165" t="str">
        <f>IFERROR(__xludf.DUMMYFUNCTION("""COMPUTED_VALUE"""),"KYAI KONTONG")</f>
        <v>KYAI KONTONG</v>
      </c>
      <c r="D2681" s="94">
        <f>IFERROR(__xludf.DUMMYFUNCTION("""COMPUTED_VALUE"""),6.0)</f>
        <v>6</v>
      </c>
    </row>
    <row r="2682">
      <c r="A2682" s="87" t="str">
        <f>IFERROR(__xludf.DUMMYFUNCTION("""COMPUTED_VALUE"""),"ITBISA-LED-SUPERBRIGHT-5MM-GREEN")</f>
        <v>ITBISA-LED-SUPERBRIGHT-5MM-GREEN</v>
      </c>
      <c r="B2682" s="165">
        <f>IFERROR(__xludf.DUMMYFUNCTION("""COMPUTED_VALUE"""),46024.0)</f>
        <v>46024</v>
      </c>
      <c r="C2682" s="165" t="str">
        <f>IFERROR(__xludf.DUMMYFUNCTION("""COMPUTED_VALUE"""),"KYAI KONTONG")</f>
        <v>KYAI KONTONG</v>
      </c>
      <c r="D2682" s="94">
        <f>IFERROR(__xludf.DUMMYFUNCTION("""COMPUTED_VALUE"""),10.0)</f>
        <v>10</v>
      </c>
    </row>
    <row r="2683">
      <c r="A2683" s="87" t="str">
        <f>IFERROR(__xludf.DUMMYFUNCTION("""COMPUTED_VALUE"""),"ITBISA-LED-SUPERBRIGHT-5MM-GREEN")</f>
        <v>ITBISA-LED-SUPERBRIGHT-5MM-GREEN</v>
      </c>
      <c r="B2683" s="165">
        <f>IFERROR(__xludf.DUMMYFUNCTION("""COMPUTED_VALUE"""),46025.0)</f>
        <v>46025</v>
      </c>
      <c r="C2683" s="165" t="str">
        <f>IFERROR(__xludf.DUMMYFUNCTION("""COMPUTED_VALUE"""),"KYAI KONTONG")</f>
        <v>KYAI KONTONG</v>
      </c>
      <c r="D2683" s="94">
        <f>IFERROR(__xludf.DUMMYFUNCTION("""COMPUTED_VALUE"""),10.0)</f>
        <v>10</v>
      </c>
    </row>
    <row r="2684">
      <c r="A2684" s="87" t="str">
        <f>IFERROR(__xludf.DUMMYFUNCTION("""COMPUTED_VALUE"""),"ITBISA-LED-SUPERBRIGHT-5MM-GREEN")</f>
        <v>ITBISA-LED-SUPERBRIGHT-5MM-GREEN</v>
      </c>
      <c r="B2684" s="165">
        <f>IFERROR(__xludf.DUMMYFUNCTION("""COMPUTED_VALUE"""),46026.0)</f>
        <v>46026</v>
      </c>
      <c r="C2684" s="165" t="str">
        <f>IFERROR(__xludf.DUMMYFUNCTION("""COMPUTED_VALUE"""),"KYAI KONTONG")</f>
        <v>KYAI KONTONG</v>
      </c>
      <c r="D2684" s="94">
        <f>IFERROR(__xludf.DUMMYFUNCTION("""COMPUTED_VALUE"""),20.0)</f>
        <v>20</v>
      </c>
    </row>
    <row r="2685">
      <c r="A2685" s="87" t="str">
        <f>IFERROR(__xludf.DUMMYFUNCTION("""COMPUTED_VALUE"""),"ITBISA-LED-SUPERBRIGHT-5MM-GREEN")</f>
        <v>ITBISA-LED-SUPERBRIGHT-5MM-GREEN</v>
      </c>
      <c r="B2685" s="165">
        <f>IFERROR(__xludf.DUMMYFUNCTION("""COMPUTED_VALUE"""),46044.0)</f>
        <v>46044</v>
      </c>
      <c r="C2685" s="165" t="str">
        <f>IFERROR(__xludf.DUMMYFUNCTION("""COMPUTED_VALUE"""),"KERTASARI CIAMIS")</f>
        <v>KERTASARI CIAMIS</v>
      </c>
      <c r="D2685" s="94">
        <f>IFERROR(__xludf.DUMMYFUNCTION("""COMPUTED_VALUE"""),2.0)</f>
        <v>2</v>
      </c>
    </row>
    <row r="2686">
      <c r="A2686" s="87" t="str">
        <f>IFERROR(__xludf.DUMMYFUNCTION("""COMPUTED_VALUE"""),"ITBISA-LED-SUPERBRIGHT-5MM-GREEN")</f>
        <v>ITBISA-LED-SUPERBRIGHT-5MM-GREEN</v>
      </c>
      <c r="B2686" s="165">
        <f>IFERROR(__xludf.DUMMYFUNCTION("""COMPUTED_VALUE"""),46044.0)</f>
        <v>46044</v>
      </c>
      <c r="C2686" s="165" t="str">
        <f>IFERROR(__xludf.DUMMYFUNCTION("""COMPUTED_VALUE"""),"KERTASARI CIAMIS")</f>
        <v>KERTASARI CIAMIS</v>
      </c>
      <c r="D2686" s="94">
        <f>IFERROR(__xludf.DUMMYFUNCTION("""COMPUTED_VALUE"""),3.0)</f>
        <v>3</v>
      </c>
    </row>
    <row r="2687">
      <c r="A2687" s="87" t="str">
        <f>IFERROR(__xludf.DUMMYFUNCTION("""COMPUTED_VALUE"""),"ITBISA-LED-SUPERBRIGHT-5MM-GREEN")</f>
        <v>ITBISA-LED-SUPERBRIGHT-5MM-GREEN</v>
      </c>
      <c r="B2687" s="165">
        <f>IFERROR(__xludf.DUMMYFUNCTION("""COMPUTED_VALUE"""),46044.0)</f>
        <v>46044</v>
      </c>
      <c r="C2687" s="165" t="str">
        <f>IFERROR(__xludf.DUMMYFUNCTION("""COMPUTED_VALUE"""),"KERTASARI CIAMIS")</f>
        <v>KERTASARI CIAMIS</v>
      </c>
      <c r="D2687" s="94">
        <f>IFERROR(__xludf.DUMMYFUNCTION("""COMPUTED_VALUE"""),5.0)</f>
        <v>5</v>
      </c>
    </row>
    <row r="2688">
      <c r="A2688" s="87" t="str">
        <f>IFERROR(__xludf.DUMMYFUNCTION("""COMPUTED_VALUE"""),"ITBISA-LED-SUPERBRIGHT-5MM-GREEN")</f>
        <v>ITBISA-LED-SUPERBRIGHT-5MM-GREEN</v>
      </c>
      <c r="B2688" s="165">
        <f>IFERROR(__xludf.DUMMYFUNCTION("""COMPUTED_VALUE"""),46047.0)</f>
        <v>46047</v>
      </c>
      <c r="C2688" s="165" t="str">
        <f>IFERROR(__xludf.DUMMYFUNCTION("""COMPUTED_VALUE"""),"KERTASARI CIAMIS")</f>
        <v>KERTASARI CIAMIS</v>
      </c>
      <c r="D2688" s="94">
        <f>IFERROR(__xludf.DUMMYFUNCTION("""COMPUTED_VALUE"""),10.0)</f>
        <v>10</v>
      </c>
    </row>
    <row r="2689">
      <c r="A2689" s="87" t="str">
        <f>IFERROR(__xludf.DUMMYFUNCTION("""COMPUTED_VALUE"""),"ITBISA-LED-SUPERBRIGHT-5MM-GREEN")</f>
        <v>ITBISA-LED-SUPERBRIGHT-5MM-GREEN</v>
      </c>
      <c r="B2689" s="165">
        <f>IFERROR(__xludf.DUMMYFUNCTION("""COMPUTED_VALUE"""),46054.0)</f>
        <v>46054</v>
      </c>
      <c r="C2689" s="165" t="str">
        <f>IFERROR(__xludf.DUMMYFUNCTION("""COMPUTED_VALUE"""),"KERTASARI CIAMIS")</f>
        <v>KERTASARI CIAMIS</v>
      </c>
      <c r="D2689" s="94">
        <f>IFERROR(__xludf.DUMMYFUNCTION("""COMPUTED_VALUE"""),5.0)</f>
        <v>5</v>
      </c>
    </row>
    <row r="2690">
      <c r="A2690" s="87" t="str">
        <f>IFERROR(__xludf.DUMMYFUNCTION("""COMPUTED_VALUE"""),"ITBISA-LED-SUPERBRIGHT-5MM-GREEN")</f>
        <v>ITBISA-LED-SUPERBRIGHT-5MM-GREEN</v>
      </c>
      <c r="B2690" s="165">
        <f>IFERROR(__xludf.DUMMYFUNCTION("""COMPUTED_VALUE"""),46063.0)</f>
        <v>46063</v>
      </c>
      <c r="C2690" s="165" t="str">
        <f>IFERROR(__xludf.DUMMYFUNCTION("""COMPUTED_VALUE"""),"KYAI KONTONG")</f>
        <v>KYAI KONTONG</v>
      </c>
      <c r="D2690" s="94">
        <f>IFERROR(__xludf.DUMMYFUNCTION("""COMPUTED_VALUE"""),0.0)</f>
        <v>0</v>
      </c>
    </row>
    <row r="2691">
      <c r="A2691" s="87" t="str">
        <f>IFERROR(__xludf.DUMMYFUNCTION("""COMPUTED_VALUE"""),"ITBISA-LED-SUPERBRIGHT-5MM-GREEN")</f>
        <v>ITBISA-LED-SUPERBRIGHT-5MM-GREEN</v>
      </c>
      <c r="B2691" s="165">
        <f>IFERROR(__xludf.DUMMYFUNCTION("""COMPUTED_VALUE"""),46065.0)</f>
        <v>46065</v>
      </c>
      <c r="C2691" s="165" t="str">
        <f>IFERROR(__xludf.DUMMYFUNCTION("""COMPUTED_VALUE"""),"KERTASARI CIAMIS")</f>
        <v>KERTASARI CIAMIS</v>
      </c>
      <c r="D2691" s="94">
        <f>IFERROR(__xludf.DUMMYFUNCTION("""COMPUTED_VALUE"""),5.0)</f>
        <v>5</v>
      </c>
    </row>
    <row r="2692">
      <c r="A2692" s="87" t="str">
        <f>IFERROR(__xludf.DUMMYFUNCTION("""COMPUTED_VALUE"""),"ITBISA-LED-SUPERBRIGHT-5MM-GREEN")</f>
        <v>ITBISA-LED-SUPERBRIGHT-5MM-GREEN</v>
      </c>
      <c r="B2692" s="165">
        <f>IFERROR(__xludf.DUMMYFUNCTION("""COMPUTED_VALUE"""),46070.0)</f>
        <v>46070</v>
      </c>
      <c r="C2692" s="165" t="str">
        <f>IFERROR(__xludf.DUMMYFUNCTION("""COMPUTED_VALUE"""),"KERTASARI CIAMIS")</f>
        <v>KERTASARI CIAMIS</v>
      </c>
      <c r="D2692" s="94">
        <f>IFERROR(__xludf.DUMMYFUNCTION("""COMPUTED_VALUE"""),15.0)</f>
        <v>15</v>
      </c>
    </row>
    <row r="2693">
      <c r="A2693" s="87" t="str">
        <f>IFERROR(__xludf.DUMMYFUNCTION("""COMPUTED_VALUE"""),"ITBISA-LED-SUPERBRIGHT-5MM-GREEN")</f>
        <v>ITBISA-LED-SUPERBRIGHT-5MM-GREEN</v>
      </c>
      <c r="B2693" s="165">
        <f>IFERROR(__xludf.DUMMYFUNCTION("""COMPUTED_VALUE"""),46142.0)</f>
        <v>46142</v>
      </c>
      <c r="C2693" s="165" t="str">
        <f>IFERROR(__xludf.DUMMYFUNCTION("""COMPUTED_VALUE"""),"KYAI KONTONG")</f>
        <v>KYAI KONTONG</v>
      </c>
      <c r="D2693" s="94">
        <f>IFERROR(__xludf.DUMMYFUNCTION("""COMPUTED_VALUE"""),15.0)</f>
        <v>15</v>
      </c>
    </row>
    <row r="2694">
      <c r="A2694" s="87" t="str">
        <f>IFERROR(__xludf.DUMMYFUNCTION("""COMPUTED_VALUE"""),"ITBISA-LED-SUPERBRIGHT-5MM-GREEN")</f>
        <v>ITBISA-LED-SUPERBRIGHT-5MM-GREEN</v>
      </c>
      <c r="B2694" s="165">
        <f>IFERROR(__xludf.DUMMYFUNCTION("""COMPUTED_VALUE"""),46143.0)</f>
        <v>46143</v>
      </c>
      <c r="C2694" s="165" t="str">
        <f>IFERROR(__xludf.DUMMYFUNCTION("""COMPUTED_VALUE"""),"KYAI KONTONG")</f>
        <v>KYAI KONTONG</v>
      </c>
      <c r="D2694" s="94">
        <f>IFERROR(__xludf.DUMMYFUNCTION("""COMPUTED_VALUE"""),1.0)</f>
        <v>1</v>
      </c>
    </row>
    <row r="2695">
      <c r="A2695" s="87" t="str">
        <f>IFERROR(__xludf.DUMMYFUNCTION("""COMPUTED_VALUE"""),"ITBISA-LED-SUPERBRIGHT-5MM-GREEN")</f>
        <v>ITBISA-LED-SUPERBRIGHT-5MM-GREEN</v>
      </c>
      <c r="B2695" s="165">
        <f>IFERROR(__xludf.DUMMYFUNCTION("""COMPUTED_VALUE"""),46144.0)</f>
        <v>46144</v>
      </c>
      <c r="C2695" s="165" t="str">
        <f>IFERROR(__xludf.DUMMYFUNCTION("""COMPUTED_VALUE"""),"KYAI KONTONG")</f>
        <v>KYAI KONTONG</v>
      </c>
      <c r="D2695" s="94">
        <f>IFERROR(__xludf.DUMMYFUNCTION("""COMPUTED_VALUE"""),15.0)</f>
        <v>15</v>
      </c>
    </row>
    <row r="2696">
      <c r="A2696" s="87" t="str">
        <f>IFERROR(__xludf.DUMMYFUNCTION("""COMPUTED_VALUE"""),"ITBISA-LED-SUPERBRIGHT-5MM-GREEN")</f>
        <v>ITBISA-LED-SUPERBRIGHT-5MM-GREEN</v>
      </c>
      <c r="B2696" s="165">
        <f>IFERROR(__xludf.DUMMYFUNCTION("""COMPUTED_VALUE"""),46148.0)</f>
        <v>46148</v>
      </c>
      <c r="C2696" s="165" t="str">
        <f>IFERROR(__xludf.DUMMYFUNCTION("""COMPUTED_VALUE"""),"KYAI KONTONG")</f>
        <v>KYAI KONTONG</v>
      </c>
      <c r="D2696" s="94">
        <f>IFERROR(__xludf.DUMMYFUNCTION("""COMPUTED_VALUE"""),15.0)</f>
        <v>15</v>
      </c>
    </row>
    <row r="2697">
      <c r="A2697" s="87" t="str">
        <f>IFERROR(__xludf.DUMMYFUNCTION("""COMPUTED_VALUE"""),"ITBISA-LED-SUPERBRIGHT-5MM-GREEN")</f>
        <v>ITBISA-LED-SUPERBRIGHT-5MM-GREEN</v>
      </c>
      <c r="B2697" s="165">
        <f>IFERROR(__xludf.DUMMYFUNCTION("""COMPUTED_VALUE"""),46157.0)</f>
        <v>46157</v>
      </c>
      <c r="C2697" s="165" t="str">
        <f>IFERROR(__xludf.DUMMYFUNCTION("""COMPUTED_VALUE"""),"KYAI KONTONG")</f>
        <v>KYAI KONTONG</v>
      </c>
      <c r="D2697" s="94">
        <f>IFERROR(__xludf.DUMMYFUNCTION("""COMPUTED_VALUE"""),10.0)</f>
        <v>10</v>
      </c>
    </row>
    <row r="2698">
      <c r="A2698" s="87" t="str">
        <f>IFERROR(__xludf.DUMMYFUNCTION("""COMPUTED_VALUE"""),"ITBISA-LED-SUPERBRIGHT-5MM-GREEN")</f>
        <v>ITBISA-LED-SUPERBRIGHT-5MM-GREEN</v>
      </c>
      <c r="B2698" s="165">
        <f>IFERROR(__xludf.DUMMYFUNCTION("""COMPUTED_VALUE"""),46158.0)</f>
        <v>46158</v>
      </c>
      <c r="C2698" s="165" t="str">
        <f>IFERROR(__xludf.DUMMYFUNCTION("""COMPUTED_VALUE"""),"KYAI KONTONG")</f>
        <v>KYAI KONTONG</v>
      </c>
      <c r="D2698" s="94">
        <f>IFERROR(__xludf.DUMMYFUNCTION("""COMPUTED_VALUE"""),15.0)</f>
        <v>15</v>
      </c>
    </row>
    <row r="2699">
      <c r="A2699" s="87" t="str">
        <f>IFERROR(__xludf.DUMMYFUNCTION("""COMPUTED_VALUE"""),"ITBISA-LED-SUPERBRIGHT-5MM-GREEN")</f>
        <v>ITBISA-LED-SUPERBRIGHT-5MM-GREEN</v>
      </c>
      <c r="B2699" s="165">
        <f>IFERROR(__xludf.DUMMYFUNCTION("""COMPUTED_VALUE"""),46174.0)</f>
        <v>46174</v>
      </c>
      <c r="C2699" s="165" t="str">
        <f>IFERROR(__xludf.DUMMYFUNCTION("""COMPUTED_VALUE"""),"KYAI KONTONG")</f>
        <v>KYAI KONTONG</v>
      </c>
      <c r="D2699" s="94">
        <f>IFERROR(__xludf.DUMMYFUNCTION("""COMPUTED_VALUE"""),5.0)</f>
        <v>5</v>
      </c>
    </row>
    <row r="2700">
      <c r="A2700" s="87" t="str">
        <f>IFERROR(__xludf.DUMMYFUNCTION("""COMPUTED_VALUE"""),"ITBISA-LED-SUPERBRIGHT-5MM-GREEN")</f>
        <v>ITBISA-LED-SUPERBRIGHT-5MM-GREEN</v>
      </c>
      <c r="B2700" s="165">
        <f>IFERROR(__xludf.DUMMYFUNCTION("""COMPUTED_VALUE"""),46176.0)</f>
        <v>46176</v>
      </c>
      <c r="C2700" s="165" t="str">
        <f>IFERROR(__xludf.DUMMYFUNCTION("""COMPUTED_VALUE"""),"KYAI KONTONG")</f>
        <v>KYAI KONTONG</v>
      </c>
      <c r="D2700" s="94">
        <f>IFERROR(__xludf.DUMMYFUNCTION("""COMPUTED_VALUE"""),5.0)</f>
        <v>5</v>
      </c>
    </row>
    <row r="2701">
      <c r="A2701" s="87" t="str">
        <f>IFERROR(__xludf.DUMMYFUNCTION("""COMPUTED_VALUE"""),"ITBISA-LED-SUPERBRIGHT-5MM-GREEN")</f>
        <v>ITBISA-LED-SUPERBRIGHT-5MM-GREEN</v>
      </c>
      <c r="B2701" s="165">
        <f>IFERROR(__xludf.DUMMYFUNCTION("""COMPUTED_VALUE"""),46177.0)</f>
        <v>46177</v>
      </c>
      <c r="C2701" s="165" t="str">
        <f>IFERROR(__xludf.DUMMYFUNCTION("""COMPUTED_VALUE"""),"KYAI KONTONG")</f>
        <v>KYAI KONTONG</v>
      </c>
      <c r="D2701" s="94">
        <f>IFERROR(__xludf.DUMMYFUNCTION("""COMPUTED_VALUE"""),6.0)</f>
        <v>6</v>
      </c>
    </row>
    <row r="2702">
      <c r="A2702" s="87" t="str">
        <f>IFERROR(__xludf.DUMMYFUNCTION("""COMPUTED_VALUE"""),"ITBISA-LED-SUPERBRIGHT-5MM-GREEN")</f>
        <v>ITBISA-LED-SUPERBRIGHT-5MM-GREEN</v>
      </c>
      <c r="B2702" s="165">
        <f>IFERROR(__xludf.DUMMYFUNCTION("""COMPUTED_VALUE"""),46196.0)</f>
        <v>46196</v>
      </c>
      <c r="C2702" s="165" t="str">
        <f>IFERROR(__xludf.DUMMYFUNCTION("""COMPUTED_VALUE"""),"KYAI KONTONG")</f>
        <v>KYAI KONTONG</v>
      </c>
      <c r="D2702" s="94">
        <f>IFERROR(__xludf.DUMMYFUNCTION("""COMPUTED_VALUE"""),35.0)</f>
        <v>35</v>
      </c>
    </row>
    <row r="2703">
      <c r="A2703" s="87" t="str">
        <f>IFERROR(__xludf.DUMMYFUNCTION("""COMPUTED_VALUE"""),"ITBISA-LED-SUPERBRIGHT-5MM-RED")</f>
        <v>ITBISA-LED-SUPERBRIGHT-5MM-RED</v>
      </c>
      <c r="B2703" s="165">
        <f>IFERROR(__xludf.DUMMYFUNCTION("""COMPUTED_VALUE"""),46025.0)</f>
        <v>46025</v>
      </c>
      <c r="C2703" s="165" t="str">
        <f>IFERROR(__xludf.DUMMYFUNCTION("""COMPUTED_VALUE"""),"KYAI KONTONG")</f>
        <v>KYAI KONTONG</v>
      </c>
      <c r="D2703" s="94">
        <f>IFERROR(__xludf.DUMMYFUNCTION("""COMPUTED_VALUE"""),10.0)</f>
        <v>10</v>
      </c>
    </row>
    <row r="2704">
      <c r="A2704" s="87" t="str">
        <f>IFERROR(__xludf.DUMMYFUNCTION("""COMPUTED_VALUE"""),"ITBISA-LED-SUPERBRIGHT-5MM-RED")</f>
        <v>ITBISA-LED-SUPERBRIGHT-5MM-RED</v>
      </c>
      <c r="B2704" s="165">
        <f>IFERROR(__xludf.DUMMYFUNCTION("""COMPUTED_VALUE"""),46025.0)</f>
        <v>46025</v>
      </c>
      <c r="C2704" s="165" t="str">
        <f>IFERROR(__xludf.DUMMYFUNCTION("""COMPUTED_VALUE"""),"KYAI KONTONG")</f>
        <v>KYAI KONTONG</v>
      </c>
      <c r="D2704" s="94">
        <f>IFERROR(__xludf.DUMMYFUNCTION("""COMPUTED_VALUE"""),10.0)</f>
        <v>10</v>
      </c>
    </row>
    <row r="2705">
      <c r="A2705" s="87" t="str">
        <f>IFERROR(__xludf.DUMMYFUNCTION("""COMPUTED_VALUE"""),"ITBISA-LED-SUPERBRIGHT-5MM-RED")</f>
        <v>ITBISA-LED-SUPERBRIGHT-5MM-RED</v>
      </c>
      <c r="B2705" s="165">
        <f>IFERROR(__xludf.DUMMYFUNCTION("""COMPUTED_VALUE"""),46026.0)</f>
        <v>46026</v>
      </c>
      <c r="C2705" s="165" t="str">
        <f>IFERROR(__xludf.DUMMYFUNCTION("""COMPUTED_VALUE"""),"KYAI KONTONG")</f>
        <v>KYAI KONTONG</v>
      </c>
      <c r="D2705" s="94">
        <f>IFERROR(__xludf.DUMMYFUNCTION("""COMPUTED_VALUE"""),30.0)</f>
        <v>30</v>
      </c>
    </row>
    <row r="2706">
      <c r="A2706" s="87" t="str">
        <f>IFERROR(__xludf.DUMMYFUNCTION("""COMPUTED_VALUE"""),"ITBISA-LED-SUPERBRIGHT-5MM-RED")</f>
        <v>ITBISA-LED-SUPERBRIGHT-5MM-RED</v>
      </c>
      <c r="B2706" s="165">
        <f>IFERROR(__xludf.DUMMYFUNCTION("""COMPUTED_VALUE"""),46027.0)</f>
        <v>46027</v>
      </c>
      <c r="C2706" s="165" t="str">
        <f>IFERROR(__xludf.DUMMYFUNCTION("""COMPUTED_VALUE"""),"KYAI KONTONG")</f>
        <v>KYAI KONTONG</v>
      </c>
      <c r="D2706" s="94">
        <f>IFERROR(__xludf.DUMMYFUNCTION("""COMPUTED_VALUE"""),10.0)</f>
        <v>10</v>
      </c>
    </row>
    <row r="2707">
      <c r="A2707" s="87" t="str">
        <f>IFERROR(__xludf.DUMMYFUNCTION("""COMPUTED_VALUE"""),"ITBISA-LED-SUPERBRIGHT-5MM-RED")</f>
        <v>ITBISA-LED-SUPERBRIGHT-5MM-RED</v>
      </c>
      <c r="B2707" s="165">
        <f>IFERROR(__xludf.DUMMYFUNCTION("""COMPUTED_VALUE"""),46029.0)</f>
        <v>46029</v>
      </c>
      <c r="C2707" s="165" t="str">
        <f>IFERROR(__xludf.DUMMYFUNCTION("""COMPUTED_VALUE"""),"KYAI KONTONG")</f>
        <v>KYAI KONTONG</v>
      </c>
      <c r="D2707" s="94">
        <f>IFERROR(__xludf.DUMMYFUNCTION("""COMPUTED_VALUE"""),2.0)</f>
        <v>2</v>
      </c>
    </row>
    <row r="2708">
      <c r="A2708" s="87" t="str">
        <f>IFERROR(__xludf.DUMMYFUNCTION("""COMPUTED_VALUE"""),"ITBISA-LED-SUPERBRIGHT-5MM-RED")</f>
        <v>ITBISA-LED-SUPERBRIGHT-5MM-RED</v>
      </c>
      <c r="B2708" s="165">
        <f>IFERROR(__xludf.DUMMYFUNCTION("""COMPUTED_VALUE"""),46030.0)</f>
        <v>46030</v>
      </c>
      <c r="C2708" s="165" t="str">
        <f>IFERROR(__xludf.DUMMYFUNCTION("""COMPUTED_VALUE"""),"KYAI KONTONG")</f>
        <v>KYAI KONTONG</v>
      </c>
      <c r="D2708" s="94">
        <f>IFERROR(__xludf.DUMMYFUNCTION("""COMPUTED_VALUE"""),3.0)</f>
        <v>3</v>
      </c>
    </row>
    <row r="2709">
      <c r="A2709" s="87" t="str">
        <f>IFERROR(__xludf.DUMMYFUNCTION("""COMPUTED_VALUE"""),"ITBISA-LED-SUPERBRIGHT-5MM-RED")</f>
        <v>ITBISA-LED-SUPERBRIGHT-5MM-RED</v>
      </c>
      <c r="B2709" s="165">
        <f>IFERROR(__xludf.DUMMYFUNCTION("""COMPUTED_VALUE"""),46032.0)</f>
        <v>46032</v>
      </c>
      <c r="C2709" s="165" t="str">
        <f>IFERROR(__xludf.DUMMYFUNCTION("""COMPUTED_VALUE"""),"KYAI KONTONG")</f>
        <v>KYAI KONTONG</v>
      </c>
      <c r="D2709" s="94">
        <f>IFERROR(__xludf.DUMMYFUNCTION("""COMPUTED_VALUE"""),10.0)</f>
        <v>10</v>
      </c>
    </row>
    <row r="2710">
      <c r="A2710" s="87" t="str">
        <f>IFERROR(__xludf.DUMMYFUNCTION("""COMPUTED_VALUE"""),"ITBISA-LED-SUPERBRIGHT-5MM-RED")</f>
        <v>ITBISA-LED-SUPERBRIGHT-5MM-RED</v>
      </c>
      <c r="B2710" s="165">
        <f>IFERROR(__xludf.DUMMYFUNCTION("""COMPUTED_VALUE"""),46033.0)</f>
        <v>46033</v>
      </c>
      <c r="C2710" s="165" t="str">
        <f>IFERROR(__xludf.DUMMYFUNCTION("""COMPUTED_VALUE"""),"KERTASARI CIAMIS")</f>
        <v>KERTASARI CIAMIS</v>
      </c>
      <c r="D2710" s="94">
        <f>IFERROR(__xludf.DUMMYFUNCTION("""COMPUTED_VALUE"""),10.0)</f>
        <v>10</v>
      </c>
    </row>
    <row r="2711">
      <c r="A2711" s="87" t="str">
        <f>IFERROR(__xludf.DUMMYFUNCTION("""COMPUTED_VALUE"""),"ITBISA-LED-SUPERBRIGHT-5MM-RED")</f>
        <v>ITBISA-LED-SUPERBRIGHT-5MM-RED</v>
      </c>
      <c r="B2711" s="165">
        <f>IFERROR(__xludf.DUMMYFUNCTION("""COMPUTED_VALUE"""),46033.0)</f>
        <v>46033</v>
      </c>
      <c r="C2711" s="165" t="str">
        <f>IFERROR(__xludf.DUMMYFUNCTION("""COMPUTED_VALUE"""),"KERTASARI CIAMIS")</f>
        <v>KERTASARI CIAMIS</v>
      </c>
      <c r="D2711" s="94">
        <f>IFERROR(__xludf.DUMMYFUNCTION("""COMPUTED_VALUE"""),20.0)</f>
        <v>20</v>
      </c>
    </row>
    <row r="2712">
      <c r="A2712" s="87" t="str">
        <f>IFERROR(__xludf.DUMMYFUNCTION("""COMPUTED_VALUE"""),"ITBISA-LED-SUPERBRIGHT-5MM-RED")</f>
        <v>ITBISA-LED-SUPERBRIGHT-5MM-RED</v>
      </c>
      <c r="B2712" s="165">
        <f>IFERROR(__xludf.DUMMYFUNCTION("""COMPUTED_VALUE"""),46033.0)</f>
        <v>46033</v>
      </c>
      <c r="C2712" s="165" t="str">
        <f>IFERROR(__xludf.DUMMYFUNCTION("""COMPUTED_VALUE"""),"KYAI KONTONG")</f>
        <v>KYAI KONTONG</v>
      </c>
      <c r="D2712" s="94">
        <f>IFERROR(__xludf.DUMMYFUNCTION("""COMPUTED_VALUE"""),15.0)</f>
        <v>15</v>
      </c>
    </row>
    <row r="2713">
      <c r="A2713" s="87" t="str">
        <f>IFERROR(__xludf.DUMMYFUNCTION("""COMPUTED_VALUE"""),"ITBISA-LED-SUPERBRIGHT-5MM-RED")</f>
        <v>ITBISA-LED-SUPERBRIGHT-5MM-RED</v>
      </c>
      <c r="B2713" s="165">
        <f>IFERROR(__xludf.DUMMYFUNCTION("""COMPUTED_VALUE"""),46034.0)</f>
        <v>46034</v>
      </c>
      <c r="C2713" s="165" t="str">
        <f>IFERROR(__xludf.DUMMYFUNCTION("""COMPUTED_VALUE"""),"KYAI KONTONG")</f>
        <v>KYAI KONTONG</v>
      </c>
      <c r="D2713" s="94">
        <f>IFERROR(__xludf.DUMMYFUNCTION("""COMPUTED_VALUE"""),4.0)</f>
        <v>4</v>
      </c>
    </row>
    <row r="2714">
      <c r="A2714" s="87" t="str">
        <f>IFERROR(__xludf.DUMMYFUNCTION("""COMPUTED_VALUE"""),"ITBISA-LED-SUPERBRIGHT-5MM-RED")</f>
        <v>ITBISA-LED-SUPERBRIGHT-5MM-RED</v>
      </c>
      <c r="B2714" s="165">
        <f>IFERROR(__xludf.DUMMYFUNCTION("""COMPUTED_VALUE"""),46035.0)</f>
        <v>46035</v>
      </c>
      <c r="C2714" s="165" t="str">
        <f>IFERROR(__xludf.DUMMYFUNCTION("""COMPUTED_VALUE"""),"KYAI KONTONG")</f>
        <v>KYAI KONTONG</v>
      </c>
      <c r="D2714" s="94">
        <f>IFERROR(__xludf.DUMMYFUNCTION("""COMPUTED_VALUE"""),3.0)</f>
        <v>3</v>
      </c>
    </row>
    <row r="2715">
      <c r="A2715" s="87" t="str">
        <f>IFERROR(__xludf.DUMMYFUNCTION("""COMPUTED_VALUE"""),"ITBISA-LED-SUPERBRIGHT-5MM-RED")</f>
        <v>ITBISA-LED-SUPERBRIGHT-5MM-RED</v>
      </c>
      <c r="B2715" s="165">
        <f>IFERROR(__xludf.DUMMYFUNCTION("""COMPUTED_VALUE"""),46037.0)</f>
        <v>46037</v>
      </c>
      <c r="C2715" s="165" t="str">
        <f>IFERROR(__xludf.DUMMYFUNCTION("""COMPUTED_VALUE"""),"KYAI KONTONG")</f>
        <v>KYAI KONTONG</v>
      </c>
      <c r="D2715" s="94">
        <f>IFERROR(__xludf.DUMMYFUNCTION("""COMPUTED_VALUE"""),6.0)</f>
        <v>6</v>
      </c>
    </row>
    <row r="2716">
      <c r="A2716" s="87" t="str">
        <f>IFERROR(__xludf.DUMMYFUNCTION("""COMPUTED_VALUE"""),"ITBISA-LED-SUPERBRIGHT-5MM-RED")</f>
        <v>ITBISA-LED-SUPERBRIGHT-5MM-RED</v>
      </c>
      <c r="B2716" s="165">
        <f>IFERROR(__xludf.DUMMYFUNCTION("""COMPUTED_VALUE"""),46037.0)</f>
        <v>46037</v>
      </c>
      <c r="C2716" s="165" t="str">
        <f>IFERROR(__xludf.DUMMYFUNCTION("""COMPUTED_VALUE"""),"KYAI KONTONG")</f>
        <v>KYAI KONTONG</v>
      </c>
      <c r="D2716" s="94">
        <f>IFERROR(__xludf.DUMMYFUNCTION("""COMPUTED_VALUE"""),10.0)</f>
        <v>10</v>
      </c>
    </row>
    <row r="2717">
      <c r="A2717" s="87" t="str">
        <f>IFERROR(__xludf.DUMMYFUNCTION("""COMPUTED_VALUE"""),"ITBISA-LED-SUPERBRIGHT-5MM-RED")</f>
        <v>ITBISA-LED-SUPERBRIGHT-5MM-RED</v>
      </c>
      <c r="B2717" s="165">
        <f>IFERROR(__xludf.DUMMYFUNCTION("""COMPUTED_VALUE"""),46039.0)</f>
        <v>46039</v>
      </c>
      <c r="C2717" s="165" t="str">
        <f>IFERROR(__xludf.DUMMYFUNCTION("""COMPUTED_VALUE"""),"KERTASARI CIAMIS")</f>
        <v>KERTASARI CIAMIS</v>
      </c>
      <c r="D2717" s="94">
        <f>IFERROR(__xludf.DUMMYFUNCTION("""COMPUTED_VALUE"""),30.0)</f>
        <v>30</v>
      </c>
    </row>
    <row r="2718">
      <c r="A2718" s="87" t="str">
        <f>IFERROR(__xludf.DUMMYFUNCTION("""COMPUTED_VALUE"""),"ITBISA-LED-SUPERBRIGHT-5MM-RED")</f>
        <v>ITBISA-LED-SUPERBRIGHT-5MM-RED</v>
      </c>
      <c r="B2718" s="165">
        <f>IFERROR(__xludf.DUMMYFUNCTION("""COMPUTED_VALUE"""),46040.0)</f>
        <v>46040</v>
      </c>
      <c r="C2718" s="165" t="str">
        <f>IFERROR(__xludf.DUMMYFUNCTION("""COMPUTED_VALUE"""),"KERTASARI CIAMIS")</f>
        <v>KERTASARI CIAMIS</v>
      </c>
      <c r="D2718" s="94">
        <f>IFERROR(__xludf.DUMMYFUNCTION("""COMPUTED_VALUE"""),25.0)</f>
        <v>25</v>
      </c>
    </row>
    <row r="2719">
      <c r="A2719" s="87" t="str">
        <f>IFERROR(__xludf.DUMMYFUNCTION("""COMPUTED_VALUE"""),"ITBISA-LED-SUPERBRIGHT-5MM-RED")</f>
        <v>ITBISA-LED-SUPERBRIGHT-5MM-RED</v>
      </c>
      <c r="B2719" s="165">
        <f>IFERROR(__xludf.DUMMYFUNCTION("""COMPUTED_VALUE"""),46040.0)</f>
        <v>46040</v>
      </c>
      <c r="C2719" s="165" t="str">
        <f>IFERROR(__xludf.DUMMYFUNCTION("""COMPUTED_VALUE"""),"KYAI KONTONG")</f>
        <v>KYAI KONTONG</v>
      </c>
      <c r="D2719" s="94">
        <f>IFERROR(__xludf.DUMMYFUNCTION("""COMPUTED_VALUE"""),10.0)</f>
        <v>10</v>
      </c>
    </row>
    <row r="2720">
      <c r="A2720" s="87" t="str">
        <f>IFERROR(__xludf.DUMMYFUNCTION("""COMPUTED_VALUE"""),"ITBISA-LED-SUPERBRIGHT-5MM-RED")</f>
        <v>ITBISA-LED-SUPERBRIGHT-5MM-RED</v>
      </c>
      <c r="B2720" s="165">
        <f>IFERROR(__xludf.DUMMYFUNCTION("""COMPUTED_VALUE"""),46043.0)</f>
        <v>46043</v>
      </c>
      <c r="C2720" s="165" t="str">
        <f>IFERROR(__xludf.DUMMYFUNCTION("""COMPUTED_VALUE"""),"KERTASARI CIAMIS")</f>
        <v>KERTASARI CIAMIS</v>
      </c>
      <c r="D2720" s="94">
        <f>IFERROR(__xludf.DUMMYFUNCTION("""COMPUTED_VALUE"""),11.0)</f>
        <v>11</v>
      </c>
    </row>
    <row r="2721">
      <c r="A2721" s="87" t="str">
        <f>IFERROR(__xludf.DUMMYFUNCTION("""COMPUTED_VALUE"""),"ITBISA-LED-SUPERBRIGHT-5MM-RED")</f>
        <v>ITBISA-LED-SUPERBRIGHT-5MM-RED</v>
      </c>
      <c r="B2721" s="165">
        <f>IFERROR(__xludf.DUMMYFUNCTION("""COMPUTED_VALUE"""),46044.0)</f>
        <v>46044</v>
      </c>
      <c r="C2721" s="165" t="str">
        <f>IFERROR(__xludf.DUMMYFUNCTION("""COMPUTED_VALUE"""),"KERTASARI CIAMIS")</f>
        <v>KERTASARI CIAMIS</v>
      </c>
      <c r="D2721" s="94">
        <f>IFERROR(__xludf.DUMMYFUNCTION("""COMPUTED_VALUE"""),2.0)</f>
        <v>2</v>
      </c>
    </row>
    <row r="2722">
      <c r="A2722" s="87" t="str">
        <f>IFERROR(__xludf.DUMMYFUNCTION("""COMPUTED_VALUE"""),"ITBISA-LED-SUPERBRIGHT-5MM-RED")</f>
        <v>ITBISA-LED-SUPERBRIGHT-5MM-RED</v>
      </c>
      <c r="B2722" s="165">
        <f>IFERROR(__xludf.DUMMYFUNCTION("""COMPUTED_VALUE"""),46044.0)</f>
        <v>46044</v>
      </c>
      <c r="C2722" s="165" t="str">
        <f>IFERROR(__xludf.DUMMYFUNCTION("""COMPUTED_VALUE"""),"KERTASARI CIAMIS")</f>
        <v>KERTASARI CIAMIS</v>
      </c>
      <c r="D2722" s="94">
        <f>IFERROR(__xludf.DUMMYFUNCTION("""COMPUTED_VALUE"""),3.0)</f>
        <v>3</v>
      </c>
    </row>
    <row r="2723">
      <c r="A2723" s="87" t="str">
        <f>IFERROR(__xludf.DUMMYFUNCTION("""COMPUTED_VALUE"""),"ITBISA-LED-SUPERBRIGHT-5MM-RED")</f>
        <v>ITBISA-LED-SUPERBRIGHT-5MM-RED</v>
      </c>
      <c r="B2723" s="165">
        <f>IFERROR(__xludf.DUMMYFUNCTION("""COMPUTED_VALUE"""),46044.0)</f>
        <v>46044</v>
      </c>
      <c r="C2723" s="165" t="str">
        <f>IFERROR(__xludf.DUMMYFUNCTION("""COMPUTED_VALUE"""),"KERTASARI CIAMIS")</f>
        <v>KERTASARI CIAMIS</v>
      </c>
      <c r="D2723" s="94">
        <f>IFERROR(__xludf.DUMMYFUNCTION("""COMPUTED_VALUE"""),5.0)</f>
        <v>5</v>
      </c>
    </row>
    <row r="2724">
      <c r="A2724" s="87" t="str">
        <f>IFERROR(__xludf.DUMMYFUNCTION("""COMPUTED_VALUE"""),"ITBISA-LED-SUPERBRIGHT-5MM-RED")</f>
        <v>ITBISA-LED-SUPERBRIGHT-5MM-RED</v>
      </c>
      <c r="B2724" s="165">
        <f>IFERROR(__xludf.DUMMYFUNCTION("""COMPUTED_VALUE"""),46044.0)</f>
        <v>46044</v>
      </c>
      <c r="C2724" s="165" t="str">
        <f>IFERROR(__xludf.DUMMYFUNCTION("""COMPUTED_VALUE"""),"KERTASARI CIAMIS")</f>
        <v>KERTASARI CIAMIS</v>
      </c>
      <c r="D2724" s="94">
        <f>IFERROR(__xludf.DUMMYFUNCTION("""COMPUTED_VALUE"""),30.0)</f>
        <v>30</v>
      </c>
    </row>
    <row r="2725">
      <c r="A2725" s="87" t="str">
        <f>IFERROR(__xludf.DUMMYFUNCTION("""COMPUTED_VALUE"""),"ITBISA-LED-SUPERBRIGHT-5MM-RED")</f>
        <v>ITBISA-LED-SUPERBRIGHT-5MM-RED</v>
      </c>
      <c r="B2725" s="165">
        <f>IFERROR(__xludf.DUMMYFUNCTION("""COMPUTED_VALUE"""),46045.0)</f>
        <v>46045</v>
      </c>
      <c r="C2725" s="165" t="str">
        <f>IFERROR(__xludf.DUMMYFUNCTION("""COMPUTED_VALUE"""),"KERTASARI CIAMIS")</f>
        <v>KERTASARI CIAMIS</v>
      </c>
      <c r="D2725" s="94">
        <f>IFERROR(__xludf.DUMMYFUNCTION("""COMPUTED_VALUE"""),10.0)</f>
        <v>10</v>
      </c>
    </row>
    <row r="2726">
      <c r="A2726" s="87" t="str">
        <f>IFERROR(__xludf.DUMMYFUNCTION("""COMPUTED_VALUE"""),"ITBISA-LED-SUPERBRIGHT-5MM-RED")</f>
        <v>ITBISA-LED-SUPERBRIGHT-5MM-RED</v>
      </c>
      <c r="B2726" s="165">
        <f>IFERROR(__xludf.DUMMYFUNCTION("""COMPUTED_VALUE"""),46047.0)</f>
        <v>46047</v>
      </c>
      <c r="C2726" s="165" t="str">
        <f>IFERROR(__xludf.DUMMYFUNCTION("""COMPUTED_VALUE"""),"KERTASARI CIAMIS")</f>
        <v>KERTASARI CIAMIS</v>
      </c>
      <c r="D2726" s="94">
        <f>IFERROR(__xludf.DUMMYFUNCTION("""COMPUTED_VALUE"""),10.0)</f>
        <v>10</v>
      </c>
    </row>
    <row r="2727">
      <c r="A2727" s="87" t="str">
        <f>IFERROR(__xludf.DUMMYFUNCTION("""COMPUTED_VALUE"""),"ITBISA-LED-SUPERBRIGHT-5MM-RED")</f>
        <v>ITBISA-LED-SUPERBRIGHT-5MM-RED</v>
      </c>
      <c r="B2727" s="165">
        <f>IFERROR(__xludf.DUMMYFUNCTION("""COMPUTED_VALUE"""),46048.0)</f>
        <v>46048</v>
      </c>
      <c r="C2727" s="165" t="str">
        <f>IFERROR(__xludf.DUMMYFUNCTION("""COMPUTED_VALUE"""),"KYAI KONTONG")</f>
        <v>KYAI KONTONG</v>
      </c>
      <c r="D2727" s="94">
        <f>IFERROR(__xludf.DUMMYFUNCTION("""COMPUTED_VALUE"""),4.0)</f>
        <v>4</v>
      </c>
    </row>
    <row r="2728">
      <c r="A2728" s="87" t="str">
        <f>IFERROR(__xludf.DUMMYFUNCTION("""COMPUTED_VALUE"""),"ITBISA-LED-SUPERBRIGHT-5MM-RED")</f>
        <v>ITBISA-LED-SUPERBRIGHT-5MM-RED</v>
      </c>
      <c r="B2728" s="165">
        <f>IFERROR(__xludf.DUMMYFUNCTION("""COMPUTED_VALUE"""),46050.0)</f>
        <v>46050</v>
      </c>
      <c r="C2728" s="165" t="str">
        <f>IFERROR(__xludf.DUMMYFUNCTION("""COMPUTED_VALUE"""),"KERTASARI CIAMIS")</f>
        <v>KERTASARI CIAMIS</v>
      </c>
      <c r="D2728" s="94">
        <f>IFERROR(__xludf.DUMMYFUNCTION("""COMPUTED_VALUE"""),5.0)</f>
        <v>5</v>
      </c>
    </row>
    <row r="2729">
      <c r="A2729" s="87" t="str">
        <f>IFERROR(__xludf.DUMMYFUNCTION("""COMPUTED_VALUE"""),"ITBISA-LED-SUPERBRIGHT-5MM-RED")</f>
        <v>ITBISA-LED-SUPERBRIGHT-5MM-RED</v>
      </c>
      <c r="B2729" s="165">
        <f>IFERROR(__xludf.DUMMYFUNCTION("""COMPUTED_VALUE"""),46051.0)</f>
        <v>46051</v>
      </c>
      <c r="C2729" s="165" t="str">
        <f>IFERROR(__xludf.DUMMYFUNCTION("""COMPUTED_VALUE"""),"KYAI KONTONG")</f>
        <v>KYAI KONTONG</v>
      </c>
      <c r="D2729" s="94">
        <f>IFERROR(__xludf.DUMMYFUNCTION("""COMPUTED_VALUE"""),15.0)</f>
        <v>15</v>
      </c>
    </row>
    <row r="2730">
      <c r="A2730" s="87" t="str">
        <f>IFERROR(__xludf.DUMMYFUNCTION("""COMPUTED_VALUE"""),"ITBISA-LED-SUPERBRIGHT-5MM-RED")</f>
        <v>ITBISA-LED-SUPERBRIGHT-5MM-RED</v>
      </c>
      <c r="B2730" s="165">
        <f>IFERROR(__xludf.DUMMYFUNCTION("""COMPUTED_VALUE"""),46052.0)</f>
        <v>46052</v>
      </c>
      <c r="C2730" s="165" t="str">
        <f>IFERROR(__xludf.DUMMYFUNCTION("""COMPUTED_VALUE"""),"KERTASARI CIAMIS")</f>
        <v>KERTASARI CIAMIS</v>
      </c>
      <c r="D2730" s="94">
        <f>IFERROR(__xludf.DUMMYFUNCTION("""COMPUTED_VALUE"""),5.0)</f>
        <v>5</v>
      </c>
    </row>
    <row r="2731">
      <c r="A2731" s="87" t="str">
        <f>IFERROR(__xludf.DUMMYFUNCTION("""COMPUTED_VALUE"""),"ITBISA-LED-SUPERBRIGHT-5MM-RED")</f>
        <v>ITBISA-LED-SUPERBRIGHT-5MM-RED</v>
      </c>
      <c r="B2731" s="165">
        <f>IFERROR(__xludf.DUMMYFUNCTION("""COMPUTED_VALUE"""),46053.0)</f>
        <v>46053</v>
      </c>
      <c r="C2731" s="165" t="str">
        <f>IFERROR(__xludf.DUMMYFUNCTION("""COMPUTED_VALUE"""),"KERTASARI CIAMIS")</f>
        <v>KERTASARI CIAMIS</v>
      </c>
      <c r="D2731" s="94">
        <f>IFERROR(__xludf.DUMMYFUNCTION("""COMPUTED_VALUE"""),5.0)</f>
        <v>5</v>
      </c>
    </row>
    <row r="2732">
      <c r="A2732" s="87" t="str">
        <f>IFERROR(__xludf.DUMMYFUNCTION("""COMPUTED_VALUE"""),"ITBISA-LED-SUPERBRIGHT-5MM-RED")</f>
        <v>ITBISA-LED-SUPERBRIGHT-5MM-RED</v>
      </c>
      <c r="B2732" s="165">
        <f>IFERROR(__xludf.DUMMYFUNCTION("""COMPUTED_VALUE"""),46053.0)</f>
        <v>46053</v>
      </c>
      <c r="C2732" s="165" t="str">
        <f>IFERROR(__xludf.DUMMYFUNCTION("""COMPUTED_VALUE"""),"KERTASARI CIAMIS")</f>
        <v>KERTASARI CIAMIS</v>
      </c>
      <c r="D2732" s="94">
        <f>IFERROR(__xludf.DUMMYFUNCTION("""COMPUTED_VALUE"""),20.0)</f>
        <v>20</v>
      </c>
    </row>
    <row r="2733">
      <c r="A2733" s="87" t="str">
        <f>IFERROR(__xludf.DUMMYFUNCTION("""COMPUTED_VALUE"""),"ITBISA-LED-SUPERBRIGHT-5MM-RED")</f>
        <v>ITBISA-LED-SUPERBRIGHT-5MM-RED</v>
      </c>
      <c r="B2733" s="165">
        <f>IFERROR(__xludf.DUMMYFUNCTION("""COMPUTED_VALUE"""),46056.0)</f>
        <v>46056</v>
      </c>
      <c r="C2733" s="165" t="str">
        <f>IFERROR(__xludf.DUMMYFUNCTION("""COMPUTED_VALUE"""),"KYAI KONTONG")</f>
        <v>KYAI KONTONG</v>
      </c>
      <c r="D2733" s="94">
        <f>IFERROR(__xludf.DUMMYFUNCTION("""COMPUTED_VALUE"""),15.0)</f>
        <v>15</v>
      </c>
    </row>
    <row r="2734">
      <c r="A2734" s="87" t="str">
        <f>IFERROR(__xludf.DUMMYFUNCTION("""COMPUTED_VALUE"""),"ITBISA-LED-SUPERBRIGHT-5MM-RED")</f>
        <v>ITBISA-LED-SUPERBRIGHT-5MM-RED</v>
      </c>
      <c r="B2734" s="165">
        <f>IFERROR(__xludf.DUMMYFUNCTION("""COMPUTED_VALUE"""),46061.0)</f>
        <v>46061</v>
      </c>
      <c r="C2734" s="165" t="str">
        <f>IFERROR(__xludf.DUMMYFUNCTION("""COMPUTED_VALUE"""),"KYAI KONTONG")</f>
        <v>KYAI KONTONG</v>
      </c>
      <c r="D2734" s="94">
        <f>IFERROR(__xludf.DUMMYFUNCTION("""COMPUTED_VALUE"""),15.0)</f>
        <v>15</v>
      </c>
    </row>
    <row r="2735">
      <c r="A2735" s="87" t="str">
        <f>IFERROR(__xludf.DUMMYFUNCTION("""COMPUTED_VALUE"""),"ITBISA-LED-SUPERBRIGHT-5MM-RED")</f>
        <v>ITBISA-LED-SUPERBRIGHT-5MM-RED</v>
      </c>
      <c r="B2735" s="165">
        <f>IFERROR(__xludf.DUMMYFUNCTION("""COMPUTED_VALUE"""),46063.0)</f>
        <v>46063</v>
      </c>
      <c r="C2735" s="165" t="str">
        <f>IFERROR(__xludf.DUMMYFUNCTION("""COMPUTED_VALUE"""),"KYAI KONTONG")</f>
        <v>KYAI KONTONG</v>
      </c>
      <c r="D2735" s="94">
        <f>IFERROR(__xludf.DUMMYFUNCTION("""COMPUTED_VALUE"""),20.0)</f>
        <v>20</v>
      </c>
    </row>
    <row r="2736">
      <c r="A2736" s="87" t="str">
        <f>IFERROR(__xludf.DUMMYFUNCTION("""COMPUTED_VALUE"""),"ITBISA-LED-SUPERBRIGHT-5MM-RED")</f>
        <v>ITBISA-LED-SUPERBRIGHT-5MM-RED</v>
      </c>
      <c r="B2736" s="165">
        <f>IFERROR(__xludf.DUMMYFUNCTION("""COMPUTED_VALUE"""),46065.0)</f>
        <v>46065</v>
      </c>
      <c r="C2736" s="165" t="str">
        <f>IFERROR(__xludf.DUMMYFUNCTION("""COMPUTED_VALUE"""),"KERTASARI CIAMIS")</f>
        <v>KERTASARI CIAMIS</v>
      </c>
      <c r="D2736" s="94">
        <f>IFERROR(__xludf.DUMMYFUNCTION("""COMPUTED_VALUE"""),5.0)</f>
        <v>5</v>
      </c>
    </row>
    <row r="2737">
      <c r="A2737" s="87" t="str">
        <f>IFERROR(__xludf.DUMMYFUNCTION("""COMPUTED_VALUE"""),"ITBISA-LED-SUPERBRIGHT-5MM-RED")</f>
        <v>ITBISA-LED-SUPERBRIGHT-5MM-RED</v>
      </c>
      <c r="B2737" s="165">
        <f>IFERROR(__xludf.DUMMYFUNCTION("""COMPUTED_VALUE"""),46072.0)</f>
        <v>46072</v>
      </c>
      <c r="C2737" s="165" t="str">
        <f>IFERROR(__xludf.DUMMYFUNCTION("""COMPUTED_VALUE"""),"KYAI KONTONG")</f>
        <v>KYAI KONTONG</v>
      </c>
      <c r="D2737" s="94">
        <f>IFERROR(__xludf.DUMMYFUNCTION("""COMPUTED_VALUE"""),200.0)</f>
        <v>200</v>
      </c>
    </row>
    <row r="2738">
      <c r="A2738" s="87" t="str">
        <f>IFERROR(__xludf.DUMMYFUNCTION("""COMPUTED_VALUE"""),"ITBISA-LED-SUPERBRIGHT-5MM-RED")</f>
        <v>ITBISA-LED-SUPERBRIGHT-5MM-RED</v>
      </c>
      <c r="B2738" s="165">
        <f>IFERROR(__xludf.DUMMYFUNCTION("""COMPUTED_VALUE"""),46103.0)</f>
        <v>46103</v>
      </c>
      <c r="C2738" s="165" t="str">
        <f>IFERROR(__xludf.DUMMYFUNCTION("""COMPUTED_VALUE"""),"KYAI KONTONG")</f>
        <v>KYAI KONTONG</v>
      </c>
      <c r="D2738" s="94">
        <f>IFERROR(__xludf.DUMMYFUNCTION("""COMPUTED_VALUE"""),15.0)</f>
        <v>15</v>
      </c>
    </row>
    <row r="2739">
      <c r="A2739" s="87" t="str">
        <f>IFERROR(__xludf.DUMMYFUNCTION("""COMPUTED_VALUE"""),"ITBISA-LED-SUPERBRIGHT-5MM-RED")</f>
        <v>ITBISA-LED-SUPERBRIGHT-5MM-RED</v>
      </c>
      <c r="B2739" s="165">
        <f>IFERROR(__xludf.DUMMYFUNCTION("""COMPUTED_VALUE"""),46119.0)</f>
        <v>46119</v>
      </c>
      <c r="C2739" s="165" t="str">
        <f>IFERROR(__xludf.DUMMYFUNCTION("""COMPUTED_VALUE"""),"KYAI KONTONG")</f>
        <v>KYAI KONTONG</v>
      </c>
      <c r="D2739" s="94">
        <f>IFERROR(__xludf.DUMMYFUNCTION("""COMPUTED_VALUE"""),20.0)</f>
        <v>20</v>
      </c>
    </row>
    <row r="2740">
      <c r="A2740" s="87" t="str">
        <f>IFERROR(__xludf.DUMMYFUNCTION("""COMPUTED_VALUE"""),"ITBISA-LED-SUPERBRIGHT-5MM-RED")</f>
        <v>ITBISA-LED-SUPERBRIGHT-5MM-RED</v>
      </c>
      <c r="B2740" s="165">
        <f>IFERROR(__xludf.DUMMYFUNCTION("""COMPUTED_VALUE"""),46122.0)</f>
        <v>46122</v>
      </c>
      <c r="C2740" s="165" t="str">
        <f>IFERROR(__xludf.DUMMYFUNCTION("""COMPUTED_VALUE"""),"KYAI KONTONG")</f>
        <v>KYAI KONTONG</v>
      </c>
      <c r="D2740" s="94">
        <f>IFERROR(__xludf.DUMMYFUNCTION("""COMPUTED_VALUE"""),15.0)</f>
        <v>15</v>
      </c>
    </row>
    <row r="2741">
      <c r="A2741" s="87" t="str">
        <f>IFERROR(__xludf.DUMMYFUNCTION("""COMPUTED_VALUE"""),"ITBISA-LED-SUPERBRIGHT-5MM-RED")</f>
        <v>ITBISA-LED-SUPERBRIGHT-5MM-RED</v>
      </c>
      <c r="B2741" s="165">
        <f>IFERROR(__xludf.DUMMYFUNCTION("""COMPUTED_VALUE"""),46124.0)</f>
        <v>46124</v>
      </c>
      <c r="C2741" s="165" t="str">
        <f>IFERROR(__xludf.DUMMYFUNCTION("""COMPUTED_VALUE"""),"KYAI KONTONG")</f>
        <v>KYAI KONTONG</v>
      </c>
      <c r="D2741" s="94">
        <f>IFERROR(__xludf.DUMMYFUNCTION("""COMPUTED_VALUE"""),15.0)</f>
        <v>15</v>
      </c>
    </row>
    <row r="2742">
      <c r="A2742" s="87" t="str">
        <f>IFERROR(__xludf.DUMMYFUNCTION("""COMPUTED_VALUE"""),"ITBISA-LED-SUPERBRIGHT-5MM-RED")</f>
        <v>ITBISA-LED-SUPERBRIGHT-5MM-RED</v>
      </c>
      <c r="B2742" s="165">
        <f>IFERROR(__xludf.DUMMYFUNCTION("""COMPUTED_VALUE"""),46132.0)</f>
        <v>46132</v>
      </c>
      <c r="C2742" s="165" t="str">
        <f>IFERROR(__xludf.DUMMYFUNCTION("""COMPUTED_VALUE"""),"KYAI KONTONG")</f>
        <v>KYAI KONTONG</v>
      </c>
      <c r="D2742" s="94">
        <f>IFERROR(__xludf.DUMMYFUNCTION("""COMPUTED_VALUE"""),10.0)</f>
        <v>10</v>
      </c>
    </row>
    <row r="2743">
      <c r="A2743" s="87" t="str">
        <f>IFERROR(__xludf.DUMMYFUNCTION("""COMPUTED_VALUE"""),"ITBISA-LED-SUPERBRIGHT-5MM-RED")</f>
        <v>ITBISA-LED-SUPERBRIGHT-5MM-RED</v>
      </c>
      <c r="B2743" s="165">
        <f>IFERROR(__xludf.DUMMYFUNCTION("""COMPUTED_VALUE"""),46132.0)</f>
        <v>46132</v>
      </c>
      <c r="C2743" s="165" t="str">
        <f>IFERROR(__xludf.DUMMYFUNCTION("""COMPUTED_VALUE"""),"KYAI KONTONG")</f>
        <v>KYAI KONTONG</v>
      </c>
      <c r="D2743" s="94">
        <f>IFERROR(__xludf.DUMMYFUNCTION("""COMPUTED_VALUE"""),15.0)</f>
        <v>15</v>
      </c>
    </row>
    <row r="2744">
      <c r="A2744" s="87" t="str">
        <f>IFERROR(__xludf.DUMMYFUNCTION("""COMPUTED_VALUE"""),"ITBISA-LED-SUPERBRIGHT-5MM-RED")</f>
        <v>ITBISA-LED-SUPERBRIGHT-5MM-RED</v>
      </c>
      <c r="B2744" s="165">
        <f>IFERROR(__xludf.DUMMYFUNCTION("""COMPUTED_VALUE"""),46133.0)</f>
        <v>46133</v>
      </c>
      <c r="C2744" s="165" t="str">
        <f>IFERROR(__xludf.DUMMYFUNCTION("""COMPUTED_VALUE"""),"KYAI KONTONG")</f>
        <v>KYAI KONTONG</v>
      </c>
      <c r="D2744" s="94">
        <f>IFERROR(__xludf.DUMMYFUNCTION("""COMPUTED_VALUE"""),5.0)</f>
        <v>5</v>
      </c>
    </row>
    <row r="2745">
      <c r="A2745" s="87" t="str">
        <f>IFERROR(__xludf.DUMMYFUNCTION("""COMPUTED_VALUE"""),"ITBISA-LED-SUPERBRIGHT-5MM-RED")</f>
        <v>ITBISA-LED-SUPERBRIGHT-5MM-RED</v>
      </c>
      <c r="B2745" s="165">
        <f>IFERROR(__xludf.DUMMYFUNCTION("""COMPUTED_VALUE"""),46133.0)</f>
        <v>46133</v>
      </c>
      <c r="C2745" s="165" t="str">
        <f>IFERROR(__xludf.DUMMYFUNCTION("""COMPUTED_VALUE"""),"KYAI KONTONG")</f>
        <v>KYAI KONTONG</v>
      </c>
      <c r="D2745" s="94">
        <f>IFERROR(__xludf.DUMMYFUNCTION("""COMPUTED_VALUE"""),15.0)</f>
        <v>15</v>
      </c>
    </row>
    <row r="2746">
      <c r="A2746" s="87" t="str">
        <f>IFERROR(__xludf.DUMMYFUNCTION("""COMPUTED_VALUE"""),"ITBISA-LED-SUPERBRIGHT-5MM-RED")</f>
        <v>ITBISA-LED-SUPERBRIGHT-5MM-RED</v>
      </c>
      <c r="B2746" s="165">
        <f>IFERROR(__xludf.DUMMYFUNCTION("""COMPUTED_VALUE"""),46143.0)</f>
        <v>46143</v>
      </c>
      <c r="C2746" s="165" t="str">
        <f>IFERROR(__xludf.DUMMYFUNCTION("""COMPUTED_VALUE"""),"KYAI KONTONG")</f>
        <v>KYAI KONTONG</v>
      </c>
      <c r="D2746" s="94">
        <f>IFERROR(__xludf.DUMMYFUNCTION("""COMPUTED_VALUE"""),1.0)</f>
        <v>1</v>
      </c>
    </row>
    <row r="2747">
      <c r="A2747" s="87" t="str">
        <f>IFERROR(__xludf.DUMMYFUNCTION("""COMPUTED_VALUE"""),"ITBISA-LED-SUPERBRIGHT-5MM-RED")</f>
        <v>ITBISA-LED-SUPERBRIGHT-5MM-RED</v>
      </c>
      <c r="B2747" s="165">
        <f>IFERROR(__xludf.DUMMYFUNCTION("""COMPUTED_VALUE"""),46144.0)</f>
        <v>46144</v>
      </c>
      <c r="C2747" s="165" t="str">
        <f>IFERROR(__xludf.DUMMYFUNCTION("""COMPUTED_VALUE"""),"KYAI KONTONG")</f>
        <v>KYAI KONTONG</v>
      </c>
      <c r="D2747" s="94">
        <f>IFERROR(__xludf.DUMMYFUNCTION("""COMPUTED_VALUE"""),15.0)</f>
        <v>15</v>
      </c>
    </row>
    <row r="2748">
      <c r="A2748" s="87" t="str">
        <f>IFERROR(__xludf.DUMMYFUNCTION("""COMPUTED_VALUE"""),"ITBISA-LED-SUPERBRIGHT-5MM-RED")</f>
        <v>ITBISA-LED-SUPERBRIGHT-5MM-RED</v>
      </c>
      <c r="B2748" s="165">
        <f>IFERROR(__xludf.DUMMYFUNCTION("""COMPUTED_VALUE"""),46148.0)</f>
        <v>46148</v>
      </c>
      <c r="C2748" s="165" t="str">
        <f>IFERROR(__xludf.DUMMYFUNCTION("""COMPUTED_VALUE"""),"KYAI KONTONG")</f>
        <v>KYAI KONTONG</v>
      </c>
      <c r="D2748" s="94">
        <f>IFERROR(__xludf.DUMMYFUNCTION("""COMPUTED_VALUE"""),15.0)</f>
        <v>15</v>
      </c>
    </row>
    <row r="2749">
      <c r="A2749" s="87" t="str">
        <f>IFERROR(__xludf.DUMMYFUNCTION("""COMPUTED_VALUE"""),"ITBISA-LED-SUPERBRIGHT-5MM-RED")</f>
        <v>ITBISA-LED-SUPERBRIGHT-5MM-RED</v>
      </c>
      <c r="B2749" s="165">
        <f>IFERROR(__xludf.DUMMYFUNCTION("""COMPUTED_VALUE"""),46149.0)</f>
        <v>46149</v>
      </c>
      <c r="C2749" s="165" t="str">
        <f>IFERROR(__xludf.DUMMYFUNCTION("""COMPUTED_VALUE"""),"KYAI KONTONG")</f>
        <v>KYAI KONTONG</v>
      </c>
      <c r="D2749" s="94">
        <f>IFERROR(__xludf.DUMMYFUNCTION("""COMPUTED_VALUE"""),3.0)</f>
        <v>3</v>
      </c>
    </row>
    <row r="2750">
      <c r="A2750" s="87" t="str">
        <f>IFERROR(__xludf.DUMMYFUNCTION("""COMPUTED_VALUE"""),"ITBISA-LED-SUPERBRIGHT-5MM-RED")</f>
        <v>ITBISA-LED-SUPERBRIGHT-5MM-RED</v>
      </c>
      <c r="B2750" s="165">
        <f>IFERROR(__xludf.DUMMYFUNCTION("""COMPUTED_VALUE"""),46157.0)</f>
        <v>46157</v>
      </c>
      <c r="C2750" s="165" t="str">
        <f>IFERROR(__xludf.DUMMYFUNCTION("""COMPUTED_VALUE"""),"KYAI KONTONG")</f>
        <v>KYAI KONTONG</v>
      </c>
      <c r="D2750" s="94">
        <f>IFERROR(__xludf.DUMMYFUNCTION("""COMPUTED_VALUE"""),5.0)</f>
        <v>5</v>
      </c>
    </row>
    <row r="2751">
      <c r="A2751" s="87" t="str">
        <f>IFERROR(__xludf.DUMMYFUNCTION("""COMPUTED_VALUE"""),"ITBISA-LED-SUPERBRIGHT-5MM-RED")</f>
        <v>ITBISA-LED-SUPERBRIGHT-5MM-RED</v>
      </c>
      <c r="B2751" s="165">
        <f>IFERROR(__xludf.DUMMYFUNCTION("""COMPUTED_VALUE"""),46157.0)</f>
        <v>46157</v>
      </c>
      <c r="C2751" s="165" t="str">
        <f>IFERROR(__xludf.DUMMYFUNCTION("""COMPUTED_VALUE"""),"KYAI KONTONG")</f>
        <v>KYAI KONTONG</v>
      </c>
      <c r="D2751" s="94">
        <f>IFERROR(__xludf.DUMMYFUNCTION("""COMPUTED_VALUE"""),720.0)</f>
        <v>720</v>
      </c>
    </row>
    <row r="2752">
      <c r="A2752" s="87" t="str">
        <f>IFERROR(__xludf.DUMMYFUNCTION("""COMPUTED_VALUE"""),"ITBISA-LED-SUPERBRIGHT-5MM-RED")</f>
        <v>ITBISA-LED-SUPERBRIGHT-5MM-RED</v>
      </c>
      <c r="B2752" s="165">
        <f>IFERROR(__xludf.DUMMYFUNCTION("""COMPUTED_VALUE"""),46164.0)</f>
        <v>46164</v>
      </c>
      <c r="C2752" s="165" t="str">
        <f>IFERROR(__xludf.DUMMYFUNCTION("""COMPUTED_VALUE"""),"KYAI KONTONG")</f>
        <v>KYAI KONTONG</v>
      </c>
      <c r="D2752" s="94">
        <f>IFERROR(__xludf.DUMMYFUNCTION("""COMPUTED_VALUE"""),15.0)</f>
        <v>15</v>
      </c>
    </row>
    <row r="2753">
      <c r="A2753" s="87" t="str">
        <f>IFERROR(__xludf.DUMMYFUNCTION("""COMPUTED_VALUE"""),"ITBISA-LED-SUPERBRIGHT-5MM-RED")</f>
        <v>ITBISA-LED-SUPERBRIGHT-5MM-RED</v>
      </c>
      <c r="B2753" s="165">
        <f>IFERROR(__xludf.DUMMYFUNCTION("""COMPUTED_VALUE"""),46165.0)</f>
        <v>46165</v>
      </c>
      <c r="C2753" s="165" t="str">
        <f>IFERROR(__xludf.DUMMYFUNCTION("""COMPUTED_VALUE"""),"KYAI KONTONG")</f>
        <v>KYAI KONTONG</v>
      </c>
      <c r="D2753" s="94">
        <f>IFERROR(__xludf.DUMMYFUNCTION("""COMPUTED_VALUE"""),6.0)</f>
        <v>6</v>
      </c>
    </row>
    <row r="2754">
      <c r="A2754" s="87" t="str">
        <f>IFERROR(__xludf.DUMMYFUNCTION("""COMPUTED_VALUE"""),"ITBISA-LED-SUPERBRIGHT-5MM-RED")</f>
        <v>ITBISA-LED-SUPERBRIGHT-5MM-RED</v>
      </c>
      <c r="B2754" s="165">
        <f>IFERROR(__xludf.DUMMYFUNCTION("""COMPUTED_VALUE"""),46168.0)</f>
        <v>46168</v>
      </c>
      <c r="C2754" s="165" t="str">
        <f>IFERROR(__xludf.DUMMYFUNCTION("""COMPUTED_VALUE"""),"KYAI KONTONG")</f>
        <v>KYAI KONTONG</v>
      </c>
      <c r="D2754" s="94">
        <f>IFERROR(__xludf.DUMMYFUNCTION("""COMPUTED_VALUE"""),5.0)</f>
        <v>5</v>
      </c>
    </row>
    <row r="2755">
      <c r="A2755" s="87" t="str">
        <f>IFERROR(__xludf.DUMMYFUNCTION("""COMPUTED_VALUE"""),"ITBISA-LED-SUPERBRIGHT-5MM-RED")</f>
        <v>ITBISA-LED-SUPERBRIGHT-5MM-RED</v>
      </c>
      <c r="B2755" s="165">
        <f>IFERROR(__xludf.DUMMYFUNCTION("""COMPUTED_VALUE"""),46168.0)</f>
        <v>46168</v>
      </c>
      <c r="C2755" s="165" t="str">
        <f>IFERROR(__xludf.DUMMYFUNCTION("""COMPUTED_VALUE"""),"KYAI KONTONG")</f>
        <v>KYAI KONTONG</v>
      </c>
      <c r="D2755" s="94">
        <f>IFERROR(__xludf.DUMMYFUNCTION("""COMPUTED_VALUE"""),20.0)</f>
        <v>20</v>
      </c>
    </row>
    <row r="2756">
      <c r="A2756" s="87" t="str">
        <f>IFERROR(__xludf.DUMMYFUNCTION("""COMPUTED_VALUE"""),"ITBISA-LED-SUPERBRIGHT-5MM-RED")</f>
        <v>ITBISA-LED-SUPERBRIGHT-5MM-RED</v>
      </c>
      <c r="B2756" s="165">
        <f>IFERROR(__xludf.DUMMYFUNCTION("""COMPUTED_VALUE"""),46176.0)</f>
        <v>46176</v>
      </c>
      <c r="C2756" s="165" t="str">
        <f>IFERROR(__xludf.DUMMYFUNCTION("""COMPUTED_VALUE"""),"KYAI KONTONG")</f>
        <v>KYAI KONTONG</v>
      </c>
      <c r="D2756" s="94">
        <f>IFERROR(__xludf.DUMMYFUNCTION("""COMPUTED_VALUE"""),5.0)</f>
        <v>5</v>
      </c>
    </row>
    <row r="2757">
      <c r="A2757" s="87" t="str">
        <f>IFERROR(__xludf.DUMMYFUNCTION("""COMPUTED_VALUE"""),"ITBISA-LED-SUPERBRIGHT-5MM-RED")</f>
        <v>ITBISA-LED-SUPERBRIGHT-5MM-RED</v>
      </c>
      <c r="B2757" s="165">
        <f>IFERROR(__xludf.DUMMYFUNCTION("""COMPUTED_VALUE"""),46177.0)</f>
        <v>46177</v>
      </c>
      <c r="C2757" s="165" t="str">
        <f>IFERROR(__xludf.DUMMYFUNCTION("""COMPUTED_VALUE"""),"KYAI KONTONG")</f>
        <v>KYAI KONTONG</v>
      </c>
      <c r="D2757" s="94">
        <f>IFERROR(__xludf.DUMMYFUNCTION("""COMPUTED_VALUE"""),6.0)</f>
        <v>6</v>
      </c>
    </row>
    <row r="2758">
      <c r="A2758" s="87" t="str">
        <f>IFERROR(__xludf.DUMMYFUNCTION("""COMPUTED_VALUE"""),"ITBISA-LED-SUPERBRIGHT-5MM-RED")</f>
        <v>ITBISA-LED-SUPERBRIGHT-5MM-RED</v>
      </c>
      <c r="B2758" s="165">
        <f>IFERROR(__xludf.DUMMYFUNCTION("""COMPUTED_VALUE"""),46185.0)</f>
        <v>46185</v>
      </c>
      <c r="C2758" s="165" t="str">
        <f>IFERROR(__xludf.DUMMYFUNCTION("""COMPUTED_VALUE"""),"KYAI KONTONG")</f>
        <v>KYAI KONTONG</v>
      </c>
      <c r="D2758" s="94">
        <f>IFERROR(__xludf.DUMMYFUNCTION("""COMPUTED_VALUE"""),5.0)</f>
        <v>5</v>
      </c>
    </row>
    <row r="2759">
      <c r="A2759" s="87" t="str">
        <f>IFERROR(__xludf.DUMMYFUNCTION("""COMPUTED_VALUE"""),"ITBISA-LED-SUPERBRIGHT-5MM-RED")</f>
        <v>ITBISA-LED-SUPERBRIGHT-5MM-RED</v>
      </c>
      <c r="B2759" s="165">
        <f>IFERROR(__xludf.DUMMYFUNCTION("""COMPUTED_VALUE"""),46188.0)</f>
        <v>46188</v>
      </c>
      <c r="C2759" s="165" t="str">
        <f>IFERROR(__xludf.DUMMYFUNCTION("""COMPUTED_VALUE"""),"KYAI KONTONG")</f>
        <v>KYAI KONTONG</v>
      </c>
      <c r="D2759" s="94">
        <f>IFERROR(__xludf.DUMMYFUNCTION("""COMPUTED_VALUE"""),50.0)</f>
        <v>50</v>
      </c>
    </row>
    <row r="2760">
      <c r="A2760" s="87" t="str">
        <f>IFERROR(__xludf.DUMMYFUNCTION("""COMPUTED_VALUE"""),"ITBISA-LED-SUPERBRIGHT-5MM-RED")</f>
        <v>ITBISA-LED-SUPERBRIGHT-5MM-RED</v>
      </c>
      <c r="B2760" s="165">
        <f>IFERROR(__xludf.DUMMYFUNCTION("""COMPUTED_VALUE"""),46196.0)</f>
        <v>46196</v>
      </c>
      <c r="C2760" s="165" t="str">
        <f>IFERROR(__xludf.DUMMYFUNCTION("""COMPUTED_VALUE"""),"KYAI KONTONG")</f>
        <v>KYAI KONTONG</v>
      </c>
      <c r="D2760" s="94">
        <f>IFERROR(__xludf.DUMMYFUNCTION("""COMPUTED_VALUE"""),30.0)</f>
        <v>30</v>
      </c>
    </row>
    <row r="2761">
      <c r="A2761" s="87" t="str">
        <f>IFERROR(__xludf.DUMMYFUNCTION("""COMPUTED_VALUE"""),"ITBISA-LED-SUPERBRIGHT-5MM-WHITE")</f>
        <v>ITBISA-LED-SUPERBRIGHT-5MM-WHITE</v>
      </c>
      <c r="B2761" s="165">
        <f>IFERROR(__xludf.DUMMYFUNCTION("""COMPUTED_VALUE"""),46025.0)</f>
        <v>46025</v>
      </c>
      <c r="C2761" s="165" t="str">
        <f>IFERROR(__xludf.DUMMYFUNCTION("""COMPUTED_VALUE"""),"KYAI KONTONG")</f>
        <v>KYAI KONTONG</v>
      </c>
      <c r="D2761" s="94">
        <f>IFERROR(__xludf.DUMMYFUNCTION("""COMPUTED_VALUE"""),20.0)</f>
        <v>20</v>
      </c>
    </row>
    <row r="2762">
      <c r="A2762" s="87" t="str">
        <f>IFERROR(__xludf.DUMMYFUNCTION("""COMPUTED_VALUE"""),"ITBISA-LED-SUPERBRIGHT-5MM-WHITE")</f>
        <v>ITBISA-LED-SUPERBRIGHT-5MM-WHITE</v>
      </c>
      <c r="B2762" s="165">
        <f>IFERROR(__xludf.DUMMYFUNCTION("""COMPUTED_VALUE"""),46026.0)</f>
        <v>46026</v>
      </c>
      <c r="C2762" s="165" t="str">
        <f>IFERROR(__xludf.DUMMYFUNCTION("""COMPUTED_VALUE"""),"KYAI KONTONG")</f>
        <v>KYAI KONTONG</v>
      </c>
      <c r="D2762" s="94">
        <f>IFERROR(__xludf.DUMMYFUNCTION("""COMPUTED_VALUE"""),10.0)</f>
        <v>10</v>
      </c>
    </row>
    <row r="2763">
      <c r="A2763" s="87" t="str">
        <f>IFERROR(__xludf.DUMMYFUNCTION("""COMPUTED_VALUE"""),"ITBISA-LED-SUPERBRIGHT-5MM-WHITE")</f>
        <v>ITBISA-LED-SUPERBRIGHT-5MM-WHITE</v>
      </c>
      <c r="B2763" s="165">
        <f>IFERROR(__xludf.DUMMYFUNCTION("""COMPUTED_VALUE"""),46026.0)</f>
        <v>46026</v>
      </c>
      <c r="C2763" s="165" t="str">
        <f>IFERROR(__xludf.DUMMYFUNCTION("""COMPUTED_VALUE"""),"KYAI KONTONG")</f>
        <v>KYAI KONTONG</v>
      </c>
      <c r="D2763" s="94">
        <f>IFERROR(__xludf.DUMMYFUNCTION("""COMPUTED_VALUE"""),20.0)</f>
        <v>20</v>
      </c>
    </row>
    <row r="2764">
      <c r="A2764" s="87" t="str">
        <f>IFERROR(__xludf.DUMMYFUNCTION("""COMPUTED_VALUE"""),"ITBISA-LED-SUPERBRIGHT-5MM-WHITE")</f>
        <v>ITBISA-LED-SUPERBRIGHT-5MM-WHITE</v>
      </c>
      <c r="B2764" s="165">
        <f>IFERROR(__xludf.DUMMYFUNCTION("""COMPUTED_VALUE"""),46026.0)</f>
        <v>46026</v>
      </c>
      <c r="C2764" s="165" t="str">
        <f>IFERROR(__xludf.DUMMYFUNCTION("""COMPUTED_VALUE"""),"KYAI KONTONG")</f>
        <v>KYAI KONTONG</v>
      </c>
      <c r="D2764" s="94">
        <f>IFERROR(__xludf.DUMMYFUNCTION("""COMPUTED_VALUE"""),24.0)</f>
        <v>24</v>
      </c>
    </row>
    <row r="2765">
      <c r="A2765" s="87" t="str">
        <f>IFERROR(__xludf.DUMMYFUNCTION("""COMPUTED_VALUE"""),"ITBISA-LED-SUPERBRIGHT-5MM-WHITE")</f>
        <v>ITBISA-LED-SUPERBRIGHT-5MM-WHITE</v>
      </c>
      <c r="B2765" s="165">
        <f>IFERROR(__xludf.DUMMYFUNCTION("""COMPUTED_VALUE"""),46027.0)</f>
        <v>46027</v>
      </c>
      <c r="C2765" s="165" t="str">
        <f>IFERROR(__xludf.DUMMYFUNCTION("""COMPUTED_VALUE"""),"KERTASARI CIAMIS")</f>
        <v>KERTASARI CIAMIS</v>
      </c>
      <c r="D2765" s="94">
        <f>IFERROR(__xludf.DUMMYFUNCTION("""COMPUTED_VALUE"""),10.0)</f>
        <v>10</v>
      </c>
    </row>
    <row r="2766">
      <c r="A2766" s="87" t="str">
        <f>IFERROR(__xludf.DUMMYFUNCTION("""COMPUTED_VALUE"""),"ITBISA-LED-SUPERBRIGHT-5MM-WHITE")</f>
        <v>ITBISA-LED-SUPERBRIGHT-5MM-WHITE</v>
      </c>
      <c r="B2766" s="165">
        <f>IFERROR(__xludf.DUMMYFUNCTION("""COMPUTED_VALUE"""),46027.0)</f>
        <v>46027</v>
      </c>
      <c r="C2766" s="165" t="str">
        <f>IFERROR(__xludf.DUMMYFUNCTION("""COMPUTED_VALUE"""),"KYAI KONTONG")</f>
        <v>KYAI KONTONG</v>
      </c>
      <c r="D2766" s="94">
        <f>IFERROR(__xludf.DUMMYFUNCTION("""COMPUTED_VALUE"""),10.0)</f>
        <v>10</v>
      </c>
    </row>
    <row r="2767">
      <c r="A2767" s="87" t="str">
        <f>IFERROR(__xludf.DUMMYFUNCTION("""COMPUTED_VALUE"""),"ITBISA-LED-SUPERBRIGHT-5MM-WHITE")</f>
        <v>ITBISA-LED-SUPERBRIGHT-5MM-WHITE</v>
      </c>
      <c r="B2767" s="165">
        <f>IFERROR(__xludf.DUMMYFUNCTION("""COMPUTED_VALUE"""),46029.0)</f>
        <v>46029</v>
      </c>
      <c r="C2767" s="165" t="str">
        <f>IFERROR(__xludf.DUMMYFUNCTION("""COMPUTED_VALUE"""),"KYAI KONTONG")</f>
        <v>KYAI KONTONG</v>
      </c>
      <c r="D2767" s="94">
        <f>IFERROR(__xludf.DUMMYFUNCTION("""COMPUTED_VALUE"""),4.0)</f>
        <v>4</v>
      </c>
    </row>
    <row r="2768">
      <c r="A2768" s="87" t="str">
        <f>IFERROR(__xludf.DUMMYFUNCTION("""COMPUTED_VALUE"""),"ITBISA-LED-SUPERBRIGHT-5MM-WHITE")</f>
        <v>ITBISA-LED-SUPERBRIGHT-5MM-WHITE</v>
      </c>
      <c r="B2768" s="165">
        <f>IFERROR(__xludf.DUMMYFUNCTION("""COMPUTED_VALUE"""),46030.0)</f>
        <v>46030</v>
      </c>
      <c r="C2768" s="165" t="str">
        <f>IFERROR(__xludf.DUMMYFUNCTION("""COMPUTED_VALUE"""),"KYAI KONTONG")</f>
        <v>KYAI KONTONG</v>
      </c>
      <c r="D2768" s="94">
        <f>IFERROR(__xludf.DUMMYFUNCTION("""COMPUTED_VALUE"""),4.0)</f>
        <v>4</v>
      </c>
    </row>
    <row r="2769">
      <c r="A2769" s="87" t="str">
        <f>IFERROR(__xludf.DUMMYFUNCTION("""COMPUTED_VALUE"""),"ITBISA-LED-SUPERBRIGHT-5MM-WHITE")</f>
        <v>ITBISA-LED-SUPERBRIGHT-5MM-WHITE</v>
      </c>
      <c r="B2769" s="165">
        <f>IFERROR(__xludf.DUMMYFUNCTION("""COMPUTED_VALUE"""),46031.0)</f>
        <v>46031</v>
      </c>
      <c r="C2769" s="165" t="str">
        <f>IFERROR(__xludf.DUMMYFUNCTION("""COMPUTED_VALUE"""),"KYAI KONTONG")</f>
        <v>KYAI KONTONG</v>
      </c>
      <c r="D2769" s="94">
        <f>IFERROR(__xludf.DUMMYFUNCTION("""COMPUTED_VALUE"""),10.0)</f>
        <v>10</v>
      </c>
    </row>
    <row r="2770">
      <c r="A2770" s="87" t="str">
        <f>IFERROR(__xludf.DUMMYFUNCTION("""COMPUTED_VALUE"""),"ITBISA-LED-SUPERBRIGHT-5MM-WHITE")</f>
        <v>ITBISA-LED-SUPERBRIGHT-5MM-WHITE</v>
      </c>
      <c r="B2770" s="165">
        <f>IFERROR(__xludf.DUMMYFUNCTION("""COMPUTED_VALUE"""),46031.0)</f>
        <v>46031</v>
      </c>
      <c r="C2770" s="165" t="str">
        <f>IFERROR(__xludf.DUMMYFUNCTION("""COMPUTED_VALUE"""),"KYAI KONTONG")</f>
        <v>KYAI KONTONG</v>
      </c>
      <c r="D2770" s="94">
        <f>IFERROR(__xludf.DUMMYFUNCTION("""COMPUTED_VALUE"""),120.0)</f>
        <v>120</v>
      </c>
    </row>
    <row r="2771">
      <c r="A2771" s="87" t="str">
        <f>IFERROR(__xludf.DUMMYFUNCTION("""COMPUTED_VALUE"""),"ITBISA-LED-SUPERBRIGHT-5MM-WHITE")</f>
        <v>ITBISA-LED-SUPERBRIGHT-5MM-WHITE</v>
      </c>
      <c r="B2771" s="165">
        <f>IFERROR(__xludf.DUMMYFUNCTION("""COMPUTED_VALUE"""),46032.0)</f>
        <v>46032</v>
      </c>
      <c r="C2771" s="165" t="str">
        <f>IFERROR(__xludf.DUMMYFUNCTION("""COMPUTED_VALUE"""),"KERTASARI CIAMIS")</f>
        <v>KERTASARI CIAMIS</v>
      </c>
      <c r="D2771" s="94">
        <f>IFERROR(__xludf.DUMMYFUNCTION("""COMPUTED_VALUE"""),100.0)</f>
        <v>100</v>
      </c>
    </row>
    <row r="2772">
      <c r="A2772" s="87" t="str">
        <f>IFERROR(__xludf.DUMMYFUNCTION("""COMPUTED_VALUE"""),"ITBISA-LED-SUPERBRIGHT-5MM-WHITE")</f>
        <v>ITBISA-LED-SUPERBRIGHT-5MM-WHITE</v>
      </c>
      <c r="B2772" s="165">
        <f>IFERROR(__xludf.DUMMYFUNCTION("""COMPUTED_VALUE"""),46033.0)</f>
        <v>46033</v>
      </c>
      <c r="C2772" s="165" t="str">
        <f>IFERROR(__xludf.DUMMYFUNCTION("""COMPUTED_VALUE"""),"KERTASARI CIAMIS")</f>
        <v>KERTASARI CIAMIS</v>
      </c>
      <c r="D2772" s="94">
        <f>IFERROR(__xludf.DUMMYFUNCTION("""COMPUTED_VALUE"""),10.0)</f>
        <v>10</v>
      </c>
    </row>
    <row r="2773">
      <c r="A2773" s="87" t="str">
        <f>IFERROR(__xludf.DUMMYFUNCTION("""COMPUTED_VALUE"""),"ITBISA-LED-SUPERBRIGHT-5MM-WHITE")</f>
        <v>ITBISA-LED-SUPERBRIGHT-5MM-WHITE</v>
      </c>
      <c r="B2773" s="165">
        <f>IFERROR(__xludf.DUMMYFUNCTION("""COMPUTED_VALUE"""),46033.0)</f>
        <v>46033</v>
      </c>
      <c r="C2773" s="165" t="str">
        <f>IFERROR(__xludf.DUMMYFUNCTION("""COMPUTED_VALUE"""),"KYAI KONTONG")</f>
        <v>KYAI KONTONG</v>
      </c>
      <c r="D2773" s="94">
        <f>IFERROR(__xludf.DUMMYFUNCTION("""COMPUTED_VALUE"""),20.0)</f>
        <v>20</v>
      </c>
    </row>
    <row r="2774">
      <c r="A2774" s="87" t="str">
        <f>IFERROR(__xludf.DUMMYFUNCTION("""COMPUTED_VALUE"""),"ITBISA-LED-SUPERBRIGHT-5MM-WHITE")</f>
        <v>ITBISA-LED-SUPERBRIGHT-5MM-WHITE</v>
      </c>
      <c r="B2774" s="165">
        <f>IFERROR(__xludf.DUMMYFUNCTION("""COMPUTED_VALUE"""),46033.0)</f>
        <v>46033</v>
      </c>
      <c r="C2774" s="165" t="str">
        <f>IFERROR(__xludf.DUMMYFUNCTION("""COMPUTED_VALUE"""),"KYAI KONTONG")</f>
        <v>KYAI KONTONG</v>
      </c>
      <c r="D2774" s="94">
        <f>IFERROR(__xludf.DUMMYFUNCTION("""COMPUTED_VALUE"""),20.0)</f>
        <v>20</v>
      </c>
    </row>
    <row r="2775">
      <c r="A2775" s="87" t="str">
        <f>IFERROR(__xludf.DUMMYFUNCTION("""COMPUTED_VALUE"""),"ITBISA-LED-SUPERBRIGHT-5MM-WHITE")</f>
        <v>ITBISA-LED-SUPERBRIGHT-5MM-WHITE</v>
      </c>
      <c r="B2775" s="165">
        <f>IFERROR(__xludf.DUMMYFUNCTION("""COMPUTED_VALUE"""),46035.0)</f>
        <v>46035</v>
      </c>
      <c r="C2775" s="165" t="str">
        <f>IFERROR(__xludf.DUMMYFUNCTION("""COMPUTED_VALUE"""),"KYAI KONTONG")</f>
        <v>KYAI KONTONG</v>
      </c>
      <c r="D2775" s="94">
        <f>IFERROR(__xludf.DUMMYFUNCTION("""COMPUTED_VALUE"""),2.0)</f>
        <v>2</v>
      </c>
    </row>
    <row r="2776">
      <c r="A2776" s="87" t="str">
        <f>IFERROR(__xludf.DUMMYFUNCTION("""COMPUTED_VALUE"""),"ITBISA-LED-SUPERBRIGHT-5MM-WHITE")</f>
        <v>ITBISA-LED-SUPERBRIGHT-5MM-WHITE</v>
      </c>
      <c r="B2776" s="165">
        <f>IFERROR(__xludf.DUMMYFUNCTION("""COMPUTED_VALUE"""),46037.0)</f>
        <v>46037</v>
      </c>
      <c r="C2776" s="165" t="str">
        <f>IFERROR(__xludf.DUMMYFUNCTION("""COMPUTED_VALUE"""),"KYAI KONTONG")</f>
        <v>KYAI KONTONG</v>
      </c>
      <c r="D2776" s="94">
        <f>IFERROR(__xludf.DUMMYFUNCTION("""COMPUTED_VALUE"""),6.0)</f>
        <v>6</v>
      </c>
    </row>
    <row r="2777">
      <c r="A2777" s="87" t="str">
        <f>IFERROR(__xludf.DUMMYFUNCTION("""COMPUTED_VALUE"""),"ITBISA-LED-SUPERBRIGHT-5MM-WHITE")</f>
        <v>ITBISA-LED-SUPERBRIGHT-5MM-WHITE</v>
      </c>
      <c r="B2777" s="165">
        <f>IFERROR(__xludf.DUMMYFUNCTION("""COMPUTED_VALUE"""),46037.0)</f>
        <v>46037</v>
      </c>
      <c r="C2777" s="165" t="str">
        <f>IFERROR(__xludf.DUMMYFUNCTION("""COMPUTED_VALUE"""),"KYAI KONTONG")</f>
        <v>KYAI KONTONG</v>
      </c>
      <c r="D2777" s="94">
        <f>IFERROR(__xludf.DUMMYFUNCTION("""COMPUTED_VALUE"""),20.0)</f>
        <v>20</v>
      </c>
    </row>
    <row r="2778">
      <c r="A2778" s="87" t="str">
        <f>IFERROR(__xludf.DUMMYFUNCTION("""COMPUTED_VALUE"""),"ITBISA-LED-SUPERBRIGHT-5MM-WHITE")</f>
        <v>ITBISA-LED-SUPERBRIGHT-5MM-WHITE</v>
      </c>
      <c r="B2778" s="165">
        <f>IFERROR(__xludf.DUMMYFUNCTION("""COMPUTED_VALUE"""),46038.0)</f>
        <v>46038</v>
      </c>
      <c r="C2778" s="165" t="str">
        <f>IFERROR(__xludf.DUMMYFUNCTION("""COMPUTED_VALUE"""),"KERTASARI CIAMIS")</f>
        <v>KERTASARI CIAMIS</v>
      </c>
      <c r="D2778" s="94">
        <f>IFERROR(__xludf.DUMMYFUNCTION("""COMPUTED_VALUE"""),10.0)</f>
        <v>10</v>
      </c>
    </row>
    <row r="2779">
      <c r="A2779" s="87" t="str">
        <f>IFERROR(__xludf.DUMMYFUNCTION("""COMPUTED_VALUE"""),"ITBISA-LED-SUPERBRIGHT-5MM-WHITE")</f>
        <v>ITBISA-LED-SUPERBRIGHT-5MM-WHITE</v>
      </c>
      <c r="B2779" s="165">
        <f>IFERROR(__xludf.DUMMYFUNCTION("""COMPUTED_VALUE"""),46038.0)</f>
        <v>46038</v>
      </c>
      <c r="C2779" s="165" t="str">
        <f>IFERROR(__xludf.DUMMYFUNCTION("""COMPUTED_VALUE"""),"KERTASARI CIAMIS")</f>
        <v>KERTASARI CIAMIS</v>
      </c>
      <c r="D2779" s="94">
        <f>IFERROR(__xludf.DUMMYFUNCTION("""COMPUTED_VALUE"""),10.0)</f>
        <v>10</v>
      </c>
    </row>
    <row r="2780">
      <c r="A2780" s="87" t="str">
        <f>IFERROR(__xludf.DUMMYFUNCTION("""COMPUTED_VALUE"""),"ITBISA-LED-SUPERBRIGHT-5MM-WHITE")</f>
        <v>ITBISA-LED-SUPERBRIGHT-5MM-WHITE</v>
      </c>
      <c r="B2780" s="165">
        <f>IFERROR(__xludf.DUMMYFUNCTION("""COMPUTED_VALUE"""),46038.0)</f>
        <v>46038</v>
      </c>
      <c r="C2780" s="165" t="str">
        <f>IFERROR(__xludf.DUMMYFUNCTION("""COMPUTED_VALUE"""),"KERTASARI CIAMIS")</f>
        <v>KERTASARI CIAMIS</v>
      </c>
      <c r="D2780" s="94">
        <f>IFERROR(__xludf.DUMMYFUNCTION("""COMPUTED_VALUE"""),10.0)</f>
        <v>10</v>
      </c>
    </row>
    <row r="2781">
      <c r="A2781" s="87" t="str">
        <f>IFERROR(__xludf.DUMMYFUNCTION("""COMPUTED_VALUE"""),"ITBISA-LED-SUPERBRIGHT-5MM-WHITE")</f>
        <v>ITBISA-LED-SUPERBRIGHT-5MM-WHITE</v>
      </c>
      <c r="B2781" s="165">
        <f>IFERROR(__xludf.DUMMYFUNCTION("""COMPUTED_VALUE"""),46038.0)</f>
        <v>46038</v>
      </c>
      <c r="C2781" s="165" t="str">
        <f>IFERROR(__xludf.DUMMYFUNCTION("""COMPUTED_VALUE"""),"KERTASARI CIAMIS")</f>
        <v>KERTASARI CIAMIS</v>
      </c>
      <c r="D2781" s="94">
        <f>IFERROR(__xludf.DUMMYFUNCTION("""COMPUTED_VALUE"""),10.0)</f>
        <v>10</v>
      </c>
    </row>
    <row r="2782">
      <c r="A2782" s="87" t="str">
        <f>IFERROR(__xludf.DUMMYFUNCTION("""COMPUTED_VALUE"""),"ITBISA-LED-SUPERBRIGHT-5MM-WHITE")</f>
        <v>ITBISA-LED-SUPERBRIGHT-5MM-WHITE</v>
      </c>
      <c r="B2782" s="165">
        <f>IFERROR(__xludf.DUMMYFUNCTION("""COMPUTED_VALUE"""),46038.0)</f>
        <v>46038</v>
      </c>
      <c r="C2782" s="165" t="str">
        <f>IFERROR(__xludf.DUMMYFUNCTION("""COMPUTED_VALUE"""),"KERTASARI CIAMIS")</f>
        <v>KERTASARI CIAMIS</v>
      </c>
      <c r="D2782" s="94">
        <f>IFERROR(__xludf.DUMMYFUNCTION("""COMPUTED_VALUE"""),50.0)</f>
        <v>50</v>
      </c>
    </row>
    <row r="2783">
      <c r="A2783" s="87" t="str">
        <f>IFERROR(__xludf.DUMMYFUNCTION("""COMPUTED_VALUE"""),"ITBISA-LED-SUPERBRIGHT-5MM-WHITE")</f>
        <v>ITBISA-LED-SUPERBRIGHT-5MM-WHITE</v>
      </c>
      <c r="B2783" s="165">
        <f>IFERROR(__xludf.DUMMYFUNCTION("""COMPUTED_VALUE"""),46038.0)</f>
        <v>46038</v>
      </c>
      <c r="C2783" s="165" t="str">
        <f>IFERROR(__xludf.DUMMYFUNCTION("""COMPUTED_VALUE"""),"KYAI KONTONG")</f>
        <v>KYAI KONTONG</v>
      </c>
      <c r="D2783" s="94">
        <f>IFERROR(__xludf.DUMMYFUNCTION("""COMPUTED_VALUE"""),5.0)</f>
        <v>5</v>
      </c>
    </row>
    <row r="2784">
      <c r="A2784" s="87" t="str">
        <f>IFERROR(__xludf.DUMMYFUNCTION("""COMPUTED_VALUE"""),"ITBISA-LED-SUPERBRIGHT-5MM-WHITE")</f>
        <v>ITBISA-LED-SUPERBRIGHT-5MM-WHITE</v>
      </c>
      <c r="B2784" s="165">
        <f>IFERROR(__xludf.DUMMYFUNCTION("""COMPUTED_VALUE"""),46039.0)</f>
        <v>46039</v>
      </c>
      <c r="C2784" s="165" t="str">
        <f>IFERROR(__xludf.DUMMYFUNCTION("""COMPUTED_VALUE"""),"KYAI KONTONG")</f>
        <v>KYAI KONTONG</v>
      </c>
      <c r="D2784" s="94">
        <f>IFERROR(__xludf.DUMMYFUNCTION("""COMPUTED_VALUE"""),10.0)</f>
        <v>10</v>
      </c>
    </row>
    <row r="2785">
      <c r="A2785" s="87" t="str">
        <f>IFERROR(__xludf.DUMMYFUNCTION("""COMPUTED_VALUE"""),"ITBISA-LED-SUPERBRIGHT-5MM-WHITE")</f>
        <v>ITBISA-LED-SUPERBRIGHT-5MM-WHITE</v>
      </c>
      <c r="B2785" s="165">
        <f>IFERROR(__xludf.DUMMYFUNCTION("""COMPUTED_VALUE"""),46039.0)</f>
        <v>46039</v>
      </c>
      <c r="C2785" s="165" t="str">
        <f>IFERROR(__xludf.DUMMYFUNCTION("""COMPUTED_VALUE"""),"KYAI KONTONG")</f>
        <v>KYAI KONTONG</v>
      </c>
      <c r="D2785" s="94">
        <f>IFERROR(__xludf.DUMMYFUNCTION("""COMPUTED_VALUE"""),10.0)</f>
        <v>10</v>
      </c>
    </row>
    <row r="2786">
      <c r="A2786" s="87" t="str">
        <f>IFERROR(__xludf.DUMMYFUNCTION("""COMPUTED_VALUE"""),"ITBISA-LED-SUPERBRIGHT-5MM-WHITE")</f>
        <v>ITBISA-LED-SUPERBRIGHT-5MM-WHITE</v>
      </c>
      <c r="B2786" s="165">
        <f>IFERROR(__xludf.DUMMYFUNCTION("""COMPUTED_VALUE"""),46040.0)</f>
        <v>46040</v>
      </c>
      <c r="C2786" s="165" t="str">
        <f>IFERROR(__xludf.DUMMYFUNCTION("""COMPUTED_VALUE"""),"KERTASARI CIAMIS")</f>
        <v>KERTASARI CIAMIS</v>
      </c>
      <c r="D2786" s="94">
        <f>IFERROR(__xludf.DUMMYFUNCTION("""COMPUTED_VALUE"""),29.0)</f>
        <v>29</v>
      </c>
    </row>
    <row r="2787">
      <c r="A2787" s="87" t="str">
        <f>IFERROR(__xludf.DUMMYFUNCTION("""COMPUTED_VALUE"""),"ITBISA-LED-SUPERBRIGHT-5MM-WHITE")</f>
        <v>ITBISA-LED-SUPERBRIGHT-5MM-WHITE</v>
      </c>
      <c r="B2787" s="165">
        <f>IFERROR(__xludf.DUMMYFUNCTION("""COMPUTED_VALUE"""),46042.0)</f>
        <v>46042</v>
      </c>
      <c r="C2787" s="165" t="str">
        <f>IFERROR(__xludf.DUMMYFUNCTION("""COMPUTED_VALUE"""),"KERTASARI CIAMIS")</f>
        <v>KERTASARI CIAMIS</v>
      </c>
      <c r="D2787" s="94">
        <f>IFERROR(__xludf.DUMMYFUNCTION("""COMPUTED_VALUE"""),10.0)</f>
        <v>10</v>
      </c>
    </row>
    <row r="2788">
      <c r="A2788" s="87" t="str">
        <f>IFERROR(__xludf.DUMMYFUNCTION("""COMPUTED_VALUE"""),"ITBISA-LED-SUPERBRIGHT-5MM-WHITE")</f>
        <v>ITBISA-LED-SUPERBRIGHT-5MM-WHITE</v>
      </c>
      <c r="B2788" s="165">
        <f>IFERROR(__xludf.DUMMYFUNCTION("""COMPUTED_VALUE"""),46042.0)</f>
        <v>46042</v>
      </c>
      <c r="C2788" s="165" t="str">
        <f>IFERROR(__xludf.DUMMYFUNCTION("""COMPUTED_VALUE"""),"KYAI KONTONG")</f>
        <v>KYAI KONTONG</v>
      </c>
      <c r="D2788" s="94">
        <f>IFERROR(__xludf.DUMMYFUNCTION("""COMPUTED_VALUE"""),5.0)</f>
        <v>5</v>
      </c>
    </row>
    <row r="2789">
      <c r="A2789" s="87" t="str">
        <f>IFERROR(__xludf.DUMMYFUNCTION("""COMPUTED_VALUE"""),"ITBISA-LED-SUPERBRIGHT-5MM-WHITE")</f>
        <v>ITBISA-LED-SUPERBRIGHT-5MM-WHITE</v>
      </c>
      <c r="B2789" s="165">
        <f>IFERROR(__xludf.DUMMYFUNCTION("""COMPUTED_VALUE"""),46043.0)</f>
        <v>46043</v>
      </c>
      <c r="C2789" s="165" t="str">
        <f>IFERROR(__xludf.DUMMYFUNCTION("""COMPUTED_VALUE"""),"KERTASARI CIAMIS")</f>
        <v>KERTASARI CIAMIS</v>
      </c>
      <c r="D2789" s="94">
        <f>IFERROR(__xludf.DUMMYFUNCTION("""COMPUTED_VALUE"""),10.0)</f>
        <v>10</v>
      </c>
    </row>
    <row r="2790">
      <c r="A2790" s="87" t="str">
        <f>IFERROR(__xludf.DUMMYFUNCTION("""COMPUTED_VALUE"""),"ITBISA-LED-SUPERBRIGHT-5MM-WHITE")</f>
        <v>ITBISA-LED-SUPERBRIGHT-5MM-WHITE</v>
      </c>
      <c r="B2790" s="165">
        <f>IFERROR(__xludf.DUMMYFUNCTION("""COMPUTED_VALUE"""),46043.0)</f>
        <v>46043</v>
      </c>
      <c r="C2790" s="165" t="str">
        <f>IFERROR(__xludf.DUMMYFUNCTION("""COMPUTED_VALUE"""),"KERTASARI CIAMIS")</f>
        <v>KERTASARI CIAMIS</v>
      </c>
      <c r="D2790" s="94">
        <f>IFERROR(__xludf.DUMMYFUNCTION("""COMPUTED_VALUE"""),11.0)</f>
        <v>11</v>
      </c>
    </row>
    <row r="2791">
      <c r="A2791" s="87" t="str">
        <f>IFERROR(__xludf.DUMMYFUNCTION("""COMPUTED_VALUE"""),"ITBISA-LED-SUPERBRIGHT-5MM-WHITE")</f>
        <v>ITBISA-LED-SUPERBRIGHT-5MM-WHITE</v>
      </c>
      <c r="B2791" s="165">
        <f>IFERROR(__xludf.DUMMYFUNCTION("""COMPUTED_VALUE"""),46044.0)</f>
        <v>46044</v>
      </c>
      <c r="C2791" s="165" t="str">
        <f>IFERROR(__xludf.DUMMYFUNCTION("""COMPUTED_VALUE"""),"KERTASARI CIAMIS")</f>
        <v>KERTASARI CIAMIS</v>
      </c>
      <c r="D2791" s="94">
        <f>IFERROR(__xludf.DUMMYFUNCTION("""COMPUTED_VALUE"""),3.0)</f>
        <v>3</v>
      </c>
    </row>
    <row r="2792">
      <c r="A2792" s="87" t="str">
        <f>IFERROR(__xludf.DUMMYFUNCTION("""COMPUTED_VALUE"""),"ITBISA-LED-SUPERBRIGHT-5MM-WHITE")</f>
        <v>ITBISA-LED-SUPERBRIGHT-5MM-WHITE</v>
      </c>
      <c r="B2792" s="165">
        <f>IFERROR(__xludf.DUMMYFUNCTION("""COMPUTED_VALUE"""),46044.0)</f>
        <v>46044</v>
      </c>
      <c r="C2792" s="165" t="str">
        <f>IFERROR(__xludf.DUMMYFUNCTION("""COMPUTED_VALUE"""),"KERTASARI CIAMIS")</f>
        <v>KERTASARI CIAMIS</v>
      </c>
      <c r="D2792" s="94">
        <f>IFERROR(__xludf.DUMMYFUNCTION("""COMPUTED_VALUE"""),20.0)</f>
        <v>20</v>
      </c>
    </row>
    <row r="2793">
      <c r="A2793" s="87" t="str">
        <f>IFERROR(__xludf.DUMMYFUNCTION("""COMPUTED_VALUE"""),"ITBISA-LED-SUPERBRIGHT-5MM-WHITE")</f>
        <v>ITBISA-LED-SUPERBRIGHT-5MM-WHITE</v>
      </c>
      <c r="B2793" s="165">
        <f>IFERROR(__xludf.DUMMYFUNCTION("""COMPUTED_VALUE"""),46044.0)</f>
        <v>46044</v>
      </c>
      <c r="C2793" s="165" t="str">
        <f>IFERROR(__xludf.DUMMYFUNCTION("""COMPUTED_VALUE"""),"KERTASARI CIAMIS")</f>
        <v>KERTASARI CIAMIS</v>
      </c>
      <c r="D2793" s="94">
        <f>IFERROR(__xludf.DUMMYFUNCTION("""COMPUTED_VALUE"""),150.0)</f>
        <v>150</v>
      </c>
    </row>
    <row r="2794">
      <c r="A2794" s="87" t="str">
        <f>IFERROR(__xludf.DUMMYFUNCTION("""COMPUTED_VALUE"""),"ITBISA-LED-SUPERBRIGHT-5MM-WHITE")</f>
        <v>ITBISA-LED-SUPERBRIGHT-5MM-WHITE</v>
      </c>
      <c r="B2794" s="165">
        <f>IFERROR(__xludf.DUMMYFUNCTION("""COMPUTED_VALUE"""),46047.0)</f>
        <v>46047</v>
      </c>
      <c r="C2794" s="165" t="str">
        <f>IFERROR(__xludf.DUMMYFUNCTION("""COMPUTED_VALUE"""),"KERTASARI CIAMIS")</f>
        <v>KERTASARI CIAMIS</v>
      </c>
      <c r="D2794" s="94">
        <f>IFERROR(__xludf.DUMMYFUNCTION("""COMPUTED_VALUE"""),5.0)</f>
        <v>5</v>
      </c>
    </row>
    <row r="2795">
      <c r="A2795" s="87" t="str">
        <f>IFERROR(__xludf.DUMMYFUNCTION("""COMPUTED_VALUE"""),"ITBISA-LED-SUPERBRIGHT-5MM-WHITE")</f>
        <v>ITBISA-LED-SUPERBRIGHT-5MM-WHITE</v>
      </c>
      <c r="B2795" s="165">
        <f>IFERROR(__xludf.DUMMYFUNCTION("""COMPUTED_VALUE"""),46047.0)</f>
        <v>46047</v>
      </c>
      <c r="C2795" s="165" t="str">
        <f>IFERROR(__xludf.DUMMYFUNCTION("""COMPUTED_VALUE"""),"KERTASARI CIAMIS")</f>
        <v>KERTASARI CIAMIS</v>
      </c>
      <c r="D2795" s="94">
        <f>IFERROR(__xludf.DUMMYFUNCTION("""COMPUTED_VALUE"""),5.0)</f>
        <v>5</v>
      </c>
    </row>
    <row r="2796">
      <c r="A2796" s="87" t="str">
        <f>IFERROR(__xludf.DUMMYFUNCTION("""COMPUTED_VALUE"""),"ITBISA-LED-SUPERBRIGHT-5MM-WHITE")</f>
        <v>ITBISA-LED-SUPERBRIGHT-5MM-WHITE</v>
      </c>
      <c r="B2796" s="165">
        <f>IFERROR(__xludf.DUMMYFUNCTION("""COMPUTED_VALUE"""),46047.0)</f>
        <v>46047</v>
      </c>
      <c r="C2796" s="165" t="str">
        <f>IFERROR(__xludf.DUMMYFUNCTION("""COMPUTED_VALUE"""),"KERTASARI CIAMIS")</f>
        <v>KERTASARI CIAMIS</v>
      </c>
      <c r="D2796" s="94">
        <f>IFERROR(__xludf.DUMMYFUNCTION("""COMPUTED_VALUE"""),10.0)</f>
        <v>10</v>
      </c>
    </row>
    <row r="2797">
      <c r="A2797" s="87" t="str">
        <f>IFERROR(__xludf.DUMMYFUNCTION("""COMPUTED_VALUE"""),"ITBISA-LED-SUPERBRIGHT-5MM-WHITE")</f>
        <v>ITBISA-LED-SUPERBRIGHT-5MM-WHITE</v>
      </c>
      <c r="B2797" s="165">
        <f>IFERROR(__xludf.DUMMYFUNCTION("""COMPUTED_VALUE"""),46047.0)</f>
        <v>46047</v>
      </c>
      <c r="C2797" s="165" t="str">
        <f>IFERROR(__xludf.DUMMYFUNCTION("""COMPUTED_VALUE"""),"KERTASARI CIAMIS")</f>
        <v>KERTASARI CIAMIS</v>
      </c>
      <c r="D2797" s="94">
        <f>IFERROR(__xludf.DUMMYFUNCTION("""COMPUTED_VALUE"""),10.0)</f>
        <v>10</v>
      </c>
    </row>
    <row r="2798">
      <c r="A2798" s="87" t="str">
        <f>IFERROR(__xludf.DUMMYFUNCTION("""COMPUTED_VALUE"""),"ITBISA-LED-SUPERBRIGHT-5MM-WHITE")</f>
        <v>ITBISA-LED-SUPERBRIGHT-5MM-WHITE</v>
      </c>
      <c r="B2798" s="165">
        <f>IFERROR(__xludf.DUMMYFUNCTION("""COMPUTED_VALUE"""),46048.0)</f>
        <v>46048</v>
      </c>
      <c r="C2798" s="165" t="str">
        <f>IFERROR(__xludf.DUMMYFUNCTION("""COMPUTED_VALUE"""),"KYAI KONTONG")</f>
        <v>KYAI KONTONG</v>
      </c>
      <c r="D2798" s="94">
        <f>IFERROR(__xludf.DUMMYFUNCTION("""COMPUTED_VALUE"""),5.0)</f>
        <v>5</v>
      </c>
    </row>
    <row r="2799">
      <c r="A2799" s="87" t="str">
        <f>IFERROR(__xludf.DUMMYFUNCTION("""COMPUTED_VALUE"""),"ITBISA-LED-SUPERBRIGHT-5MM-WHITE")</f>
        <v>ITBISA-LED-SUPERBRIGHT-5MM-WHITE</v>
      </c>
      <c r="B2799" s="165">
        <f>IFERROR(__xludf.DUMMYFUNCTION("""COMPUTED_VALUE"""),46050.0)</f>
        <v>46050</v>
      </c>
      <c r="C2799" s="165" t="str">
        <f>IFERROR(__xludf.DUMMYFUNCTION("""COMPUTED_VALUE"""),"KERTASARI CIAMIS")</f>
        <v>KERTASARI CIAMIS</v>
      </c>
      <c r="D2799" s="94">
        <f>IFERROR(__xludf.DUMMYFUNCTION("""COMPUTED_VALUE"""),5.0)</f>
        <v>5</v>
      </c>
    </row>
    <row r="2800">
      <c r="A2800" s="87" t="str">
        <f>IFERROR(__xludf.DUMMYFUNCTION("""COMPUTED_VALUE"""),"ITBISA-LED-SUPERBRIGHT-5MM-WHITE")</f>
        <v>ITBISA-LED-SUPERBRIGHT-5MM-WHITE</v>
      </c>
      <c r="B2800" s="165">
        <f>IFERROR(__xludf.DUMMYFUNCTION("""COMPUTED_VALUE"""),46050.0)</f>
        <v>46050</v>
      </c>
      <c r="C2800" s="165" t="str">
        <f>IFERROR(__xludf.DUMMYFUNCTION("""COMPUTED_VALUE"""),"KYAI KONTONG")</f>
        <v>KYAI KONTONG</v>
      </c>
      <c r="D2800" s="94">
        <f>IFERROR(__xludf.DUMMYFUNCTION("""COMPUTED_VALUE"""),7.0)</f>
        <v>7</v>
      </c>
    </row>
    <row r="2801">
      <c r="A2801" s="87" t="str">
        <f>IFERROR(__xludf.DUMMYFUNCTION("""COMPUTED_VALUE"""),"ITBISA-LED-SUPERBRIGHT-5MM-WHITE")</f>
        <v>ITBISA-LED-SUPERBRIGHT-5MM-WHITE</v>
      </c>
      <c r="B2801" s="165">
        <f>IFERROR(__xludf.DUMMYFUNCTION("""COMPUTED_VALUE"""),46051.0)</f>
        <v>46051</v>
      </c>
      <c r="C2801" s="165" t="str">
        <f>IFERROR(__xludf.DUMMYFUNCTION("""COMPUTED_VALUE"""),"KERTASARI CIAMIS")</f>
        <v>KERTASARI CIAMIS</v>
      </c>
      <c r="D2801" s="94">
        <f>IFERROR(__xludf.DUMMYFUNCTION("""COMPUTED_VALUE"""),10.0)</f>
        <v>10</v>
      </c>
    </row>
    <row r="2802">
      <c r="A2802" s="87" t="str">
        <f>IFERROR(__xludf.DUMMYFUNCTION("""COMPUTED_VALUE"""),"ITBISA-LED-SUPERBRIGHT-5MM-WHITE")</f>
        <v>ITBISA-LED-SUPERBRIGHT-5MM-WHITE</v>
      </c>
      <c r="B2802" s="165">
        <f>IFERROR(__xludf.DUMMYFUNCTION("""COMPUTED_VALUE"""),46051.0)</f>
        <v>46051</v>
      </c>
      <c r="C2802" s="165" t="str">
        <f>IFERROR(__xludf.DUMMYFUNCTION("""COMPUTED_VALUE"""),"KYAI KONTONG")</f>
        <v>KYAI KONTONG</v>
      </c>
      <c r="D2802" s="94">
        <f>IFERROR(__xludf.DUMMYFUNCTION("""COMPUTED_VALUE"""),15.0)</f>
        <v>15</v>
      </c>
    </row>
    <row r="2803">
      <c r="A2803" s="87" t="str">
        <f>IFERROR(__xludf.DUMMYFUNCTION("""COMPUTED_VALUE"""),"ITBISA-LED-SUPERBRIGHT-5MM-WHITE")</f>
        <v>ITBISA-LED-SUPERBRIGHT-5MM-WHITE</v>
      </c>
      <c r="B2803" s="165">
        <f>IFERROR(__xludf.DUMMYFUNCTION("""COMPUTED_VALUE"""),46052.0)</f>
        <v>46052</v>
      </c>
      <c r="C2803" s="165" t="str">
        <f>IFERROR(__xludf.DUMMYFUNCTION("""COMPUTED_VALUE"""),"KERTASARI CIAMIS")</f>
        <v>KERTASARI CIAMIS</v>
      </c>
      <c r="D2803" s="94">
        <f>IFERROR(__xludf.DUMMYFUNCTION("""COMPUTED_VALUE"""),20.0)</f>
        <v>20</v>
      </c>
    </row>
    <row r="2804">
      <c r="A2804" s="87" t="str">
        <f>IFERROR(__xludf.DUMMYFUNCTION("""COMPUTED_VALUE"""),"ITBISA-LED-SUPERBRIGHT-5MM-WHITE")</f>
        <v>ITBISA-LED-SUPERBRIGHT-5MM-WHITE</v>
      </c>
      <c r="B2804" s="165">
        <f>IFERROR(__xludf.DUMMYFUNCTION("""COMPUTED_VALUE"""),46053.0)</f>
        <v>46053</v>
      </c>
      <c r="C2804" s="165" t="str">
        <f>IFERROR(__xludf.DUMMYFUNCTION("""COMPUTED_VALUE"""),"KERTASARI CIAMIS")</f>
        <v>KERTASARI CIAMIS</v>
      </c>
      <c r="D2804" s="94">
        <f>IFERROR(__xludf.DUMMYFUNCTION("""COMPUTED_VALUE"""),15.0)</f>
        <v>15</v>
      </c>
    </row>
    <row r="2805">
      <c r="A2805" s="87" t="str">
        <f>IFERROR(__xludf.DUMMYFUNCTION("""COMPUTED_VALUE"""),"ITBISA-LED-SUPERBRIGHT-5MM-WHITE")</f>
        <v>ITBISA-LED-SUPERBRIGHT-5MM-WHITE</v>
      </c>
      <c r="B2805" s="165">
        <f>IFERROR(__xludf.DUMMYFUNCTION("""COMPUTED_VALUE"""),46055.0)</f>
        <v>46055</v>
      </c>
      <c r="C2805" s="165" t="str">
        <f>IFERROR(__xludf.DUMMYFUNCTION("""COMPUTED_VALUE"""),"KYAI KONTONG")</f>
        <v>KYAI KONTONG</v>
      </c>
      <c r="D2805" s="94">
        <f>IFERROR(__xludf.DUMMYFUNCTION("""COMPUTED_VALUE"""),15.0)</f>
        <v>15</v>
      </c>
    </row>
    <row r="2806">
      <c r="A2806" s="87" t="str">
        <f>IFERROR(__xludf.DUMMYFUNCTION("""COMPUTED_VALUE"""),"ITBISA-LED-SUPERBRIGHT-5MM-WHITE")</f>
        <v>ITBISA-LED-SUPERBRIGHT-5MM-WHITE</v>
      </c>
      <c r="B2806" s="165">
        <f>IFERROR(__xludf.DUMMYFUNCTION("""COMPUTED_VALUE"""),46058.0)</f>
        <v>46058</v>
      </c>
      <c r="C2806" s="165" t="str">
        <f>IFERROR(__xludf.DUMMYFUNCTION("""COMPUTED_VALUE"""),"KERTASARI CIAMIS")</f>
        <v>KERTASARI CIAMIS</v>
      </c>
      <c r="D2806" s="94">
        <f>IFERROR(__xludf.DUMMYFUNCTION("""COMPUTED_VALUE"""),5.0)</f>
        <v>5</v>
      </c>
    </row>
    <row r="2807">
      <c r="A2807" s="87" t="str">
        <f>IFERROR(__xludf.DUMMYFUNCTION("""COMPUTED_VALUE"""),"ITBISA-LED-SUPERBRIGHT-5MM-WHITE")</f>
        <v>ITBISA-LED-SUPERBRIGHT-5MM-WHITE</v>
      </c>
      <c r="B2807" s="165">
        <f>IFERROR(__xludf.DUMMYFUNCTION("""COMPUTED_VALUE"""),46061.0)</f>
        <v>46061</v>
      </c>
      <c r="C2807" s="165" t="str">
        <f>IFERROR(__xludf.DUMMYFUNCTION("""COMPUTED_VALUE"""),"KYAI KONTONG")</f>
        <v>KYAI KONTONG</v>
      </c>
      <c r="D2807" s="94">
        <f>IFERROR(__xludf.DUMMYFUNCTION("""COMPUTED_VALUE"""),15.0)</f>
        <v>15</v>
      </c>
    </row>
    <row r="2808">
      <c r="A2808" s="87" t="str">
        <f>IFERROR(__xludf.DUMMYFUNCTION("""COMPUTED_VALUE"""),"ITBISA-LED-SUPERBRIGHT-5MM-WHITE")</f>
        <v>ITBISA-LED-SUPERBRIGHT-5MM-WHITE</v>
      </c>
      <c r="B2808" s="165">
        <f>IFERROR(__xludf.DUMMYFUNCTION("""COMPUTED_VALUE"""),46062.0)</f>
        <v>46062</v>
      </c>
      <c r="C2808" s="165" t="str">
        <f>IFERROR(__xludf.DUMMYFUNCTION("""COMPUTED_VALUE"""),"KYAI KONTONG")</f>
        <v>KYAI KONTONG</v>
      </c>
      <c r="D2808" s="94">
        <f>IFERROR(__xludf.DUMMYFUNCTION("""COMPUTED_VALUE"""),15.0)</f>
        <v>15</v>
      </c>
    </row>
    <row r="2809">
      <c r="A2809" s="87" t="str">
        <f>IFERROR(__xludf.DUMMYFUNCTION("""COMPUTED_VALUE"""),"ITBISA-LED-SUPERBRIGHT-5MM-WHITE")</f>
        <v>ITBISA-LED-SUPERBRIGHT-5MM-WHITE</v>
      </c>
      <c r="B2809" s="165">
        <f>IFERROR(__xludf.DUMMYFUNCTION("""COMPUTED_VALUE"""),46063.0)</f>
        <v>46063</v>
      </c>
      <c r="C2809" s="165" t="str">
        <f>IFERROR(__xludf.DUMMYFUNCTION("""COMPUTED_VALUE"""),"KYAI KONTONG")</f>
        <v>KYAI KONTONG</v>
      </c>
      <c r="D2809" s="94">
        <f>IFERROR(__xludf.DUMMYFUNCTION("""COMPUTED_VALUE"""),20.0)</f>
        <v>20</v>
      </c>
    </row>
    <row r="2810">
      <c r="A2810" s="87" t="str">
        <f>IFERROR(__xludf.DUMMYFUNCTION("""COMPUTED_VALUE"""),"ITBISA-LED-SUPERBRIGHT-5MM-WHITE")</f>
        <v>ITBISA-LED-SUPERBRIGHT-5MM-WHITE</v>
      </c>
      <c r="B2810" s="165">
        <f>IFERROR(__xludf.DUMMYFUNCTION("""COMPUTED_VALUE"""),46091.0)</f>
        <v>46091</v>
      </c>
      <c r="C2810" s="165" t="str">
        <f>IFERROR(__xludf.DUMMYFUNCTION("""COMPUTED_VALUE"""),"KYAI KONTONG")</f>
        <v>KYAI KONTONG</v>
      </c>
      <c r="D2810" s="94">
        <f>IFERROR(__xludf.DUMMYFUNCTION("""COMPUTED_VALUE"""),20.0)</f>
        <v>20</v>
      </c>
    </row>
    <row r="2811">
      <c r="A2811" s="87" t="str">
        <f>IFERROR(__xludf.DUMMYFUNCTION("""COMPUTED_VALUE"""),"ITBISA-LED-SUPERBRIGHT-5MM-WHITE")</f>
        <v>ITBISA-LED-SUPERBRIGHT-5MM-WHITE</v>
      </c>
      <c r="B2811" s="165">
        <f>IFERROR(__xludf.DUMMYFUNCTION("""COMPUTED_VALUE"""),46099.0)</f>
        <v>46099</v>
      </c>
      <c r="C2811" s="165" t="str">
        <f>IFERROR(__xludf.DUMMYFUNCTION("""COMPUTED_VALUE"""),"KYAI KONTONG")</f>
        <v>KYAI KONTONG</v>
      </c>
      <c r="D2811" s="94">
        <f>IFERROR(__xludf.DUMMYFUNCTION("""COMPUTED_VALUE"""),15.0)</f>
        <v>15</v>
      </c>
    </row>
    <row r="2812">
      <c r="A2812" s="87" t="str">
        <f>IFERROR(__xludf.DUMMYFUNCTION("""COMPUTED_VALUE"""),"ITBISA-LED-SUPERBRIGHT-5MM-WHITE")</f>
        <v>ITBISA-LED-SUPERBRIGHT-5MM-WHITE</v>
      </c>
      <c r="B2812" s="165">
        <f>IFERROR(__xludf.DUMMYFUNCTION("""COMPUTED_VALUE"""),46101.0)</f>
        <v>46101</v>
      </c>
      <c r="C2812" s="165" t="str">
        <f>IFERROR(__xludf.DUMMYFUNCTION("""COMPUTED_VALUE"""),"KYAI KONTONG")</f>
        <v>KYAI KONTONG</v>
      </c>
      <c r="D2812" s="94">
        <f>IFERROR(__xludf.DUMMYFUNCTION("""COMPUTED_VALUE"""),15.0)</f>
        <v>15</v>
      </c>
    </row>
    <row r="2813">
      <c r="A2813" s="87" t="str">
        <f>IFERROR(__xludf.DUMMYFUNCTION("""COMPUTED_VALUE"""),"ITBISA-LED-SUPERBRIGHT-5MM-WHITE")</f>
        <v>ITBISA-LED-SUPERBRIGHT-5MM-WHITE</v>
      </c>
      <c r="B2813" s="165">
        <f>IFERROR(__xludf.DUMMYFUNCTION("""COMPUTED_VALUE"""),46127.0)</f>
        <v>46127</v>
      </c>
      <c r="C2813" s="165" t="str">
        <f>IFERROR(__xludf.DUMMYFUNCTION("""COMPUTED_VALUE"""),"KYAI KONTONG")</f>
        <v>KYAI KONTONG</v>
      </c>
      <c r="D2813" s="94">
        <f>IFERROR(__xludf.DUMMYFUNCTION("""COMPUTED_VALUE"""),20.0)</f>
        <v>20</v>
      </c>
    </row>
    <row r="2814">
      <c r="A2814" s="87" t="str">
        <f>IFERROR(__xludf.DUMMYFUNCTION("""COMPUTED_VALUE"""),"ITBISA-LED-SUPERBRIGHT-5MM-WHITE")</f>
        <v>ITBISA-LED-SUPERBRIGHT-5MM-WHITE</v>
      </c>
      <c r="B2814" s="165">
        <f>IFERROR(__xludf.DUMMYFUNCTION("""COMPUTED_VALUE"""),46143.0)</f>
        <v>46143</v>
      </c>
      <c r="C2814" s="165" t="str">
        <f>IFERROR(__xludf.DUMMYFUNCTION("""COMPUTED_VALUE"""),"KYAI KONTONG")</f>
        <v>KYAI KONTONG</v>
      </c>
      <c r="D2814" s="94">
        <f>IFERROR(__xludf.DUMMYFUNCTION("""COMPUTED_VALUE"""),1.0)</f>
        <v>1</v>
      </c>
    </row>
    <row r="2815">
      <c r="A2815" s="87" t="str">
        <f>IFERROR(__xludf.DUMMYFUNCTION("""COMPUTED_VALUE"""),"ITBISA-LED-SUPERBRIGHT-5MM-WHITE")</f>
        <v>ITBISA-LED-SUPERBRIGHT-5MM-WHITE</v>
      </c>
      <c r="B2815" s="165">
        <f>IFERROR(__xludf.DUMMYFUNCTION("""COMPUTED_VALUE"""),46144.0)</f>
        <v>46144</v>
      </c>
      <c r="C2815" s="165" t="str">
        <f>IFERROR(__xludf.DUMMYFUNCTION("""COMPUTED_VALUE"""),"KYAI KONTONG")</f>
        <v>KYAI KONTONG</v>
      </c>
      <c r="D2815" s="94">
        <f>IFERROR(__xludf.DUMMYFUNCTION("""COMPUTED_VALUE"""),15.0)</f>
        <v>15</v>
      </c>
    </row>
    <row r="2816">
      <c r="A2816" s="87" t="str">
        <f>IFERROR(__xludf.DUMMYFUNCTION("""COMPUTED_VALUE"""),"ITBISA-LED-SUPERBRIGHT-5MM-WHITE")</f>
        <v>ITBISA-LED-SUPERBRIGHT-5MM-WHITE</v>
      </c>
      <c r="B2816" s="165">
        <f>IFERROR(__xludf.DUMMYFUNCTION("""COMPUTED_VALUE"""),46147.0)</f>
        <v>46147</v>
      </c>
      <c r="C2816" s="165" t="str">
        <f>IFERROR(__xludf.DUMMYFUNCTION("""COMPUTED_VALUE"""),"KYAI KONTONG")</f>
        <v>KYAI KONTONG</v>
      </c>
      <c r="D2816" s="94">
        <f>IFERROR(__xludf.DUMMYFUNCTION("""COMPUTED_VALUE"""),10.0)</f>
        <v>10</v>
      </c>
    </row>
    <row r="2817">
      <c r="A2817" s="87" t="str">
        <f>IFERROR(__xludf.DUMMYFUNCTION("""COMPUTED_VALUE"""),"ITBISA-LED-SUPERBRIGHT-5MM-WHITE")</f>
        <v>ITBISA-LED-SUPERBRIGHT-5MM-WHITE</v>
      </c>
      <c r="B2817" s="165">
        <f>IFERROR(__xludf.DUMMYFUNCTION("""COMPUTED_VALUE"""),46148.0)</f>
        <v>46148</v>
      </c>
      <c r="C2817" s="165" t="str">
        <f>IFERROR(__xludf.DUMMYFUNCTION("""COMPUTED_VALUE"""),"KYAI KONTONG")</f>
        <v>KYAI KONTONG</v>
      </c>
      <c r="D2817" s="94">
        <f>IFERROR(__xludf.DUMMYFUNCTION("""COMPUTED_VALUE"""),15.0)</f>
        <v>15</v>
      </c>
    </row>
    <row r="2818">
      <c r="A2818" s="87" t="str">
        <f>IFERROR(__xludf.DUMMYFUNCTION("""COMPUTED_VALUE"""),"ITBISA-LED-SUPERBRIGHT-5MM-WHITE")</f>
        <v>ITBISA-LED-SUPERBRIGHT-5MM-WHITE</v>
      </c>
      <c r="B2818" s="165">
        <f>IFERROR(__xludf.DUMMYFUNCTION("""COMPUTED_VALUE"""),46152.0)</f>
        <v>46152</v>
      </c>
      <c r="C2818" s="165" t="str">
        <f>IFERROR(__xludf.DUMMYFUNCTION("""COMPUTED_VALUE"""),"KYAI KONTONG")</f>
        <v>KYAI KONTONG</v>
      </c>
      <c r="D2818" s="94">
        <f>IFERROR(__xludf.DUMMYFUNCTION("""COMPUTED_VALUE"""),6.0)</f>
        <v>6</v>
      </c>
    </row>
    <row r="2819">
      <c r="A2819" s="87" t="str">
        <f>IFERROR(__xludf.DUMMYFUNCTION("""COMPUTED_VALUE"""),"ITBISA-LED-SUPERBRIGHT-5MM-WHITE")</f>
        <v>ITBISA-LED-SUPERBRIGHT-5MM-WHITE</v>
      </c>
      <c r="B2819" s="165">
        <f>IFERROR(__xludf.DUMMYFUNCTION("""COMPUTED_VALUE"""),46158.0)</f>
        <v>46158</v>
      </c>
      <c r="C2819" s="165" t="str">
        <f>IFERROR(__xludf.DUMMYFUNCTION("""COMPUTED_VALUE"""),"KYAI KONTONG")</f>
        <v>KYAI KONTONG</v>
      </c>
      <c r="D2819" s="94">
        <f>IFERROR(__xludf.DUMMYFUNCTION("""COMPUTED_VALUE"""),15.0)</f>
        <v>15</v>
      </c>
    </row>
    <row r="2820">
      <c r="A2820" s="87" t="str">
        <f>IFERROR(__xludf.DUMMYFUNCTION("""COMPUTED_VALUE"""),"ITBISA-LED-SUPERBRIGHT-5MM-WHITE")</f>
        <v>ITBISA-LED-SUPERBRIGHT-5MM-WHITE</v>
      </c>
      <c r="B2820" s="165">
        <f>IFERROR(__xludf.DUMMYFUNCTION("""COMPUTED_VALUE"""),46163.0)</f>
        <v>46163</v>
      </c>
      <c r="C2820" s="165" t="str">
        <f>IFERROR(__xludf.DUMMYFUNCTION("""COMPUTED_VALUE"""),"KYAI KONTONG")</f>
        <v>KYAI KONTONG</v>
      </c>
      <c r="D2820" s="94">
        <f>IFERROR(__xludf.DUMMYFUNCTION("""COMPUTED_VALUE"""),15.0)</f>
        <v>15</v>
      </c>
    </row>
    <row r="2821">
      <c r="A2821" s="87" t="str">
        <f>IFERROR(__xludf.DUMMYFUNCTION("""COMPUTED_VALUE"""),"ITBISA-LED-SUPERBRIGHT-5MM-WHITE")</f>
        <v>ITBISA-LED-SUPERBRIGHT-5MM-WHITE</v>
      </c>
      <c r="B2821" s="165">
        <f>IFERROR(__xludf.DUMMYFUNCTION("""COMPUTED_VALUE"""),46177.0)</f>
        <v>46177</v>
      </c>
      <c r="C2821" s="165" t="str">
        <f>IFERROR(__xludf.DUMMYFUNCTION("""COMPUTED_VALUE"""),"KYAI KONTONG")</f>
        <v>KYAI KONTONG</v>
      </c>
      <c r="D2821" s="94">
        <f>IFERROR(__xludf.DUMMYFUNCTION("""COMPUTED_VALUE"""),6.0)</f>
        <v>6</v>
      </c>
    </row>
    <row r="2822">
      <c r="A2822" s="87" t="str">
        <f>IFERROR(__xludf.DUMMYFUNCTION("""COMPUTED_VALUE"""),"ITBISA-LED-SUPERBRIGHT-5MM-WHITE")</f>
        <v>ITBISA-LED-SUPERBRIGHT-5MM-WHITE</v>
      </c>
      <c r="B2822" s="165">
        <f>IFERROR(__xludf.DUMMYFUNCTION("""COMPUTED_VALUE"""),46183.0)</f>
        <v>46183</v>
      </c>
      <c r="C2822" s="165" t="str">
        <f>IFERROR(__xludf.DUMMYFUNCTION("""COMPUTED_VALUE"""),"KYAI KONTONG")</f>
        <v>KYAI KONTONG</v>
      </c>
      <c r="D2822" s="94">
        <f>IFERROR(__xludf.DUMMYFUNCTION("""COMPUTED_VALUE"""),18.0)</f>
        <v>18</v>
      </c>
    </row>
    <row r="2823">
      <c r="A2823" s="87" t="str">
        <f>IFERROR(__xludf.DUMMYFUNCTION("""COMPUTED_VALUE"""),"ITBISA-LED-SUPERBRIGHT-5MM-WHITE")</f>
        <v>ITBISA-LED-SUPERBRIGHT-5MM-WHITE</v>
      </c>
      <c r="B2823" s="165">
        <f>IFERROR(__xludf.DUMMYFUNCTION("""COMPUTED_VALUE"""),46188.0)</f>
        <v>46188</v>
      </c>
      <c r="C2823" s="165" t="str">
        <f>IFERROR(__xludf.DUMMYFUNCTION("""COMPUTED_VALUE"""),"KYAI KONTONG")</f>
        <v>KYAI KONTONG</v>
      </c>
      <c r="D2823" s="94">
        <f>IFERROR(__xludf.DUMMYFUNCTION("""COMPUTED_VALUE"""),50.0)</f>
        <v>50</v>
      </c>
    </row>
    <row r="2824">
      <c r="A2824" s="87" t="str">
        <f>IFERROR(__xludf.DUMMYFUNCTION("""COMPUTED_VALUE"""),"ITBISA-LED-SUPERBRIGHT-5MM-YELLOW")</f>
        <v>ITBISA-LED-SUPERBRIGHT-5MM-YELLOW</v>
      </c>
      <c r="B2824" s="165">
        <f>IFERROR(__xludf.DUMMYFUNCTION("""COMPUTED_VALUE"""),46025.0)</f>
        <v>46025</v>
      </c>
      <c r="C2824" s="165" t="str">
        <f>IFERROR(__xludf.DUMMYFUNCTION("""COMPUTED_VALUE"""),"KYAI KONTONG")</f>
        <v>KYAI KONTONG</v>
      </c>
      <c r="D2824" s="94">
        <f>IFERROR(__xludf.DUMMYFUNCTION("""COMPUTED_VALUE"""),10.0)</f>
        <v>10</v>
      </c>
    </row>
    <row r="2825">
      <c r="A2825" s="87" t="str">
        <f>IFERROR(__xludf.DUMMYFUNCTION("""COMPUTED_VALUE"""),"ITBISA-LED-SUPERBRIGHT-5MM-YELLOW")</f>
        <v>ITBISA-LED-SUPERBRIGHT-5MM-YELLOW</v>
      </c>
      <c r="B2825" s="165">
        <f>IFERROR(__xludf.DUMMYFUNCTION("""COMPUTED_VALUE"""),46025.0)</f>
        <v>46025</v>
      </c>
      <c r="C2825" s="165" t="str">
        <f>IFERROR(__xludf.DUMMYFUNCTION("""COMPUTED_VALUE"""),"KYAI KONTONG")</f>
        <v>KYAI KONTONG</v>
      </c>
      <c r="D2825" s="94">
        <f>IFERROR(__xludf.DUMMYFUNCTION("""COMPUTED_VALUE"""),10.0)</f>
        <v>10</v>
      </c>
    </row>
    <row r="2826">
      <c r="A2826" s="87" t="str">
        <f>IFERROR(__xludf.DUMMYFUNCTION("""COMPUTED_VALUE"""),"ITBISA-LED-SUPERBRIGHT-5MM-YELLOW")</f>
        <v>ITBISA-LED-SUPERBRIGHT-5MM-YELLOW</v>
      </c>
      <c r="B2826" s="165">
        <f>IFERROR(__xludf.DUMMYFUNCTION("""COMPUTED_VALUE"""),46026.0)</f>
        <v>46026</v>
      </c>
      <c r="C2826" s="165" t="str">
        <f>IFERROR(__xludf.DUMMYFUNCTION("""COMPUTED_VALUE"""),"KYAI KONTONG")</f>
        <v>KYAI KONTONG</v>
      </c>
      <c r="D2826" s="94">
        <f>IFERROR(__xludf.DUMMYFUNCTION("""COMPUTED_VALUE"""),25.0)</f>
        <v>25</v>
      </c>
    </row>
    <row r="2827">
      <c r="A2827" s="87" t="str">
        <f>IFERROR(__xludf.DUMMYFUNCTION("""COMPUTED_VALUE"""),"ITBISA-LED-SUPERBRIGHT-5MM-YELLOW")</f>
        <v>ITBISA-LED-SUPERBRIGHT-5MM-YELLOW</v>
      </c>
      <c r="B2827" s="165">
        <f>IFERROR(__xludf.DUMMYFUNCTION("""COMPUTED_VALUE"""),46027.0)</f>
        <v>46027</v>
      </c>
      <c r="C2827" s="165" t="str">
        <f>IFERROR(__xludf.DUMMYFUNCTION("""COMPUTED_VALUE"""),"KYAI KONTONG")</f>
        <v>KYAI KONTONG</v>
      </c>
      <c r="D2827" s="94">
        <f>IFERROR(__xludf.DUMMYFUNCTION("""COMPUTED_VALUE"""),10.0)</f>
        <v>10</v>
      </c>
    </row>
    <row r="2828">
      <c r="A2828" s="87" t="str">
        <f>IFERROR(__xludf.DUMMYFUNCTION("""COMPUTED_VALUE"""),"ITBISA-LED-SUPERBRIGHT-5MM-YELLOW")</f>
        <v>ITBISA-LED-SUPERBRIGHT-5MM-YELLOW</v>
      </c>
      <c r="B2828" s="165">
        <f>IFERROR(__xludf.DUMMYFUNCTION("""COMPUTED_VALUE"""),46030.0)</f>
        <v>46030</v>
      </c>
      <c r="C2828" s="165" t="str">
        <f>IFERROR(__xludf.DUMMYFUNCTION("""COMPUTED_VALUE"""),"KYAI KONTONG")</f>
        <v>KYAI KONTONG</v>
      </c>
      <c r="D2828" s="94">
        <f>IFERROR(__xludf.DUMMYFUNCTION("""COMPUTED_VALUE"""),2.0)</f>
        <v>2</v>
      </c>
    </row>
    <row r="2829">
      <c r="A2829" s="87" t="str">
        <f>IFERROR(__xludf.DUMMYFUNCTION("""COMPUTED_VALUE"""),"ITBISA-LED-SUPERBRIGHT-5MM-YELLOW")</f>
        <v>ITBISA-LED-SUPERBRIGHT-5MM-YELLOW</v>
      </c>
      <c r="B2829" s="165">
        <f>IFERROR(__xludf.DUMMYFUNCTION("""COMPUTED_VALUE"""),46032.0)</f>
        <v>46032</v>
      </c>
      <c r="C2829" s="165" t="str">
        <f>IFERROR(__xludf.DUMMYFUNCTION("""COMPUTED_VALUE"""),"KERTASARI CIAMIS")</f>
        <v>KERTASARI CIAMIS</v>
      </c>
      <c r="D2829" s="94">
        <f>IFERROR(__xludf.DUMMYFUNCTION("""COMPUTED_VALUE"""),4.0)</f>
        <v>4</v>
      </c>
    </row>
    <row r="2830">
      <c r="A2830" s="87" t="str">
        <f>IFERROR(__xludf.DUMMYFUNCTION("""COMPUTED_VALUE"""),"ITBISA-LED-SUPERBRIGHT-5MM-YELLOW")</f>
        <v>ITBISA-LED-SUPERBRIGHT-5MM-YELLOW</v>
      </c>
      <c r="B2830" s="165">
        <f>IFERROR(__xludf.DUMMYFUNCTION("""COMPUTED_VALUE"""),46035.0)</f>
        <v>46035</v>
      </c>
      <c r="C2830" s="165" t="str">
        <f>IFERROR(__xludf.DUMMYFUNCTION("""COMPUTED_VALUE"""),"KYAI KONTONG")</f>
        <v>KYAI KONTONG</v>
      </c>
      <c r="D2830" s="94">
        <f>IFERROR(__xludf.DUMMYFUNCTION("""COMPUTED_VALUE"""),4.0)</f>
        <v>4</v>
      </c>
    </row>
    <row r="2831">
      <c r="A2831" s="87" t="str">
        <f>IFERROR(__xludf.DUMMYFUNCTION("""COMPUTED_VALUE"""),"ITBISA-LED-SUPERBRIGHT-5MM-YELLOW")</f>
        <v>ITBISA-LED-SUPERBRIGHT-5MM-YELLOW</v>
      </c>
      <c r="B2831" s="165">
        <f>IFERROR(__xludf.DUMMYFUNCTION("""COMPUTED_VALUE"""),46037.0)</f>
        <v>46037</v>
      </c>
      <c r="C2831" s="165" t="str">
        <f>IFERROR(__xludf.DUMMYFUNCTION("""COMPUTED_VALUE"""),"KYAI KONTONG")</f>
        <v>KYAI KONTONG</v>
      </c>
      <c r="D2831" s="94">
        <f>IFERROR(__xludf.DUMMYFUNCTION("""COMPUTED_VALUE"""),6.0)</f>
        <v>6</v>
      </c>
    </row>
    <row r="2832">
      <c r="A2832" s="87" t="str">
        <f>IFERROR(__xludf.DUMMYFUNCTION("""COMPUTED_VALUE"""),"ITBISA-LED-SUPERBRIGHT-5MM-YELLOW")</f>
        <v>ITBISA-LED-SUPERBRIGHT-5MM-YELLOW</v>
      </c>
      <c r="B2832" s="165">
        <f>IFERROR(__xludf.DUMMYFUNCTION("""COMPUTED_VALUE"""),46037.0)</f>
        <v>46037</v>
      </c>
      <c r="C2832" s="165" t="str">
        <f>IFERROR(__xludf.DUMMYFUNCTION("""COMPUTED_VALUE"""),"KYAI KONTONG")</f>
        <v>KYAI KONTONG</v>
      </c>
      <c r="D2832" s="94">
        <f>IFERROR(__xludf.DUMMYFUNCTION("""COMPUTED_VALUE"""),10.0)</f>
        <v>10</v>
      </c>
    </row>
    <row r="2833">
      <c r="A2833" s="87" t="str">
        <f>IFERROR(__xludf.DUMMYFUNCTION("""COMPUTED_VALUE"""),"ITBISA-LED-SUPERBRIGHT-5MM-YELLOW")</f>
        <v>ITBISA-LED-SUPERBRIGHT-5MM-YELLOW</v>
      </c>
      <c r="B2833" s="165">
        <f>IFERROR(__xludf.DUMMYFUNCTION("""COMPUTED_VALUE"""),46039.0)</f>
        <v>46039</v>
      </c>
      <c r="C2833" s="165" t="str">
        <f>IFERROR(__xludf.DUMMYFUNCTION("""COMPUTED_VALUE"""),"KERTASARI CIAMIS")</f>
        <v>KERTASARI CIAMIS</v>
      </c>
      <c r="D2833" s="94">
        <f>IFERROR(__xludf.DUMMYFUNCTION("""COMPUTED_VALUE"""),30.0)</f>
        <v>30</v>
      </c>
    </row>
    <row r="2834">
      <c r="A2834" s="87" t="str">
        <f>IFERROR(__xludf.DUMMYFUNCTION("""COMPUTED_VALUE"""),"ITBISA-LED-SUPERBRIGHT-5MM-YELLOW")</f>
        <v>ITBISA-LED-SUPERBRIGHT-5MM-YELLOW</v>
      </c>
      <c r="B2834" s="165">
        <f>IFERROR(__xludf.DUMMYFUNCTION("""COMPUTED_VALUE"""),46039.0)</f>
        <v>46039</v>
      </c>
      <c r="C2834" s="165" t="str">
        <f>IFERROR(__xludf.DUMMYFUNCTION("""COMPUTED_VALUE"""),"KERTASARI CIAMIS")</f>
        <v>KERTASARI CIAMIS</v>
      </c>
      <c r="D2834" s="94">
        <f>IFERROR(__xludf.DUMMYFUNCTION("""COMPUTED_VALUE"""),100.0)</f>
        <v>100</v>
      </c>
    </row>
    <row r="2835">
      <c r="A2835" s="87" t="str">
        <f>IFERROR(__xludf.DUMMYFUNCTION("""COMPUTED_VALUE"""),"ITBISA-LED-SUPERBRIGHT-5MM-YELLOW")</f>
        <v>ITBISA-LED-SUPERBRIGHT-5MM-YELLOW</v>
      </c>
      <c r="B2835" s="165">
        <f>IFERROR(__xludf.DUMMYFUNCTION("""COMPUTED_VALUE"""),46040.0)</f>
        <v>46040</v>
      </c>
      <c r="C2835" s="165" t="str">
        <f>IFERROR(__xludf.DUMMYFUNCTION("""COMPUTED_VALUE"""),"KYAI KONTONG")</f>
        <v>KYAI KONTONG</v>
      </c>
      <c r="D2835" s="94">
        <f>IFERROR(__xludf.DUMMYFUNCTION("""COMPUTED_VALUE"""),10.0)</f>
        <v>10</v>
      </c>
    </row>
    <row r="2836">
      <c r="A2836" s="87" t="str">
        <f>IFERROR(__xludf.DUMMYFUNCTION("""COMPUTED_VALUE"""),"ITBISA-LED-SUPERBRIGHT-5MM-YELLOW")</f>
        <v>ITBISA-LED-SUPERBRIGHT-5MM-YELLOW</v>
      </c>
      <c r="B2836" s="165">
        <f>IFERROR(__xludf.DUMMYFUNCTION("""COMPUTED_VALUE"""),46041.0)</f>
        <v>46041</v>
      </c>
      <c r="C2836" s="165" t="str">
        <f>IFERROR(__xludf.DUMMYFUNCTION("""COMPUTED_VALUE"""),"KYAI KONTONG")</f>
        <v>KYAI KONTONG</v>
      </c>
      <c r="D2836" s="94">
        <f>IFERROR(__xludf.DUMMYFUNCTION("""COMPUTED_VALUE"""),2.0)</f>
        <v>2</v>
      </c>
    </row>
    <row r="2837">
      <c r="A2837" s="87" t="str">
        <f>IFERROR(__xludf.DUMMYFUNCTION("""COMPUTED_VALUE"""),"ITBISA-LED-SUPERBRIGHT-5MM-YELLOW")</f>
        <v>ITBISA-LED-SUPERBRIGHT-5MM-YELLOW</v>
      </c>
      <c r="B2837" s="165">
        <f>IFERROR(__xludf.DUMMYFUNCTION("""COMPUTED_VALUE"""),46043.0)</f>
        <v>46043</v>
      </c>
      <c r="C2837" s="165" t="str">
        <f>IFERROR(__xludf.DUMMYFUNCTION("""COMPUTED_VALUE"""),"KERTASARI CIAMIS")</f>
        <v>KERTASARI CIAMIS</v>
      </c>
      <c r="D2837" s="94">
        <f>IFERROR(__xludf.DUMMYFUNCTION("""COMPUTED_VALUE"""),10.0)</f>
        <v>10</v>
      </c>
    </row>
    <row r="2838">
      <c r="A2838" s="87" t="str">
        <f>IFERROR(__xludf.DUMMYFUNCTION("""COMPUTED_VALUE"""),"ITBISA-LED-SUPERBRIGHT-5MM-YELLOW")</f>
        <v>ITBISA-LED-SUPERBRIGHT-5MM-YELLOW</v>
      </c>
      <c r="B2838" s="165">
        <f>IFERROR(__xludf.DUMMYFUNCTION("""COMPUTED_VALUE"""),46044.0)</f>
        <v>46044</v>
      </c>
      <c r="C2838" s="165" t="str">
        <f>IFERROR(__xludf.DUMMYFUNCTION("""COMPUTED_VALUE"""),"KERTASARI CIAMIS")</f>
        <v>KERTASARI CIAMIS</v>
      </c>
      <c r="D2838" s="94">
        <f>IFERROR(__xludf.DUMMYFUNCTION("""COMPUTED_VALUE"""),2.0)</f>
        <v>2</v>
      </c>
    </row>
    <row r="2839">
      <c r="A2839" s="87" t="str">
        <f>IFERROR(__xludf.DUMMYFUNCTION("""COMPUTED_VALUE"""),"ITBISA-LED-SUPERBRIGHT-5MM-YELLOW")</f>
        <v>ITBISA-LED-SUPERBRIGHT-5MM-YELLOW</v>
      </c>
      <c r="B2839" s="165">
        <f>IFERROR(__xludf.DUMMYFUNCTION("""COMPUTED_VALUE"""),46044.0)</f>
        <v>46044</v>
      </c>
      <c r="C2839" s="165" t="str">
        <f>IFERROR(__xludf.DUMMYFUNCTION("""COMPUTED_VALUE"""),"KERTASARI CIAMIS")</f>
        <v>KERTASARI CIAMIS</v>
      </c>
      <c r="D2839" s="94">
        <f>IFERROR(__xludf.DUMMYFUNCTION("""COMPUTED_VALUE"""),3.0)</f>
        <v>3</v>
      </c>
    </row>
    <row r="2840">
      <c r="A2840" s="87" t="str">
        <f>IFERROR(__xludf.DUMMYFUNCTION("""COMPUTED_VALUE"""),"ITBISA-LED-SUPERBRIGHT-5MM-YELLOW")</f>
        <v>ITBISA-LED-SUPERBRIGHT-5MM-YELLOW</v>
      </c>
      <c r="B2840" s="165">
        <f>IFERROR(__xludf.DUMMYFUNCTION("""COMPUTED_VALUE"""),46047.0)</f>
        <v>46047</v>
      </c>
      <c r="C2840" s="165" t="str">
        <f>IFERROR(__xludf.DUMMYFUNCTION("""COMPUTED_VALUE"""),"KERTASARI CIAMIS")</f>
        <v>KERTASARI CIAMIS</v>
      </c>
      <c r="D2840" s="94">
        <f>IFERROR(__xludf.DUMMYFUNCTION("""COMPUTED_VALUE"""),10.0)</f>
        <v>10</v>
      </c>
    </row>
    <row r="2841">
      <c r="A2841" s="87" t="str">
        <f>IFERROR(__xludf.DUMMYFUNCTION("""COMPUTED_VALUE"""),"ITBISA-LED-SUPERBRIGHT-5MM-YELLOW")</f>
        <v>ITBISA-LED-SUPERBRIGHT-5MM-YELLOW</v>
      </c>
      <c r="B2841" s="165">
        <f>IFERROR(__xludf.DUMMYFUNCTION("""COMPUTED_VALUE"""),46047.0)</f>
        <v>46047</v>
      </c>
      <c r="C2841" s="165" t="str">
        <f>IFERROR(__xludf.DUMMYFUNCTION("""COMPUTED_VALUE"""),"KYAI KONTONG")</f>
        <v>KYAI KONTONG</v>
      </c>
      <c r="D2841" s="94">
        <f>IFERROR(__xludf.DUMMYFUNCTION("""COMPUTED_VALUE"""),2.0)</f>
        <v>2</v>
      </c>
    </row>
    <row r="2842">
      <c r="A2842" s="87" t="str">
        <f>IFERROR(__xludf.DUMMYFUNCTION("""COMPUTED_VALUE"""),"ITBISA-LED-SUPERBRIGHT-5MM-YELLOW")</f>
        <v>ITBISA-LED-SUPERBRIGHT-5MM-YELLOW</v>
      </c>
      <c r="B2842" s="165">
        <f>IFERROR(__xludf.DUMMYFUNCTION("""COMPUTED_VALUE"""),46051.0)</f>
        <v>46051</v>
      </c>
      <c r="C2842" s="165" t="str">
        <f>IFERROR(__xludf.DUMMYFUNCTION("""COMPUTED_VALUE"""),"KYAI KONTONG")</f>
        <v>KYAI KONTONG</v>
      </c>
      <c r="D2842" s="94">
        <f>IFERROR(__xludf.DUMMYFUNCTION("""COMPUTED_VALUE"""),2.0)</f>
        <v>2</v>
      </c>
    </row>
    <row r="2843">
      <c r="A2843" s="87" t="str">
        <f>IFERROR(__xludf.DUMMYFUNCTION("""COMPUTED_VALUE"""),"ITBISA-LED-SUPERBRIGHT-5MM-YELLOW")</f>
        <v>ITBISA-LED-SUPERBRIGHT-5MM-YELLOW</v>
      </c>
      <c r="B2843" s="165">
        <f>IFERROR(__xludf.DUMMYFUNCTION("""COMPUTED_VALUE"""),46061.0)</f>
        <v>46061</v>
      </c>
      <c r="C2843" s="165" t="str">
        <f>IFERROR(__xludf.DUMMYFUNCTION("""COMPUTED_VALUE"""),"KYAI KONTONG")</f>
        <v>KYAI KONTONG</v>
      </c>
      <c r="D2843" s="94">
        <f>IFERROR(__xludf.DUMMYFUNCTION("""COMPUTED_VALUE"""),15.0)</f>
        <v>15</v>
      </c>
    </row>
    <row r="2844">
      <c r="A2844" s="87" t="str">
        <f>IFERROR(__xludf.DUMMYFUNCTION("""COMPUTED_VALUE"""),"ITBISA-LED-SUPERBRIGHT-5MM-YELLOW")</f>
        <v>ITBISA-LED-SUPERBRIGHT-5MM-YELLOW</v>
      </c>
      <c r="B2844" s="165">
        <f>IFERROR(__xludf.DUMMYFUNCTION("""COMPUTED_VALUE"""),46063.0)</f>
        <v>46063</v>
      </c>
      <c r="C2844" s="165" t="str">
        <f>IFERROR(__xludf.DUMMYFUNCTION("""COMPUTED_VALUE"""),"KYAI KONTONG")</f>
        <v>KYAI KONTONG</v>
      </c>
      <c r="D2844" s="94">
        <f>IFERROR(__xludf.DUMMYFUNCTION("""COMPUTED_VALUE"""),15.0)</f>
        <v>15</v>
      </c>
    </row>
    <row r="2845">
      <c r="A2845" s="87" t="str">
        <f>IFERROR(__xludf.DUMMYFUNCTION("""COMPUTED_VALUE"""),"ITBISA-LED-SUPERBRIGHT-5MM-YELLOW")</f>
        <v>ITBISA-LED-SUPERBRIGHT-5MM-YELLOW</v>
      </c>
      <c r="B2845" s="165">
        <f>IFERROR(__xludf.DUMMYFUNCTION("""COMPUTED_VALUE"""),46143.0)</f>
        <v>46143</v>
      </c>
      <c r="C2845" s="165" t="str">
        <f>IFERROR(__xludf.DUMMYFUNCTION("""COMPUTED_VALUE"""),"KYAI KONTONG")</f>
        <v>KYAI KONTONG</v>
      </c>
      <c r="D2845" s="94">
        <f>IFERROR(__xludf.DUMMYFUNCTION("""COMPUTED_VALUE"""),1.0)</f>
        <v>1</v>
      </c>
    </row>
    <row r="2846">
      <c r="A2846" s="87" t="str">
        <f>IFERROR(__xludf.DUMMYFUNCTION("""COMPUTED_VALUE"""),"ITBISA-LED-SUPERBRIGHT-5MM-YELLOW")</f>
        <v>ITBISA-LED-SUPERBRIGHT-5MM-YELLOW</v>
      </c>
      <c r="B2846" s="165">
        <f>IFERROR(__xludf.DUMMYFUNCTION("""COMPUTED_VALUE"""),46143.0)</f>
        <v>46143</v>
      </c>
      <c r="C2846" s="165" t="str">
        <f>IFERROR(__xludf.DUMMYFUNCTION("""COMPUTED_VALUE"""),"KYAI KONTONG")</f>
        <v>KYAI KONTONG</v>
      </c>
      <c r="D2846" s="94">
        <f>IFERROR(__xludf.DUMMYFUNCTION("""COMPUTED_VALUE"""),15.0)</f>
        <v>15</v>
      </c>
    </row>
    <row r="2847">
      <c r="A2847" s="87" t="str">
        <f>IFERROR(__xludf.DUMMYFUNCTION("""COMPUTED_VALUE"""),"ITBISA-LED-SUPERBRIGHT-5MM-YELLOW")</f>
        <v>ITBISA-LED-SUPERBRIGHT-5MM-YELLOW</v>
      </c>
      <c r="B2847" s="165">
        <f>IFERROR(__xludf.DUMMYFUNCTION("""COMPUTED_VALUE"""),46144.0)</f>
        <v>46144</v>
      </c>
      <c r="C2847" s="165" t="str">
        <f>IFERROR(__xludf.DUMMYFUNCTION("""COMPUTED_VALUE"""),"KYAI KONTONG")</f>
        <v>KYAI KONTONG</v>
      </c>
      <c r="D2847" s="94">
        <f>IFERROR(__xludf.DUMMYFUNCTION("""COMPUTED_VALUE"""),15.0)</f>
        <v>15</v>
      </c>
    </row>
    <row r="2848">
      <c r="A2848" s="87" t="str">
        <f>IFERROR(__xludf.DUMMYFUNCTION("""COMPUTED_VALUE"""),"ITBISA-LED-SUPERBRIGHT-5MM-YELLOW")</f>
        <v>ITBISA-LED-SUPERBRIGHT-5MM-YELLOW</v>
      </c>
      <c r="B2848" s="165">
        <f>IFERROR(__xludf.DUMMYFUNCTION("""COMPUTED_VALUE"""),46148.0)</f>
        <v>46148</v>
      </c>
      <c r="C2848" s="165" t="str">
        <f>IFERROR(__xludf.DUMMYFUNCTION("""COMPUTED_VALUE"""),"KYAI KONTONG")</f>
        <v>KYAI KONTONG</v>
      </c>
      <c r="D2848" s="94">
        <f>IFERROR(__xludf.DUMMYFUNCTION("""COMPUTED_VALUE"""),5.0)</f>
        <v>5</v>
      </c>
    </row>
    <row r="2849">
      <c r="A2849" s="87" t="str">
        <f>IFERROR(__xludf.DUMMYFUNCTION("""COMPUTED_VALUE"""),"ITBISA-LED-SUPERBRIGHT-5MM-YELLOW")</f>
        <v>ITBISA-LED-SUPERBRIGHT-5MM-YELLOW</v>
      </c>
      <c r="B2849" s="165">
        <f>IFERROR(__xludf.DUMMYFUNCTION("""COMPUTED_VALUE"""),46148.0)</f>
        <v>46148</v>
      </c>
      <c r="C2849" s="165" t="str">
        <f>IFERROR(__xludf.DUMMYFUNCTION("""COMPUTED_VALUE"""),"KYAI KONTONG")</f>
        <v>KYAI KONTONG</v>
      </c>
      <c r="D2849" s="94">
        <f>IFERROR(__xludf.DUMMYFUNCTION("""COMPUTED_VALUE"""),15.0)</f>
        <v>15</v>
      </c>
    </row>
    <row r="2850">
      <c r="A2850" s="87" t="str">
        <f>IFERROR(__xludf.DUMMYFUNCTION("""COMPUTED_VALUE"""),"ITBISA-LED-SUPERBRIGHT-5MM-YELLOW")</f>
        <v>ITBISA-LED-SUPERBRIGHT-5MM-YELLOW</v>
      </c>
      <c r="B2850" s="165">
        <f>IFERROR(__xludf.DUMMYFUNCTION("""COMPUTED_VALUE"""),46152.0)</f>
        <v>46152</v>
      </c>
      <c r="C2850" s="165" t="str">
        <f>IFERROR(__xludf.DUMMYFUNCTION("""COMPUTED_VALUE"""),"KYAI KONTONG")</f>
        <v>KYAI KONTONG</v>
      </c>
      <c r="D2850" s="94">
        <f>IFERROR(__xludf.DUMMYFUNCTION("""COMPUTED_VALUE"""),15.0)</f>
        <v>15</v>
      </c>
    </row>
    <row r="2851">
      <c r="A2851" s="87" t="str">
        <f>IFERROR(__xludf.DUMMYFUNCTION("""COMPUTED_VALUE"""),"ITBISA-LED-SUPERBRIGHT-5MM-YELLOW")</f>
        <v>ITBISA-LED-SUPERBRIGHT-5MM-YELLOW</v>
      </c>
      <c r="B2851" s="165">
        <f>IFERROR(__xludf.DUMMYFUNCTION("""COMPUTED_VALUE"""),46177.0)</f>
        <v>46177</v>
      </c>
      <c r="C2851" s="165" t="str">
        <f>IFERROR(__xludf.DUMMYFUNCTION("""COMPUTED_VALUE"""),"KYAI KONTONG")</f>
        <v>KYAI KONTONG</v>
      </c>
      <c r="D2851" s="94">
        <f>IFERROR(__xludf.DUMMYFUNCTION("""COMPUTED_VALUE"""),6.0)</f>
        <v>6</v>
      </c>
    </row>
    <row r="2852">
      <c r="A2852" s="87" t="str">
        <f>IFERROR(__xludf.DUMMYFUNCTION("""COMPUTED_VALUE"""),"ITBISA-LED-SUPERBRIGHT-5MM-YELLOW")</f>
        <v>ITBISA-LED-SUPERBRIGHT-5MM-YELLOW</v>
      </c>
      <c r="B2852" s="165">
        <f>IFERROR(__xludf.DUMMYFUNCTION("""COMPUTED_VALUE"""),46188.0)</f>
        <v>46188</v>
      </c>
      <c r="C2852" s="165" t="str">
        <f>IFERROR(__xludf.DUMMYFUNCTION("""COMPUTED_VALUE"""),"KYAI KONTONG")</f>
        <v>KYAI KONTONG</v>
      </c>
      <c r="D2852" s="94">
        <f>IFERROR(__xludf.DUMMYFUNCTION("""COMPUTED_VALUE"""),50.0)</f>
        <v>50</v>
      </c>
    </row>
    <row r="2853">
      <c r="A2853" s="87" t="str">
        <f>IFERROR(__xludf.DUMMYFUNCTION("""COMPUTED_VALUE"""),"ITBISA-LED-SUPERBRIGHT-5MM-YELLOW")</f>
        <v>ITBISA-LED-SUPERBRIGHT-5MM-YELLOW</v>
      </c>
      <c r="B2853" s="165">
        <f>IFERROR(__xludf.DUMMYFUNCTION("""COMPUTED_VALUE"""),46196.0)</f>
        <v>46196</v>
      </c>
      <c r="C2853" s="165" t="str">
        <f>IFERROR(__xludf.DUMMYFUNCTION("""COMPUTED_VALUE"""),"KYAI KONTONG")</f>
        <v>KYAI KONTONG</v>
      </c>
      <c r="D2853" s="94">
        <f>IFERROR(__xludf.DUMMYFUNCTION("""COMPUTED_VALUE"""),35.0)</f>
        <v>35</v>
      </c>
    </row>
    <row r="2854">
      <c r="A2854" s="87" t="str">
        <f>IFERROR(__xludf.DUMMYFUNCTION("""COMPUTED_VALUE"""),"ITBISA-NODEMCU-V3-CH340G-ESP8266-MICRO")</f>
        <v>ITBISA-NODEMCU-V3-CH340G-ESP8266-MICRO</v>
      </c>
      <c r="B2854" s="165">
        <f>IFERROR(__xludf.DUMMYFUNCTION("""COMPUTED_VALUE"""),46027.0)</f>
        <v>46027</v>
      </c>
      <c r="C2854" s="165" t="str">
        <f>IFERROR(__xludf.DUMMYFUNCTION("""COMPUTED_VALUE"""),"KYAI KONTONG")</f>
        <v>KYAI KONTONG</v>
      </c>
      <c r="D2854" s="94">
        <f>IFERROR(__xludf.DUMMYFUNCTION("""COMPUTED_VALUE"""),1.0)</f>
        <v>1</v>
      </c>
    </row>
    <row r="2855">
      <c r="A2855" s="87" t="str">
        <f>IFERROR(__xludf.DUMMYFUNCTION("""COMPUTED_VALUE"""),"ITBISA-NODEMCU-V3-CH340G-ESP8266-MICRO")</f>
        <v>ITBISA-NODEMCU-V3-CH340G-ESP8266-MICRO</v>
      </c>
      <c r="B2855" s="165">
        <f>IFERROR(__xludf.DUMMYFUNCTION("""COMPUTED_VALUE"""),46104.0)</f>
        <v>46104</v>
      </c>
      <c r="C2855" s="165" t="str">
        <f>IFERROR(__xludf.DUMMYFUNCTION("""COMPUTED_VALUE"""),"KYAI KONTONG")</f>
        <v>KYAI KONTONG</v>
      </c>
      <c r="D2855" s="94">
        <f>IFERROR(__xludf.DUMMYFUNCTION("""COMPUTED_VALUE"""),4.0)</f>
        <v>4</v>
      </c>
    </row>
    <row r="2856">
      <c r="A2856" s="87" t="str">
        <f>IFERROR(__xludf.DUMMYFUNCTION("""COMPUTED_VALUE"""),"ITBISA-NODEMCU-V3-CH340G-ESP8266-MICRO")</f>
        <v>ITBISA-NODEMCU-V3-CH340G-ESP8266-MICRO</v>
      </c>
      <c r="B2856" s="165">
        <f>IFERROR(__xludf.DUMMYFUNCTION("""COMPUTED_VALUE"""),46133.0)</f>
        <v>46133</v>
      </c>
      <c r="C2856" s="165" t="str">
        <f>IFERROR(__xludf.DUMMYFUNCTION("""COMPUTED_VALUE"""),"KYAI KONTONG")</f>
        <v>KYAI KONTONG</v>
      </c>
      <c r="D2856" s="94">
        <f>IFERROR(__xludf.DUMMYFUNCTION("""COMPUTED_VALUE"""),1.0)</f>
        <v>1</v>
      </c>
    </row>
    <row r="2857">
      <c r="A2857" s="87" t="str">
        <f>IFERROR(__xludf.DUMMYFUNCTION("""COMPUTED_VALUE"""),"ITBISA-NODEMCU-V3-CH340G-ESP8266-MICRO")</f>
        <v>ITBISA-NODEMCU-V3-CH340G-ESP8266-MICRO</v>
      </c>
      <c r="B2857" s="165">
        <f>IFERROR(__xludf.DUMMYFUNCTION("""COMPUTED_VALUE"""),46138.0)</f>
        <v>46138</v>
      </c>
      <c r="C2857" s="165" t="str">
        <f>IFERROR(__xludf.DUMMYFUNCTION("""COMPUTED_VALUE"""),"KYAI KONTONG")</f>
        <v>KYAI KONTONG</v>
      </c>
      <c r="D2857" s="94">
        <f>IFERROR(__xludf.DUMMYFUNCTION("""COMPUTED_VALUE"""),5.0)</f>
        <v>5</v>
      </c>
    </row>
    <row r="2858">
      <c r="A2858" s="87" t="str">
        <f>IFERROR(__xludf.DUMMYFUNCTION("""COMPUTED_VALUE"""),"ITBISA-NODEMCU-V3-CH340G-ESP8266-MICRO")</f>
        <v>ITBISA-NODEMCU-V3-CH340G-ESP8266-MICRO</v>
      </c>
      <c r="B2858" s="165">
        <f>IFERROR(__xludf.DUMMYFUNCTION("""COMPUTED_VALUE"""),46157.0)</f>
        <v>46157</v>
      </c>
      <c r="C2858" s="165" t="str">
        <f>IFERROR(__xludf.DUMMYFUNCTION("""COMPUTED_VALUE"""),"KYAI KONTONG")</f>
        <v>KYAI KONTONG</v>
      </c>
      <c r="D2858" s="94">
        <f>IFERROR(__xludf.DUMMYFUNCTION("""COMPUTED_VALUE"""),135.0)</f>
        <v>135</v>
      </c>
    </row>
    <row r="2859">
      <c r="A2859" s="87" t="str">
        <f>IFERROR(__xludf.DUMMYFUNCTION("""COMPUTED_VALUE"""),"ITBISA-NODEMCU-V3-CH340G-ESP8266-MICRO")</f>
        <v>ITBISA-NODEMCU-V3-CH340G-ESP8266-MICRO</v>
      </c>
      <c r="B2859" s="165">
        <f>IFERROR(__xludf.DUMMYFUNCTION("""COMPUTED_VALUE"""),46167.0)</f>
        <v>46167</v>
      </c>
      <c r="C2859" s="165" t="str">
        <f>IFERROR(__xludf.DUMMYFUNCTION("""COMPUTED_VALUE"""),"KYAI KONTONG")</f>
        <v>KYAI KONTONG</v>
      </c>
      <c r="D2859" s="94">
        <f>IFERROR(__xludf.DUMMYFUNCTION("""COMPUTED_VALUE"""),2.0)</f>
        <v>2</v>
      </c>
    </row>
    <row r="2860">
      <c r="A2860" s="87" t="str">
        <f>IFERROR(__xludf.DUMMYFUNCTION("""COMPUTED_VALUE"""),"ITBISA-NODEMCU-V3-CH340G-ESP8266-MICRO")</f>
        <v>ITBISA-NODEMCU-V3-CH340G-ESP8266-MICRO</v>
      </c>
      <c r="B2860" s="165">
        <f>IFERROR(__xludf.DUMMYFUNCTION("""COMPUTED_VALUE"""),46167.0)</f>
        <v>46167</v>
      </c>
      <c r="C2860" s="165" t="str">
        <f>IFERROR(__xludf.DUMMYFUNCTION("""COMPUTED_VALUE"""),"KYAI KONTONG")</f>
        <v>KYAI KONTONG</v>
      </c>
      <c r="D2860" s="94">
        <f>IFERROR(__xludf.DUMMYFUNCTION("""COMPUTED_VALUE"""),2.0)</f>
        <v>2</v>
      </c>
    </row>
    <row r="2861">
      <c r="A2861" s="87" t="str">
        <f>IFERROR(__xludf.DUMMYFUNCTION("""COMPUTED_VALUE"""),"ITBISA-NODEMCU-V3-CH340G-ESP8266-MICRO")</f>
        <v>ITBISA-NODEMCU-V3-CH340G-ESP8266-MICRO</v>
      </c>
      <c r="B2861" s="165">
        <f>IFERROR(__xludf.DUMMYFUNCTION("""COMPUTED_VALUE"""),46169.0)</f>
        <v>46169</v>
      </c>
      <c r="C2861" s="165" t="str">
        <f>IFERROR(__xludf.DUMMYFUNCTION("""COMPUTED_VALUE"""),"KYAI KONTONG")</f>
        <v>KYAI KONTONG</v>
      </c>
      <c r="D2861" s="94">
        <f>IFERROR(__xludf.DUMMYFUNCTION("""COMPUTED_VALUE"""),2.0)</f>
        <v>2</v>
      </c>
    </row>
    <row r="2862">
      <c r="A2862" s="87" t="str">
        <f>IFERROR(__xludf.DUMMYFUNCTION("""COMPUTED_VALUE"""),"ITBISA-NODEMCU-V3-CH340G-ESP8266-MICRO")</f>
        <v>ITBISA-NODEMCU-V3-CH340G-ESP8266-MICRO</v>
      </c>
      <c r="B2862" s="165">
        <f>IFERROR(__xludf.DUMMYFUNCTION("""COMPUTED_VALUE"""),46171.0)</f>
        <v>46171</v>
      </c>
      <c r="C2862" s="165" t="str">
        <f>IFERROR(__xludf.DUMMYFUNCTION("""COMPUTED_VALUE"""),"KYAI KONTONG")</f>
        <v>KYAI KONTONG</v>
      </c>
      <c r="D2862" s="94">
        <f>IFERROR(__xludf.DUMMYFUNCTION("""COMPUTED_VALUE"""),3.0)</f>
        <v>3</v>
      </c>
    </row>
    <row r="2863">
      <c r="A2863" s="87" t="str">
        <f>IFERROR(__xludf.DUMMYFUNCTION("""COMPUTED_VALUE"""),"ITBISA-NODEMCU-V3-CH340G-ESP8266-MICRO")</f>
        <v>ITBISA-NODEMCU-V3-CH340G-ESP8266-MICRO</v>
      </c>
      <c r="B2863" s="165">
        <f>IFERROR(__xludf.DUMMYFUNCTION("""COMPUTED_VALUE"""),46172.0)</f>
        <v>46172</v>
      </c>
      <c r="C2863" s="165" t="str">
        <f>IFERROR(__xludf.DUMMYFUNCTION("""COMPUTED_VALUE"""),"KYAI KONTONG")</f>
        <v>KYAI KONTONG</v>
      </c>
      <c r="D2863" s="94">
        <f>IFERROR(__xludf.DUMMYFUNCTION("""COMPUTED_VALUE"""),2.0)</f>
        <v>2</v>
      </c>
    </row>
    <row r="2864">
      <c r="A2864" s="87" t="str">
        <f>IFERROR(__xludf.DUMMYFUNCTION("""COMPUTED_VALUE"""),"ITBISA-NODEMCU-V3-CH340G-ESP8266-MICRO")</f>
        <v>ITBISA-NODEMCU-V3-CH340G-ESP8266-MICRO</v>
      </c>
      <c r="B2864" s="165">
        <f>IFERROR(__xludf.DUMMYFUNCTION("""COMPUTED_VALUE"""),46174.0)</f>
        <v>46174</v>
      </c>
      <c r="C2864" s="165" t="str">
        <f>IFERROR(__xludf.DUMMYFUNCTION("""COMPUTED_VALUE"""),"KYAI KONTONG")</f>
        <v>KYAI KONTONG</v>
      </c>
      <c r="D2864" s="94">
        <f>IFERROR(__xludf.DUMMYFUNCTION("""COMPUTED_VALUE"""),1.0)</f>
        <v>1</v>
      </c>
    </row>
    <row r="2865">
      <c r="A2865" s="87" t="str">
        <f>IFERROR(__xludf.DUMMYFUNCTION("""COMPUTED_VALUE"""),"ITBISA-NODEMCU-V3-CH340G-ESP8266-MICRO")</f>
        <v>ITBISA-NODEMCU-V3-CH340G-ESP8266-MICRO</v>
      </c>
      <c r="B2865" s="165">
        <f>IFERROR(__xludf.DUMMYFUNCTION("""COMPUTED_VALUE"""),46175.0)</f>
        <v>46175</v>
      </c>
      <c r="C2865" s="165" t="str">
        <f>IFERROR(__xludf.DUMMYFUNCTION("""COMPUTED_VALUE"""),"KYAI KONTONG")</f>
        <v>KYAI KONTONG</v>
      </c>
      <c r="D2865" s="94">
        <f>IFERROR(__xludf.DUMMYFUNCTION("""COMPUTED_VALUE"""),1.0)</f>
        <v>1</v>
      </c>
    </row>
    <row r="2866">
      <c r="A2866" s="87" t="str">
        <f>IFERROR(__xludf.DUMMYFUNCTION("""COMPUTED_VALUE"""),"ITBISA-NODEMCU-V3-CH340G-ESP8266-MICRO")</f>
        <v>ITBISA-NODEMCU-V3-CH340G-ESP8266-MICRO</v>
      </c>
      <c r="B2866" s="165">
        <f>IFERROR(__xludf.DUMMYFUNCTION("""COMPUTED_VALUE"""),46175.0)</f>
        <v>46175</v>
      </c>
      <c r="C2866" s="165" t="str">
        <f>IFERROR(__xludf.DUMMYFUNCTION("""COMPUTED_VALUE"""),"KYAI KONTONG")</f>
        <v>KYAI KONTONG</v>
      </c>
      <c r="D2866" s="94">
        <f>IFERROR(__xludf.DUMMYFUNCTION("""COMPUTED_VALUE"""),1.0)</f>
        <v>1</v>
      </c>
    </row>
    <row r="2867">
      <c r="A2867" s="87" t="str">
        <f>IFERROR(__xludf.DUMMYFUNCTION("""COMPUTED_VALUE"""),"ITBISA-NODEMCU-V3-CH340G-ESP8266-MICRO")</f>
        <v>ITBISA-NODEMCU-V3-CH340G-ESP8266-MICRO</v>
      </c>
      <c r="B2867" s="165">
        <f>IFERROR(__xludf.DUMMYFUNCTION("""COMPUTED_VALUE"""),46176.0)</f>
        <v>46176</v>
      </c>
      <c r="C2867" s="165" t="str">
        <f>IFERROR(__xludf.DUMMYFUNCTION("""COMPUTED_VALUE"""),"KYAI KONTONG")</f>
        <v>KYAI KONTONG</v>
      </c>
      <c r="D2867" s="94">
        <f>IFERROR(__xludf.DUMMYFUNCTION("""COMPUTED_VALUE"""),1.0)</f>
        <v>1</v>
      </c>
    </row>
    <row r="2868">
      <c r="A2868" s="87" t="str">
        <f>IFERROR(__xludf.DUMMYFUNCTION("""COMPUTED_VALUE"""),"ITBISA-NODEMCU-V3-CH340G-ESP8266-MICRO")</f>
        <v>ITBISA-NODEMCU-V3-CH340G-ESP8266-MICRO</v>
      </c>
      <c r="B2868" s="165">
        <f>IFERROR(__xludf.DUMMYFUNCTION("""COMPUTED_VALUE"""),46178.0)</f>
        <v>46178</v>
      </c>
      <c r="C2868" s="165" t="str">
        <f>IFERROR(__xludf.DUMMYFUNCTION("""COMPUTED_VALUE"""),"KYAI KONTONG")</f>
        <v>KYAI KONTONG</v>
      </c>
      <c r="D2868" s="94">
        <f>IFERROR(__xludf.DUMMYFUNCTION("""COMPUTED_VALUE"""),1.0)</f>
        <v>1</v>
      </c>
    </row>
    <row r="2869">
      <c r="A2869" s="87" t="str">
        <f>IFERROR(__xludf.DUMMYFUNCTION("""COMPUTED_VALUE"""),"ITBISA-NODEMCU-V3-CH340G-ESP8266-MICRO")</f>
        <v>ITBISA-NODEMCU-V3-CH340G-ESP8266-MICRO</v>
      </c>
      <c r="B2869" s="165">
        <f>IFERROR(__xludf.DUMMYFUNCTION("""COMPUTED_VALUE"""),46178.0)</f>
        <v>46178</v>
      </c>
      <c r="C2869" s="165" t="str">
        <f>IFERROR(__xludf.DUMMYFUNCTION("""COMPUTED_VALUE"""),"KYAI KONTONG")</f>
        <v>KYAI KONTONG</v>
      </c>
      <c r="D2869" s="94">
        <f>IFERROR(__xludf.DUMMYFUNCTION("""COMPUTED_VALUE"""),1.0)</f>
        <v>1</v>
      </c>
    </row>
    <row r="2870">
      <c r="A2870" s="87" t="str">
        <f>IFERROR(__xludf.DUMMYFUNCTION("""COMPUTED_VALUE"""),"ITBISA-NODEMCU-V3-CH340G-ESP8266-MICRO")</f>
        <v>ITBISA-NODEMCU-V3-CH340G-ESP8266-MICRO</v>
      </c>
      <c r="B2870" s="165">
        <f>IFERROR(__xludf.DUMMYFUNCTION("""COMPUTED_VALUE"""),46179.0)</f>
        <v>46179</v>
      </c>
      <c r="C2870" s="165" t="str">
        <f>IFERROR(__xludf.DUMMYFUNCTION("""COMPUTED_VALUE"""),"KYAI KONTONG")</f>
        <v>KYAI KONTONG</v>
      </c>
      <c r="D2870" s="94">
        <f>IFERROR(__xludf.DUMMYFUNCTION("""COMPUTED_VALUE"""),20.0)</f>
        <v>20</v>
      </c>
    </row>
    <row r="2871">
      <c r="A2871" s="87" t="str">
        <f>IFERROR(__xludf.DUMMYFUNCTION("""COMPUTED_VALUE"""),"ITBISA-NODEMCU-V3-CH340G-ESP8266-MICRO")</f>
        <v>ITBISA-NODEMCU-V3-CH340G-ESP8266-MICRO</v>
      </c>
      <c r="B2871" s="165">
        <f>IFERROR(__xludf.DUMMYFUNCTION("""COMPUTED_VALUE"""),46180.0)</f>
        <v>46180</v>
      </c>
      <c r="C2871" s="165" t="str">
        <f>IFERROR(__xludf.DUMMYFUNCTION("""COMPUTED_VALUE"""),"KYAI KONTONG")</f>
        <v>KYAI KONTONG</v>
      </c>
      <c r="D2871" s="94">
        <f>IFERROR(__xludf.DUMMYFUNCTION("""COMPUTED_VALUE"""),30.0)</f>
        <v>30</v>
      </c>
    </row>
    <row r="2872">
      <c r="A2872" s="87" t="str">
        <f>IFERROR(__xludf.DUMMYFUNCTION("""COMPUTED_VALUE"""),"ITBISA-NODEMCU-V3-CH340G-ESP8266-MICRO")</f>
        <v>ITBISA-NODEMCU-V3-CH340G-ESP8266-MICRO</v>
      </c>
      <c r="B2872" s="165">
        <f>IFERROR(__xludf.DUMMYFUNCTION("""COMPUTED_VALUE"""),46182.0)</f>
        <v>46182</v>
      </c>
      <c r="C2872" s="165" t="str">
        <f>IFERROR(__xludf.DUMMYFUNCTION("""COMPUTED_VALUE"""),"KYAI KONTONG")</f>
        <v>KYAI KONTONG</v>
      </c>
      <c r="D2872" s="94">
        <f>IFERROR(__xludf.DUMMYFUNCTION("""COMPUTED_VALUE"""),1.0)</f>
        <v>1</v>
      </c>
    </row>
    <row r="2873">
      <c r="A2873" s="87" t="str">
        <f>IFERROR(__xludf.DUMMYFUNCTION("""COMPUTED_VALUE"""),"ITBISA-NODEMCU-V3-CH340G-ESP8266-MICRO")</f>
        <v>ITBISA-NODEMCU-V3-CH340G-ESP8266-MICRO</v>
      </c>
      <c r="B2873" s="165">
        <f>IFERROR(__xludf.DUMMYFUNCTION("""COMPUTED_VALUE"""),46183.0)</f>
        <v>46183</v>
      </c>
      <c r="C2873" s="165" t="str">
        <f>IFERROR(__xludf.DUMMYFUNCTION("""COMPUTED_VALUE"""),"KYAI KONTONG")</f>
        <v>KYAI KONTONG</v>
      </c>
      <c r="D2873" s="94">
        <f>IFERROR(__xludf.DUMMYFUNCTION("""COMPUTED_VALUE"""),1.0)</f>
        <v>1</v>
      </c>
    </row>
    <row r="2874">
      <c r="A2874" s="87" t="str">
        <f>IFERROR(__xludf.DUMMYFUNCTION("""COMPUTED_VALUE"""),"ITBISA-NODEMCU-V3-CH340G-ESP8266-MICRO")</f>
        <v>ITBISA-NODEMCU-V3-CH340G-ESP8266-MICRO</v>
      </c>
      <c r="B2874" s="165">
        <f>IFERROR(__xludf.DUMMYFUNCTION("""COMPUTED_VALUE"""),46183.0)</f>
        <v>46183</v>
      </c>
      <c r="C2874" s="165" t="str">
        <f>IFERROR(__xludf.DUMMYFUNCTION("""COMPUTED_VALUE"""),"KYAI KONTONG")</f>
        <v>KYAI KONTONG</v>
      </c>
      <c r="D2874" s="94">
        <f>IFERROR(__xludf.DUMMYFUNCTION("""COMPUTED_VALUE"""),8.0)</f>
        <v>8</v>
      </c>
    </row>
    <row r="2875">
      <c r="A2875" s="87" t="str">
        <f>IFERROR(__xludf.DUMMYFUNCTION("""COMPUTED_VALUE"""),"ITBISA-NODEMCU-V3-CH340G-ESP8266-MICRO")</f>
        <v>ITBISA-NODEMCU-V3-CH340G-ESP8266-MICRO</v>
      </c>
      <c r="B2875" s="165">
        <f>IFERROR(__xludf.DUMMYFUNCTION("""COMPUTED_VALUE"""),46184.0)</f>
        <v>46184</v>
      </c>
      <c r="C2875" s="165" t="str">
        <f>IFERROR(__xludf.DUMMYFUNCTION("""COMPUTED_VALUE"""),"KYAI KONTONG")</f>
        <v>KYAI KONTONG</v>
      </c>
      <c r="D2875" s="94">
        <f>IFERROR(__xludf.DUMMYFUNCTION("""COMPUTED_VALUE"""),1.0)</f>
        <v>1</v>
      </c>
    </row>
    <row r="2876">
      <c r="A2876" s="87" t="str">
        <f>IFERROR(__xludf.DUMMYFUNCTION("""COMPUTED_VALUE"""),"ITBISA-NODEMCU-V3-CH340G-ESP8266-MICRO")</f>
        <v>ITBISA-NODEMCU-V3-CH340G-ESP8266-MICRO</v>
      </c>
      <c r="B2876" s="165">
        <f>IFERROR(__xludf.DUMMYFUNCTION("""COMPUTED_VALUE"""),46185.0)</f>
        <v>46185</v>
      </c>
      <c r="C2876" s="165" t="str">
        <f>IFERROR(__xludf.DUMMYFUNCTION("""COMPUTED_VALUE"""),"KYAI KONTONG")</f>
        <v>KYAI KONTONG</v>
      </c>
      <c r="D2876" s="94">
        <f>IFERROR(__xludf.DUMMYFUNCTION("""COMPUTED_VALUE"""),1.0)</f>
        <v>1</v>
      </c>
    </row>
    <row r="2877">
      <c r="A2877" s="87" t="str">
        <f>IFERROR(__xludf.DUMMYFUNCTION("""COMPUTED_VALUE"""),"ITBISA-NODEMCU-V3-CH340G-ESP8266-MICRO")</f>
        <v>ITBISA-NODEMCU-V3-CH340G-ESP8266-MICRO</v>
      </c>
      <c r="B2877" s="165">
        <f>IFERROR(__xludf.DUMMYFUNCTION("""COMPUTED_VALUE"""),46185.0)</f>
        <v>46185</v>
      </c>
      <c r="C2877" s="165" t="str">
        <f>IFERROR(__xludf.DUMMYFUNCTION("""COMPUTED_VALUE"""),"KYAI KONTONG")</f>
        <v>KYAI KONTONG</v>
      </c>
      <c r="D2877" s="94">
        <f>IFERROR(__xludf.DUMMYFUNCTION("""COMPUTED_VALUE"""),1.0)</f>
        <v>1</v>
      </c>
    </row>
    <row r="2878">
      <c r="A2878" s="87" t="str">
        <f>IFERROR(__xludf.DUMMYFUNCTION("""COMPUTED_VALUE"""),"ITBISA-NODEMCU-V3-CH340G-ESP8266-MICRO")</f>
        <v>ITBISA-NODEMCU-V3-CH340G-ESP8266-MICRO</v>
      </c>
      <c r="B2878" s="165">
        <f>IFERROR(__xludf.DUMMYFUNCTION("""COMPUTED_VALUE"""),46185.0)</f>
        <v>46185</v>
      </c>
      <c r="C2878" s="165" t="str">
        <f>IFERROR(__xludf.DUMMYFUNCTION("""COMPUTED_VALUE"""),"KYAI KONTONG")</f>
        <v>KYAI KONTONG</v>
      </c>
      <c r="D2878" s="94">
        <f>IFERROR(__xludf.DUMMYFUNCTION("""COMPUTED_VALUE"""),2.0)</f>
        <v>2</v>
      </c>
    </row>
    <row r="2879">
      <c r="A2879" s="87" t="str">
        <f>IFERROR(__xludf.DUMMYFUNCTION("""COMPUTED_VALUE"""),"ITBISA-NODEMCU-V3-CH340G-ESP8266-MICRO")</f>
        <v>ITBISA-NODEMCU-V3-CH340G-ESP8266-MICRO</v>
      </c>
      <c r="B2879" s="165">
        <f>IFERROR(__xludf.DUMMYFUNCTION("""COMPUTED_VALUE"""),46185.0)</f>
        <v>46185</v>
      </c>
      <c r="C2879" s="165" t="str">
        <f>IFERROR(__xludf.DUMMYFUNCTION("""COMPUTED_VALUE"""),"KYAI KONTONG")</f>
        <v>KYAI KONTONG</v>
      </c>
      <c r="D2879" s="94">
        <f>IFERROR(__xludf.DUMMYFUNCTION("""COMPUTED_VALUE"""),3.0)</f>
        <v>3</v>
      </c>
    </row>
    <row r="2880">
      <c r="A2880" s="87" t="str">
        <f>IFERROR(__xludf.DUMMYFUNCTION("""COMPUTED_VALUE"""),"ITBISA-NODEMCU-V3-CH340G-ESP8266-MICRO")</f>
        <v>ITBISA-NODEMCU-V3-CH340G-ESP8266-MICRO</v>
      </c>
      <c r="B2880" s="165">
        <f>IFERROR(__xludf.DUMMYFUNCTION("""COMPUTED_VALUE"""),46185.0)</f>
        <v>46185</v>
      </c>
      <c r="C2880" s="165" t="str">
        <f>IFERROR(__xludf.DUMMYFUNCTION("""COMPUTED_VALUE"""),"KYAI KONTONG")</f>
        <v>KYAI KONTONG</v>
      </c>
      <c r="D2880" s="94">
        <f>IFERROR(__xludf.DUMMYFUNCTION("""COMPUTED_VALUE"""),5.0)</f>
        <v>5</v>
      </c>
    </row>
    <row r="2881">
      <c r="A2881" s="87" t="str">
        <f>IFERROR(__xludf.DUMMYFUNCTION("""COMPUTED_VALUE"""),"ITBISA-NODEMCU-V3-CH340G-ESP8266-MICRO")</f>
        <v>ITBISA-NODEMCU-V3-CH340G-ESP8266-MICRO</v>
      </c>
      <c r="B2881" s="165">
        <f>IFERROR(__xludf.DUMMYFUNCTION("""COMPUTED_VALUE"""),46185.0)</f>
        <v>46185</v>
      </c>
      <c r="C2881" s="165" t="str">
        <f>IFERROR(__xludf.DUMMYFUNCTION("""COMPUTED_VALUE"""),"KYAI KONTONG")</f>
        <v>KYAI KONTONG</v>
      </c>
      <c r="D2881" s="94">
        <f>IFERROR(__xludf.DUMMYFUNCTION("""COMPUTED_VALUE"""),32.0)</f>
        <v>32</v>
      </c>
    </row>
    <row r="2882">
      <c r="A2882" s="87" t="str">
        <f>IFERROR(__xludf.DUMMYFUNCTION("""COMPUTED_VALUE"""),"ITBISA-NODEMCU-V3-CH340G-ESP8266-MICRO")</f>
        <v>ITBISA-NODEMCU-V3-CH340G-ESP8266-MICRO</v>
      </c>
      <c r="B2882" s="165">
        <f>IFERROR(__xludf.DUMMYFUNCTION("""COMPUTED_VALUE"""),46186.0)</f>
        <v>46186</v>
      </c>
      <c r="C2882" s="165" t="str">
        <f>IFERROR(__xludf.DUMMYFUNCTION("""COMPUTED_VALUE"""),"KYAI KONTONG")</f>
        <v>KYAI KONTONG</v>
      </c>
      <c r="D2882" s="94">
        <f>IFERROR(__xludf.DUMMYFUNCTION("""COMPUTED_VALUE"""),1.0)</f>
        <v>1</v>
      </c>
    </row>
    <row r="2883">
      <c r="A2883" s="87" t="str">
        <f>IFERROR(__xludf.DUMMYFUNCTION("""COMPUTED_VALUE"""),"ITBISA-NODEMCU-V3-CH340G-ESP8266-MICRO")</f>
        <v>ITBISA-NODEMCU-V3-CH340G-ESP8266-MICRO</v>
      </c>
      <c r="B2883" s="165">
        <f>IFERROR(__xludf.DUMMYFUNCTION("""COMPUTED_VALUE"""),46187.0)</f>
        <v>46187</v>
      </c>
      <c r="C2883" s="165" t="str">
        <f>IFERROR(__xludf.DUMMYFUNCTION("""COMPUTED_VALUE"""),"KYAI KONTONG")</f>
        <v>KYAI KONTONG</v>
      </c>
      <c r="D2883" s="94">
        <f>IFERROR(__xludf.DUMMYFUNCTION("""COMPUTED_VALUE"""),1.0)</f>
        <v>1</v>
      </c>
    </row>
    <row r="2884">
      <c r="A2884" s="87" t="str">
        <f>IFERROR(__xludf.DUMMYFUNCTION("""COMPUTED_VALUE"""),"ITBISA-NODEMCU-V3-CH340G-ESP8266-MICRO")</f>
        <v>ITBISA-NODEMCU-V3-CH340G-ESP8266-MICRO</v>
      </c>
      <c r="B2884" s="165">
        <f>IFERROR(__xludf.DUMMYFUNCTION("""COMPUTED_VALUE"""),46187.0)</f>
        <v>46187</v>
      </c>
      <c r="C2884" s="165" t="str">
        <f>IFERROR(__xludf.DUMMYFUNCTION("""COMPUTED_VALUE"""),"KYAI KONTONG")</f>
        <v>KYAI KONTONG</v>
      </c>
      <c r="D2884" s="94">
        <f>IFERROR(__xludf.DUMMYFUNCTION("""COMPUTED_VALUE"""),1.0)</f>
        <v>1</v>
      </c>
    </row>
    <row r="2885">
      <c r="A2885" s="87" t="str">
        <f>IFERROR(__xludf.DUMMYFUNCTION("""COMPUTED_VALUE"""),"ITBISA-NODEMCU-V3-CH340G-ESP8266-MICRO")</f>
        <v>ITBISA-NODEMCU-V3-CH340G-ESP8266-MICRO</v>
      </c>
      <c r="B2885" s="165">
        <f>IFERROR(__xludf.DUMMYFUNCTION("""COMPUTED_VALUE"""),46187.0)</f>
        <v>46187</v>
      </c>
      <c r="C2885" s="165" t="str">
        <f>IFERROR(__xludf.DUMMYFUNCTION("""COMPUTED_VALUE"""),"KYAI KONTONG")</f>
        <v>KYAI KONTONG</v>
      </c>
      <c r="D2885" s="94">
        <f>IFERROR(__xludf.DUMMYFUNCTION("""COMPUTED_VALUE"""),1.0)</f>
        <v>1</v>
      </c>
    </row>
    <row r="2886">
      <c r="A2886" s="87" t="str">
        <f>IFERROR(__xludf.DUMMYFUNCTION("""COMPUTED_VALUE"""),"ITBISA-NODEMCU-V3-CH340G-ESP8266-MICRO")</f>
        <v>ITBISA-NODEMCU-V3-CH340G-ESP8266-MICRO</v>
      </c>
      <c r="B2886" s="165">
        <f>IFERROR(__xludf.DUMMYFUNCTION("""COMPUTED_VALUE"""),46188.0)</f>
        <v>46188</v>
      </c>
      <c r="C2886" s="165" t="str">
        <f>IFERROR(__xludf.DUMMYFUNCTION("""COMPUTED_VALUE"""),"KYAI KONTONG")</f>
        <v>KYAI KONTONG</v>
      </c>
      <c r="D2886" s="94">
        <f>IFERROR(__xludf.DUMMYFUNCTION("""COMPUTED_VALUE"""),1.0)</f>
        <v>1</v>
      </c>
    </row>
    <row r="2887">
      <c r="A2887" s="87" t="str">
        <f>IFERROR(__xludf.DUMMYFUNCTION("""COMPUTED_VALUE"""),"ITBISA-NODEMCU-V3-CH340G-ESP8266-MICRO")</f>
        <v>ITBISA-NODEMCU-V3-CH340G-ESP8266-MICRO</v>
      </c>
      <c r="B2887" s="165">
        <f>IFERROR(__xludf.DUMMYFUNCTION("""COMPUTED_VALUE"""),46188.0)</f>
        <v>46188</v>
      </c>
      <c r="C2887" s="165" t="str">
        <f>IFERROR(__xludf.DUMMYFUNCTION("""COMPUTED_VALUE"""),"KYAI KONTONG")</f>
        <v>KYAI KONTONG</v>
      </c>
      <c r="D2887" s="94">
        <f>IFERROR(__xludf.DUMMYFUNCTION("""COMPUTED_VALUE"""),2.0)</f>
        <v>2</v>
      </c>
    </row>
    <row r="2888">
      <c r="A2888" s="87" t="str">
        <f>IFERROR(__xludf.DUMMYFUNCTION("""COMPUTED_VALUE"""),"ITBISA-NODEMCU-V3-CH340G-ESP8266-MICRO")</f>
        <v>ITBISA-NODEMCU-V3-CH340G-ESP8266-MICRO</v>
      </c>
      <c r="B2888" s="165">
        <f>IFERROR(__xludf.DUMMYFUNCTION("""COMPUTED_VALUE"""),46189.0)</f>
        <v>46189</v>
      </c>
      <c r="C2888" s="165" t="str">
        <f>IFERROR(__xludf.DUMMYFUNCTION("""COMPUTED_VALUE"""),"KYAI KONTONG")</f>
        <v>KYAI KONTONG</v>
      </c>
      <c r="D2888" s="94">
        <f>IFERROR(__xludf.DUMMYFUNCTION("""COMPUTED_VALUE"""),1.0)</f>
        <v>1</v>
      </c>
    </row>
    <row r="2889">
      <c r="A2889" s="87" t="str">
        <f>IFERROR(__xludf.DUMMYFUNCTION("""COMPUTED_VALUE"""),"ITBISA-NODEMCU-V3-CH340G-ESP8266-MICRO")</f>
        <v>ITBISA-NODEMCU-V3-CH340G-ESP8266-MICRO</v>
      </c>
      <c r="B2889" s="165">
        <f>IFERROR(__xludf.DUMMYFUNCTION("""COMPUTED_VALUE"""),46189.0)</f>
        <v>46189</v>
      </c>
      <c r="C2889" s="165" t="str">
        <f>IFERROR(__xludf.DUMMYFUNCTION("""COMPUTED_VALUE"""),"KYAI KONTONG")</f>
        <v>KYAI KONTONG</v>
      </c>
      <c r="D2889" s="94">
        <f>IFERROR(__xludf.DUMMYFUNCTION("""COMPUTED_VALUE"""),1.0)</f>
        <v>1</v>
      </c>
    </row>
    <row r="2890">
      <c r="A2890" s="87" t="str">
        <f>IFERROR(__xludf.DUMMYFUNCTION("""COMPUTED_VALUE"""),"ITBISA-NODEMCU-V3-CH340G-ESP8266-MICRO")</f>
        <v>ITBISA-NODEMCU-V3-CH340G-ESP8266-MICRO</v>
      </c>
      <c r="B2890" s="165">
        <f>IFERROR(__xludf.DUMMYFUNCTION("""COMPUTED_VALUE"""),46189.0)</f>
        <v>46189</v>
      </c>
      <c r="C2890" s="165" t="str">
        <f>IFERROR(__xludf.DUMMYFUNCTION("""COMPUTED_VALUE"""),"KYAI KONTONG")</f>
        <v>KYAI KONTONG</v>
      </c>
      <c r="D2890" s="94">
        <f>IFERROR(__xludf.DUMMYFUNCTION("""COMPUTED_VALUE"""),1.0)</f>
        <v>1</v>
      </c>
    </row>
    <row r="2891">
      <c r="A2891" s="87" t="str">
        <f>IFERROR(__xludf.DUMMYFUNCTION("""COMPUTED_VALUE"""),"ITBISA-NODEMCU-V3-CH340G-ESP8266-MICRO")</f>
        <v>ITBISA-NODEMCU-V3-CH340G-ESP8266-MICRO</v>
      </c>
      <c r="B2891" s="165">
        <f>IFERROR(__xludf.DUMMYFUNCTION("""COMPUTED_VALUE"""),46189.0)</f>
        <v>46189</v>
      </c>
      <c r="C2891" s="165" t="str">
        <f>IFERROR(__xludf.DUMMYFUNCTION("""COMPUTED_VALUE"""),"KYAI KONTONG")</f>
        <v>KYAI KONTONG</v>
      </c>
      <c r="D2891" s="94">
        <f>IFERROR(__xludf.DUMMYFUNCTION("""COMPUTED_VALUE"""),2.0)</f>
        <v>2</v>
      </c>
    </row>
    <row r="2892">
      <c r="A2892" s="87" t="str">
        <f>IFERROR(__xludf.DUMMYFUNCTION("""COMPUTED_VALUE"""),"ITBISA-NODEMCU-V3-CH340G-ESP8266-MICRO")</f>
        <v>ITBISA-NODEMCU-V3-CH340G-ESP8266-MICRO</v>
      </c>
      <c r="B2892" s="165">
        <f>IFERROR(__xludf.DUMMYFUNCTION("""COMPUTED_VALUE"""),46189.0)</f>
        <v>46189</v>
      </c>
      <c r="C2892" s="165" t="str">
        <f>IFERROR(__xludf.DUMMYFUNCTION("""COMPUTED_VALUE"""),"KYAI KONTONG")</f>
        <v>KYAI KONTONG</v>
      </c>
      <c r="D2892" s="94">
        <f>IFERROR(__xludf.DUMMYFUNCTION("""COMPUTED_VALUE"""),4.0)</f>
        <v>4</v>
      </c>
    </row>
    <row r="2893">
      <c r="A2893" s="87" t="str">
        <f>IFERROR(__xludf.DUMMYFUNCTION("""COMPUTED_VALUE"""),"ITBISA-NODEMCU-V3-CH340G-ESP8266-MICRO")</f>
        <v>ITBISA-NODEMCU-V3-CH340G-ESP8266-MICRO</v>
      </c>
      <c r="B2893" s="165">
        <f>IFERROR(__xludf.DUMMYFUNCTION("""COMPUTED_VALUE"""),46190.0)</f>
        <v>46190</v>
      </c>
      <c r="C2893" s="165" t="str">
        <f>IFERROR(__xludf.DUMMYFUNCTION("""COMPUTED_VALUE"""),"KYAI KONTONG")</f>
        <v>KYAI KONTONG</v>
      </c>
      <c r="D2893" s="94">
        <f>IFERROR(__xludf.DUMMYFUNCTION("""COMPUTED_VALUE"""),1.0)</f>
        <v>1</v>
      </c>
    </row>
    <row r="2894">
      <c r="A2894" s="87" t="str">
        <f>IFERROR(__xludf.DUMMYFUNCTION("""COMPUTED_VALUE"""),"ITBISA-NODEMCU-V3-CH340G-ESP8266-MICRO")</f>
        <v>ITBISA-NODEMCU-V3-CH340G-ESP8266-MICRO</v>
      </c>
      <c r="B2894" s="165">
        <f>IFERROR(__xludf.DUMMYFUNCTION("""COMPUTED_VALUE"""),46190.0)</f>
        <v>46190</v>
      </c>
      <c r="C2894" s="165" t="str">
        <f>IFERROR(__xludf.DUMMYFUNCTION("""COMPUTED_VALUE"""),"KYAI KONTONG")</f>
        <v>KYAI KONTONG</v>
      </c>
      <c r="D2894" s="94">
        <f>IFERROR(__xludf.DUMMYFUNCTION("""COMPUTED_VALUE"""),1.0)</f>
        <v>1</v>
      </c>
    </row>
    <row r="2895">
      <c r="A2895" s="87" t="str">
        <f>IFERROR(__xludf.DUMMYFUNCTION("""COMPUTED_VALUE"""),"ITBISA-NODEMCU-V3-CH340G-ESP8266-MICRO")</f>
        <v>ITBISA-NODEMCU-V3-CH340G-ESP8266-MICRO</v>
      </c>
      <c r="B2895" s="165">
        <f>IFERROR(__xludf.DUMMYFUNCTION("""COMPUTED_VALUE"""),46190.0)</f>
        <v>46190</v>
      </c>
      <c r="C2895" s="165" t="str">
        <f>IFERROR(__xludf.DUMMYFUNCTION("""COMPUTED_VALUE"""),"KYAI KONTONG")</f>
        <v>KYAI KONTONG</v>
      </c>
      <c r="D2895" s="94">
        <f>IFERROR(__xludf.DUMMYFUNCTION("""COMPUTED_VALUE"""),2.0)</f>
        <v>2</v>
      </c>
    </row>
    <row r="2896">
      <c r="A2896" s="87" t="str">
        <f>IFERROR(__xludf.DUMMYFUNCTION("""COMPUTED_VALUE"""),"ITBISA-NODEMCU-V3-CH340G-ESP8266-MICRO")</f>
        <v>ITBISA-NODEMCU-V3-CH340G-ESP8266-MICRO</v>
      </c>
      <c r="B2896" s="165">
        <f>IFERROR(__xludf.DUMMYFUNCTION("""COMPUTED_VALUE"""),46190.0)</f>
        <v>46190</v>
      </c>
      <c r="C2896" s="165" t="str">
        <f>IFERROR(__xludf.DUMMYFUNCTION("""COMPUTED_VALUE"""),"KYAI KONTONG")</f>
        <v>KYAI KONTONG</v>
      </c>
      <c r="D2896" s="94">
        <f>IFERROR(__xludf.DUMMYFUNCTION("""COMPUTED_VALUE"""),10.0)</f>
        <v>10</v>
      </c>
    </row>
    <row r="2897">
      <c r="A2897" s="87" t="str">
        <f>IFERROR(__xludf.DUMMYFUNCTION("""COMPUTED_VALUE"""),"ITBISA-NODEMCU-V3-CH340G-ESP8266-MICRO")</f>
        <v>ITBISA-NODEMCU-V3-CH340G-ESP8266-MICRO</v>
      </c>
      <c r="B2897" s="165">
        <f>IFERROR(__xludf.DUMMYFUNCTION("""COMPUTED_VALUE"""),46191.0)</f>
        <v>46191</v>
      </c>
      <c r="C2897" s="165" t="str">
        <f>IFERROR(__xludf.DUMMYFUNCTION("""COMPUTED_VALUE"""),"KYAI KONTONG")</f>
        <v>KYAI KONTONG</v>
      </c>
      <c r="D2897" s="94">
        <f>IFERROR(__xludf.DUMMYFUNCTION("""COMPUTED_VALUE"""),1.0)</f>
        <v>1</v>
      </c>
    </row>
    <row r="2898">
      <c r="A2898" s="87" t="str">
        <f>IFERROR(__xludf.DUMMYFUNCTION("""COMPUTED_VALUE"""),"ITBISA-NODEMCU-V3-CH340G-ESP8266-MICRO")</f>
        <v>ITBISA-NODEMCU-V3-CH340G-ESP8266-MICRO</v>
      </c>
      <c r="B2898" s="165">
        <f>IFERROR(__xludf.DUMMYFUNCTION("""COMPUTED_VALUE"""),46192.0)</f>
        <v>46192</v>
      </c>
      <c r="C2898" s="165" t="str">
        <f>IFERROR(__xludf.DUMMYFUNCTION("""COMPUTED_VALUE"""),"KYAI KONTONG")</f>
        <v>KYAI KONTONG</v>
      </c>
      <c r="D2898" s="94">
        <f>IFERROR(__xludf.DUMMYFUNCTION("""COMPUTED_VALUE"""),3.0)</f>
        <v>3</v>
      </c>
    </row>
    <row r="2899">
      <c r="A2899" s="87" t="str">
        <f>IFERROR(__xludf.DUMMYFUNCTION("""COMPUTED_VALUE"""),"ITBISA-NODEMCU-V3-CH340G-ESP8266-MICRO")</f>
        <v>ITBISA-NODEMCU-V3-CH340G-ESP8266-MICRO</v>
      </c>
      <c r="B2899" s="165">
        <f>IFERROR(__xludf.DUMMYFUNCTION("""COMPUTED_VALUE"""),46193.0)</f>
        <v>46193</v>
      </c>
      <c r="C2899" s="165" t="str">
        <f>IFERROR(__xludf.DUMMYFUNCTION("""COMPUTED_VALUE"""),"KYAI KONTONG")</f>
        <v>KYAI KONTONG</v>
      </c>
      <c r="D2899" s="94">
        <f>IFERROR(__xludf.DUMMYFUNCTION("""COMPUTED_VALUE"""),1.0)</f>
        <v>1</v>
      </c>
    </row>
    <row r="2900">
      <c r="A2900" s="87" t="str">
        <f>IFERROR(__xludf.DUMMYFUNCTION("""COMPUTED_VALUE"""),"ITBISA-NPN-2N2222-TO92")</f>
        <v>ITBISA-NPN-2N2222-TO92</v>
      </c>
      <c r="B2900" s="165">
        <f>IFERROR(__xludf.DUMMYFUNCTION("""COMPUTED_VALUE"""),46023.0)</f>
        <v>46023</v>
      </c>
      <c r="C2900" s="165" t="str">
        <f>IFERROR(__xludf.DUMMYFUNCTION("""COMPUTED_VALUE"""),"KYAI KONTONG")</f>
        <v>KYAI KONTONG</v>
      </c>
      <c r="D2900" s="94">
        <f>IFERROR(__xludf.DUMMYFUNCTION("""COMPUTED_VALUE"""),100.0)</f>
        <v>100</v>
      </c>
    </row>
    <row r="2901">
      <c r="A2901" s="87" t="str">
        <f>IFERROR(__xludf.DUMMYFUNCTION("""COMPUTED_VALUE"""),"ITBISA-NPN-2N2222-TO92")</f>
        <v>ITBISA-NPN-2N2222-TO92</v>
      </c>
      <c r="B2901" s="165">
        <f>IFERROR(__xludf.DUMMYFUNCTION("""COMPUTED_VALUE"""),46027.0)</f>
        <v>46027</v>
      </c>
      <c r="C2901" s="165" t="str">
        <f>IFERROR(__xludf.DUMMYFUNCTION("""COMPUTED_VALUE"""),"KYAI KONTONG")</f>
        <v>KYAI KONTONG</v>
      </c>
      <c r="D2901" s="94">
        <f>IFERROR(__xludf.DUMMYFUNCTION("""COMPUTED_VALUE"""),10.0)</f>
        <v>10</v>
      </c>
    </row>
    <row r="2902">
      <c r="A2902" s="87" t="str">
        <f>IFERROR(__xludf.DUMMYFUNCTION("""COMPUTED_VALUE"""),"ITBISA-NPN-2N2222-TO92")</f>
        <v>ITBISA-NPN-2N2222-TO92</v>
      </c>
      <c r="B2902" s="165">
        <f>IFERROR(__xludf.DUMMYFUNCTION("""COMPUTED_VALUE"""),46042.0)</f>
        <v>46042</v>
      </c>
      <c r="C2902" s="165" t="str">
        <f>IFERROR(__xludf.DUMMYFUNCTION("""COMPUTED_VALUE"""),"KERTASARI CIAMIS")</f>
        <v>KERTASARI CIAMIS</v>
      </c>
      <c r="D2902" s="94">
        <f>IFERROR(__xludf.DUMMYFUNCTION("""COMPUTED_VALUE"""),10.0)</f>
        <v>10</v>
      </c>
    </row>
    <row r="2903">
      <c r="A2903" s="87" t="str">
        <f>IFERROR(__xludf.DUMMYFUNCTION("""COMPUTED_VALUE"""),"ITBISA-NPN-2N2222-TO92")</f>
        <v>ITBISA-NPN-2N2222-TO92</v>
      </c>
      <c r="B2903" s="165">
        <f>IFERROR(__xludf.DUMMYFUNCTION("""COMPUTED_VALUE"""),46044.0)</f>
        <v>46044</v>
      </c>
      <c r="C2903" s="165" t="str">
        <f>IFERROR(__xludf.DUMMYFUNCTION("""COMPUTED_VALUE"""),"KYAI KONTONG")</f>
        <v>KYAI KONTONG</v>
      </c>
      <c r="D2903" s="94">
        <f>IFERROR(__xludf.DUMMYFUNCTION("""COMPUTED_VALUE"""),5.0)</f>
        <v>5</v>
      </c>
    </row>
    <row r="2904">
      <c r="A2904" s="87" t="str">
        <f>IFERROR(__xludf.DUMMYFUNCTION("""COMPUTED_VALUE"""),"ITBISA-NPN-2N2222-TO92")</f>
        <v>ITBISA-NPN-2N2222-TO92</v>
      </c>
      <c r="B2904" s="165">
        <f>IFERROR(__xludf.DUMMYFUNCTION("""COMPUTED_VALUE"""),46055.0)</f>
        <v>46055</v>
      </c>
      <c r="C2904" s="165" t="str">
        <f>IFERROR(__xludf.DUMMYFUNCTION("""COMPUTED_VALUE"""),"KERTASARI CIAMIS")</f>
        <v>KERTASARI CIAMIS</v>
      </c>
      <c r="D2904" s="94">
        <f>IFERROR(__xludf.DUMMYFUNCTION("""COMPUTED_VALUE"""),10.0)</f>
        <v>10</v>
      </c>
    </row>
    <row r="2905">
      <c r="A2905" s="87" t="str">
        <f>IFERROR(__xludf.DUMMYFUNCTION("""COMPUTED_VALUE"""),"ITBISA-NPN-2N2222-TO92")</f>
        <v>ITBISA-NPN-2N2222-TO92</v>
      </c>
      <c r="B2905" s="165">
        <f>IFERROR(__xludf.DUMMYFUNCTION("""COMPUTED_VALUE"""),46055.0)</f>
        <v>46055</v>
      </c>
      <c r="C2905" s="165" t="str">
        <f>IFERROR(__xludf.DUMMYFUNCTION("""COMPUTED_VALUE"""),"KYAI KONTONG")</f>
        <v>KYAI KONTONG</v>
      </c>
      <c r="D2905" s="94">
        <f>IFERROR(__xludf.DUMMYFUNCTION("""COMPUTED_VALUE"""),12.0)</f>
        <v>12</v>
      </c>
    </row>
    <row r="2906">
      <c r="A2906" s="87" t="str">
        <f>IFERROR(__xludf.DUMMYFUNCTION("""COMPUTED_VALUE"""),"ITBISA-NPN-2N2222-TO92")</f>
        <v>ITBISA-NPN-2N2222-TO92</v>
      </c>
      <c r="B2906" s="165">
        <f>IFERROR(__xludf.DUMMYFUNCTION("""COMPUTED_VALUE"""),46064.0)</f>
        <v>46064</v>
      </c>
      <c r="C2906" s="165" t="str">
        <f>IFERROR(__xludf.DUMMYFUNCTION("""COMPUTED_VALUE"""),"KYAI KONTONG")</f>
        <v>KYAI KONTONG</v>
      </c>
      <c r="D2906" s="94">
        <f>IFERROR(__xludf.DUMMYFUNCTION("""COMPUTED_VALUE"""),20.0)</f>
        <v>20</v>
      </c>
    </row>
    <row r="2907">
      <c r="A2907" s="87" t="str">
        <f>IFERROR(__xludf.DUMMYFUNCTION("""COMPUTED_VALUE"""),"ITBISA-NPN-2N2222-TO92")</f>
        <v>ITBISA-NPN-2N2222-TO92</v>
      </c>
      <c r="B2907" s="165">
        <f>IFERROR(__xludf.DUMMYFUNCTION("""COMPUTED_VALUE"""),46099.0)</f>
        <v>46099</v>
      </c>
      <c r="C2907" s="165" t="str">
        <f>IFERROR(__xludf.DUMMYFUNCTION("""COMPUTED_VALUE"""),"KYAI KONTONG")</f>
        <v>KYAI KONTONG</v>
      </c>
      <c r="D2907" s="94">
        <f>IFERROR(__xludf.DUMMYFUNCTION("""COMPUTED_VALUE"""),10.0)</f>
        <v>10</v>
      </c>
    </row>
    <row r="2908">
      <c r="A2908" s="87" t="str">
        <f>IFERROR(__xludf.DUMMYFUNCTION("""COMPUTED_VALUE"""),"ITBISA-NPN-2N2222-TO92")</f>
        <v>ITBISA-NPN-2N2222-TO92</v>
      </c>
      <c r="B2908" s="165">
        <f>IFERROR(__xludf.DUMMYFUNCTION("""COMPUTED_VALUE"""),46101.0)</f>
        <v>46101</v>
      </c>
      <c r="C2908" s="165" t="str">
        <f>IFERROR(__xludf.DUMMYFUNCTION("""COMPUTED_VALUE"""),"KYAI KONTONG")</f>
        <v>KYAI KONTONG</v>
      </c>
      <c r="D2908" s="94">
        <f>IFERROR(__xludf.DUMMYFUNCTION("""COMPUTED_VALUE"""),10.0)</f>
        <v>10</v>
      </c>
    </row>
    <row r="2909">
      <c r="A2909" s="87" t="str">
        <f>IFERROR(__xludf.DUMMYFUNCTION("""COMPUTED_VALUE"""),"ITBISA-NPN-2N2222-TO92")</f>
        <v>ITBISA-NPN-2N2222-TO92</v>
      </c>
      <c r="B2909" s="165">
        <f>IFERROR(__xludf.DUMMYFUNCTION("""COMPUTED_VALUE"""),46101.0)</f>
        <v>46101</v>
      </c>
      <c r="C2909" s="165" t="str">
        <f>IFERROR(__xludf.DUMMYFUNCTION("""COMPUTED_VALUE"""),"KYAI KONTONG")</f>
        <v>KYAI KONTONG</v>
      </c>
      <c r="D2909" s="94">
        <f>IFERROR(__xludf.DUMMYFUNCTION("""COMPUTED_VALUE"""),10.0)</f>
        <v>10</v>
      </c>
    </row>
    <row r="2910">
      <c r="A2910" s="87" t="str">
        <f>IFERROR(__xludf.DUMMYFUNCTION("""COMPUTED_VALUE"""),"ITBISA-NPN-2N2222-TO92")</f>
        <v>ITBISA-NPN-2N2222-TO92</v>
      </c>
      <c r="B2910" s="165">
        <f>IFERROR(__xludf.DUMMYFUNCTION("""COMPUTED_VALUE"""),46129.0)</f>
        <v>46129</v>
      </c>
      <c r="C2910" s="165" t="str">
        <f>IFERROR(__xludf.DUMMYFUNCTION("""COMPUTED_VALUE"""),"KYAI KONTONG")</f>
        <v>KYAI KONTONG</v>
      </c>
      <c r="D2910" s="94">
        <f>IFERROR(__xludf.DUMMYFUNCTION("""COMPUTED_VALUE"""),50.0)</f>
        <v>50</v>
      </c>
    </row>
    <row r="2911">
      <c r="A2911" s="87" t="str">
        <f>IFERROR(__xludf.DUMMYFUNCTION("""COMPUTED_VALUE"""),"ITBISA-NPN-2N2222-TO92")</f>
        <v>ITBISA-NPN-2N2222-TO92</v>
      </c>
      <c r="B2911" s="165">
        <f>IFERROR(__xludf.DUMMYFUNCTION("""COMPUTED_VALUE"""),46137.0)</f>
        <v>46137</v>
      </c>
      <c r="C2911" s="165" t="str">
        <f>IFERROR(__xludf.DUMMYFUNCTION("""COMPUTED_VALUE"""),"KYAI KONTONG")</f>
        <v>KYAI KONTONG</v>
      </c>
      <c r="D2911" s="94">
        <f>IFERROR(__xludf.DUMMYFUNCTION("""COMPUTED_VALUE"""),5.0)</f>
        <v>5</v>
      </c>
    </row>
    <row r="2912">
      <c r="A2912" s="87" t="str">
        <f>IFERROR(__xludf.DUMMYFUNCTION("""COMPUTED_VALUE"""),"ITBISA-NPN-2N2222-TO92")</f>
        <v>ITBISA-NPN-2N2222-TO92</v>
      </c>
      <c r="B2912" s="165">
        <f>IFERROR(__xludf.DUMMYFUNCTION("""COMPUTED_VALUE"""),46139.0)</f>
        <v>46139</v>
      </c>
      <c r="C2912" s="165" t="str">
        <f>IFERROR(__xludf.DUMMYFUNCTION("""COMPUTED_VALUE"""),"KYAI KONTONG")</f>
        <v>KYAI KONTONG</v>
      </c>
      <c r="D2912" s="94">
        <f>IFERROR(__xludf.DUMMYFUNCTION("""COMPUTED_VALUE"""),50.0)</f>
        <v>50</v>
      </c>
    </row>
    <row r="2913">
      <c r="A2913" s="87" t="str">
        <f>IFERROR(__xludf.DUMMYFUNCTION("""COMPUTED_VALUE"""),"ITBISA-NPN-2N2222-TO92")</f>
        <v>ITBISA-NPN-2N2222-TO92</v>
      </c>
      <c r="B2913" s="165">
        <f>IFERROR(__xludf.DUMMYFUNCTION("""COMPUTED_VALUE"""),46156.0)</f>
        <v>46156</v>
      </c>
      <c r="C2913" s="165" t="str">
        <f>IFERROR(__xludf.DUMMYFUNCTION("""COMPUTED_VALUE"""),"KYAI KONTONG")</f>
        <v>KYAI KONTONG</v>
      </c>
      <c r="D2913" s="94">
        <f>IFERROR(__xludf.DUMMYFUNCTION("""COMPUTED_VALUE"""),5.0)</f>
        <v>5</v>
      </c>
    </row>
    <row r="2914">
      <c r="A2914" s="87" t="str">
        <f>IFERROR(__xludf.DUMMYFUNCTION("""COMPUTED_VALUE"""),"ITBISA-NPN-2N2222-TO92")</f>
        <v>ITBISA-NPN-2N2222-TO92</v>
      </c>
      <c r="B2914" s="165">
        <f>IFERROR(__xludf.DUMMYFUNCTION("""COMPUTED_VALUE"""),46170.0)</f>
        <v>46170</v>
      </c>
      <c r="C2914" s="165" t="str">
        <f>IFERROR(__xludf.DUMMYFUNCTION("""COMPUTED_VALUE"""),"KYAI KONTONG")</f>
        <v>KYAI KONTONG</v>
      </c>
      <c r="D2914" s="94">
        <f>IFERROR(__xludf.DUMMYFUNCTION("""COMPUTED_VALUE"""),5.0)</f>
        <v>5</v>
      </c>
    </row>
    <row r="2915">
      <c r="A2915" s="87" t="str">
        <f>IFERROR(__xludf.DUMMYFUNCTION("""COMPUTED_VALUE"""),"ITBISA-NPN-2N2222-TO92")</f>
        <v>ITBISA-NPN-2N2222-TO92</v>
      </c>
      <c r="B2915" s="165">
        <f>IFERROR(__xludf.DUMMYFUNCTION("""COMPUTED_VALUE"""),46176.0)</f>
        <v>46176</v>
      </c>
      <c r="C2915" s="165" t="str">
        <f>IFERROR(__xludf.DUMMYFUNCTION("""COMPUTED_VALUE"""),"KYAI KONTONG")</f>
        <v>KYAI KONTONG</v>
      </c>
      <c r="D2915" s="94">
        <f>IFERROR(__xludf.DUMMYFUNCTION("""COMPUTED_VALUE"""),5.0)</f>
        <v>5</v>
      </c>
    </row>
    <row r="2916">
      <c r="A2916" s="87" t="str">
        <f>IFERROR(__xludf.DUMMYFUNCTION("""COMPUTED_VALUE"""),"ITBISA-NPN-2N2222-TO92")</f>
        <v>ITBISA-NPN-2N2222-TO92</v>
      </c>
      <c r="B2916" s="165">
        <f>IFERROR(__xludf.DUMMYFUNCTION("""COMPUTED_VALUE"""),46193.0)</f>
        <v>46193</v>
      </c>
      <c r="C2916" s="165" t="str">
        <f>IFERROR(__xludf.DUMMYFUNCTION("""COMPUTED_VALUE"""),"KYAI KONTONG")</f>
        <v>KYAI KONTONG</v>
      </c>
      <c r="D2916" s="94">
        <f>IFERROR(__xludf.DUMMYFUNCTION("""COMPUTED_VALUE"""),5.0)</f>
        <v>5</v>
      </c>
    </row>
    <row r="2917">
      <c r="A2917" s="87" t="str">
        <f>IFERROR(__xludf.DUMMYFUNCTION("""COMPUTED_VALUE"""),"ITBISA-NPN-2N3904-TO92")</f>
        <v>ITBISA-NPN-2N3904-TO92</v>
      </c>
      <c r="B2917" s="165">
        <f>IFERROR(__xludf.DUMMYFUNCTION("""COMPUTED_VALUE"""),46027.0)</f>
        <v>46027</v>
      </c>
      <c r="C2917" s="165" t="str">
        <f>IFERROR(__xludf.DUMMYFUNCTION("""COMPUTED_VALUE"""),"KYAI KONTONG")</f>
        <v>KYAI KONTONG</v>
      </c>
      <c r="D2917" s="94">
        <f>IFERROR(__xludf.DUMMYFUNCTION("""COMPUTED_VALUE"""),10.0)</f>
        <v>10</v>
      </c>
    </row>
    <row r="2918">
      <c r="A2918" s="87" t="str">
        <f>IFERROR(__xludf.DUMMYFUNCTION("""COMPUTED_VALUE"""),"ITBISA-NPN-2N3904-TO92")</f>
        <v>ITBISA-NPN-2N3904-TO92</v>
      </c>
      <c r="B2918" s="165">
        <f>IFERROR(__xludf.DUMMYFUNCTION("""COMPUTED_VALUE"""),46047.0)</f>
        <v>46047</v>
      </c>
      <c r="C2918" s="165" t="str">
        <f>IFERROR(__xludf.DUMMYFUNCTION("""COMPUTED_VALUE"""),"KYAI KONTONG")</f>
        <v>KYAI KONTONG</v>
      </c>
      <c r="D2918" s="94">
        <f>IFERROR(__xludf.DUMMYFUNCTION("""COMPUTED_VALUE"""),10.0)</f>
        <v>10</v>
      </c>
    </row>
    <row r="2919">
      <c r="A2919" s="87" t="str">
        <f>IFERROR(__xludf.DUMMYFUNCTION("""COMPUTED_VALUE"""),"ITBISA-NPN-2N3904-TO92")</f>
        <v>ITBISA-NPN-2N3904-TO92</v>
      </c>
      <c r="B2919" s="165">
        <f>IFERROR(__xludf.DUMMYFUNCTION("""COMPUTED_VALUE"""),46056.0)</f>
        <v>46056</v>
      </c>
      <c r="C2919" s="165" t="str">
        <f>IFERROR(__xludf.DUMMYFUNCTION("""COMPUTED_VALUE"""),"KYAI KONTONG")</f>
        <v>KYAI KONTONG</v>
      </c>
      <c r="D2919" s="94">
        <f>IFERROR(__xludf.DUMMYFUNCTION("""COMPUTED_VALUE"""),10.0)</f>
        <v>10</v>
      </c>
    </row>
    <row r="2920">
      <c r="A2920" s="87" t="str">
        <f>IFERROR(__xludf.DUMMYFUNCTION("""COMPUTED_VALUE"""),"ITBISA-NPN-2N3904-TO92")</f>
        <v>ITBISA-NPN-2N3904-TO92</v>
      </c>
      <c r="B2920" s="165">
        <f>IFERROR(__xludf.DUMMYFUNCTION("""COMPUTED_VALUE"""),46082.0)</f>
        <v>46082</v>
      </c>
      <c r="C2920" s="165" t="str">
        <f>IFERROR(__xludf.DUMMYFUNCTION("""COMPUTED_VALUE"""),"KYAI KONTONG")</f>
        <v>KYAI KONTONG</v>
      </c>
      <c r="D2920" s="94">
        <f>IFERROR(__xludf.DUMMYFUNCTION("""COMPUTED_VALUE"""),4.0)</f>
        <v>4</v>
      </c>
    </row>
    <row r="2921">
      <c r="A2921" s="87" t="str">
        <f>IFERROR(__xludf.DUMMYFUNCTION("""COMPUTED_VALUE"""),"ITBISA-NPN-2N3904-TO92")</f>
        <v>ITBISA-NPN-2N3904-TO92</v>
      </c>
      <c r="B2921" s="165">
        <f>IFERROR(__xludf.DUMMYFUNCTION("""COMPUTED_VALUE"""),46168.0)</f>
        <v>46168</v>
      </c>
      <c r="C2921" s="165" t="str">
        <f>IFERROR(__xludf.DUMMYFUNCTION("""COMPUTED_VALUE"""),"KYAI KONTONG")</f>
        <v>KYAI KONTONG</v>
      </c>
      <c r="D2921" s="94">
        <f>IFERROR(__xludf.DUMMYFUNCTION("""COMPUTED_VALUE"""),10.0)</f>
        <v>10</v>
      </c>
    </row>
    <row r="2922">
      <c r="A2922" s="87" t="str">
        <f>IFERROR(__xludf.DUMMYFUNCTION("""COMPUTED_VALUE"""),"ITBISA-NPN-2N3904-TO92")</f>
        <v>ITBISA-NPN-2N3904-TO92</v>
      </c>
      <c r="B2922" s="165">
        <f>IFERROR(__xludf.DUMMYFUNCTION("""COMPUTED_VALUE"""),46193.0)</f>
        <v>46193</v>
      </c>
      <c r="C2922" s="165" t="str">
        <f>IFERROR(__xludf.DUMMYFUNCTION("""COMPUTED_VALUE"""),"KYAI KONTONG")</f>
        <v>KYAI KONTONG</v>
      </c>
      <c r="D2922" s="94">
        <f>IFERROR(__xludf.DUMMYFUNCTION("""COMPUTED_VALUE"""),5.0)</f>
        <v>5</v>
      </c>
    </row>
    <row r="2923">
      <c r="A2923" s="87" t="str">
        <f>IFERROR(__xludf.DUMMYFUNCTION("""COMPUTED_VALUE"""),"ITBISA-NPN-2N5551-TO92")</f>
        <v>ITBISA-NPN-2N5551-TO92</v>
      </c>
      <c r="B2923" s="165">
        <f>IFERROR(__xludf.DUMMYFUNCTION("""COMPUTED_VALUE"""),46190.0)</f>
        <v>46190</v>
      </c>
      <c r="C2923" s="165" t="str">
        <f>IFERROR(__xludf.DUMMYFUNCTION("""COMPUTED_VALUE"""),"KYAI KONTONG")</f>
        <v>KYAI KONTONG</v>
      </c>
      <c r="D2923" s="94">
        <f>IFERROR(__xludf.DUMMYFUNCTION("""COMPUTED_VALUE"""),5.0)</f>
        <v>5</v>
      </c>
    </row>
    <row r="2924">
      <c r="A2924" s="87" t="str">
        <f>IFERROR(__xludf.DUMMYFUNCTION("""COMPUTED_VALUE"""),"ITBISA-NPN-2N5551-TO92")</f>
        <v>ITBISA-NPN-2N5551-TO92</v>
      </c>
      <c r="B2924" s="165">
        <f>IFERROR(__xludf.DUMMYFUNCTION("""COMPUTED_VALUE"""),46193.0)</f>
        <v>46193</v>
      </c>
      <c r="C2924" s="165" t="str">
        <f>IFERROR(__xludf.DUMMYFUNCTION("""COMPUTED_VALUE"""),"KYAI KONTONG")</f>
        <v>KYAI KONTONG</v>
      </c>
      <c r="D2924" s="94">
        <f>IFERROR(__xludf.DUMMYFUNCTION("""COMPUTED_VALUE"""),5.0)</f>
        <v>5</v>
      </c>
    </row>
    <row r="2925">
      <c r="A2925" s="87" t="str">
        <f>IFERROR(__xludf.DUMMYFUNCTION("""COMPUTED_VALUE"""),"ITBISA-NPN-BC337-TO92")</f>
        <v>ITBISA-NPN-BC337-TO92</v>
      </c>
      <c r="B2925" s="165">
        <f>IFERROR(__xludf.DUMMYFUNCTION("""COMPUTED_VALUE"""),46045.0)</f>
        <v>46045</v>
      </c>
      <c r="C2925" s="165" t="str">
        <f>IFERROR(__xludf.DUMMYFUNCTION("""COMPUTED_VALUE"""),"KERTASARI CIAMIS")</f>
        <v>KERTASARI CIAMIS</v>
      </c>
      <c r="D2925" s="94">
        <f>IFERROR(__xludf.DUMMYFUNCTION("""COMPUTED_VALUE"""),15.0)</f>
        <v>15</v>
      </c>
    </row>
    <row r="2926">
      <c r="A2926" s="87" t="str">
        <f>IFERROR(__xludf.DUMMYFUNCTION("""COMPUTED_VALUE"""),"ITBISA-NPN-BC337-TO92")</f>
        <v>ITBISA-NPN-BC337-TO92</v>
      </c>
      <c r="B2926" s="165">
        <f>IFERROR(__xludf.DUMMYFUNCTION("""COMPUTED_VALUE"""),46064.0)</f>
        <v>46064</v>
      </c>
      <c r="C2926" s="165" t="str">
        <f>IFERROR(__xludf.DUMMYFUNCTION("""COMPUTED_VALUE"""),"KYAI KONTONG")</f>
        <v>KYAI KONTONG</v>
      </c>
      <c r="D2926" s="94">
        <f>IFERROR(__xludf.DUMMYFUNCTION("""COMPUTED_VALUE"""),20.0)</f>
        <v>20</v>
      </c>
    </row>
    <row r="2927">
      <c r="A2927" s="87" t="str">
        <f>IFERROR(__xludf.DUMMYFUNCTION("""COMPUTED_VALUE"""),"ITBISA-NPN-BC337-TO92")</f>
        <v>ITBISA-NPN-BC337-TO92</v>
      </c>
      <c r="B2927" s="165">
        <f>IFERROR(__xludf.DUMMYFUNCTION("""COMPUTED_VALUE"""),46193.0)</f>
        <v>46193</v>
      </c>
      <c r="C2927" s="165" t="str">
        <f>IFERROR(__xludf.DUMMYFUNCTION("""COMPUTED_VALUE"""),"KYAI KONTONG")</f>
        <v>KYAI KONTONG</v>
      </c>
      <c r="D2927" s="94">
        <f>IFERROR(__xludf.DUMMYFUNCTION("""COMPUTED_VALUE"""),5.0)</f>
        <v>5</v>
      </c>
    </row>
    <row r="2928">
      <c r="A2928" s="87" t="str">
        <f>IFERROR(__xludf.DUMMYFUNCTION("""COMPUTED_VALUE"""),"ITBISA-NPN-BC547-TO92")</f>
        <v>ITBISA-NPN-BC547-TO92</v>
      </c>
      <c r="B2928" s="165">
        <f>IFERROR(__xludf.DUMMYFUNCTION("""COMPUTED_VALUE"""),46023.0)</f>
        <v>46023</v>
      </c>
      <c r="C2928" s="165" t="str">
        <f>IFERROR(__xludf.DUMMYFUNCTION("""COMPUTED_VALUE"""),"KYAI KONTONG")</f>
        <v>KYAI KONTONG</v>
      </c>
      <c r="D2928" s="94">
        <f>IFERROR(__xludf.DUMMYFUNCTION("""COMPUTED_VALUE"""),300.0)</f>
        <v>300</v>
      </c>
    </row>
    <row r="2929">
      <c r="A2929" s="87" t="str">
        <f>IFERROR(__xludf.DUMMYFUNCTION("""COMPUTED_VALUE"""),"ITBISA-NPN-BC547-TO92")</f>
        <v>ITBISA-NPN-BC547-TO92</v>
      </c>
      <c r="B2929" s="165">
        <f>IFERROR(__xludf.DUMMYFUNCTION("""COMPUTED_VALUE"""),46027.0)</f>
        <v>46027</v>
      </c>
      <c r="C2929" s="165" t="str">
        <f>IFERROR(__xludf.DUMMYFUNCTION("""COMPUTED_VALUE"""),"KYAI KONTONG")</f>
        <v>KYAI KONTONG</v>
      </c>
      <c r="D2929" s="94">
        <f>IFERROR(__xludf.DUMMYFUNCTION("""COMPUTED_VALUE"""),10.0)</f>
        <v>10</v>
      </c>
    </row>
    <row r="2930">
      <c r="A2930" s="87" t="str">
        <f>IFERROR(__xludf.DUMMYFUNCTION("""COMPUTED_VALUE"""),"ITBISA-NPN-BC547-TO92")</f>
        <v>ITBISA-NPN-BC547-TO92</v>
      </c>
      <c r="B2930" s="165">
        <f>IFERROR(__xludf.DUMMYFUNCTION("""COMPUTED_VALUE"""),46035.0)</f>
        <v>46035</v>
      </c>
      <c r="C2930" s="165" t="str">
        <f>IFERROR(__xludf.DUMMYFUNCTION("""COMPUTED_VALUE"""),"KYAI KONTONG")</f>
        <v>KYAI KONTONG</v>
      </c>
      <c r="D2930" s="94">
        <f>IFERROR(__xludf.DUMMYFUNCTION("""COMPUTED_VALUE"""),25.0)</f>
        <v>25</v>
      </c>
    </row>
    <row r="2931">
      <c r="A2931" s="87" t="str">
        <f>IFERROR(__xludf.DUMMYFUNCTION("""COMPUTED_VALUE"""),"ITBISA-NPN-BC547-TO92")</f>
        <v>ITBISA-NPN-BC547-TO92</v>
      </c>
      <c r="B2931" s="165">
        <f>IFERROR(__xludf.DUMMYFUNCTION("""COMPUTED_VALUE"""),46036.0)</f>
        <v>46036</v>
      </c>
      <c r="C2931" s="165" t="str">
        <f>IFERROR(__xludf.DUMMYFUNCTION("""COMPUTED_VALUE"""),"KYAI KONTONG")</f>
        <v>KYAI KONTONG</v>
      </c>
      <c r="D2931" s="94">
        <f>IFERROR(__xludf.DUMMYFUNCTION("""COMPUTED_VALUE"""),35.0)</f>
        <v>35</v>
      </c>
    </row>
    <row r="2932">
      <c r="A2932" s="87" t="str">
        <f>IFERROR(__xludf.DUMMYFUNCTION("""COMPUTED_VALUE"""),"ITBISA-NPN-BC547-TO92")</f>
        <v>ITBISA-NPN-BC547-TO92</v>
      </c>
      <c r="B2932" s="165">
        <f>IFERROR(__xludf.DUMMYFUNCTION("""COMPUTED_VALUE"""),46043.0)</f>
        <v>46043</v>
      </c>
      <c r="C2932" s="165" t="str">
        <f>IFERROR(__xludf.DUMMYFUNCTION("""COMPUTED_VALUE"""),"KERTASARI CIAMIS")</f>
        <v>KERTASARI CIAMIS</v>
      </c>
      <c r="D2932" s="94">
        <f>IFERROR(__xludf.DUMMYFUNCTION("""COMPUTED_VALUE"""),6.0)</f>
        <v>6</v>
      </c>
    </row>
    <row r="2933">
      <c r="A2933" s="87" t="str">
        <f>IFERROR(__xludf.DUMMYFUNCTION("""COMPUTED_VALUE"""),"ITBISA-NPN-BC547-TO92")</f>
        <v>ITBISA-NPN-BC547-TO92</v>
      </c>
      <c r="B2933" s="165">
        <f>IFERROR(__xludf.DUMMYFUNCTION("""COMPUTED_VALUE"""),46047.0)</f>
        <v>46047</v>
      </c>
      <c r="C2933" s="165" t="str">
        <f>IFERROR(__xludf.DUMMYFUNCTION("""COMPUTED_VALUE"""),"KYAI KONTONG")</f>
        <v>KYAI KONTONG</v>
      </c>
      <c r="D2933" s="94">
        <f>IFERROR(__xludf.DUMMYFUNCTION("""COMPUTED_VALUE"""),20.0)</f>
        <v>20</v>
      </c>
    </row>
    <row r="2934">
      <c r="A2934" s="87" t="str">
        <f>IFERROR(__xludf.DUMMYFUNCTION("""COMPUTED_VALUE"""),"ITBISA-NPN-BC547-TO92")</f>
        <v>ITBISA-NPN-BC547-TO92</v>
      </c>
      <c r="B2934" s="165">
        <f>IFERROR(__xludf.DUMMYFUNCTION("""COMPUTED_VALUE"""),46053.0)</f>
        <v>46053</v>
      </c>
      <c r="C2934" s="165" t="str">
        <f>IFERROR(__xludf.DUMMYFUNCTION("""COMPUTED_VALUE"""),"KYAI KONTONG")</f>
        <v>KYAI KONTONG</v>
      </c>
      <c r="D2934" s="94">
        <f>IFERROR(__xludf.DUMMYFUNCTION("""COMPUTED_VALUE"""),5.0)</f>
        <v>5</v>
      </c>
    </row>
    <row r="2935">
      <c r="A2935" s="87" t="str">
        <f>IFERROR(__xludf.DUMMYFUNCTION("""COMPUTED_VALUE"""),"ITBISA-NPN-BC547-TO92")</f>
        <v>ITBISA-NPN-BC547-TO92</v>
      </c>
      <c r="B2935" s="165">
        <f>IFERROR(__xludf.DUMMYFUNCTION("""COMPUTED_VALUE"""),46084.0)</f>
        <v>46084</v>
      </c>
      <c r="C2935" s="165" t="str">
        <f>IFERROR(__xludf.DUMMYFUNCTION("""COMPUTED_VALUE"""),"KYAI KONTONG")</f>
        <v>KYAI KONTONG</v>
      </c>
      <c r="D2935" s="94">
        <f>IFERROR(__xludf.DUMMYFUNCTION("""COMPUTED_VALUE"""),20.0)</f>
        <v>20</v>
      </c>
    </row>
    <row r="2936">
      <c r="A2936" s="87" t="str">
        <f>IFERROR(__xludf.DUMMYFUNCTION("""COMPUTED_VALUE"""),"ITBISA-NPN-BC547-TO92")</f>
        <v>ITBISA-NPN-BC547-TO92</v>
      </c>
      <c r="B2936" s="165">
        <f>IFERROR(__xludf.DUMMYFUNCTION("""COMPUTED_VALUE"""),46116.0)</f>
        <v>46116</v>
      </c>
      <c r="C2936" s="165" t="str">
        <f>IFERROR(__xludf.DUMMYFUNCTION("""COMPUTED_VALUE"""),"KYAI KONTONG")</f>
        <v>KYAI KONTONG</v>
      </c>
      <c r="D2936" s="94">
        <f>IFERROR(__xludf.DUMMYFUNCTION("""COMPUTED_VALUE"""),10.0)</f>
        <v>10</v>
      </c>
    </row>
    <row r="2937">
      <c r="A2937" s="87" t="str">
        <f>IFERROR(__xludf.DUMMYFUNCTION("""COMPUTED_VALUE"""),"ITBISA-NPN-BC547-TO92")</f>
        <v>ITBISA-NPN-BC547-TO92</v>
      </c>
      <c r="B2937" s="165">
        <f>IFERROR(__xludf.DUMMYFUNCTION("""COMPUTED_VALUE"""),46124.0)</f>
        <v>46124</v>
      </c>
      <c r="C2937" s="165" t="str">
        <f>IFERROR(__xludf.DUMMYFUNCTION("""COMPUTED_VALUE"""),"KYAI KONTONG")</f>
        <v>KYAI KONTONG</v>
      </c>
      <c r="D2937" s="94">
        <f>IFERROR(__xludf.DUMMYFUNCTION("""COMPUTED_VALUE"""),20.0)</f>
        <v>20</v>
      </c>
    </row>
    <row r="2938">
      <c r="A2938" s="87" t="str">
        <f>IFERROR(__xludf.DUMMYFUNCTION("""COMPUTED_VALUE"""),"ITBISA-NPN-BC547-TO92")</f>
        <v>ITBISA-NPN-BC547-TO92</v>
      </c>
      <c r="B2938" s="165">
        <f>IFERROR(__xludf.DUMMYFUNCTION("""COMPUTED_VALUE"""),46149.0)</f>
        <v>46149</v>
      </c>
      <c r="C2938" s="165" t="str">
        <f>IFERROR(__xludf.DUMMYFUNCTION("""COMPUTED_VALUE"""),"KYAI KONTONG")</f>
        <v>KYAI KONTONG</v>
      </c>
      <c r="D2938" s="94">
        <f>IFERROR(__xludf.DUMMYFUNCTION("""COMPUTED_VALUE"""),6.0)</f>
        <v>6</v>
      </c>
    </row>
    <row r="2939">
      <c r="A2939" s="87" t="str">
        <f>IFERROR(__xludf.DUMMYFUNCTION("""COMPUTED_VALUE"""),"ITBISA-NPN-BC547-TO92")</f>
        <v>ITBISA-NPN-BC547-TO92</v>
      </c>
      <c r="B2939" s="165">
        <f>IFERROR(__xludf.DUMMYFUNCTION("""COMPUTED_VALUE"""),46154.0)</f>
        <v>46154</v>
      </c>
      <c r="C2939" s="165" t="str">
        <f>IFERROR(__xludf.DUMMYFUNCTION("""COMPUTED_VALUE"""),"KYAI KONTONG")</f>
        <v>KYAI KONTONG</v>
      </c>
      <c r="D2939" s="94">
        <f>IFERROR(__xludf.DUMMYFUNCTION("""COMPUTED_VALUE"""),10.0)</f>
        <v>10</v>
      </c>
    </row>
    <row r="2940">
      <c r="A2940" s="87" t="str">
        <f>IFERROR(__xludf.DUMMYFUNCTION("""COMPUTED_VALUE"""),"ITBISA-NPN-BC547-TO92")</f>
        <v>ITBISA-NPN-BC547-TO92</v>
      </c>
      <c r="B2940" s="165">
        <f>IFERROR(__xludf.DUMMYFUNCTION("""COMPUTED_VALUE"""),46158.0)</f>
        <v>46158</v>
      </c>
      <c r="C2940" s="165" t="str">
        <f>IFERROR(__xludf.DUMMYFUNCTION("""COMPUTED_VALUE"""),"KYAI KONTONG")</f>
        <v>KYAI KONTONG</v>
      </c>
      <c r="D2940" s="94">
        <f>IFERROR(__xludf.DUMMYFUNCTION("""COMPUTED_VALUE"""),5.0)</f>
        <v>5</v>
      </c>
    </row>
    <row r="2941">
      <c r="A2941" s="87" t="str">
        <f>IFERROR(__xludf.DUMMYFUNCTION("""COMPUTED_VALUE"""),"ITBISA-NPN-BC547-TO92")</f>
        <v>ITBISA-NPN-BC547-TO92</v>
      </c>
      <c r="B2941" s="165">
        <f>IFERROR(__xludf.DUMMYFUNCTION("""COMPUTED_VALUE"""),46176.0)</f>
        <v>46176</v>
      </c>
      <c r="C2941" s="165" t="str">
        <f>IFERROR(__xludf.DUMMYFUNCTION("""COMPUTED_VALUE"""),"KYAI KONTONG")</f>
        <v>KYAI KONTONG</v>
      </c>
      <c r="D2941" s="94">
        <f>IFERROR(__xludf.DUMMYFUNCTION("""COMPUTED_VALUE"""),50.0)</f>
        <v>50</v>
      </c>
    </row>
    <row r="2942">
      <c r="A2942" s="87" t="str">
        <f>IFERROR(__xludf.DUMMYFUNCTION("""COMPUTED_VALUE"""),"ITBISA-NPN-BC547-TO92")</f>
        <v>ITBISA-NPN-BC547-TO92</v>
      </c>
      <c r="B2942" s="165">
        <f>IFERROR(__xludf.DUMMYFUNCTION("""COMPUTED_VALUE"""),46178.0)</f>
        <v>46178</v>
      </c>
      <c r="C2942" s="165" t="str">
        <f>IFERROR(__xludf.DUMMYFUNCTION("""COMPUTED_VALUE"""),"KYAI KONTONG")</f>
        <v>KYAI KONTONG</v>
      </c>
      <c r="D2942" s="94">
        <f>IFERROR(__xludf.DUMMYFUNCTION("""COMPUTED_VALUE"""),5.0)</f>
        <v>5</v>
      </c>
    </row>
    <row r="2943">
      <c r="A2943" s="87" t="str">
        <f>IFERROR(__xludf.DUMMYFUNCTION("""COMPUTED_VALUE"""),"ITBISA-NPN-BC547-TO92")</f>
        <v>ITBISA-NPN-BC547-TO92</v>
      </c>
      <c r="B2943" s="165">
        <f>IFERROR(__xludf.DUMMYFUNCTION("""COMPUTED_VALUE"""),46193.0)</f>
        <v>46193</v>
      </c>
      <c r="C2943" s="165" t="str">
        <f>IFERROR(__xludf.DUMMYFUNCTION("""COMPUTED_VALUE"""),"KYAI KONTONG")</f>
        <v>KYAI KONTONG</v>
      </c>
      <c r="D2943" s="94">
        <f>IFERROR(__xludf.DUMMYFUNCTION("""COMPUTED_VALUE"""),5.0)</f>
        <v>5</v>
      </c>
    </row>
    <row r="2944">
      <c r="A2944" s="87" t="str">
        <f>IFERROR(__xludf.DUMMYFUNCTION("""COMPUTED_VALUE"""),"ITBISA-NPN-BC547-TO92")</f>
        <v>ITBISA-NPN-BC547-TO92</v>
      </c>
      <c r="B2944" s="165">
        <f>IFERROR(__xludf.DUMMYFUNCTION("""COMPUTED_VALUE"""),46194.0)</f>
        <v>46194</v>
      </c>
      <c r="C2944" s="165" t="str">
        <f>IFERROR(__xludf.DUMMYFUNCTION("""COMPUTED_VALUE"""),"KYAI KONTONG")</f>
        <v>KYAI KONTONG</v>
      </c>
      <c r="D2944" s="94">
        <f>IFERROR(__xludf.DUMMYFUNCTION("""COMPUTED_VALUE"""),5.0)</f>
        <v>5</v>
      </c>
    </row>
    <row r="2945">
      <c r="A2945" s="87" t="str">
        <f>IFERROR(__xludf.DUMMYFUNCTION("""COMPUTED_VALUE"""),"ITBISA-NPN-BC548-TO92")</f>
        <v>ITBISA-NPN-BC548-TO92</v>
      </c>
      <c r="B2945" s="165">
        <f>IFERROR(__xludf.DUMMYFUNCTION("""COMPUTED_VALUE"""),46193.0)</f>
        <v>46193</v>
      </c>
      <c r="C2945" s="165" t="str">
        <f>IFERROR(__xludf.DUMMYFUNCTION("""COMPUTED_VALUE"""),"KYAI KONTONG")</f>
        <v>KYAI KONTONG</v>
      </c>
      <c r="D2945" s="94">
        <f>IFERROR(__xludf.DUMMYFUNCTION("""COMPUTED_VALUE"""),5.0)</f>
        <v>5</v>
      </c>
    </row>
    <row r="2946">
      <c r="A2946" s="87" t="str">
        <f>IFERROR(__xludf.DUMMYFUNCTION("""COMPUTED_VALUE"""),"ITBISA-NPN-S9013-TO92")</f>
        <v>ITBISA-NPN-S9013-TO92</v>
      </c>
      <c r="B2946" s="165">
        <f>IFERROR(__xludf.DUMMYFUNCTION("""COMPUTED_VALUE"""),46048.0)</f>
        <v>46048</v>
      </c>
      <c r="C2946" s="165" t="str">
        <f>IFERROR(__xludf.DUMMYFUNCTION("""COMPUTED_VALUE"""),"KYAI KONTONG")</f>
        <v>KYAI KONTONG</v>
      </c>
      <c r="D2946" s="94">
        <f>IFERROR(__xludf.DUMMYFUNCTION("""COMPUTED_VALUE"""),10.0)</f>
        <v>10</v>
      </c>
    </row>
    <row r="2947">
      <c r="A2947" s="87" t="str">
        <f>IFERROR(__xludf.DUMMYFUNCTION("""COMPUTED_VALUE"""),"ITBISA-NPN-S9013-TO92")</f>
        <v>ITBISA-NPN-S9013-TO92</v>
      </c>
      <c r="B2947" s="165">
        <f>IFERROR(__xludf.DUMMYFUNCTION("""COMPUTED_VALUE"""),46121.0)</f>
        <v>46121</v>
      </c>
      <c r="C2947" s="165" t="str">
        <f>IFERROR(__xludf.DUMMYFUNCTION("""COMPUTED_VALUE"""),"KYAI KONTONG")</f>
        <v>KYAI KONTONG</v>
      </c>
      <c r="D2947" s="94">
        <f>IFERROR(__xludf.DUMMYFUNCTION("""COMPUTED_VALUE"""),10.0)</f>
        <v>10</v>
      </c>
    </row>
    <row r="2948">
      <c r="A2948" s="87" t="str">
        <f>IFERROR(__xludf.DUMMYFUNCTION("""COMPUTED_VALUE"""),"ITBISA-NPN-S9013-TO92")</f>
        <v>ITBISA-NPN-S9013-TO92</v>
      </c>
      <c r="B2948" s="165">
        <f>IFERROR(__xludf.DUMMYFUNCTION("""COMPUTED_VALUE"""),46193.0)</f>
        <v>46193</v>
      </c>
      <c r="C2948" s="165" t="str">
        <f>IFERROR(__xludf.DUMMYFUNCTION("""COMPUTED_VALUE"""),"KYAI KONTONG")</f>
        <v>KYAI KONTONG</v>
      </c>
      <c r="D2948" s="94">
        <f>IFERROR(__xludf.DUMMYFUNCTION("""COMPUTED_VALUE"""),5.0)</f>
        <v>5</v>
      </c>
    </row>
    <row r="2949">
      <c r="A2949" s="87" t="str">
        <f>IFERROR(__xludf.DUMMYFUNCTION("""COMPUTED_VALUE"""),"ITBISA-PCB-5X7-COPPER-SINGLE-SIDE")</f>
        <v>ITBISA-PCB-5X7-COPPER-SINGLE-SIDE</v>
      </c>
      <c r="B2949" s="165">
        <f>IFERROR(__xludf.DUMMYFUNCTION("""COMPUTED_VALUE"""),46023.0)</f>
        <v>46023</v>
      </c>
      <c r="C2949" s="165" t="str">
        <f>IFERROR(__xludf.DUMMYFUNCTION("""COMPUTED_VALUE"""),"KYAI KONTONG")</f>
        <v>KYAI KONTONG</v>
      </c>
      <c r="D2949" s="94">
        <f>IFERROR(__xludf.DUMMYFUNCTION("""COMPUTED_VALUE"""),3.0)</f>
        <v>3</v>
      </c>
    </row>
    <row r="2950">
      <c r="A2950" s="87" t="str">
        <f>IFERROR(__xludf.DUMMYFUNCTION("""COMPUTED_VALUE"""),"ITBISA-PCB-5X7-COPPER-SINGLE-SIDE")</f>
        <v>ITBISA-PCB-5X7-COPPER-SINGLE-SIDE</v>
      </c>
      <c r="B2950" s="165">
        <f>IFERROR(__xludf.DUMMYFUNCTION("""COMPUTED_VALUE"""),46025.0)</f>
        <v>46025</v>
      </c>
      <c r="C2950" s="165" t="str">
        <f>IFERROR(__xludf.DUMMYFUNCTION("""COMPUTED_VALUE"""),"KYAI KONTONG")</f>
        <v>KYAI KONTONG</v>
      </c>
      <c r="D2950" s="94">
        <f>IFERROR(__xludf.DUMMYFUNCTION("""COMPUTED_VALUE"""),1.0)</f>
        <v>1</v>
      </c>
    </row>
    <row r="2951">
      <c r="A2951" s="87" t="str">
        <f>IFERROR(__xludf.DUMMYFUNCTION("""COMPUTED_VALUE"""),"ITBISA-PCB-5X7-COPPER-SINGLE-SIDE")</f>
        <v>ITBISA-PCB-5X7-COPPER-SINGLE-SIDE</v>
      </c>
      <c r="B2951" s="165">
        <f>IFERROR(__xludf.DUMMYFUNCTION("""COMPUTED_VALUE"""),46028.0)</f>
        <v>46028</v>
      </c>
      <c r="C2951" s="165" t="str">
        <f>IFERROR(__xludf.DUMMYFUNCTION("""COMPUTED_VALUE"""),"KERTASARI CIAMIS")</f>
        <v>KERTASARI CIAMIS</v>
      </c>
      <c r="D2951" s="94">
        <f>IFERROR(__xludf.DUMMYFUNCTION("""COMPUTED_VALUE"""),4.0)</f>
        <v>4</v>
      </c>
    </row>
    <row r="2952">
      <c r="A2952" s="87" t="str">
        <f>IFERROR(__xludf.DUMMYFUNCTION("""COMPUTED_VALUE"""),"ITBISA-PCB-5X7-COPPER-SINGLE-SIDE")</f>
        <v>ITBISA-PCB-5X7-COPPER-SINGLE-SIDE</v>
      </c>
      <c r="B2952" s="165">
        <f>IFERROR(__xludf.DUMMYFUNCTION("""COMPUTED_VALUE"""),46029.0)</f>
        <v>46029</v>
      </c>
      <c r="C2952" s="165" t="str">
        <f>IFERROR(__xludf.DUMMYFUNCTION("""COMPUTED_VALUE"""),"KERTASARI CIAMIS")</f>
        <v>KERTASARI CIAMIS</v>
      </c>
      <c r="D2952" s="94">
        <f>IFERROR(__xludf.DUMMYFUNCTION("""COMPUTED_VALUE"""),4.0)</f>
        <v>4</v>
      </c>
    </row>
    <row r="2953">
      <c r="A2953" s="87" t="str">
        <f>IFERROR(__xludf.DUMMYFUNCTION("""COMPUTED_VALUE"""),"ITBISA-PCB-5X7-COPPER-SINGLE-SIDE")</f>
        <v>ITBISA-PCB-5X7-COPPER-SINGLE-SIDE</v>
      </c>
      <c r="B2953" s="165">
        <f>IFERROR(__xludf.DUMMYFUNCTION("""COMPUTED_VALUE"""),46030.0)</f>
        <v>46030</v>
      </c>
      <c r="C2953" s="165" t="str">
        <f>IFERROR(__xludf.DUMMYFUNCTION("""COMPUTED_VALUE"""),"KERTASARI CIAMIS")</f>
        <v>KERTASARI CIAMIS</v>
      </c>
      <c r="D2953" s="94">
        <f>IFERROR(__xludf.DUMMYFUNCTION("""COMPUTED_VALUE"""),2.0)</f>
        <v>2</v>
      </c>
    </row>
    <row r="2954">
      <c r="A2954" s="87" t="str">
        <f>IFERROR(__xludf.DUMMYFUNCTION("""COMPUTED_VALUE"""),"ITBISA-PCB-5X7-COPPER-SINGLE-SIDE")</f>
        <v>ITBISA-PCB-5X7-COPPER-SINGLE-SIDE</v>
      </c>
      <c r="B2954" s="165">
        <f>IFERROR(__xludf.DUMMYFUNCTION("""COMPUTED_VALUE"""),46031.0)</f>
        <v>46031</v>
      </c>
      <c r="C2954" s="165" t="str">
        <f>IFERROR(__xludf.DUMMYFUNCTION("""COMPUTED_VALUE"""),"KYAI KONTONG")</f>
        <v>KYAI KONTONG</v>
      </c>
      <c r="D2954" s="94">
        <f>IFERROR(__xludf.DUMMYFUNCTION("""COMPUTED_VALUE"""),4.0)</f>
        <v>4</v>
      </c>
    </row>
    <row r="2955">
      <c r="A2955" s="87" t="str">
        <f>IFERROR(__xludf.DUMMYFUNCTION("""COMPUTED_VALUE"""),"ITBISA-PCB-5X7-COPPER-SINGLE-SIDE")</f>
        <v>ITBISA-PCB-5X7-COPPER-SINGLE-SIDE</v>
      </c>
      <c r="B2955" s="165">
        <f>IFERROR(__xludf.DUMMYFUNCTION("""COMPUTED_VALUE"""),46032.0)</f>
        <v>46032</v>
      </c>
      <c r="C2955" s="165" t="str">
        <f>IFERROR(__xludf.DUMMYFUNCTION("""COMPUTED_VALUE"""),"KERTASARI CIAMIS")</f>
        <v>KERTASARI CIAMIS</v>
      </c>
      <c r="D2955" s="94">
        <f>IFERROR(__xludf.DUMMYFUNCTION("""COMPUTED_VALUE"""),2.0)</f>
        <v>2</v>
      </c>
    </row>
    <row r="2956">
      <c r="A2956" s="87" t="str">
        <f>IFERROR(__xludf.DUMMYFUNCTION("""COMPUTED_VALUE"""),"ITBISA-PCB-5X7-COPPER-SINGLE-SIDE")</f>
        <v>ITBISA-PCB-5X7-COPPER-SINGLE-SIDE</v>
      </c>
      <c r="B2956" s="165">
        <f>IFERROR(__xludf.DUMMYFUNCTION("""COMPUTED_VALUE"""),46032.0)</f>
        <v>46032</v>
      </c>
      <c r="C2956" s="165" t="str">
        <f>IFERROR(__xludf.DUMMYFUNCTION("""COMPUTED_VALUE"""),"KERTASARI CIAMIS")</f>
        <v>KERTASARI CIAMIS</v>
      </c>
      <c r="D2956" s="94">
        <f>IFERROR(__xludf.DUMMYFUNCTION("""COMPUTED_VALUE"""),8.0)</f>
        <v>8</v>
      </c>
    </row>
    <row r="2957">
      <c r="A2957" s="87" t="str">
        <f>IFERROR(__xludf.DUMMYFUNCTION("""COMPUTED_VALUE"""),"ITBISA-PCB-5X7-COPPER-SINGLE-SIDE")</f>
        <v>ITBISA-PCB-5X7-COPPER-SINGLE-SIDE</v>
      </c>
      <c r="B2957" s="165">
        <f>IFERROR(__xludf.DUMMYFUNCTION("""COMPUTED_VALUE"""),46035.0)</f>
        <v>46035</v>
      </c>
      <c r="C2957" s="165" t="str">
        <f>IFERROR(__xludf.DUMMYFUNCTION("""COMPUTED_VALUE"""),"KERTASARI CIAMIS")</f>
        <v>KERTASARI CIAMIS</v>
      </c>
      <c r="D2957" s="94">
        <f>IFERROR(__xludf.DUMMYFUNCTION("""COMPUTED_VALUE"""),3.0)</f>
        <v>3</v>
      </c>
    </row>
    <row r="2958">
      <c r="A2958" s="87" t="str">
        <f>IFERROR(__xludf.DUMMYFUNCTION("""COMPUTED_VALUE"""),"ITBISA-PCB-5X7-COPPER-SINGLE-SIDE")</f>
        <v>ITBISA-PCB-5X7-COPPER-SINGLE-SIDE</v>
      </c>
      <c r="B2958" s="165">
        <f>IFERROR(__xludf.DUMMYFUNCTION("""COMPUTED_VALUE"""),46035.0)</f>
        <v>46035</v>
      </c>
      <c r="C2958" s="165" t="str">
        <f>IFERROR(__xludf.DUMMYFUNCTION("""COMPUTED_VALUE"""),"KYAI KONTONG")</f>
        <v>KYAI KONTONG</v>
      </c>
      <c r="D2958" s="94">
        <f>IFERROR(__xludf.DUMMYFUNCTION("""COMPUTED_VALUE"""),1.0)</f>
        <v>1</v>
      </c>
    </row>
    <row r="2959">
      <c r="A2959" s="87" t="str">
        <f>IFERROR(__xludf.DUMMYFUNCTION("""COMPUTED_VALUE"""),"ITBISA-PCB-5X7-COPPER-SINGLE-SIDE")</f>
        <v>ITBISA-PCB-5X7-COPPER-SINGLE-SIDE</v>
      </c>
      <c r="B2959" s="165">
        <f>IFERROR(__xludf.DUMMYFUNCTION("""COMPUTED_VALUE"""),46035.0)</f>
        <v>46035</v>
      </c>
      <c r="C2959" s="165" t="str">
        <f>IFERROR(__xludf.DUMMYFUNCTION("""COMPUTED_VALUE"""),"KYAI KONTONG")</f>
        <v>KYAI KONTONG</v>
      </c>
      <c r="D2959" s="94">
        <f>IFERROR(__xludf.DUMMYFUNCTION("""COMPUTED_VALUE"""),25.0)</f>
        <v>25</v>
      </c>
    </row>
    <row r="2960">
      <c r="A2960" s="87" t="str">
        <f>IFERROR(__xludf.DUMMYFUNCTION("""COMPUTED_VALUE"""),"ITBISA-PCB-5X7-COPPER-SINGLE-SIDE")</f>
        <v>ITBISA-PCB-5X7-COPPER-SINGLE-SIDE</v>
      </c>
      <c r="B2960" s="165">
        <f>IFERROR(__xludf.DUMMYFUNCTION("""COMPUTED_VALUE"""),46036.0)</f>
        <v>46036</v>
      </c>
      <c r="C2960" s="165" t="str">
        <f>IFERROR(__xludf.DUMMYFUNCTION("""COMPUTED_VALUE"""),"KERTASARI CIAMIS")</f>
        <v>KERTASARI CIAMIS</v>
      </c>
      <c r="D2960" s="94">
        <f>IFERROR(__xludf.DUMMYFUNCTION("""COMPUTED_VALUE"""),1.0)</f>
        <v>1</v>
      </c>
    </row>
    <row r="2961">
      <c r="A2961" s="87" t="str">
        <f>IFERROR(__xludf.DUMMYFUNCTION("""COMPUTED_VALUE"""),"ITBISA-PCB-5X7-COPPER-SINGLE-SIDE")</f>
        <v>ITBISA-PCB-5X7-COPPER-SINGLE-SIDE</v>
      </c>
      <c r="B2961" s="165">
        <f>IFERROR(__xludf.DUMMYFUNCTION("""COMPUTED_VALUE"""),46036.0)</f>
        <v>46036</v>
      </c>
      <c r="C2961" s="165" t="str">
        <f>IFERROR(__xludf.DUMMYFUNCTION("""COMPUTED_VALUE"""),"KYAI KONTONG")</f>
        <v>KYAI KONTONG</v>
      </c>
      <c r="D2961" s="94">
        <f>IFERROR(__xludf.DUMMYFUNCTION("""COMPUTED_VALUE"""),2.0)</f>
        <v>2</v>
      </c>
    </row>
    <row r="2962">
      <c r="A2962" s="87" t="str">
        <f>IFERROR(__xludf.DUMMYFUNCTION("""COMPUTED_VALUE"""),"ITBISA-PCB-5X7-COPPER-SINGLE-SIDE")</f>
        <v>ITBISA-PCB-5X7-COPPER-SINGLE-SIDE</v>
      </c>
      <c r="B2962" s="165">
        <f>IFERROR(__xludf.DUMMYFUNCTION("""COMPUTED_VALUE"""),46036.0)</f>
        <v>46036</v>
      </c>
      <c r="C2962" s="165" t="str">
        <f>IFERROR(__xludf.DUMMYFUNCTION("""COMPUTED_VALUE"""),"KYAI KONTONG")</f>
        <v>KYAI KONTONG</v>
      </c>
      <c r="D2962" s="94">
        <f>IFERROR(__xludf.DUMMYFUNCTION("""COMPUTED_VALUE"""),5.0)</f>
        <v>5</v>
      </c>
    </row>
    <row r="2963">
      <c r="A2963" s="87" t="str">
        <f>IFERROR(__xludf.DUMMYFUNCTION("""COMPUTED_VALUE"""),"ITBISA-PCB-5X7-COPPER-SINGLE-SIDE")</f>
        <v>ITBISA-PCB-5X7-COPPER-SINGLE-SIDE</v>
      </c>
      <c r="B2963" s="165">
        <f>IFERROR(__xludf.DUMMYFUNCTION("""COMPUTED_VALUE"""),46037.0)</f>
        <v>46037</v>
      </c>
      <c r="C2963" s="165" t="str">
        <f>IFERROR(__xludf.DUMMYFUNCTION("""COMPUTED_VALUE"""),"KYAI KONTONG")</f>
        <v>KYAI KONTONG</v>
      </c>
      <c r="D2963" s="94">
        <f>IFERROR(__xludf.DUMMYFUNCTION("""COMPUTED_VALUE"""),2.0)</f>
        <v>2</v>
      </c>
    </row>
    <row r="2964">
      <c r="A2964" s="87" t="str">
        <f>IFERROR(__xludf.DUMMYFUNCTION("""COMPUTED_VALUE"""),"ITBISA-PCB-5X7-COPPER-SINGLE-SIDE")</f>
        <v>ITBISA-PCB-5X7-COPPER-SINGLE-SIDE</v>
      </c>
      <c r="B2964" s="165">
        <f>IFERROR(__xludf.DUMMYFUNCTION("""COMPUTED_VALUE"""),46038.0)</f>
        <v>46038</v>
      </c>
      <c r="C2964" s="165" t="str">
        <f>IFERROR(__xludf.DUMMYFUNCTION("""COMPUTED_VALUE"""),"KERTASARI CIAMIS")</f>
        <v>KERTASARI CIAMIS</v>
      </c>
      <c r="D2964" s="94">
        <f>IFERROR(__xludf.DUMMYFUNCTION("""COMPUTED_VALUE"""),3.0)</f>
        <v>3</v>
      </c>
    </row>
    <row r="2965">
      <c r="A2965" s="87" t="str">
        <f>IFERROR(__xludf.DUMMYFUNCTION("""COMPUTED_VALUE"""),"ITBISA-PCB-5X7-COPPER-SINGLE-SIDE")</f>
        <v>ITBISA-PCB-5X7-COPPER-SINGLE-SIDE</v>
      </c>
      <c r="B2965" s="165">
        <f>IFERROR(__xludf.DUMMYFUNCTION("""COMPUTED_VALUE"""),46039.0)</f>
        <v>46039</v>
      </c>
      <c r="C2965" s="165" t="str">
        <f>IFERROR(__xludf.DUMMYFUNCTION("""COMPUTED_VALUE"""),"KERTASARI CIAMIS")</f>
        <v>KERTASARI CIAMIS</v>
      </c>
      <c r="D2965" s="94">
        <f>IFERROR(__xludf.DUMMYFUNCTION("""COMPUTED_VALUE"""),1.0)</f>
        <v>1</v>
      </c>
    </row>
    <row r="2966">
      <c r="A2966" s="87" t="str">
        <f>IFERROR(__xludf.DUMMYFUNCTION("""COMPUTED_VALUE"""),"ITBISA-PCB-5X7-COPPER-SINGLE-SIDE")</f>
        <v>ITBISA-PCB-5X7-COPPER-SINGLE-SIDE</v>
      </c>
      <c r="B2966" s="165">
        <f>IFERROR(__xludf.DUMMYFUNCTION("""COMPUTED_VALUE"""),46039.0)</f>
        <v>46039</v>
      </c>
      <c r="C2966" s="165" t="str">
        <f>IFERROR(__xludf.DUMMYFUNCTION("""COMPUTED_VALUE"""),"KERTASARI CIAMIS")</f>
        <v>KERTASARI CIAMIS</v>
      </c>
      <c r="D2966" s="94">
        <f>IFERROR(__xludf.DUMMYFUNCTION("""COMPUTED_VALUE"""),2.0)</f>
        <v>2</v>
      </c>
    </row>
    <row r="2967">
      <c r="A2967" s="87" t="str">
        <f>IFERROR(__xludf.DUMMYFUNCTION("""COMPUTED_VALUE"""),"ITBISA-PCB-5X7-COPPER-SINGLE-SIDE")</f>
        <v>ITBISA-PCB-5X7-COPPER-SINGLE-SIDE</v>
      </c>
      <c r="B2967" s="165">
        <f>IFERROR(__xludf.DUMMYFUNCTION("""COMPUTED_VALUE"""),46040.0)</f>
        <v>46040</v>
      </c>
      <c r="C2967" s="165" t="str">
        <f>IFERROR(__xludf.DUMMYFUNCTION("""COMPUTED_VALUE"""),"KERTASARI CIAMIS")</f>
        <v>KERTASARI CIAMIS</v>
      </c>
      <c r="D2967" s="94">
        <f>IFERROR(__xludf.DUMMYFUNCTION("""COMPUTED_VALUE"""),1.0)</f>
        <v>1</v>
      </c>
    </row>
    <row r="2968">
      <c r="A2968" s="87" t="str">
        <f>IFERROR(__xludf.DUMMYFUNCTION("""COMPUTED_VALUE"""),"ITBISA-PCB-5X7-COPPER-SINGLE-SIDE")</f>
        <v>ITBISA-PCB-5X7-COPPER-SINGLE-SIDE</v>
      </c>
      <c r="B2968" s="165">
        <f>IFERROR(__xludf.DUMMYFUNCTION("""COMPUTED_VALUE"""),46040.0)</f>
        <v>46040</v>
      </c>
      <c r="C2968" s="165" t="str">
        <f>IFERROR(__xludf.DUMMYFUNCTION("""COMPUTED_VALUE"""),"KYAI KONTONG")</f>
        <v>KYAI KONTONG</v>
      </c>
      <c r="D2968" s="94">
        <f>IFERROR(__xludf.DUMMYFUNCTION("""COMPUTED_VALUE"""),10.0)</f>
        <v>10</v>
      </c>
    </row>
    <row r="2969">
      <c r="A2969" s="87" t="str">
        <f>IFERROR(__xludf.DUMMYFUNCTION("""COMPUTED_VALUE"""),"ITBISA-PCB-5X7-COPPER-SINGLE-SIDE")</f>
        <v>ITBISA-PCB-5X7-COPPER-SINGLE-SIDE</v>
      </c>
      <c r="B2969" s="165">
        <f>IFERROR(__xludf.DUMMYFUNCTION("""COMPUTED_VALUE"""),46042.0)</f>
        <v>46042</v>
      </c>
      <c r="C2969" s="165" t="str">
        <f>IFERROR(__xludf.DUMMYFUNCTION("""COMPUTED_VALUE"""),"KERTASARI CIAMIS")</f>
        <v>KERTASARI CIAMIS</v>
      </c>
      <c r="D2969" s="94">
        <f>IFERROR(__xludf.DUMMYFUNCTION("""COMPUTED_VALUE"""),20.0)</f>
        <v>20</v>
      </c>
    </row>
    <row r="2970">
      <c r="A2970" s="87" t="str">
        <f>IFERROR(__xludf.DUMMYFUNCTION("""COMPUTED_VALUE"""),"ITBISA-PCB-5X7-COPPER-SINGLE-SIDE")</f>
        <v>ITBISA-PCB-5X7-COPPER-SINGLE-SIDE</v>
      </c>
      <c r="B2970" s="165">
        <f>IFERROR(__xludf.DUMMYFUNCTION("""COMPUTED_VALUE"""),46045.0)</f>
        <v>46045</v>
      </c>
      <c r="C2970" s="165" t="str">
        <f>IFERROR(__xludf.DUMMYFUNCTION("""COMPUTED_VALUE"""),"KYAI KONTONG")</f>
        <v>KYAI KONTONG</v>
      </c>
      <c r="D2970" s="94">
        <f>IFERROR(__xludf.DUMMYFUNCTION("""COMPUTED_VALUE"""),1.0)</f>
        <v>1</v>
      </c>
    </row>
    <row r="2971">
      <c r="A2971" s="87" t="str">
        <f>IFERROR(__xludf.DUMMYFUNCTION("""COMPUTED_VALUE"""),"ITBISA-PCB-5X7-COPPER-SINGLE-SIDE")</f>
        <v>ITBISA-PCB-5X7-COPPER-SINGLE-SIDE</v>
      </c>
      <c r="B2971" s="165">
        <f>IFERROR(__xludf.DUMMYFUNCTION("""COMPUTED_VALUE"""),46045.0)</f>
        <v>46045</v>
      </c>
      <c r="C2971" s="165" t="str">
        <f>IFERROR(__xludf.DUMMYFUNCTION("""COMPUTED_VALUE"""),"KYAI KONTONG")</f>
        <v>KYAI KONTONG</v>
      </c>
      <c r="D2971" s="94">
        <f>IFERROR(__xludf.DUMMYFUNCTION("""COMPUTED_VALUE"""),89.0)</f>
        <v>89</v>
      </c>
    </row>
    <row r="2972">
      <c r="A2972" s="87" t="str">
        <f>IFERROR(__xludf.DUMMYFUNCTION("""COMPUTED_VALUE"""),"ITBISA-PCB-5X7-COPPER-SINGLE-SIDE")</f>
        <v>ITBISA-PCB-5X7-COPPER-SINGLE-SIDE</v>
      </c>
      <c r="B2972" s="165">
        <f>IFERROR(__xludf.DUMMYFUNCTION("""COMPUTED_VALUE"""),46054.0)</f>
        <v>46054</v>
      </c>
      <c r="C2972" s="165" t="str">
        <f>IFERROR(__xludf.DUMMYFUNCTION("""COMPUTED_VALUE"""),"KYAI KONTONG")</f>
        <v>KYAI KONTONG</v>
      </c>
      <c r="D2972" s="94">
        <f>IFERROR(__xludf.DUMMYFUNCTION("""COMPUTED_VALUE"""),1.0)</f>
        <v>1</v>
      </c>
    </row>
    <row r="2973">
      <c r="A2973" s="87" t="str">
        <f>IFERROR(__xludf.DUMMYFUNCTION("""COMPUTED_VALUE"""),"ITBISA-PCB-5X7-COPPER-SINGLE-SIDE")</f>
        <v>ITBISA-PCB-5X7-COPPER-SINGLE-SIDE</v>
      </c>
      <c r="B2973" s="165">
        <f>IFERROR(__xludf.DUMMYFUNCTION("""COMPUTED_VALUE"""),46055.0)</f>
        <v>46055</v>
      </c>
      <c r="C2973" s="165" t="str">
        <f>IFERROR(__xludf.DUMMYFUNCTION("""COMPUTED_VALUE"""),"KYAI KONTONG")</f>
        <v>KYAI KONTONG</v>
      </c>
      <c r="D2973" s="94">
        <f>IFERROR(__xludf.DUMMYFUNCTION("""COMPUTED_VALUE"""),1.0)</f>
        <v>1</v>
      </c>
    </row>
    <row r="2974">
      <c r="A2974" s="87" t="str">
        <f>IFERROR(__xludf.DUMMYFUNCTION("""COMPUTED_VALUE"""),"ITBISA-PCB-5X7-COPPER-SINGLE-SIDE")</f>
        <v>ITBISA-PCB-5X7-COPPER-SINGLE-SIDE</v>
      </c>
      <c r="B2974" s="165">
        <f>IFERROR(__xludf.DUMMYFUNCTION("""COMPUTED_VALUE"""),46072.0)</f>
        <v>46072</v>
      </c>
      <c r="C2974" s="165" t="str">
        <f>IFERROR(__xludf.DUMMYFUNCTION("""COMPUTED_VALUE"""),"KYAI KONTONG")</f>
        <v>KYAI KONTONG</v>
      </c>
      <c r="D2974" s="94">
        <f>IFERROR(__xludf.DUMMYFUNCTION("""COMPUTED_VALUE"""),1.0)</f>
        <v>1</v>
      </c>
    </row>
    <row r="2975">
      <c r="A2975" s="87" t="str">
        <f>IFERROR(__xludf.DUMMYFUNCTION("""COMPUTED_VALUE"""),"ITBISA-PCB-5X7-COPPER-SINGLE-SIDE")</f>
        <v>ITBISA-PCB-5X7-COPPER-SINGLE-SIDE</v>
      </c>
      <c r="B2975" s="165">
        <f>IFERROR(__xludf.DUMMYFUNCTION("""COMPUTED_VALUE"""),46074.0)</f>
        <v>46074</v>
      </c>
      <c r="C2975" s="165" t="str">
        <f>IFERROR(__xludf.DUMMYFUNCTION("""COMPUTED_VALUE"""),"KYAI KONTONG")</f>
        <v>KYAI KONTONG</v>
      </c>
      <c r="D2975" s="94">
        <f>IFERROR(__xludf.DUMMYFUNCTION("""COMPUTED_VALUE"""),20.0)</f>
        <v>20</v>
      </c>
    </row>
    <row r="2976">
      <c r="A2976" s="87" t="str">
        <f>IFERROR(__xludf.DUMMYFUNCTION("""COMPUTED_VALUE"""),"ITBISA-PCB-5X7-COPPER-SINGLE-SIDE")</f>
        <v>ITBISA-PCB-5X7-COPPER-SINGLE-SIDE</v>
      </c>
      <c r="B2976" s="165">
        <f>IFERROR(__xludf.DUMMYFUNCTION("""COMPUTED_VALUE"""),46077.0)</f>
        <v>46077</v>
      </c>
      <c r="C2976" s="165" t="str">
        <f>IFERROR(__xludf.DUMMYFUNCTION("""COMPUTED_VALUE"""),"KYAI KONTONG")</f>
        <v>KYAI KONTONG</v>
      </c>
      <c r="D2976" s="94">
        <f>IFERROR(__xludf.DUMMYFUNCTION("""COMPUTED_VALUE"""),2.0)</f>
        <v>2</v>
      </c>
    </row>
    <row r="2977">
      <c r="A2977" s="87" t="str">
        <f>IFERROR(__xludf.DUMMYFUNCTION("""COMPUTED_VALUE"""),"ITBISA-PCB-5X7-COPPER-SINGLE-SIDE")</f>
        <v>ITBISA-PCB-5X7-COPPER-SINGLE-SIDE</v>
      </c>
      <c r="B2977" s="165">
        <f>IFERROR(__xludf.DUMMYFUNCTION("""COMPUTED_VALUE"""),46084.0)</f>
        <v>46084</v>
      </c>
      <c r="C2977" s="165" t="str">
        <f>IFERROR(__xludf.DUMMYFUNCTION("""COMPUTED_VALUE"""),"KYAI KONTONG")</f>
        <v>KYAI KONTONG</v>
      </c>
      <c r="D2977" s="94">
        <f>IFERROR(__xludf.DUMMYFUNCTION("""COMPUTED_VALUE"""),50.0)</f>
        <v>50</v>
      </c>
    </row>
    <row r="2978">
      <c r="A2978" s="87" t="str">
        <f>IFERROR(__xludf.DUMMYFUNCTION("""COMPUTED_VALUE"""),"ITBISA-PCB-5X7-COPPER-SINGLE-SIDE")</f>
        <v>ITBISA-PCB-5X7-COPPER-SINGLE-SIDE</v>
      </c>
      <c r="B2978" s="165">
        <f>IFERROR(__xludf.DUMMYFUNCTION("""COMPUTED_VALUE"""),46085.0)</f>
        <v>46085</v>
      </c>
      <c r="C2978" s="165" t="str">
        <f>IFERROR(__xludf.DUMMYFUNCTION("""COMPUTED_VALUE"""),"KYAI KONTONG")</f>
        <v>KYAI KONTONG</v>
      </c>
      <c r="D2978" s="94">
        <f>IFERROR(__xludf.DUMMYFUNCTION("""COMPUTED_VALUE"""),5.0)</f>
        <v>5</v>
      </c>
    </row>
    <row r="2979">
      <c r="A2979" s="87" t="str">
        <f>IFERROR(__xludf.DUMMYFUNCTION("""COMPUTED_VALUE"""),"ITBISA-PCB-5X7-COPPER-SINGLE-SIDE")</f>
        <v>ITBISA-PCB-5X7-COPPER-SINGLE-SIDE</v>
      </c>
      <c r="B2979" s="165">
        <f>IFERROR(__xludf.DUMMYFUNCTION("""COMPUTED_VALUE"""),46090.0)</f>
        <v>46090</v>
      </c>
      <c r="C2979" s="165" t="str">
        <f>IFERROR(__xludf.DUMMYFUNCTION("""COMPUTED_VALUE"""),"KYAI KONTONG")</f>
        <v>KYAI KONTONG</v>
      </c>
      <c r="D2979" s="94">
        <f>IFERROR(__xludf.DUMMYFUNCTION("""COMPUTED_VALUE"""),20.0)</f>
        <v>20</v>
      </c>
    </row>
    <row r="2980">
      <c r="A2980" s="87" t="str">
        <f>IFERROR(__xludf.DUMMYFUNCTION("""COMPUTED_VALUE"""),"ITBISA-PCB-5X7-COPPER-SINGLE-SIDE")</f>
        <v>ITBISA-PCB-5X7-COPPER-SINGLE-SIDE</v>
      </c>
      <c r="B2980" s="165">
        <f>IFERROR(__xludf.DUMMYFUNCTION("""COMPUTED_VALUE"""),46091.0)</f>
        <v>46091</v>
      </c>
      <c r="C2980" s="165" t="str">
        <f>IFERROR(__xludf.DUMMYFUNCTION("""COMPUTED_VALUE"""),"KYAI KONTONG")</f>
        <v>KYAI KONTONG</v>
      </c>
      <c r="D2980" s="94">
        <f>IFERROR(__xludf.DUMMYFUNCTION("""COMPUTED_VALUE"""),5.0)</f>
        <v>5</v>
      </c>
    </row>
    <row r="2981">
      <c r="A2981" s="87" t="str">
        <f>IFERROR(__xludf.DUMMYFUNCTION("""COMPUTED_VALUE"""),"ITBISA-PCB-5X7-COPPER-SINGLE-SIDE")</f>
        <v>ITBISA-PCB-5X7-COPPER-SINGLE-SIDE</v>
      </c>
      <c r="B2981" s="165">
        <f>IFERROR(__xludf.DUMMYFUNCTION("""COMPUTED_VALUE"""),46092.0)</f>
        <v>46092</v>
      </c>
      <c r="C2981" s="165" t="str">
        <f>IFERROR(__xludf.DUMMYFUNCTION("""COMPUTED_VALUE"""),"KYAI KONTONG")</f>
        <v>KYAI KONTONG</v>
      </c>
      <c r="D2981" s="94">
        <f>IFERROR(__xludf.DUMMYFUNCTION("""COMPUTED_VALUE"""),2.0)</f>
        <v>2</v>
      </c>
    </row>
    <row r="2982">
      <c r="A2982" s="87" t="str">
        <f>IFERROR(__xludf.DUMMYFUNCTION("""COMPUTED_VALUE"""),"ITBISA-PCB-5x7-COPPER-SINGLE-SIDE")</f>
        <v>ITBISA-PCB-5x7-COPPER-SINGLE-SIDE</v>
      </c>
      <c r="B2982" s="165">
        <f>IFERROR(__xludf.DUMMYFUNCTION("""COMPUTED_VALUE"""),46144.0)</f>
        <v>46144</v>
      </c>
      <c r="C2982" s="165" t="str">
        <f>IFERROR(__xludf.DUMMYFUNCTION("""COMPUTED_VALUE"""),"KYAI KONTONG")</f>
        <v>KYAI KONTONG</v>
      </c>
      <c r="D2982" s="94">
        <f>IFERROR(__xludf.DUMMYFUNCTION("""COMPUTED_VALUE"""),1.0)</f>
        <v>1</v>
      </c>
    </row>
    <row r="2983">
      <c r="A2983" s="87" t="str">
        <f>IFERROR(__xludf.DUMMYFUNCTION("""COMPUTED_VALUE"""),"ITBISA-PCB-5x7-COPPER-SINGLE-SIDE")</f>
        <v>ITBISA-PCB-5x7-COPPER-SINGLE-SIDE</v>
      </c>
      <c r="B2983" s="165">
        <f>IFERROR(__xludf.DUMMYFUNCTION("""COMPUTED_VALUE"""),46145.0)</f>
        <v>46145</v>
      </c>
      <c r="C2983" s="165" t="str">
        <f>IFERROR(__xludf.DUMMYFUNCTION("""COMPUTED_VALUE"""),"KYAI KONTONG")</f>
        <v>KYAI KONTONG</v>
      </c>
      <c r="D2983" s="94">
        <f>IFERROR(__xludf.DUMMYFUNCTION("""COMPUTED_VALUE"""),4.0)</f>
        <v>4</v>
      </c>
    </row>
    <row r="2984">
      <c r="A2984" s="87" t="str">
        <f>IFERROR(__xludf.DUMMYFUNCTION("""COMPUTED_VALUE"""),"ITBISA-PCB-5x7-COPPER-SINGLE-SIDE")</f>
        <v>ITBISA-PCB-5x7-COPPER-SINGLE-SIDE</v>
      </c>
      <c r="B2984" s="165">
        <f>IFERROR(__xludf.DUMMYFUNCTION("""COMPUTED_VALUE"""),46148.0)</f>
        <v>46148</v>
      </c>
      <c r="C2984" s="165" t="str">
        <f>IFERROR(__xludf.DUMMYFUNCTION("""COMPUTED_VALUE"""),"KYAI KONTONG")</f>
        <v>KYAI KONTONG</v>
      </c>
      <c r="D2984" s="94">
        <f>IFERROR(__xludf.DUMMYFUNCTION("""COMPUTED_VALUE"""),1.0)</f>
        <v>1</v>
      </c>
    </row>
    <row r="2985">
      <c r="A2985" s="87" t="str">
        <f>IFERROR(__xludf.DUMMYFUNCTION("""COMPUTED_VALUE"""),"ITBISA-PCB-5x7-COPPER-SINGLE-SIDE")</f>
        <v>ITBISA-PCB-5x7-COPPER-SINGLE-SIDE</v>
      </c>
      <c r="B2985" s="165">
        <f>IFERROR(__xludf.DUMMYFUNCTION("""COMPUTED_VALUE"""),46151.0)</f>
        <v>46151</v>
      </c>
      <c r="C2985" s="165" t="str">
        <f>IFERROR(__xludf.DUMMYFUNCTION("""COMPUTED_VALUE"""),"KYAI KONTONG")</f>
        <v>KYAI KONTONG</v>
      </c>
      <c r="D2985" s="94">
        <f>IFERROR(__xludf.DUMMYFUNCTION("""COMPUTED_VALUE"""),10.0)</f>
        <v>10</v>
      </c>
    </row>
    <row r="2986">
      <c r="A2986" s="87" t="str">
        <f>IFERROR(__xludf.DUMMYFUNCTION("""COMPUTED_VALUE"""),"ITBISA-PCB-5x7-COPPER-SINGLE-SIDE")</f>
        <v>ITBISA-PCB-5x7-COPPER-SINGLE-SIDE</v>
      </c>
      <c r="B2986" s="165">
        <f>IFERROR(__xludf.DUMMYFUNCTION("""COMPUTED_VALUE"""),46153.0)</f>
        <v>46153</v>
      </c>
      <c r="C2986" s="165" t="str">
        <f>IFERROR(__xludf.DUMMYFUNCTION("""COMPUTED_VALUE"""),"KYAI KONTONG")</f>
        <v>KYAI KONTONG</v>
      </c>
      <c r="D2986" s="94">
        <f>IFERROR(__xludf.DUMMYFUNCTION("""COMPUTED_VALUE"""),2.0)</f>
        <v>2</v>
      </c>
    </row>
    <row r="2987">
      <c r="A2987" s="87" t="str">
        <f>IFERROR(__xludf.DUMMYFUNCTION("""COMPUTED_VALUE"""),"ITBISA-PCB-5x7-COPPER-SINGLE-SIDE")</f>
        <v>ITBISA-PCB-5x7-COPPER-SINGLE-SIDE</v>
      </c>
      <c r="B2987" s="165">
        <f>IFERROR(__xludf.DUMMYFUNCTION("""COMPUTED_VALUE"""),46155.0)</f>
        <v>46155</v>
      </c>
      <c r="C2987" s="165" t="str">
        <f>IFERROR(__xludf.DUMMYFUNCTION("""COMPUTED_VALUE"""),"KYAI KONTONG")</f>
        <v>KYAI KONTONG</v>
      </c>
      <c r="D2987" s="94">
        <f>IFERROR(__xludf.DUMMYFUNCTION("""COMPUTED_VALUE"""),1.0)</f>
        <v>1</v>
      </c>
    </row>
    <row r="2988">
      <c r="A2988" s="87" t="str">
        <f>IFERROR(__xludf.DUMMYFUNCTION("""COMPUTED_VALUE"""),"ITBISA-PCB-5x7-COPPER-SINGLE-SIDE")</f>
        <v>ITBISA-PCB-5x7-COPPER-SINGLE-SIDE</v>
      </c>
      <c r="B2988" s="165">
        <f>IFERROR(__xludf.DUMMYFUNCTION("""COMPUTED_VALUE"""),46157.0)</f>
        <v>46157</v>
      </c>
      <c r="C2988" s="165" t="str">
        <f>IFERROR(__xludf.DUMMYFUNCTION("""COMPUTED_VALUE"""),"KYAI KONTONG")</f>
        <v>KYAI KONTONG</v>
      </c>
      <c r="D2988" s="94">
        <f>IFERROR(__xludf.DUMMYFUNCTION("""COMPUTED_VALUE"""),2.0)</f>
        <v>2</v>
      </c>
    </row>
    <row r="2989">
      <c r="A2989" s="87" t="str">
        <f>IFERROR(__xludf.DUMMYFUNCTION("""COMPUTED_VALUE"""),"ITBISA-PCB-5x7-COPPER-SINGLE-SIDE")</f>
        <v>ITBISA-PCB-5x7-COPPER-SINGLE-SIDE</v>
      </c>
      <c r="B2989" s="165">
        <f>IFERROR(__xludf.DUMMYFUNCTION("""COMPUTED_VALUE"""),46158.0)</f>
        <v>46158</v>
      </c>
      <c r="C2989" s="165" t="str">
        <f>IFERROR(__xludf.DUMMYFUNCTION("""COMPUTED_VALUE"""),"KYAI KONTONG")</f>
        <v>KYAI KONTONG</v>
      </c>
      <c r="D2989" s="94">
        <f>IFERROR(__xludf.DUMMYFUNCTION("""COMPUTED_VALUE"""),3.0)</f>
        <v>3</v>
      </c>
    </row>
    <row r="2990">
      <c r="A2990" s="87" t="str">
        <f>IFERROR(__xludf.DUMMYFUNCTION("""COMPUTED_VALUE"""),"ITBISA-PCB-5X7-COPPER-SINGLE-SIDE")</f>
        <v>ITBISA-PCB-5X7-COPPER-SINGLE-SIDE</v>
      </c>
      <c r="B2990" s="165">
        <f>IFERROR(__xludf.DUMMYFUNCTION("""COMPUTED_VALUE"""),46158.0)</f>
        <v>46158</v>
      </c>
      <c r="C2990" s="165" t="str">
        <f>IFERROR(__xludf.DUMMYFUNCTION("""COMPUTED_VALUE"""),"KYAI KONTONG")</f>
        <v>KYAI KONTONG</v>
      </c>
      <c r="D2990" s="94">
        <f>IFERROR(__xludf.DUMMYFUNCTION("""COMPUTED_VALUE"""),5.0)</f>
        <v>5</v>
      </c>
    </row>
    <row r="2991">
      <c r="A2991" s="87" t="str">
        <f>IFERROR(__xludf.DUMMYFUNCTION("""COMPUTED_VALUE"""),"ITBISA-PCB-5X7-COPPER-SINGLE-SIDE")</f>
        <v>ITBISA-PCB-5X7-COPPER-SINGLE-SIDE</v>
      </c>
      <c r="B2991" s="165">
        <f>IFERROR(__xludf.DUMMYFUNCTION("""COMPUTED_VALUE"""),46159.0)</f>
        <v>46159</v>
      </c>
      <c r="C2991" s="165" t="str">
        <f>IFERROR(__xludf.DUMMYFUNCTION("""COMPUTED_VALUE"""),"KYAI KONTONG")</f>
        <v>KYAI KONTONG</v>
      </c>
      <c r="D2991" s="94">
        <f>IFERROR(__xludf.DUMMYFUNCTION("""COMPUTED_VALUE"""),1.0)</f>
        <v>1</v>
      </c>
    </row>
    <row r="2992">
      <c r="A2992" s="87" t="str">
        <f>IFERROR(__xludf.DUMMYFUNCTION("""COMPUTED_VALUE"""),"ITBISA-PCB-5X7-COPPER-SINGLE-SIDE")</f>
        <v>ITBISA-PCB-5X7-COPPER-SINGLE-SIDE</v>
      </c>
      <c r="B2992" s="165">
        <f>IFERROR(__xludf.DUMMYFUNCTION("""COMPUTED_VALUE"""),46159.0)</f>
        <v>46159</v>
      </c>
      <c r="C2992" s="165" t="str">
        <f>IFERROR(__xludf.DUMMYFUNCTION("""COMPUTED_VALUE"""),"KYAI KONTONG")</f>
        <v>KYAI KONTONG</v>
      </c>
      <c r="D2992" s="94">
        <f>IFERROR(__xludf.DUMMYFUNCTION("""COMPUTED_VALUE"""),3.0)</f>
        <v>3</v>
      </c>
    </row>
    <row r="2993">
      <c r="A2993" s="87" t="str">
        <f>IFERROR(__xludf.DUMMYFUNCTION("""COMPUTED_VALUE"""),"ITBISA-PCB-5X7-COPPER-SINGLE-SIDE")</f>
        <v>ITBISA-PCB-5X7-COPPER-SINGLE-SIDE</v>
      </c>
      <c r="B2993" s="165">
        <f>IFERROR(__xludf.DUMMYFUNCTION("""COMPUTED_VALUE"""),46161.0)</f>
        <v>46161</v>
      </c>
      <c r="C2993" s="165" t="str">
        <f>IFERROR(__xludf.DUMMYFUNCTION("""COMPUTED_VALUE"""),"KYAI KONTONG")</f>
        <v>KYAI KONTONG</v>
      </c>
      <c r="D2993" s="94">
        <f>IFERROR(__xludf.DUMMYFUNCTION("""COMPUTED_VALUE"""),5.0)</f>
        <v>5</v>
      </c>
    </row>
    <row r="2994">
      <c r="A2994" s="87" t="str">
        <f>IFERROR(__xludf.DUMMYFUNCTION("""COMPUTED_VALUE"""),"ITBISA-PCB-5X7-COPPER-SINGLE-SIDE")</f>
        <v>ITBISA-PCB-5X7-COPPER-SINGLE-SIDE</v>
      </c>
      <c r="B2994" s="165">
        <f>IFERROR(__xludf.DUMMYFUNCTION("""COMPUTED_VALUE"""),46161.0)</f>
        <v>46161</v>
      </c>
      <c r="C2994" s="165" t="str">
        <f>IFERROR(__xludf.DUMMYFUNCTION("""COMPUTED_VALUE"""),"KYAI KONTONG")</f>
        <v>KYAI KONTONG</v>
      </c>
      <c r="D2994" s="94">
        <f>IFERROR(__xludf.DUMMYFUNCTION("""COMPUTED_VALUE"""),5.0)</f>
        <v>5</v>
      </c>
    </row>
    <row r="2995">
      <c r="A2995" s="87" t="str">
        <f>IFERROR(__xludf.DUMMYFUNCTION("""COMPUTED_VALUE"""),"ITBISA-PCB-5X7-COPPER-SINGLE-SIDE")</f>
        <v>ITBISA-PCB-5X7-COPPER-SINGLE-SIDE</v>
      </c>
      <c r="B2995" s="165">
        <f>IFERROR(__xludf.DUMMYFUNCTION("""COMPUTED_VALUE"""),46161.0)</f>
        <v>46161</v>
      </c>
      <c r="C2995" s="165" t="str">
        <f>IFERROR(__xludf.DUMMYFUNCTION("""COMPUTED_VALUE"""),"KYAI KONTONG")</f>
        <v>KYAI KONTONG</v>
      </c>
      <c r="D2995" s="94">
        <f>IFERROR(__xludf.DUMMYFUNCTION("""COMPUTED_VALUE"""),15.0)</f>
        <v>15</v>
      </c>
    </row>
    <row r="2996">
      <c r="A2996" s="87" t="str">
        <f>IFERROR(__xludf.DUMMYFUNCTION("""COMPUTED_VALUE"""),"ITBISA-PCB-5X7-COPPER-SINGLE-SIDE")</f>
        <v>ITBISA-PCB-5X7-COPPER-SINGLE-SIDE</v>
      </c>
      <c r="B2996" s="165">
        <f>IFERROR(__xludf.DUMMYFUNCTION("""COMPUTED_VALUE"""),46161.0)</f>
        <v>46161</v>
      </c>
      <c r="C2996" s="165" t="str">
        <f>IFERROR(__xludf.DUMMYFUNCTION("""COMPUTED_VALUE"""),"KYAI KONTONG")</f>
        <v>KYAI KONTONG</v>
      </c>
      <c r="D2996" s="94">
        <f>IFERROR(__xludf.DUMMYFUNCTION("""COMPUTED_VALUE"""),20.0)</f>
        <v>20</v>
      </c>
    </row>
    <row r="2997">
      <c r="A2997" s="87" t="str">
        <f>IFERROR(__xludf.DUMMYFUNCTION("""COMPUTED_VALUE"""),"ITBISA-PCB-5X7-COPPER-SINGLE-SIDE")</f>
        <v>ITBISA-PCB-5X7-COPPER-SINGLE-SIDE</v>
      </c>
      <c r="B2997" s="165">
        <f>IFERROR(__xludf.DUMMYFUNCTION("""COMPUTED_VALUE"""),46162.0)</f>
        <v>46162</v>
      </c>
      <c r="C2997" s="165" t="str">
        <f>IFERROR(__xludf.DUMMYFUNCTION("""COMPUTED_VALUE"""),"KYAI KONTONG")</f>
        <v>KYAI KONTONG</v>
      </c>
      <c r="D2997" s="94">
        <f>IFERROR(__xludf.DUMMYFUNCTION("""COMPUTED_VALUE"""),1.0)</f>
        <v>1</v>
      </c>
    </row>
    <row r="2998">
      <c r="A2998" s="87" t="str">
        <f>IFERROR(__xludf.DUMMYFUNCTION("""COMPUTED_VALUE"""),"ITBISA-PCB-5X7-COPPER-SINGLE-SIDE")</f>
        <v>ITBISA-PCB-5X7-COPPER-SINGLE-SIDE</v>
      </c>
      <c r="B2998" s="165">
        <f>IFERROR(__xludf.DUMMYFUNCTION("""COMPUTED_VALUE"""),46162.0)</f>
        <v>46162</v>
      </c>
      <c r="C2998" s="165" t="str">
        <f>IFERROR(__xludf.DUMMYFUNCTION("""COMPUTED_VALUE"""),"KYAI KONTONG")</f>
        <v>KYAI KONTONG</v>
      </c>
      <c r="D2998" s="94">
        <f>IFERROR(__xludf.DUMMYFUNCTION("""COMPUTED_VALUE"""),5.0)</f>
        <v>5</v>
      </c>
    </row>
    <row r="2999">
      <c r="A2999" s="87" t="str">
        <f>IFERROR(__xludf.DUMMYFUNCTION("""COMPUTED_VALUE"""),"ITBISA-PCB-5X7-COPPER-SINGLE-SIDE")</f>
        <v>ITBISA-PCB-5X7-COPPER-SINGLE-SIDE</v>
      </c>
      <c r="B2999" s="165">
        <f>IFERROR(__xludf.DUMMYFUNCTION("""COMPUTED_VALUE"""),46162.0)</f>
        <v>46162</v>
      </c>
      <c r="C2999" s="165" t="str">
        <f>IFERROR(__xludf.DUMMYFUNCTION("""COMPUTED_VALUE"""),"KYAI KONTONG")</f>
        <v>KYAI KONTONG</v>
      </c>
      <c r="D2999" s="94">
        <f>IFERROR(__xludf.DUMMYFUNCTION("""COMPUTED_VALUE"""),30.0)</f>
        <v>30</v>
      </c>
    </row>
    <row r="3000">
      <c r="A3000" s="87" t="str">
        <f>IFERROR(__xludf.DUMMYFUNCTION("""COMPUTED_VALUE"""),"ITBISA-PCB-5X7-COPPER-SINGLE-SIDE")</f>
        <v>ITBISA-PCB-5X7-COPPER-SINGLE-SIDE</v>
      </c>
      <c r="B3000" s="165">
        <f>IFERROR(__xludf.DUMMYFUNCTION("""COMPUTED_VALUE"""),46163.0)</f>
        <v>46163</v>
      </c>
      <c r="C3000" s="165" t="str">
        <f>IFERROR(__xludf.DUMMYFUNCTION("""COMPUTED_VALUE"""),"KYAI KONTONG")</f>
        <v>KYAI KONTONG</v>
      </c>
      <c r="D3000" s="94">
        <f>IFERROR(__xludf.DUMMYFUNCTION("""COMPUTED_VALUE"""),1.0)</f>
        <v>1</v>
      </c>
    </row>
    <row r="3001">
      <c r="A3001" s="87" t="str">
        <f>IFERROR(__xludf.DUMMYFUNCTION("""COMPUTED_VALUE"""),"ITBISA-PCB-5X7-COPPER-SINGLE-SIDE")</f>
        <v>ITBISA-PCB-5X7-COPPER-SINGLE-SIDE</v>
      </c>
      <c r="B3001" s="165">
        <f>IFERROR(__xludf.DUMMYFUNCTION("""COMPUTED_VALUE"""),46163.0)</f>
        <v>46163</v>
      </c>
      <c r="C3001" s="165" t="str">
        <f>IFERROR(__xludf.DUMMYFUNCTION("""COMPUTED_VALUE"""),"KYAI KONTONG")</f>
        <v>KYAI KONTONG</v>
      </c>
      <c r="D3001" s="94">
        <f>IFERROR(__xludf.DUMMYFUNCTION("""COMPUTED_VALUE"""),3.0)</f>
        <v>3</v>
      </c>
    </row>
    <row r="3002">
      <c r="A3002" s="87" t="str">
        <f>IFERROR(__xludf.DUMMYFUNCTION("""COMPUTED_VALUE"""),"ITBISA-PCB-5X7-COPPER-SINGLE-SIDE")</f>
        <v>ITBISA-PCB-5X7-COPPER-SINGLE-SIDE</v>
      </c>
      <c r="B3002" s="165">
        <f>IFERROR(__xludf.DUMMYFUNCTION("""COMPUTED_VALUE"""),46164.0)</f>
        <v>46164</v>
      </c>
      <c r="C3002" s="165" t="str">
        <f>IFERROR(__xludf.DUMMYFUNCTION("""COMPUTED_VALUE"""),"KYAI KONTONG")</f>
        <v>KYAI KONTONG</v>
      </c>
      <c r="D3002" s="94">
        <f>IFERROR(__xludf.DUMMYFUNCTION("""COMPUTED_VALUE"""),1.0)</f>
        <v>1</v>
      </c>
    </row>
    <row r="3003">
      <c r="A3003" s="87" t="str">
        <f>IFERROR(__xludf.DUMMYFUNCTION("""COMPUTED_VALUE"""),"ITBISA-PCB-5X7-COPPER-SINGLE-SIDE")</f>
        <v>ITBISA-PCB-5X7-COPPER-SINGLE-SIDE</v>
      </c>
      <c r="B3003" s="165">
        <f>IFERROR(__xludf.DUMMYFUNCTION("""COMPUTED_VALUE"""),46166.0)</f>
        <v>46166</v>
      </c>
      <c r="C3003" s="165" t="str">
        <f>IFERROR(__xludf.DUMMYFUNCTION("""COMPUTED_VALUE"""),"KYAI KONTONG")</f>
        <v>KYAI KONTONG</v>
      </c>
      <c r="D3003" s="94">
        <f>IFERROR(__xludf.DUMMYFUNCTION("""COMPUTED_VALUE"""),1.0)</f>
        <v>1</v>
      </c>
    </row>
    <row r="3004">
      <c r="A3004" s="87" t="str">
        <f>IFERROR(__xludf.DUMMYFUNCTION("""COMPUTED_VALUE"""),"ITBISA-PIN-HEADER-MALE-1X40PIN-L-SAMA")</f>
        <v>ITBISA-PIN-HEADER-MALE-1X40PIN-L-SAMA</v>
      </c>
      <c r="B3004" s="165">
        <f>IFERROR(__xludf.DUMMYFUNCTION("""COMPUTED_VALUE"""),46072.0)</f>
        <v>46072</v>
      </c>
      <c r="C3004" s="165" t="str">
        <f>IFERROR(__xludf.DUMMYFUNCTION("""COMPUTED_VALUE"""),"KYAI KONTONG")</f>
        <v>KYAI KONTONG</v>
      </c>
      <c r="D3004" s="94">
        <f>IFERROR(__xludf.DUMMYFUNCTION("""COMPUTED_VALUE"""),1.0)</f>
        <v>1</v>
      </c>
    </row>
    <row r="3005">
      <c r="A3005" s="87" t="str">
        <f>IFERROR(__xludf.DUMMYFUNCTION("""COMPUTED_VALUE"""),"ITBISA-PIN-HEADER-MALE-1X40PIN-L-SAMA")</f>
        <v>ITBISA-PIN-HEADER-MALE-1X40PIN-L-SAMA</v>
      </c>
      <c r="B3005" s="165">
        <f>IFERROR(__xludf.DUMMYFUNCTION("""COMPUTED_VALUE"""),46084.0)</f>
        <v>46084</v>
      </c>
      <c r="C3005" s="165" t="str">
        <f>IFERROR(__xludf.DUMMYFUNCTION("""COMPUTED_VALUE"""),"KYAI KONTONG")</f>
        <v>KYAI KONTONG</v>
      </c>
      <c r="D3005" s="94">
        <f>IFERROR(__xludf.DUMMYFUNCTION("""COMPUTED_VALUE"""),9.0)</f>
        <v>9</v>
      </c>
    </row>
    <row r="3006">
      <c r="A3006" s="87" t="str">
        <f>IFERROR(__xludf.DUMMYFUNCTION("""COMPUTED_VALUE"""),"ITBISA-PIN-HEADER-MALE-1X40PIN-LURUS")</f>
        <v>ITBISA-PIN-HEADER-MALE-1X40PIN-LURUS</v>
      </c>
      <c r="B3006" s="165">
        <f>IFERROR(__xludf.DUMMYFUNCTION("""COMPUTED_VALUE"""),46023.0)</f>
        <v>46023</v>
      </c>
      <c r="C3006" s="165" t="str">
        <f>IFERROR(__xludf.DUMMYFUNCTION("""COMPUTED_VALUE"""),"KYAI KONTONG")</f>
        <v>KYAI KONTONG</v>
      </c>
      <c r="D3006" s="94">
        <f>IFERROR(__xludf.DUMMYFUNCTION("""COMPUTED_VALUE"""),1.0)</f>
        <v>1</v>
      </c>
    </row>
    <row r="3007">
      <c r="A3007" s="87" t="str">
        <f>IFERROR(__xludf.DUMMYFUNCTION("""COMPUTED_VALUE"""),"ITBISA-PIN-HEADER-MALE-1X40PIN-LURUS")</f>
        <v>ITBISA-PIN-HEADER-MALE-1X40PIN-LURUS</v>
      </c>
      <c r="B3007" s="165">
        <f>IFERROR(__xludf.DUMMYFUNCTION("""COMPUTED_VALUE"""),46023.0)</f>
        <v>46023</v>
      </c>
      <c r="C3007" s="165" t="str">
        <f>IFERROR(__xludf.DUMMYFUNCTION("""COMPUTED_VALUE"""),"KYAI KONTONG")</f>
        <v>KYAI KONTONG</v>
      </c>
      <c r="D3007" s="94">
        <f>IFERROR(__xludf.DUMMYFUNCTION("""COMPUTED_VALUE"""),100.0)</f>
        <v>100</v>
      </c>
    </row>
    <row r="3008">
      <c r="A3008" s="87" t="str">
        <f>IFERROR(__xludf.DUMMYFUNCTION("""COMPUTED_VALUE"""),"ITBISA-PIN-HEADER-MALE-1X40PIN-LURUS")</f>
        <v>ITBISA-PIN-HEADER-MALE-1X40PIN-LURUS</v>
      </c>
      <c r="B3008" s="165">
        <f>IFERROR(__xludf.DUMMYFUNCTION("""COMPUTED_VALUE"""),46025.0)</f>
        <v>46025</v>
      </c>
      <c r="C3008" s="165" t="str">
        <f>IFERROR(__xludf.DUMMYFUNCTION("""COMPUTED_VALUE"""),"KYAI KONTONG")</f>
        <v>KYAI KONTONG</v>
      </c>
      <c r="D3008" s="94">
        <f>IFERROR(__xludf.DUMMYFUNCTION("""COMPUTED_VALUE"""),10.0)</f>
        <v>10</v>
      </c>
    </row>
    <row r="3009">
      <c r="A3009" s="87" t="str">
        <f>IFERROR(__xludf.DUMMYFUNCTION("""COMPUTED_VALUE"""),"ITBISA-PIN-HEADER-MALE-1X40PIN-LURUS")</f>
        <v>ITBISA-PIN-HEADER-MALE-1X40PIN-LURUS</v>
      </c>
      <c r="B3009" s="165">
        <f>IFERROR(__xludf.DUMMYFUNCTION("""COMPUTED_VALUE"""),46036.0)</f>
        <v>46036</v>
      </c>
      <c r="C3009" s="165" t="str">
        <f>IFERROR(__xludf.DUMMYFUNCTION("""COMPUTED_VALUE"""),"KERTASARI CIAMIS")</f>
        <v>KERTASARI CIAMIS</v>
      </c>
      <c r="D3009" s="94">
        <f>IFERROR(__xludf.DUMMYFUNCTION("""COMPUTED_VALUE"""),8.0)</f>
        <v>8</v>
      </c>
    </row>
    <row r="3010">
      <c r="A3010" s="87" t="str">
        <f>IFERROR(__xludf.DUMMYFUNCTION("""COMPUTED_VALUE"""),"ITBISA-PIN-HEADER-MALE-1X40PIN-LURUS")</f>
        <v>ITBISA-PIN-HEADER-MALE-1X40PIN-LURUS</v>
      </c>
      <c r="B3010" s="165">
        <f>IFERROR(__xludf.DUMMYFUNCTION("""COMPUTED_VALUE"""),46039.0)</f>
        <v>46039</v>
      </c>
      <c r="C3010" s="165" t="str">
        <f>IFERROR(__xludf.DUMMYFUNCTION("""COMPUTED_VALUE"""),"KERTASARI CIAMIS")</f>
        <v>KERTASARI CIAMIS</v>
      </c>
      <c r="D3010" s="94">
        <f>IFERROR(__xludf.DUMMYFUNCTION("""COMPUTED_VALUE"""),12.0)</f>
        <v>12</v>
      </c>
    </row>
    <row r="3011">
      <c r="A3011" s="87" t="str">
        <f>IFERROR(__xludf.DUMMYFUNCTION("""COMPUTED_VALUE"""),"ITBISA-PIN-HEADER-MALE-1X40PIN-LURUS")</f>
        <v>ITBISA-PIN-HEADER-MALE-1X40PIN-LURUS</v>
      </c>
      <c r="B3011" s="165">
        <f>IFERROR(__xludf.DUMMYFUNCTION("""COMPUTED_VALUE"""),46043.0)</f>
        <v>46043</v>
      </c>
      <c r="C3011" s="165" t="str">
        <f>IFERROR(__xludf.DUMMYFUNCTION("""COMPUTED_VALUE"""),"KYAI KONTONG")</f>
        <v>KYAI KONTONG</v>
      </c>
      <c r="D3011" s="94">
        <f>IFERROR(__xludf.DUMMYFUNCTION("""COMPUTED_VALUE"""),4.0)</f>
        <v>4</v>
      </c>
    </row>
    <row r="3012">
      <c r="A3012" s="87" t="str">
        <f>IFERROR(__xludf.DUMMYFUNCTION("""COMPUTED_VALUE"""),"ITBISA-PIN-HEADER-MALE-1X40PIN-LURUS")</f>
        <v>ITBISA-PIN-HEADER-MALE-1X40PIN-LURUS</v>
      </c>
      <c r="B3012" s="165">
        <f>IFERROR(__xludf.DUMMYFUNCTION("""COMPUTED_VALUE"""),46056.0)</f>
        <v>46056</v>
      </c>
      <c r="C3012" s="165" t="str">
        <f>IFERROR(__xludf.DUMMYFUNCTION("""COMPUTED_VALUE"""),"KERTASARI CIAMIS")</f>
        <v>KERTASARI CIAMIS</v>
      </c>
      <c r="D3012" s="94">
        <f>IFERROR(__xludf.DUMMYFUNCTION("""COMPUTED_VALUE"""),8.0)</f>
        <v>8</v>
      </c>
    </row>
    <row r="3013">
      <c r="A3013" s="87" t="str">
        <f>IFERROR(__xludf.DUMMYFUNCTION("""COMPUTED_VALUE"""),"ITBISA-PIN-HEADER-MALE-1X40PIN-LURUS")</f>
        <v>ITBISA-PIN-HEADER-MALE-1X40PIN-LURUS</v>
      </c>
      <c r="B3013" s="165">
        <f>IFERROR(__xludf.DUMMYFUNCTION("""COMPUTED_VALUE"""),46064.0)</f>
        <v>46064</v>
      </c>
      <c r="C3013" s="165" t="str">
        <f>IFERROR(__xludf.DUMMYFUNCTION("""COMPUTED_VALUE"""),"KYAI KONTONG")</f>
        <v>KYAI KONTONG</v>
      </c>
      <c r="D3013" s="94">
        <f>IFERROR(__xludf.DUMMYFUNCTION("""COMPUTED_VALUE"""),5.0)</f>
        <v>5</v>
      </c>
    </row>
    <row r="3014">
      <c r="A3014" s="87" t="str">
        <f>IFERROR(__xludf.DUMMYFUNCTION("""COMPUTED_VALUE"""),"ITBISA-PIN-HEADER-MALE-1X40PIN-LURUS")</f>
        <v>ITBISA-PIN-HEADER-MALE-1X40PIN-LURUS</v>
      </c>
      <c r="B3014" s="165">
        <f>IFERROR(__xludf.DUMMYFUNCTION("""COMPUTED_VALUE"""),46064.0)</f>
        <v>46064</v>
      </c>
      <c r="C3014" s="165" t="str">
        <f>IFERROR(__xludf.DUMMYFUNCTION("""COMPUTED_VALUE"""),"KYAI KONTONG")</f>
        <v>KYAI KONTONG</v>
      </c>
      <c r="D3014" s="94">
        <f>IFERROR(__xludf.DUMMYFUNCTION("""COMPUTED_VALUE"""),20.0)</f>
        <v>20</v>
      </c>
    </row>
    <row r="3015">
      <c r="A3015" s="87" t="str">
        <f>IFERROR(__xludf.DUMMYFUNCTION("""COMPUTED_VALUE"""),"ITBISA-PIN-HEADER-MALE-1X40PIN-LURUS")</f>
        <v>ITBISA-PIN-HEADER-MALE-1X40PIN-LURUS</v>
      </c>
      <c r="B3015" s="165">
        <f>IFERROR(__xludf.DUMMYFUNCTION("""COMPUTED_VALUE"""),46077.0)</f>
        <v>46077</v>
      </c>
      <c r="C3015" s="165" t="str">
        <f>IFERROR(__xludf.DUMMYFUNCTION("""COMPUTED_VALUE"""),"KERTASARI CIAMIS")</f>
        <v>KERTASARI CIAMIS</v>
      </c>
      <c r="D3015" s="94">
        <f>IFERROR(__xludf.DUMMYFUNCTION("""COMPUTED_VALUE"""),30.0)</f>
        <v>30</v>
      </c>
    </row>
    <row r="3016">
      <c r="A3016" s="87" t="str">
        <f>IFERROR(__xludf.DUMMYFUNCTION("""COMPUTED_VALUE"""),"ITBISA-PIN-HEADER-MALE-1X40PIN-LURUS")</f>
        <v>ITBISA-PIN-HEADER-MALE-1X40PIN-LURUS</v>
      </c>
      <c r="B3016" s="165">
        <f>IFERROR(__xludf.DUMMYFUNCTION("""COMPUTED_VALUE"""),46080.0)</f>
        <v>46080</v>
      </c>
      <c r="C3016" s="165" t="str">
        <f>IFERROR(__xludf.DUMMYFUNCTION("""COMPUTED_VALUE"""),"KYAI KONTONG")</f>
        <v>KYAI KONTONG</v>
      </c>
      <c r="D3016" s="94">
        <f>IFERROR(__xludf.DUMMYFUNCTION("""COMPUTED_VALUE"""),10.0)</f>
        <v>10</v>
      </c>
    </row>
    <row r="3017">
      <c r="A3017" s="87" t="str">
        <f>IFERROR(__xludf.DUMMYFUNCTION("""COMPUTED_VALUE"""),"ITBISA-PIN-HEADER-MALE-1X40PIN-LURUS")</f>
        <v>ITBISA-PIN-HEADER-MALE-1X40PIN-LURUS</v>
      </c>
      <c r="B3017" s="165">
        <f>IFERROR(__xludf.DUMMYFUNCTION("""COMPUTED_VALUE"""),46095.0)</f>
        <v>46095</v>
      </c>
      <c r="C3017" s="165" t="str">
        <f>IFERROR(__xludf.DUMMYFUNCTION("""COMPUTED_VALUE"""),"KYAI KONTONG")</f>
        <v>KYAI KONTONG</v>
      </c>
      <c r="D3017" s="94">
        <f>IFERROR(__xludf.DUMMYFUNCTION("""COMPUTED_VALUE"""),20.0)</f>
        <v>20</v>
      </c>
    </row>
    <row r="3018">
      <c r="A3018" s="87" t="str">
        <f>IFERROR(__xludf.DUMMYFUNCTION("""COMPUTED_VALUE"""),"ITBISA-PIN-HEADER-MALE-1X40PIN-LURUS")</f>
        <v>ITBISA-PIN-HEADER-MALE-1X40PIN-LURUS</v>
      </c>
      <c r="B3018" s="165">
        <f>IFERROR(__xludf.DUMMYFUNCTION("""COMPUTED_VALUE"""),46140.0)</f>
        <v>46140</v>
      </c>
      <c r="C3018" s="165" t="str">
        <f>IFERROR(__xludf.DUMMYFUNCTION("""COMPUTED_VALUE"""),"KYAI KONTONG")</f>
        <v>KYAI KONTONG</v>
      </c>
      <c r="D3018" s="94">
        <f>IFERROR(__xludf.DUMMYFUNCTION("""COMPUTED_VALUE"""),1.0)</f>
        <v>1</v>
      </c>
    </row>
    <row r="3019">
      <c r="A3019" s="87" t="str">
        <f>IFERROR(__xludf.DUMMYFUNCTION("""COMPUTED_VALUE"""),"ITBISA-PIN-HEADER-MALE-1X40PIN-LURUS")</f>
        <v>ITBISA-PIN-HEADER-MALE-1X40PIN-LURUS</v>
      </c>
      <c r="B3019" s="165">
        <f>IFERROR(__xludf.DUMMYFUNCTION("""COMPUTED_VALUE"""),46145.0)</f>
        <v>46145</v>
      </c>
      <c r="C3019" s="165" t="str">
        <f>IFERROR(__xludf.DUMMYFUNCTION("""COMPUTED_VALUE"""),"KYAI KONTONG")</f>
        <v>KYAI KONTONG</v>
      </c>
      <c r="D3019" s="94">
        <f>IFERROR(__xludf.DUMMYFUNCTION("""COMPUTED_VALUE"""),1.0)</f>
        <v>1</v>
      </c>
    </row>
    <row r="3020">
      <c r="A3020" s="87" t="str">
        <f>IFERROR(__xludf.DUMMYFUNCTION("""COMPUTED_VALUE"""),"ITBISA-PIN-HEADER-MALE-1X40PIN-LURUS")</f>
        <v>ITBISA-PIN-HEADER-MALE-1X40PIN-LURUS</v>
      </c>
      <c r="B3020" s="165">
        <f>IFERROR(__xludf.DUMMYFUNCTION("""COMPUTED_VALUE"""),46145.0)</f>
        <v>46145</v>
      </c>
      <c r="C3020" s="165" t="str">
        <f>IFERROR(__xludf.DUMMYFUNCTION("""COMPUTED_VALUE"""),"KYAI KONTONG")</f>
        <v>KYAI KONTONG</v>
      </c>
      <c r="D3020" s="94">
        <f>IFERROR(__xludf.DUMMYFUNCTION("""COMPUTED_VALUE"""),2.0)</f>
        <v>2</v>
      </c>
    </row>
    <row r="3021">
      <c r="A3021" s="87" t="str">
        <f>IFERROR(__xludf.DUMMYFUNCTION("""COMPUTED_VALUE"""),"ITBISA-PIN-HEADER-MALE-1X40PIN-LURUS")</f>
        <v>ITBISA-PIN-HEADER-MALE-1X40PIN-LURUS</v>
      </c>
      <c r="B3021" s="165">
        <f>IFERROR(__xludf.DUMMYFUNCTION("""COMPUTED_VALUE"""),46155.0)</f>
        <v>46155</v>
      </c>
      <c r="C3021" s="165" t="str">
        <f>IFERROR(__xludf.DUMMYFUNCTION("""COMPUTED_VALUE"""),"KYAI KONTONG")</f>
        <v>KYAI KONTONG</v>
      </c>
      <c r="D3021" s="94">
        <f>IFERROR(__xludf.DUMMYFUNCTION("""COMPUTED_VALUE"""),5.0)</f>
        <v>5</v>
      </c>
    </row>
    <row r="3022">
      <c r="A3022" s="87" t="str">
        <f>IFERROR(__xludf.DUMMYFUNCTION("""COMPUTED_VALUE"""),"ITBISA-PIN-HEADER-MALE-1X40PIN-LURUS")</f>
        <v>ITBISA-PIN-HEADER-MALE-1X40PIN-LURUS</v>
      </c>
      <c r="B3022" s="165">
        <f>IFERROR(__xludf.DUMMYFUNCTION("""COMPUTED_VALUE"""),46155.0)</f>
        <v>46155</v>
      </c>
      <c r="C3022" s="165" t="str">
        <f>IFERROR(__xludf.DUMMYFUNCTION("""COMPUTED_VALUE"""),"KYAI KONTONG")</f>
        <v>KYAI KONTONG</v>
      </c>
      <c r="D3022" s="94">
        <f>IFERROR(__xludf.DUMMYFUNCTION("""COMPUTED_VALUE"""),14.0)</f>
        <v>14</v>
      </c>
    </row>
    <row r="3023">
      <c r="A3023" s="87" t="str">
        <f>IFERROR(__xludf.DUMMYFUNCTION("""COMPUTED_VALUE"""),"ITBISA-PIN-HEADER-MALE-1X40PIN-LURUS")</f>
        <v>ITBISA-PIN-HEADER-MALE-1X40PIN-LURUS</v>
      </c>
      <c r="B3023" s="165">
        <f>IFERROR(__xludf.DUMMYFUNCTION("""COMPUTED_VALUE"""),46161.0)</f>
        <v>46161</v>
      </c>
      <c r="C3023" s="165" t="str">
        <f>IFERROR(__xludf.DUMMYFUNCTION("""COMPUTED_VALUE"""),"KYAI KONTONG")</f>
        <v>KYAI KONTONG</v>
      </c>
      <c r="D3023" s="94">
        <f>IFERROR(__xludf.DUMMYFUNCTION("""COMPUTED_VALUE"""),5.0)</f>
        <v>5</v>
      </c>
    </row>
    <row r="3024">
      <c r="A3024" s="87" t="str">
        <f>IFERROR(__xludf.DUMMYFUNCTION("""COMPUTED_VALUE"""),"ITBISA-PIN-HEADER-MALE-1X40PIN-LURUS")</f>
        <v>ITBISA-PIN-HEADER-MALE-1X40PIN-LURUS</v>
      </c>
      <c r="B3024" s="165">
        <f>IFERROR(__xludf.DUMMYFUNCTION("""COMPUTED_VALUE"""),46163.0)</f>
        <v>46163</v>
      </c>
      <c r="C3024" s="165" t="str">
        <f>IFERROR(__xludf.DUMMYFUNCTION("""COMPUTED_VALUE"""),"KYAI KONTONG")</f>
        <v>KYAI KONTONG</v>
      </c>
      <c r="D3024" s="94">
        <f>IFERROR(__xludf.DUMMYFUNCTION("""COMPUTED_VALUE"""),5.0)</f>
        <v>5</v>
      </c>
    </row>
    <row r="3025">
      <c r="A3025" s="87" t="str">
        <f>IFERROR(__xludf.DUMMYFUNCTION("""COMPUTED_VALUE"""),"ITBISA-PIN-HEADER-MALE-1X40PIN-LURUS")</f>
        <v>ITBISA-PIN-HEADER-MALE-1X40PIN-LURUS</v>
      </c>
      <c r="B3025" s="165">
        <f>IFERROR(__xludf.DUMMYFUNCTION("""COMPUTED_VALUE"""),46169.0)</f>
        <v>46169</v>
      </c>
      <c r="C3025" s="165" t="str">
        <f>IFERROR(__xludf.DUMMYFUNCTION("""COMPUTED_VALUE"""),"KYAI KONTONG")</f>
        <v>KYAI KONTONG</v>
      </c>
      <c r="D3025" s="94">
        <f>IFERROR(__xludf.DUMMYFUNCTION("""COMPUTED_VALUE"""),5.0)</f>
        <v>5</v>
      </c>
    </row>
    <row r="3026">
      <c r="A3026" s="87" t="str">
        <f>IFERROR(__xludf.DUMMYFUNCTION("""COMPUTED_VALUE"""),"ITBISA-PIN-HEADER-MALE-1X40PIN-LURUS")</f>
        <v>ITBISA-PIN-HEADER-MALE-1X40PIN-LURUS</v>
      </c>
      <c r="B3026" s="165">
        <f>IFERROR(__xludf.DUMMYFUNCTION("""COMPUTED_VALUE"""),46170.0)</f>
        <v>46170</v>
      </c>
      <c r="C3026" s="165" t="str">
        <f>IFERROR(__xludf.DUMMYFUNCTION("""COMPUTED_VALUE"""),"KYAI KONTONG")</f>
        <v>KYAI KONTONG</v>
      </c>
      <c r="D3026" s="94">
        <f>IFERROR(__xludf.DUMMYFUNCTION("""COMPUTED_VALUE"""),5.0)</f>
        <v>5</v>
      </c>
    </row>
    <row r="3027">
      <c r="A3027" s="87" t="str">
        <f>IFERROR(__xludf.DUMMYFUNCTION("""COMPUTED_VALUE"""),"ITBISA-PIN-HEADER-MALE-1X40PIN-LURUS")</f>
        <v>ITBISA-PIN-HEADER-MALE-1X40PIN-LURUS</v>
      </c>
      <c r="B3027" s="165">
        <f>IFERROR(__xludf.DUMMYFUNCTION("""COMPUTED_VALUE"""),46170.0)</f>
        <v>46170</v>
      </c>
      <c r="C3027" s="165" t="str">
        <f>IFERROR(__xludf.DUMMYFUNCTION("""COMPUTED_VALUE"""),"KYAI KONTONG")</f>
        <v>KYAI KONTONG</v>
      </c>
      <c r="D3027" s="94">
        <f>IFERROR(__xludf.DUMMYFUNCTION("""COMPUTED_VALUE"""),10.0)</f>
        <v>10</v>
      </c>
    </row>
    <row r="3028">
      <c r="A3028" s="87" t="str">
        <f>IFERROR(__xludf.DUMMYFUNCTION("""COMPUTED_VALUE"""),"ITBISA-PIN-HEADER-MALE-1X40PIN-LURUS")</f>
        <v>ITBISA-PIN-HEADER-MALE-1X40PIN-LURUS</v>
      </c>
      <c r="B3028" s="165">
        <f>IFERROR(__xludf.DUMMYFUNCTION("""COMPUTED_VALUE"""),46172.0)</f>
        <v>46172</v>
      </c>
      <c r="C3028" s="165" t="str">
        <f>IFERROR(__xludf.DUMMYFUNCTION("""COMPUTED_VALUE"""),"KYAI KONTONG")</f>
        <v>KYAI KONTONG</v>
      </c>
      <c r="D3028" s="94">
        <f>IFERROR(__xludf.DUMMYFUNCTION("""COMPUTED_VALUE"""),10.0)</f>
        <v>10</v>
      </c>
    </row>
    <row r="3029">
      <c r="A3029" s="87" t="str">
        <f>IFERROR(__xludf.DUMMYFUNCTION("""COMPUTED_VALUE"""),"ITBISA-PIN-HEADER-MALE-1X40PIN-LURUS")</f>
        <v>ITBISA-PIN-HEADER-MALE-1X40PIN-LURUS</v>
      </c>
      <c r="B3029" s="165">
        <f>IFERROR(__xludf.DUMMYFUNCTION("""COMPUTED_VALUE"""),46181.0)</f>
        <v>46181</v>
      </c>
      <c r="C3029" s="165" t="str">
        <f>IFERROR(__xludf.DUMMYFUNCTION("""COMPUTED_VALUE"""),"KYAI KONTONG")</f>
        <v>KYAI KONTONG</v>
      </c>
      <c r="D3029" s="94">
        <f>IFERROR(__xludf.DUMMYFUNCTION("""COMPUTED_VALUE"""),1.0)</f>
        <v>1</v>
      </c>
    </row>
    <row r="3030">
      <c r="A3030" s="87" t="str">
        <f>IFERROR(__xludf.DUMMYFUNCTION("""COMPUTED_VALUE"""),"ITBISA-PIN-HEADER-MALE-1X40PIN-LURUS")</f>
        <v>ITBISA-PIN-HEADER-MALE-1X40PIN-LURUS</v>
      </c>
      <c r="B3030" s="165">
        <f>IFERROR(__xludf.DUMMYFUNCTION("""COMPUTED_VALUE"""),46185.0)</f>
        <v>46185</v>
      </c>
      <c r="C3030" s="165" t="str">
        <f>IFERROR(__xludf.DUMMYFUNCTION("""COMPUTED_VALUE"""),"KYAI KONTONG")</f>
        <v>KYAI KONTONG</v>
      </c>
      <c r="D3030" s="94">
        <f>IFERROR(__xludf.DUMMYFUNCTION("""COMPUTED_VALUE"""),20.0)</f>
        <v>20</v>
      </c>
    </row>
    <row r="3031">
      <c r="A3031" s="87" t="str">
        <f>IFERROR(__xludf.DUMMYFUNCTION("""COMPUTED_VALUE"""),"ITBISA-PIN-HEADER-MALE-1X40PIN-LURUS")</f>
        <v>ITBISA-PIN-HEADER-MALE-1X40PIN-LURUS</v>
      </c>
      <c r="B3031" s="165">
        <f>IFERROR(__xludf.DUMMYFUNCTION("""COMPUTED_VALUE"""),46187.0)</f>
        <v>46187</v>
      </c>
      <c r="C3031" s="165" t="str">
        <f>IFERROR(__xludf.DUMMYFUNCTION("""COMPUTED_VALUE"""),"KYAI KONTONG")</f>
        <v>KYAI KONTONG</v>
      </c>
      <c r="D3031" s="94">
        <f>IFERROR(__xludf.DUMMYFUNCTION("""COMPUTED_VALUE"""),10.0)</f>
        <v>10</v>
      </c>
    </row>
    <row r="3032">
      <c r="A3032" s="87" t="str">
        <f>IFERROR(__xludf.DUMMYFUNCTION("""COMPUTED_VALUE"""),"ITBISA-PIN-HEADER-MALE-1X40PIN-LURUS")</f>
        <v>ITBISA-PIN-HEADER-MALE-1X40PIN-LURUS</v>
      </c>
      <c r="B3032" s="165">
        <f>IFERROR(__xludf.DUMMYFUNCTION("""COMPUTED_VALUE"""),46192.0)</f>
        <v>46192</v>
      </c>
      <c r="C3032" s="165" t="str">
        <f>IFERROR(__xludf.DUMMYFUNCTION("""COMPUTED_VALUE"""),"KYAI KONTONG")</f>
        <v>KYAI KONTONG</v>
      </c>
      <c r="D3032" s="94">
        <f>IFERROR(__xludf.DUMMYFUNCTION("""COMPUTED_VALUE"""),5.0)</f>
        <v>5</v>
      </c>
    </row>
    <row r="3033">
      <c r="A3033" s="87" t="str">
        <f>IFERROR(__xludf.DUMMYFUNCTION("""COMPUTED_VALUE"""),"ITBISA-PIN-HEADER-MALE-1X40PIN-LURUS")</f>
        <v>ITBISA-PIN-HEADER-MALE-1X40PIN-LURUS</v>
      </c>
      <c r="B3033" s="165">
        <f>IFERROR(__xludf.DUMMYFUNCTION("""COMPUTED_VALUE"""),46195.0)</f>
        <v>46195</v>
      </c>
      <c r="C3033" s="165" t="str">
        <f>IFERROR(__xludf.DUMMYFUNCTION("""COMPUTED_VALUE"""),"KYAI KONTONG")</f>
        <v>KYAI KONTONG</v>
      </c>
      <c r="D3033" s="94">
        <f>IFERROR(__xludf.DUMMYFUNCTION("""COMPUTED_VALUE"""),5.0)</f>
        <v>5</v>
      </c>
    </row>
    <row r="3034">
      <c r="A3034" s="87" t="str">
        <f>IFERROR(__xludf.DUMMYFUNCTION("""COMPUTED_VALUE"""),"ITBISA-PIN-HEADER-MALE-1X40PIN-LURUS")</f>
        <v>ITBISA-PIN-HEADER-MALE-1X40PIN-LURUS</v>
      </c>
      <c r="B3034" s="165">
        <f>IFERROR(__xludf.DUMMYFUNCTION("""COMPUTED_VALUE"""),46195.0)</f>
        <v>46195</v>
      </c>
      <c r="C3034" s="165" t="str">
        <f>IFERROR(__xludf.DUMMYFUNCTION("""COMPUTED_VALUE"""),"KYAI KONTONG")</f>
        <v>KYAI KONTONG</v>
      </c>
      <c r="D3034" s="94">
        <f>IFERROR(__xludf.DUMMYFUNCTION("""COMPUTED_VALUE"""),5.0)</f>
        <v>5</v>
      </c>
    </row>
    <row r="3035">
      <c r="A3035" s="87" t="str">
        <f>IFERROR(__xludf.DUMMYFUNCTION("""COMPUTED_VALUE"""),"ITBISA-PIN-HEADER-MALE-1X40PIN-LURUS")</f>
        <v>ITBISA-PIN-HEADER-MALE-1X40PIN-LURUS</v>
      </c>
      <c r="B3035" s="165">
        <f>IFERROR(__xludf.DUMMYFUNCTION("""COMPUTED_VALUE"""),46196.0)</f>
        <v>46196</v>
      </c>
      <c r="C3035" s="165" t="str">
        <f>IFERROR(__xludf.DUMMYFUNCTION("""COMPUTED_VALUE"""),"KYAI KONTONG")</f>
        <v>KYAI KONTONG</v>
      </c>
      <c r="D3035" s="94">
        <f>IFERROR(__xludf.DUMMYFUNCTION("""COMPUTED_VALUE"""),10.0)</f>
        <v>10</v>
      </c>
    </row>
    <row r="3036">
      <c r="A3036" s="87" t="str">
        <f>IFERROR(__xludf.DUMMYFUNCTION("""COMPUTED_VALUE"""),"ITBISA-PNP-2N3906-TO92")</f>
        <v>ITBISA-PNP-2N3906-TO92</v>
      </c>
      <c r="B3036" s="165">
        <f>IFERROR(__xludf.DUMMYFUNCTION("""COMPUTED_VALUE"""),46035.0)</f>
        <v>46035</v>
      </c>
      <c r="C3036" s="165" t="str">
        <f>IFERROR(__xludf.DUMMYFUNCTION("""COMPUTED_VALUE"""),"KYAI KONTONG")</f>
        <v>KYAI KONTONG</v>
      </c>
      <c r="D3036" s="94">
        <f>IFERROR(__xludf.DUMMYFUNCTION("""COMPUTED_VALUE"""),2.0)</f>
        <v>2</v>
      </c>
    </row>
    <row r="3037">
      <c r="A3037" s="87" t="str">
        <f>IFERROR(__xludf.DUMMYFUNCTION("""COMPUTED_VALUE"""),"ITBISA-PNP-2N3906-TO92")</f>
        <v>ITBISA-PNP-2N3906-TO92</v>
      </c>
      <c r="B3037" s="165">
        <f>IFERROR(__xludf.DUMMYFUNCTION("""COMPUTED_VALUE"""),46140.0)</f>
        <v>46140</v>
      </c>
      <c r="C3037" s="165" t="str">
        <f>IFERROR(__xludf.DUMMYFUNCTION("""COMPUTED_VALUE"""),"KYAI KONTONG")</f>
        <v>KYAI KONTONG</v>
      </c>
      <c r="D3037" s="94">
        <f>IFERROR(__xludf.DUMMYFUNCTION("""COMPUTED_VALUE"""),100.0)</f>
        <v>100</v>
      </c>
    </row>
    <row r="3038">
      <c r="A3038" s="87" t="str">
        <f>IFERROR(__xludf.DUMMYFUNCTION("""COMPUTED_VALUE"""),"ITBISA-PNP-2N3906-TO92")</f>
        <v>ITBISA-PNP-2N3906-TO92</v>
      </c>
      <c r="B3038" s="165">
        <f>IFERROR(__xludf.DUMMYFUNCTION("""COMPUTED_VALUE"""),46179.0)</f>
        <v>46179</v>
      </c>
      <c r="C3038" s="165" t="str">
        <f>IFERROR(__xludf.DUMMYFUNCTION("""COMPUTED_VALUE"""),"KYAI KONTONG")</f>
        <v>KYAI KONTONG</v>
      </c>
      <c r="D3038" s="94">
        <f>IFERROR(__xludf.DUMMYFUNCTION("""COMPUTED_VALUE"""),5.0)</f>
        <v>5</v>
      </c>
    </row>
    <row r="3039">
      <c r="A3039" s="87" t="str">
        <f>IFERROR(__xludf.DUMMYFUNCTION("""COMPUTED_VALUE"""),"ITBISA-PNP-2N3906-TO92")</f>
        <v>ITBISA-PNP-2N3906-TO92</v>
      </c>
      <c r="B3039" s="165">
        <f>IFERROR(__xludf.DUMMYFUNCTION("""COMPUTED_VALUE"""),46193.0)</f>
        <v>46193</v>
      </c>
      <c r="C3039" s="165" t="str">
        <f>IFERROR(__xludf.DUMMYFUNCTION("""COMPUTED_VALUE"""),"KYAI KONTONG")</f>
        <v>KYAI KONTONG</v>
      </c>
      <c r="D3039" s="94">
        <f>IFERROR(__xludf.DUMMYFUNCTION("""COMPUTED_VALUE"""),5.0)</f>
        <v>5</v>
      </c>
    </row>
    <row r="3040">
      <c r="A3040" s="87" t="str">
        <f>IFERROR(__xludf.DUMMYFUNCTION("""COMPUTED_VALUE"""),"ITBISA-PNP-2N5401-TO92")</f>
        <v>ITBISA-PNP-2N5401-TO92</v>
      </c>
      <c r="B3040" s="165">
        <f>IFERROR(__xludf.DUMMYFUNCTION("""COMPUTED_VALUE"""),46048.0)</f>
        <v>46048</v>
      </c>
      <c r="C3040" s="165" t="str">
        <f>IFERROR(__xludf.DUMMYFUNCTION("""COMPUTED_VALUE"""),"KYAI KONTONG")</f>
        <v>KYAI KONTONG</v>
      </c>
      <c r="D3040" s="94">
        <f>IFERROR(__xludf.DUMMYFUNCTION("""COMPUTED_VALUE"""),20.0)</f>
        <v>20</v>
      </c>
    </row>
    <row r="3041">
      <c r="A3041" s="87" t="str">
        <f>IFERROR(__xludf.DUMMYFUNCTION("""COMPUTED_VALUE"""),"ITBISA-PNP-2N5401-TO92")</f>
        <v>ITBISA-PNP-2N5401-TO92</v>
      </c>
      <c r="B3041" s="165">
        <f>IFERROR(__xludf.DUMMYFUNCTION("""COMPUTED_VALUE"""),46193.0)</f>
        <v>46193</v>
      </c>
      <c r="C3041" s="165" t="str">
        <f>IFERROR(__xludf.DUMMYFUNCTION("""COMPUTED_VALUE"""),"KYAI KONTONG")</f>
        <v>KYAI KONTONG</v>
      </c>
      <c r="D3041" s="94">
        <f>IFERROR(__xludf.DUMMYFUNCTION("""COMPUTED_VALUE"""),5.0)</f>
        <v>5</v>
      </c>
    </row>
    <row r="3042">
      <c r="A3042" s="87" t="str">
        <f>IFERROR(__xludf.DUMMYFUNCTION("""COMPUTED_VALUE"""),"ITBISA-PNP-A1015-TO92")</f>
        <v>ITBISA-PNP-A1015-TO92</v>
      </c>
      <c r="B3042" s="165">
        <f>IFERROR(__xludf.DUMMYFUNCTION("""COMPUTED_VALUE"""),46193.0)</f>
        <v>46193</v>
      </c>
      <c r="C3042" s="165" t="str">
        <f>IFERROR(__xludf.DUMMYFUNCTION("""COMPUTED_VALUE"""),"KYAI KONTONG")</f>
        <v>KYAI KONTONG</v>
      </c>
      <c r="D3042" s="94">
        <f>IFERROR(__xludf.DUMMYFUNCTION("""COMPUTED_VALUE"""),5.0)</f>
        <v>5</v>
      </c>
    </row>
    <row r="3043">
      <c r="A3043" s="87" t="str">
        <f>IFERROR(__xludf.DUMMYFUNCTION("""COMPUTED_VALUE"""),"ITBISA-PNP-BC557-TO92")</f>
        <v>ITBISA-PNP-BC557-TO92</v>
      </c>
      <c r="B3043" s="165">
        <f>IFERROR(__xludf.DUMMYFUNCTION("""COMPUTED_VALUE"""),46073.0)</f>
        <v>46073</v>
      </c>
      <c r="C3043" s="165" t="str">
        <f>IFERROR(__xludf.DUMMYFUNCTION("""COMPUTED_VALUE"""),"KERTASARI CIAMIS")</f>
        <v>KERTASARI CIAMIS</v>
      </c>
      <c r="D3043" s="94">
        <f>IFERROR(__xludf.DUMMYFUNCTION("""COMPUTED_VALUE"""),10.0)</f>
        <v>10</v>
      </c>
    </row>
    <row r="3044">
      <c r="A3044" s="87" t="str">
        <f>IFERROR(__xludf.DUMMYFUNCTION("""COMPUTED_VALUE"""),"ITBISA-PNP-BC557-TO92")</f>
        <v>ITBISA-PNP-BC557-TO92</v>
      </c>
      <c r="B3044" s="165">
        <f>IFERROR(__xludf.DUMMYFUNCTION("""COMPUTED_VALUE"""),46169.0)</f>
        <v>46169</v>
      </c>
      <c r="C3044" s="165" t="str">
        <f>IFERROR(__xludf.DUMMYFUNCTION("""COMPUTED_VALUE"""),"KYAI KONTONG")</f>
        <v>KYAI KONTONG</v>
      </c>
      <c r="D3044" s="94">
        <f>IFERROR(__xludf.DUMMYFUNCTION("""COMPUTED_VALUE"""),5.0)</f>
        <v>5</v>
      </c>
    </row>
    <row r="3045">
      <c r="A3045" s="87" t="str">
        <f>IFERROR(__xludf.DUMMYFUNCTION("""COMPUTED_VALUE"""),"ITBISA-PNP-BC557-TO92")</f>
        <v>ITBISA-PNP-BC557-TO92</v>
      </c>
      <c r="B3045" s="165">
        <f>IFERROR(__xludf.DUMMYFUNCTION("""COMPUTED_VALUE"""),46193.0)</f>
        <v>46193</v>
      </c>
      <c r="C3045" s="165" t="str">
        <f>IFERROR(__xludf.DUMMYFUNCTION("""COMPUTED_VALUE"""),"KYAI KONTONG")</f>
        <v>KYAI KONTONG</v>
      </c>
      <c r="D3045" s="94">
        <f>IFERROR(__xludf.DUMMYFUNCTION("""COMPUTED_VALUE"""),5.0)</f>
        <v>5</v>
      </c>
    </row>
    <row r="3046">
      <c r="A3046" s="87" t="str">
        <f>IFERROR(__xludf.DUMMYFUNCTION("""COMPUTED_VALUE"""),"ITBISA-PNP-BC558-TO92")</f>
        <v>ITBISA-PNP-BC558-TO92</v>
      </c>
      <c r="B3046" s="165">
        <f>IFERROR(__xludf.DUMMYFUNCTION("""COMPUTED_VALUE"""),46082.0)</f>
        <v>46082</v>
      </c>
      <c r="C3046" s="165" t="str">
        <f>IFERROR(__xludf.DUMMYFUNCTION("""COMPUTED_VALUE"""),"KYAI KONTONG")</f>
        <v>KYAI KONTONG</v>
      </c>
      <c r="D3046" s="94">
        <f>IFERROR(__xludf.DUMMYFUNCTION("""COMPUTED_VALUE"""),2.0)</f>
        <v>2</v>
      </c>
    </row>
    <row r="3047">
      <c r="A3047" s="87" t="str">
        <f>IFERROR(__xludf.DUMMYFUNCTION("""COMPUTED_VALUE"""),"ITBISA-PNP-BC558-TO92")</f>
        <v>ITBISA-PNP-BC558-TO92</v>
      </c>
      <c r="B3047" s="165">
        <f>IFERROR(__xludf.DUMMYFUNCTION("""COMPUTED_VALUE"""),46193.0)</f>
        <v>46193</v>
      </c>
      <c r="C3047" s="165" t="str">
        <f>IFERROR(__xludf.DUMMYFUNCTION("""COMPUTED_VALUE"""),"KYAI KONTONG")</f>
        <v>KYAI KONTONG</v>
      </c>
      <c r="D3047" s="94">
        <f>IFERROR(__xludf.DUMMYFUNCTION("""COMPUTED_VALUE"""),5.0)</f>
        <v>5</v>
      </c>
    </row>
    <row r="3048">
      <c r="A3048" s="87" t="str">
        <f>IFERROR(__xludf.DUMMYFUNCTION("""COMPUTED_VALUE"""),"ITBISA-PNP-S8550-TO92")</f>
        <v>ITBISA-PNP-S8550-TO92</v>
      </c>
      <c r="B3048" s="165">
        <f>IFERROR(__xludf.DUMMYFUNCTION("""COMPUTED_VALUE"""),46193.0)</f>
        <v>46193</v>
      </c>
      <c r="C3048" s="165" t="str">
        <f>IFERROR(__xludf.DUMMYFUNCTION("""COMPUTED_VALUE"""),"KYAI KONTONG")</f>
        <v>KYAI KONTONG</v>
      </c>
      <c r="D3048" s="94">
        <f>IFERROR(__xludf.DUMMYFUNCTION("""COMPUTED_VALUE"""),5.0)</f>
        <v>5</v>
      </c>
    </row>
    <row r="3049">
      <c r="A3049" s="87" t="str">
        <f>IFERROR(__xludf.DUMMYFUNCTION("""COMPUTED_VALUE"""),"ITBISA-PNP-S9012-TO92")</f>
        <v>ITBISA-PNP-S9012-TO92</v>
      </c>
      <c r="B3049" s="165">
        <f>IFERROR(__xludf.DUMMYFUNCTION("""COMPUTED_VALUE"""),46125.0)</f>
        <v>46125</v>
      </c>
      <c r="C3049" s="165" t="str">
        <f>IFERROR(__xludf.DUMMYFUNCTION("""COMPUTED_VALUE"""),"KYAI KONTONG")</f>
        <v>KYAI KONTONG</v>
      </c>
      <c r="D3049" s="94">
        <f>IFERROR(__xludf.DUMMYFUNCTION("""COMPUTED_VALUE"""),5.0)</f>
        <v>5</v>
      </c>
    </row>
    <row r="3050">
      <c r="A3050" s="87" t="str">
        <f>IFERROR(__xludf.DUMMYFUNCTION("""COMPUTED_VALUE"""),"ITBISA-PNP-S9012-TO92")</f>
        <v>ITBISA-PNP-S9012-TO92</v>
      </c>
      <c r="B3050" s="165">
        <f>IFERROR(__xludf.DUMMYFUNCTION("""COMPUTED_VALUE"""),46193.0)</f>
        <v>46193</v>
      </c>
      <c r="C3050" s="165" t="str">
        <f>IFERROR(__xludf.DUMMYFUNCTION("""COMPUTED_VALUE"""),"KYAI KONTONG")</f>
        <v>KYAI KONTONG</v>
      </c>
      <c r="D3050" s="94">
        <f>IFERROR(__xludf.DUMMYFUNCTION("""COMPUTED_VALUE"""),5.0)</f>
        <v>5</v>
      </c>
    </row>
    <row r="3051">
      <c r="A3051" s="87" t="str">
        <f>IFERROR(__xludf.DUMMYFUNCTION("""COMPUTED_VALUE"""),"ITBISA-RAPID-BOHLAM-E10-2.5V-SCREW")</f>
        <v>ITBISA-RAPID-BOHLAM-E10-2.5V-SCREW</v>
      </c>
      <c r="B3051" s="165">
        <f>IFERROR(__xludf.DUMMYFUNCTION("""COMPUTED_VALUE"""),46023.0)</f>
        <v>46023</v>
      </c>
      <c r="C3051" s="165" t="str">
        <f>IFERROR(__xludf.DUMMYFUNCTION("""COMPUTED_VALUE"""),"KYAI KONTONG")</f>
        <v>KYAI KONTONG</v>
      </c>
      <c r="D3051" s="94">
        <f>IFERROR(__xludf.DUMMYFUNCTION("""COMPUTED_VALUE"""),1.0)</f>
        <v>1</v>
      </c>
    </row>
    <row r="3052">
      <c r="A3052" s="87" t="str">
        <f>IFERROR(__xludf.DUMMYFUNCTION("""COMPUTED_VALUE"""),"ITBISA-RAPID-BOHLAM-E10-2.5V-SCREW")</f>
        <v>ITBISA-RAPID-BOHLAM-E10-2.5V-SCREW</v>
      </c>
      <c r="B3052" s="165">
        <f>IFERROR(__xludf.DUMMYFUNCTION("""COMPUTED_VALUE"""),46024.0)</f>
        <v>46024</v>
      </c>
      <c r="C3052" s="165" t="str">
        <f>IFERROR(__xludf.DUMMYFUNCTION("""COMPUTED_VALUE"""),"KYAI KONTONG")</f>
        <v>KYAI KONTONG</v>
      </c>
      <c r="D3052" s="94">
        <f>IFERROR(__xludf.DUMMYFUNCTION("""COMPUTED_VALUE"""),3.0)</f>
        <v>3</v>
      </c>
    </row>
    <row r="3053">
      <c r="A3053" s="87" t="str">
        <f>IFERROR(__xludf.DUMMYFUNCTION("""COMPUTED_VALUE"""),"ITBISA-RAPID-BOHLAM-E10-2.5V-SCREW")</f>
        <v>ITBISA-RAPID-BOHLAM-E10-2.5V-SCREW</v>
      </c>
      <c r="B3053" s="165">
        <f>IFERROR(__xludf.DUMMYFUNCTION("""COMPUTED_VALUE"""),46028.0)</f>
        <v>46028</v>
      </c>
      <c r="C3053" s="165" t="str">
        <f>IFERROR(__xludf.DUMMYFUNCTION("""COMPUTED_VALUE"""),"KERTASARI CIAMIS")</f>
        <v>KERTASARI CIAMIS</v>
      </c>
      <c r="D3053" s="94">
        <f>IFERROR(__xludf.DUMMYFUNCTION("""COMPUTED_VALUE"""),3.0)</f>
        <v>3</v>
      </c>
    </row>
    <row r="3054">
      <c r="A3054" s="87" t="str">
        <f>IFERROR(__xludf.DUMMYFUNCTION("""COMPUTED_VALUE"""),"ITBISA-RAPID-BOHLAM-E10-2.5V-SCREW")</f>
        <v>ITBISA-RAPID-BOHLAM-E10-2.5V-SCREW</v>
      </c>
      <c r="B3054" s="165">
        <f>IFERROR(__xludf.DUMMYFUNCTION("""COMPUTED_VALUE"""),46028.0)</f>
        <v>46028</v>
      </c>
      <c r="C3054" s="165" t="str">
        <f>IFERROR(__xludf.DUMMYFUNCTION("""COMPUTED_VALUE"""),"KERTASARI CIAMIS")</f>
        <v>KERTASARI CIAMIS</v>
      </c>
      <c r="D3054" s="94">
        <f>IFERROR(__xludf.DUMMYFUNCTION("""COMPUTED_VALUE"""),20.0)</f>
        <v>20</v>
      </c>
    </row>
    <row r="3055">
      <c r="A3055" s="87" t="str">
        <f>IFERROR(__xludf.DUMMYFUNCTION("""COMPUTED_VALUE"""),"ITBISA-RAPID-BOHLAM-E10-2.5V-SCREW")</f>
        <v>ITBISA-RAPID-BOHLAM-E10-2.5V-SCREW</v>
      </c>
      <c r="B3055" s="165">
        <f>IFERROR(__xludf.DUMMYFUNCTION("""COMPUTED_VALUE"""),46030.0)</f>
        <v>46030</v>
      </c>
      <c r="C3055" s="165" t="str">
        <f>IFERROR(__xludf.DUMMYFUNCTION("""COMPUTED_VALUE"""),"KYAI KONTONG")</f>
        <v>KYAI KONTONG</v>
      </c>
      <c r="D3055" s="94">
        <f>IFERROR(__xludf.DUMMYFUNCTION("""COMPUTED_VALUE"""),60.0)</f>
        <v>60</v>
      </c>
    </row>
    <row r="3056">
      <c r="A3056" s="87" t="str">
        <f>IFERROR(__xludf.DUMMYFUNCTION("""COMPUTED_VALUE"""),"ITBISA-RAPID-BOHLAM-E10-2.5V-SCREW")</f>
        <v>ITBISA-RAPID-BOHLAM-E10-2.5V-SCREW</v>
      </c>
      <c r="B3056" s="165">
        <f>IFERROR(__xludf.DUMMYFUNCTION("""COMPUTED_VALUE"""),46031.0)</f>
        <v>46031</v>
      </c>
      <c r="C3056" s="165" t="str">
        <f>IFERROR(__xludf.DUMMYFUNCTION("""COMPUTED_VALUE"""),"KERTASARI CIAMIS")</f>
        <v>KERTASARI CIAMIS</v>
      </c>
      <c r="D3056" s="94">
        <f>IFERROR(__xludf.DUMMYFUNCTION("""COMPUTED_VALUE"""),1.0)</f>
        <v>1</v>
      </c>
    </row>
    <row r="3057">
      <c r="A3057" s="87" t="str">
        <f>IFERROR(__xludf.DUMMYFUNCTION("""COMPUTED_VALUE"""),"ITBISA-RAPID-BOHLAM-E10-2.5V-SCREW")</f>
        <v>ITBISA-RAPID-BOHLAM-E10-2.5V-SCREW</v>
      </c>
      <c r="B3057" s="165">
        <f>IFERROR(__xludf.DUMMYFUNCTION("""COMPUTED_VALUE"""),46039.0)</f>
        <v>46039</v>
      </c>
      <c r="C3057" s="165" t="str">
        <f>IFERROR(__xludf.DUMMYFUNCTION("""COMPUTED_VALUE"""),"KERTASARI CIAMIS")</f>
        <v>KERTASARI CIAMIS</v>
      </c>
      <c r="D3057" s="94">
        <f>IFERROR(__xludf.DUMMYFUNCTION("""COMPUTED_VALUE"""),10.0)</f>
        <v>10</v>
      </c>
    </row>
    <row r="3058">
      <c r="A3058" s="87" t="str">
        <f>IFERROR(__xludf.DUMMYFUNCTION("""COMPUTED_VALUE"""),"ITBISA-RAPID-BOHLAM-E10-2.5V-SCREW")</f>
        <v>ITBISA-RAPID-BOHLAM-E10-2.5V-SCREW</v>
      </c>
      <c r="B3058" s="165">
        <f>IFERROR(__xludf.DUMMYFUNCTION("""COMPUTED_VALUE"""),46044.0)</f>
        <v>46044</v>
      </c>
      <c r="C3058" s="165" t="str">
        <f>IFERROR(__xludf.DUMMYFUNCTION("""COMPUTED_VALUE"""),"KERTASARI CIAMIS")</f>
        <v>KERTASARI CIAMIS</v>
      </c>
      <c r="D3058" s="94">
        <f>IFERROR(__xludf.DUMMYFUNCTION("""COMPUTED_VALUE"""),10.0)</f>
        <v>10</v>
      </c>
    </row>
    <row r="3059">
      <c r="A3059" s="87" t="str">
        <f>IFERROR(__xludf.DUMMYFUNCTION("""COMPUTED_VALUE"""),"ITBISA-RAPID-BOHLAM-E10-2.5V-SCREW")</f>
        <v>ITBISA-RAPID-BOHLAM-E10-2.5V-SCREW</v>
      </c>
      <c r="B3059" s="165">
        <f>IFERROR(__xludf.DUMMYFUNCTION("""COMPUTED_VALUE"""),46049.0)</f>
        <v>46049</v>
      </c>
      <c r="C3059" s="165" t="str">
        <f>IFERROR(__xludf.DUMMYFUNCTION("""COMPUTED_VALUE"""),"KERTASARI CIAMIS")</f>
        <v>KERTASARI CIAMIS</v>
      </c>
      <c r="D3059" s="94">
        <f>IFERROR(__xludf.DUMMYFUNCTION("""COMPUTED_VALUE"""),10.0)</f>
        <v>10</v>
      </c>
    </row>
    <row r="3060">
      <c r="A3060" s="87" t="str">
        <f>IFERROR(__xludf.DUMMYFUNCTION("""COMPUTED_VALUE"""),"ITBISA-RAPID-BOHLAM-E10-2.5V-SCREW")</f>
        <v>ITBISA-RAPID-BOHLAM-E10-2.5V-SCREW</v>
      </c>
      <c r="B3060" s="165">
        <f>IFERROR(__xludf.DUMMYFUNCTION("""COMPUTED_VALUE"""),46049.0)</f>
        <v>46049</v>
      </c>
      <c r="C3060" s="165" t="str">
        <f>IFERROR(__xludf.DUMMYFUNCTION("""COMPUTED_VALUE"""),"KYAI KONTONG")</f>
        <v>KYAI KONTONG</v>
      </c>
      <c r="D3060" s="94">
        <f>IFERROR(__xludf.DUMMYFUNCTION("""COMPUTED_VALUE"""),20.0)</f>
        <v>20</v>
      </c>
    </row>
    <row r="3061">
      <c r="A3061" s="87" t="str">
        <f>IFERROR(__xludf.DUMMYFUNCTION("""COMPUTED_VALUE"""),"ITBISA-RAPID-BOHLAM-E10-2.5V-SCREW")</f>
        <v>ITBISA-RAPID-BOHLAM-E10-2.5V-SCREW</v>
      </c>
      <c r="B3061" s="165">
        <f>IFERROR(__xludf.DUMMYFUNCTION("""COMPUTED_VALUE"""),46053.0)</f>
        <v>46053</v>
      </c>
      <c r="C3061" s="165" t="str">
        <f>IFERROR(__xludf.DUMMYFUNCTION("""COMPUTED_VALUE"""),"KERTASARI CIAMIS")</f>
        <v>KERTASARI CIAMIS</v>
      </c>
      <c r="D3061" s="94">
        <f>IFERROR(__xludf.DUMMYFUNCTION("""COMPUTED_VALUE"""),12.0)</f>
        <v>12</v>
      </c>
    </row>
    <row r="3062">
      <c r="A3062" s="87" t="str">
        <f>IFERROR(__xludf.DUMMYFUNCTION("""COMPUTED_VALUE"""),"ITBISA-RAPID-BOHLAM-E10-2.5V-SCREW")</f>
        <v>ITBISA-RAPID-BOHLAM-E10-2.5V-SCREW</v>
      </c>
      <c r="B3062" s="165">
        <f>IFERROR(__xludf.DUMMYFUNCTION("""COMPUTED_VALUE"""),46061.0)</f>
        <v>46061</v>
      </c>
      <c r="C3062" s="165" t="str">
        <f>IFERROR(__xludf.DUMMYFUNCTION("""COMPUTED_VALUE"""),"KERTASARI CIAMIS")</f>
        <v>KERTASARI CIAMIS</v>
      </c>
      <c r="D3062" s="94">
        <f>IFERROR(__xludf.DUMMYFUNCTION("""COMPUTED_VALUE"""),10.0)</f>
        <v>10</v>
      </c>
    </row>
    <row r="3063">
      <c r="A3063" s="87" t="str">
        <f>IFERROR(__xludf.DUMMYFUNCTION("""COMPUTED_VALUE"""),"ITBISA-RAPID-BOHLAM-E10-2.5V-SCREW")</f>
        <v>ITBISA-RAPID-BOHLAM-E10-2.5V-SCREW</v>
      </c>
      <c r="B3063" s="165">
        <f>IFERROR(__xludf.DUMMYFUNCTION("""COMPUTED_VALUE"""),46085.0)</f>
        <v>46085</v>
      </c>
      <c r="C3063" s="165" t="str">
        <f>IFERROR(__xludf.DUMMYFUNCTION("""COMPUTED_VALUE"""),"KYAI KONTONG")</f>
        <v>KYAI KONTONG</v>
      </c>
      <c r="D3063" s="94">
        <f>IFERROR(__xludf.DUMMYFUNCTION("""COMPUTED_VALUE"""),10.0)</f>
        <v>10</v>
      </c>
    </row>
    <row r="3064">
      <c r="A3064" s="87" t="str">
        <f>IFERROR(__xludf.DUMMYFUNCTION("""COMPUTED_VALUE"""),"ITBISA-RAPID-BOHLAM-E10-2.5V-SCREW")</f>
        <v>ITBISA-RAPID-BOHLAM-E10-2.5V-SCREW</v>
      </c>
      <c r="B3064" s="165">
        <f>IFERROR(__xludf.DUMMYFUNCTION("""COMPUTED_VALUE"""),46124.0)</f>
        <v>46124</v>
      </c>
      <c r="C3064" s="165" t="str">
        <f>IFERROR(__xludf.DUMMYFUNCTION("""COMPUTED_VALUE"""),"KYAI KONTONG")</f>
        <v>KYAI KONTONG</v>
      </c>
      <c r="D3064" s="94">
        <f>IFERROR(__xludf.DUMMYFUNCTION("""COMPUTED_VALUE"""),10.0)</f>
        <v>10</v>
      </c>
    </row>
    <row r="3065">
      <c r="A3065" s="87" t="str">
        <f>IFERROR(__xludf.DUMMYFUNCTION("""COMPUTED_VALUE"""),"ITBISA-RAPID-BOHLAM-E10-2.5V-SCREW")</f>
        <v>ITBISA-RAPID-BOHLAM-E10-2.5V-SCREW</v>
      </c>
      <c r="B3065" s="165">
        <f>IFERROR(__xludf.DUMMYFUNCTION("""COMPUTED_VALUE"""),46133.0)</f>
        <v>46133</v>
      </c>
      <c r="C3065" s="165" t="str">
        <f>IFERROR(__xludf.DUMMYFUNCTION("""COMPUTED_VALUE"""),"KYAI KONTONG")</f>
        <v>KYAI KONTONG</v>
      </c>
      <c r="D3065" s="94">
        <f>IFERROR(__xludf.DUMMYFUNCTION("""COMPUTED_VALUE"""),10.0)</f>
        <v>10</v>
      </c>
    </row>
    <row r="3066">
      <c r="A3066" s="87" t="str">
        <f>IFERROR(__xludf.DUMMYFUNCTION("""COMPUTED_VALUE"""),"ITBISA-RAPID-BOHLAM-E10-2.5V-SCREW")</f>
        <v>ITBISA-RAPID-BOHLAM-E10-2.5V-SCREW</v>
      </c>
      <c r="B3066" s="165">
        <f>IFERROR(__xludf.DUMMYFUNCTION("""COMPUTED_VALUE"""),46134.0)</f>
        <v>46134</v>
      </c>
      <c r="C3066" s="165" t="str">
        <f>IFERROR(__xludf.DUMMYFUNCTION("""COMPUTED_VALUE"""),"KYAI KONTONG")</f>
        <v>KYAI KONTONG</v>
      </c>
      <c r="D3066" s="94">
        <f>IFERROR(__xludf.DUMMYFUNCTION("""COMPUTED_VALUE"""),20.0)</f>
        <v>20</v>
      </c>
    </row>
    <row r="3067">
      <c r="A3067" s="87" t="str">
        <f>IFERROR(__xludf.DUMMYFUNCTION("""COMPUTED_VALUE"""),"ITBISA-RAPID-BOHLAM-E10-2.5V-SCREW")</f>
        <v>ITBISA-RAPID-BOHLAM-E10-2.5V-SCREW</v>
      </c>
      <c r="B3067" s="165">
        <f>IFERROR(__xludf.DUMMYFUNCTION("""COMPUTED_VALUE"""),46144.0)</f>
        <v>46144</v>
      </c>
      <c r="C3067" s="165" t="str">
        <f>IFERROR(__xludf.DUMMYFUNCTION("""COMPUTED_VALUE"""),"KYAI KONTONG")</f>
        <v>KYAI KONTONG</v>
      </c>
      <c r="D3067" s="94">
        <f>IFERROR(__xludf.DUMMYFUNCTION("""COMPUTED_VALUE"""),8.0)</f>
        <v>8</v>
      </c>
    </row>
    <row r="3068">
      <c r="A3068" s="87" t="str">
        <f>IFERROR(__xludf.DUMMYFUNCTION("""COMPUTED_VALUE"""),"ITBISA-RAPID-BOHLAM-E10-2.5V-SCREW")</f>
        <v>ITBISA-RAPID-BOHLAM-E10-2.5V-SCREW</v>
      </c>
      <c r="B3068" s="165">
        <f>IFERROR(__xludf.DUMMYFUNCTION("""COMPUTED_VALUE"""),46146.0)</f>
        <v>46146</v>
      </c>
      <c r="C3068" s="165" t="str">
        <f>IFERROR(__xludf.DUMMYFUNCTION("""COMPUTED_VALUE"""),"KYAI KONTONG")</f>
        <v>KYAI KONTONG</v>
      </c>
      <c r="D3068" s="94">
        <f>IFERROR(__xludf.DUMMYFUNCTION("""COMPUTED_VALUE"""),4.0)</f>
        <v>4</v>
      </c>
    </row>
    <row r="3069">
      <c r="A3069" s="87" t="str">
        <f>IFERROR(__xludf.DUMMYFUNCTION("""COMPUTED_VALUE"""),"ITBISA-RAPID-BOHLAM-E10-2.5V-SCREW")</f>
        <v>ITBISA-RAPID-BOHLAM-E10-2.5V-SCREW</v>
      </c>
      <c r="B3069" s="165">
        <f>IFERROR(__xludf.DUMMYFUNCTION("""COMPUTED_VALUE"""),46148.0)</f>
        <v>46148</v>
      </c>
      <c r="C3069" s="165" t="str">
        <f>IFERROR(__xludf.DUMMYFUNCTION("""COMPUTED_VALUE"""),"KYAI KONTONG")</f>
        <v>KYAI KONTONG</v>
      </c>
      <c r="D3069" s="94">
        <f>IFERROR(__xludf.DUMMYFUNCTION("""COMPUTED_VALUE"""),5.0)</f>
        <v>5</v>
      </c>
    </row>
    <row r="3070">
      <c r="A3070" s="87" t="str">
        <f>IFERROR(__xludf.DUMMYFUNCTION("""COMPUTED_VALUE"""),"ITBISA-RAPID-BOHLAM-E10-2.5V-SCREW")</f>
        <v>ITBISA-RAPID-BOHLAM-E10-2.5V-SCREW</v>
      </c>
      <c r="B3070" s="165">
        <f>IFERROR(__xludf.DUMMYFUNCTION("""COMPUTED_VALUE"""),46150.0)</f>
        <v>46150</v>
      </c>
      <c r="C3070" s="165" t="str">
        <f>IFERROR(__xludf.DUMMYFUNCTION("""COMPUTED_VALUE"""),"KYAI KONTONG")</f>
        <v>KYAI KONTONG</v>
      </c>
      <c r="D3070" s="94">
        <f>IFERROR(__xludf.DUMMYFUNCTION("""COMPUTED_VALUE"""),4.0)</f>
        <v>4</v>
      </c>
    </row>
    <row r="3071">
      <c r="A3071" s="87" t="str">
        <f>IFERROR(__xludf.DUMMYFUNCTION("""COMPUTED_VALUE"""),"ITBISA-RAPID-BOHLAM-E10-2.5V-SCREW")</f>
        <v>ITBISA-RAPID-BOHLAM-E10-2.5V-SCREW</v>
      </c>
      <c r="B3071" s="165">
        <f>IFERROR(__xludf.DUMMYFUNCTION("""COMPUTED_VALUE"""),46155.0)</f>
        <v>46155</v>
      </c>
      <c r="C3071" s="165" t="str">
        <f>IFERROR(__xludf.DUMMYFUNCTION("""COMPUTED_VALUE"""),"KYAI KONTONG")</f>
        <v>KYAI KONTONG</v>
      </c>
      <c r="D3071" s="94">
        <f>IFERROR(__xludf.DUMMYFUNCTION("""COMPUTED_VALUE"""),5.0)</f>
        <v>5</v>
      </c>
    </row>
    <row r="3072">
      <c r="A3072" s="87" t="str">
        <f>IFERROR(__xludf.DUMMYFUNCTION("""COMPUTED_VALUE"""),"ITBISA-RAPID-BOHLAM-E10-2.5V-SCREW")</f>
        <v>ITBISA-RAPID-BOHLAM-E10-2.5V-SCREW</v>
      </c>
      <c r="B3072" s="165">
        <f>IFERROR(__xludf.DUMMYFUNCTION("""COMPUTED_VALUE"""),46162.0)</f>
        <v>46162</v>
      </c>
      <c r="C3072" s="165" t="str">
        <f>IFERROR(__xludf.DUMMYFUNCTION("""COMPUTED_VALUE"""),"KYAI KONTONG")</f>
        <v>KYAI KONTONG</v>
      </c>
      <c r="D3072" s="94">
        <f>IFERROR(__xludf.DUMMYFUNCTION("""COMPUTED_VALUE"""),30.0)</f>
        <v>30</v>
      </c>
    </row>
    <row r="3073">
      <c r="A3073" s="87" t="str">
        <f>IFERROR(__xludf.DUMMYFUNCTION("""COMPUTED_VALUE"""),"ITBISA-RAPID-BOHLAM-E10-2.5V-SCREW")</f>
        <v>ITBISA-RAPID-BOHLAM-E10-2.5V-SCREW</v>
      </c>
      <c r="B3073" s="165">
        <f>IFERROR(__xludf.DUMMYFUNCTION("""COMPUTED_VALUE"""),46166.0)</f>
        <v>46166</v>
      </c>
      <c r="C3073" s="165" t="str">
        <f>IFERROR(__xludf.DUMMYFUNCTION("""COMPUTED_VALUE"""),"KYAI KONTONG")</f>
        <v>KYAI KONTONG</v>
      </c>
      <c r="D3073" s="94">
        <f>IFERROR(__xludf.DUMMYFUNCTION("""COMPUTED_VALUE"""),5.0)</f>
        <v>5</v>
      </c>
    </row>
    <row r="3074">
      <c r="A3074" s="87" t="str">
        <f>IFERROR(__xludf.DUMMYFUNCTION("""COMPUTED_VALUE"""),"ITBISA-RAPID-BOHLAM-E10-2.5V-SCREW")</f>
        <v>ITBISA-RAPID-BOHLAM-E10-2.5V-SCREW</v>
      </c>
      <c r="B3074" s="165">
        <f>IFERROR(__xludf.DUMMYFUNCTION("""COMPUTED_VALUE"""),46168.0)</f>
        <v>46168</v>
      </c>
      <c r="C3074" s="165" t="str">
        <f>IFERROR(__xludf.DUMMYFUNCTION("""COMPUTED_VALUE"""),"KYAI KONTONG")</f>
        <v>KYAI KONTONG</v>
      </c>
      <c r="D3074" s="94">
        <f>IFERROR(__xludf.DUMMYFUNCTION("""COMPUTED_VALUE"""),5.0)</f>
        <v>5</v>
      </c>
    </row>
    <row r="3075">
      <c r="A3075" s="87" t="str">
        <f>IFERROR(__xludf.DUMMYFUNCTION("""COMPUTED_VALUE"""),"ITBISA-RAPID-BOHLAM-E10-2.5V-SCREW")</f>
        <v>ITBISA-RAPID-BOHLAM-E10-2.5V-SCREW</v>
      </c>
      <c r="B3075" s="165">
        <f>IFERROR(__xludf.DUMMYFUNCTION("""COMPUTED_VALUE"""),46168.0)</f>
        <v>46168</v>
      </c>
      <c r="C3075" s="165" t="str">
        <f>IFERROR(__xludf.DUMMYFUNCTION("""COMPUTED_VALUE"""),"KYAI KONTONG")</f>
        <v>KYAI KONTONG</v>
      </c>
      <c r="D3075" s="94">
        <f>IFERROR(__xludf.DUMMYFUNCTION("""COMPUTED_VALUE"""),8.0)</f>
        <v>8</v>
      </c>
    </row>
    <row r="3076">
      <c r="A3076" s="87" t="str">
        <f>IFERROR(__xludf.DUMMYFUNCTION("""COMPUTED_VALUE"""),"ITBISA-RAPID-BOHLAM-E10-2.5V-SCREW")</f>
        <v>ITBISA-RAPID-BOHLAM-E10-2.5V-SCREW</v>
      </c>
      <c r="B3076" s="165">
        <f>IFERROR(__xludf.DUMMYFUNCTION("""COMPUTED_VALUE"""),46168.0)</f>
        <v>46168</v>
      </c>
      <c r="C3076" s="165" t="str">
        <f>IFERROR(__xludf.DUMMYFUNCTION("""COMPUTED_VALUE"""),"KYAI KONTONG")</f>
        <v>KYAI KONTONG</v>
      </c>
      <c r="D3076" s="94">
        <f>IFERROR(__xludf.DUMMYFUNCTION("""COMPUTED_VALUE"""),10.0)</f>
        <v>10</v>
      </c>
    </row>
    <row r="3077">
      <c r="A3077" s="87" t="str">
        <f>IFERROR(__xludf.DUMMYFUNCTION("""COMPUTED_VALUE"""),"ITBISA-RAPID-BOHLAM-E10-2.5V-SCREW")</f>
        <v>ITBISA-RAPID-BOHLAM-E10-2.5V-SCREW</v>
      </c>
      <c r="B3077" s="165">
        <f>IFERROR(__xludf.DUMMYFUNCTION("""COMPUTED_VALUE"""),46169.0)</f>
        <v>46169</v>
      </c>
      <c r="C3077" s="165" t="str">
        <f>IFERROR(__xludf.DUMMYFUNCTION("""COMPUTED_VALUE"""),"KYAI KONTONG")</f>
        <v>KYAI KONTONG</v>
      </c>
      <c r="D3077" s="94">
        <f>IFERROR(__xludf.DUMMYFUNCTION("""COMPUTED_VALUE"""),5.0)</f>
        <v>5</v>
      </c>
    </row>
    <row r="3078">
      <c r="A3078" s="87" t="str">
        <f>IFERROR(__xludf.DUMMYFUNCTION("""COMPUTED_VALUE"""),"ITBISA-RAPID-BOHLAM-E10-2.5V-SCREW")</f>
        <v>ITBISA-RAPID-BOHLAM-E10-2.5V-SCREW</v>
      </c>
      <c r="B3078" s="165">
        <f>IFERROR(__xludf.DUMMYFUNCTION("""COMPUTED_VALUE"""),46171.0)</f>
        <v>46171</v>
      </c>
      <c r="C3078" s="165" t="str">
        <f>IFERROR(__xludf.DUMMYFUNCTION("""COMPUTED_VALUE"""),"KYAI KONTONG")</f>
        <v>KYAI KONTONG</v>
      </c>
      <c r="D3078" s="94">
        <f>IFERROR(__xludf.DUMMYFUNCTION("""COMPUTED_VALUE"""),7.0)</f>
        <v>7</v>
      </c>
    </row>
    <row r="3079">
      <c r="A3079" s="87" t="str">
        <f>IFERROR(__xludf.DUMMYFUNCTION("""COMPUTED_VALUE"""),"ITBISA-RAPID-BOHLAM-E10-2.5V-SCREW")</f>
        <v>ITBISA-RAPID-BOHLAM-E10-2.5V-SCREW</v>
      </c>
      <c r="B3079" s="165">
        <f>IFERROR(__xludf.DUMMYFUNCTION("""COMPUTED_VALUE"""),46171.0)</f>
        <v>46171</v>
      </c>
      <c r="C3079" s="165" t="str">
        <f>IFERROR(__xludf.DUMMYFUNCTION("""COMPUTED_VALUE"""),"KYAI KONTONG")</f>
        <v>KYAI KONTONG</v>
      </c>
      <c r="D3079" s="94">
        <f>IFERROR(__xludf.DUMMYFUNCTION("""COMPUTED_VALUE"""),10.0)</f>
        <v>10</v>
      </c>
    </row>
    <row r="3080">
      <c r="A3080" s="87" t="str">
        <f>IFERROR(__xludf.DUMMYFUNCTION("""COMPUTED_VALUE"""),"ITBISA-RAPID-BOHLAM-E10-2.5V-SCREW")</f>
        <v>ITBISA-RAPID-BOHLAM-E10-2.5V-SCREW</v>
      </c>
      <c r="B3080" s="165">
        <f>IFERROR(__xludf.DUMMYFUNCTION("""COMPUTED_VALUE"""),46172.0)</f>
        <v>46172</v>
      </c>
      <c r="C3080" s="165" t="str">
        <f>IFERROR(__xludf.DUMMYFUNCTION("""COMPUTED_VALUE"""),"KYAI KONTONG")</f>
        <v>KYAI KONTONG</v>
      </c>
      <c r="D3080" s="94">
        <f>IFERROR(__xludf.DUMMYFUNCTION("""COMPUTED_VALUE"""),5.0)</f>
        <v>5</v>
      </c>
    </row>
    <row r="3081">
      <c r="A3081" s="87" t="str">
        <f>IFERROR(__xludf.DUMMYFUNCTION("""COMPUTED_VALUE"""),"ITBISA-RAPID-BOHLAM-E10-2.5V-SCREW")</f>
        <v>ITBISA-RAPID-BOHLAM-E10-2.5V-SCREW</v>
      </c>
      <c r="B3081" s="165">
        <f>IFERROR(__xludf.DUMMYFUNCTION("""COMPUTED_VALUE"""),46174.0)</f>
        <v>46174</v>
      </c>
      <c r="C3081" s="165" t="str">
        <f>IFERROR(__xludf.DUMMYFUNCTION("""COMPUTED_VALUE"""),"KYAI KONTONG")</f>
        <v>KYAI KONTONG</v>
      </c>
      <c r="D3081" s="94">
        <f>IFERROR(__xludf.DUMMYFUNCTION("""COMPUTED_VALUE"""),10.0)</f>
        <v>10</v>
      </c>
    </row>
    <row r="3082">
      <c r="A3082" s="87" t="str">
        <f>IFERROR(__xludf.DUMMYFUNCTION("""COMPUTED_VALUE"""),"ITBISA-RAPID-BOHLAM-E10-2.5V-SCREW")</f>
        <v>ITBISA-RAPID-BOHLAM-E10-2.5V-SCREW</v>
      </c>
      <c r="B3082" s="165">
        <f>IFERROR(__xludf.DUMMYFUNCTION("""COMPUTED_VALUE"""),46178.0)</f>
        <v>46178</v>
      </c>
      <c r="C3082" s="165" t="str">
        <f>IFERROR(__xludf.DUMMYFUNCTION("""COMPUTED_VALUE"""),"KYAI KONTONG")</f>
        <v>KYAI KONTONG</v>
      </c>
      <c r="D3082" s="94">
        <f>IFERROR(__xludf.DUMMYFUNCTION("""COMPUTED_VALUE"""),30.0)</f>
        <v>30</v>
      </c>
    </row>
    <row r="3083">
      <c r="A3083" s="87" t="str">
        <f>IFERROR(__xludf.DUMMYFUNCTION("""COMPUTED_VALUE"""),"ITBISA-RAPID-BOHLAM-E10-2.5V-SCREW")</f>
        <v>ITBISA-RAPID-BOHLAM-E10-2.5V-SCREW</v>
      </c>
      <c r="B3083" s="165">
        <f>IFERROR(__xludf.DUMMYFUNCTION("""COMPUTED_VALUE"""),46180.0)</f>
        <v>46180</v>
      </c>
      <c r="C3083" s="165" t="str">
        <f>IFERROR(__xludf.DUMMYFUNCTION("""COMPUTED_VALUE"""),"KYAI KONTONG")</f>
        <v>KYAI KONTONG</v>
      </c>
      <c r="D3083" s="94">
        <f>IFERROR(__xludf.DUMMYFUNCTION("""COMPUTED_VALUE"""),100.0)</f>
        <v>100</v>
      </c>
    </row>
    <row r="3084">
      <c r="A3084" s="87" t="str">
        <f>IFERROR(__xludf.DUMMYFUNCTION("""COMPUTED_VALUE"""),"ITBISA-RAPID-BOHLAM-E10-2.5V-SCREW")</f>
        <v>ITBISA-RAPID-BOHLAM-E10-2.5V-SCREW</v>
      </c>
      <c r="B3084" s="165">
        <f>IFERROR(__xludf.DUMMYFUNCTION("""COMPUTED_VALUE"""),46181.0)</f>
        <v>46181</v>
      </c>
      <c r="C3084" s="165" t="str">
        <f>IFERROR(__xludf.DUMMYFUNCTION("""COMPUTED_VALUE"""),"KYAI KONTONG")</f>
        <v>KYAI KONTONG</v>
      </c>
      <c r="D3084" s="94">
        <f>IFERROR(__xludf.DUMMYFUNCTION("""COMPUTED_VALUE"""),12.0)</f>
        <v>12</v>
      </c>
    </row>
    <row r="3085">
      <c r="A3085" s="87" t="str">
        <f>IFERROR(__xludf.DUMMYFUNCTION("""COMPUTED_VALUE"""),"ITBISA-RAPID-BOHLAM-E10-2.5V-SCREW")</f>
        <v>ITBISA-RAPID-BOHLAM-E10-2.5V-SCREW</v>
      </c>
      <c r="B3085" s="165">
        <f>IFERROR(__xludf.DUMMYFUNCTION("""COMPUTED_VALUE"""),46182.0)</f>
        <v>46182</v>
      </c>
      <c r="C3085" s="165" t="str">
        <f>IFERROR(__xludf.DUMMYFUNCTION("""COMPUTED_VALUE"""),"KYAI KONTONG")</f>
        <v>KYAI KONTONG</v>
      </c>
      <c r="D3085" s="94">
        <f>IFERROR(__xludf.DUMMYFUNCTION("""COMPUTED_VALUE"""),10.0)</f>
        <v>10</v>
      </c>
    </row>
    <row r="3086">
      <c r="A3086" s="87" t="str">
        <f>IFERROR(__xludf.DUMMYFUNCTION("""COMPUTED_VALUE"""),"ITBISA-RAPID-BOHLAM-E10-2.5V-SCREW")</f>
        <v>ITBISA-RAPID-BOHLAM-E10-2.5V-SCREW</v>
      </c>
      <c r="B3086" s="165">
        <f>IFERROR(__xludf.DUMMYFUNCTION("""COMPUTED_VALUE"""),46183.0)</f>
        <v>46183</v>
      </c>
      <c r="C3086" s="165" t="str">
        <f>IFERROR(__xludf.DUMMYFUNCTION("""COMPUTED_VALUE"""),"KYAI KONTONG")</f>
        <v>KYAI KONTONG</v>
      </c>
      <c r="D3086" s="94">
        <f>IFERROR(__xludf.DUMMYFUNCTION("""COMPUTED_VALUE"""),10.0)</f>
        <v>10</v>
      </c>
    </row>
    <row r="3087">
      <c r="A3087" s="87" t="str">
        <f>IFERROR(__xludf.DUMMYFUNCTION("""COMPUTED_VALUE"""),"ITBISA-RAPID-BOHLAM-E10-2.5V-SCREW")</f>
        <v>ITBISA-RAPID-BOHLAM-E10-2.5V-SCREW</v>
      </c>
      <c r="B3087" s="165">
        <f>IFERROR(__xludf.DUMMYFUNCTION("""COMPUTED_VALUE"""),46184.0)</f>
        <v>46184</v>
      </c>
      <c r="C3087" s="165" t="str">
        <f>IFERROR(__xludf.DUMMYFUNCTION("""COMPUTED_VALUE"""),"KYAI KONTONG")</f>
        <v>KYAI KONTONG</v>
      </c>
      <c r="D3087" s="94">
        <f>IFERROR(__xludf.DUMMYFUNCTION("""COMPUTED_VALUE"""),10.0)</f>
        <v>10</v>
      </c>
    </row>
    <row r="3088">
      <c r="A3088" s="87" t="str">
        <f>IFERROR(__xludf.DUMMYFUNCTION("""COMPUTED_VALUE"""),"ITBISA-RAPID-BOHLAM-E10-2.5V-SCREW")</f>
        <v>ITBISA-RAPID-BOHLAM-E10-2.5V-SCREW</v>
      </c>
      <c r="B3088" s="165">
        <f>IFERROR(__xludf.DUMMYFUNCTION("""COMPUTED_VALUE"""),46189.0)</f>
        <v>46189</v>
      </c>
      <c r="C3088" s="165" t="str">
        <f>IFERROR(__xludf.DUMMYFUNCTION("""COMPUTED_VALUE"""),"KYAI KONTONG")</f>
        <v>KYAI KONTONG</v>
      </c>
      <c r="D3088" s="94">
        <f>IFERROR(__xludf.DUMMYFUNCTION("""COMPUTED_VALUE"""),10.0)</f>
        <v>10</v>
      </c>
    </row>
    <row r="3089">
      <c r="A3089" s="87" t="str">
        <f>IFERROR(__xludf.DUMMYFUNCTION("""COMPUTED_VALUE"""),"ITBISA-RAPID-BOHLAM-E10-2.5V-SCREW")</f>
        <v>ITBISA-RAPID-BOHLAM-E10-2.5V-SCREW</v>
      </c>
      <c r="B3089" s="165">
        <f>IFERROR(__xludf.DUMMYFUNCTION("""COMPUTED_VALUE"""),46191.0)</f>
        <v>46191</v>
      </c>
      <c r="C3089" s="165" t="str">
        <f>IFERROR(__xludf.DUMMYFUNCTION("""COMPUTED_VALUE"""),"KYAI KONTONG")</f>
        <v>KYAI KONTONG</v>
      </c>
      <c r="D3089" s="94">
        <f>IFERROR(__xludf.DUMMYFUNCTION("""COMPUTED_VALUE"""),40.0)</f>
        <v>40</v>
      </c>
    </row>
    <row r="3090">
      <c r="A3090" s="87" t="str">
        <f>IFERROR(__xludf.DUMMYFUNCTION("""COMPUTED_VALUE"""),"ITBISA-RAPID-BOHLAM-E10-2.5V-SCREW")</f>
        <v>ITBISA-RAPID-BOHLAM-E10-2.5V-SCREW</v>
      </c>
      <c r="B3090" s="165">
        <f>IFERROR(__xludf.DUMMYFUNCTION("""COMPUTED_VALUE"""),46192.0)</f>
        <v>46192</v>
      </c>
      <c r="C3090" s="165" t="str">
        <f>IFERROR(__xludf.DUMMYFUNCTION("""COMPUTED_VALUE"""),"KYAI KONTONG")</f>
        <v>KYAI KONTONG</v>
      </c>
      <c r="D3090" s="94">
        <f>IFERROR(__xludf.DUMMYFUNCTION("""COMPUTED_VALUE"""),5.0)</f>
        <v>5</v>
      </c>
    </row>
    <row r="3091">
      <c r="A3091" s="87" t="str">
        <f>IFERROR(__xludf.DUMMYFUNCTION("""COMPUTED_VALUE"""),"ITBISA-RAPID-BOHLAM-E10-2.5V-SCREW")</f>
        <v>ITBISA-RAPID-BOHLAM-E10-2.5V-SCREW</v>
      </c>
      <c r="B3091" s="165">
        <f>IFERROR(__xludf.DUMMYFUNCTION("""COMPUTED_VALUE"""),46192.0)</f>
        <v>46192</v>
      </c>
      <c r="C3091" s="165" t="str">
        <f>IFERROR(__xludf.DUMMYFUNCTION("""COMPUTED_VALUE"""),"KYAI KONTONG")</f>
        <v>KYAI KONTONG</v>
      </c>
      <c r="D3091" s="94">
        <f>IFERROR(__xludf.DUMMYFUNCTION("""COMPUTED_VALUE"""),10.0)</f>
        <v>10</v>
      </c>
    </row>
    <row r="3092">
      <c r="A3092" s="87" t="str">
        <f>IFERROR(__xludf.DUMMYFUNCTION("""COMPUTED_VALUE"""),"ITBISA-RAPID-BOHLAM-E10-2.5V-SCREW")</f>
        <v>ITBISA-RAPID-BOHLAM-E10-2.5V-SCREW</v>
      </c>
      <c r="B3092" s="165">
        <f>IFERROR(__xludf.DUMMYFUNCTION("""COMPUTED_VALUE"""),46195.0)</f>
        <v>46195</v>
      </c>
      <c r="C3092" s="165" t="str">
        <f>IFERROR(__xludf.DUMMYFUNCTION("""COMPUTED_VALUE"""),"KYAI KONTONG")</f>
        <v>KYAI KONTONG</v>
      </c>
      <c r="D3092" s="94">
        <f>IFERROR(__xludf.DUMMYFUNCTION("""COMPUTED_VALUE"""),10.0)</f>
        <v>10</v>
      </c>
    </row>
    <row r="3093">
      <c r="A3093" s="87" t="str">
        <f>IFERROR(__xludf.DUMMYFUNCTION("""COMPUTED_VALUE"""),"ITBISA-RAPID-BOHLAM-E10-3.8V-SCREW")</f>
        <v>ITBISA-RAPID-BOHLAM-E10-3.8V-SCREW</v>
      </c>
      <c r="B3093" s="165">
        <f>IFERROR(__xludf.DUMMYFUNCTION("""COMPUTED_VALUE"""),46024.0)</f>
        <v>46024</v>
      </c>
      <c r="C3093" s="165" t="str">
        <f>IFERROR(__xludf.DUMMYFUNCTION("""COMPUTED_VALUE"""),"KYAI KONTONG")</f>
        <v>KYAI KONTONG</v>
      </c>
      <c r="D3093" s="94">
        <f>IFERROR(__xludf.DUMMYFUNCTION("""COMPUTED_VALUE"""),1.0)</f>
        <v>1</v>
      </c>
    </row>
    <row r="3094">
      <c r="A3094" s="87" t="str">
        <f>IFERROR(__xludf.DUMMYFUNCTION("""COMPUTED_VALUE"""),"ITBISA-RAPID-BOHLAM-E10-3.8V-SCREW")</f>
        <v>ITBISA-RAPID-BOHLAM-E10-3.8V-SCREW</v>
      </c>
      <c r="B3094" s="165">
        <f>IFERROR(__xludf.DUMMYFUNCTION("""COMPUTED_VALUE"""),46024.0)</f>
        <v>46024</v>
      </c>
      <c r="C3094" s="165" t="str">
        <f>IFERROR(__xludf.DUMMYFUNCTION("""COMPUTED_VALUE"""),"KYAI KONTONG")</f>
        <v>KYAI KONTONG</v>
      </c>
      <c r="D3094" s="94">
        <f>IFERROR(__xludf.DUMMYFUNCTION("""COMPUTED_VALUE"""),2.0)</f>
        <v>2</v>
      </c>
    </row>
    <row r="3095">
      <c r="A3095" s="87" t="str">
        <f>IFERROR(__xludf.DUMMYFUNCTION("""COMPUTED_VALUE"""),"ITBISA-RAPID-BOHLAM-E10-3.8V-SCREW")</f>
        <v>ITBISA-RAPID-BOHLAM-E10-3.8V-SCREW</v>
      </c>
      <c r="B3095" s="165">
        <f>IFERROR(__xludf.DUMMYFUNCTION("""COMPUTED_VALUE"""),46029.0)</f>
        <v>46029</v>
      </c>
      <c r="C3095" s="165" t="str">
        <f>IFERROR(__xludf.DUMMYFUNCTION("""COMPUTED_VALUE"""),"KYAI KONTONG")</f>
        <v>KYAI KONTONG</v>
      </c>
      <c r="D3095" s="94">
        <f>IFERROR(__xludf.DUMMYFUNCTION("""COMPUTED_VALUE"""),2.0)</f>
        <v>2</v>
      </c>
    </row>
    <row r="3096">
      <c r="A3096" s="87" t="str">
        <f>IFERROR(__xludf.DUMMYFUNCTION("""COMPUTED_VALUE"""),"ITBISA-RAPID-BOHLAM-E10-3.8V-SCREW")</f>
        <v>ITBISA-RAPID-BOHLAM-E10-3.8V-SCREW</v>
      </c>
      <c r="B3096" s="165">
        <f>IFERROR(__xludf.DUMMYFUNCTION("""COMPUTED_VALUE"""),46030.0)</f>
        <v>46030</v>
      </c>
      <c r="C3096" s="165" t="str">
        <f>IFERROR(__xludf.DUMMYFUNCTION("""COMPUTED_VALUE"""),"KYAI KONTONG")</f>
        <v>KYAI KONTONG</v>
      </c>
      <c r="D3096" s="94">
        <f>IFERROR(__xludf.DUMMYFUNCTION("""COMPUTED_VALUE"""),2.0)</f>
        <v>2</v>
      </c>
    </row>
    <row r="3097">
      <c r="A3097" s="87" t="str">
        <f>IFERROR(__xludf.DUMMYFUNCTION("""COMPUTED_VALUE"""),"ITBISA-RAPID-BOHLAM-E10-3.8V-SCREW")</f>
        <v>ITBISA-RAPID-BOHLAM-E10-3.8V-SCREW</v>
      </c>
      <c r="B3097" s="165">
        <f>IFERROR(__xludf.DUMMYFUNCTION("""COMPUTED_VALUE"""),46035.0)</f>
        <v>46035</v>
      </c>
      <c r="C3097" s="165" t="str">
        <f>IFERROR(__xludf.DUMMYFUNCTION("""COMPUTED_VALUE"""),"KYAI KONTONG")</f>
        <v>KYAI KONTONG</v>
      </c>
      <c r="D3097" s="94">
        <f>IFERROR(__xludf.DUMMYFUNCTION("""COMPUTED_VALUE"""),10.0)</f>
        <v>10</v>
      </c>
    </row>
    <row r="3098">
      <c r="A3098" s="87" t="str">
        <f>IFERROR(__xludf.DUMMYFUNCTION("""COMPUTED_VALUE"""),"ITBISA-RAPID-BOHLAM-E10-3.8V-SCREW")</f>
        <v>ITBISA-RAPID-BOHLAM-E10-3.8V-SCREW</v>
      </c>
      <c r="B3098" s="165">
        <f>IFERROR(__xludf.DUMMYFUNCTION("""COMPUTED_VALUE"""),46037.0)</f>
        <v>46037</v>
      </c>
      <c r="C3098" s="165" t="str">
        <f>IFERROR(__xludf.DUMMYFUNCTION("""COMPUTED_VALUE"""),"KYAI KONTONG")</f>
        <v>KYAI KONTONG</v>
      </c>
      <c r="D3098" s="94">
        <f>IFERROR(__xludf.DUMMYFUNCTION("""COMPUTED_VALUE"""),10.0)</f>
        <v>10</v>
      </c>
    </row>
    <row r="3099">
      <c r="A3099" s="87" t="str">
        <f>IFERROR(__xludf.DUMMYFUNCTION("""COMPUTED_VALUE"""),"ITBISA-RAPID-BOHLAM-E10-3.8V-SCREW")</f>
        <v>ITBISA-RAPID-BOHLAM-E10-3.8V-SCREW</v>
      </c>
      <c r="B3099" s="165">
        <f>IFERROR(__xludf.DUMMYFUNCTION("""COMPUTED_VALUE"""),46038.0)</f>
        <v>46038</v>
      </c>
      <c r="C3099" s="165" t="str">
        <f>IFERROR(__xludf.DUMMYFUNCTION("""COMPUTED_VALUE"""),"KYAI KONTONG")</f>
        <v>KYAI KONTONG</v>
      </c>
      <c r="D3099" s="94">
        <f>IFERROR(__xludf.DUMMYFUNCTION("""COMPUTED_VALUE"""),12.0)</f>
        <v>12</v>
      </c>
    </row>
    <row r="3100">
      <c r="A3100" s="87" t="str">
        <f>IFERROR(__xludf.DUMMYFUNCTION("""COMPUTED_VALUE"""),"ITBISA-RAPID-BOHLAM-E10-3.8V-SCREW")</f>
        <v>ITBISA-RAPID-BOHLAM-E10-3.8V-SCREW</v>
      </c>
      <c r="B3100" s="165">
        <f>IFERROR(__xludf.DUMMYFUNCTION("""COMPUTED_VALUE"""),46049.0)</f>
        <v>46049</v>
      </c>
      <c r="C3100" s="165" t="str">
        <f>IFERROR(__xludf.DUMMYFUNCTION("""COMPUTED_VALUE"""),"KYAI KONTONG")</f>
        <v>KYAI KONTONG</v>
      </c>
      <c r="D3100" s="94">
        <f>IFERROR(__xludf.DUMMYFUNCTION("""COMPUTED_VALUE"""),20.0)</f>
        <v>20</v>
      </c>
    </row>
    <row r="3101">
      <c r="A3101" s="87" t="str">
        <f>IFERROR(__xludf.DUMMYFUNCTION("""COMPUTED_VALUE"""),"ITBISA-RAPID-BOHLAM-E10-3.8V-SCREW")</f>
        <v>ITBISA-RAPID-BOHLAM-E10-3.8V-SCREW</v>
      </c>
      <c r="B3101" s="165">
        <f>IFERROR(__xludf.DUMMYFUNCTION("""COMPUTED_VALUE"""),46050.0)</f>
        <v>46050</v>
      </c>
      <c r="C3101" s="165" t="str">
        <f>IFERROR(__xludf.DUMMYFUNCTION("""COMPUTED_VALUE"""),"KYAI KONTONG")</f>
        <v>KYAI KONTONG</v>
      </c>
      <c r="D3101" s="94">
        <f>IFERROR(__xludf.DUMMYFUNCTION("""COMPUTED_VALUE"""),20.0)</f>
        <v>20</v>
      </c>
    </row>
    <row r="3102">
      <c r="A3102" s="87" t="str">
        <f>IFERROR(__xludf.DUMMYFUNCTION("""COMPUTED_VALUE"""),"ITBISA-RAPID-BOHLAM-E10-3.8V-SCREW")</f>
        <v>ITBISA-RAPID-BOHLAM-E10-3.8V-SCREW</v>
      </c>
      <c r="B3102" s="165">
        <f>IFERROR(__xludf.DUMMYFUNCTION("""COMPUTED_VALUE"""),46051.0)</f>
        <v>46051</v>
      </c>
      <c r="C3102" s="165" t="str">
        <f>IFERROR(__xludf.DUMMYFUNCTION("""COMPUTED_VALUE"""),"KYAI KONTONG")</f>
        <v>KYAI KONTONG</v>
      </c>
      <c r="D3102" s="94">
        <f>IFERROR(__xludf.DUMMYFUNCTION("""COMPUTED_VALUE"""),10.0)</f>
        <v>10</v>
      </c>
    </row>
    <row r="3103">
      <c r="A3103" s="87" t="str">
        <f>IFERROR(__xludf.DUMMYFUNCTION("""COMPUTED_VALUE"""),"ITBISA-RAPID-BOHLAM-E10-3.8V-SCREW")</f>
        <v>ITBISA-RAPID-BOHLAM-E10-3.8V-SCREW</v>
      </c>
      <c r="B3103" s="165">
        <f>IFERROR(__xludf.DUMMYFUNCTION("""COMPUTED_VALUE"""),46053.0)</f>
        <v>46053</v>
      </c>
      <c r="C3103" s="165" t="str">
        <f>IFERROR(__xludf.DUMMYFUNCTION("""COMPUTED_VALUE"""),"KYAI KONTONG")</f>
        <v>KYAI KONTONG</v>
      </c>
      <c r="D3103" s="94">
        <f>IFERROR(__xludf.DUMMYFUNCTION("""COMPUTED_VALUE"""),10.0)</f>
        <v>10</v>
      </c>
    </row>
    <row r="3104">
      <c r="A3104" s="87" t="str">
        <f>IFERROR(__xludf.DUMMYFUNCTION("""COMPUTED_VALUE"""),"ITBISA-RAPID-BOHLAM-E10-3.8V-SCREW")</f>
        <v>ITBISA-RAPID-BOHLAM-E10-3.8V-SCREW</v>
      </c>
      <c r="B3104" s="165">
        <f>IFERROR(__xludf.DUMMYFUNCTION("""COMPUTED_VALUE"""),46064.0)</f>
        <v>46064</v>
      </c>
      <c r="C3104" s="165" t="str">
        <f>IFERROR(__xludf.DUMMYFUNCTION("""COMPUTED_VALUE"""),"KYAI KONTONG")</f>
        <v>KYAI KONTONG</v>
      </c>
      <c r="D3104" s="94">
        <f>IFERROR(__xludf.DUMMYFUNCTION("""COMPUTED_VALUE"""),15.0)</f>
        <v>15</v>
      </c>
    </row>
    <row r="3105">
      <c r="A3105" s="87" t="str">
        <f>IFERROR(__xludf.DUMMYFUNCTION("""COMPUTED_VALUE"""),"ITBISA-RAPID-BOHLAM-E10-3.8V-SCREW")</f>
        <v>ITBISA-RAPID-BOHLAM-E10-3.8V-SCREW</v>
      </c>
      <c r="B3105" s="165">
        <f>IFERROR(__xludf.DUMMYFUNCTION("""COMPUTED_VALUE"""),46129.0)</f>
        <v>46129</v>
      </c>
      <c r="C3105" s="165" t="str">
        <f>IFERROR(__xludf.DUMMYFUNCTION("""COMPUTED_VALUE"""),"KYAI KONTONG")</f>
        <v>KYAI KONTONG</v>
      </c>
      <c r="D3105" s="94">
        <f>IFERROR(__xludf.DUMMYFUNCTION("""COMPUTED_VALUE"""),10.0)</f>
        <v>10</v>
      </c>
    </row>
    <row r="3106">
      <c r="A3106" s="87" t="str">
        <f>IFERROR(__xludf.DUMMYFUNCTION("""COMPUTED_VALUE"""),"ITBISA-RAPID-BOHLAM-E10-3.8V-SCREW")</f>
        <v>ITBISA-RAPID-BOHLAM-E10-3.8V-SCREW</v>
      </c>
      <c r="B3106" s="165">
        <f>IFERROR(__xludf.DUMMYFUNCTION("""COMPUTED_VALUE"""),46144.0)</f>
        <v>46144</v>
      </c>
      <c r="C3106" s="165" t="str">
        <f>IFERROR(__xludf.DUMMYFUNCTION("""COMPUTED_VALUE"""),"KYAI KONTONG")</f>
        <v>KYAI KONTONG</v>
      </c>
      <c r="D3106" s="94">
        <f>IFERROR(__xludf.DUMMYFUNCTION("""COMPUTED_VALUE"""),10.0)</f>
        <v>10</v>
      </c>
    </row>
    <row r="3107">
      <c r="A3107" s="87" t="str">
        <f>IFERROR(__xludf.DUMMYFUNCTION("""COMPUTED_VALUE"""),"ITBISA-RAPID-BOHLAM-E10-3.8V-SCREW")</f>
        <v>ITBISA-RAPID-BOHLAM-E10-3.8V-SCREW</v>
      </c>
      <c r="B3107" s="165">
        <f>IFERROR(__xludf.DUMMYFUNCTION("""COMPUTED_VALUE"""),46146.0)</f>
        <v>46146</v>
      </c>
      <c r="C3107" s="165" t="str">
        <f>IFERROR(__xludf.DUMMYFUNCTION("""COMPUTED_VALUE"""),"KYAI KONTONG")</f>
        <v>KYAI KONTONG</v>
      </c>
      <c r="D3107" s="94">
        <f>IFERROR(__xludf.DUMMYFUNCTION("""COMPUTED_VALUE"""),4.0)</f>
        <v>4</v>
      </c>
    </row>
    <row r="3108">
      <c r="A3108" s="87" t="str">
        <f>IFERROR(__xludf.DUMMYFUNCTION("""COMPUTED_VALUE"""),"ITBISA-RAPID-BOHLAM-E10-3.8V-SCREW")</f>
        <v>ITBISA-RAPID-BOHLAM-E10-3.8V-SCREW</v>
      </c>
      <c r="B3108" s="165">
        <f>IFERROR(__xludf.DUMMYFUNCTION("""COMPUTED_VALUE"""),46150.0)</f>
        <v>46150</v>
      </c>
      <c r="C3108" s="165" t="str">
        <f>IFERROR(__xludf.DUMMYFUNCTION("""COMPUTED_VALUE"""),"KYAI KONTONG")</f>
        <v>KYAI KONTONG</v>
      </c>
      <c r="D3108" s="94">
        <f>IFERROR(__xludf.DUMMYFUNCTION("""COMPUTED_VALUE"""),10.0)</f>
        <v>10</v>
      </c>
    </row>
    <row r="3109">
      <c r="A3109" s="87" t="str">
        <f>IFERROR(__xludf.DUMMYFUNCTION("""COMPUTED_VALUE"""),"ITBISA-RAPID-BOHLAM-E10-3.8V-SCREW")</f>
        <v>ITBISA-RAPID-BOHLAM-E10-3.8V-SCREW</v>
      </c>
      <c r="B3109" s="165">
        <f>IFERROR(__xludf.DUMMYFUNCTION("""COMPUTED_VALUE"""),46155.0)</f>
        <v>46155</v>
      </c>
      <c r="C3109" s="165" t="str">
        <f>IFERROR(__xludf.DUMMYFUNCTION("""COMPUTED_VALUE"""),"KYAI KONTONG")</f>
        <v>KYAI KONTONG</v>
      </c>
      <c r="D3109" s="94">
        <f>IFERROR(__xludf.DUMMYFUNCTION("""COMPUTED_VALUE"""),5.0)</f>
        <v>5</v>
      </c>
    </row>
    <row r="3110">
      <c r="A3110" s="87" t="str">
        <f>IFERROR(__xludf.DUMMYFUNCTION("""COMPUTED_VALUE"""),"ITBISA-RAPID-BOHLAM-E10-3.8V-SCREW")</f>
        <v>ITBISA-RAPID-BOHLAM-E10-3.8V-SCREW</v>
      </c>
      <c r="B3110" s="165">
        <f>IFERROR(__xludf.DUMMYFUNCTION("""COMPUTED_VALUE"""),46155.0)</f>
        <v>46155</v>
      </c>
      <c r="C3110" s="165" t="str">
        <f>IFERROR(__xludf.DUMMYFUNCTION("""COMPUTED_VALUE"""),"KYAI KONTONG")</f>
        <v>KYAI KONTONG</v>
      </c>
      <c r="D3110" s="94">
        <f>IFERROR(__xludf.DUMMYFUNCTION("""COMPUTED_VALUE"""),10.0)</f>
        <v>10</v>
      </c>
    </row>
    <row r="3111">
      <c r="A3111" s="87" t="str">
        <f>IFERROR(__xludf.DUMMYFUNCTION("""COMPUTED_VALUE"""),"ITBISA-RAPID-BOHLAM-E10-3.8V-SCREW")</f>
        <v>ITBISA-RAPID-BOHLAM-E10-3.8V-SCREW</v>
      </c>
      <c r="B3111" s="165">
        <f>IFERROR(__xludf.DUMMYFUNCTION("""COMPUTED_VALUE"""),46158.0)</f>
        <v>46158</v>
      </c>
      <c r="C3111" s="165" t="str">
        <f>IFERROR(__xludf.DUMMYFUNCTION("""COMPUTED_VALUE"""),"KYAI KONTONG")</f>
        <v>KYAI KONTONG</v>
      </c>
      <c r="D3111" s="94">
        <f>IFERROR(__xludf.DUMMYFUNCTION("""COMPUTED_VALUE"""),12.0)</f>
        <v>12</v>
      </c>
    </row>
    <row r="3112">
      <c r="A3112" s="87" t="str">
        <f>IFERROR(__xludf.DUMMYFUNCTION("""COMPUTED_VALUE"""),"ITBISA-RAPID-BOHLAM-E10-3.8V-SCREW")</f>
        <v>ITBISA-RAPID-BOHLAM-E10-3.8V-SCREW</v>
      </c>
      <c r="B3112" s="165">
        <f>IFERROR(__xludf.DUMMYFUNCTION("""COMPUTED_VALUE"""),46167.0)</f>
        <v>46167</v>
      </c>
      <c r="C3112" s="165" t="str">
        <f>IFERROR(__xludf.DUMMYFUNCTION("""COMPUTED_VALUE"""),"KYAI KONTONG")</f>
        <v>KYAI KONTONG</v>
      </c>
      <c r="D3112" s="94">
        <f>IFERROR(__xludf.DUMMYFUNCTION("""COMPUTED_VALUE"""),10.0)</f>
        <v>10</v>
      </c>
    </row>
    <row r="3113">
      <c r="A3113" s="87" t="str">
        <f>IFERROR(__xludf.DUMMYFUNCTION("""COMPUTED_VALUE"""),"ITBISA-RAPID-BOHLAM-E10-3.8V-SCREW")</f>
        <v>ITBISA-RAPID-BOHLAM-E10-3.8V-SCREW</v>
      </c>
      <c r="B3113" s="165">
        <f>IFERROR(__xludf.DUMMYFUNCTION("""COMPUTED_VALUE"""),46168.0)</f>
        <v>46168</v>
      </c>
      <c r="C3113" s="165" t="str">
        <f>IFERROR(__xludf.DUMMYFUNCTION("""COMPUTED_VALUE"""),"KYAI KONTONG")</f>
        <v>KYAI KONTONG</v>
      </c>
      <c r="D3113" s="94">
        <f>IFERROR(__xludf.DUMMYFUNCTION("""COMPUTED_VALUE"""),8.0)</f>
        <v>8</v>
      </c>
    </row>
    <row r="3114">
      <c r="A3114" s="87" t="str">
        <f>IFERROR(__xludf.DUMMYFUNCTION("""COMPUTED_VALUE"""),"ITBISA-RAPID-BOHLAM-E10-3.8V-SCREW")</f>
        <v>ITBISA-RAPID-BOHLAM-E10-3.8V-SCREW</v>
      </c>
      <c r="B3114" s="165">
        <f>IFERROR(__xludf.DUMMYFUNCTION("""COMPUTED_VALUE"""),46169.0)</f>
        <v>46169</v>
      </c>
      <c r="C3114" s="165" t="str">
        <f>IFERROR(__xludf.DUMMYFUNCTION("""COMPUTED_VALUE"""),"KYAI KONTONG")</f>
        <v>KYAI KONTONG</v>
      </c>
      <c r="D3114" s="94">
        <f>IFERROR(__xludf.DUMMYFUNCTION("""COMPUTED_VALUE"""),12.0)</f>
        <v>12</v>
      </c>
    </row>
    <row r="3115">
      <c r="A3115" s="87" t="str">
        <f>IFERROR(__xludf.DUMMYFUNCTION("""COMPUTED_VALUE"""),"ITBISA-RAPID-BOHLAM-E10-3.8V-SCREW")</f>
        <v>ITBISA-RAPID-BOHLAM-E10-3.8V-SCREW</v>
      </c>
      <c r="B3115" s="165">
        <f>IFERROR(__xludf.DUMMYFUNCTION("""COMPUTED_VALUE"""),46179.0)</f>
        <v>46179</v>
      </c>
      <c r="C3115" s="165" t="str">
        <f>IFERROR(__xludf.DUMMYFUNCTION("""COMPUTED_VALUE"""),"KYAI KONTONG")</f>
        <v>KYAI KONTONG</v>
      </c>
      <c r="D3115" s="94">
        <f>IFERROR(__xludf.DUMMYFUNCTION("""COMPUTED_VALUE"""),2.0)</f>
        <v>2</v>
      </c>
    </row>
    <row r="3116">
      <c r="A3116" s="87" t="str">
        <f>IFERROR(__xludf.DUMMYFUNCTION("""COMPUTED_VALUE"""),"ITBISA-RAPID-BOHLAM-E10-3.8V-SCREW")</f>
        <v>ITBISA-RAPID-BOHLAM-E10-3.8V-SCREW</v>
      </c>
      <c r="B3116" s="165">
        <f>IFERROR(__xludf.DUMMYFUNCTION("""COMPUTED_VALUE"""),46180.0)</f>
        <v>46180</v>
      </c>
      <c r="C3116" s="165" t="str">
        <f>IFERROR(__xludf.DUMMYFUNCTION("""COMPUTED_VALUE"""),"KYAI KONTONG")</f>
        <v>KYAI KONTONG</v>
      </c>
      <c r="D3116" s="94">
        <f>IFERROR(__xludf.DUMMYFUNCTION("""COMPUTED_VALUE"""),10.0)</f>
        <v>10</v>
      </c>
    </row>
    <row r="3117">
      <c r="A3117" s="87" t="str">
        <f>IFERROR(__xludf.DUMMYFUNCTION("""COMPUTED_VALUE"""),"ITBISA-RAPID-BOHLAM-E10-3.8V-SCREW")</f>
        <v>ITBISA-RAPID-BOHLAM-E10-3.8V-SCREW</v>
      </c>
      <c r="B3117" s="165">
        <f>IFERROR(__xludf.DUMMYFUNCTION("""COMPUTED_VALUE"""),46182.0)</f>
        <v>46182</v>
      </c>
      <c r="C3117" s="165" t="str">
        <f>IFERROR(__xludf.DUMMYFUNCTION("""COMPUTED_VALUE"""),"KYAI KONTONG")</f>
        <v>KYAI KONTONG</v>
      </c>
      <c r="D3117" s="94">
        <f>IFERROR(__xludf.DUMMYFUNCTION("""COMPUTED_VALUE"""),10.0)</f>
        <v>10</v>
      </c>
    </row>
    <row r="3118">
      <c r="A3118" s="87" t="str">
        <f>IFERROR(__xludf.DUMMYFUNCTION("""COMPUTED_VALUE"""),"ITBISA-RAPID-BOHLAM-E10-3.8V-SCREW")</f>
        <v>ITBISA-RAPID-BOHLAM-E10-3.8V-SCREW</v>
      </c>
      <c r="B3118" s="165">
        <f>IFERROR(__xludf.DUMMYFUNCTION("""COMPUTED_VALUE"""),46185.0)</f>
        <v>46185</v>
      </c>
      <c r="C3118" s="165" t="str">
        <f>IFERROR(__xludf.DUMMYFUNCTION("""COMPUTED_VALUE"""),"KYAI KONTONG")</f>
        <v>KYAI KONTONG</v>
      </c>
      <c r="D3118" s="94">
        <f>IFERROR(__xludf.DUMMYFUNCTION("""COMPUTED_VALUE"""),10.0)</f>
        <v>10</v>
      </c>
    </row>
    <row r="3119">
      <c r="A3119" s="87" t="str">
        <f>IFERROR(__xludf.DUMMYFUNCTION("""COMPUTED_VALUE"""),"ITBISA-RAPID-BOHLAM-E10-3.8V-SCREW")</f>
        <v>ITBISA-RAPID-BOHLAM-E10-3.8V-SCREW</v>
      </c>
      <c r="B3119" s="165">
        <f>IFERROR(__xludf.DUMMYFUNCTION("""COMPUTED_VALUE"""),46187.0)</f>
        <v>46187</v>
      </c>
      <c r="C3119" s="165" t="str">
        <f>IFERROR(__xludf.DUMMYFUNCTION("""COMPUTED_VALUE"""),"KYAI KONTONG")</f>
        <v>KYAI KONTONG</v>
      </c>
      <c r="D3119" s="94">
        <f>IFERROR(__xludf.DUMMYFUNCTION("""COMPUTED_VALUE"""),10.0)</f>
        <v>10</v>
      </c>
    </row>
    <row r="3120">
      <c r="A3120" s="87" t="str">
        <f>IFERROR(__xludf.DUMMYFUNCTION("""COMPUTED_VALUE"""),"ITBISA-RAPID-BOHLAM-E10-3.8V-SCREW")</f>
        <v>ITBISA-RAPID-BOHLAM-E10-3.8V-SCREW</v>
      </c>
      <c r="B3120" s="165">
        <f>IFERROR(__xludf.DUMMYFUNCTION("""COMPUTED_VALUE"""),46192.0)</f>
        <v>46192</v>
      </c>
      <c r="C3120" s="165" t="str">
        <f>IFERROR(__xludf.DUMMYFUNCTION("""COMPUTED_VALUE"""),"KYAI KONTONG")</f>
        <v>KYAI KONTONG</v>
      </c>
      <c r="D3120" s="94">
        <f>IFERROR(__xludf.DUMMYFUNCTION("""COMPUTED_VALUE"""),5.0)</f>
        <v>5</v>
      </c>
    </row>
    <row r="3121">
      <c r="A3121" s="87" t="str">
        <f>IFERROR(__xludf.DUMMYFUNCTION("""COMPUTED_VALUE"""),"ITBISA-RAPID-BOHLAM-E10-3.8V-SCREW")</f>
        <v>ITBISA-RAPID-BOHLAM-E10-3.8V-SCREW</v>
      </c>
      <c r="B3121" s="165">
        <f>IFERROR(__xludf.DUMMYFUNCTION("""COMPUTED_VALUE"""),46193.0)</f>
        <v>46193</v>
      </c>
      <c r="C3121" s="165" t="str">
        <f>IFERROR(__xludf.DUMMYFUNCTION("""COMPUTED_VALUE"""),"KYAI KONTONG")</f>
        <v>KYAI KONTONG</v>
      </c>
      <c r="D3121" s="94">
        <f>IFERROR(__xludf.DUMMYFUNCTION("""COMPUTED_VALUE"""),10.0)</f>
        <v>10</v>
      </c>
    </row>
    <row r="3122">
      <c r="A3122" s="87" t="str">
        <f>IFERROR(__xludf.DUMMYFUNCTION("""COMPUTED_VALUE"""),"ITBISA-RAPID-BOHLAM-E10-3.8V-SCREW")</f>
        <v>ITBISA-RAPID-BOHLAM-E10-3.8V-SCREW</v>
      </c>
      <c r="B3122" s="165">
        <f>IFERROR(__xludf.DUMMYFUNCTION("""COMPUTED_VALUE"""),46198.0)</f>
        <v>46198</v>
      </c>
      <c r="C3122" s="165" t="str">
        <f>IFERROR(__xludf.DUMMYFUNCTION("""COMPUTED_VALUE"""),"KYAI KONTONG")</f>
        <v>KYAI KONTONG</v>
      </c>
      <c r="D3122" s="94">
        <f>IFERROR(__xludf.DUMMYFUNCTION("""COMPUTED_VALUE"""),10.0)</f>
        <v>10</v>
      </c>
    </row>
    <row r="3123">
      <c r="A3123" s="87" t="str">
        <f>IFERROR(__xludf.DUMMYFUNCTION("""COMPUTED_VALUE"""),"ITBISA-RELAY-12V-4PIN-BLUE")</f>
        <v>ITBISA-RELAY-12V-4PIN-BLUE</v>
      </c>
      <c r="B3123" s="165">
        <f>IFERROR(__xludf.DUMMYFUNCTION("""COMPUTED_VALUE"""),46032.0)</f>
        <v>46032</v>
      </c>
      <c r="C3123" s="165" t="str">
        <f>IFERROR(__xludf.DUMMYFUNCTION("""COMPUTED_VALUE"""),"KERTASARI CIAMIS")</f>
        <v>KERTASARI CIAMIS</v>
      </c>
      <c r="D3123" s="94">
        <f>IFERROR(__xludf.DUMMYFUNCTION("""COMPUTED_VALUE"""),4.0)</f>
        <v>4</v>
      </c>
    </row>
    <row r="3124">
      <c r="A3124" s="87" t="str">
        <f>IFERROR(__xludf.DUMMYFUNCTION("""COMPUTED_VALUE"""),"ITBISA-RELAY-12V-4PIN-BLUE")</f>
        <v>ITBISA-RELAY-12V-4PIN-BLUE</v>
      </c>
      <c r="B3124" s="165">
        <f>IFERROR(__xludf.DUMMYFUNCTION("""COMPUTED_VALUE"""),46052.0)</f>
        <v>46052</v>
      </c>
      <c r="C3124" s="165" t="str">
        <f>IFERROR(__xludf.DUMMYFUNCTION("""COMPUTED_VALUE"""),"KERTASARI CIAMIS")</f>
        <v>KERTASARI CIAMIS</v>
      </c>
      <c r="D3124" s="94">
        <f>IFERROR(__xludf.DUMMYFUNCTION("""COMPUTED_VALUE"""),5.0)</f>
        <v>5</v>
      </c>
    </row>
    <row r="3125">
      <c r="A3125" s="87" t="str">
        <f>IFERROR(__xludf.DUMMYFUNCTION("""COMPUTED_VALUE"""),"ITBISA-RELAY-12V-4PIN-BLUE")</f>
        <v>ITBISA-RELAY-12V-4PIN-BLUE</v>
      </c>
      <c r="B3125" s="165">
        <f>IFERROR(__xludf.DUMMYFUNCTION("""COMPUTED_VALUE"""),46057.0)</f>
        <v>46057</v>
      </c>
      <c r="C3125" s="165" t="str">
        <f>IFERROR(__xludf.DUMMYFUNCTION("""COMPUTED_VALUE"""),"KERTASARI CIAMIS")</f>
        <v>KERTASARI CIAMIS</v>
      </c>
      <c r="D3125" s="94">
        <f>IFERROR(__xludf.DUMMYFUNCTION("""COMPUTED_VALUE"""),5.0)</f>
        <v>5</v>
      </c>
    </row>
    <row r="3126">
      <c r="A3126" s="87" t="str">
        <f>IFERROR(__xludf.DUMMYFUNCTION("""COMPUTED_VALUE"""),"ITBISA-RELAY-12V-4PIN-BLUE")</f>
        <v>ITBISA-RELAY-12V-4PIN-BLUE</v>
      </c>
      <c r="B3126" s="165">
        <f>IFERROR(__xludf.DUMMYFUNCTION("""COMPUTED_VALUE"""),46057.0)</f>
        <v>46057</v>
      </c>
      <c r="C3126" s="165" t="str">
        <f>IFERROR(__xludf.DUMMYFUNCTION("""COMPUTED_VALUE"""),"KERTASARI CIAMIS")</f>
        <v>KERTASARI CIAMIS</v>
      </c>
      <c r="D3126" s="94">
        <f>IFERROR(__xludf.DUMMYFUNCTION("""COMPUTED_VALUE"""),12.0)</f>
        <v>12</v>
      </c>
    </row>
    <row r="3127">
      <c r="A3127" s="87" t="str">
        <f>IFERROR(__xludf.DUMMYFUNCTION("""COMPUTED_VALUE"""),"ITBISA-RELAY-12V-4PIN-BLUE")</f>
        <v>ITBISA-RELAY-12V-4PIN-BLUE</v>
      </c>
      <c r="B3127" s="165">
        <f>IFERROR(__xludf.DUMMYFUNCTION("""COMPUTED_VALUE"""),46058.0)</f>
        <v>46058</v>
      </c>
      <c r="C3127" s="165" t="str">
        <f>IFERROR(__xludf.DUMMYFUNCTION("""COMPUTED_VALUE"""),"KERTASARI CIAMIS")</f>
        <v>KERTASARI CIAMIS</v>
      </c>
      <c r="D3127" s="94">
        <f>IFERROR(__xludf.DUMMYFUNCTION("""COMPUTED_VALUE"""),40.0)</f>
        <v>40</v>
      </c>
    </row>
    <row r="3128">
      <c r="A3128" s="87" t="str">
        <f>IFERROR(__xludf.DUMMYFUNCTION("""COMPUTED_VALUE"""),"ITBISA-RELAY-12V-4PIN-BLUE")</f>
        <v>ITBISA-RELAY-12V-4PIN-BLUE</v>
      </c>
      <c r="B3128" s="165">
        <f>IFERROR(__xludf.DUMMYFUNCTION("""COMPUTED_VALUE"""),46062.0)</f>
        <v>46062</v>
      </c>
      <c r="C3128" s="165" t="str">
        <f>IFERROR(__xludf.DUMMYFUNCTION("""COMPUTED_VALUE"""),"KERTASARI CIAMIS")</f>
        <v>KERTASARI CIAMIS</v>
      </c>
      <c r="D3128" s="94">
        <f>IFERROR(__xludf.DUMMYFUNCTION("""COMPUTED_VALUE"""),5.0)</f>
        <v>5</v>
      </c>
    </row>
    <row r="3129">
      <c r="A3129" s="87" t="str">
        <f>IFERROR(__xludf.DUMMYFUNCTION("""COMPUTED_VALUE"""),"ITBISA-RELAY-12V-4PIN-BLUE")</f>
        <v>ITBISA-RELAY-12V-4PIN-BLUE</v>
      </c>
      <c r="B3129" s="165">
        <f>IFERROR(__xludf.DUMMYFUNCTION("""COMPUTED_VALUE"""),46063.0)</f>
        <v>46063</v>
      </c>
      <c r="C3129" s="165" t="str">
        <f>IFERROR(__xludf.DUMMYFUNCTION("""COMPUTED_VALUE"""),"KERTASARI CIAMIS")</f>
        <v>KERTASARI CIAMIS</v>
      </c>
      <c r="D3129" s="94">
        <f>IFERROR(__xludf.DUMMYFUNCTION("""COMPUTED_VALUE"""),5.0)</f>
        <v>5</v>
      </c>
    </row>
    <row r="3130">
      <c r="A3130" s="87" t="str">
        <f>IFERROR(__xludf.DUMMYFUNCTION("""COMPUTED_VALUE"""),"ITBISA-RELAY-12V-4PIN-BLUE")</f>
        <v>ITBISA-RELAY-12V-4PIN-BLUE</v>
      </c>
      <c r="B3130" s="165">
        <f>IFERROR(__xludf.DUMMYFUNCTION("""COMPUTED_VALUE"""),46067.0)</f>
        <v>46067</v>
      </c>
      <c r="C3130" s="165" t="str">
        <f>IFERROR(__xludf.DUMMYFUNCTION("""COMPUTED_VALUE"""),"KERTASARI CIAMIS")</f>
        <v>KERTASARI CIAMIS</v>
      </c>
      <c r="D3130" s="94">
        <f>IFERROR(__xludf.DUMMYFUNCTION("""COMPUTED_VALUE"""),5.0)</f>
        <v>5</v>
      </c>
    </row>
    <row r="3131">
      <c r="A3131" s="87" t="str">
        <f>IFERROR(__xludf.DUMMYFUNCTION("""COMPUTED_VALUE"""),"ITBISA-RELAY-12V-4PIN-BLUE")</f>
        <v>ITBISA-RELAY-12V-4PIN-BLUE</v>
      </c>
      <c r="B3131" s="165">
        <f>IFERROR(__xludf.DUMMYFUNCTION("""COMPUTED_VALUE"""),46069.0)</f>
        <v>46069</v>
      </c>
      <c r="C3131" s="165" t="str">
        <f>IFERROR(__xludf.DUMMYFUNCTION("""COMPUTED_VALUE"""),"KERTASARI CIAMIS")</f>
        <v>KERTASARI CIAMIS</v>
      </c>
      <c r="D3131" s="94">
        <f>IFERROR(__xludf.DUMMYFUNCTION("""COMPUTED_VALUE"""),5.0)</f>
        <v>5</v>
      </c>
    </row>
    <row r="3132">
      <c r="A3132" s="87" t="str">
        <f>IFERROR(__xludf.DUMMYFUNCTION("""COMPUTED_VALUE"""),"ITBISA-RELAY-12V-4PIN-BLUE")</f>
        <v>ITBISA-RELAY-12V-4PIN-BLUE</v>
      </c>
      <c r="B3132" s="165">
        <f>IFERROR(__xludf.DUMMYFUNCTION("""COMPUTED_VALUE"""),46071.0)</f>
        <v>46071</v>
      </c>
      <c r="C3132" s="165" t="str">
        <f>IFERROR(__xludf.DUMMYFUNCTION("""COMPUTED_VALUE"""),"KERTASARI CIAMIS")</f>
        <v>KERTASARI CIAMIS</v>
      </c>
      <c r="D3132" s="94">
        <f>IFERROR(__xludf.DUMMYFUNCTION("""COMPUTED_VALUE"""),5.0)</f>
        <v>5</v>
      </c>
    </row>
    <row r="3133">
      <c r="A3133" s="87" t="str">
        <f>IFERROR(__xludf.DUMMYFUNCTION("""COMPUTED_VALUE"""),"ITBISA-RELAY-12V-4PIN-BLUE")</f>
        <v>ITBISA-RELAY-12V-4PIN-BLUE</v>
      </c>
      <c r="B3133" s="165">
        <f>IFERROR(__xludf.DUMMYFUNCTION("""COMPUTED_VALUE"""),46072.0)</f>
        <v>46072</v>
      </c>
      <c r="C3133" s="165" t="str">
        <f>IFERROR(__xludf.DUMMYFUNCTION("""COMPUTED_VALUE"""),"KERTASARI CIAMIS")</f>
        <v>KERTASARI CIAMIS</v>
      </c>
      <c r="D3133" s="94">
        <f>IFERROR(__xludf.DUMMYFUNCTION("""COMPUTED_VALUE"""),5.0)</f>
        <v>5</v>
      </c>
    </row>
    <row r="3134">
      <c r="A3134" s="87" t="str">
        <f>IFERROR(__xludf.DUMMYFUNCTION("""COMPUTED_VALUE"""),"ITBISA-RELAY-12V-4PIN-BLUE")</f>
        <v>ITBISA-RELAY-12V-4PIN-BLUE</v>
      </c>
      <c r="B3134" s="165">
        <f>IFERROR(__xludf.DUMMYFUNCTION("""COMPUTED_VALUE"""),46072.0)</f>
        <v>46072</v>
      </c>
      <c r="C3134" s="165" t="str">
        <f>IFERROR(__xludf.DUMMYFUNCTION("""COMPUTED_VALUE"""),"KERTASARI CIAMIS")</f>
        <v>KERTASARI CIAMIS</v>
      </c>
      <c r="D3134" s="94">
        <f>IFERROR(__xludf.DUMMYFUNCTION("""COMPUTED_VALUE"""),5.0)</f>
        <v>5</v>
      </c>
    </row>
    <row r="3135">
      <c r="A3135" s="87" t="str">
        <f>IFERROR(__xludf.DUMMYFUNCTION("""COMPUTED_VALUE"""),"ITBISA-RELAY-12V-4PIN-BLUE")</f>
        <v>ITBISA-RELAY-12V-4PIN-BLUE</v>
      </c>
      <c r="B3135" s="165">
        <f>IFERROR(__xludf.DUMMYFUNCTION("""COMPUTED_VALUE"""),46072.0)</f>
        <v>46072</v>
      </c>
      <c r="C3135" s="165" t="str">
        <f>IFERROR(__xludf.DUMMYFUNCTION("""COMPUTED_VALUE"""),"KERTASARI CIAMIS")</f>
        <v>KERTASARI CIAMIS</v>
      </c>
      <c r="D3135" s="94">
        <f>IFERROR(__xludf.DUMMYFUNCTION("""COMPUTED_VALUE"""),300.0)</f>
        <v>300</v>
      </c>
    </row>
    <row r="3136">
      <c r="A3136" s="87" t="str">
        <f>IFERROR(__xludf.DUMMYFUNCTION("""COMPUTED_VALUE"""),"ITBISA-RELAY-12V-4PIN-BLUE")</f>
        <v>ITBISA-RELAY-12V-4PIN-BLUE</v>
      </c>
      <c r="B3136" s="165">
        <f>IFERROR(__xludf.DUMMYFUNCTION("""COMPUTED_VALUE"""),46132.0)</f>
        <v>46132</v>
      </c>
      <c r="C3136" s="165" t="str">
        <f>IFERROR(__xludf.DUMMYFUNCTION("""COMPUTED_VALUE"""),"KYAI KONTONG")</f>
        <v>KYAI KONTONG</v>
      </c>
      <c r="D3136" s="94">
        <f>IFERROR(__xludf.DUMMYFUNCTION("""COMPUTED_VALUE"""),25.0)</f>
        <v>25</v>
      </c>
    </row>
    <row r="3137">
      <c r="A3137" s="87" t="str">
        <f>IFERROR(__xludf.DUMMYFUNCTION("""COMPUTED_VALUE"""),"ITBISA-RELAY-12V-4PIN-BLUE")</f>
        <v>ITBISA-RELAY-12V-4PIN-BLUE</v>
      </c>
      <c r="B3137" s="165">
        <f>IFERROR(__xludf.DUMMYFUNCTION("""COMPUTED_VALUE"""),46133.0)</f>
        <v>46133</v>
      </c>
      <c r="C3137" s="165" t="str">
        <f>IFERROR(__xludf.DUMMYFUNCTION("""COMPUTED_VALUE"""),"KYAI KONTONG")</f>
        <v>KYAI KONTONG</v>
      </c>
      <c r="D3137" s="94">
        <f>IFERROR(__xludf.DUMMYFUNCTION("""COMPUTED_VALUE"""),5.0)</f>
        <v>5</v>
      </c>
    </row>
    <row r="3138">
      <c r="A3138" s="87" t="str">
        <f>IFERROR(__xludf.DUMMYFUNCTION("""COMPUTED_VALUE"""),"ITBISA-RELAY-12V-4PIN-BLUE")</f>
        <v>ITBISA-RELAY-12V-4PIN-BLUE</v>
      </c>
      <c r="B3138" s="165">
        <f>IFERROR(__xludf.DUMMYFUNCTION("""COMPUTED_VALUE"""),46133.0)</f>
        <v>46133</v>
      </c>
      <c r="C3138" s="165" t="str">
        <f>IFERROR(__xludf.DUMMYFUNCTION("""COMPUTED_VALUE"""),"KYAI KONTONG")</f>
        <v>KYAI KONTONG</v>
      </c>
      <c r="D3138" s="94">
        <f>IFERROR(__xludf.DUMMYFUNCTION("""COMPUTED_VALUE"""),5.0)</f>
        <v>5</v>
      </c>
    </row>
    <row r="3139">
      <c r="A3139" s="87" t="str">
        <f>IFERROR(__xludf.DUMMYFUNCTION("""COMPUTED_VALUE"""),"ITBISA-RELAY-12V-4PIN-BLUE")</f>
        <v>ITBISA-RELAY-12V-4PIN-BLUE</v>
      </c>
      <c r="B3139" s="165">
        <f>IFERROR(__xludf.DUMMYFUNCTION("""COMPUTED_VALUE"""),46133.0)</f>
        <v>46133</v>
      </c>
      <c r="C3139" s="165" t="str">
        <f>IFERROR(__xludf.DUMMYFUNCTION("""COMPUTED_VALUE"""),"KYAI KONTONG")</f>
        <v>KYAI KONTONG</v>
      </c>
      <c r="D3139" s="94">
        <f>IFERROR(__xludf.DUMMYFUNCTION("""COMPUTED_VALUE"""),5.0)</f>
        <v>5</v>
      </c>
    </row>
    <row r="3140">
      <c r="A3140" s="87" t="str">
        <f>IFERROR(__xludf.DUMMYFUNCTION("""COMPUTED_VALUE"""),"ITBISA-RELAY-12V-4PIN-BLUE")</f>
        <v>ITBISA-RELAY-12V-4PIN-BLUE</v>
      </c>
      <c r="B3140" s="165">
        <f>IFERROR(__xludf.DUMMYFUNCTION("""COMPUTED_VALUE"""),46134.0)</f>
        <v>46134</v>
      </c>
      <c r="C3140" s="165" t="str">
        <f>IFERROR(__xludf.DUMMYFUNCTION("""COMPUTED_VALUE"""),"KYAI KONTONG")</f>
        <v>KYAI KONTONG</v>
      </c>
      <c r="D3140" s="94">
        <f>IFERROR(__xludf.DUMMYFUNCTION("""COMPUTED_VALUE"""),5.0)</f>
        <v>5</v>
      </c>
    </row>
    <row r="3141">
      <c r="A3141" s="87" t="str">
        <f>IFERROR(__xludf.DUMMYFUNCTION("""COMPUTED_VALUE"""),"ITBISA-RELAY-12V-4PIN-BLUE")</f>
        <v>ITBISA-RELAY-12V-4PIN-BLUE</v>
      </c>
      <c r="B3141" s="165">
        <f>IFERROR(__xludf.DUMMYFUNCTION("""COMPUTED_VALUE"""),46135.0)</f>
        <v>46135</v>
      </c>
      <c r="C3141" s="165" t="str">
        <f>IFERROR(__xludf.DUMMYFUNCTION("""COMPUTED_VALUE"""),"KYAI KONTONG")</f>
        <v>KYAI KONTONG</v>
      </c>
      <c r="D3141" s="94">
        <f>IFERROR(__xludf.DUMMYFUNCTION("""COMPUTED_VALUE"""),6.0)</f>
        <v>6</v>
      </c>
    </row>
    <row r="3142">
      <c r="A3142" s="87" t="str">
        <f>IFERROR(__xludf.DUMMYFUNCTION("""COMPUTED_VALUE"""),"ITBISA-RELAY-12V-4PIN-BLUE")</f>
        <v>ITBISA-RELAY-12V-4PIN-BLUE</v>
      </c>
      <c r="B3142" s="165">
        <f>IFERROR(__xludf.DUMMYFUNCTION("""COMPUTED_VALUE"""),46135.0)</f>
        <v>46135</v>
      </c>
      <c r="C3142" s="165" t="str">
        <f>IFERROR(__xludf.DUMMYFUNCTION("""COMPUTED_VALUE"""),"KYAI KONTONG")</f>
        <v>KYAI KONTONG</v>
      </c>
      <c r="D3142" s="94">
        <f>IFERROR(__xludf.DUMMYFUNCTION("""COMPUTED_VALUE"""),10.0)</f>
        <v>10</v>
      </c>
    </row>
    <row r="3143">
      <c r="A3143" s="87" t="str">
        <f>IFERROR(__xludf.DUMMYFUNCTION("""COMPUTED_VALUE"""),"ITBISA-RELAY-12V-4PIN-BLUE")</f>
        <v>ITBISA-RELAY-12V-4PIN-BLUE</v>
      </c>
      <c r="B3143" s="165">
        <f>IFERROR(__xludf.DUMMYFUNCTION("""COMPUTED_VALUE"""),46135.0)</f>
        <v>46135</v>
      </c>
      <c r="C3143" s="165" t="str">
        <f>IFERROR(__xludf.DUMMYFUNCTION("""COMPUTED_VALUE"""),"KYAI KONTONG")</f>
        <v>KYAI KONTONG</v>
      </c>
      <c r="D3143" s="94">
        <f>IFERROR(__xludf.DUMMYFUNCTION("""COMPUTED_VALUE"""),40.0)</f>
        <v>40</v>
      </c>
    </row>
    <row r="3144">
      <c r="A3144" s="87" t="str">
        <f>IFERROR(__xludf.DUMMYFUNCTION("""COMPUTED_VALUE"""),"ITBISA-RELAY-12V-4PIN-BLUE")</f>
        <v>ITBISA-RELAY-12V-4PIN-BLUE</v>
      </c>
      <c r="B3144" s="165">
        <f>IFERROR(__xludf.DUMMYFUNCTION("""COMPUTED_VALUE"""),46136.0)</f>
        <v>46136</v>
      </c>
      <c r="C3144" s="165" t="str">
        <f>IFERROR(__xludf.DUMMYFUNCTION("""COMPUTED_VALUE"""),"KYAI KONTONG")</f>
        <v>KYAI KONTONG</v>
      </c>
      <c r="D3144" s="94">
        <f>IFERROR(__xludf.DUMMYFUNCTION("""COMPUTED_VALUE"""),5.0)</f>
        <v>5</v>
      </c>
    </row>
    <row r="3145">
      <c r="A3145" s="87" t="str">
        <f>IFERROR(__xludf.DUMMYFUNCTION("""COMPUTED_VALUE"""),"ITBISA-RELAY-12V-4PIN-BLUE")</f>
        <v>ITBISA-RELAY-12V-4PIN-BLUE</v>
      </c>
      <c r="B3145" s="165">
        <f>IFERROR(__xludf.DUMMYFUNCTION("""COMPUTED_VALUE"""),46138.0)</f>
        <v>46138</v>
      </c>
      <c r="C3145" s="165" t="str">
        <f>IFERROR(__xludf.DUMMYFUNCTION("""COMPUTED_VALUE"""),"KYAI KONTONG")</f>
        <v>KYAI KONTONG</v>
      </c>
      <c r="D3145" s="94">
        <f>IFERROR(__xludf.DUMMYFUNCTION("""COMPUTED_VALUE"""),5.0)</f>
        <v>5</v>
      </c>
    </row>
    <row r="3146">
      <c r="A3146" s="87" t="str">
        <f>IFERROR(__xludf.DUMMYFUNCTION("""COMPUTED_VALUE"""),"ITBISA-RELAY-12V-4PIN-BLUE")</f>
        <v>ITBISA-RELAY-12V-4PIN-BLUE</v>
      </c>
      <c r="B3146" s="165">
        <f>IFERROR(__xludf.DUMMYFUNCTION("""COMPUTED_VALUE"""),46138.0)</f>
        <v>46138</v>
      </c>
      <c r="C3146" s="165" t="str">
        <f>IFERROR(__xludf.DUMMYFUNCTION("""COMPUTED_VALUE"""),"KYAI KONTONG")</f>
        <v>KYAI KONTONG</v>
      </c>
      <c r="D3146" s="94">
        <f>IFERROR(__xludf.DUMMYFUNCTION("""COMPUTED_VALUE"""),5.0)</f>
        <v>5</v>
      </c>
    </row>
    <row r="3147">
      <c r="A3147" s="87" t="str">
        <f>IFERROR(__xludf.DUMMYFUNCTION("""COMPUTED_VALUE"""),"ITBISA-RELAY-12V-4PIN-BLUE")</f>
        <v>ITBISA-RELAY-12V-4PIN-BLUE</v>
      </c>
      <c r="B3147" s="165">
        <f>IFERROR(__xludf.DUMMYFUNCTION("""COMPUTED_VALUE"""),46139.0)</f>
        <v>46139</v>
      </c>
      <c r="C3147" s="165" t="str">
        <f>IFERROR(__xludf.DUMMYFUNCTION("""COMPUTED_VALUE"""),"KYAI KONTONG")</f>
        <v>KYAI KONTONG</v>
      </c>
      <c r="D3147" s="94">
        <f>IFERROR(__xludf.DUMMYFUNCTION("""COMPUTED_VALUE"""),5.0)</f>
        <v>5</v>
      </c>
    </row>
    <row r="3148">
      <c r="A3148" s="87" t="str">
        <f>IFERROR(__xludf.DUMMYFUNCTION("""COMPUTED_VALUE"""),"ITBISA-RELAY-12V-4PIN-BLUE")</f>
        <v>ITBISA-RELAY-12V-4PIN-BLUE</v>
      </c>
      <c r="B3148" s="165">
        <f>IFERROR(__xludf.DUMMYFUNCTION("""COMPUTED_VALUE"""),46139.0)</f>
        <v>46139</v>
      </c>
      <c r="C3148" s="165" t="str">
        <f>IFERROR(__xludf.DUMMYFUNCTION("""COMPUTED_VALUE"""),"KYAI KONTONG")</f>
        <v>KYAI KONTONG</v>
      </c>
      <c r="D3148" s="94">
        <f>IFERROR(__xludf.DUMMYFUNCTION("""COMPUTED_VALUE"""),5.0)</f>
        <v>5</v>
      </c>
    </row>
    <row r="3149">
      <c r="A3149" s="87" t="str">
        <f>IFERROR(__xludf.DUMMYFUNCTION("""COMPUTED_VALUE"""),"ITBISA-RELAY-12V-4PIN-BLUE")</f>
        <v>ITBISA-RELAY-12V-4PIN-BLUE</v>
      </c>
      <c r="B3149" s="165">
        <f>IFERROR(__xludf.DUMMYFUNCTION("""COMPUTED_VALUE"""),46139.0)</f>
        <v>46139</v>
      </c>
      <c r="C3149" s="165" t="str">
        <f>IFERROR(__xludf.DUMMYFUNCTION("""COMPUTED_VALUE"""),"KYAI KONTONG")</f>
        <v>KYAI KONTONG</v>
      </c>
      <c r="D3149" s="94">
        <f>IFERROR(__xludf.DUMMYFUNCTION("""COMPUTED_VALUE"""),30.0)</f>
        <v>30</v>
      </c>
    </row>
    <row r="3150">
      <c r="A3150" s="87" t="str">
        <f>IFERROR(__xludf.DUMMYFUNCTION("""COMPUTED_VALUE"""),"ITBISA-RELAY-12V-4PIN-BLUE")</f>
        <v>ITBISA-RELAY-12V-4PIN-BLUE</v>
      </c>
      <c r="B3150" s="165">
        <f>IFERROR(__xludf.DUMMYFUNCTION("""COMPUTED_VALUE"""),46140.0)</f>
        <v>46140</v>
      </c>
      <c r="C3150" s="165" t="str">
        <f>IFERROR(__xludf.DUMMYFUNCTION("""COMPUTED_VALUE"""),"KYAI KONTONG")</f>
        <v>KYAI KONTONG</v>
      </c>
      <c r="D3150" s="94">
        <f>IFERROR(__xludf.DUMMYFUNCTION("""COMPUTED_VALUE"""),5.0)</f>
        <v>5</v>
      </c>
    </row>
    <row r="3151">
      <c r="A3151" s="87" t="str">
        <f>IFERROR(__xludf.DUMMYFUNCTION("""COMPUTED_VALUE"""),"ITBISA-RELAY-12V-4PIN-BLUE")</f>
        <v>ITBISA-RELAY-12V-4PIN-BLUE</v>
      </c>
      <c r="B3151" s="165">
        <f>IFERROR(__xludf.DUMMYFUNCTION("""COMPUTED_VALUE"""),46141.0)</f>
        <v>46141</v>
      </c>
      <c r="C3151" s="165" t="str">
        <f>IFERROR(__xludf.DUMMYFUNCTION("""COMPUTED_VALUE"""),"KYAI KONTONG")</f>
        <v>KYAI KONTONG</v>
      </c>
      <c r="D3151" s="94">
        <f>IFERROR(__xludf.DUMMYFUNCTION("""COMPUTED_VALUE"""),5.0)</f>
        <v>5</v>
      </c>
    </row>
    <row r="3152">
      <c r="A3152" s="87" t="str">
        <f>IFERROR(__xludf.DUMMYFUNCTION("""COMPUTED_VALUE"""),"ITBISA-RELAY-12V-4PIN-BLUE")</f>
        <v>ITBISA-RELAY-12V-4PIN-BLUE</v>
      </c>
      <c r="B3152" s="165">
        <f>IFERROR(__xludf.DUMMYFUNCTION("""COMPUTED_VALUE"""),46141.0)</f>
        <v>46141</v>
      </c>
      <c r="C3152" s="165" t="str">
        <f>IFERROR(__xludf.DUMMYFUNCTION("""COMPUTED_VALUE"""),"KYAI KONTONG")</f>
        <v>KYAI KONTONG</v>
      </c>
      <c r="D3152" s="94">
        <f>IFERROR(__xludf.DUMMYFUNCTION("""COMPUTED_VALUE"""),5.0)</f>
        <v>5</v>
      </c>
    </row>
    <row r="3153">
      <c r="A3153" s="87" t="str">
        <f>IFERROR(__xludf.DUMMYFUNCTION("""COMPUTED_VALUE"""),"ITBISA-RELAY-12V-4PIN-BLUE")</f>
        <v>ITBISA-RELAY-12V-4PIN-BLUE</v>
      </c>
      <c r="B3153" s="165">
        <f>IFERROR(__xludf.DUMMYFUNCTION("""COMPUTED_VALUE"""),46141.0)</f>
        <v>46141</v>
      </c>
      <c r="C3153" s="165" t="str">
        <f>IFERROR(__xludf.DUMMYFUNCTION("""COMPUTED_VALUE"""),"KYAI KONTONG")</f>
        <v>KYAI KONTONG</v>
      </c>
      <c r="D3153" s="94">
        <f>IFERROR(__xludf.DUMMYFUNCTION("""COMPUTED_VALUE"""),40.0)</f>
        <v>40</v>
      </c>
    </row>
    <row r="3154">
      <c r="A3154" s="87" t="str">
        <f>IFERROR(__xludf.DUMMYFUNCTION("""COMPUTED_VALUE"""),"ITBISA-RELAY-12V-4PIN-BLUE")</f>
        <v>ITBISA-RELAY-12V-4PIN-BLUE</v>
      </c>
      <c r="B3154" s="165">
        <f>IFERROR(__xludf.DUMMYFUNCTION("""COMPUTED_VALUE"""),46142.0)</f>
        <v>46142</v>
      </c>
      <c r="C3154" s="165" t="str">
        <f>IFERROR(__xludf.DUMMYFUNCTION("""COMPUTED_VALUE"""),"KYAI KONTONG")</f>
        <v>KYAI KONTONG</v>
      </c>
      <c r="D3154" s="94">
        <f>IFERROR(__xludf.DUMMYFUNCTION("""COMPUTED_VALUE"""),15.0)</f>
        <v>15</v>
      </c>
    </row>
    <row r="3155">
      <c r="A3155" s="87" t="str">
        <f>IFERROR(__xludf.DUMMYFUNCTION("""COMPUTED_VALUE"""),"ITBISA-RELAY-12V-4PIN-BLUE")</f>
        <v>ITBISA-RELAY-12V-4PIN-BLUE</v>
      </c>
      <c r="B3155" s="165">
        <f>IFERROR(__xludf.DUMMYFUNCTION("""COMPUTED_VALUE"""),46143.0)</f>
        <v>46143</v>
      </c>
      <c r="C3155" s="165" t="str">
        <f>IFERROR(__xludf.DUMMYFUNCTION("""COMPUTED_VALUE"""),"KYAI KONTONG")</f>
        <v>KYAI KONTONG</v>
      </c>
      <c r="D3155" s="94">
        <f>IFERROR(__xludf.DUMMYFUNCTION("""COMPUTED_VALUE"""),10.0)</f>
        <v>10</v>
      </c>
    </row>
    <row r="3156">
      <c r="A3156" s="87" t="str">
        <f>IFERROR(__xludf.DUMMYFUNCTION("""COMPUTED_VALUE"""),"ITBISA-RELAY-12V-4PIN-BLUE")</f>
        <v>ITBISA-RELAY-12V-4PIN-BLUE</v>
      </c>
      <c r="B3156" s="165">
        <f>IFERROR(__xludf.DUMMYFUNCTION("""COMPUTED_VALUE"""),46144.0)</f>
        <v>46144</v>
      </c>
      <c r="C3156" s="165" t="str">
        <f>IFERROR(__xludf.DUMMYFUNCTION("""COMPUTED_VALUE"""),"KYAI KONTONG")</f>
        <v>KYAI KONTONG</v>
      </c>
      <c r="D3156" s="94">
        <f>IFERROR(__xludf.DUMMYFUNCTION("""COMPUTED_VALUE"""),5.0)</f>
        <v>5</v>
      </c>
    </row>
    <row r="3157">
      <c r="A3157" s="87" t="str">
        <f>IFERROR(__xludf.DUMMYFUNCTION("""COMPUTED_VALUE"""),"ITBISA-RELAY-12V-4PIN-BLUE")</f>
        <v>ITBISA-RELAY-12V-4PIN-BLUE</v>
      </c>
      <c r="B3157" s="165">
        <f>IFERROR(__xludf.DUMMYFUNCTION("""COMPUTED_VALUE"""),46144.0)</f>
        <v>46144</v>
      </c>
      <c r="C3157" s="165" t="str">
        <f>IFERROR(__xludf.DUMMYFUNCTION("""COMPUTED_VALUE"""),"KYAI KONTONG")</f>
        <v>KYAI KONTONG</v>
      </c>
      <c r="D3157" s="94">
        <f>IFERROR(__xludf.DUMMYFUNCTION("""COMPUTED_VALUE"""),10.0)</f>
        <v>10</v>
      </c>
    </row>
    <row r="3158">
      <c r="A3158" s="87" t="str">
        <f>IFERROR(__xludf.DUMMYFUNCTION("""COMPUTED_VALUE"""),"ITBISA-RELAY-12V-4PIN-BLUE")</f>
        <v>ITBISA-RELAY-12V-4PIN-BLUE</v>
      </c>
      <c r="B3158" s="165">
        <f>IFERROR(__xludf.DUMMYFUNCTION("""COMPUTED_VALUE"""),46146.0)</f>
        <v>46146</v>
      </c>
      <c r="C3158" s="165" t="str">
        <f>IFERROR(__xludf.DUMMYFUNCTION("""COMPUTED_VALUE"""),"KYAI KONTONG")</f>
        <v>KYAI KONTONG</v>
      </c>
      <c r="D3158" s="94">
        <f>IFERROR(__xludf.DUMMYFUNCTION("""COMPUTED_VALUE"""),5.0)</f>
        <v>5</v>
      </c>
    </row>
    <row r="3159">
      <c r="A3159" s="87" t="str">
        <f>IFERROR(__xludf.DUMMYFUNCTION("""COMPUTED_VALUE"""),"ITBISA-RELAY-12V-4PIN-BLUE")</f>
        <v>ITBISA-RELAY-12V-4PIN-BLUE</v>
      </c>
      <c r="B3159" s="165">
        <f>IFERROR(__xludf.DUMMYFUNCTION("""COMPUTED_VALUE"""),46146.0)</f>
        <v>46146</v>
      </c>
      <c r="C3159" s="165" t="str">
        <f>IFERROR(__xludf.DUMMYFUNCTION("""COMPUTED_VALUE"""),"KYAI KONTONG")</f>
        <v>KYAI KONTONG</v>
      </c>
      <c r="D3159" s="94">
        <f>IFERROR(__xludf.DUMMYFUNCTION("""COMPUTED_VALUE"""),5.0)</f>
        <v>5</v>
      </c>
    </row>
    <row r="3160">
      <c r="A3160" s="87" t="str">
        <f>IFERROR(__xludf.DUMMYFUNCTION("""COMPUTED_VALUE"""),"ITBISA-RELAY-12V-4PIN-BLUE")</f>
        <v>ITBISA-RELAY-12V-4PIN-BLUE</v>
      </c>
      <c r="B3160" s="165">
        <f>IFERROR(__xludf.DUMMYFUNCTION("""COMPUTED_VALUE"""),46147.0)</f>
        <v>46147</v>
      </c>
      <c r="C3160" s="165" t="str">
        <f>IFERROR(__xludf.DUMMYFUNCTION("""COMPUTED_VALUE"""),"KYAI KONTONG")</f>
        <v>KYAI KONTONG</v>
      </c>
      <c r="D3160" s="94">
        <f>IFERROR(__xludf.DUMMYFUNCTION("""COMPUTED_VALUE"""),5.0)</f>
        <v>5</v>
      </c>
    </row>
    <row r="3161">
      <c r="A3161" s="87" t="str">
        <f>IFERROR(__xludf.DUMMYFUNCTION("""COMPUTED_VALUE"""),"ITBISA-RELAY-12V-4PIN-BLUE")</f>
        <v>ITBISA-RELAY-12V-4PIN-BLUE</v>
      </c>
      <c r="B3161" s="165">
        <f>IFERROR(__xludf.DUMMYFUNCTION("""COMPUTED_VALUE"""),46147.0)</f>
        <v>46147</v>
      </c>
      <c r="C3161" s="165" t="str">
        <f>IFERROR(__xludf.DUMMYFUNCTION("""COMPUTED_VALUE"""),"KYAI KONTONG")</f>
        <v>KYAI KONTONG</v>
      </c>
      <c r="D3161" s="94">
        <f>IFERROR(__xludf.DUMMYFUNCTION("""COMPUTED_VALUE"""),5.0)</f>
        <v>5</v>
      </c>
    </row>
    <row r="3162">
      <c r="A3162" s="87" t="str">
        <f>IFERROR(__xludf.DUMMYFUNCTION("""COMPUTED_VALUE"""),"ITBISA-RELAY-12V-4PIN-BLUE")</f>
        <v>ITBISA-RELAY-12V-4PIN-BLUE</v>
      </c>
      <c r="B3162" s="165">
        <f>IFERROR(__xludf.DUMMYFUNCTION("""COMPUTED_VALUE"""),46147.0)</f>
        <v>46147</v>
      </c>
      <c r="C3162" s="165" t="str">
        <f>IFERROR(__xludf.DUMMYFUNCTION("""COMPUTED_VALUE"""),"KYAI KONTONG")</f>
        <v>KYAI KONTONG</v>
      </c>
      <c r="D3162" s="94">
        <f>IFERROR(__xludf.DUMMYFUNCTION("""COMPUTED_VALUE"""),5.0)</f>
        <v>5</v>
      </c>
    </row>
    <row r="3163">
      <c r="A3163" s="87" t="str">
        <f>IFERROR(__xludf.DUMMYFUNCTION("""COMPUTED_VALUE"""),"ITBISA-RELAY-12V-4PIN-BLUE")</f>
        <v>ITBISA-RELAY-12V-4PIN-BLUE</v>
      </c>
      <c r="B3163" s="165">
        <f>IFERROR(__xludf.DUMMYFUNCTION("""COMPUTED_VALUE"""),46147.0)</f>
        <v>46147</v>
      </c>
      <c r="C3163" s="165" t="str">
        <f>IFERROR(__xludf.DUMMYFUNCTION("""COMPUTED_VALUE"""),"KYAI KONTONG")</f>
        <v>KYAI KONTONG</v>
      </c>
      <c r="D3163" s="94">
        <f>IFERROR(__xludf.DUMMYFUNCTION("""COMPUTED_VALUE"""),6.0)</f>
        <v>6</v>
      </c>
    </row>
    <row r="3164">
      <c r="A3164" s="87" t="str">
        <f>IFERROR(__xludf.DUMMYFUNCTION("""COMPUTED_VALUE"""),"ITBISA-RELAY-12V-4PIN-BLUE")</f>
        <v>ITBISA-RELAY-12V-4PIN-BLUE</v>
      </c>
      <c r="B3164" s="165">
        <f>IFERROR(__xludf.DUMMYFUNCTION("""COMPUTED_VALUE"""),46147.0)</f>
        <v>46147</v>
      </c>
      <c r="C3164" s="165" t="str">
        <f>IFERROR(__xludf.DUMMYFUNCTION("""COMPUTED_VALUE"""),"KYAI KONTONG")</f>
        <v>KYAI KONTONG</v>
      </c>
      <c r="D3164" s="94">
        <f>IFERROR(__xludf.DUMMYFUNCTION("""COMPUTED_VALUE"""),10.0)</f>
        <v>10</v>
      </c>
    </row>
    <row r="3165">
      <c r="A3165" s="87" t="str">
        <f>IFERROR(__xludf.DUMMYFUNCTION("""COMPUTED_VALUE"""),"ITBISA-RELAY-12V-4PIN-BLUE")</f>
        <v>ITBISA-RELAY-12V-4PIN-BLUE</v>
      </c>
      <c r="B3165" s="165">
        <f>IFERROR(__xludf.DUMMYFUNCTION("""COMPUTED_VALUE"""),46148.0)</f>
        <v>46148</v>
      </c>
      <c r="C3165" s="165" t="str">
        <f>IFERROR(__xludf.DUMMYFUNCTION("""COMPUTED_VALUE"""),"KYAI KONTONG")</f>
        <v>KYAI KONTONG</v>
      </c>
      <c r="D3165" s="94">
        <f>IFERROR(__xludf.DUMMYFUNCTION("""COMPUTED_VALUE"""),5.0)</f>
        <v>5</v>
      </c>
    </row>
    <row r="3166">
      <c r="A3166" s="87" t="str">
        <f>IFERROR(__xludf.DUMMYFUNCTION("""COMPUTED_VALUE"""),"ITBISA-RELAY-12V-4PIN-BLUE")</f>
        <v>ITBISA-RELAY-12V-4PIN-BLUE</v>
      </c>
      <c r="B3166" s="165">
        <f>IFERROR(__xludf.DUMMYFUNCTION("""COMPUTED_VALUE"""),46148.0)</f>
        <v>46148</v>
      </c>
      <c r="C3166" s="165" t="str">
        <f>IFERROR(__xludf.DUMMYFUNCTION("""COMPUTED_VALUE"""),"KYAI KONTONG")</f>
        <v>KYAI KONTONG</v>
      </c>
      <c r="D3166" s="94">
        <f>IFERROR(__xludf.DUMMYFUNCTION("""COMPUTED_VALUE"""),6.0)</f>
        <v>6</v>
      </c>
    </row>
    <row r="3167">
      <c r="A3167" s="87" t="str">
        <f>IFERROR(__xludf.DUMMYFUNCTION("""COMPUTED_VALUE"""),"ITBISA-RELAY-12V-4PIN-BLUE")</f>
        <v>ITBISA-RELAY-12V-4PIN-BLUE</v>
      </c>
      <c r="B3167" s="165">
        <f>IFERROR(__xludf.DUMMYFUNCTION("""COMPUTED_VALUE"""),46149.0)</f>
        <v>46149</v>
      </c>
      <c r="C3167" s="165" t="str">
        <f>IFERROR(__xludf.DUMMYFUNCTION("""COMPUTED_VALUE"""),"KYAI KONTONG")</f>
        <v>KYAI KONTONG</v>
      </c>
      <c r="D3167" s="94">
        <f>IFERROR(__xludf.DUMMYFUNCTION("""COMPUTED_VALUE"""),5.0)</f>
        <v>5</v>
      </c>
    </row>
    <row r="3168">
      <c r="A3168" s="87" t="str">
        <f>IFERROR(__xludf.DUMMYFUNCTION("""COMPUTED_VALUE"""),"ITBISA-RELAY-12V-4PIN-BLUE")</f>
        <v>ITBISA-RELAY-12V-4PIN-BLUE</v>
      </c>
      <c r="B3168" s="165">
        <f>IFERROR(__xludf.DUMMYFUNCTION("""COMPUTED_VALUE"""),46149.0)</f>
        <v>46149</v>
      </c>
      <c r="C3168" s="165" t="str">
        <f>IFERROR(__xludf.DUMMYFUNCTION("""COMPUTED_VALUE"""),"KYAI KONTONG")</f>
        <v>KYAI KONTONG</v>
      </c>
      <c r="D3168" s="94">
        <f>IFERROR(__xludf.DUMMYFUNCTION("""COMPUTED_VALUE"""),5.0)</f>
        <v>5</v>
      </c>
    </row>
    <row r="3169">
      <c r="A3169" s="87" t="str">
        <f>IFERROR(__xludf.DUMMYFUNCTION("""COMPUTED_VALUE"""),"ITBISA-RELAY-12V-4PIN-BLUE")</f>
        <v>ITBISA-RELAY-12V-4PIN-BLUE</v>
      </c>
      <c r="B3169" s="165">
        <f>IFERROR(__xludf.DUMMYFUNCTION("""COMPUTED_VALUE"""),46149.0)</f>
        <v>46149</v>
      </c>
      <c r="C3169" s="165" t="str">
        <f>IFERROR(__xludf.DUMMYFUNCTION("""COMPUTED_VALUE"""),"KYAI KONTONG")</f>
        <v>KYAI KONTONG</v>
      </c>
      <c r="D3169" s="94">
        <f>IFERROR(__xludf.DUMMYFUNCTION("""COMPUTED_VALUE"""),40.0)</f>
        <v>40</v>
      </c>
    </row>
    <row r="3170">
      <c r="A3170" s="87" t="str">
        <f>IFERROR(__xludf.DUMMYFUNCTION("""COMPUTED_VALUE"""),"ITBISA-RELAY-12V-4PIN-BLUE")</f>
        <v>ITBISA-RELAY-12V-4PIN-BLUE</v>
      </c>
      <c r="B3170" s="165">
        <f>IFERROR(__xludf.DUMMYFUNCTION("""COMPUTED_VALUE"""),46150.0)</f>
        <v>46150</v>
      </c>
      <c r="C3170" s="165" t="str">
        <f>IFERROR(__xludf.DUMMYFUNCTION("""COMPUTED_VALUE"""),"KYAI KONTONG")</f>
        <v>KYAI KONTONG</v>
      </c>
      <c r="D3170" s="94">
        <f>IFERROR(__xludf.DUMMYFUNCTION("""COMPUTED_VALUE"""),10.0)</f>
        <v>10</v>
      </c>
    </row>
    <row r="3171">
      <c r="A3171" s="87" t="str">
        <f>IFERROR(__xludf.DUMMYFUNCTION("""COMPUTED_VALUE"""),"ITBISA-RELAY-12V-4PIN-BLUE")</f>
        <v>ITBISA-RELAY-12V-4PIN-BLUE</v>
      </c>
      <c r="B3171" s="165">
        <f>IFERROR(__xludf.DUMMYFUNCTION("""COMPUTED_VALUE"""),46150.0)</f>
        <v>46150</v>
      </c>
      <c r="C3171" s="165" t="str">
        <f>IFERROR(__xludf.DUMMYFUNCTION("""COMPUTED_VALUE"""),"KYAI KONTONG")</f>
        <v>KYAI KONTONG</v>
      </c>
      <c r="D3171" s="94">
        <f>IFERROR(__xludf.DUMMYFUNCTION("""COMPUTED_VALUE"""),20.0)</f>
        <v>20</v>
      </c>
    </row>
    <row r="3172">
      <c r="A3172" s="87" t="str">
        <f>IFERROR(__xludf.DUMMYFUNCTION("""COMPUTED_VALUE"""),"ITBISA-RELAY-12V-4PIN-BLUE")</f>
        <v>ITBISA-RELAY-12V-4PIN-BLUE</v>
      </c>
      <c r="B3172" s="165">
        <f>IFERROR(__xludf.DUMMYFUNCTION("""COMPUTED_VALUE"""),46150.0)</f>
        <v>46150</v>
      </c>
      <c r="C3172" s="165" t="str">
        <f>IFERROR(__xludf.DUMMYFUNCTION("""COMPUTED_VALUE"""),"KYAI KONTONG")</f>
        <v>KYAI KONTONG</v>
      </c>
      <c r="D3172" s="94">
        <f>IFERROR(__xludf.DUMMYFUNCTION("""COMPUTED_VALUE"""),40.0)</f>
        <v>40</v>
      </c>
    </row>
    <row r="3173">
      <c r="A3173" s="87" t="str">
        <f>IFERROR(__xludf.DUMMYFUNCTION("""COMPUTED_VALUE"""),"ITBISA-RELAY-12V-4PIN-BLUE")</f>
        <v>ITBISA-RELAY-12V-4PIN-BLUE</v>
      </c>
      <c r="B3173" s="165">
        <f>IFERROR(__xludf.DUMMYFUNCTION("""COMPUTED_VALUE"""),46150.0)</f>
        <v>46150</v>
      </c>
      <c r="C3173" s="165" t="str">
        <f>IFERROR(__xludf.DUMMYFUNCTION("""COMPUTED_VALUE"""),"KYAI KONTONG")</f>
        <v>KYAI KONTONG</v>
      </c>
      <c r="D3173" s="94">
        <f>IFERROR(__xludf.DUMMYFUNCTION("""COMPUTED_VALUE"""),500.0)</f>
        <v>500</v>
      </c>
    </row>
    <row r="3174">
      <c r="A3174" s="87" t="str">
        <f>IFERROR(__xludf.DUMMYFUNCTION("""COMPUTED_VALUE"""),"ITBISA-RELAY-12V-4PIN-BLUE")</f>
        <v>ITBISA-RELAY-12V-4PIN-BLUE</v>
      </c>
      <c r="B3174" s="165">
        <f>IFERROR(__xludf.DUMMYFUNCTION("""COMPUTED_VALUE"""),46151.0)</f>
        <v>46151</v>
      </c>
      <c r="C3174" s="165" t="str">
        <f>IFERROR(__xludf.DUMMYFUNCTION("""COMPUTED_VALUE"""),"KYAI KONTONG")</f>
        <v>KYAI KONTONG</v>
      </c>
      <c r="D3174" s="94">
        <f>IFERROR(__xludf.DUMMYFUNCTION("""COMPUTED_VALUE"""),30.0)</f>
        <v>30</v>
      </c>
    </row>
    <row r="3175">
      <c r="A3175" s="87" t="str">
        <f>IFERROR(__xludf.DUMMYFUNCTION("""COMPUTED_VALUE"""),"ITBISA-RELAY-12V-4PIN-BLUE")</f>
        <v>ITBISA-RELAY-12V-4PIN-BLUE</v>
      </c>
      <c r="B3175" s="165">
        <f>IFERROR(__xludf.DUMMYFUNCTION("""COMPUTED_VALUE"""),46152.0)</f>
        <v>46152</v>
      </c>
      <c r="C3175" s="165" t="str">
        <f>IFERROR(__xludf.DUMMYFUNCTION("""COMPUTED_VALUE"""),"KYAI KONTONG")</f>
        <v>KYAI KONTONG</v>
      </c>
      <c r="D3175" s="94">
        <f>IFERROR(__xludf.DUMMYFUNCTION("""COMPUTED_VALUE"""),5.0)</f>
        <v>5</v>
      </c>
    </row>
    <row r="3176">
      <c r="A3176" s="87" t="str">
        <f>IFERROR(__xludf.DUMMYFUNCTION("""COMPUTED_VALUE"""),"ITBISA-RELAY-12V-4PIN-BLUE")</f>
        <v>ITBISA-RELAY-12V-4PIN-BLUE</v>
      </c>
      <c r="B3176" s="165">
        <f>IFERROR(__xludf.DUMMYFUNCTION("""COMPUTED_VALUE"""),46152.0)</f>
        <v>46152</v>
      </c>
      <c r="C3176" s="165" t="str">
        <f>IFERROR(__xludf.DUMMYFUNCTION("""COMPUTED_VALUE"""),"KYAI KONTONG")</f>
        <v>KYAI KONTONG</v>
      </c>
      <c r="D3176" s="94">
        <f>IFERROR(__xludf.DUMMYFUNCTION("""COMPUTED_VALUE"""),5.0)</f>
        <v>5</v>
      </c>
    </row>
    <row r="3177">
      <c r="A3177" s="87" t="str">
        <f>IFERROR(__xludf.DUMMYFUNCTION("""COMPUTED_VALUE"""),"ITBISA-RELAY-12V-4PIN-BLUE")</f>
        <v>ITBISA-RELAY-12V-4PIN-BLUE</v>
      </c>
      <c r="B3177" s="165">
        <f>IFERROR(__xludf.DUMMYFUNCTION("""COMPUTED_VALUE"""),46152.0)</f>
        <v>46152</v>
      </c>
      <c r="C3177" s="165" t="str">
        <f>IFERROR(__xludf.DUMMYFUNCTION("""COMPUTED_VALUE"""),"KYAI KONTONG")</f>
        <v>KYAI KONTONG</v>
      </c>
      <c r="D3177" s="94">
        <f>IFERROR(__xludf.DUMMYFUNCTION("""COMPUTED_VALUE"""),10.0)</f>
        <v>10</v>
      </c>
    </row>
    <row r="3178">
      <c r="A3178" s="87" t="str">
        <f>IFERROR(__xludf.DUMMYFUNCTION("""COMPUTED_VALUE"""),"ITBISA-RELAY-12V-4PIN-BLUE")</f>
        <v>ITBISA-RELAY-12V-4PIN-BLUE</v>
      </c>
      <c r="B3178" s="165">
        <f>IFERROR(__xludf.DUMMYFUNCTION("""COMPUTED_VALUE"""),46153.0)</f>
        <v>46153</v>
      </c>
      <c r="C3178" s="165" t="str">
        <f>IFERROR(__xludf.DUMMYFUNCTION("""COMPUTED_VALUE"""),"KYAI KONTONG")</f>
        <v>KYAI KONTONG</v>
      </c>
      <c r="D3178" s="94">
        <f>IFERROR(__xludf.DUMMYFUNCTION("""COMPUTED_VALUE"""),5.0)</f>
        <v>5</v>
      </c>
    </row>
    <row r="3179">
      <c r="A3179" s="87" t="str">
        <f>IFERROR(__xludf.DUMMYFUNCTION("""COMPUTED_VALUE"""),"ITBISA-RELAY-12V-4PIN-BLUE")</f>
        <v>ITBISA-RELAY-12V-4PIN-BLUE</v>
      </c>
      <c r="B3179" s="165">
        <f>IFERROR(__xludf.DUMMYFUNCTION("""COMPUTED_VALUE"""),46153.0)</f>
        <v>46153</v>
      </c>
      <c r="C3179" s="165" t="str">
        <f>IFERROR(__xludf.DUMMYFUNCTION("""COMPUTED_VALUE"""),"KYAI KONTONG")</f>
        <v>KYAI KONTONG</v>
      </c>
      <c r="D3179" s="94">
        <f>IFERROR(__xludf.DUMMYFUNCTION("""COMPUTED_VALUE"""),5.0)</f>
        <v>5</v>
      </c>
    </row>
    <row r="3180">
      <c r="A3180" s="87" t="str">
        <f>IFERROR(__xludf.DUMMYFUNCTION("""COMPUTED_VALUE"""),"ITBISA-RELAY-12V-4PIN-BLUE")</f>
        <v>ITBISA-RELAY-12V-4PIN-BLUE</v>
      </c>
      <c r="B3180" s="165">
        <f>IFERROR(__xludf.DUMMYFUNCTION("""COMPUTED_VALUE"""),46153.0)</f>
        <v>46153</v>
      </c>
      <c r="C3180" s="165" t="str">
        <f>IFERROR(__xludf.DUMMYFUNCTION("""COMPUTED_VALUE"""),"KYAI KONTONG")</f>
        <v>KYAI KONTONG</v>
      </c>
      <c r="D3180" s="94">
        <f>IFERROR(__xludf.DUMMYFUNCTION("""COMPUTED_VALUE"""),5.0)</f>
        <v>5</v>
      </c>
    </row>
    <row r="3181">
      <c r="A3181" s="87" t="str">
        <f>IFERROR(__xludf.DUMMYFUNCTION("""COMPUTED_VALUE"""),"ITBISA-RELAY-12V-4PIN-BLUE")</f>
        <v>ITBISA-RELAY-12V-4PIN-BLUE</v>
      </c>
      <c r="B3181" s="165">
        <f>IFERROR(__xludf.DUMMYFUNCTION("""COMPUTED_VALUE"""),46153.0)</f>
        <v>46153</v>
      </c>
      <c r="C3181" s="165" t="str">
        <f>IFERROR(__xludf.DUMMYFUNCTION("""COMPUTED_VALUE"""),"KYAI KONTONG")</f>
        <v>KYAI KONTONG</v>
      </c>
      <c r="D3181" s="94">
        <f>IFERROR(__xludf.DUMMYFUNCTION("""COMPUTED_VALUE"""),6.0)</f>
        <v>6</v>
      </c>
    </row>
    <row r="3182">
      <c r="A3182" s="87" t="str">
        <f>IFERROR(__xludf.DUMMYFUNCTION("""COMPUTED_VALUE"""),"ITBISA-RELAY-12V-4PIN-BLUE")</f>
        <v>ITBISA-RELAY-12V-4PIN-BLUE</v>
      </c>
      <c r="B3182" s="165">
        <f>IFERROR(__xludf.DUMMYFUNCTION("""COMPUTED_VALUE"""),46154.0)</f>
        <v>46154</v>
      </c>
      <c r="C3182" s="165" t="str">
        <f>IFERROR(__xludf.DUMMYFUNCTION("""COMPUTED_VALUE"""),"KYAI KONTONG")</f>
        <v>KYAI KONTONG</v>
      </c>
      <c r="D3182" s="94">
        <f>IFERROR(__xludf.DUMMYFUNCTION("""COMPUTED_VALUE"""),5.0)</f>
        <v>5</v>
      </c>
    </row>
    <row r="3183">
      <c r="A3183" s="87" t="str">
        <f>IFERROR(__xludf.DUMMYFUNCTION("""COMPUTED_VALUE"""),"ITBISA-RELAY-12V-4PIN-BLUE")</f>
        <v>ITBISA-RELAY-12V-4PIN-BLUE</v>
      </c>
      <c r="B3183" s="165">
        <f>IFERROR(__xludf.DUMMYFUNCTION("""COMPUTED_VALUE"""),46154.0)</f>
        <v>46154</v>
      </c>
      <c r="C3183" s="165" t="str">
        <f>IFERROR(__xludf.DUMMYFUNCTION("""COMPUTED_VALUE"""),"KYAI KONTONG")</f>
        <v>KYAI KONTONG</v>
      </c>
      <c r="D3183" s="94">
        <f>IFERROR(__xludf.DUMMYFUNCTION("""COMPUTED_VALUE"""),15.0)</f>
        <v>15</v>
      </c>
    </row>
    <row r="3184">
      <c r="A3184" s="87" t="str">
        <f>IFERROR(__xludf.DUMMYFUNCTION("""COMPUTED_VALUE"""),"ITBISA-RELAY-12V-4PIN-BLUE")</f>
        <v>ITBISA-RELAY-12V-4PIN-BLUE</v>
      </c>
      <c r="B3184" s="165">
        <f>IFERROR(__xludf.DUMMYFUNCTION("""COMPUTED_VALUE"""),46154.0)</f>
        <v>46154</v>
      </c>
      <c r="C3184" s="165" t="str">
        <f>IFERROR(__xludf.DUMMYFUNCTION("""COMPUTED_VALUE"""),"KYAI KONTONG")</f>
        <v>KYAI KONTONG</v>
      </c>
      <c r="D3184" s="94">
        <f>IFERROR(__xludf.DUMMYFUNCTION("""COMPUTED_VALUE"""),20.0)</f>
        <v>20</v>
      </c>
    </row>
    <row r="3185">
      <c r="A3185" s="87" t="str">
        <f>IFERROR(__xludf.DUMMYFUNCTION("""COMPUTED_VALUE"""),"ITBISA-RELAY-12V-4PIN-BLUE")</f>
        <v>ITBISA-RELAY-12V-4PIN-BLUE</v>
      </c>
      <c r="B3185" s="165">
        <f>IFERROR(__xludf.DUMMYFUNCTION("""COMPUTED_VALUE"""),46155.0)</f>
        <v>46155</v>
      </c>
      <c r="C3185" s="165" t="str">
        <f>IFERROR(__xludf.DUMMYFUNCTION("""COMPUTED_VALUE"""),"KYAI KONTONG")</f>
        <v>KYAI KONTONG</v>
      </c>
      <c r="D3185" s="94">
        <f>IFERROR(__xludf.DUMMYFUNCTION("""COMPUTED_VALUE"""),5.0)</f>
        <v>5</v>
      </c>
    </row>
    <row r="3186">
      <c r="A3186" s="87" t="str">
        <f>IFERROR(__xludf.DUMMYFUNCTION("""COMPUTED_VALUE"""),"ITBISA-RELAY-12V-4PIN-BLUE")</f>
        <v>ITBISA-RELAY-12V-4PIN-BLUE</v>
      </c>
      <c r="B3186" s="165">
        <f>IFERROR(__xludf.DUMMYFUNCTION("""COMPUTED_VALUE"""),46155.0)</f>
        <v>46155</v>
      </c>
      <c r="C3186" s="165" t="str">
        <f>IFERROR(__xludf.DUMMYFUNCTION("""COMPUTED_VALUE"""),"KYAI KONTONG")</f>
        <v>KYAI KONTONG</v>
      </c>
      <c r="D3186" s="94">
        <f>IFERROR(__xludf.DUMMYFUNCTION("""COMPUTED_VALUE"""),5.0)</f>
        <v>5</v>
      </c>
    </row>
    <row r="3187">
      <c r="A3187" s="87" t="str">
        <f>IFERROR(__xludf.DUMMYFUNCTION("""COMPUTED_VALUE"""),"ITBISA-RELAY-12V-4PIN-BLUE")</f>
        <v>ITBISA-RELAY-12V-4PIN-BLUE</v>
      </c>
      <c r="B3187" s="165">
        <f>IFERROR(__xludf.DUMMYFUNCTION("""COMPUTED_VALUE"""),46155.0)</f>
        <v>46155</v>
      </c>
      <c r="C3187" s="165" t="str">
        <f>IFERROR(__xludf.DUMMYFUNCTION("""COMPUTED_VALUE"""),"KYAI KONTONG")</f>
        <v>KYAI KONTONG</v>
      </c>
      <c r="D3187" s="94">
        <f>IFERROR(__xludf.DUMMYFUNCTION("""COMPUTED_VALUE"""),5.0)</f>
        <v>5</v>
      </c>
    </row>
    <row r="3188">
      <c r="A3188" s="87" t="str">
        <f>IFERROR(__xludf.DUMMYFUNCTION("""COMPUTED_VALUE"""),"ITBISA-RELAY-12V-4PIN-BLUE")</f>
        <v>ITBISA-RELAY-12V-4PIN-BLUE</v>
      </c>
      <c r="B3188" s="165">
        <f>IFERROR(__xludf.DUMMYFUNCTION("""COMPUTED_VALUE"""),46155.0)</f>
        <v>46155</v>
      </c>
      <c r="C3188" s="165" t="str">
        <f>IFERROR(__xludf.DUMMYFUNCTION("""COMPUTED_VALUE"""),"KYAI KONTONG")</f>
        <v>KYAI KONTONG</v>
      </c>
      <c r="D3188" s="94">
        <f>IFERROR(__xludf.DUMMYFUNCTION("""COMPUTED_VALUE"""),20.0)</f>
        <v>20</v>
      </c>
    </row>
    <row r="3189">
      <c r="A3189" s="87" t="str">
        <f>IFERROR(__xludf.DUMMYFUNCTION("""COMPUTED_VALUE"""),"ITBISA-RELAY-12V-4PIN-BLUE")</f>
        <v>ITBISA-RELAY-12V-4PIN-BLUE</v>
      </c>
      <c r="B3189" s="165">
        <f>IFERROR(__xludf.DUMMYFUNCTION("""COMPUTED_VALUE"""),46156.0)</f>
        <v>46156</v>
      </c>
      <c r="C3189" s="165" t="str">
        <f>IFERROR(__xludf.DUMMYFUNCTION("""COMPUTED_VALUE"""),"KYAI KONTONG")</f>
        <v>KYAI KONTONG</v>
      </c>
      <c r="D3189" s="94">
        <f>IFERROR(__xludf.DUMMYFUNCTION("""COMPUTED_VALUE"""),11.0)</f>
        <v>11</v>
      </c>
    </row>
    <row r="3190">
      <c r="A3190" s="87" t="str">
        <f>IFERROR(__xludf.DUMMYFUNCTION("""COMPUTED_VALUE"""),"ITBISA-RELAY-12V-4PIN-BLUE")</f>
        <v>ITBISA-RELAY-12V-4PIN-BLUE</v>
      </c>
      <c r="B3190" s="165">
        <f>IFERROR(__xludf.DUMMYFUNCTION("""COMPUTED_VALUE"""),46156.0)</f>
        <v>46156</v>
      </c>
      <c r="C3190" s="165" t="str">
        <f>IFERROR(__xludf.DUMMYFUNCTION("""COMPUTED_VALUE"""),"KYAI KONTONG")</f>
        <v>KYAI KONTONG</v>
      </c>
      <c r="D3190" s="94">
        <f>IFERROR(__xludf.DUMMYFUNCTION("""COMPUTED_VALUE"""),30.0)</f>
        <v>30</v>
      </c>
    </row>
    <row r="3191">
      <c r="A3191" s="87" t="str">
        <f>IFERROR(__xludf.DUMMYFUNCTION("""COMPUTED_VALUE"""),"ITBISA-RELAY-12V-4PIN-BLUE")</f>
        <v>ITBISA-RELAY-12V-4PIN-BLUE</v>
      </c>
      <c r="B3191" s="165">
        <f>IFERROR(__xludf.DUMMYFUNCTION("""COMPUTED_VALUE"""),46158.0)</f>
        <v>46158</v>
      </c>
      <c r="C3191" s="165" t="str">
        <f>IFERROR(__xludf.DUMMYFUNCTION("""COMPUTED_VALUE"""),"KYAI KONTONG")</f>
        <v>KYAI KONTONG</v>
      </c>
      <c r="D3191" s="94">
        <f>IFERROR(__xludf.DUMMYFUNCTION("""COMPUTED_VALUE"""),6.0)</f>
        <v>6</v>
      </c>
    </row>
    <row r="3192">
      <c r="A3192" s="87" t="str">
        <f>IFERROR(__xludf.DUMMYFUNCTION("""COMPUTED_VALUE"""),"ITBISA-RELAY-12V-4PIN-BLUE")</f>
        <v>ITBISA-RELAY-12V-4PIN-BLUE</v>
      </c>
      <c r="B3192" s="165">
        <f>IFERROR(__xludf.DUMMYFUNCTION("""COMPUTED_VALUE"""),46158.0)</f>
        <v>46158</v>
      </c>
      <c r="C3192" s="165" t="str">
        <f>IFERROR(__xludf.DUMMYFUNCTION("""COMPUTED_VALUE"""),"KYAI KONTONG")</f>
        <v>KYAI KONTONG</v>
      </c>
      <c r="D3192" s="94">
        <f>IFERROR(__xludf.DUMMYFUNCTION("""COMPUTED_VALUE"""),6.0)</f>
        <v>6</v>
      </c>
    </row>
    <row r="3193">
      <c r="A3193" s="87" t="str">
        <f>IFERROR(__xludf.DUMMYFUNCTION("""COMPUTED_VALUE"""),"ITBISA-RELAY-12V-4PIN-BLUE")</f>
        <v>ITBISA-RELAY-12V-4PIN-BLUE</v>
      </c>
      <c r="B3193" s="165">
        <f>IFERROR(__xludf.DUMMYFUNCTION("""COMPUTED_VALUE"""),46158.0)</f>
        <v>46158</v>
      </c>
      <c r="C3193" s="165" t="str">
        <f>IFERROR(__xludf.DUMMYFUNCTION("""COMPUTED_VALUE"""),"KYAI KONTONG")</f>
        <v>KYAI KONTONG</v>
      </c>
      <c r="D3193" s="94">
        <f>IFERROR(__xludf.DUMMYFUNCTION("""COMPUTED_VALUE"""),20.0)</f>
        <v>20</v>
      </c>
    </row>
    <row r="3194">
      <c r="A3194" s="87" t="str">
        <f>IFERROR(__xludf.DUMMYFUNCTION("""COMPUTED_VALUE"""),"ITBISA-RELAY-12V-4PIN-BLUE")</f>
        <v>ITBISA-RELAY-12V-4PIN-BLUE</v>
      </c>
      <c r="B3194" s="165">
        <f>IFERROR(__xludf.DUMMYFUNCTION("""COMPUTED_VALUE"""),46160.0)</f>
        <v>46160</v>
      </c>
      <c r="C3194" s="165" t="str">
        <f>IFERROR(__xludf.DUMMYFUNCTION("""COMPUTED_VALUE"""),"KYAI KONTONG")</f>
        <v>KYAI KONTONG</v>
      </c>
      <c r="D3194" s="94">
        <f>IFERROR(__xludf.DUMMYFUNCTION("""COMPUTED_VALUE"""),5.0)</f>
        <v>5</v>
      </c>
    </row>
    <row r="3195">
      <c r="A3195" s="87" t="str">
        <f>IFERROR(__xludf.DUMMYFUNCTION("""COMPUTED_VALUE"""),"ITBISA-RELAY-12V-4PIN-BLUE")</f>
        <v>ITBISA-RELAY-12V-4PIN-BLUE</v>
      </c>
      <c r="B3195" s="165">
        <f>IFERROR(__xludf.DUMMYFUNCTION("""COMPUTED_VALUE"""),46160.0)</f>
        <v>46160</v>
      </c>
      <c r="C3195" s="165" t="str">
        <f>IFERROR(__xludf.DUMMYFUNCTION("""COMPUTED_VALUE"""),"KYAI KONTONG")</f>
        <v>KYAI KONTONG</v>
      </c>
      <c r="D3195" s="94">
        <f>IFERROR(__xludf.DUMMYFUNCTION("""COMPUTED_VALUE"""),10.0)</f>
        <v>10</v>
      </c>
    </row>
    <row r="3196">
      <c r="A3196" s="87" t="str">
        <f>IFERROR(__xludf.DUMMYFUNCTION("""COMPUTED_VALUE"""),"ITBISA-RELAY-12V-4PIN-BLUE")</f>
        <v>ITBISA-RELAY-12V-4PIN-BLUE</v>
      </c>
      <c r="B3196" s="165">
        <f>IFERROR(__xludf.DUMMYFUNCTION("""COMPUTED_VALUE"""),46160.0)</f>
        <v>46160</v>
      </c>
      <c r="C3196" s="165" t="str">
        <f>IFERROR(__xludf.DUMMYFUNCTION("""COMPUTED_VALUE"""),"KYAI KONTONG")</f>
        <v>KYAI KONTONG</v>
      </c>
      <c r="D3196" s="94">
        <f>IFERROR(__xludf.DUMMYFUNCTION("""COMPUTED_VALUE"""),20.0)</f>
        <v>20</v>
      </c>
    </row>
    <row r="3197">
      <c r="A3197" s="87" t="str">
        <f>IFERROR(__xludf.DUMMYFUNCTION("""COMPUTED_VALUE"""),"ITBISA-RELAY-12V-4PIN-BLUE")</f>
        <v>ITBISA-RELAY-12V-4PIN-BLUE</v>
      </c>
      <c r="B3197" s="165">
        <f>IFERROR(__xludf.DUMMYFUNCTION("""COMPUTED_VALUE"""),46161.0)</f>
        <v>46161</v>
      </c>
      <c r="C3197" s="165" t="str">
        <f>IFERROR(__xludf.DUMMYFUNCTION("""COMPUTED_VALUE"""),"KYAI KONTONG")</f>
        <v>KYAI KONTONG</v>
      </c>
      <c r="D3197" s="94">
        <f>IFERROR(__xludf.DUMMYFUNCTION("""COMPUTED_VALUE"""),5.0)</f>
        <v>5</v>
      </c>
    </row>
    <row r="3198">
      <c r="A3198" s="87" t="str">
        <f>IFERROR(__xludf.DUMMYFUNCTION("""COMPUTED_VALUE"""),"ITBISA-RELAY-12V-4PIN-BLUE")</f>
        <v>ITBISA-RELAY-12V-4PIN-BLUE</v>
      </c>
      <c r="B3198" s="165">
        <f>IFERROR(__xludf.DUMMYFUNCTION("""COMPUTED_VALUE"""),46161.0)</f>
        <v>46161</v>
      </c>
      <c r="C3198" s="165" t="str">
        <f>IFERROR(__xludf.DUMMYFUNCTION("""COMPUTED_VALUE"""),"KYAI KONTONG")</f>
        <v>KYAI KONTONG</v>
      </c>
      <c r="D3198" s="94">
        <f>IFERROR(__xludf.DUMMYFUNCTION("""COMPUTED_VALUE"""),10.0)</f>
        <v>10</v>
      </c>
    </row>
    <row r="3199">
      <c r="A3199" s="87" t="str">
        <f>IFERROR(__xludf.DUMMYFUNCTION("""COMPUTED_VALUE"""),"ITBISA-RELAY-12V-4PIN-BLUE")</f>
        <v>ITBISA-RELAY-12V-4PIN-BLUE</v>
      </c>
      <c r="B3199" s="165">
        <f>IFERROR(__xludf.DUMMYFUNCTION("""COMPUTED_VALUE"""),46162.0)</f>
        <v>46162</v>
      </c>
      <c r="C3199" s="165" t="str">
        <f>IFERROR(__xludf.DUMMYFUNCTION("""COMPUTED_VALUE"""),"KYAI KONTONG")</f>
        <v>KYAI KONTONG</v>
      </c>
      <c r="D3199" s="94">
        <f>IFERROR(__xludf.DUMMYFUNCTION("""COMPUTED_VALUE"""),6.0)</f>
        <v>6</v>
      </c>
    </row>
    <row r="3200">
      <c r="A3200" s="87" t="str">
        <f>IFERROR(__xludf.DUMMYFUNCTION("""COMPUTED_VALUE"""),"ITBISA-RELAY-12V-4PIN-BLUE")</f>
        <v>ITBISA-RELAY-12V-4PIN-BLUE</v>
      </c>
      <c r="B3200" s="165">
        <f>IFERROR(__xludf.DUMMYFUNCTION("""COMPUTED_VALUE"""),46162.0)</f>
        <v>46162</v>
      </c>
      <c r="C3200" s="165" t="str">
        <f>IFERROR(__xludf.DUMMYFUNCTION("""COMPUTED_VALUE"""),"KYAI KONTONG")</f>
        <v>KYAI KONTONG</v>
      </c>
      <c r="D3200" s="94">
        <f>IFERROR(__xludf.DUMMYFUNCTION("""COMPUTED_VALUE"""),20.0)</f>
        <v>20</v>
      </c>
    </row>
    <row r="3201">
      <c r="A3201" s="87" t="str">
        <f>IFERROR(__xludf.DUMMYFUNCTION("""COMPUTED_VALUE"""),"ITBISA-RELAY-12V-4PIN-BLUE")</f>
        <v>ITBISA-RELAY-12V-4PIN-BLUE</v>
      </c>
      <c r="B3201" s="165">
        <f>IFERROR(__xludf.DUMMYFUNCTION("""COMPUTED_VALUE"""),46162.0)</f>
        <v>46162</v>
      </c>
      <c r="C3201" s="165" t="str">
        <f>IFERROR(__xludf.DUMMYFUNCTION("""COMPUTED_VALUE"""),"KYAI KONTONG")</f>
        <v>KYAI KONTONG</v>
      </c>
      <c r="D3201" s="94">
        <f>IFERROR(__xludf.DUMMYFUNCTION("""COMPUTED_VALUE"""),40.0)</f>
        <v>40</v>
      </c>
    </row>
    <row r="3202">
      <c r="A3202" s="87" t="str">
        <f>IFERROR(__xludf.DUMMYFUNCTION("""COMPUTED_VALUE"""),"ITBISA-RELAY-12V-4PIN-BLUE")</f>
        <v>ITBISA-RELAY-12V-4PIN-BLUE</v>
      </c>
      <c r="B3202" s="165">
        <f>IFERROR(__xludf.DUMMYFUNCTION("""COMPUTED_VALUE"""),46163.0)</f>
        <v>46163</v>
      </c>
      <c r="C3202" s="165" t="str">
        <f>IFERROR(__xludf.DUMMYFUNCTION("""COMPUTED_VALUE"""),"KYAI KONTONG")</f>
        <v>KYAI KONTONG</v>
      </c>
      <c r="D3202" s="94">
        <f>IFERROR(__xludf.DUMMYFUNCTION("""COMPUTED_VALUE"""),15.0)</f>
        <v>15</v>
      </c>
    </row>
    <row r="3203">
      <c r="A3203" s="87" t="str">
        <f>IFERROR(__xludf.DUMMYFUNCTION("""COMPUTED_VALUE"""),"ITBISA-RELAY-12V-4PIN-BLUE")</f>
        <v>ITBISA-RELAY-12V-4PIN-BLUE</v>
      </c>
      <c r="B3203" s="165">
        <f>IFERROR(__xludf.DUMMYFUNCTION("""COMPUTED_VALUE"""),46163.0)</f>
        <v>46163</v>
      </c>
      <c r="C3203" s="165" t="str">
        <f>IFERROR(__xludf.DUMMYFUNCTION("""COMPUTED_VALUE"""),"KYAI KONTONG")</f>
        <v>KYAI KONTONG</v>
      </c>
      <c r="D3203" s="94">
        <f>IFERROR(__xludf.DUMMYFUNCTION("""COMPUTED_VALUE"""),39.0)</f>
        <v>39</v>
      </c>
    </row>
    <row r="3204">
      <c r="A3204" s="87" t="str">
        <f>IFERROR(__xludf.DUMMYFUNCTION("""COMPUTED_VALUE"""),"ITBISA-RELAY-12V-4PIN-BLUE")</f>
        <v>ITBISA-RELAY-12V-4PIN-BLUE</v>
      </c>
      <c r="B3204" s="165">
        <f>IFERROR(__xludf.DUMMYFUNCTION("""COMPUTED_VALUE"""),46164.0)</f>
        <v>46164</v>
      </c>
      <c r="C3204" s="165" t="str">
        <f>IFERROR(__xludf.DUMMYFUNCTION("""COMPUTED_VALUE"""),"KYAI KONTONG")</f>
        <v>KYAI KONTONG</v>
      </c>
      <c r="D3204" s="94">
        <f>IFERROR(__xludf.DUMMYFUNCTION("""COMPUTED_VALUE"""),5.0)</f>
        <v>5</v>
      </c>
    </row>
    <row r="3205">
      <c r="A3205" s="87" t="str">
        <f>IFERROR(__xludf.DUMMYFUNCTION("""COMPUTED_VALUE"""),"ITBISA-RELAY-12V-4PIN-BLUE")</f>
        <v>ITBISA-RELAY-12V-4PIN-BLUE</v>
      </c>
      <c r="B3205" s="165">
        <f>IFERROR(__xludf.DUMMYFUNCTION("""COMPUTED_VALUE"""),46164.0)</f>
        <v>46164</v>
      </c>
      <c r="C3205" s="165" t="str">
        <f>IFERROR(__xludf.DUMMYFUNCTION("""COMPUTED_VALUE"""),"KYAI KONTONG")</f>
        <v>KYAI KONTONG</v>
      </c>
      <c r="D3205" s="94">
        <f>IFERROR(__xludf.DUMMYFUNCTION("""COMPUTED_VALUE"""),5.0)</f>
        <v>5</v>
      </c>
    </row>
    <row r="3206">
      <c r="A3206" s="87" t="str">
        <f>IFERROR(__xludf.DUMMYFUNCTION("""COMPUTED_VALUE"""),"ITBISA-RELAY-12V-4PIN-BLUE")</f>
        <v>ITBISA-RELAY-12V-4PIN-BLUE</v>
      </c>
      <c r="B3206" s="165">
        <f>IFERROR(__xludf.DUMMYFUNCTION("""COMPUTED_VALUE"""),46164.0)</f>
        <v>46164</v>
      </c>
      <c r="C3206" s="165" t="str">
        <f>IFERROR(__xludf.DUMMYFUNCTION("""COMPUTED_VALUE"""),"KYAI KONTONG")</f>
        <v>KYAI KONTONG</v>
      </c>
      <c r="D3206" s="94">
        <f>IFERROR(__xludf.DUMMYFUNCTION("""COMPUTED_VALUE"""),20.0)</f>
        <v>20</v>
      </c>
    </row>
    <row r="3207">
      <c r="A3207" s="87" t="str">
        <f>IFERROR(__xludf.DUMMYFUNCTION("""COMPUTED_VALUE"""),"ITBISA-RELAY-12V-4PIN-BLUE")</f>
        <v>ITBISA-RELAY-12V-4PIN-BLUE</v>
      </c>
      <c r="B3207" s="165">
        <f>IFERROR(__xludf.DUMMYFUNCTION("""COMPUTED_VALUE"""),46165.0)</f>
        <v>46165</v>
      </c>
      <c r="C3207" s="165" t="str">
        <f>IFERROR(__xludf.DUMMYFUNCTION("""COMPUTED_VALUE"""),"KYAI KONTONG")</f>
        <v>KYAI KONTONG</v>
      </c>
      <c r="D3207" s="94">
        <f>IFERROR(__xludf.DUMMYFUNCTION("""COMPUTED_VALUE"""),5.0)</f>
        <v>5</v>
      </c>
    </row>
    <row r="3208">
      <c r="A3208" s="87" t="str">
        <f>IFERROR(__xludf.DUMMYFUNCTION("""COMPUTED_VALUE"""),"ITBISA-RELAY-12V-4PIN-BLUE")</f>
        <v>ITBISA-RELAY-12V-4PIN-BLUE</v>
      </c>
      <c r="B3208" s="165">
        <f>IFERROR(__xludf.DUMMYFUNCTION("""COMPUTED_VALUE"""),46167.0)</f>
        <v>46167</v>
      </c>
      <c r="C3208" s="165" t="str">
        <f>IFERROR(__xludf.DUMMYFUNCTION("""COMPUTED_VALUE"""),"KYAI KONTONG")</f>
        <v>KYAI KONTONG</v>
      </c>
      <c r="D3208" s="94">
        <f>IFERROR(__xludf.DUMMYFUNCTION("""COMPUTED_VALUE"""),6.0)</f>
        <v>6</v>
      </c>
    </row>
    <row r="3209">
      <c r="A3209" s="87" t="str">
        <f>IFERROR(__xludf.DUMMYFUNCTION("""COMPUTED_VALUE"""),"ITBISA-RELAY-12V-4PIN-BLUE")</f>
        <v>ITBISA-RELAY-12V-4PIN-BLUE</v>
      </c>
      <c r="B3209" s="165">
        <f>IFERROR(__xludf.DUMMYFUNCTION("""COMPUTED_VALUE"""),46167.0)</f>
        <v>46167</v>
      </c>
      <c r="C3209" s="165" t="str">
        <f>IFERROR(__xludf.DUMMYFUNCTION("""COMPUTED_VALUE"""),"KYAI KONTONG")</f>
        <v>KYAI KONTONG</v>
      </c>
      <c r="D3209" s="94">
        <f>IFERROR(__xludf.DUMMYFUNCTION("""COMPUTED_VALUE"""),8.0)</f>
        <v>8</v>
      </c>
    </row>
    <row r="3210">
      <c r="A3210" s="87" t="str">
        <f>IFERROR(__xludf.DUMMYFUNCTION("""COMPUTED_VALUE"""),"ITBISA-RELAY-12V-4PIN-BLUE")</f>
        <v>ITBISA-RELAY-12V-4PIN-BLUE</v>
      </c>
      <c r="B3210" s="165">
        <f>IFERROR(__xludf.DUMMYFUNCTION("""COMPUTED_VALUE"""),46167.0)</f>
        <v>46167</v>
      </c>
      <c r="C3210" s="165" t="str">
        <f>IFERROR(__xludf.DUMMYFUNCTION("""COMPUTED_VALUE"""),"KYAI KONTONG")</f>
        <v>KYAI KONTONG</v>
      </c>
      <c r="D3210" s="94">
        <f>IFERROR(__xludf.DUMMYFUNCTION("""COMPUTED_VALUE"""),40.0)</f>
        <v>40</v>
      </c>
    </row>
    <row r="3211">
      <c r="A3211" s="87" t="str">
        <f>IFERROR(__xludf.DUMMYFUNCTION("""COMPUTED_VALUE"""),"ITBISA-RELAY-12V-4PIN-BLUE")</f>
        <v>ITBISA-RELAY-12V-4PIN-BLUE</v>
      </c>
      <c r="B3211" s="165">
        <f>IFERROR(__xludf.DUMMYFUNCTION("""COMPUTED_VALUE"""),46168.0)</f>
        <v>46168</v>
      </c>
      <c r="C3211" s="165" t="str">
        <f>IFERROR(__xludf.DUMMYFUNCTION("""COMPUTED_VALUE"""),"KYAI KONTONG")</f>
        <v>KYAI KONTONG</v>
      </c>
      <c r="D3211" s="94">
        <f>IFERROR(__xludf.DUMMYFUNCTION("""COMPUTED_VALUE"""),5.0)</f>
        <v>5</v>
      </c>
    </row>
    <row r="3212">
      <c r="A3212" s="87" t="str">
        <f>IFERROR(__xludf.DUMMYFUNCTION("""COMPUTED_VALUE"""),"ITBISA-RELAY-12V-4PIN-BLUE")</f>
        <v>ITBISA-RELAY-12V-4PIN-BLUE</v>
      </c>
      <c r="B3212" s="165">
        <f>IFERROR(__xludf.DUMMYFUNCTION("""COMPUTED_VALUE"""),46168.0)</f>
        <v>46168</v>
      </c>
      <c r="C3212" s="165" t="str">
        <f>IFERROR(__xludf.DUMMYFUNCTION("""COMPUTED_VALUE"""),"KYAI KONTONG")</f>
        <v>KYAI KONTONG</v>
      </c>
      <c r="D3212" s="94">
        <f>IFERROR(__xludf.DUMMYFUNCTION("""COMPUTED_VALUE"""),5.0)</f>
        <v>5</v>
      </c>
    </row>
    <row r="3213">
      <c r="A3213" s="87" t="str">
        <f>IFERROR(__xludf.DUMMYFUNCTION("""COMPUTED_VALUE"""),"ITBISA-RELAY-12V-4PIN-BLUE")</f>
        <v>ITBISA-RELAY-12V-4PIN-BLUE</v>
      </c>
      <c r="B3213" s="165">
        <f>IFERROR(__xludf.DUMMYFUNCTION("""COMPUTED_VALUE"""),46168.0)</f>
        <v>46168</v>
      </c>
      <c r="C3213" s="165" t="str">
        <f>IFERROR(__xludf.DUMMYFUNCTION("""COMPUTED_VALUE"""),"KYAI KONTONG")</f>
        <v>KYAI KONTONG</v>
      </c>
      <c r="D3213" s="94">
        <f>IFERROR(__xludf.DUMMYFUNCTION("""COMPUTED_VALUE"""),5.0)</f>
        <v>5</v>
      </c>
    </row>
    <row r="3214">
      <c r="A3214" s="87" t="str">
        <f>IFERROR(__xludf.DUMMYFUNCTION("""COMPUTED_VALUE"""),"ITBISA-RELAY-12V-4PIN-BLUE")</f>
        <v>ITBISA-RELAY-12V-4PIN-BLUE</v>
      </c>
      <c r="B3214" s="165">
        <f>IFERROR(__xludf.DUMMYFUNCTION("""COMPUTED_VALUE"""),46168.0)</f>
        <v>46168</v>
      </c>
      <c r="C3214" s="165" t="str">
        <f>IFERROR(__xludf.DUMMYFUNCTION("""COMPUTED_VALUE"""),"KYAI KONTONG")</f>
        <v>KYAI KONTONG</v>
      </c>
      <c r="D3214" s="94">
        <f>IFERROR(__xludf.DUMMYFUNCTION("""COMPUTED_VALUE"""),5.0)</f>
        <v>5</v>
      </c>
    </row>
    <row r="3215">
      <c r="A3215" s="87" t="str">
        <f>IFERROR(__xludf.DUMMYFUNCTION("""COMPUTED_VALUE"""),"ITBISA-RELAY-12V-4PIN-BLUE")</f>
        <v>ITBISA-RELAY-12V-4PIN-BLUE</v>
      </c>
      <c r="B3215" s="165">
        <f>IFERROR(__xludf.DUMMYFUNCTION("""COMPUTED_VALUE"""),46168.0)</f>
        <v>46168</v>
      </c>
      <c r="C3215" s="165" t="str">
        <f>IFERROR(__xludf.DUMMYFUNCTION("""COMPUTED_VALUE"""),"KYAI KONTONG")</f>
        <v>KYAI KONTONG</v>
      </c>
      <c r="D3215" s="94">
        <f>IFERROR(__xludf.DUMMYFUNCTION("""COMPUTED_VALUE"""),10.0)</f>
        <v>10</v>
      </c>
    </row>
    <row r="3216">
      <c r="A3216" s="87" t="str">
        <f>IFERROR(__xludf.DUMMYFUNCTION("""COMPUTED_VALUE"""),"ITBISA-RELAY-12V-4PIN-BLUE")</f>
        <v>ITBISA-RELAY-12V-4PIN-BLUE</v>
      </c>
      <c r="B3216" s="165">
        <f>IFERROR(__xludf.DUMMYFUNCTION("""COMPUTED_VALUE"""),46168.0)</f>
        <v>46168</v>
      </c>
      <c r="C3216" s="165" t="str">
        <f>IFERROR(__xludf.DUMMYFUNCTION("""COMPUTED_VALUE"""),"KYAI KONTONG")</f>
        <v>KYAI KONTONG</v>
      </c>
      <c r="D3216" s="94">
        <f>IFERROR(__xludf.DUMMYFUNCTION("""COMPUTED_VALUE"""),30.0)</f>
        <v>30</v>
      </c>
    </row>
    <row r="3217">
      <c r="A3217" s="87" t="str">
        <f>IFERROR(__xludf.DUMMYFUNCTION("""COMPUTED_VALUE"""),"ITBISA-RELAY-12V-4PIN-BLUE")</f>
        <v>ITBISA-RELAY-12V-4PIN-BLUE</v>
      </c>
      <c r="B3217" s="165">
        <f>IFERROR(__xludf.DUMMYFUNCTION("""COMPUTED_VALUE"""),46168.0)</f>
        <v>46168</v>
      </c>
      <c r="C3217" s="165" t="str">
        <f>IFERROR(__xludf.DUMMYFUNCTION("""COMPUTED_VALUE"""),"KYAI KONTONG")</f>
        <v>KYAI KONTONG</v>
      </c>
      <c r="D3217" s="94">
        <f>IFERROR(__xludf.DUMMYFUNCTION("""COMPUTED_VALUE"""),500.0)</f>
        <v>500</v>
      </c>
    </row>
    <row r="3218">
      <c r="A3218" s="87" t="str">
        <f>IFERROR(__xludf.DUMMYFUNCTION("""COMPUTED_VALUE"""),"ITBISA-RELAY-12V-4PIN-BLUE")</f>
        <v>ITBISA-RELAY-12V-4PIN-BLUE</v>
      </c>
      <c r="B3218" s="165">
        <f>IFERROR(__xludf.DUMMYFUNCTION("""COMPUTED_VALUE"""),46168.0)</f>
        <v>46168</v>
      </c>
      <c r="C3218" s="165" t="str">
        <f>IFERROR(__xludf.DUMMYFUNCTION("""COMPUTED_VALUE"""),"KYAI KONTONG")</f>
        <v>KYAI KONTONG</v>
      </c>
      <c r="D3218" s="94">
        <f>IFERROR(__xludf.DUMMYFUNCTION("""COMPUTED_VALUE"""),1000.0)</f>
        <v>1000</v>
      </c>
    </row>
    <row r="3219">
      <c r="A3219" s="87" t="str">
        <f>IFERROR(__xludf.DUMMYFUNCTION("""COMPUTED_VALUE"""),"ITBISA-RELAY-12V-4PIN-BLUE")</f>
        <v>ITBISA-RELAY-12V-4PIN-BLUE</v>
      </c>
      <c r="B3219" s="165">
        <f>IFERROR(__xludf.DUMMYFUNCTION("""COMPUTED_VALUE"""),46169.0)</f>
        <v>46169</v>
      </c>
      <c r="C3219" s="165" t="str">
        <f>IFERROR(__xludf.DUMMYFUNCTION("""COMPUTED_VALUE"""),"KYAI KONTONG")</f>
        <v>KYAI KONTONG</v>
      </c>
      <c r="D3219" s="94">
        <f>IFERROR(__xludf.DUMMYFUNCTION("""COMPUTED_VALUE"""),5.0)</f>
        <v>5</v>
      </c>
    </row>
    <row r="3220">
      <c r="A3220" s="87" t="str">
        <f>IFERROR(__xludf.DUMMYFUNCTION("""COMPUTED_VALUE"""),"ITBISA-RELAY-12V-4PIN-BLUE")</f>
        <v>ITBISA-RELAY-12V-4PIN-BLUE</v>
      </c>
      <c r="B3220" s="165">
        <f>IFERROR(__xludf.DUMMYFUNCTION("""COMPUTED_VALUE"""),46169.0)</f>
        <v>46169</v>
      </c>
      <c r="C3220" s="165" t="str">
        <f>IFERROR(__xludf.DUMMYFUNCTION("""COMPUTED_VALUE"""),"KYAI KONTONG")</f>
        <v>KYAI KONTONG</v>
      </c>
      <c r="D3220" s="94">
        <f>IFERROR(__xludf.DUMMYFUNCTION("""COMPUTED_VALUE"""),5.0)</f>
        <v>5</v>
      </c>
    </row>
    <row r="3221">
      <c r="A3221" s="87" t="str">
        <f>IFERROR(__xludf.DUMMYFUNCTION("""COMPUTED_VALUE"""),"ITBISA-RELAY-12V-4PIN-BLUE")</f>
        <v>ITBISA-RELAY-12V-4PIN-BLUE</v>
      </c>
      <c r="B3221" s="165">
        <f>IFERROR(__xludf.DUMMYFUNCTION("""COMPUTED_VALUE"""),46169.0)</f>
        <v>46169</v>
      </c>
      <c r="C3221" s="165" t="str">
        <f>IFERROR(__xludf.DUMMYFUNCTION("""COMPUTED_VALUE"""),"KYAI KONTONG")</f>
        <v>KYAI KONTONG</v>
      </c>
      <c r="D3221" s="94">
        <f>IFERROR(__xludf.DUMMYFUNCTION("""COMPUTED_VALUE"""),5.0)</f>
        <v>5</v>
      </c>
    </row>
    <row r="3222">
      <c r="A3222" s="87" t="str">
        <f>IFERROR(__xludf.DUMMYFUNCTION("""COMPUTED_VALUE"""),"ITBISA-RELAY-12V-4PIN-BLUE")</f>
        <v>ITBISA-RELAY-12V-4PIN-BLUE</v>
      </c>
      <c r="B3222" s="165">
        <f>IFERROR(__xludf.DUMMYFUNCTION("""COMPUTED_VALUE"""),46170.0)</f>
        <v>46170</v>
      </c>
      <c r="C3222" s="165" t="str">
        <f>IFERROR(__xludf.DUMMYFUNCTION("""COMPUTED_VALUE"""),"KYAI KONTONG")</f>
        <v>KYAI KONTONG</v>
      </c>
      <c r="D3222" s="94">
        <f>IFERROR(__xludf.DUMMYFUNCTION("""COMPUTED_VALUE"""),5.0)</f>
        <v>5</v>
      </c>
    </row>
    <row r="3223">
      <c r="A3223" s="87" t="str">
        <f>IFERROR(__xludf.DUMMYFUNCTION("""COMPUTED_VALUE"""),"ITBISA-RELAY-12V-4PIN-BLUE")</f>
        <v>ITBISA-RELAY-12V-4PIN-BLUE</v>
      </c>
      <c r="B3223" s="165">
        <f>IFERROR(__xludf.DUMMYFUNCTION("""COMPUTED_VALUE"""),46171.0)</f>
        <v>46171</v>
      </c>
      <c r="C3223" s="165" t="str">
        <f>IFERROR(__xludf.DUMMYFUNCTION("""COMPUTED_VALUE"""),"KYAI KONTONG")</f>
        <v>KYAI KONTONG</v>
      </c>
      <c r="D3223" s="94">
        <f>IFERROR(__xludf.DUMMYFUNCTION("""COMPUTED_VALUE"""),5.0)</f>
        <v>5</v>
      </c>
    </row>
    <row r="3224">
      <c r="A3224" s="87" t="str">
        <f>IFERROR(__xludf.DUMMYFUNCTION("""COMPUTED_VALUE"""),"ITBISA-RELAY-12V-4PIN-BLUE")</f>
        <v>ITBISA-RELAY-12V-4PIN-BLUE</v>
      </c>
      <c r="B3224" s="165">
        <f>IFERROR(__xludf.DUMMYFUNCTION("""COMPUTED_VALUE"""),46171.0)</f>
        <v>46171</v>
      </c>
      <c r="C3224" s="165" t="str">
        <f>IFERROR(__xludf.DUMMYFUNCTION("""COMPUTED_VALUE"""),"KYAI KONTONG")</f>
        <v>KYAI KONTONG</v>
      </c>
      <c r="D3224" s="94">
        <f>IFERROR(__xludf.DUMMYFUNCTION("""COMPUTED_VALUE"""),5.0)</f>
        <v>5</v>
      </c>
    </row>
    <row r="3225">
      <c r="A3225" s="87" t="str">
        <f>IFERROR(__xludf.DUMMYFUNCTION("""COMPUTED_VALUE"""),"ITBISA-RELAY-12V-4PIN-BLUE")</f>
        <v>ITBISA-RELAY-12V-4PIN-BLUE</v>
      </c>
      <c r="B3225" s="165">
        <f>IFERROR(__xludf.DUMMYFUNCTION("""COMPUTED_VALUE"""),46171.0)</f>
        <v>46171</v>
      </c>
      <c r="C3225" s="165" t="str">
        <f>IFERROR(__xludf.DUMMYFUNCTION("""COMPUTED_VALUE"""),"KYAI KONTONG")</f>
        <v>KYAI KONTONG</v>
      </c>
      <c r="D3225" s="94">
        <f>IFERROR(__xludf.DUMMYFUNCTION("""COMPUTED_VALUE"""),5.0)</f>
        <v>5</v>
      </c>
    </row>
    <row r="3226">
      <c r="A3226" s="87" t="str">
        <f>IFERROR(__xludf.DUMMYFUNCTION("""COMPUTED_VALUE"""),"ITBISA-RELAY-12V-4PIN-BLUE")</f>
        <v>ITBISA-RELAY-12V-4PIN-BLUE</v>
      </c>
      <c r="B3226" s="165">
        <f>IFERROR(__xludf.DUMMYFUNCTION("""COMPUTED_VALUE"""),46171.0)</f>
        <v>46171</v>
      </c>
      <c r="C3226" s="165" t="str">
        <f>IFERROR(__xludf.DUMMYFUNCTION("""COMPUTED_VALUE"""),"KYAI KONTONG")</f>
        <v>KYAI KONTONG</v>
      </c>
      <c r="D3226" s="94">
        <f>IFERROR(__xludf.DUMMYFUNCTION("""COMPUTED_VALUE"""),100.0)</f>
        <v>100</v>
      </c>
    </row>
    <row r="3227">
      <c r="A3227" s="87" t="str">
        <f>IFERROR(__xludf.DUMMYFUNCTION("""COMPUTED_VALUE"""),"ITBISA-RELAY-12V-4PIN-BLUE")</f>
        <v>ITBISA-RELAY-12V-4PIN-BLUE</v>
      </c>
      <c r="B3227" s="165">
        <f>IFERROR(__xludf.DUMMYFUNCTION("""COMPUTED_VALUE"""),46172.0)</f>
        <v>46172</v>
      </c>
      <c r="C3227" s="165" t="str">
        <f>IFERROR(__xludf.DUMMYFUNCTION("""COMPUTED_VALUE"""),"KYAI KONTONG")</f>
        <v>KYAI KONTONG</v>
      </c>
      <c r="D3227" s="94">
        <f>IFERROR(__xludf.DUMMYFUNCTION("""COMPUTED_VALUE"""),5.0)</f>
        <v>5</v>
      </c>
    </row>
    <row r="3228">
      <c r="A3228" s="87" t="str">
        <f>IFERROR(__xludf.DUMMYFUNCTION("""COMPUTED_VALUE"""),"ITBISA-RELAY-12V-4PIN-BLUE")</f>
        <v>ITBISA-RELAY-12V-4PIN-BLUE</v>
      </c>
      <c r="B3228" s="165">
        <f>IFERROR(__xludf.DUMMYFUNCTION("""COMPUTED_VALUE"""),46173.0)</f>
        <v>46173</v>
      </c>
      <c r="C3228" s="165" t="str">
        <f>IFERROR(__xludf.DUMMYFUNCTION("""COMPUTED_VALUE"""),"KYAI KONTONG")</f>
        <v>KYAI KONTONG</v>
      </c>
      <c r="D3228" s="94">
        <f>IFERROR(__xludf.DUMMYFUNCTION("""COMPUTED_VALUE"""),5.0)</f>
        <v>5</v>
      </c>
    </row>
    <row r="3229">
      <c r="A3229" s="87" t="str">
        <f>IFERROR(__xludf.DUMMYFUNCTION("""COMPUTED_VALUE"""),"ITBISA-RELAY-12V-4PIN-BLUE")</f>
        <v>ITBISA-RELAY-12V-4PIN-BLUE</v>
      </c>
      <c r="B3229" s="165">
        <f>IFERROR(__xludf.DUMMYFUNCTION("""COMPUTED_VALUE"""),46173.0)</f>
        <v>46173</v>
      </c>
      <c r="C3229" s="165" t="str">
        <f>IFERROR(__xludf.DUMMYFUNCTION("""COMPUTED_VALUE"""),"KYAI KONTONG")</f>
        <v>KYAI KONTONG</v>
      </c>
      <c r="D3229" s="94">
        <f>IFERROR(__xludf.DUMMYFUNCTION("""COMPUTED_VALUE"""),5.0)</f>
        <v>5</v>
      </c>
    </row>
    <row r="3230">
      <c r="A3230" s="87" t="str">
        <f>IFERROR(__xludf.DUMMYFUNCTION("""COMPUTED_VALUE"""),"ITBISA-RELAY-12V-4PIN-BLUE")</f>
        <v>ITBISA-RELAY-12V-4PIN-BLUE</v>
      </c>
      <c r="B3230" s="165">
        <f>IFERROR(__xludf.DUMMYFUNCTION("""COMPUTED_VALUE"""),46173.0)</f>
        <v>46173</v>
      </c>
      <c r="C3230" s="165" t="str">
        <f>IFERROR(__xludf.DUMMYFUNCTION("""COMPUTED_VALUE"""),"KYAI KONTONG")</f>
        <v>KYAI KONTONG</v>
      </c>
      <c r="D3230" s="94">
        <f>IFERROR(__xludf.DUMMYFUNCTION("""COMPUTED_VALUE"""),5.0)</f>
        <v>5</v>
      </c>
    </row>
    <row r="3231">
      <c r="A3231" s="87" t="str">
        <f>IFERROR(__xludf.DUMMYFUNCTION("""COMPUTED_VALUE"""),"ITBISA-RELAY-12V-4PIN-BLUE")</f>
        <v>ITBISA-RELAY-12V-4PIN-BLUE</v>
      </c>
      <c r="B3231" s="165">
        <f>IFERROR(__xludf.DUMMYFUNCTION("""COMPUTED_VALUE"""),46174.0)</f>
        <v>46174</v>
      </c>
      <c r="C3231" s="165" t="str">
        <f>IFERROR(__xludf.DUMMYFUNCTION("""COMPUTED_VALUE"""),"KYAI KONTONG")</f>
        <v>KYAI KONTONG</v>
      </c>
      <c r="D3231" s="94">
        <f>IFERROR(__xludf.DUMMYFUNCTION("""COMPUTED_VALUE"""),1.0)</f>
        <v>1</v>
      </c>
    </row>
    <row r="3232">
      <c r="A3232" s="87" t="str">
        <f>IFERROR(__xludf.DUMMYFUNCTION("""COMPUTED_VALUE"""),"ITBISA-RELAY-12V-4PIN-BLUE")</f>
        <v>ITBISA-RELAY-12V-4PIN-BLUE</v>
      </c>
      <c r="B3232" s="165">
        <f>IFERROR(__xludf.DUMMYFUNCTION("""COMPUTED_VALUE"""),46174.0)</f>
        <v>46174</v>
      </c>
      <c r="C3232" s="165" t="str">
        <f>IFERROR(__xludf.DUMMYFUNCTION("""COMPUTED_VALUE"""),"KYAI KONTONG")</f>
        <v>KYAI KONTONG</v>
      </c>
      <c r="D3232" s="94">
        <f>IFERROR(__xludf.DUMMYFUNCTION("""COMPUTED_VALUE"""),5.0)</f>
        <v>5</v>
      </c>
    </row>
    <row r="3233">
      <c r="A3233" s="87" t="str">
        <f>IFERROR(__xludf.DUMMYFUNCTION("""COMPUTED_VALUE"""),"ITBISA-RELAY-12V-4PIN-BLUE")</f>
        <v>ITBISA-RELAY-12V-4PIN-BLUE</v>
      </c>
      <c r="B3233" s="165">
        <f>IFERROR(__xludf.DUMMYFUNCTION("""COMPUTED_VALUE"""),46174.0)</f>
        <v>46174</v>
      </c>
      <c r="C3233" s="165" t="str">
        <f>IFERROR(__xludf.DUMMYFUNCTION("""COMPUTED_VALUE"""),"KYAI KONTONG")</f>
        <v>KYAI KONTONG</v>
      </c>
      <c r="D3233" s="94">
        <f>IFERROR(__xludf.DUMMYFUNCTION("""COMPUTED_VALUE"""),6.0)</f>
        <v>6</v>
      </c>
    </row>
    <row r="3234">
      <c r="A3234" s="87" t="str">
        <f>IFERROR(__xludf.DUMMYFUNCTION("""COMPUTED_VALUE"""),"ITBISA-RELAY-12V-4PIN-BLUE")</f>
        <v>ITBISA-RELAY-12V-4PIN-BLUE</v>
      </c>
      <c r="B3234" s="165">
        <f>IFERROR(__xludf.DUMMYFUNCTION("""COMPUTED_VALUE"""),46174.0)</f>
        <v>46174</v>
      </c>
      <c r="C3234" s="165" t="str">
        <f>IFERROR(__xludf.DUMMYFUNCTION("""COMPUTED_VALUE"""),"KYAI KONTONG")</f>
        <v>KYAI KONTONG</v>
      </c>
      <c r="D3234" s="94">
        <f>IFERROR(__xludf.DUMMYFUNCTION("""COMPUTED_VALUE"""),6.0)</f>
        <v>6</v>
      </c>
    </row>
    <row r="3235">
      <c r="A3235" s="87" t="str">
        <f>IFERROR(__xludf.DUMMYFUNCTION("""COMPUTED_VALUE"""),"ITBISA-RELAY-12V-4PIN-BLUE")</f>
        <v>ITBISA-RELAY-12V-4PIN-BLUE</v>
      </c>
      <c r="B3235" s="165">
        <f>IFERROR(__xludf.DUMMYFUNCTION("""COMPUTED_VALUE"""),46175.0)</f>
        <v>46175</v>
      </c>
      <c r="C3235" s="165" t="str">
        <f>IFERROR(__xludf.DUMMYFUNCTION("""COMPUTED_VALUE"""),"KYAI KONTONG")</f>
        <v>KYAI KONTONG</v>
      </c>
      <c r="D3235" s="94">
        <f>IFERROR(__xludf.DUMMYFUNCTION("""COMPUTED_VALUE"""),10.0)</f>
        <v>10</v>
      </c>
    </row>
    <row r="3236">
      <c r="A3236" s="87" t="str">
        <f>IFERROR(__xludf.DUMMYFUNCTION("""COMPUTED_VALUE"""),"ITBISA-RELAY-12V-4PIN-BLUE")</f>
        <v>ITBISA-RELAY-12V-4PIN-BLUE</v>
      </c>
      <c r="B3236" s="165">
        <f>IFERROR(__xludf.DUMMYFUNCTION("""COMPUTED_VALUE"""),46175.0)</f>
        <v>46175</v>
      </c>
      <c r="C3236" s="165" t="str">
        <f>IFERROR(__xludf.DUMMYFUNCTION("""COMPUTED_VALUE"""),"KYAI KONTONG")</f>
        <v>KYAI KONTONG</v>
      </c>
      <c r="D3236" s="94">
        <f>IFERROR(__xludf.DUMMYFUNCTION("""COMPUTED_VALUE"""),10.0)</f>
        <v>10</v>
      </c>
    </row>
    <row r="3237">
      <c r="A3237" s="87" t="str">
        <f>IFERROR(__xludf.DUMMYFUNCTION("""COMPUTED_VALUE"""),"ITBISA-RELAY-12V-4PIN-BLUE")</f>
        <v>ITBISA-RELAY-12V-4PIN-BLUE</v>
      </c>
      <c r="B3237" s="165">
        <f>IFERROR(__xludf.DUMMYFUNCTION("""COMPUTED_VALUE"""),46176.0)</f>
        <v>46176</v>
      </c>
      <c r="C3237" s="165" t="str">
        <f>IFERROR(__xludf.DUMMYFUNCTION("""COMPUTED_VALUE"""),"KYAI KONTONG")</f>
        <v>KYAI KONTONG</v>
      </c>
      <c r="D3237" s="94">
        <f>IFERROR(__xludf.DUMMYFUNCTION("""COMPUTED_VALUE"""),5.0)</f>
        <v>5</v>
      </c>
    </row>
    <row r="3238">
      <c r="A3238" s="87" t="str">
        <f>IFERROR(__xludf.DUMMYFUNCTION("""COMPUTED_VALUE"""),"ITBISA-RELAY-12V-4PIN-BLUE")</f>
        <v>ITBISA-RELAY-12V-4PIN-BLUE</v>
      </c>
      <c r="B3238" s="165">
        <f>IFERROR(__xludf.DUMMYFUNCTION("""COMPUTED_VALUE"""),46176.0)</f>
        <v>46176</v>
      </c>
      <c r="C3238" s="165" t="str">
        <f>IFERROR(__xludf.DUMMYFUNCTION("""COMPUTED_VALUE"""),"KYAI KONTONG")</f>
        <v>KYAI KONTONG</v>
      </c>
      <c r="D3238" s="94">
        <f>IFERROR(__xludf.DUMMYFUNCTION("""COMPUTED_VALUE"""),5.0)</f>
        <v>5</v>
      </c>
    </row>
    <row r="3239">
      <c r="A3239" s="87" t="str">
        <f>IFERROR(__xludf.DUMMYFUNCTION("""COMPUTED_VALUE"""),"ITBISA-RELAY-12V-4PIN-BLUE")</f>
        <v>ITBISA-RELAY-12V-4PIN-BLUE</v>
      </c>
      <c r="B3239" s="165">
        <f>IFERROR(__xludf.DUMMYFUNCTION("""COMPUTED_VALUE"""),46176.0)</f>
        <v>46176</v>
      </c>
      <c r="C3239" s="165" t="str">
        <f>IFERROR(__xludf.DUMMYFUNCTION("""COMPUTED_VALUE"""),"KYAI KONTONG")</f>
        <v>KYAI KONTONG</v>
      </c>
      <c r="D3239" s="94">
        <f>IFERROR(__xludf.DUMMYFUNCTION("""COMPUTED_VALUE"""),5.0)</f>
        <v>5</v>
      </c>
    </row>
    <row r="3240">
      <c r="A3240" s="87" t="str">
        <f>IFERROR(__xludf.DUMMYFUNCTION("""COMPUTED_VALUE"""),"ITBISA-RELAY-12V-4PIN-BLUE")</f>
        <v>ITBISA-RELAY-12V-4PIN-BLUE</v>
      </c>
      <c r="B3240" s="165">
        <f>IFERROR(__xludf.DUMMYFUNCTION("""COMPUTED_VALUE"""),46176.0)</f>
        <v>46176</v>
      </c>
      <c r="C3240" s="165" t="str">
        <f>IFERROR(__xludf.DUMMYFUNCTION("""COMPUTED_VALUE"""),"KYAI KONTONG")</f>
        <v>KYAI KONTONG</v>
      </c>
      <c r="D3240" s="94">
        <f>IFERROR(__xludf.DUMMYFUNCTION("""COMPUTED_VALUE"""),10.0)</f>
        <v>10</v>
      </c>
    </row>
    <row r="3241">
      <c r="A3241" s="87" t="str">
        <f>IFERROR(__xludf.DUMMYFUNCTION("""COMPUTED_VALUE"""),"ITBISA-RELAY-12V-4PIN-BLUE")</f>
        <v>ITBISA-RELAY-12V-4PIN-BLUE</v>
      </c>
      <c r="B3241" s="165">
        <f>IFERROR(__xludf.DUMMYFUNCTION("""COMPUTED_VALUE"""),46176.0)</f>
        <v>46176</v>
      </c>
      <c r="C3241" s="165" t="str">
        <f>IFERROR(__xludf.DUMMYFUNCTION("""COMPUTED_VALUE"""),"KYAI KONTONG")</f>
        <v>KYAI KONTONG</v>
      </c>
      <c r="D3241" s="94">
        <f>IFERROR(__xludf.DUMMYFUNCTION("""COMPUTED_VALUE"""),20.0)</f>
        <v>20</v>
      </c>
    </row>
    <row r="3242">
      <c r="A3242" s="87" t="str">
        <f>IFERROR(__xludf.DUMMYFUNCTION("""COMPUTED_VALUE"""),"ITBISA-RELAY-12V-4PIN-BLUE")</f>
        <v>ITBISA-RELAY-12V-4PIN-BLUE</v>
      </c>
      <c r="B3242" s="165">
        <f>IFERROR(__xludf.DUMMYFUNCTION("""COMPUTED_VALUE"""),46176.0)</f>
        <v>46176</v>
      </c>
      <c r="C3242" s="165" t="str">
        <f>IFERROR(__xludf.DUMMYFUNCTION("""COMPUTED_VALUE"""),"KYAI KONTONG")</f>
        <v>KYAI KONTONG</v>
      </c>
      <c r="D3242" s="94">
        <f>IFERROR(__xludf.DUMMYFUNCTION("""COMPUTED_VALUE"""),30.0)</f>
        <v>30</v>
      </c>
    </row>
    <row r="3243">
      <c r="A3243" s="87" t="str">
        <f>IFERROR(__xludf.DUMMYFUNCTION("""COMPUTED_VALUE"""),"ITBISA-RELAY-12V-4PIN-BLUE")</f>
        <v>ITBISA-RELAY-12V-4PIN-BLUE</v>
      </c>
      <c r="B3243" s="165">
        <f>IFERROR(__xludf.DUMMYFUNCTION("""COMPUTED_VALUE"""),46176.0)</f>
        <v>46176</v>
      </c>
      <c r="C3243" s="165" t="str">
        <f>IFERROR(__xludf.DUMMYFUNCTION("""COMPUTED_VALUE"""),"KYAI KONTONG")</f>
        <v>KYAI KONTONG</v>
      </c>
      <c r="D3243" s="94">
        <f>IFERROR(__xludf.DUMMYFUNCTION("""COMPUTED_VALUE"""),40.0)</f>
        <v>40</v>
      </c>
    </row>
    <row r="3244">
      <c r="A3244" s="87" t="str">
        <f>IFERROR(__xludf.DUMMYFUNCTION("""COMPUTED_VALUE"""),"ITBISA-RELAY-12V-4PIN-BLUE")</f>
        <v>ITBISA-RELAY-12V-4PIN-BLUE</v>
      </c>
      <c r="B3244" s="165">
        <f>IFERROR(__xludf.DUMMYFUNCTION("""COMPUTED_VALUE"""),46177.0)</f>
        <v>46177</v>
      </c>
      <c r="C3244" s="165" t="str">
        <f>IFERROR(__xludf.DUMMYFUNCTION("""COMPUTED_VALUE"""),"KYAI KONTONG")</f>
        <v>KYAI KONTONG</v>
      </c>
      <c r="D3244" s="94">
        <f>IFERROR(__xludf.DUMMYFUNCTION("""COMPUTED_VALUE"""),5.0)</f>
        <v>5</v>
      </c>
    </row>
    <row r="3245">
      <c r="A3245" s="87" t="str">
        <f>IFERROR(__xludf.DUMMYFUNCTION("""COMPUTED_VALUE"""),"ITBISA-RELAY-12V-4PIN-BLUE")</f>
        <v>ITBISA-RELAY-12V-4PIN-BLUE</v>
      </c>
      <c r="B3245" s="165">
        <f>IFERROR(__xludf.DUMMYFUNCTION("""COMPUTED_VALUE"""),46177.0)</f>
        <v>46177</v>
      </c>
      <c r="C3245" s="165" t="str">
        <f>IFERROR(__xludf.DUMMYFUNCTION("""COMPUTED_VALUE"""),"KYAI KONTONG")</f>
        <v>KYAI KONTONG</v>
      </c>
      <c r="D3245" s="94">
        <f>IFERROR(__xludf.DUMMYFUNCTION("""COMPUTED_VALUE"""),8.0)</f>
        <v>8</v>
      </c>
    </row>
    <row r="3246">
      <c r="A3246" s="87" t="str">
        <f>IFERROR(__xludf.DUMMYFUNCTION("""COMPUTED_VALUE"""),"ITBISA-RELAY-12V-4PIN-BLUE")</f>
        <v>ITBISA-RELAY-12V-4PIN-BLUE</v>
      </c>
      <c r="B3246" s="165">
        <f>IFERROR(__xludf.DUMMYFUNCTION("""COMPUTED_VALUE"""),46177.0)</f>
        <v>46177</v>
      </c>
      <c r="C3246" s="165" t="str">
        <f>IFERROR(__xludf.DUMMYFUNCTION("""COMPUTED_VALUE"""),"KYAI KONTONG")</f>
        <v>KYAI KONTONG</v>
      </c>
      <c r="D3246" s="94">
        <f>IFERROR(__xludf.DUMMYFUNCTION("""COMPUTED_VALUE"""),10.0)</f>
        <v>10</v>
      </c>
    </row>
    <row r="3247">
      <c r="A3247" s="87" t="str">
        <f>IFERROR(__xludf.DUMMYFUNCTION("""COMPUTED_VALUE"""),"ITBISA-RELAY-12V-4PIN-BLUE")</f>
        <v>ITBISA-RELAY-12V-4PIN-BLUE</v>
      </c>
      <c r="B3247" s="165">
        <f>IFERROR(__xludf.DUMMYFUNCTION("""COMPUTED_VALUE"""),46177.0)</f>
        <v>46177</v>
      </c>
      <c r="C3247" s="165" t="str">
        <f>IFERROR(__xludf.DUMMYFUNCTION("""COMPUTED_VALUE"""),"KYAI KONTONG")</f>
        <v>KYAI KONTONG</v>
      </c>
      <c r="D3247" s="94">
        <f>IFERROR(__xludf.DUMMYFUNCTION("""COMPUTED_VALUE"""),10.0)</f>
        <v>10</v>
      </c>
    </row>
    <row r="3248">
      <c r="A3248" s="87" t="str">
        <f>IFERROR(__xludf.DUMMYFUNCTION("""COMPUTED_VALUE"""),"ITBISA-RELAY-12V-4PIN-BLUE")</f>
        <v>ITBISA-RELAY-12V-4PIN-BLUE</v>
      </c>
      <c r="B3248" s="165">
        <f>IFERROR(__xludf.DUMMYFUNCTION("""COMPUTED_VALUE"""),46178.0)</f>
        <v>46178</v>
      </c>
      <c r="C3248" s="165" t="str">
        <f>IFERROR(__xludf.DUMMYFUNCTION("""COMPUTED_VALUE"""),"KYAI KONTONG")</f>
        <v>KYAI KONTONG</v>
      </c>
      <c r="D3248" s="94">
        <f>IFERROR(__xludf.DUMMYFUNCTION("""COMPUTED_VALUE"""),1.0)</f>
        <v>1</v>
      </c>
    </row>
    <row r="3249">
      <c r="A3249" s="87" t="str">
        <f>IFERROR(__xludf.DUMMYFUNCTION("""COMPUTED_VALUE"""),"ITBISA-RELAY-12V-4PIN-BLUE")</f>
        <v>ITBISA-RELAY-12V-4PIN-BLUE</v>
      </c>
      <c r="B3249" s="165">
        <f>IFERROR(__xludf.DUMMYFUNCTION("""COMPUTED_VALUE"""),46178.0)</f>
        <v>46178</v>
      </c>
      <c r="C3249" s="165" t="str">
        <f>IFERROR(__xludf.DUMMYFUNCTION("""COMPUTED_VALUE"""),"KYAI KONTONG")</f>
        <v>KYAI KONTONG</v>
      </c>
      <c r="D3249" s="94">
        <f>IFERROR(__xludf.DUMMYFUNCTION("""COMPUTED_VALUE"""),5.0)</f>
        <v>5</v>
      </c>
    </row>
    <row r="3250">
      <c r="A3250" s="87" t="str">
        <f>IFERROR(__xludf.DUMMYFUNCTION("""COMPUTED_VALUE"""),"ITBISA-RELAY-12V-4PIN-BLUE")</f>
        <v>ITBISA-RELAY-12V-4PIN-BLUE</v>
      </c>
      <c r="B3250" s="165">
        <f>IFERROR(__xludf.DUMMYFUNCTION("""COMPUTED_VALUE"""),46179.0)</f>
        <v>46179</v>
      </c>
      <c r="C3250" s="165" t="str">
        <f>IFERROR(__xludf.DUMMYFUNCTION("""COMPUTED_VALUE"""),"KYAI KONTONG")</f>
        <v>KYAI KONTONG</v>
      </c>
      <c r="D3250" s="94">
        <f>IFERROR(__xludf.DUMMYFUNCTION("""COMPUTED_VALUE"""),5.0)</f>
        <v>5</v>
      </c>
    </row>
    <row r="3251">
      <c r="A3251" s="87" t="str">
        <f>IFERROR(__xludf.DUMMYFUNCTION("""COMPUTED_VALUE"""),"ITBISA-RELAY-12V-4PIN-BLUE")</f>
        <v>ITBISA-RELAY-12V-4PIN-BLUE</v>
      </c>
      <c r="B3251" s="165">
        <f>IFERROR(__xludf.DUMMYFUNCTION("""COMPUTED_VALUE"""),46179.0)</f>
        <v>46179</v>
      </c>
      <c r="C3251" s="165" t="str">
        <f>IFERROR(__xludf.DUMMYFUNCTION("""COMPUTED_VALUE"""),"KYAI KONTONG")</f>
        <v>KYAI KONTONG</v>
      </c>
      <c r="D3251" s="94">
        <f>IFERROR(__xludf.DUMMYFUNCTION("""COMPUTED_VALUE"""),500.0)</f>
        <v>500</v>
      </c>
    </row>
    <row r="3252">
      <c r="A3252" s="87" t="str">
        <f>IFERROR(__xludf.DUMMYFUNCTION("""COMPUTED_VALUE"""),"ITBISA-RELAY-12V-4PIN-BLUE")</f>
        <v>ITBISA-RELAY-12V-4PIN-BLUE</v>
      </c>
      <c r="B3252" s="165">
        <f>IFERROR(__xludf.DUMMYFUNCTION("""COMPUTED_VALUE"""),46180.0)</f>
        <v>46180</v>
      </c>
      <c r="C3252" s="165" t="str">
        <f>IFERROR(__xludf.DUMMYFUNCTION("""COMPUTED_VALUE"""),"KYAI KONTONG")</f>
        <v>KYAI KONTONG</v>
      </c>
      <c r="D3252" s="94">
        <f>IFERROR(__xludf.DUMMYFUNCTION("""COMPUTED_VALUE"""),7.0)</f>
        <v>7</v>
      </c>
    </row>
    <row r="3253">
      <c r="A3253" s="87" t="str">
        <f>IFERROR(__xludf.DUMMYFUNCTION("""COMPUTED_VALUE"""),"ITBISA-RELAY-12V-4PIN-BLUE")</f>
        <v>ITBISA-RELAY-12V-4PIN-BLUE</v>
      </c>
      <c r="B3253" s="165">
        <f>IFERROR(__xludf.DUMMYFUNCTION("""COMPUTED_VALUE"""),46181.0)</f>
        <v>46181</v>
      </c>
      <c r="C3253" s="165" t="str">
        <f>IFERROR(__xludf.DUMMYFUNCTION("""COMPUTED_VALUE"""),"KYAI KONTONG")</f>
        <v>KYAI KONTONG</v>
      </c>
      <c r="D3253" s="94">
        <f>IFERROR(__xludf.DUMMYFUNCTION("""COMPUTED_VALUE"""),5.0)</f>
        <v>5</v>
      </c>
    </row>
    <row r="3254">
      <c r="A3254" s="87" t="str">
        <f>IFERROR(__xludf.DUMMYFUNCTION("""COMPUTED_VALUE"""),"ITBISA-RELAY-12V-4PIN-BLUE")</f>
        <v>ITBISA-RELAY-12V-4PIN-BLUE</v>
      </c>
      <c r="B3254" s="165">
        <f>IFERROR(__xludf.DUMMYFUNCTION("""COMPUTED_VALUE"""),46181.0)</f>
        <v>46181</v>
      </c>
      <c r="C3254" s="165" t="str">
        <f>IFERROR(__xludf.DUMMYFUNCTION("""COMPUTED_VALUE"""),"KYAI KONTONG")</f>
        <v>KYAI KONTONG</v>
      </c>
      <c r="D3254" s="94">
        <f>IFERROR(__xludf.DUMMYFUNCTION("""COMPUTED_VALUE"""),30.0)</f>
        <v>30</v>
      </c>
    </row>
    <row r="3255">
      <c r="A3255" s="87" t="str">
        <f>IFERROR(__xludf.DUMMYFUNCTION("""COMPUTED_VALUE"""),"ITBISA-RELAY-12V-4PIN-BLUE")</f>
        <v>ITBISA-RELAY-12V-4PIN-BLUE</v>
      </c>
      <c r="B3255" s="165">
        <f>IFERROR(__xludf.DUMMYFUNCTION("""COMPUTED_VALUE"""),46182.0)</f>
        <v>46182</v>
      </c>
      <c r="C3255" s="165" t="str">
        <f>IFERROR(__xludf.DUMMYFUNCTION("""COMPUTED_VALUE"""),"KYAI KONTONG")</f>
        <v>KYAI KONTONG</v>
      </c>
      <c r="D3255" s="94">
        <f>IFERROR(__xludf.DUMMYFUNCTION("""COMPUTED_VALUE"""),5.0)</f>
        <v>5</v>
      </c>
    </row>
    <row r="3256">
      <c r="A3256" s="87" t="str">
        <f>IFERROR(__xludf.DUMMYFUNCTION("""COMPUTED_VALUE"""),"ITBISA-RELAY-12V-4PIN-BLUE")</f>
        <v>ITBISA-RELAY-12V-4PIN-BLUE</v>
      </c>
      <c r="B3256" s="165">
        <f>IFERROR(__xludf.DUMMYFUNCTION("""COMPUTED_VALUE"""),46182.0)</f>
        <v>46182</v>
      </c>
      <c r="C3256" s="165" t="str">
        <f>IFERROR(__xludf.DUMMYFUNCTION("""COMPUTED_VALUE"""),"KYAI KONTONG")</f>
        <v>KYAI KONTONG</v>
      </c>
      <c r="D3256" s="94">
        <f>IFERROR(__xludf.DUMMYFUNCTION("""COMPUTED_VALUE"""),10.0)</f>
        <v>10</v>
      </c>
    </row>
    <row r="3257">
      <c r="A3257" s="87" t="str">
        <f>IFERROR(__xludf.DUMMYFUNCTION("""COMPUTED_VALUE"""),"ITBISA-RELAY-12V-4PIN-BLUE")</f>
        <v>ITBISA-RELAY-12V-4PIN-BLUE</v>
      </c>
      <c r="B3257" s="165">
        <f>IFERROR(__xludf.DUMMYFUNCTION("""COMPUTED_VALUE"""),46184.0)</f>
        <v>46184</v>
      </c>
      <c r="C3257" s="165" t="str">
        <f>IFERROR(__xludf.DUMMYFUNCTION("""COMPUTED_VALUE"""),"KYAI KONTONG")</f>
        <v>KYAI KONTONG</v>
      </c>
      <c r="D3257" s="94">
        <f>IFERROR(__xludf.DUMMYFUNCTION("""COMPUTED_VALUE"""),5.0)</f>
        <v>5</v>
      </c>
    </row>
    <row r="3258">
      <c r="A3258" s="87" t="str">
        <f>IFERROR(__xludf.DUMMYFUNCTION("""COMPUTED_VALUE"""),"ITBISA-RELAY-12V-4PIN-BLUE")</f>
        <v>ITBISA-RELAY-12V-4PIN-BLUE</v>
      </c>
      <c r="B3258" s="165">
        <f>IFERROR(__xludf.DUMMYFUNCTION("""COMPUTED_VALUE"""),46184.0)</f>
        <v>46184</v>
      </c>
      <c r="C3258" s="165" t="str">
        <f>IFERROR(__xludf.DUMMYFUNCTION("""COMPUTED_VALUE"""),"KYAI KONTONG")</f>
        <v>KYAI KONTONG</v>
      </c>
      <c r="D3258" s="94">
        <f>IFERROR(__xludf.DUMMYFUNCTION("""COMPUTED_VALUE"""),20.0)</f>
        <v>20</v>
      </c>
    </row>
    <row r="3259">
      <c r="A3259" s="87" t="str">
        <f>IFERROR(__xludf.DUMMYFUNCTION("""COMPUTED_VALUE"""),"ITBISA-RELAY-12V-4PIN-BLUE")</f>
        <v>ITBISA-RELAY-12V-4PIN-BLUE</v>
      </c>
      <c r="B3259" s="165">
        <f>IFERROR(__xludf.DUMMYFUNCTION("""COMPUTED_VALUE"""),46184.0)</f>
        <v>46184</v>
      </c>
      <c r="C3259" s="165" t="str">
        <f>IFERROR(__xludf.DUMMYFUNCTION("""COMPUTED_VALUE"""),"KYAI KONTONG")</f>
        <v>KYAI KONTONG</v>
      </c>
      <c r="D3259" s="94">
        <f>IFERROR(__xludf.DUMMYFUNCTION("""COMPUTED_VALUE"""),40.0)</f>
        <v>40</v>
      </c>
    </row>
    <row r="3260">
      <c r="A3260" s="87" t="str">
        <f>IFERROR(__xludf.DUMMYFUNCTION("""COMPUTED_VALUE"""),"ITBISA-RELAY-12V-4PIN-BLUE")</f>
        <v>ITBISA-RELAY-12V-4PIN-BLUE</v>
      </c>
      <c r="B3260" s="165">
        <f>IFERROR(__xludf.DUMMYFUNCTION("""COMPUTED_VALUE"""),46185.0)</f>
        <v>46185</v>
      </c>
      <c r="C3260" s="165" t="str">
        <f>IFERROR(__xludf.DUMMYFUNCTION("""COMPUTED_VALUE"""),"KYAI KONTONG")</f>
        <v>KYAI KONTONG</v>
      </c>
      <c r="D3260" s="94">
        <f>IFERROR(__xludf.DUMMYFUNCTION("""COMPUTED_VALUE"""),5.0)</f>
        <v>5</v>
      </c>
    </row>
    <row r="3261">
      <c r="A3261" s="87" t="str">
        <f>IFERROR(__xludf.DUMMYFUNCTION("""COMPUTED_VALUE"""),"ITBISA-RELAY-12V-4PIN-BLUE")</f>
        <v>ITBISA-RELAY-12V-4PIN-BLUE</v>
      </c>
      <c r="B3261" s="165">
        <f>IFERROR(__xludf.DUMMYFUNCTION("""COMPUTED_VALUE"""),46185.0)</f>
        <v>46185</v>
      </c>
      <c r="C3261" s="165" t="str">
        <f>IFERROR(__xludf.DUMMYFUNCTION("""COMPUTED_VALUE"""),"KYAI KONTONG")</f>
        <v>KYAI KONTONG</v>
      </c>
      <c r="D3261" s="94">
        <f>IFERROR(__xludf.DUMMYFUNCTION("""COMPUTED_VALUE"""),11.0)</f>
        <v>11</v>
      </c>
    </row>
    <row r="3262">
      <c r="A3262" s="87" t="str">
        <f>IFERROR(__xludf.DUMMYFUNCTION("""COMPUTED_VALUE"""),"ITBISA-RELAY-12V-4PIN-BLUE")</f>
        <v>ITBISA-RELAY-12V-4PIN-BLUE</v>
      </c>
      <c r="B3262" s="165">
        <f>IFERROR(__xludf.DUMMYFUNCTION("""COMPUTED_VALUE"""),46185.0)</f>
        <v>46185</v>
      </c>
      <c r="C3262" s="165" t="str">
        <f>IFERROR(__xludf.DUMMYFUNCTION("""COMPUTED_VALUE"""),"KYAI KONTONG")</f>
        <v>KYAI KONTONG</v>
      </c>
      <c r="D3262" s="94">
        <f>IFERROR(__xludf.DUMMYFUNCTION("""COMPUTED_VALUE"""),30.0)</f>
        <v>30</v>
      </c>
    </row>
    <row r="3263">
      <c r="A3263" s="87" t="str">
        <f>IFERROR(__xludf.DUMMYFUNCTION("""COMPUTED_VALUE"""),"ITBISA-RELAY-12V-4PIN-BLUE")</f>
        <v>ITBISA-RELAY-12V-4PIN-BLUE</v>
      </c>
      <c r="B3263" s="165">
        <f>IFERROR(__xludf.DUMMYFUNCTION("""COMPUTED_VALUE"""),46186.0)</f>
        <v>46186</v>
      </c>
      <c r="C3263" s="165" t="str">
        <f>IFERROR(__xludf.DUMMYFUNCTION("""COMPUTED_VALUE"""),"KYAI KONTONG")</f>
        <v>KYAI KONTONG</v>
      </c>
      <c r="D3263" s="94">
        <f>IFERROR(__xludf.DUMMYFUNCTION("""COMPUTED_VALUE"""),1.0)</f>
        <v>1</v>
      </c>
    </row>
    <row r="3264">
      <c r="A3264" s="87" t="str">
        <f>IFERROR(__xludf.DUMMYFUNCTION("""COMPUTED_VALUE"""),"ITBISA-RELAY-12V-4PIN-BLUE")</f>
        <v>ITBISA-RELAY-12V-4PIN-BLUE</v>
      </c>
      <c r="B3264" s="165">
        <f>IFERROR(__xludf.DUMMYFUNCTION("""COMPUTED_VALUE"""),46186.0)</f>
        <v>46186</v>
      </c>
      <c r="C3264" s="165" t="str">
        <f>IFERROR(__xludf.DUMMYFUNCTION("""COMPUTED_VALUE"""),"KYAI KONTONG")</f>
        <v>KYAI KONTONG</v>
      </c>
      <c r="D3264" s="94">
        <f>IFERROR(__xludf.DUMMYFUNCTION("""COMPUTED_VALUE"""),8.0)</f>
        <v>8</v>
      </c>
    </row>
    <row r="3265">
      <c r="A3265" s="87" t="str">
        <f>IFERROR(__xludf.DUMMYFUNCTION("""COMPUTED_VALUE"""),"ITBISA-RELAY-12V-4PIN-BLUE")</f>
        <v>ITBISA-RELAY-12V-4PIN-BLUE</v>
      </c>
      <c r="B3265" s="165">
        <f>IFERROR(__xludf.DUMMYFUNCTION("""COMPUTED_VALUE"""),46187.0)</f>
        <v>46187</v>
      </c>
      <c r="C3265" s="165" t="str">
        <f>IFERROR(__xludf.DUMMYFUNCTION("""COMPUTED_VALUE"""),"KYAI KONTONG")</f>
        <v>KYAI KONTONG</v>
      </c>
      <c r="D3265" s="94">
        <f>IFERROR(__xludf.DUMMYFUNCTION("""COMPUTED_VALUE"""),25.0)</f>
        <v>25</v>
      </c>
    </row>
    <row r="3266">
      <c r="A3266" s="87" t="str">
        <f>IFERROR(__xludf.DUMMYFUNCTION("""COMPUTED_VALUE"""),"ITBISA-RELAY-12V-4PIN-BLUE")</f>
        <v>ITBISA-RELAY-12V-4PIN-BLUE</v>
      </c>
      <c r="B3266" s="165">
        <f>IFERROR(__xludf.DUMMYFUNCTION("""COMPUTED_VALUE"""),46188.0)</f>
        <v>46188</v>
      </c>
      <c r="C3266" s="165" t="str">
        <f>IFERROR(__xludf.DUMMYFUNCTION("""COMPUTED_VALUE"""),"KYAI KONTONG")</f>
        <v>KYAI KONTONG</v>
      </c>
      <c r="D3266" s="94">
        <f>IFERROR(__xludf.DUMMYFUNCTION("""COMPUTED_VALUE"""),5.0)</f>
        <v>5</v>
      </c>
    </row>
    <row r="3267">
      <c r="A3267" s="87" t="str">
        <f>IFERROR(__xludf.DUMMYFUNCTION("""COMPUTED_VALUE"""),"ITBISA-RELAY-12V-4PIN-BLUE")</f>
        <v>ITBISA-RELAY-12V-4PIN-BLUE</v>
      </c>
      <c r="B3267" s="165">
        <f>IFERROR(__xludf.DUMMYFUNCTION("""COMPUTED_VALUE"""),46188.0)</f>
        <v>46188</v>
      </c>
      <c r="C3267" s="165" t="str">
        <f>IFERROR(__xludf.DUMMYFUNCTION("""COMPUTED_VALUE"""),"KYAI KONTONG")</f>
        <v>KYAI KONTONG</v>
      </c>
      <c r="D3267" s="94">
        <f>IFERROR(__xludf.DUMMYFUNCTION("""COMPUTED_VALUE"""),5.0)</f>
        <v>5</v>
      </c>
    </row>
    <row r="3268">
      <c r="A3268" s="87" t="str">
        <f>IFERROR(__xludf.DUMMYFUNCTION("""COMPUTED_VALUE"""),"ITBISA-RELAY-12V-4PIN-BLUE")</f>
        <v>ITBISA-RELAY-12V-4PIN-BLUE</v>
      </c>
      <c r="B3268" s="165">
        <f>IFERROR(__xludf.DUMMYFUNCTION("""COMPUTED_VALUE"""),46189.0)</f>
        <v>46189</v>
      </c>
      <c r="C3268" s="165" t="str">
        <f>IFERROR(__xludf.DUMMYFUNCTION("""COMPUTED_VALUE"""),"KYAI KONTONG")</f>
        <v>KYAI KONTONG</v>
      </c>
      <c r="D3268" s="94">
        <f>IFERROR(__xludf.DUMMYFUNCTION("""COMPUTED_VALUE"""),5.0)</f>
        <v>5</v>
      </c>
    </row>
    <row r="3269">
      <c r="A3269" s="87" t="str">
        <f>IFERROR(__xludf.DUMMYFUNCTION("""COMPUTED_VALUE"""),"ITBISA-RELAY-12V-4PIN-BLUE")</f>
        <v>ITBISA-RELAY-12V-4PIN-BLUE</v>
      </c>
      <c r="B3269" s="165">
        <f>IFERROR(__xludf.DUMMYFUNCTION("""COMPUTED_VALUE"""),46189.0)</f>
        <v>46189</v>
      </c>
      <c r="C3269" s="165" t="str">
        <f>IFERROR(__xludf.DUMMYFUNCTION("""COMPUTED_VALUE"""),"KYAI KONTONG")</f>
        <v>KYAI KONTONG</v>
      </c>
      <c r="D3269" s="94">
        <f>IFERROR(__xludf.DUMMYFUNCTION("""COMPUTED_VALUE"""),15.0)</f>
        <v>15</v>
      </c>
    </row>
    <row r="3270">
      <c r="A3270" s="87" t="str">
        <f>IFERROR(__xludf.DUMMYFUNCTION("""COMPUTED_VALUE"""),"ITBISA-RELAY-12V-4PIN-BLUE")</f>
        <v>ITBISA-RELAY-12V-4PIN-BLUE</v>
      </c>
      <c r="B3270" s="165">
        <f>IFERROR(__xludf.DUMMYFUNCTION("""COMPUTED_VALUE"""),46190.0)</f>
        <v>46190</v>
      </c>
      <c r="C3270" s="165" t="str">
        <f>IFERROR(__xludf.DUMMYFUNCTION("""COMPUTED_VALUE"""),"KYAI KONTONG")</f>
        <v>KYAI KONTONG</v>
      </c>
      <c r="D3270" s="94">
        <f>IFERROR(__xludf.DUMMYFUNCTION("""COMPUTED_VALUE"""),1.0)</f>
        <v>1</v>
      </c>
    </row>
    <row r="3271">
      <c r="A3271" s="87" t="str">
        <f>IFERROR(__xludf.DUMMYFUNCTION("""COMPUTED_VALUE"""),"ITBISA-RELAY-12V-4PIN-BLUE")</f>
        <v>ITBISA-RELAY-12V-4PIN-BLUE</v>
      </c>
      <c r="B3271" s="165">
        <f>IFERROR(__xludf.DUMMYFUNCTION("""COMPUTED_VALUE"""),46190.0)</f>
        <v>46190</v>
      </c>
      <c r="C3271" s="165" t="str">
        <f>IFERROR(__xludf.DUMMYFUNCTION("""COMPUTED_VALUE"""),"KYAI KONTONG")</f>
        <v>KYAI KONTONG</v>
      </c>
      <c r="D3271" s="94">
        <f>IFERROR(__xludf.DUMMYFUNCTION("""COMPUTED_VALUE"""),10.0)</f>
        <v>10</v>
      </c>
    </row>
    <row r="3272">
      <c r="A3272" s="87" t="str">
        <f>IFERROR(__xludf.DUMMYFUNCTION("""COMPUTED_VALUE"""),"ITBISA-RELAY-12V-4PIN-BLUE")</f>
        <v>ITBISA-RELAY-12V-4PIN-BLUE</v>
      </c>
      <c r="B3272" s="165">
        <f>IFERROR(__xludf.DUMMYFUNCTION("""COMPUTED_VALUE"""),46191.0)</f>
        <v>46191</v>
      </c>
      <c r="C3272" s="165" t="str">
        <f>IFERROR(__xludf.DUMMYFUNCTION("""COMPUTED_VALUE"""),"KYAI KONTONG")</f>
        <v>KYAI KONTONG</v>
      </c>
      <c r="D3272" s="94">
        <f>IFERROR(__xludf.DUMMYFUNCTION("""COMPUTED_VALUE"""),5.0)</f>
        <v>5</v>
      </c>
    </row>
    <row r="3273">
      <c r="A3273" s="87" t="str">
        <f>IFERROR(__xludf.DUMMYFUNCTION("""COMPUTED_VALUE"""),"ITBISA-RELAY-12V-4PIN-BLUE")</f>
        <v>ITBISA-RELAY-12V-4PIN-BLUE</v>
      </c>
      <c r="B3273" s="165">
        <f>IFERROR(__xludf.DUMMYFUNCTION("""COMPUTED_VALUE"""),46191.0)</f>
        <v>46191</v>
      </c>
      <c r="C3273" s="165" t="str">
        <f>IFERROR(__xludf.DUMMYFUNCTION("""COMPUTED_VALUE"""),"KYAI KONTONG")</f>
        <v>KYAI KONTONG</v>
      </c>
      <c r="D3273" s="94">
        <f>IFERROR(__xludf.DUMMYFUNCTION("""COMPUTED_VALUE"""),20.0)</f>
        <v>20</v>
      </c>
    </row>
    <row r="3274">
      <c r="A3274" s="87" t="str">
        <f>IFERROR(__xludf.DUMMYFUNCTION("""COMPUTED_VALUE"""),"ITBISA-RELAY-12V-4PIN-BLUE")</f>
        <v>ITBISA-RELAY-12V-4PIN-BLUE</v>
      </c>
      <c r="B3274" s="165">
        <f>IFERROR(__xludf.DUMMYFUNCTION("""COMPUTED_VALUE"""),46191.0)</f>
        <v>46191</v>
      </c>
      <c r="C3274" s="165" t="str">
        <f>IFERROR(__xludf.DUMMYFUNCTION("""COMPUTED_VALUE"""),"KYAI KONTONG")</f>
        <v>KYAI KONTONG</v>
      </c>
      <c r="D3274" s="94">
        <f>IFERROR(__xludf.DUMMYFUNCTION("""COMPUTED_VALUE"""),35.0)</f>
        <v>35</v>
      </c>
    </row>
    <row r="3275">
      <c r="A3275" s="87" t="str">
        <f>IFERROR(__xludf.DUMMYFUNCTION("""COMPUTED_VALUE"""),"ITBISA-RELAY-12V-4PIN-BLUE")</f>
        <v>ITBISA-RELAY-12V-4PIN-BLUE</v>
      </c>
      <c r="B3275" s="165">
        <f>IFERROR(__xludf.DUMMYFUNCTION("""COMPUTED_VALUE"""),46192.0)</f>
        <v>46192</v>
      </c>
      <c r="C3275" s="165" t="str">
        <f>IFERROR(__xludf.DUMMYFUNCTION("""COMPUTED_VALUE"""),"KYAI KONTONG")</f>
        <v>KYAI KONTONG</v>
      </c>
      <c r="D3275" s="94">
        <f>IFERROR(__xludf.DUMMYFUNCTION("""COMPUTED_VALUE"""),5.0)</f>
        <v>5</v>
      </c>
    </row>
    <row r="3276">
      <c r="A3276" s="87" t="str">
        <f>IFERROR(__xludf.DUMMYFUNCTION("""COMPUTED_VALUE"""),"ITBISA-RELAY-12V-4PIN-BLUE")</f>
        <v>ITBISA-RELAY-12V-4PIN-BLUE</v>
      </c>
      <c r="B3276" s="165">
        <f>IFERROR(__xludf.DUMMYFUNCTION("""COMPUTED_VALUE"""),46192.0)</f>
        <v>46192</v>
      </c>
      <c r="C3276" s="165" t="str">
        <f>IFERROR(__xludf.DUMMYFUNCTION("""COMPUTED_VALUE"""),"KYAI KONTONG")</f>
        <v>KYAI KONTONG</v>
      </c>
      <c r="D3276" s="94">
        <f>IFERROR(__xludf.DUMMYFUNCTION("""COMPUTED_VALUE"""),5.0)</f>
        <v>5</v>
      </c>
    </row>
    <row r="3277">
      <c r="A3277" s="87" t="str">
        <f>IFERROR(__xludf.DUMMYFUNCTION("""COMPUTED_VALUE"""),"ITBISA-RELAY-12V-4PIN-BLUE")</f>
        <v>ITBISA-RELAY-12V-4PIN-BLUE</v>
      </c>
      <c r="B3277" s="165">
        <f>IFERROR(__xludf.DUMMYFUNCTION("""COMPUTED_VALUE"""),46193.0)</f>
        <v>46193</v>
      </c>
      <c r="C3277" s="165" t="str">
        <f>IFERROR(__xludf.DUMMYFUNCTION("""COMPUTED_VALUE"""),"KYAI KONTONG")</f>
        <v>KYAI KONTONG</v>
      </c>
      <c r="D3277" s="94">
        <f>IFERROR(__xludf.DUMMYFUNCTION("""COMPUTED_VALUE"""),5.0)</f>
        <v>5</v>
      </c>
    </row>
    <row r="3278">
      <c r="A3278" s="87" t="str">
        <f>IFERROR(__xludf.DUMMYFUNCTION("""COMPUTED_VALUE"""),"ITBISA-RELAY-12V-4PIN-BLUE")</f>
        <v>ITBISA-RELAY-12V-4PIN-BLUE</v>
      </c>
      <c r="B3278" s="165">
        <f>IFERROR(__xludf.DUMMYFUNCTION("""COMPUTED_VALUE"""),46194.0)</f>
        <v>46194</v>
      </c>
      <c r="C3278" s="165" t="str">
        <f>IFERROR(__xludf.DUMMYFUNCTION("""COMPUTED_VALUE"""),"KYAI KONTONG")</f>
        <v>KYAI KONTONG</v>
      </c>
      <c r="D3278" s="94">
        <f>IFERROR(__xludf.DUMMYFUNCTION("""COMPUTED_VALUE"""),5.0)</f>
        <v>5</v>
      </c>
    </row>
    <row r="3279">
      <c r="A3279" s="87" t="str">
        <f>IFERROR(__xludf.DUMMYFUNCTION("""COMPUTED_VALUE"""),"ITBISA-RELAY-12V-4PIN-BLUE")</f>
        <v>ITBISA-RELAY-12V-4PIN-BLUE</v>
      </c>
      <c r="B3279" s="165">
        <f>IFERROR(__xludf.DUMMYFUNCTION("""COMPUTED_VALUE"""),46194.0)</f>
        <v>46194</v>
      </c>
      <c r="C3279" s="165" t="str">
        <f>IFERROR(__xludf.DUMMYFUNCTION("""COMPUTED_VALUE"""),"KYAI KONTONG")</f>
        <v>KYAI KONTONG</v>
      </c>
      <c r="D3279" s="94">
        <f>IFERROR(__xludf.DUMMYFUNCTION("""COMPUTED_VALUE"""),5.0)</f>
        <v>5</v>
      </c>
    </row>
    <row r="3280">
      <c r="A3280" s="87" t="str">
        <f>IFERROR(__xludf.DUMMYFUNCTION("""COMPUTED_VALUE"""),"ITBISA-RELAY-12V-4PIN-BLUE")</f>
        <v>ITBISA-RELAY-12V-4PIN-BLUE</v>
      </c>
      <c r="B3280" s="165">
        <f>IFERROR(__xludf.DUMMYFUNCTION("""COMPUTED_VALUE"""),46195.0)</f>
        <v>46195</v>
      </c>
      <c r="C3280" s="165" t="str">
        <f>IFERROR(__xludf.DUMMYFUNCTION("""COMPUTED_VALUE"""),"KYAI KONTONG")</f>
        <v>KYAI KONTONG</v>
      </c>
      <c r="D3280" s="94">
        <f>IFERROR(__xludf.DUMMYFUNCTION("""COMPUTED_VALUE"""),5.0)</f>
        <v>5</v>
      </c>
    </row>
    <row r="3281">
      <c r="A3281" s="87" t="str">
        <f>IFERROR(__xludf.DUMMYFUNCTION("""COMPUTED_VALUE"""),"ITBISA-RELAY-12V-4PIN-BLUE")</f>
        <v>ITBISA-RELAY-12V-4PIN-BLUE</v>
      </c>
      <c r="B3281" s="165">
        <f>IFERROR(__xludf.DUMMYFUNCTION("""COMPUTED_VALUE"""),46195.0)</f>
        <v>46195</v>
      </c>
      <c r="C3281" s="165" t="str">
        <f>IFERROR(__xludf.DUMMYFUNCTION("""COMPUTED_VALUE"""),"KYAI KONTONG")</f>
        <v>KYAI KONTONG</v>
      </c>
      <c r="D3281" s="94">
        <f>IFERROR(__xludf.DUMMYFUNCTION("""COMPUTED_VALUE"""),5.0)</f>
        <v>5</v>
      </c>
    </row>
    <row r="3282">
      <c r="A3282" s="87" t="str">
        <f>IFERROR(__xludf.DUMMYFUNCTION("""COMPUTED_VALUE"""),"ITBISA-RELAY-12V-4PIN-BLUE")</f>
        <v>ITBISA-RELAY-12V-4PIN-BLUE</v>
      </c>
      <c r="B3282" s="165">
        <f>IFERROR(__xludf.DUMMYFUNCTION("""COMPUTED_VALUE"""),46195.0)</f>
        <v>46195</v>
      </c>
      <c r="C3282" s="165" t="str">
        <f>IFERROR(__xludf.DUMMYFUNCTION("""COMPUTED_VALUE"""),"KYAI KONTONG")</f>
        <v>KYAI KONTONG</v>
      </c>
      <c r="D3282" s="94">
        <f>IFERROR(__xludf.DUMMYFUNCTION("""COMPUTED_VALUE"""),15.0)</f>
        <v>15</v>
      </c>
    </row>
    <row r="3283">
      <c r="A3283" s="87" t="str">
        <f>IFERROR(__xludf.DUMMYFUNCTION("""COMPUTED_VALUE"""),"ITBISA-RELAY-12V-4PIN-BLUE")</f>
        <v>ITBISA-RELAY-12V-4PIN-BLUE</v>
      </c>
      <c r="B3283" s="165">
        <f>IFERROR(__xludf.DUMMYFUNCTION("""COMPUTED_VALUE"""),46195.0)</f>
        <v>46195</v>
      </c>
      <c r="C3283" s="165" t="str">
        <f>IFERROR(__xludf.DUMMYFUNCTION("""COMPUTED_VALUE"""),"KYAI KONTONG")</f>
        <v>KYAI KONTONG</v>
      </c>
      <c r="D3283" s="94">
        <f>IFERROR(__xludf.DUMMYFUNCTION("""COMPUTED_VALUE"""),30.0)</f>
        <v>30</v>
      </c>
    </row>
    <row r="3284">
      <c r="A3284" s="87" t="str">
        <f>IFERROR(__xludf.DUMMYFUNCTION("""COMPUTED_VALUE"""),"ITBISA-RELAY-12V-4PIN-BLUE")</f>
        <v>ITBISA-RELAY-12V-4PIN-BLUE</v>
      </c>
      <c r="B3284" s="165">
        <f>IFERROR(__xludf.DUMMYFUNCTION("""COMPUTED_VALUE"""),46198.0)</f>
        <v>46198</v>
      </c>
      <c r="C3284" s="165" t="str">
        <f>IFERROR(__xludf.DUMMYFUNCTION("""COMPUTED_VALUE"""),"KYAI KONTONG")</f>
        <v>KYAI KONTONG</v>
      </c>
      <c r="D3284" s="94">
        <f>IFERROR(__xludf.DUMMYFUNCTION("""COMPUTED_VALUE"""),5.0)</f>
        <v>5</v>
      </c>
    </row>
    <row r="3285">
      <c r="A3285" s="87" t="str">
        <f>IFERROR(__xludf.DUMMYFUNCTION("""COMPUTED_VALUE"""),"ITBISA-RELAY-12V-5PIN-BLUE")</f>
        <v>ITBISA-RELAY-12V-5PIN-BLUE</v>
      </c>
      <c r="B3285" s="165">
        <f>IFERROR(__xludf.DUMMYFUNCTION("""COMPUTED_VALUE"""),46060.0)</f>
        <v>46060</v>
      </c>
      <c r="C3285" s="165" t="str">
        <f>IFERROR(__xludf.DUMMYFUNCTION("""COMPUTED_VALUE"""),"KERTASARI CIAMIS")</f>
        <v>KERTASARI CIAMIS</v>
      </c>
      <c r="D3285" s="94">
        <f>IFERROR(__xludf.DUMMYFUNCTION("""COMPUTED_VALUE"""),10.0)</f>
        <v>10</v>
      </c>
    </row>
    <row r="3286">
      <c r="A3286" s="87" t="str">
        <f>IFERROR(__xludf.DUMMYFUNCTION("""COMPUTED_VALUE"""),"ITBISA-RELAY-12V-5PIN-BLUE")</f>
        <v>ITBISA-RELAY-12V-5PIN-BLUE</v>
      </c>
      <c r="B3286" s="165">
        <f>IFERROR(__xludf.DUMMYFUNCTION("""COMPUTED_VALUE"""),46060.0)</f>
        <v>46060</v>
      </c>
      <c r="C3286" s="165" t="str">
        <f>IFERROR(__xludf.DUMMYFUNCTION("""COMPUTED_VALUE"""),"KERTASARI CIAMIS")</f>
        <v>KERTASARI CIAMIS</v>
      </c>
      <c r="D3286" s="94">
        <f>IFERROR(__xludf.DUMMYFUNCTION("""COMPUTED_VALUE"""),100.0)</f>
        <v>100</v>
      </c>
    </row>
    <row r="3287">
      <c r="A3287" s="87" t="str">
        <f>IFERROR(__xludf.DUMMYFUNCTION("""COMPUTED_VALUE"""),"ITBISA-RELAY-12V-5PIN-BLUE")</f>
        <v>ITBISA-RELAY-12V-5PIN-BLUE</v>
      </c>
      <c r="B3287" s="165">
        <f>IFERROR(__xludf.DUMMYFUNCTION("""COMPUTED_VALUE"""),46072.0)</f>
        <v>46072</v>
      </c>
      <c r="C3287" s="165" t="str">
        <f>IFERROR(__xludf.DUMMYFUNCTION("""COMPUTED_VALUE"""),"KERTASARI CIAMIS")</f>
        <v>KERTASARI CIAMIS</v>
      </c>
      <c r="D3287" s="94">
        <f>IFERROR(__xludf.DUMMYFUNCTION("""COMPUTED_VALUE"""),42.0)</f>
        <v>42</v>
      </c>
    </row>
    <row r="3288">
      <c r="A3288" s="87" t="str">
        <f>IFERROR(__xludf.DUMMYFUNCTION("""COMPUTED_VALUE"""),"ITBISA-RELAY-12V-5PIN-BLUE")</f>
        <v>ITBISA-RELAY-12V-5PIN-BLUE</v>
      </c>
      <c r="B3288" s="165">
        <f>IFERROR(__xludf.DUMMYFUNCTION("""COMPUTED_VALUE"""),46077.0)</f>
        <v>46077</v>
      </c>
      <c r="C3288" s="165" t="str">
        <f>IFERROR(__xludf.DUMMYFUNCTION("""COMPUTED_VALUE"""),"KYAI KONTONG")</f>
        <v>KYAI KONTONG</v>
      </c>
      <c r="D3288" s="94">
        <f>IFERROR(__xludf.DUMMYFUNCTION("""COMPUTED_VALUE"""),3.0)</f>
        <v>3</v>
      </c>
    </row>
    <row r="3289">
      <c r="A3289" s="87" t="str">
        <f>IFERROR(__xludf.DUMMYFUNCTION("""COMPUTED_VALUE"""),"ITBISA-RELAY-12V-5PIN-BLUE")</f>
        <v>ITBISA-RELAY-12V-5PIN-BLUE</v>
      </c>
      <c r="B3289" s="165">
        <f>IFERROR(__xludf.DUMMYFUNCTION("""COMPUTED_VALUE"""),46139.0)</f>
        <v>46139</v>
      </c>
      <c r="C3289" s="165" t="str">
        <f>IFERROR(__xludf.DUMMYFUNCTION("""COMPUTED_VALUE"""),"KYAI KONTONG")</f>
        <v>KYAI KONTONG</v>
      </c>
      <c r="D3289" s="94">
        <f>IFERROR(__xludf.DUMMYFUNCTION("""COMPUTED_VALUE"""),20.0)</f>
        <v>20</v>
      </c>
    </row>
    <row r="3290">
      <c r="A3290" s="87" t="str">
        <f>IFERROR(__xludf.DUMMYFUNCTION("""COMPUTED_VALUE"""),"ITBISA-RELAY-12V-5PIN-BLUE")</f>
        <v>ITBISA-RELAY-12V-5PIN-BLUE</v>
      </c>
      <c r="B3290" s="165">
        <f>IFERROR(__xludf.DUMMYFUNCTION("""COMPUTED_VALUE"""),46141.0)</f>
        <v>46141</v>
      </c>
      <c r="C3290" s="165" t="str">
        <f>IFERROR(__xludf.DUMMYFUNCTION("""COMPUTED_VALUE"""),"KYAI KONTONG")</f>
        <v>KYAI KONTONG</v>
      </c>
      <c r="D3290" s="94">
        <f>IFERROR(__xludf.DUMMYFUNCTION("""COMPUTED_VALUE"""),10.0)</f>
        <v>10</v>
      </c>
    </row>
    <row r="3291">
      <c r="A3291" s="87" t="str">
        <f>IFERROR(__xludf.DUMMYFUNCTION("""COMPUTED_VALUE"""),"ITBISA-RELAY-12V-5PIN-BLUE")</f>
        <v>ITBISA-RELAY-12V-5PIN-BLUE</v>
      </c>
      <c r="B3291" s="165">
        <f>IFERROR(__xludf.DUMMYFUNCTION("""COMPUTED_VALUE"""),46147.0)</f>
        <v>46147</v>
      </c>
      <c r="C3291" s="165" t="str">
        <f>IFERROR(__xludf.DUMMYFUNCTION("""COMPUTED_VALUE"""),"KYAI KONTONG")</f>
        <v>KYAI KONTONG</v>
      </c>
      <c r="D3291" s="94">
        <f>IFERROR(__xludf.DUMMYFUNCTION("""COMPUTED_VALUE"""),10.0)</f>
        <v>10</v>
      </c>
    </row>
    <row r="3292">
      <c r="A3292" s="87" t="str">
        <f>IFERROR(__xludf.DUMMYFUNCTION("""COMPUTED_VALUE"""),"ITBISA-RELAY-12V-5PIN-BLUE")</f>
        <v>ITBISA-RELAY-12V-5PIN-BLUE</v>
      </c>
      <c r="B3292" s="165">
        <f>IFERROR(__xludf.DUMMYFUNCTION("""COMPUTED_VALUE"""),46148.0)</f>
        <v>46148</v>
      </c>
      <c r="C3292" s="165" t="str">
        <f>IFERROR(__xludf.DUMMYFUNCTION("""COMPUTED_VALUE"""),"KYAI KONTONG")</f>
        <v>KYAI KONTONG</v>
      </c>
      <c r="D3292" s="94">
        <f>IFERROR(__xludf.DUMMYFUNCTION("""COMPUTED_VALUE"""),4.0)</f>
        <v>4</v>
      </c>
    </row>
    <row r="3293">
      <c r="A3293" s="87" t="str">
        <f>IFERROR(__xludf.DUMMYFUNCTION("""COMPUTED_VALUE"""),"ITBISA-RELAY-12V-5PIN-BLUE")</f>
        <v>ITBISA-RELAY-12V-5PIN-BLUE</v>
      </c>
      <c r="B3293" s="165">
        <f>IFERROR(__xludf.DUMMYFUNCTION("""COMPUTED_VALUE"""),46150.0)</f>
        <v>46150</v>
      </c>
      <c r="C3293" s="165" t="str">
        <f>IFERROR(__xludf.DUMMYFUNCTION("""COMPUTED_VALUE"""),"KYAI KONTONG")</f>
        <v>KYAI KONTONG</v>
      </c>
      <c r="D3293" s="94">
        <f>IFERROR(__xludf.DUMMYFUNCTION("""COMPUTED_VALUE"""),10.0)</f>
        <v>10</v>
      </c>
    </row>
    <row r="3294">
      <c r="A3294" s="87" t="str">
        <f>IFERROR(__xludf.DUMMYFUNCTION("""COMPUTED_VALUE"""),"ITBISA-RELAY-12V-5PIN-BLUE")</f>
        <v>ITBISA-RELAY-12V-5PIN-BLUE</v>
      </c>
      <c r="B3294" s="165">
        <f>IFERROR(__xludf.DUMMYFUNCTION("""COMPUTED_VALUE"""),46150.0)</f>
        <v>46150</v>
      </c>
      <c r="C3294" s="165" t="str">
        <f>IFERROR(__xludf.DUMMYFUNCTION("""COMPUTED_VALUE"""),"KYAI KONTONG")</f>
        <v>KYAI KONTONG</v>
      </c>
      <c r="D3294" s="94">
        <f>IFERROR(__xludf.DUMMYFUNCTION("""COMPUTED_VALUE"""),100.0)</f>
        <v>100</v>
      </c>
    </row>
    <row r="3295">
      <c r="A3295" s="87" t="str">
        <f>IFERROR(__xludf.DUMMYFUNCTION("""COMPUTED_VALUE"""),"ITBISA-RELAY-12V-5PIN-BLUE")</f>
        <v>ITBISA-RELAY-12V-5PIN-BLUE</v>
      </c>
      <c r="B3295" s="165">
        <f>IFERROR(__xludf.DUMMYFUNCTION("""COMPUTED_VALUE"""),46151.0)</f>
        <v>46151</v>
      </c>
      <c r="C3295" s="165" t="str">
        <f>IFERROR(__xludf.DUMMYFUNCTION("""COMPUTED_VALUE"""),"KYAI KONTONG")</f>
        <v>KYAI KONTONG</v>
      </c>
      <c r="D3295" s="94">
        <f>IFERROR(__xludf.DUMMYFUNCTION("""COMPUTED_VALUE"""),10.0)</f>
        <v>10</v>
      </c>
    </row>
    <row r="3296">
      <c r="A3296" s="87" t="str">
        <f>IFERROR(__xludf.DUMMYFUNCTION("""COMPUTED_VALUE"""),"ITBISA-RELAY-12V-5PIN-BLUE")</f>
        <v>ITBISA-RELAY-12V-5PIN-BLUE</v>
      </c>
      <c r="B3296" s="165">
        <f>IFERROR(__xludf.DUMMYFUNCTION("""COMPUTED_VALUE"""),46151.0)</f>
        <v>46151</v>
      </c>
      <c r="C3296" s="165" t="str">
        <f>IFERROR(__xludf.DUMMYFUNCTION("""COMPUTED_VALUE"""),"KYAI KONTONG")</f>
        <v>KYAI KONTONG</v>
      </c>
      <c r="D3296" s="94">
        <f>IFERROR(__xludf.DUMMYFUNCTION("""COMPUTED_VALUE"""),50.0)</f>
        <v>50</v>
      </c>
    </row>
    <row r="3297">
      <c r="A3297" s="87" t="str">
        <f>IFERROR(__xludf.DUMMYFUNCTION("""COMPUTED_VALUE"""),"ITBISA-RELAY-12V-5PIN-BLUE")</f>
        <v>ITBISA-RELAY-12V-5PIN-BLUE</v>
      </c>
      <c r="B3297" s="165">
        <f>IFERROR(__xludf.DUMMYFUNCTION("""COMPUTED_VALUE"""),46153.0)</f>
        <v>46153</v>
      </c>
      <c r="C3297" s="165" t="str">
        <f>IFERROR(__xludf.DUMMYFUNCTION("""COMPUTED_VALUE"""),"KYAI KONTONG")</f>
        <v>KYAI KONTONG</v>
      </c>
      <c r="D3297" s="94">
        <f>IFERROR(__xludf.DUMMYFUNCTION("""COMPUTED_VALUE"""),1.0)</f>
        <v>1</v>
      </c>
    </row>
    <row r="3298">
      <c r="A3298" s="87" t="str">
        <f>IFERROR(__xludf.DUMMYFUNCTION("""COMPUTED_VALUE"""),"ITBISA-RELAY-12V-5PIN-BLUE")</f>
        <v>ITBISA-RELAY-12V-5PIN-BLUE</v>
      </c>
      <c r="B3298" s="165">
        <f>IFERROR(__xludf.DUMMYFUNCTION("""COMPUTED_VALUE"""),46153.0)</f>
        <v>46153</v>
      </c>
      <c r="C3298" s="165" t="str">
        <f>IFERROR(__xludf.DUMMYFUNCTION("""COMPUTED_VALUE"""),"KYAI KONTONG")</f>
        <v>KYAI KONTONG</v>
      </c>
      <c r="D3298" s="94">
        <f>IFERROR(__xludf.DUMMYFUNCTION("""COMPUTED_VALUE"""),10.0)</f>
        <v>10</v>
      </c>
    </row>
    <row r="3299">
      <c r="A3299" s="87" t="str">
        <f>IFERROR(__xludf.DUMMYFUNCTION("""COMPUTED_VALUE"""),"ITBISA-RELAY-12V-5PIN-BLUE")</f>
        <v>ITBISA-RELAY-12V-5PIN-BLUE</v>
      </c>
      <c r="B3299" s="165">
        <f>IFERROR(__xludf.DUMMYFUNCTION("""COMPUTED_VALUE"""),46153.0)</f>
        <v>46153</v>
      </c>
      <c r="C3299" s="165" t="str">
        <f>IFERROR(__xludf.DUMMYFUNCTION("""COMPUTED_VALUE"""),"KYAI KONTONG")</f>
        <v>KYAI KONTONG</v>
      </c>
      <c r="D3299" s="94">
        <f>IFERROR(__xludf.DUMMYFUNCTION("""COMPUTED_VALUE"""),10.0)</f>
        <v>10</v>
      </c>
    </row>
    <row r="3300">
      <c r="A3300" s="87" t="str">
        <f>IFERROR(__xludf.DUMMYFUNCTION("""COMPUTED_VALUE"""),"ITBISA-RELAY-12V-5PIN-BLUE")</f>
        <v>ITBISA-RELAY-12V-5PIN-BLUE</v>
      </c>
      <c r="B3300" s="165">
        <f>IFERROR(__xludf.DUMMYFUNCTION("""COMPUTED_VALUE"""),46153.0)</f>
        <v>46153</v>
      </c>
      <c r="C3300" s="165" t="str">
        <f>IFERROR(__xludf.DUMMYFUNCTION("""COMPUTED_VALUE"""),"KYAI KONTONG")</f>
        <v>KYAI KONTONG</v>
      </c>
      <c r="D3300" s="94">
        <f>IFERROR(__xludf.DUMMYFUNCTION("""COMPUTED_VALUE"""),10.0)</f>
        <v>10</v>
      </c>
    </row>
    <row r="3301">
      <c r="A3301" s="87" t="str">
        <f>IFERROR(__xludf.DUMMYFUNCTION("""COMPUTED_VALUE"""),"ITBISA-RELAY-12V-5PIN-BLUE")</f>
        <v>ITBISA-RELAY-12V-5PIN-BLUE</v>
      </c>
      <c r="B3301" s="165">
        <f>IFERROR(__xludf.DUMMYFUNCTION("""COMPUTED_VALUE"""),46153.0)</f>
        <v>46153</v>
      </c>
      <c r="C3301" s="165" t="str">
        <f>IFERROR(__xludf.DUMMYFUNCTION("""COMPUTED_VALUE"""),"KYAI KONTONG")</f>
        <v>KYAI KONTONG</v>
      </c>
      <c r="D3301" s="94">
        <f>IFERROR(__xludf.DUMMYFUNCTION("""COMPUTED_VALUE"""),100.0)</f>
        <v>100</v>
      </c>
    </row>
    <row r="3302">
      <c r="A3302" s="87" t="str">
        <f>IFERROR(__xludf.DUMMYFUNCTION("""COMPUTED_VALUE"""),"ITBISA-RELAY-12V-5PIN-BLUE")</f>
        <v>ITBISA-RELAY-12V-5PIN-BLUE</v>
      </c>
      <c r="B3302" s="165">
        <f>IFERROR(__xludf.DUMMYFUNCTION("""COMPUTED_VALUE"""),46153.0)</f>
        <v>46153</v>
      </c>
      <c r="C3302" s="165" t="str">
        <f>IFERROR(__xludf.DUMMYFUNCTION("""COMPUTED_VALUE"""),"KYAI KONTONG")</f>
        <v>KYAI KONTONG</v>
      </c>
      <c r="D3302" s="94">
        <f>IFERROR(__xludf.DUMMYFUNCTION("""COMPUTED_VALUE"""),200.0)</f>
        <v>200</v>
      </c>
    </row>
    <row r="3303">
      <c r="A3303" s="87" t="str">
        <f>IFERROR(__xludf.DUMMYFUNCTION("""COMPUTED_VALUE"""),"ITBISA-RELAY-12V-5PIN-BLUE")</f>
        <v>ITBISA-RELAY-12V-5PIN-BLUE</v>
      </c>
      <c r="B3303" s="165">
        <f>IFERROR(__xludf.DUMMYFUNCTION("""COMPUTED_VALUE"""),46153.0)</f>
        <v>46153</v>
      </c>
      <c r="C3303" s="165" t="str">
        <f>IFERROR(__xludf.DUMMYFUNCTION("""COMPUTED_VALUE"""),"KYAI KONTONG")</f>
        <v>KYAI KONTONG</v>
      </c>
      <c r="D3303" s="94">
        <f>IFERROR(__xludf.DUMMYFUNCTION("""COMPUTED_VALUE"""),1000.0)</f>
        <v>1000</v>
      </c>
    </row>
    <row r="3304">
      <c r="A3304" s="87" t="str">
        <f>IFERROR(__xludf.DUMMYFUNCTION("""COMPUTED_VALUE"""),"ITBISA-RELAY-12V-5PIN-BLUE")</f>
        <v>ITBISA-RELAY-12V-5PIN-BLUE</v>
      </c>
      <c r="B3304" s="165">
        <f>IFERROR(__xludf.DUMMYFUNCTION("""COMPUTED_VALUE"""),46154.0)</f>
        <v>46154</v>
      </c>
      <c r="C3304" s="165" t="str">
        <f>IFERROR(__xludf.DUMMYFUNCTION("""COMPUTED_VALUE"""),"KYAI KONTONG")</f>
        <v>KYAI KONTONG</v>
      </c>
      <c r="D3304" s="94">
        <f>IFERROR(__xludf.DUMMYFUNCTION("""COMPUTED_VALUE"""),2.0)</f>
        <v>2</v>
      </c>
    </row>
    <row r="3305">
      <c r="A3305" s="87" t="str">
        <f>IFERROR(__xludf.DUMMYFUNCTION("""COMPUTED_VALUE"""),"ITBISA-RELAY-12V-5PIN-BLUE")</f>
        <v>ITBISA-RELAY-12V-5PIN-BLUE</v>
      </c>
      <c r="B3305" s="165">
        <f>IFERROR(__xludf.DUMMYFUNCTION("""COMPUTED_VALUE"""),46155.0)</f>
        <v>46155</v>
      </c>
      <c r="C3305" s="165" t="str">
        <f>IFERROR(__xludf.DUMMYFUNCTION("""COMPUTED_VALUE"""),"KYAI KONTONG")</f>
        <v>KYAI KONTONG</v>
      </c>
      <c r="D3305" s="94">
        <f>IFERROR(__xludf.DUMMYFUNCTION("""COMPUTED_VALUE"""),30.0)</f>
        <v>30</v>
      </c>
    </row>
    <row r="3306">
      <c r="A3306" s="87" t="str">
        <f>IFERROR(__xludf.DUMMYFUNCTION("""COMPUTED_VALUE"""),"ITBISA-RELAY-12V-5PIN-BLUE")</f>
        <v>ITBISA-RELAY-12V-5PIN-BLUE</v>
      </c>
      <c r="B3306" s="165">
        <f>IFERROR(__xludf.DUMMYFUNCTION("""COMPUTED_VALUE"""),46156.0)</f>
        <v>46156</v>
      </c>
      <c r="C3306" s="165" t="str">
        <f>IFERROR(__xludf.DUMMYFUNCTION("""COMPUTED_VALUE"""),"KYAI KONTONG")</f>
        <v>KYAI KONTONG</v>
      </c>
      <c r="D3306" s="94">
        <f>IFERROR(__xludf.DUMMYFUNCTION("""COMPUTED_VALUE"""),15.0)</f>
        <v>15</v>
      </c>
    </row>
    <row r="3307">
      <c r="A3307" s="87" t="str">
        <f>IFERROR(__xludf.DUMMYFUNCTION("""COMPUTED_VALUE"""),"ITBISA-RELAY-12V-5PIN-BLUE")</f>
        <v>ITBISA-RELAY-12V-5PIN-BLUE</v>
      </c>
      <c r="B3307" s="165">
        <f>IFERROR(__xludf.DUMMYFUNCTION("""COMPUTED_VALUE"""),46156.0)</f>
        <v>46156</v>
      </c>
      <c r="C3307" s="165" t="str">
        <f>IFERROR(__xludf.DUMMYFUNCTION("""COMPUTED_VALUE"""),"KYAI KONTONG")</f>
        <v>KYAI KONTONG</v>
      </c>
      <c r="D3307" s="94">
        <f>IFERROR(__xludf.DUMMYFUNCTION("""COMPUTED_VALUE"""),100.0)</f>
        <v>100</v>
      </c>
    </row>
    <row r="3308">
      <c r="A3308" s="87" t="str">
        <f>IFERROR(__xludf.DUMMYFUNCTION("""COMPUTED_VALUE"""),"ITBISA-RELAY-12V-5PIN-BLUE")</f>
        <v>ITBISA-RELAY-12V-5PIN-BLUE</v>
      </c>
      <c r="B3308" s="165">
        <f>IFERROR(__xludf.DUMMYFUNCTION("""COMPUTED_VALUE"""),46157.0)</f>
        <v>46157</v>
      </c>
      <c r="C3308" s="165" t="str">
        <f>IFERROR(__xludf.DUMMYFUNCTION("""COMPUTED_VALUE"""),"KYAI KONTONG")</f>
        <v>KYAI KONTONG</v>
      </c>
      <c r="D3308" s="94">
        <f>IFERROR(__xludf.DUMMYFUNCTION("""COMPUTED_VALUE"""),20.0)</f>
        <v>20</v>
      </c>
    </row>
    <row r="3309">
      <c r="A3309" s="87" t="str">
        <f>IFERROR(__xludf.DUMMYFUNCTION("""COMPUTED_VALUE"""),"ITBISA-RELAY-12V-5PIN-BLUE")</f>
        <v>ITBISA-RELAY-12V-5PIN-BLUE</v>
      </c>
      <c r="B3309" s="165">
        <f>IFERROR(__xludf.DUMMYFUNCTION("""COMPUTED_VALUE"""),46158.0)</f>
        <v>46158</v>
      </c>
      <c r="C3309" s="165" t="str">
        <f>IFERROR(__xludf.DUMMYFUNCTION("""COMPUTED_VALUE"""),"KYAI KONTONG")</f>
        <v>KYAI KONTONG</v>
      </c>
      <c r="D3309" s="94">
        <f>IFERROR(__xludf.DUMMYFUNCTION("""COMPUTED_VALUE"""),10.0)</f>
        <v>10</v>
      </c>
    </row>
    <row r="3310">
      <c r="A3310" s="87" t="str">
        <f>IFERROR(__xludf.DUMMYFUNCTION("""COMPUTED_VALUE"""),"ITBISA-RELAY-12V-5PIN-BLUE")</f>
        <v>ITBISA-RELAY-12V-5PIN-BLUE</v>
      </c>
      <c r="B3310" s="165">
        <f>IFERROR(__xludf.DUMMYFUNCTION("""COMPUTED_VALUE"""),46158.0)</f>
        <v>46158</v>
      </c>
      <c r="C3310" s="165" t="str">
        <f>IFERROR(__xludf.DUMMYFUNCTION("""COMPUTED_VALUE"""),"KYAI KONTONG")</f>
        <v>KYAI KONTONG</v>
      </c>
      <c r="D3310" s="94">
        <f>IFERROR(__xludf.DUMMYFUNCTION("""COMPUTED_VALUE"""),10.0)</f>
        <v>10</v>
      </c>
    </row>
    <row r="3311">
      <c r="A3311" s="87" t="str">
        <f>IFERROR(__xludf.DUMMYFUNCTION("""COMPUTED_VALUE"""),"ITBISA-RELAY-12V-5PIN-BLUE")</f>
        <v>ITBISA-RELAY-12V-5PIN-BLUE</v>
      </c>
      <c r="B3311" s="165">
        <f>IFERROR(__xludf.DUMMYFUNCTION("""COMPUTED_VALUE"""),46158.0)</f>
        <v>46158</v>
      </c>
      <c r="C3311" s="165" t="str">
        <f>IFERROR(__xludf.DUMMYFUNCTION("""COMPUTED_VALUE"""),"KYAI KONTONG")</f>
        <v>KYAI KONTONG</v>
      </c>
      <c r="D3311" s="94">
        <f>IFERROR(__xludf.DUMMYFUNCTION("""COMPUTED_VALUE"""),30.0)</f>
        <v>30</v>
      </c>
    </row>
    <row r="3312">
      <c r="A3312" s="87" t="str">
        <f>IFERROR(__xludf.DUMMYFUNCTION("""COMPUTED_VALUE"""),"ITBISA-RELAY-12V-5PIN-BLUE")</f>
        <v>ITBISA-RELAY-12V-5PIN-BLUE</v>
      </c>
      <c r="B3312" s="165">
        <f>IFERROR(__xludf.DUMMYFUNCTION("""COMPUTED_VALUE"""),46159.0)</f>
        <v>46159</v>
      </c>
      <c r="C3312" s="165" t="str">
        <f>IFERROR(__xludf.DUMMYFUNCTION("""COMPUTED_VALUE"""),"KYAI KONTONG")</f>
        <v>KYAI KONTONG</v>
      </c>
      <c r="D3312" s="94">
        <f>IFERROR(__xludf.DUMMYFUNCTION("""COMPUTED_VALUE"""),10.0)</f>
        <v>10</v>
      </c>
    </row>
    <row r="3313">
      <c r="A3313" s="87" t="str">
        <f>IFERROR(__xludf.DUMMYFUNCTION("""COMPUTED_VALUE"""),"ITBISA-RELAY-12V-5PIN-BLUE")</f>
        <v>ITBISA-RELAY-12V-5PIN-BLUE</v>
      </c>
      <c r="B3313" s="165">
        <f>IFERROR(__xludf.DUMMYFUNCTION("""COMPUTED_VALUE"""),46160.0)</f>
        <v>46160</v>
      </c>
      <c r="C3313" s="165" t="str">
        <f>IFERROR(__xludf.DUMMYFUNCTION("""COMPUTED_VALUE"""),"KYAI KONTONG")</f>
        <v>KYAI KONTONG</v>
      </c>
      <c r="D3313" s="94">
        <f>IFERROR(__xludf.DUMMYFUNCTION("""COMPUTED_VALUE"""),20.0)</f>
        <v>20</v>
      </c>
    </row>
    <row r="3314">
      <c r="A3314" s="87" t="str">
        <f>IFERROR(__xludf.DUMMYFUNCTION("""COMPUTED_VALUE"""),"ITBISA-RELAY-12V-5PIN-BLUE")</f>
        <v>ITBISA-RELAY-12V-5PIN-BLUE</v>
      </c>
      <c r="B3314" s="165">
        <f>IFERROR(__xludf.DUMMYFUNCTION("""COMPUTED_VALUE"""),46160.0)</f>
        <v>46160</v>
      </c>
      <c r="C3314" s="165" t="str">
        <f>IFERROR(__xludf.DUMMYFUNCTION("""COMPUTED_VALUE"""),"KYAI KONTONG")</f>
        <v>KYAI KONTONG</v>
      </c>
      <c r="D3314" s="94">
        <f>IFERROR(__xludf.DUMMYFUNCTION("""COMPUTED_VALUE"""),20.0)</f>
        <v>20</v>
      </c>
    </row>
    <row r="3315">
      <c r="A3315" s="87" t="str">
        <f>IFERROR(__xludf.DUMMYFUNCTION("""COMPUTED_VALUE"""),"ITBISA-RELAY-12V-5PIN-BLUE")</f>
        <v>ITBISA-RELAY-12V-5PIN-BLUE</v>
      </c>
      <c r="B3315" s="165">
        <f>IFERROR(__xludf.DUMMYFUNCTION("""COMPUTED_VALUE"""),46160.0)</f>
        <v>46160</v>
      </c>
      <c r="C3315" s="165" t="str">
        <f>IFERROR(__xludf.DUMMYFUNCTION("""COMPUTED_VALUE"""),"KYAI KONTONG")</f>
        <v>KYAI KONTONG</v>
      </c>
      <c r="D3315" s="94">
        <f>IFERROR(__xludf.DUMMYFUNCTION("""COMPUTED_VALUE"""),55.0)</f>
        <v>55</v>
      </c>
    </row>
    <row r="3316">
      <c r="A3316" s="87" t="str">
        <f>IFERROR(__xludf.DUMMYFUNCTION("""COMPUTED_VALUE"""),"ITBISA-RELAY-12V-5PIN-BLUE")</f>
        <v>ITBISA-RELAY-12V-5PIN-BLUE</v>
      </c>
      <c r="B3316" s="165">
        <f>IFERROR(__xludf.DUMMYFUNCTION("""COMPUTED_VALUE"""),46160.0)</f>
        <v>46160</v>
      </c>
      <c r="C3316" s="165" t="str">
        <f>IFERROR(__xludf.DUMMYFUNCTION("""COMPUTED_VALUE"""),"KYAI KONTONG")</f>
        <v>KYAI KONTONG</v>
      </c>
      <c r="D3316" s="94">
        <f>IFERROR(__xludf.DUMMYFUNCTION("""COMPUTED_VALUE"""),100.0)</f>
        <v>100</v>
      </c>
    </row>
    <row r="3317">
      <c r="A3317" s="87" t="str">
        <f>IFERROR(__xludf.DUMMYFUNCTION("""COMPUTED_VALUE"""),"ITBISA-RELAY-12V-5PIN-BLUE")</f>
        <v>ITBISA-RELAY-12V-5PIN-BLUE</v>
      </c>
      <c r="B3317" s="165">
        <f>IFERROR(__xludf.DUMMYFUNCTION("""COMPUTED_VALUE"""),46161.0)</f>
        <v>46161</v>
      </c>
      <c r="C3317" s="165" t="str">
        <f>IFERROR(__xludf.DUMMYFUNCTION("""COMPUTED_VALUE"""),"KYAI KONTONG")</f>
        <v>KYAI KONTONG</v>
      </c>
      <c r="D3317" s="94">
        <f>IFERROR(__xludf.DUMMYFUNCTION("""COMPUTED_VALUE"""),20.0)</f>
        <v>20</v>
      </c>
    </row>
    <row r="3318">
      <c r="A3318" s="87" t="str">
        <f>IFERROR(__xludf.DUMMYFUNCTION("""COMPUTED_VALUE"""),"ITBISA-RELAY-12V-5PIN-BLUE")</f>
        <v>ITBISA-RELAY-12V-5PIN-BLUE</v>
      </c>
      <c r="B3318" s="165">
        <f>IFERROR(__xludf.DUMMYFUNCTION("""COMPUTED_VALUE"""),46161.0)</f>
        <v>46161</v>
      </c>
      <c r="C3318" s="165" t="str">
        <f>IFERROR(__xludf.DUMMYFUNCTION("""COMPUTED_VALUE"""),"KYAI KONTONG")</f>
        <v>KYAI KONTONG</v>
      </c>
      <c r="D3318" s="94">
        <f>IFERROR(__xludf.DUMMYFUNCTION("""COMPUTED_VALUE"""),20.0)</f>
        <v>20</v>
      </c>
    </row>
    <row r="3319">
      <c r="A3319" s="87" t="str">
        <f>IFERROR(__xludf.DUMMYFUNCTION("""COMPUTED_VALUE"""),"ITBISA-RELAY-12V-5PIN-BLUE")</f>
        <v>ITBISA-RELAY-12V-5PIN-BLUE</v>
      </c>
      <c r="B3319" s="165">
        <f>IFERROR(__xludf.DUMMYFUNCTION("""COMPUTED_VALUE"""),46161.0)</f>
        <v>46161</v>
      </c>
      <c r="C3319" s="165" t="str">
        <f>IFERROR(__xludf.DUMMYFUNCTION("""COMPUTED_VALUE"""),"KYAI KONTONG")</f>
        <v>KYAI KONTONG</v>
      </c>
      <c r="D3319" s="94">
        <f>IFERROR(__xludf.DUMMYFUNCTION("""COMPUTED_VALUE"""),20.0)</f>
        <v>20</v>
      </c>
    </row>
    <row r="3320">
      <c r="A3320" s="87" t="str">
        <f>IFERROR(__xludf.DUMMYFUNCTION("""COMPUTED_VALUE"""),"ITBISA-RELAY-12V-5PIN-BLUE")</f>
        <v>ITBISA-RELAY-12V-5PIN-BLUE</v>
      </c>
      <c r="B3320" s="165">
        <f>IFERROR(__xludf.DUMMYFUNCTION("""COMPUTED_VALUE"""),46161.0)</f>
        <v>46161</v>
      </c>
      <c r="C3320" s="165" t="str">
        <f>IFERROR(__xludf.DUMMYFUNCTION("""COMPUTED_VALUE"""),"KYAI KONTONG")</f>
        <v>KYAI KONTONG</v>
      </c>
      <c r="D3320" s="94">
        <f>IFERROR(__xludf.DUMMYFUNCTION("""COMPUTED_VALUE"""),50.0)</f>
        <v>50</v>
      </c>
    </row>
    <row r="3321">
      <c r="A3321" s="87" t="str">
        <f>IFERROR(__xludf.DUMMYFUNCTION("""COMPUTED_VALUE"""),"ITBISA-RELAY-12V-5PIN-BLUE")</f>
        <v>ITBISA-RELAY-12V-5PIN-BLUE</v>
      </c>
      <c r="B3321" s="165">
        <f>IFERROR(__xludf.DUMMYFUNCTION("""COMPUTED_VALUE"""),46163.0)</f>
        <v>46163</v>
      </c>
      <c r="C3321" s="165" t="str">
        <f>IFERROR(__xludf.DUMMYFUNCTION("""COMPUTED_VALUE"""),"KYAI KONTONG")</f>
        <v>KYAI KONTONG</v>
      </c>
      <c r="D3321" s="94">
        <f>IFERROR(__xludf.DUMMYFUNCTION("""COMPUTED_VALUE"""),10.0)</f>
        <v>10</v>
      </c>
    </row>
    <row r="3322">
      <c r="A3322" s="87" t="str">
        <f>IFERROR(__xludf.DUMMYFUNCTION("""COMPUTED_VALUE"""),"ITBISA-RELAY-12V-5PIN-BLUE")</f>
        <v>ITBISA-RELAY-12V-5PIN-BLUE</v>
      </c>
      <c r="B3322" s="165">
        <f>IFERROR(__xludf.DUMMYFUNCTION("""COMPUTED_VALUE"""),46163.0)</f>
        <v>46163</v>
      </c>
      <c r="C3322" s="165" t="str">
        <f>IFERROR(__xludf.DUMMYFUNCTION("""COMPUTED_VALUE"""),"KYAI KONTONG")</f>
        <v>KYAI KONTONG</v>
      </c>
      <c r="D3322" s="94">
        <f>IFERROR(__xludf.DUMMYFUNCTION("""COMPUTED_VALUE"""),20.0)</f>
        <v>20</v>
      </c>
    </row>
    <row r="3323">
      <c r="A3323" s="87" t="str">
        <f>IFERROR(__xludf.DUMMYFUNCTION("""COMPUTED_VALUE"""),"ITBISA-RELAY-12V-5PIN-BLUE")</f>
        <v>ITBISA-RELAY-12V-5PIN-BLUE</v>
      </c>
      <c r="B3323" s="165">
        <f>IFERROR(__xludf.DUMMYFUNCTION("""COMPUTED_VALUE"""),46163.0)</f>
        <v>46163</v>
      </c>
      <c r="C3323" s="165" t="str">
        <f>IFERROR(__xludf.DUMMYFUNCTION("""COMPUTED_VALUE"""),"KYAI KONTONG")</f>
        <v>KYAI KONTONG</v>
      </c>
      <c r="D3323" s="94">
        <f>IFERROR(__xludf.DUMMYFUNCTION("""COMPUTED_VALUE"""),50.0)</f>
        <v>50</v>
      </c>
    </row>
    <row r="3324">
      <c r="A3324" s="87" t="str">
        <f>IFERROR(__xludf.DUMMYFUNCTION("""COMPUTED_VALUE"""),"ITBISA-RELAY-12V-5PIN-BLUE")</f>
        <v>ITBISA-RELAY-12V-5PIN-BLUE</v>
      </c>
      <c r="B3324" s="165">
        <f>IFERROR(__xludf.DUMMYFUNCTION("""COMPUTED_VALUE"""),46164.0)</f>
        <v>46164</v>
      </c>
      <c r="C3324" s="165" t="str">
        <f>IFERROR(__xludf.DUMMYFUNCTION("""COMPUTED_VALUE"""),"KYAI KONTONG")</f>
        <v>KYAI KONTONG</v>
      </c>
      <c r="D3324" s="94">
        <f>IFERROR(__xludf.DUMMYFUNCTION("""COMPUTED_VALUE"""),10.0)</f>
        <v>10</v>
      </c>
    </row>
    <row r="3325">
      <c r="A3325" s="87" t="str">
        <f>IFERROR(__xludf.DUMMYFUNCTION("""COMPUTED_VALUE"""),"ITBISA-RELAY-12V-5PIN-BLUE")</f>
        <v>ITBISA-RELAY-12V-5PIN-BLUE</v>
      </c>
      <c r="B3325" s="165">
        <f>IFERROR(__xludf.DUMMYFUNCTION("""COMPUTED_VALUE"""),46164.0)</f>
        <v>46164</v>
      </c>
      <c r="C3325" s="165" t="str">
        <f>IFERROR(__xludf.DUMMYFUNCTION("""COMPUTED_VALUE"""),"KYAI KONTONG")</f>
        <v>KYAI KONTONG</v>
      </c>
      <c r="D3325" s="94">
        <f>IFERROR(__xludf.DUMMYFUNCTION("""COMPUTED_VALUE"""),10.0)</f>
        <v>10</v>
      </c>
    </row>
    <row r="3326">
      <c r="A3326" s="87" t="str">
        <f>IFERROR(__xludf.DUMMYFUNCTION("""COMPUTED_VALUE"""),"ITBISA-RELAY-12V-5PIN-BLUE")</f>
        <v>ITBISA-RELAY-12V-5PIN-BLUE</v>
      </c>
      <c r="B3326" s="165">
        <f>IFERROR(__xludf.DUMMYFUNCTION("""COMPUTED_VALUE"""),46164.0)</f>
        <v>46164</v>
      </c>
      <c r="C3326" s="165" t="str">
        <f>IFERROR(__xludf.DUMMYFUNCTION("""COMPUTED_VALUE"""),"KYAI KONTONG")</f>
        <v>KYAI KONTONG</v>
      </c>
      <c r="D3326" s="94">
        <f>IFERROR(__xludf.DUMMYFUNCTION("""COMPUTED_VALUE"""),10.0)</f>
        <v>10</v>
      </c>
    </row>
    <row r="3327">
      <c r="A3327" s="87" t="str">
        <f>IFERROR(__xludf.DUMMYFUNCTION("""COMPUTED_VALUE"""),"ITBISA-RELAY-12V-5PIN-BLUE")</f>
        <v>ITBISA-RELAY-12V-5PIN-BLUE</v>
      </c>
      <c r="B3327" s="165">
        <f>IFERROR(__xludf.DUMMYFUNCTION("""COMPUTED_VALUE"""),46164.0)</f>
        <v>46164</v>
      </c>
      <c r="C3327" s="165" t="str">
        <f>IFERROR(__xludf.DUMMYFUNCTION("""COMPUTED_VALUE"""),"KYAI KONTONG")</f>
        <v>KYAI KONTONG</v>
      </c>
      <c r="D3327" s="94">
        <f>IFERROR(__xludf.DUMMYFUNCTION("""COMPUTED_VALUE"""),50.0)</f>
        <v>50</v>
      </c>
    </row>
    <row r="3328">
      <c r="A3328" s="87" t="str">
        <f>IFERROR(__xludf.DUMMYFUNCTION("""COMPUTED_VALUE"""),"ITBISA-RELAY-12V-5PIN-BLUE")</f>
        <v>ITBISA-RELAY-12V-5PIN-BLUE</v>
      </c>
      <c r="B3328" s="165">
        <f>IFERROR(__xludf.DUMMYFUNCTION("""COMPUTED_VALUE"""),46164.0)</f>
        <v>46164</v>
      </c>
      <c r="C3328" s="165" t="str">
        <f>IFERROR(__xludf.DUMMYFUNCTION("""COMPUTED_VALUE"""),"KYAI KONTONG")</f>
        <v>KYAI KONTONG</v>
      </c>
      <c r="D3328" s="94">
        <f>IFERROR(__xludf.DUMMYFUNCTION("""COMPUTED_VALUE"""),50.0)</f>
        <v>50</v>
      </c>
    </row>
    <row r="3329">
      <c r="A3329" s="87" t="str">
        <f>IFERROR(__xludf.DUMMYFUNCTION("""COMPUTED_VALUE"""),"ITBISA-RELAY-12V-5PIN-BLUE")</f>
        <v>ITBISA-RELAY-12V-5PIN-BLUE</v>
      </c>
      <c r="B3329" s="165">
        <f>IFERROR(__xludf.DUMMYFUNCTION("""COMPUTED_VALUE"""),46165.0)</f>
        <v>46165</v>
      </c>
      <c r="C3329" s="165" t="str">
        <f>IFERROR(__xludf.DUMMYFUNCTION("""COMPUTED_VALUE"""),"KYAI KONTONG")</f>
        <v>KYAI KONTONG</v>
      </c>
      <c r="D3329" s="94">
        <f>IFERROR(__xludf.DUMMYFUNCTION("""COMPUTED_VALUE"""),10.0)</f>
        <v>10</v>
      </c>
    </row>
    <row r="3330">
      <c r="A3330" s="87" t="str">
        <f>IFERROR(__xludf.DUMMYFUNCTION("""COMPUTED_VALUE"""),"ITBISA-RELAY-12V-5PIN-BLUE")</f>
        <v>ITBISA-RELAY-12V-5PIN-BLUE</v>
      </c>
      <c r="B3330" s="165">
        <f>IFERROR(__xludf.DUMMYFUNCTION("""COMPUTED_VALUE"""),46165.0)</f>
        <v>46165</v>
      </c>
      <c r="C3330" s="165" t="str">
        <f>IFERROR(__xludf.DUMMYFUNCTION("""COMPUTED_VALUE"""),"KYAI KONTONG")</f>
        <v>KYAI KONTONG</v>
      </c>
      <c r="D3330" s="94">
        <f>IFERROR(__xludf.DUMMYFUNCTION("""COMPUTED_VALUE"""),30.0)</f>
        <v>30</v>
      </c>
    </row>
    <row r="3331">
      <c r="A3331" s="87" t="str">
        <f>IFERROR(__xludf.DUMMYFUNCTION("""COMPUTED_VALUE"""),"ITBISA-RELAY-12V-5PIN-BLUE")</f>
        <v>ITBISA-RELAY-12V-5PIN-BLUE</v>
      </c>
      <c r="B3331" s="165">
        <f>IFERROR(__xludf.DUMMYFUNCTION("""COMPUTED_VALUE"""),46166.0)</f>
        <v>46166</v>
      </c>
      <c r="C3331" s="165" t="str">
        <f>IFERROR(__xludf.DUMMYFUNCTION("""COMPUTED_VALUE"""),"KYAI KONTONG")</f>
        <v>KYAI KONTONG</v>
      </c>
      <c r="D3331" s="94">
        <f>IFERROR(__xludf.DUMMYFUNCTION("""COMPUTED_VALUE"""),50.0)</f>
        <v>50</v>
      </c>
    </row>
    <row r="3332">
      <c r="A3332" s="87" t="str">
        <f>IFERROR(__xludf.DUMMYFUNCTION("""COMPUTED_VALUE"""),"ITBISA-RELAY-12V-5PIN-BLUE")</f>
        <v>ITBISA-RELAY-12V-5PIN-BLUE</v>
      </c>
      <c r="B3332" s="165">
        <f>IFERROR(__xludf.DUMMYFUNCTION("""COMPUTED_VALUE"""),46166.0)</f>
        <v>46166</v>
      </c>
      <c r="C3332" s="165" t="str">
        <f>IFERROR(__xludf.DUMMYFUNCTION("""COMPUTED_VALUE"""),"KYAI KONTONG")</f>
        <v>KYAI KONTONG</v>
      </c>
      <c r="D3332" s="94">
        <f>IFERROR(__xludf.DUMMYFUNCTION("""COMPUTED_VALUE"""),100.0)</f>
        <v>100</v>
      </c>
    </row>
    <row r="3333">
      <c r="A3333" s="87" t="str">
        <f>IFERROR(__xludf.DUMMYFUNCTION("""COMPUTED_VALUE"""),"ITBISA-RELAY-12V-5PIN-BLUE")</f>
        <v>ITBISA-RELAY-12V-5PIN-BLUE</v>
      </c>
      <c r="B3333" s="165">
        <f>IFERROR(__xludf.DUMMYFUNCTION("""COMPUTED_VALUE"""),46167.0)</f>
        <v>46167</v>
      </c>
      <c r="C3333" s="165" t="str">
        <f>IFERROR(__xludf.DUMMYFUNCTION("""COMPUTED_VALUE"""),"KYAI KONTONG")</f>
        <v>KYAI KONTONG</v>
      </c>
      <c r="D3333" s="94">
        <f>IFERROR(__xludf.DUMMYFUNCTION("""COMPUTED_VALUE"""),20.0)</f>
        <v>20</v>
      </c>
    </row>
    <row r="3334">
      <c r="A3334" s="87" t="str">
        <f>IFERROR(__xludf.DUMMYFUNCTION("""COMPUTED_VALUE"""),"ITBISA-RELAY-12V-5PIN-BLUE")</f>
        <v>ITBISA-RELAY-12V-5PIN-BLUE</v>
      </c>
      <c r="B3334" s="165">
        <f>IFERROR(__xludf.DUMMYFUNCTION("""COMPUTED_VALUE"""),46167.0)</f>
        <v>46167</v>
      </c>
      <c r="C3334" s="165" t="str">
        <f>IFERROR(__xludf.DUMMYFUNCTION("""COMPUTED_VALUE"""),"KYAI KONTONG")</f>
        <v>KYAI KONTONG</v>
      </c>
      <c r="D3334" s="94">
        <f>IFERROR(__xludf.DUMMYFUNCTION("""COMPUTED_VALUE"""),50.0)</f>
        <v>50</v>
      </c>
    </row>
    <row r="3335">
      <c r="A3335" s="87" t="str">
        <f>IFERROR(__xludf.DUMMYFUNCTION("""COMPUTED_VALUE"""),"ITBISA-RELAY-12V-5PIN-BLUE")</f>
        <v>ITBISA-RELAY-12V-5PIN-BLUE</v>
      </c>
      <c r="B3335" s="165">
        <f>IFERROR(__xludf.DUMMYFUNCTION("""COMPUTED_VALUE"""),46167.0)</f>
        <v>46167</v>
      </c>
      <c r="C3335" s="165" t="str">
        <f>IFERROR(__xludf.DUMMYFUNCTION("""COMPUTED_VALUE"""),"KYAI KONTONG")</f>
        <v>KYAI KONTONG</v>
      </c>
      <c r="D3335" s="94">
        <f>IFERROR(__xludf.DUMMYFUNCTION("""COMPUTED_VALUE"""),100.0)</f>
        <v>100</v>
      </c>
    </row>
    <row r="3336">
      <c r="A3336" s="87" t="str">
        <f>IFERROR(__xludf.DUMMYFUNCTION("""COMPUTED_VALUE"""),"ITBISA-RELAY-12V-5PIN-BLUE")</f>
        <v>ITBISA-RELAY-12V-5PIN-BLUE</v>
      </c>
      <c r="B3336" s="165">
        <f>IFERROR(__xludf.DUMMYFUNCTION("""COMPUTED_VALUE"""),46167.0)</f>
        <v>46167</v>
      </c>
      <c r="C3336" s="165" t="str">
        <f>IFERROR(__xludf.DUMMYFUNCTION("""COMPUTED_VALUE"""),"KYAI KONTONG")</f>
        <v>KYAI KONTONG</v>
      </c>
      <c r="D3336" s="94">
        <f>IFERROR(__xludf.DUMMYFUNCTION("""COMPUTED_VALUE"""),100.0)</f>
        <v>100</v>
      </c>
    </row>
    <row r="3337">
      <c r="A3337" s="87" t="str">
        <f>IFERROR(__xludf.DUMMYFUNCTION("""COMPUTED_VALUE"""),"ITBISA-RELAY-12V-5PIN-BLUE")</f>
        <v>ITBISA-RELAY-12V-5PIN-BLUE</v>
      </c>
      <c r="B3337" s="165">
        <f>IFERROR(__xludf.DUMMYFUNCTION("""COMPUTED_VALUE"""),46167.0)</f>
        <v>46167</v>
      </c>
      <c r="C3337" s="165" t="str">
        <f>IFERROR(__xludf.DUMMYFUNCTION("""COMPUTED_VALUE"""),"KYAI KONTONG")</f>
        <v>KYAI KONTONG</v>
      </c>
      <c r="D3337" s="94">
        <f>IFERROR(__xludf.DUMMYFUNCTION("""COMPUTED_VALUE"""),100.0)</f>
        <v>100</v>
      </c>
    </row>
    <row r="3338">
      <c r="A3338" s="87" t="str">
        <f>IFERROR(__xludf.DUMMYFUNCTION("""COMPUTED_VALUE"""),"ITBISA-RELAY-12V-5PIN-BLUE")</f>
        <v>ITBISA-RELAY-12V-5PIN-BLUE</v>
      </c>
      <c r="B3338" s="165">
        <f>IFERROR(__xludf.DUMMYFUNCTION("""COMPUTED_VALUE"""),46168.0)</f>
        <v>46168</v>
      </c>
      <c r="C3338" s="165" t="str">
        <f>IFERROR(__xludf.DUMMYFUNCTION("""COMPUTED_VALUE"""),"KYAI KONTONG")</f>
        <v>KYAI KONTONG</v>
      </c>
      <c r="D3338" s="94">
        <f>IFERROR(__xludf.DUMMYFUNCTION("""COMPUTED_VALUE"""),7.0)</f>
        <v>7</v>
      </c>
    </row>
    <row r="3339">
      <c r="A3339" s="87" t="str">
        <f>IFERROR(__xludf.DUMMYFUNCTION("""COMPUTED_VALUE"""),"ITBISA-RELAY-12V-5PIN-BLUE")</f>
        <v>ITBISA-RELAY-12V-5PIN-BLUE</v>
      </c>
      <c r="B3339" s="165">
        <f>IFERROR(__xludf.DUMMYFUNCTION("""COMPUTED_VALUE"""),46168.0)</f>
        <v>46168</v>
      </c>
      <c r="C3339" s="165" t="str">
        <f>IFERROR(__xludf.DUMMYFUNCTION("""COMPUTED_VALUE"""),"KYAI KONTONG")</f>
        <v>KYAI KONTONG</v>
      </c>
      <c r="D3339" s="94">
        <f>IFERROR(__xludf.DUMMYFUNCTION("""COMPUTED_VALUE"""),10.0)</f>
        <v>10</v>
      </c>
    </row>
    <row r="3340">
      <c r="A3340" s="87" t="str">
        <f>IFERROR(__xludf.DUMMYFUNCTION("""COMPUTED_VALUE"""),"ITBISA-RELAY-12V-5PIN-BLUE")</f>
        <v>ITBISA-RELAY-12V-5PIN-BLUE</v>
      </c>
      <c r="B3340" s="165">
        <f>IFERROR(__xludf.DUMMYFUNCTION("""COMPUTED_VALUE"""),46168.0)</f>
        <v>46168</v>
      </c>
      <c r="C3340" s="165" t="str">
        <f>IFERROR(__xludf.DUMMYFUNCTION("""COMPUTED_VALUE"""),"KYAI KONTONG")</f>
        <v>KYAI KONTONG</v>
      </c>
      <c r="D3340" s="94">
        <f>IFERROR(__xludf.DUMMYFUNCTION("""COMPUTED_VALUE"""),500.0)</f>
        <v>500</v>
      </c>
    </row>
    <row r="3341">
      <c r="A3341" s="87" t="str">
        <f>IFERROR(__xludf.DUMMYFUNCTION("""COMPUTED_VALUE"""),"ITBISA-RELAY-12V-5PIN-BLUE")</f>
        <v>ITBISA-RELAY-12V-5PIN-BLUE</v>
      </c>
      <c r="B3341" s="165">
        <f>IFERROR(__xludf.DUMMYFUNCTION("""COMPUTED_VALUE"""),46169.0)</f>
        <v>46169</v>
      </c>
      <c r="C3341" s="165" t="str">
        <f>IFERROR(__xludf.DUMMYFUNCTION("""COMPUTED_VALUE"""),"KYAI KONTONG")</f>
        <v>KYAI KONTONG</v>
      </c>
      <c r="D3341" s="94">
        <f>IFERROR(__xludf.DUMMYFUNCTION("""COMPUTED_VALUE"""),5.0)</f>
        <v>5</v>
      </c>
    </row>
    <row r="3342">
      <c r="A3342" s="87" t="str">
        <f>IFERROR(__xludf.DUMMYFUNCTION("""COMPUTED_VALUE"""),"ITBISA-RELAY-12V-5PIN-BLUE")</f>
        <v>ITBISA-RELAY-12V-5PIN-BLUE</v>
      </c>
      <c r="B3342" s="165">
        <f>IFERROR(__xludf.DUMMYFUNCTION("""COMPUTED_VALUE"""),46169.0)</f>
        <v>46169</v>
      </c>
      <c r="C3342" s="165" t="str">
        <f>IFERROR(__xludf.DUMMYFUNCTION("""COMPUTED_VALUE"""),"KYAI KONTONG")</f>
        <v>KYAI KONTONG</v>
      </c>
      <c r="D3342" s="94">
        <f>IFERROR(__xludf.DUMMYFUNCTION("""COMPUTED_VALUE"""),5.0)</f>
        <v>5</v>
      </c>
    </row>
    <row r="3343">
      <c r="A3343" s="87" t="str">
        <f>IFERROR(__xludf.DUMMYFUNCTION("""COMPUTED_VALUE"""),"ITBISA-RELAY-12V-5PIN-BLUE")</f>
        <v>ITBISA-RELAY-12V-5PIN-BLUE</v>
      </c>
      <c r="B3343" s="165">
        <f>IFERROR(__xludf.DUMMYFUNCTION("""COMPUTED_VALUE"""),46169.0)</f>
        <v>46169</v>
      </c>
      <c r="C3343" s="165" t="str">
        <f>IFERROR(__xludf.DUMMYFUNCTION("""COMPUTED_VALUE"""),"KYAI KONTONG")</f>
        <v>KYAI KONTONG</v>
      </c>
      <c r="D3343" s="94">
        <f>IFERROR(__xludf.DUMMYFUNCTION("""COMPUTED_VALUE"""),10.0)</f>
        <v>10</v>
      </c>
    </row>
    <row r="3344">
      <c r="A3344" s="87" t="str">
        <f>IFERROR(__xludf.DUMMYFUNCTION("""COMPUTED_VALUE"""),"ITBISA-RELAY-12V-5PIN-BLUE")</f>
        <v>ITBISA-RELAY-12V-5PIN-BLUE</v>
      </c>
      <c r="B3344" s="165">
        <f>IFERROR(__xludf.DUMMYFUNCTION("""COMPUTED_VALUE"""),46170.0)</f>
        <v>46170</v>
      </c>
      <c r="C3344" s="165" t="str">
        <f>IFERROR(__xludf.DUMMYFUNCTION("""COMPUTED_VALUE"""),"KYAI KONTONG")</f>
        <v>KYAI KONTONG</v>
      </c>
      <c r="D3344" s="94">
        <f>IFERROR(__xludf.DUMMYFUNCTION("""COMPUTED_VALUE"""),5.0)</f>
        <v>5</v>
      </c>
    </row>
    <row r="3345">
      <c r="A3345" s="87" t="str">
        <f>IFERROR(__xludf.DUMMYFUNCTION("""COMPUTED_VALUE"""),"ITBISA-RELAY-12V-5PIN-BLUE")</f>
        <v>ITBISA-RELAY-12V-5PIN-BLUE</v>
      </c>
      <c r="B3345" s="165">
        <f>IFERROR(__xludf.DUMMYFUNCTION("""COMPUTED_VALUE"""),46170.0)</f>
        <v>46170</v>
      </c>
      <c r="C3345" s="165" t="str">
        <f>IFERROR(__xludf.DUMMYFUNCTION("""COMPUTED_VALUE"""),"KYAI KONTONG")</f>
        <v>KYAI KONTONG</v>
      </c>
      <c r="D3345" s="94">
        <f>IFERROR(__xludf.DUMMYFUNCTION("""COMPUTED_VALUE"""),6.0)</f>
        <v>6</v>
      </c>
    </row>
    <row r="3346">
      <c r="A3346" s="87" t="str">
        <f>IFERROR(__xludf.DUMMYFUNCTION("""COMPUTED_VALUE"""),"ITBISA-RELAY-12V-5PIN-BLUE")</f>
        <v>ITBISA-RELAY-12V-5PIN-BLUE</v>
      </c>
      <c r="B3346" s="165">
        <f>IFERROR(__xludf.DUMMYFUNCTION("""COMPUTED_VALUE"""),46170.0)</f>
        <v>46170</v>
      </c>
      <c r="C3346" s="165" t="str">
        <f>IFERROR(__xludf.DUMMYFUNCTION("""COMPUTED_VALUE"""),"KYAI KONTONG")</f>
        <v>KYAI KONTONG</v>
      </c>
      <c r="D3346" s="94">
        <f>IFERROR(__xludf.DUMMYFUNCTION("""COMPUTED_VALUE"""),15.0)</f>
        <v>15</v>
      </c>
    </row>
    <row r="3347">
      <c r="A3347" s="87" t="str">
        <f>IFERROR(__xludf.DUMMYFUNCTION("""COMPUTED_VALUE"""),"ITBISA-RELAY-12V-5PIN-BLUE")</f>
        <v>ITBISA-RELAY-12V-5PIN-BLUE</v>
      </c>
      <c r="B3347" s="165">
        <f>IFERROR(__xludf.DUMMYFUNCTION("""COMPUTED_VALUE"""),46170.0)</f>
        <v>46170</v>
      </c>
      <c r="C3347" s="165" t="str">
        <f>IFERROR(__xludf.DUMMYFUNCTION("""COMPUTED_VALUE"""),"KYAI KONTONG")</f>
        <v>KYAI KONTONG</v>
      </c>
      <c r="D3347" s="94">
        <f>IFERROR(__xludf.DUMMYFUNCTION("""COMPUTED_VALUE"""),20.0)</f>
        <v>20</v>
      </c>
    </row>
    <row r="3348">
      <c r="A3348" s="87" t="str">
        <f>IFERROR(__xludf.DUMMYFUNCTION("""COMPUTED_VALUE"""),"ITBISA-RELAY-12V-5PIN-BLUE")</f>
        <v>ITBISA-RELAY-12V-5PIN-BLUE</v>
      </c>
      <c r="B3348" s="165">
        <f>IFERROR(__xludf.DUMMYFUNCTION("""COMPUTED_VALUE"""),46170.0)</f>
        <v>46170</v>
      </c>
      <c r="C3348" s="165" t="str">
        <f>IFERROR(__xludf.DUMMYFUNCTION("""COMPUTED_VALUE"""),"KYAI KONTONG")</f>
        <v>KYAI KONTONG</v>
      </c>
      <c r="D3348" s="94">
        <f>IFERROR(__xludf.DUMMYFUNCTION("""COMPUTED_VALUE"""),50.0)</f>
        <v>50</v>
      </c>
    </row>
    <row r="3349">
      <c r="A3349" s="87" t="str">
        <f>IFERROR(__xludf.DUMMYFUNCTION("""COMPUTED_VALUE"""),"ITBISA-RELAY-12V-5PIN-BLUE")</f>
        <v>ITBISA-RELAY-12V-5PIN-BLUE</v>
      </c>
      <c r="B3349" s="165">
        <f>IFERROR(__xludf.DUMMYFUNCTION("""COMPUTED_VALUE"""),46170.0)</f>
        <v>46170</v>
      </c>
      <c r="C3349" s="165" t="str">
        <f>IFERROR(__xludf.DUMMYFUNCTION("""COMPUTED_VALUE"""),"KYAI KONTONG")</f>
        <v>KYAI KONTONG</v>
      </c>
      <c r="D3349" s="94">
        <f>IFERROR(__xludf.DUMMYFUNCTION("""COMPUTED_VALUE"""),100.0)</f>
        <v>100</v>
      </c>
    </row>
    <row r="3350">
      <c r="A3350" s="87" t="str">
        <f>IFERROR(__xludf.DUMMYFUNCTION("""COMPUTED_VALUE"""),"ITBISA-RELAY-12V-5PIN-BLUE")</f>
        <v>ITBISA-RELAY-12V-5PIN-BLUE</v>
      </c>
      <c r="B3350" s="165">
        <f>IFERROR(__xludf.DUMMYFUNCTION("""COMPUTED_VALUE"""),46171.0)</f>
        <v>46171</v>
      </c>
      <c r="C3350" s="165" t="str">
        <f>IFERROR(__xludf.DUMMYFUNCTION("""COMPUTED_VALUE"""),"KYAI KONTONG")</f>
        <v>KYAI KONTONG</v>
      </c>
      <c r="D3350" s="94">
        <f>IFERROR(__xludf.DUMMYFUNCTION("""COMPUTED_VALUE"""),10.0)</f>
        <v>10</v>
      </c>
    </row>
    <row r="3351">
      <c r="A3351" s="87" t="str">
        <f>IFERROR(__xludf.DUMMYFUNCTION("""COMPUTED_VALUE"""),"ITBISA-RELAY-12V-5PIN-BLUE")</f>
        <v>ITBISA-RELAY-12V-5PIN-BLUE</v>
      </c>
      <c r="B3351" s="165">
        <f>IFERROR(__xludf.DUMMYFUNCTION("""COMPUTED_VALUE"""),46171.0)</f>
        <v>46171</v>
      </c>
      <c r="C3351" s="165" t="str">
        <f>IFERROR(__xludf.DUMMYFUNCTION("""COMPUTED_VALUE"""),"KYAI KONTONG")</f>
        <v>KYAI KONTONG</v>
      </c>
      <c r="D3351" s="94">
        <f>IFERROR(__xludf.DUMMYFUNCTION("""COMPUTED_VALUE"""),50.0)</f>
        <v>50</v>
      </c>
    </row>
    <row r="3352">
      <c r="A3352" s="87" t="str">
        <f>IFERROR(__xludf.DUMMYFUNCTION("""COMPUTED_VALUE"""),"ITBISA-RELAY-12V-5PIN-BLUE")</f>
        <v>ITBISA-RELAY-12V-5PIN-BLUE</v>
      </c>
      <c r="B3352" s="165">
        <f>IFERROR(__xludf.DUMMYFUNCTION("""COMPUTED_VALUE"""),46172.0)</f>
        <v>46172</v>
      </c>
      <c r="C3352" s="165" t="str">
        <f>IFERROR(__xludf.DUMMYFUNCTION("""COMPUTED_VALUE"""),"KYAI KONTONG")</f>
        <v>KYAI KONTONG</v>
      </c>
      <c r="D3352" s="94">
        <f>IFERROR(__xludf.DUMMYFUNCTION("""COMPUTED_VALUE"""),5.0)</f>
        <v>5</v>
      </c>
    </row>
    <row r="3353">
      <c r="A3353" s="87" t="str">
        <f>IFERROR(__xludf.DUMMYFUNCTION("""COMPUTED_VALUE"""),"ITBISA-RELAY-12V-5PIN-BLUE")</f>
        <v>ITBISA-RELAY-12V-5PIN-BLUE</v>
      </c>
      <c r="B3353" s="165">
        <f>IFERROR(__xludf.DUMMYFUNCTION("""COMPUTED_VALUE"""),46172.0)</f>
        <v>46172</v>
      </c>
      <c r="C3353" s="165" t="str">
        <f>IFERROR(__xludf.DUMMYFUNCTION("""COMPUTED_VALUE"""),"KYAI KONTONG")</f>
        <v>KYAI KONTONG</v>
      </c>
      <c r="D3353" s="94">
        <f>IFERROR(__xludf.DUMMYFUNCTION("""COMPUTED_VALUE"""),5.0)</f>
        <v>5</v>
      </c>
    </row>
    <row r="3354">
      <c r="A3354" s="87" t="str">
        <f>IFERROR(__xludf.DUMMYFUNCTION("""COMPUTED_VALUE"""),"ITBISA-RELAY-12V-5PIN-BLUE")</f>
        <v>ITBISA-RELAY-12V-5PIN-BLUE</v>
      </c>
      <c r="B3354" s="165">
        <f>IFERROR(__xludf.DUMMYFUNCTION("""COMPUTED_VALUE"""),46172.0)</f>
        <v>46172</v>
      </c>
      <c r="C3354" s="165" t="str">
        <f>IFERROR(__xludf.DUMMYFUNCTION("""COMPUTED_VALUE"""),"KYAI KONTONG")</f>
        <v>KYAI KONTONG</v>
      </c>
      <c r="D3354" s="94">
        <f>IFERROR(__xludf.DUMMYFUNCTION("""COMPUTED_VALUE"""),10.0)</f>
        <v>10</v>
      </c>
    </row>
    <row r="3355">
      <c r="A3355" s="87" t="str">
        <f>IFERROR(__xludf.DUMMYFUNCTION("""COMPUTED_VALUE"""),"ITBISA-RELAY-12V-5PIN-BLUE")</f>
        <v>ITBISA-RELAY-12V-5PIN-BLUE</v>
      </c>
      <c r="B3355" s="165">
        <f>IFERROR(__xludf.DUMMYFUNCTION("""COMPUTED_VALUE"""),46172.0)</f>
        <v>46172</v>
      </c>
      <c r="C3355" s="165" t="str">
        <f>IFERROR(__xludf.DUMMYFUNCTION("""COMPUTED_VALUE"""),"KYAI KONTONG")</f>
        <v>KYAI KONTONG</v>
      </c>
      <c r="D3355" s="94">
        <f>IFERROR(__xludf.DUMMYFUNCTION("""COMPUTED_VALUE"""),20.0)</f>
        <v>20</v>
      </c>
    </row>
    <row r="3356">
      <c r="A3356" s="87" t="str">
        <f>IFERROR(__xludf.DUMMYFUNCTION("""COMPUTED_VALUE"""),"ITBISA-RELAY-12V-5PIN-BLUE")</f>
        <v>ITBISA-RELAY-12V-5PIN-BLUE</v>
      </c>
      <c r="B3356" s="165">
        <f>IFERROR(__xludf.DUMMYFUNCTION("""COMPUTED_VALUE"""),46173.0)</f>
        <v>46173</v>
      </c>
      <c r="C3356" s="165" t="str">
        <f>IFERROR(__xludf.DUMMYFUNCTION("""COMPUTED_VALUE"""),"KYAI KONTONG")</f>
        <v>KYAI KONTONG</v>
      </c>
      <c r="D3356" s="94">
        <f>IFERROR(__xludf.DUMMYFUNCTION("""COMPUTED_VALUE"""),7.0)</f>
        <v>7</v>
      </c>
    </row>
    <row r="3357">
      <c r="A3357" s="87" t="str">
        <f>IFERROR(__xludf.DUMMYFUNCTION("""COMPUTED_VALUE"""),"ITBISA-RELAY-12V-5PIN-BLUE")</f>
        <v>ITBISA-RELAY-12V-5PIN-BLUE</v>
      </c>
      <c r="B3357" s="165">
        <f>IFERROR(__xludf.DUMMYFUNCTION("""COMPUTED_VALUE"""),46174.0)</f>
        <v>46174</v>
      </c>
      <c r="C3357" s="165" t="str">
        <f>IFERROR(__xludf.DUMMYFUNCTION("""COMPUTED_VALUE"""),"KYAI KONTONG")</f>
        <v>KYAI KONTONG</v>
      </c>
      <c r="D3357" s="94">
        <f>IFERROR(__xludf.DUMMYFUNCTION("""COMPUTED_VALUE"""),5.0)</f>
        <v>5</v>
      </c>
    </row>
    <row r="3358">
      <c r="A3358" s="87" t="str">
        <f>IFERROR(__xludf.DUMMYFUNCTION("""COMPUTED_VALUE"""),"ITBISA-RELAY-12V-5PIN-BLUE")</f>
        <v>ITBISA-RELAY-12V-5PIN-BLUE</v>
      </c>
      <c r="B3358" s="165">
        <f>IFERROR(__xludf.DUMMYFUNCTION("""COMPUTED_VALUE"""),46174.0)</f>
        <v>46174</v>
      </c>
      <c r="C3358" s="165" t="str">
        <f>IFERROR(__xludf.DUMMYFUNCTION("""COMPUTED_VALUE"""),"KYAI KONTONG")</f>
        <v>KYAI KONTONG</v>
      </c>
      <c r="D3358" s="94">
        <f>IFERROR(__xludf.DUMMYFUNCTION("""COMPUTED_VALUE"""),5.0)</f>
        <v>5</v>
      </c>
    </row>
    <row r="3359">
      <c r="A3359" s="87" t="str">
        <f>IFERROR(__xludf.DUMMYFUNCTION("""COMPUTED_VALUE"""),"ITBISA-RELAY-12V-5PIN-BLUE")</f>
        <v>ITBISA-RELAY-12V-5PIN-BLUE</v>
      </c>
      <c r="B3359" s="165">
        <f>IFERROR(__xludf.DUMMYFUNCTION("""COMPUTED_VALUE"""),46176.0)</f>
        <v>46176</v>
      </c>
      <c r="C3359" s="165" t="str">
        <f>IFERROR(__xludf.DUMMYFUNCTION("""COMPUTED_VALUE"""),"KYAI KONTONG")</f>
        <v>KYAI KONTONG</v>
      </c>
      <c r="D3359" s="94">
        <f>IFERROR(__xludf.DUMMYFUNCTION("""COMPUTED_VALUE"""),5.0)</f>
        <v>5</v>
      </c>
    </row>
    <row r="3360">
      <c r="A3360" s="87" t="str">
        <f>IFERROR(__xludf.DUMMYFUNCTION("""COMPUTED_VALUE"""),"ITBISA-RELAY-12V-5PIN-BLUE")</f>
        <v>ITBISA-RELAY-12V-5PIN-BLUE</v>
      </c>
      <c r="B3360" s="165">
        <f>IFERROR(__xludf.DUMMYFUNCTION("""COMPUTED_VALUE"""),46176.0)</f>
        <v>46176</v>
      </c>
      <c r="C3360" s="165" t="str">
        <f>IFERROR(__xludf.DUMMYFUNCTION("""COMPUTED_VALUE"""),"KYAI KONTONG")</f>
        <v>KYAI KONTONG</v>
      </c>
      <c r="D3360" s="94">
        <f>IFERROR(__xludf.DUMMYFUNCTION("""COMPUTED_VALUE"""),16.0)</f>
        <v>16</v>
      </c>
    </row>
    <row r="3361">
      <c r="A3361" s="87" t="str">
        <f>IFERROR(__xludf.DUMMYFUNCTION("""COMPUTED_VALUE"""),"ITBISA-RELAY-12V-5PIN-BLUE")</f>
        <v>ITBISA-RELAY-12V-5PIN-BLUE</v>
      </c>
      <c r="B3361" s="165">
        <f>IFERROR(__xludf.DUMMYFUNCTION("""COMPUTED_VALUE"""),46177.0)</f>
        <v>46177</v>
      </c>
      <c r="C3361" s="165" t="str">
        <f>IFERROR(__xludf.DUMMYFUNCTION("""COMPUTED_VALUE"""),"KYAI KONTONG")</f>
        <v>KYAI KONTONG</v>
      </c>
      <c r="D3361" s="94">
        <f>IFERROR(__xludf.DUMMYFUNCTION("""COMPUTED_VALUE"""),7.0)</f>
        <v>7</v>
      </c>
    </row>
    <row r="3362">
      <c r="A3362" s="87" t="str">
        <f>IFERROR(__xludf.DUMMYFUNCTION("""COMPUTED_VALUE"""),"ITBISA-RELAY-12V-5PIN-BLUE")</f>
        <v>ITBISA-RELAY-12V-5PIN-BLUE</v>
      </c>
      <c r="B3362" s="165">
        <f>IFERROR(__xludf.DUMMYFUNCTION("""COMPUTED_VALUE"""),46177.0)</f>
        <v>46177</v>
      </c>
      <c r="C3362" s="165" t="str">
        <f>IFERROR(__xludf.DUMMYFUNCTION("""COMPUTED_VALUE"""),"KYAI KONTONG")</f>
        <v>KYAI KONTONG</v>
      </c>
      <c r="D3362" s="94">
        <f>IFERROR(__xludf.DUMMYFUNCTION("""COMPUTED_VALUE"""),50.0)</f>
        <v>50</v>
      </c>
    </row>
    <row r="3363">
      <c r="A3363" s="87" t="str">
        <f>IFERROR(__xludf.DUMMYFUNCTION("""COMPUTED_VALUE"""),"ITBISA-RELAY-12V-5PIN-BLUE")</f>
        <v>ITBISA-RELAY-12V-5PIN-BLUE</v>
      </c>
      <c r="B3363" s="165">
        <f>IFERROR(__xludf.DUMMYFUNCTION("""COMPUTED_VALUE"""),46177.0)</f>
        <v>46177</v>
      </c>
      <c r="C3363" s="165" t="str">
        <f>IFERROR(__xludf.DUMMYFUNCTION("""COMPUTED_VALUE"""),"KYAI KONTONG")</f>
        <v>KYAI KONTONG</v>
      </c>
      <c r="D3363" s="94">
        <f>IFERROR(__xludf.DUMMYFUNCTION("""COMPUTED_VALUE"""),1000.0)</f>
        <v>1000</v>
      </c>
    </row>
    <row r="3364">
      <c r="A3364" s="87" t="str">
        <f>IFERROR(__xludf.DUMMYFUNCTION("""COMPUTED_VALUE"""),"ITBISA-RELAY-12V-5PIN-BLUE")</f>
        <v>ITBISA-RELAY-12V-5PIN-BLUE</v>
      </c>
      <c r="B3364" s="165">
        <f>IFERROR(__xludf.DUMMYFUNCTION("""COMPUTED_VALUE"""),46179.0)</f>
        <v>46179</v>
      </c>
      <c r="C3364" s="165" t="str">
        <f>IFERROR(__xludf.DUMMYFUNCTION("""COMPUTED_VALUE"""),"KYAI KONTONG")</f>
        <v>KYAI KONTONG</v>
      </c>
      <c r="D3364" s="94">
        <f>IFERROR(__xludf.DUMMYFUNCTION("""COMPUTED_VALUE"""),30.0)</f>
        <v>30</v>
      </c>
    </row>
    <row r="3365">
      <c r="A3365" s="87" t="str">
        <f>IFERROR(__xludf.DUMMYFUNCTION("""COMPUTED_VALUE"""),"ITBISA-RELAY-12V-5PIN-BLUE")</f>
        <v>ITBISA-RELAY-12V-5PIN-BLUE</v>
      </c>
      <c r="B3365" s="165">
        <f>IFERROR(__xludf.DUMMYFUNCTION("""COMPUTED_VALUE"""),46179.0)</f>
        <v>46179</v>
      </c>
      <c r="C3365" s="165" t="str">
        <f>IFERROR(__xludf.DUMMYFUNCTION("""COMPUTED_VALUE"""),"KYAI KONTONG")</f>
        <v>KYAI KONTONG</v>
      </c>
      <c r="D3365" s="94">
        <f>IFERROR(__xludf.DUMMYFUNCTION("""COMPUTED_VALUE"""),100.0)</f>
        <v>100</v>
      </c>
    </row>
    <row r="3366">
      <c r="A3366" s="87" t="str">
        <f>IFERROR(__xludf.DUMMYFUNCTION("""COMPUTED_VALUE"""),"ITBISA-RELAY-12V-5PIN-BLUE")</f>
        <v>ITBISA-RELAY-12V-5PIN-BLUE</v>
      </c>
      <c r="B3366" s="165">
        <f>IFERROR(__xludf.DUMMYFUNCTION("""COMPUTED_VALUE"""),46181.0)</f>
        <v>46181</v>
      </c>
      <c r="C3366" s="165" t="str">
        <f>IFERROR(__xludf.DUMMYFUNCTION("""COMPUTED_VALUE"""),"KYAI KONTONG")</f>
        <v>KYAI KONTONG</v>
      </c>
      <c r="D3366" s="94">
        <f>IFERROR(__xludf.DUMMYFUNCTION("""COMPUTED_VALUE"""),8.0)</f>
        <v>8</v>
      </c>
    </row>
    <row r="3367">
      <c r="A3367" s="87" t="str">
        <f>IFERROR(__xludf.DUMMYFUNCTION("""COMPUTED_VALUE"""),"ITBISA-RELAY-12V-5PIN-BLUE")</f>
        <v>ITBISA-RELAY-12V-5PIN-BLUE</v>
      </c>
      <c r="B3367" s="165">
        <f>IFERROR(__xludf.DUMMYFUNCTION("""COMPUTED_VALUE"""),46181.0)</f>
        <v>46181</v>
      </c>
      <c r="C3367" s="165" t="str">
        <f>IFERROR(__xludf.DUMMYFUNCTION("""COMPUTED_VALUE"""),"KYAI KONTONG")</f>
        <v>KYAI KONTONG</v>
      </c>
      <c r="D3367" s="94">
        <f>IFERROR(__xludf.DUMMYFUNCTION("""COMPUTED_VALUE"""),20.0)</f>
        <v>20</v>
      </c>
    </row>
    <row r="3368">
      <c r="A3368" s="87" t="str">
        <f>IFERROR(__xludf.DUMMYFUNCTION("""COMPUTED_VALUE"""),"ITBISA-RELAY-12V-5PIN-BLUE")</f>
        <v>ITBISA-RELAY-12V-5PIN-BLUE</v>
      </c>
      <c r="B3368" s="165">
        <f>IFERROR(__xludf.DUMMYFUNCTION("""COMPUTED_VALUE"""),46182.0)</f>
        <v>46182</v>
      </c>
      <c r="C3368" s="165" t="str">
        <f>IFERROR(__xludf.DUMMYFUNCTION("""COMPUTED_VALUE"""),"KYAI KONTONG")</f>
        <v>KYAI KONTONG</v>
      </c>
      <c r="D3368" s="94">
        <f>IFERROR(__xludf.DUMMYFUNCTION("""COMPUTED_VALUE"""),10.0)</f>
        <v>10</v>
      </c>
    </row>
    <row r="3369">
      <c r="A3369" s="87" t="str">
        <f>IFERROR(__xludf.DUMMYFUNCTION("""COMPUTED_VALUE"""),"ITBISA-RELAY-12V-5PIN-BLUE")</f>
        <v>ITBISA-RELAY-12V-5PIN-BLUE</v>
      </c>
      <c r="B3369" s="165">
        <f>IFERROR(__xludf.DUMMYFUNCTION("""COMPUTED_VALUE"""),46182.0)</f>
        <v>46182</v>
      </c>
      <c r="C3369" s="165" t="str">
        <f>IFERROR(__xludf.DUMMYFUNCTION("""COMPUTED_VALUE"""),"KYAI KONTONG")</f>
        <v>KYAI KONTONG</v>
      </c>
      <c r="D3369" s="94">
        <f>IFERROR(__xludf.DUMMYFUNCTION("""COMPUTED_VALUE"""),20.0)</f>
        <v>20</v>
      </c>
    </row>
    <row r="3370">
      <c r="A3370" s="87" t="str">
        <f>IFERROR(__xludf.DUMMYFUNCTION("""COMPUTED_VALUE"""),"ITBISA-RELAY-12V-5PIN-BLUE")</f>
        <v>ITBISA-RELAY-12V-5PIN-BLUE</v>
      </c>
      <c r="B3370" s="165">
        <f>IFERROR(__xludf.DUMMYFUNCTION("""COMPUTED_VALUE"""),46183.0)</f>
        <v>46183</v>
      </c>
      <c r="C3370" s="165" t="str">
        <f>IFERROR(__xludf.DUMMYFUNCTION("""COMPUTED_VALUE"""),"KYAI KONTONG")</f>
        <v>KYAI KONTONG</v>
      </c>
      <c r="D3370" s="94">
        <f>IFERROR(__xludf.DUMMYFUNCTION("""COMPUTED_VALUE"""),10.0)</f>
        <v>10</v>
      </c>
    </row>
    <row r="3371">
      <c r="A3371" s="87" t="str">
        <f>IFERROR(__xludf.DUMMYFUNCTION("""COMPUTED_VALUE"""),"ITBISA-RELAY-12V-5PIN-BLUE")</f>
        <v>ITBISA-RELAY-12V-5PIN-BLUE</v>
      </c>
      <c r="B3371" s="165">
        <f>IFERROR(__xludf.DUMMYFUNCTION("""COMPUTED_VALUE"""),46184.0)</f>
        <v>46184</v>
      </c>
      <c r="C3371" s="165" t="str">
        <f>IFERROR(__xludf.DUMMYFUNCTION("""COMPUTED_VALUE"""),"KYAI KONTONG")</f>
        <v>KYAI KONTONG</v>
      </c>
      <c r="D3371" s="94">
        <f>IFERROR(__xludf.DUMMYFUNCTION("""COMPUTED_VALUE"""),10.0)</f>
        <v>10</v>
      </c>
    </row>
    <row r="3372">
      <c r="A3372" s="87" t="str">
        <f>IFERROR(__xludf.DUMMYFUNCTION("""COMPUTED_VALUE"""),"ITBISA-RELAY-12V-5PIN-BLUE")</f>
        <v>ITBISA-RELAY-12V-5PIN-BLUE</v>
      </c>
      <c r="B3372" s="165">
        <f>IFERROR(__xludf.DUMMYFUNCTION("""COMPUTED_VALUE"""),46186.0)</f>
        <v>46186</v>
      </c>
      <c r="C3372" s="165" t="str">
        <f>IFERROR(__xludf.DUMMYFUNCTION("""COMPUTED_VALUE"""),"KYAI KONTONG")</f>
        <v>KYAI KONTONG</v>
      </c>
      <c r="D3372" s="94">
        <f>IFERROR(__xludf.DUMMYFUNCTION("""COMPUTED_VALUE"""),25.0)</f>
        <v>25</v>
      </c>
    </row>
    <row r="3373">
      <c r="A3373" s="87" t="str">
        <f>IFERROR(__xludf.DUMMYFUNCTION("""COMPUTED_VALUE"""),"ITBISA-RELAY-12V-5PIN-BLUE")</f>
        <v>ITBISA-RELAY-12V-5PIN-BLUE</v>
      </c>
      <c r="B3373" s="165">
        <f>IFERROR(__xludf.DUMMYFUNCTION("""COMPUTED_VALUE"""),46196.0)</f>
        <v>46196</v>
      </c>
      <c r="C3373" s="165" t="str">
        <f>IFERROR(__xludf.DUMMYFUNCTION("""COMPUTED_VALUE"""),"KYAI KONTONG")</f>
        <v>KYAI KONTONG</v>
      </c>
      <c r="D3373" s="94">
        <f>IFERROR(__xludf.DUMMYFUNCTION("""COMPUTED_VALUE"""),10.0)</f>
        <v>10</v>
      </c>
    </row>
    <row r="3374">
      <c r="A3374" s="87" t="str">
        <f>IFERROR(__xludf.DUMMYFUNCTION("""COMPUTED_VALUE"""),"ITBISA-RELAY-5V-1CHANNEL-BLUE-LOW-TRIGGER")</f>
        <v>ITBISA-RELAY-5V-1CHANNEL-BLUE-LOW-TRIGGER</v>
      </c>
      <c r="B3374" s="165">
        <f>IFERROR(__xludf.DUMMYFUNCTION("""COMPUTED_VALUE"""),46026.0)</f>
        <v>46026</v>
      </c>
      <c r="C3374" s="165" t="str">
        <f>IFERROR(__xludf.DUMMYFUNCTION("""COMPUTED_VALUE"""),"KYAI KONTONG")</f>
        <v>KYAI KONTONG</v>
      </c>
      <c r="D3374" s="94">
        <f>IFERROR(__xludf.DUMMYFUNCTION("""COMPUTED_VALUE"""),1.0)</f>
        <v>1</v>
      </c>
    </row>
    <row r="3375">
      <c r="A3375" s="87" t="str">
        <f>IFERROR(__xludf.DUMMYFUNCTION("""COMPUTED_VALUE"""),"ITBISA-RELAY-5V-1CHANNEL-BLUE-LOW-TRIGGER")</f>
        <v>ITBISA-RELAY-5V-1CHANNEL-BLUE-LOW-TRIGGER</v>
      </c>
      <c r="B3375" s="165">
        <f>IFERROR(__xludf.DUMMYFUNCTION("""COMPUTED_VALUE"""),46027.0)</f>
        <v>46027</v>
      </c>
      <c r="C3375" s="165" t="str">
        <f>IFERROR(__xludf.DUMMYFUNCTION("""COMPUTED_VALUE"""),"KERTASARI CIAMIS")</f>
        <v>KERTASARI CIAMIS</v>
      </c>
      <c r="D3375" s="94">
        <f>IFERROR(__xludf.DUMMYFUNCTION("""COMPUTED_VALUE"""),5.0)</f>
        <v>5</v>
      </c>
    </row>
    <row r="3376">
      <c r="A3376" s="87" t="str">
        <f>IFERROR(__xludf.DUMMYFUNCTION("""COMPUTED_VALUE"""),"ITBISA-RELAY-5V-1CHANNEL-BLUE-LOW-TRIGGER")</f>
        <v>ITBISA-RELAY-5V-1CHANNEL-BLUE-LOW-TRIGGER</v>
      </c>
      <c r="B3376" s="165">
        <f>IFERROR(__xludf.DUMMYFUNCTION("""COMPUTED_VALUE"""),46042.0)</f>
        <v>46042</v>
      </c>
      <c r="C3376" s="165" t="str">
        <f>IFERROR(__xludf.DUMMYFUNCTION("""COMPUTED_VALUE"""),"KYAI KONTONG")</f>
        <v>KYAI KONTONG</v>
      </c>
      <c r="D3376" s="94">
        <f>IFERROR(__xludf.DUMMYFUNCTION("""COMPUTED_VALUE"""),1.0)</f>
        <v>1</v>
      </c>
    </row>
    <row r="3377">
      <c r="A3377" s="87" t="str">
        <f>IFERROR(__xludf.DUMMYFUNCTION("""COMPUTED_VALUE"""),"ITBISA-RELAY-5V-1CHANNEL-BLUE-LOW-TRIGGER")</f>
        <v>ITBISA-RELAY-5V-1CHANNEL-BLUE-LOW-TRIGGER</v>
      </c>
      <c r="B3377" s="165">
        <f>IFERROR(__xludf.DUMMYFUNCTION("""COMPUTED_VALUE"""),46057.0)</f>
        <v>46057</v>
      </c>
      <c r="C3377" s="165" t="str">
        <f>IFERROR(__xludf.DUMMYFUNCTION("""COMPUTED_VALUE"""),"KYAI KONTONG")</f>
        <v>KYAI KONTONG</v>
      </c>
      <c r="D3377" s="94">
        <f>IFERROR(__xludf.DUMMYFUNCTION("""COMPUTED_VALUE"""),1.0)</f>
        <v>1</v>
      </c>
    </row>
    <row r="3378">
      <c r="A3378" s="87" t="str">
        <f>IFERROR(__xludf.DUMMYFUNCTION("""COMPUTED_VALUE"""),"ITBISA-RELAY-5V-1CHANNEL-BLUE-LOW-TRIGGER")</f>
        <v>ITBISA-RELAY-5V-1CHANNEL-BLUE-LOW-TRIGGER</v>
      </c>
      <c r="B3378" s="165">
        <f>IFERROR(__xludf.DUMMYFUNCTION("""COMPUTED_VALUE"""),46058.0)</f>
        <v>46058</v>
      </c>
      <c r="C3378" s="165" t="str">
        <f>IFERROR(__xludf.DUMMYFUNCTION("""COMPUTED_VALUE"""),"KYAI KONTONG")</f>
        <v>KYAI KONTONG</v>
      </c>
      <c r="D3378" s="94">
        <f>IFERROR(__xludf.DUMMYFUNCTION("""COMPUTED_VALUE"""),2.0)</f>
        <v>2</v>
      </c>
    </row>
    <row r="3379">
      <c r="A3379" s="87" t="str">
        <f>IFERROR(__xludf.DUMMYFUNCTION("""COMPUTED_VALUE"""),"ITBISA-RELAY-5V-1CHANNEL-BLUE-LOW-TRIGGER")</f>
        <v>ITBISA-RELAY-5V-1CHANNEL-BLUE-LOW-TRIGGER</v>
      </c>
      <c r="B3379" s="165">
        <f>IFERROR(__xludf.DUMMYFUNCTION("""COMPUTED_VALUE"""),46059.0)</f>
        <v>46059</v>
      </c>
      <c r="C3379" s="165" t="str">
        <f>IFERROR(__xludf.DUMMYFUNCTION("""COMPUTED_VALUE"""),"KERTASARI CIAMIS")</f>
        <v>KERTASARI CIAMIS</v>
      </c>
      <c r="D3379" s="94">
        <f>IFERROR(__xludf.DUMMYFUNCTION("""COMPUTED_VALUE"""),3.0)</f>
        <v>3</v>
      </c>
    </row>
    <row r="3380">
      <c r="A3380" s="87" t="str">
        <f>IFERROR(__xludf.DUMMYFUNCTION("""COMPUTED_VALUE"""),"ITBISA-RELAY-5V-1CHANNEL-BLUE-LOW-TRIGGER")</f>
        <v>ITBISA-RELAY-5V-1CHANNEL-BLUE-LOW-TRIGGER</v>
      </c>
      <c r="B3380" s="165">
        <f>IFERROR(__xludf.DUMMYFUNCTION("""COMPUTED_VALUE"""),46062.0)</f>
        <v>46062</v>
      </c>
      <c r="C3380" s="165" t="str">
        <f>IFERROR(__xludf.DUMMYFUNCTION("""COMPUTED_VALUE"""),"KERTASARI CIAMIS")</f>
        <v>KERTASARI CIAMIS</v>
      </c>
      <c r="D3380" s="94">
        <f>IFERROR(__xludf.DUMMYFUNCTION("""COMPUTED_VALUE"""),3.0)</f>
        <v>3</v>
      </c>
    </row>
    <row r="3381">
      <c r="A3381" s="87" t="str">
        <f>IFERROR(__xludf.DUMMYFUNCTION("""COMPUTED_VALUE"""),"ITBISA-RELAY-5V-1CHANNEL-BLUE-LOW-TRIGGER")</f>
        <v>ITBISA-RELAY-5V-1CHANNEL-BLUE-LOW-TRIGGER</v>
      </c>
      <c r="B3381" s="165">
        <f>IFERROR(__xludf.DUMMYFUNCTION("""COMPUTED_VALUE"""),46071.0)</f>
        <v>46071</v>
      </c>
      <c r="C3381" s="165" t="str">
        <f>IFERROR(__xludf.DUMMYFUNCTION("""COMPUTED_VALUE"""),"KERTASARI CIAMIS")</f>
        <v>KERTASARI CIAMIS</v>
      </c>
      <c r="D3381" s="94">
        <f>IFERROR(__xludf.DUMMYFUNCTION("""COMPUTED_VALUE"""),1.0)</f>
        <v>1</v>
      </c>
    </row>
    <row r="3382">
      <c r="A3382" s="87" t="str">
        <f>IFERROR(__xludf.DUMMYFUNCTION("""COMPUTED_VALUE"""),"ITBISA-RELAY-5V-1CHANNEL-BLUE-LOW-TRIGGER")</f>
        <v>ITBISA-RELAY-5V-1CHANNEL-BLUE-LOW-TRIGGER</v>
      </c>
      <c r="B3382" s="165">
        <f>IFERROR(__xludf.DUMMYFUNCTION("""COMPUTED_VALUE"""),46074.0)</f>
        <v>46074</v>
      </c>
      <c r="C3382" s="165" t="str">
        <f>IFERROR(__xludf.DUMMYFUNCTION("""COMPUTED_VALUE"""),"KERTASARI CIAMIS")</f>
        <v>KERTASARI CIAMIS</v>
      </c>
      <c r="D3382" s="94">
        <f>IFERROR(__xludf.DUMMYFUNCTION("""COMPUTED_VALUE"""),1.0)</f>
        <v>1</v>
      </c>
    </row>
    <row r="3383">
      <c r="A3383" s="87" t="str">
        <f>IFERROR(__xludf.DUMMYFUNCTION("""COMPUTED_VALUE"""),"ITBISA-RELAY-5V-1CHANNEL-BLUE-LOW-TRIGGER")</f>
        <v>ITBISA-RELAY-5V-1CHANNEL-BLUE-LOW-TRIGGER</v>
      </c>
      <c r="B3383" s="165">
        <f>IFERROR(__xludf.DUMMYFUNCTION("""COMPUTED_VALUE"""),46076.0)</f>
        <v>46076</v>
      </c>
      <c r="C3383" s="165" t="str">
        <f>IFERROR(__xludf.DUMMYFUNCTION("""COMPUTED_VALUE"""),"KERTASARI CIAMIS")</f>
        <v>KERTASARI CIAMIS</v>
      </c>
      <c r="D3383" s="94">
        <f>IFERROR(__xludf.DUMMYFUNCTION("""COMPUTED_VALUE"""),3.0)</f>
        <v>3</v>
      </c>
    </row>
    <row r="3384">
      <c r="A3384" s="87" t="str">
        <f>IFERROR(__xludf.DUMMYFUNCTION("""COMPUTED_VALUE"""),"ITBISA-RELAY-5V-1CHANNEL-BLUE-LOW-TRIGGER")</f>
        <v>ITBISA-RELAY-5V-1CHANNEL-BLUE-LOW-TRIGGER</v>
      </c>
      <c r="B3384" s="165">
        <f>IFERROR(__xludf.DUMMYFUNCTION("""COMPUTED_VALUE"""),46078.0)</f>
        <v>46078</v>
      </c>
      <c r="C3384" s="165" t="str">
        <f>IFERROR(__xludf.DUMMYFUNCTION("""COMPUTED_VALUE"""),"KYAI KONTONG")</f>
        <v>KYAI KONTONG</v>
      </c>
      <c r="D3384" s="94">
        <f>IFERROR(__xludf.DUMMYFUNCTION("""COMPUTED_VALUE"""),1.0)</f>
        <v>1</v>
      </c>
    </row>
    <row r="3385">
      <c r="A3385" s="87" t="str">
        <f>IFERROR(__xludf.DUMMYFUNCTION("""COMPUTED_VALUE"""),"ITBISA-RELAY-5V-1CHANNEL-BLUE-LOW-TRIGGER")</f>
        <v>ITBISA-RELAY-5V-1CHANNEL-BLUE-LOW-TRIGGER</v>
      </c>
      <c r="B3385" s="165">
        <f>IFERROR(__xludf.DUMMYFUNCTION("""COMPUTED_VALUE"""),46081.0)</f>
        <v>46081</v>
      </c>
      <c r="C3385" s="165" t="str">
        <f>IFERROR(__xludf.DUMMYFUNCTION("""COMPUTED_VALUE"""),"KERTASARI CIAMIS")</f>
        <v>KERTASARI CIAMIS</v>
      </c>
      <c r="D3385" s="94">
        <f>IFERROR(__xludf.DUMMYFUNCTION("""COMPUTED_VALUE"""),9.0)</f>
        <v>9</v>
      </c>
    </row>
    <row r="3386">
      <c r="A3386" s="87" t="str">
        <f>IFERROR(__xludf.DUMMYFUNCTION("""COMPUTED_VALUE"""),"ITBISA-RELAY-5V-1CHANNEL-BLUE-LOW-TRIGGER")</f>
        <v>ITBISA-RELAY-5V-1CHANNEL-BLUE-LOW-TRIGGER</v>
      </c>
      <c r="B3386" s="165">
        <f>IFERROR(__xludf.DUMMYFUNCTION("""COMPUTED_VALUE"""),46086.0)</f>
        <v>46086</v>
      </c>
      <c r="C3386" s="165" t="str">
        <f>IFERROR(__xludf.DUMMYFUNCTION("""COMPUTED_VALUE"""),"KERTASARI CIAMIS")</f>
        <v>KERTASARI CIAMIS</v>
      </c>
      <c r="D3386" s="94">
        <f>IFERROR(__xludf.DUMMYFUNCTION("""COMPUTED_VALUE"""),5.0)</f>
        <v>5</v>
      </c>
    </row>
    <row r="3387">
      <c r="A3387" s="87" t="str">
        <f>IFERROR(__xludf.DUMMYFUNCTION("""COMPUTED_VALUE"""),"ITBISA-RELAY-5V-1CHANNEL-BLUE-LOW-TRIGGER")</f>
        <v>ITBISA-RELAY-5V-1CHANNEL-BLUE-LOW-TRIGGER</v>
      </c>
      <c r="B3387" s="165">
        <f>IFERROR(__xludf.DUMMYFUNCTION("""COMPUTED_VALUE"""),46089.0)</f>
        <v>46089</v>
      </c>
      <c r="C3387" s="165" t="str">
        <f>IFERROR(__xludf.DUMMYFUNCTION("""COMPUTED_VALUE"""),"KYAI KONTONG")</f>
        <v>KYAI KONTONG</v>
      </c>
      <c r="D3387" s="94">
        <f>IFERROR(__xludf.DUMMYFUNCTION("""COMPUTED_VALUE"""),1.0)</f>
        <v>1</v>
      </c>
    </row>
    <row r="3388">
      <c r="A3388" s="87" t="str">
        <f>IFERROR(__xludf.DUMMYFUNCTION("""COMPUTED_VALUE"""),"ITBISA-RELAY-5V-1CHANNEL-BLUE-LOW-TRIGGER")</f>
        <v>ITBISA-RELAY-5V-1CHANNEL-BLUE-LOW-TRIGGER</v>
      </c>
      <c r="B3388" s="165">
        <f>IFERROR(__xludf.DUMMYFUNCTION("""COMPUTED_VALUE"""),46132.0)</f>
        <v>46132</v>
      </c>
      <c r="C3388" s="165" t="str">
        <f>IFERROR(__xludf.DUMMYFUNCTION("""COMPUTED_VALUE"""),"KYAI KONTONG")</f>
        <v>KYAI KONTONG</v>
      </c>
      <c r="D3388" s="94">
        <f>IFERROR(__xludf.DUMMYFUNCTION("""COMPUTED_VALUE"""),1.0)</f>
        <v>1</v>
      </c>
    </row>
    <row r="3389">
      <c r="A3389" s="87" t="str">
        <f>IFERROR(__xludf.DUMMYFUNCTION("""COMPUTED_VALUE"""),"ITBISA-RELAY-5V-1CHANNEL-BLUE-LOW-TRIGGER")</f>
        <v>ITBISA-RELAY-5V-1CHANNEL-BLUE-LOW-TRIGGER</v>
      </c>
      <c r="B3389" s="165">
        <f>IFERROR(__xludf.DUMMYFUNCTION("""COMPUTED_VALUE"""),46149.0)</f>
        <v>46149</v>
      </c>
      <c r="C3389" s="165" t="str">
        <f>IFERROR(__xludf.DUMMYFUNCTION("""COMPUTED_VALUE"""),"KYAI KONTONG")</f>
        <v>KYAI KONTONG</v>
      </c>
      <c r="D3389" s="94">
        <f>IFERROR(__xludf.DUMMYFUNCTION("""COMPUTED_VALUE"""),8.0)</f>
        <v>8</v>
      </c>
    </row>
    <row r="3390">
      <c r="A3390" s="87" t="str">
        <f>IFERROR(__xludf.DUMMYFUNCTION("""COMPUTED_VALUE"""),"ITBISA-RELAY-5V-1CHANNEL-BLUE-LOW-TRIGGER")</f>
        <v>ITBISA-RELAY-5V-1CHANNEL-BLUE-LOW-TRIGGER</v>
      </c>
      <c r="B3390" s="165">
        <f>IFERROR(__xludf.DUMMYFUNCTION("""COMPUTED_VALUE"""),46151.0)</f>
        <v>46151</v>
      </c>
      <c r="C3390" s="165" t="str">
        <f>IFERROR(__xludf.DUMMYFUNCTION("""COMPUTED_VALUE"""),"KYAI KONTONG")</f>
        <v>KYAI KONTONG</v>
      </c>
      <c r="D3390" s="94">
        <f>IFERROR(__xludf.DUMMYFUNCTION("""COMPUTED_VALUE"""),1.0)</f>
        <v>1</v>
      </c>
    </row>
    <row r="3391">
      <c r="A3391" s="87" t="str">
        <f>IFERROR(__xludf.DUMMYFUNCTION("""COMPUTED_VALUE"""),"ITBISA-RELAY-5V-1CHANNEL-BLUE-LOW-TRIGGER")</f>
        <v>ITBISA-RELAY-5V-1CHANNEL-BLUE-LOW-TRIGGER</v>
      </c>
      <c r="B3391" s="165">
        <f>IFERROR(__xludf.DUMMYFUNCTION("""COMPUTED_VALUE"""),46151.0)</f>
        <v>46151</v>
      </c>
      <c r="C3391" s="165" t="str">
        <f>IFERROR(__xludf.DUMMYFUNCTION("""COMPUTED_VALUE"""),"KYAI KONTONG")</f>
        <v>KYAI KONTONG</v>
      </c>
      <c r="D3391" s="94">
        <f>IFERROR(__xludf.DUMMYFUNCTION("""COMPUTED_VALUE"""),3.0)</f>
        <v>3</v>
      </c>
    </row>
    <row r="3392">
      <c r="A3392" s="87" t="str">
        <f>IFERROR(__xludf.DUMMYFUNCTION("""COMPUTED_VALUE"""),"ITBISA-RELAY-5V-1CHANNEL-BLUE-LOW-TRIGGER")</f>
        <v>ITBISA-RELAY-5V-1CHANNEL-BLUE-LOW-TRIGGER</v>
      </c>
      <c r="B3392" s="165">
        <f>IFERROR(__xludf.DUMMYFUNCTION("""COMPUTED_VALUE"""),46155.0)</f>
        <v>46155</v>
      </c>
      <c r="C3392" s="165" t="str">
        <f>IFERROR(__xludf.DUMMYFUNCTION("""COMPUTED_VALUE"""),"KYAI KONTONG")</f>
        <v>KYAI KONTONG</v>
      </c>
      <c r="D3392" s="94">
        <f>IFERROR(__xludf.DUMMYFUNCTION("""COMPUTED_VALUE"""),1.0)</f>
        <v>1</v>
      </c>
    </row>
    <row r="3393">
      <c r="A3393" s="87" t="str">
        <f>IFERROR(__xludf.DUMMYFUNCTION("""COMPUTED_VALUE"""),"ITBISA-RELAY-5V-1CHANNEL-BLUE-LOW-TRIGGER")</f>
        <v>ITBISA-RELAY-5V-1CHANNEL-BLUE-LOW-TRIGGER</v>
      </c>
      <c r="B3393" s="165">
        <f>IFERROR(__xludf.DUMMYFUNCTION("""COMPUTED_VALUE"""),46156.0)</f>
        <v>46156</v>
      </c>
      <c r="C3393" s="165" t="str">
        <f>IFERROR(__xludf.DUMMYFUNCTION("""COMPUTED_VALUE"""),"KYAI KONTONG")</f>
        <v>KYAI KONTONG</v>
      </c>
      <c r="D3393" s="94">
        <f>IFERROR(__xludf.DUMMYFUNCTION("""COMPUTED_VALUE"""),2.0)</f>
        <v>2</v>
      </c>
    </row>
    <row r="3394">
      <c r="A3394" s="87" t="str">
        <f>IFERROR(__xludf.DUMMYFUNCTION("""COMPUTED_VALUE"""),"ITBISA-RELAY-5V-1CHANNEL-BLUE-LOW-TRIGGER")</f>
        <v>ITBISA-RELAY-5V-1CHANNEL-BLUE-LOW-TRIGGER</v>
      </c>
      <c r="B3394" s="165">
        <f>IFERROR(__xludf.DUMMYFUNCTION("""COMPUTED_VALUE"""),46157.0)</f>
        <v>46157</v>
      </c>
      <c r="C3394" s="165" t="str">
        <f>IFERROR(__xludf.DUMMYFUNCTION("""COMPUTED_VALUE"""),"KYAI KONTONG")</f>
        <v>KYAI KONTONG</v>
      </c>
      <c r="D3394" s="94">
        <f>IFERROR(__xludf.DUMMYFUNCTION("""COMPUTED_VALUE"""),1.0)</f>
        <v>1</v>
      </c>
    </row>
    <row r="3395">
      <c r="A3395" s="87" t="str">
        <f>IFERROR(__xludf.DUMMYFUNCTION("""COMPUTED_VALUE"""),"ITBISA-RELAY-5V-1CHANNEL-BLUE-LOW-TRIGGER")</f>
        <v>ITBISA-RELAY-5V-1CHANNEL-BLUE-LOW-TRIGGER</v>
      </c>
      <c r="B3395" s="165">
        <f>IFERROR(__xludf.DUMMYFUNCTION("""COMPUTED_VALUE"""),46158.0)</f>
        <v>46158</v>
      </c>
      <c r="C3395" s="165" t="str">
        <f>IFERROR(__xludf.DUMMYFUNCTION("""COMPUTED_VALUE"""),"KYAI KONTONG")</f>
        <v>KYAI KONTONG</v>
      </c>
      <c r="D3395" s="94">
        <f>IFERROR(__xludf.DUMMYFUNCTION("""COMPUTED_VALUE"""),10.0)</f>
        <v>10</v>
      </c>
    </row>
    <row r="3396">
      <c r="A3396" s="87" t="str">
        <f>IFERROR(__xludf.DUMMYFUNCTION("""COMPUTED_VALUE"""),"ITBISA-RELAY-5V-1CHANNEL-BLUE-LOW-TRIGGER")</f>
        <v>ITBISA-RELAY-5V-1CHANNEL-BLUE-LOW-TRIGGER</v>
      </c>
      <c r="B3396" s="165">
        <f>IFERROR(__xludf.DUMMYFUNCTION("""COMPUTED_VALUE"""),46161.0)</f>
        <v>46161</v>
      </c>
      <c r="C3396" s="165" t="str">
        <f>IFERROR(__xludf.DUMMYFUNCTION("""COMPUTED_VALUE"""),"KYAI KONTONG")</f>
        <v>KYAI KONTONG</v>
      </c>
      <c r="D3396" s="94">
        <f>IFERROR(__xludf.DUMMYFUNCTION("""COMPUTED_VALUE"""),1.0)</f>
        <v>1</v>
      </c>
    </row>
    <row r="3397">
      <c r="A3397" s="87" t="str">
        <f>IFERROR(__xludf.DUMMYFUNCTION("""COMPUTED_VALUE"""),"ITBISA-RELAY-5V-1CHANNEL-BLUE-LOW-TRIGGER")</f>
        <v>ITBISA-RELAY-5V-1CHANNEL-BLUE-LOW-TRIGGER</v>
      </c>
      <c r="B3397" s="165">
        <f>IFERROR(__xludf.DUMMYFUNCTION("""COMPUTED_VALUE"""),46161.0)</f>
        <v>46161</v>
      </c>
      <c r="C3397" s="165" t="str">
        <f>IFERROR(__xludf.DUMMYFUNCTION("""COMPUTED_VALUE"""),"KYAI KONTONG")</f>
        <v>KYAI KONTONG</v>
      </c>
      <c r="D3397" s="94">
        <f>IFERROR(__xludf.DUMMYFUNCTION("""COMPUTED_VALUE"""),2.0)</f>
        <v>2</v>
      </c>
    </row>
    <row r="3398">
      <c r="A3398" s="87" t="str">
        <f>IFERROR(__xludf.DUMMYFUNCTION("""COMPUTED_VALUE"""),"ITBISA-RELAY-5V-1CHANNEL-BLUE-LOW-TRIGGER")</f>
        <v>ITBISA-RELAY-5V-1CHANNEL-BLUE-LOW-TRIGGER</v>
      </c>
      <c r="B3398" s="165">
        <f>IFERROR(__xludf.DUMMYFUNCTION("""COMPUTED_VALUE"""),46164.0)</f>
        <v>46164</v>
      </c>
      <c r="C3398" s="165" t="str">
        <f>IFERROR(__xludf.DUMMYFUNCTION("""COMPUTED_VALUE"""),"KYAI KONTONG")</f>
        <v>KYAI KONTONG</v>
      </c>
      <c r="D3398" s="94">
        <f>IFERROR(__xludf.DUMMYFUNCTION("""COMPUTED_VALUE"""),1.0)</f>
        <v>1</v>
      </c>
    </row>
    <row r="3399">
      <c r="A3399" s="87" t="str">
        <f>IFERROR(__xludf.DUMMYFUNCTION("""COMPUTED_VALUE"""),"ITBISA-RELAY-5V-1CHANNEL-BLUE-LOW-TRIGGER")</f>
        <v>ITBISA-RELAY-5V-1CHANNEL-BLUE-LOW-TRIGGER</v>
      </c>
      <c r="B3399" s="165">
        <f>IFERROR(__xludf.DUMMYFUNCTION("""COMPUTED_VALUE"""),46165.0)</f>
        <v>46165</v>
      </c>
      <c r="C3399" s="165" t="str">
        <f>IFERROR(__xludf.DUMMYFUNCTION("""COMPUTED_VALUE"""),"KYAI KONTONG")</f>
        <v>KYAI KONTONG</v>
      </c>
      <c r="D3399" s="94">
        <f>IFERROR(__xludf.DUMMYFUNCTION("""COMPUTED_VALUE"""),1.0)</f>
        <v>1</v>
      </c>
    </row>
    <row r="3400">
      <c r="A3400" s="87" t="str">
        <f>IFERROR(__xludf.DUMMYFUNCTION("""COMPUTED_VALUE"""),"ITBISA-RELAY-5V-1CHANNEL-BLUE-LOW-TRIGGER")</f>
        <v>ITBISA-RELAY-5V-1CHANNEL-BLUE-LOW-TRIGGER</v>
      </c>
      <c r="B3400" s="165">
        <f>IFERROR(__xludf.DUMMYFUNCTION("""COMPUTED_VALUE"""),46169.0)</f>
        <v>46169</v>
      </c>
      <c r="C3400" s="165" t="str">
        <f>IFERROR(__xludf.DUMMYFUNCTION("""COMPUTED_VALUE"""),"KYAI KONTONG")</f>
        <v>KYAI KONTONG</v>
      </c>
      <c r="D3400" s="94">
        <f>IFERROR(__xludf.DUMMYFUNCTION("""COMPUTED_VALUE"""),1.0)</f>
        <v>1</v>
      </c>
    </row>
    <row r="3401">
      <c r="A3401" s="87" t="str">
        <f>IFERROR(__xludf.DUMMYFUNCTION("""COMPUTED_VALUE"""),"ITBISA-RELAY-5V-1CHANNEL-BLUE-LOW-TRIGGER")</f>
        <v>ITBISA-RELAY-5V-1CHANNEL-BLUE-LOW-TRIGGER</v>
      </c>
      <c r="B3401" s="165">
        <f>IFERROR(__xludf.DUMMYFUNCTION("""COMPUTED_VALUE"""),46170.0)</f>
        <v>46170</v>
      </c>
      <c r="C3401" s="165" t="str">
        <f>IFERROR(__xludf.DUMMYFUNCTION("""COMPUTED_VALUE"""),"KYAI KONTONG")</f>
        <v>KYAI KONTONG</v>
      </c>
      <c r="D3401" s="94">
        <f>IFERROR(__xludf.DUMMYFUNCTION("""COMPUTED_VALUE"""),1.0)</f>
        <v>1</v>
      </c>
    </row>
    <row r="3402">
      <c r="A3402" s="87" t="str">
        <f>IFERROR(__xludf.DUMMYFUNCTION("""COMPUTED_VALUE"""),"ITBISA-RELAY-5V-1CHANNEL-BLUE-LOW-TRIGGER")</f>
        <v>ITBISA-RELAY-5V-1CHANNEL-BLUE-LOW-TRIGGER</v>
      </c>
      <c r="B3402" s="165">
        <f>IFERROR(__xludf.DUMMYFUNCTION("""COMPUTED_VALUE"""),46170.0)</f>
        <v>46170</v>
      </c>
      <c r="C3402" s="165" t="str">
        <f>IFERROR(__xludf.DUMMYFUNCTION("""COMPUTED_VALUE"""),"KYAI KONTONG")</f>
        <v>KYAI KONTONG</v>
      </c>
      <c r="D3402" s="94">
        <f>IFERROR(__xludf.DUMMYFUNCTION("""COMPUTED_VALUE"""),2.0)</f>
        <v>2</v>
      </c>
    </row>
    <row r="3403">
      <c r="A3403" s="87" t="str">
        <f>IFERROR(__xludf.DUMMYFUNCTION("""COMPUTED_VALUE"""),"ITBISA-RELAY-5V-1CHANNEL-BLUE-LOW-TRIGGER")</f>
        <v>ITBISA-RELAY-5V-1CHANNEL-BLUE-LOW-TRIGGER</v>
      </c>
      <c r="B3403" s="165">
        <f>IFERROR(__xludf.DUMMYFUNCTION("""COMPUTED_VALUE"""),46172.0)</f>
        <v>46172</v>
      </c>
      <c r="C3403" s="165" t="str">
        <f>IFERROR(__xludf.DUMMYFUNCTION("""COMPUTED_VALUE"""),"KYAI KONTONG")</f>
        <v>KYAI KONTONG</v>
      </c>
      <c r="D3403" s="94">
        <f>IFERROR(__xludf.DUMMYFUNCTION("""COMPUTED_VALUE"""),2.0)</f>
        <v>2</v>
      </c>
    </row>
    <row r="3404">
      <c r="A3404" s="87" t="str">
        <f>IFERROR(__xludf.DUMMYFUNCTION("""COMPUTED_VALUE"""),"ITBISA-RELAY-5V-1CHANNEL-BLUE-LOW-TRIGGER")</f>
        <v>ITBISA-RELAY-5V-1CHANNEL-BLUE-LOW-TRIGGER</v>
      </c>
      <c r="B3404" s="165">
        <f>IFERROR(__xludf.DUMMYFUNCTION("""COMPUTED_VALUE"""),46175.0)</f>
        <v>46175</v>
      </c>
      <c r="C3404" s="165" t="str">
        <f>IFERROR(__xludf.DUMMYFUNCTION("""COMPUTED_VALUE"""),"KYAI KONTONG")</f>
        <v>KYAI KONTONG</v>
      </c>
      <c r="D3404" s="94">
        <f>IFERROR(__xludf.DUMMYFUNCTION("""COMPUTED_VALUE"""),1.0)</f>
        <v>1</v>
      </c>
    </row>
    <row r="3405">
      <c r="A3405" s="87" t="str">
        <f>IFERROR(__xludf.DUMMYFUNCTION("""COMPUTED_VALUE"""),"ITBISA-RELAY-5V-1CHANNEL-BLUE-LOW-TRIGGER")</f>
        <v>ITBISA-RELAY-5V-1CHANNEL-BLUE-LOW-TRIGGER</v>
      </c>
      <c r="B3405" s="165">
        <f>IFERROR(__xludf.DUMMYFUNCTION("""COMPUTED_VALUE"""),46177.0)</f>
        <v>46177</v>
      </c>
      <c r="C3405" s="165" t="str">
        <f>IFERROR(__xludf.DUMMYFUNCTION("""COMPUTED_VALUE"""),"KYAI KONTONG")</f>
        <v>KYAI KONTONG</v>
      </c>
      <c r="D3405" s="94">
        <f>IFERROR(__xludf.DUMMYFUNCTION("""COMPUTED_VALUE"""),1.0)</f>
        <v>1</v>
      </c>
    </row>
    <row r="3406">
      <c r="A3406" s="87" t="str">
        <f>IFERROR(__xludf.DUMMYFUNCTION("""COMPUTED_VALUE"""),"ITBISA-RELAY-5V-1CHANNEL-BLUE-LOW-TRIGGER")</f>
        <v>ITBISA-RELAY-5V-1CHANNEL-BLUE-LOW-TRIGGER</v>
      </c>
      <c r="B3406" s="165">
        <f>IFERROR(__xludf.DUMMYFUNCTION("""COMPUTED_VALUE"""),46177.0)</f>
        <v>46177</v>
      </c>
      <c r="C3406" s="165" t="str">
        <f>IFERROR(__xludf.DUMMYFUNCTION("""COMPUTED_VALUE"""),"KYAI KONTONG")</f>
        <v>KYAI KONTONG</v>
      </c>
      <c r="D3406" s="94">
        <f>IFERROR(__xludf.DUMMYFUNCTION("""COMPUTED_VALUE"""),5.0)</f>
        <v>5</v>
      </c>
    </row>
    <row r="3407">
      <c r="A3407" s="87" t="str">
        <f>IFERROR(__xludf.DUMMYFUNCTION("""COMPUTED_VALUE"""),"ITBISA-RELAY-5V-1CHANNEL-BLUE-LOW-TRIGGER")</f>
        <v>ITBISA-RELAY-5V-1CHANNEL-BLUE-LOW-TRIGGER</v>
      </c>
      <c r="B3407" s="165">
        <f>IFERROR(__xludf.DUMMYFUNCTION("""COMPUTED_VALUE"""),46178.0)</f>
        <v>46178</v>
      </c>
      <c r="C3407" s="165" t="str">
        <f>IFERROR(__xludf.DUMMYFUNCTION("""COMPUTED_VALUE"""),"KYAI KONTONG")</f>
        <v>KYAI KONTONG</v>
      </c>
      <c r="D3407" s="94">
        <f>IFERROR(__xludf.DUMMYFUNCTION("""COMPUTED_VALUE"""),2.0)</f>
        <v>2</v>
      </c>
    </row>
    <row r="3408">
      <c r="A3408" s="87" t="str">
        <f>IFERROR(__xludf.DUMMYFUNCTION("""COMPUTED_VALUE"""),"ITBISA-RELAY-5V-1CHANNEL-BLUE-LOW-TRIGGER")</f>
        <v>ITBISA-RELAY-5V-1CHANNEL-BLUE-LOW-TRIGGER</v>
      </c>
      <c r="B3408" s="165">
        <f>IFERROR(__xludf.DUMMYFUNCTION("""COMPUTED_VALUE"""),46179.0)</f>
        <v>46179</v>
      </c>
      <c r="C3408" s="165" t="str">
        <f>IFERROR(__xludf.DUMMYFUNCTION("""COMPUTED_VALUE"""),"KYAI KONTONG")</f>
        <v>KYAI KONTONG</v>
      </c>
      <c r="D3408" s="94">
        <f>IFERROR(__xludf.DUMMYFUNCTION("""COMPUTED_VALUE"""),2.0)</f>
        <v>2</v>
      </c>
    </row>
    <row r="3409">
      <c r="A3409" s="87" t="str">
        <f>IFERROR(__xludf.DUMMYFUNCTION("""COMPUTED_VALUE"""),"ITBISA-RELAY-5V-1CHANNEL-BLUE-LOW-TRIGGER")</f>
        <v>ITBISA-RELAY-5V-1CHANNEL-BLUE-LOW-TRIGGER</v>
      </c>
      <c r="B3409" s="165">
        <f>IFERROR(__xludf.DUMMYFUNCTION("""COMPUTED_VALUE"""),46179.0)</f>
        <v>46179</v>
      </c>
      <c r="C3409" s="165" t="str">
        <f>IFERROR(__xludf.DUMMYFUNCTION("""COMPUTED_VALUE"""),"KYAI KONTONG")</f>
        <v>KYAI KONTONG</v>
      </c>
      <c r="D3409" s="94">
        <f>IFERROR(__xludf.DUMMYFUNCTION("""COMPUTED_VALUE"""),2.0)</f>
        <v>2</v>
      </c>
    </row>
    <row r="3410">
      <c r="A3410" s="87" t="str">
        <f>IFERROR(__xludf.DUMMYFUNCTION("""COMPUTED_VALUE"""),"ITBISA-RELAY-5V-1CHANNEL-BLUE-LOW-TRIGGER")</f>
        <v>ITBISA-RELAY-5V-1CHANNEL-BLUE-LOW-TRIGGER</v>
      </c>
      <c r="B3410" s="165">
        <f>IFERROR(__xludf.DUMMYFUNCTION("""COMPUTED_VALUE"""),46180.0)</f>
        <v>46180</v>
      </c>
      <c r="C3410" s="165" t="str">
        <f>IFERROR(__xludf.DUMMYFUNCTION("""COMPUTED_VALUE"""),"KYAI KONTONG")</f>
        <v>KYAI KONTONG</v>
      </c>
      <c r="D3410" s="94">
        <f>IFERROR(__xludf.DUMMYFUNCTION("""COMPUTED_VALUE"""),2.0)</f>
        <v>2</v>
      </c>
    </row>
    <row r="3411">
      <c r="A3411" s="87" t="str">
        <f>IFERROR(__xludf.DUMMYFUNCTION("""COMPUTED_VALUE"""),"ITBISA-RELAY-5V-1CHANNEL-BLUE-LOW-TRIGGER")</f>
        <v>ITBISA-RELAY-5V-1CHANNEL-BLUE-LOW-TRIGGER</v>
      </c>
      <c r="B3411" s="165">
        <f>IFERROR(__xludf.DUMMYFUNCTION("""COMPUTED_VALUE"""),46181.0)</f>
        <v>46181</v>
      </c>
      <c r="C3411" s="165" t="str">
        <f>IFERROR(__xludf.DUMMYFUNCTION("""COMPUTED_VALUE"""),"KYAI KONTONG")</f>
        <v>KYAI KONTONG</v>
      </c>
      <c r="D3411" s="94">
        <f>IFERROR(__xludf.DUMMYFUNCTION("""COMPUTED_VALUE"""),2.0)</f>
        <v>2</v>
      </c>
    </row>
    <row r="3412">
      <c r="A3412" s="87" t="str">
        <f>IFERROR(__xludf.DUMMYFUNCTION("""COMPUTED_VALUE"""),"ITBISA-RELAY-5V-1CHANNEL-BLUE-LOW-TRIGGER")</f>
        <v>ITBISA-RELAY-5V-1CHANNEL-BLUE-LOW-TRIGGER</v>
      </c>
      <c r="B3412" s="165">
        <f>IFERROR(__xludf.DUMMYFUNCTION("""COMPUTED_VALUE"""),46181.0)</f>
        <v>46181</v>
      </c>
      <c r="C3412" s="165" t="str">
        <f>IFERROR(__xludf.DUMMYFUNCTION("""COMPUTED_VALUE"""),"KYAI KONTONG")</f>
        <v>KYAI KONTONG</v>
      </c>
      <c r="D3412" s="94">
        <f>IFERROR(__xludf.DUMMYFUNCTION("""COMPUTED_VALUE"""),2.0)</f>
        <v>2</v>
      </c>
    </row>
    <row r="3413">
      <c r="A3413" s="87" t="str">
        <f>IFERROR(__xludf.DUMMYFUNCTION("""COMPUTED_VALUE"""),"ITBISA-RELAY-5V-1CHANNEL-BLUE-LOW-TRIGGER")</f>
        <v>ITBISA-RELAY-5V-1CHANNEL-BLUE-LOW-TRIGGER</v>
      </c>
      <c r="B3413" s="165">
        <f>IFERROR(__xludf.DUMMYFUNCTION("""COMPUTED_VALUE"""),46182.0)</f>
        <v>46182</v>
      </c>
      <c r="C3413" s="165" t="str">
        <f>IFERROR(__xludf.DUMMYFUNCTION("""COMPUTED_VALUE"""),"KYAI KONTONG")</f>
        <v>KYAI KONTONG</v>
      </c>
      <c r="D3413" s="94">
        <f>IFERROR(__xludf.DUMMYFUNCTION("""COMPUTED_VALUE"""),1.0)</f>
        <v>1</v>
      </c>
    </row>
    <row r="3414">
      <c r="A3414" s="87" t="str">
        <f>IFERROR(__xludf.DUMMYFUNCTION("""COMPUTED_VALUE"""),"ITBISA-RELAY-5V-1CHANNEL-BLUE-LOW-TRIGGER")</f>
        <v>ITBISA-RELAY-5V-1CHANNEL-BLUE-LOW-TRIGGER</v>
      </c>
      <c r="B3414" s="165">
        <f>IFERROR(__xludf.DUMMYFUNCTION("""COMPUTED_VALUE"""),46184.0)</f>
        <v>46184</v>
      </c>
      <c r="C3414" s="165" t="str">
        <f>IFERROR(__xludf.DUMMYFUNCTION("""COMPUTED_VALUE"""),"KYAI KONTONG")</f>
        <v>KYAI KONTONG</v>
      </c>
      <c r="D3414" s="94">
        <f>IFERROR(__xludf.DUMMYFUNCTION("""COMPUTED_VALUE"""),1.0)</f>
        <v>1</v>
      </c>
    </row>
    <row r="3415">
      <c r="A3415" s="87" t="str">
        <f>IFERROR(__xludf.DUMMYFUNCTION("""COMPUTED_VALUE"""),"ITBISA-RELAY-5V-1CHANNEL-BLUE-LOW-TRIGGER")</f>
        <v>ITBISA-RELAY-5V-1CHANNEL-BLUE-LOW-TRIGGER</v>
      </c>
      <c r="B3415" s="165">
        <f>IFERROR(__xludf.DUMMYFUNCTION("""COMPUTED_VALUE"""),46184.0)</f>
        <v>46184</v>
      </c>
      <c r="C3415" s="165" t="str">
        <f>IFERROR(__xludf.DUMMYFUNCTION("""COMPUTED_VALUE"""),"KYAI KONTONG")</f>
        <v>KYAI KONTONG</v>
      </c>
      <c r="D3415" s="94">
        <f>IFERROR(__xludf.DUMMYFUNCTION("""COMPUTED_VALUE"""),1.0)</f>
        <v>1</v>
      </c>
    </row>
    <row r="3416">
      <c r="A3416" s="87" t="str">
        <f>IFERROR(__xludf.DUMMYFUNCTION("""COMPUTED_VALUE"""),"ITBISA-RELAY-5V-1CHANNEL-BLUE-LOW-TRIGGER")</f>
        <v>ITBISA-RELAY-5V-1CHANNEL-BLUE-LOW-TRIGGER</v>
      </c>
      <c r="B3416" s="165">
        <f>IFERROR(__xludf.DUMMYFUNCTION("""COMPUTED_VALUE"""),46188.0)</f>
        <v>46188</v>
      </c>
      <c r="C3416" s="165" t="str">
        <f>IFERROR(__xludf.DUMMYFUNCTION("""COMPUTED_VALUE"""),"KYAI KONTONG")</f>
        <v>KYAI KONTONG</v>
      </c>
      <c r="D3416" s="94">
        <f>IFERROR(__xludf.DUMMYFUNCTION("""COMPUTED_VALUE"""),2.0)</f>
        <v>2</v>
      </c>
    </row>
    <row r="3417">
      <c r="A3417" s="87" t="str">
        <f>IFERROR(__xludf.DUMMYFUNCTION("""COMPUTED_VALUE"""),"ITBISA-RELAY-5V-1CHANNEL-BLUE-LOW-TRIGGER")</f>
        <v>ITBISA-RELAY-5V-1CHANNEL-BLUE-LOW-TRIGGER</v>
      </c>
      <c r="B3417" s="165">
        <f>IFERROR(__xludf.DUMMYFUNCTION("""COMPUTED_VALUE"""),46188.0)</f>
        <v>46188</v>
      </c>
      <c r="C3417" s="165" t="str">
        <f>IFERROR(__xludf.DUMMYFUNCTION("""COMPUTED_VALUE"""),"KYAI KONTONG")</f>
        <v>KYAI KONTONG</v>
      </c>
      <c r="D3417" s="94">
        <f>IFERROR(__xludf.DUMMYFUNCTION("""COMPUTED_VALUE"""),3.0)</f>
        <v>3</v>
      </c>
    </row>
    <row r="3418">
      <c r="A3418" s="87" t="str">
        <f>IFERROR(__xludf.DUMMYFUNCTION("""COMPUTED_VALUE"""),"ITBISA-RELAY-5V-1CHANNEL-BLUE-LOW-TRIGGER")</f>
        <v>ITBISA-RELAY-5V-1CHANNEL-BLUE-LOW-TRIGGER</v>
      </c>
      <c r="B3418" s="165">
        <f>IFERROR(__xludf.DUMMYFUNCTION("""COMPUTED_VALUE"""),46189.0)</f>
        <v>46189</v>
      </c>
      <c r="C3418" s="165" t="str">
        <f>IFERROR(__xludf.DUMMYFUNCTION("""COMPUTED_VALUE"""),"KYAI KONTONG")</f>
        <v>KYAI KONTONG</v>
      </c>
      <c r="D3418" s="94">
        <f>IFERROR(__xludf.DUMMYFUNCTION("""COMPUTED_VALUE"""),1.0)</f>
        <v>1</v>
      </c>
    </row>
    <row r="3419">
      <c r="A3419" s="87" t="str">
        <f>IFERROR(__xludf.DUMMYFUNCTION("""COMPUTED_VALUE"""),"ITBISA-RELAY-5V-1CHANNEL-BLUE-LOW-TRIGGER")</f>
        <v>ITBISA-RELAY-5V-1CHANNEL-BLUE-LOW-TRIGGER</v>
      </c>
      <c r="B3419" s="165">
        <f>IFERROR(__xludf.DUMMYFUNCTION("""COMPUTED_VALUE"""),46191.0)</f>
        <v>46191</v>
      </c>
      <c r="C3419" s="165" t="str">
        <f>IFERROR(__xludf.DUMMYFUNCTION("""COMPUTED_VALUE"""),"KYAI KONTONG")</f>
        <v>KYAI KONTONG</v>
      </c>
      <c r="D3419" s="94">
        <f>IFERROR(__xludf.DUMMYFUNCTION("""COMPUTED_VALUE"""),1.0)</f>
        <v>1</v>
      </c>
    </row>
    <row r="3420">
      <c r="A3420" s="87" t="str">
        <f>IFERROR(__xludf.DUMMYFUNCTION("""COMPUTED_VALUE"""),"ITBISA-RELAY-5V-1CHANNEL-BLUE-LOW-TRIGGER")</f>
        <v>ITBISA-RELAY-5V-1CHANNEL-BLUE-LOW-TRIGGER</v>
      </c>
      <c r="B3420" s="165">
        <f>IFERROR(__xludf.DUMMYFUNCTION("""COMPUTED_VALUE"""),46196.0)</f>
        <v>46196</v>
      </c>
      <c r="C3420" s="165" t="str">
        <f>IFERROR(__xludf.DUMMYFUNCTION("""COMPUTED_VALUE"""),"KYAI KONTONG")</f>
        <v>KYAI KONTONG</v>
      </c>
      <c r="D3420" s="94">
        <f>IFERROR(__xludf.DUMMYFUNCTION("""COMPUTED_VALUE"""),1.0)</f>
        <v>1</v>
      </c>
    </row>
    <row r="3421">
      <c r="A3421" s="87" t="str">
        <f>IFERROR(__xludf.DUMMYFUNCTION("""COMPUTED_VALUE"""),"ITBISA-RELAY-5V-4PIN-BLUE")</f>
        <v>ITBISA-RELAY-5V-4PIN-BLUE</v>
      </c>
      <c r="B3421" s="165">
        <f>IFERROR(__xludf.DUMMYFUNCTION("""COMPUTED_VALUE"""),46023.0)</f>
        <v>46023</v>
      </c>
      <c r="C3421" s="165" t="str">
        <f>IFERROR(__xludf.DUMMYFUNCTION("""COMPUTED_VALUE"""),"KYAI KONTONG")</f>
        <v>KYAI KONTONG</v>
      </c>
      <c r="D3421" s="94">
        <f>IFERROR(__xludf.DUMMYFUNCTION("""COMPUTED_VALUE"""),5.0)</f>
        <v>5</v>
      </c>
    </row>
    <row r="3422">
      <c r="A3422" s="87" t="str">
        <f>IFERROR(__xludf.DUMMYFUNCTION("""COMPUTED_VALUE"""),"ITBISA-RELAY-5V-4PIN-BLUE")</f>
        <v>ITBISA-RELAY-5V-4PIN-BLUE</v>
      </c>
      <c r="B3422" s="165">
        <f>IFERROR(__xludf.DUMMYFUNCTION("""COMPUTED_VALUE"""),46025.0)</f>
        <v>46025</v>
      </c>
      <c r="C3422" s="165" t="str">
        <f>IFERROR(__xludf.DUMMYFUNCTION("""COMPUTED_VALUE"""),"KYAI KONTONG")</f>
        <v>KYAI KONTONG</v>
      </c>
      <c r="D3422" s="94">
        <f>IFERROR(__xludf.DUMMYFUNCTION("""COMPUTED_VALUE"""),5.0)</f>
        <v>5</v>
      </c>
    </row>
    <row r="3423">
      <c r="A3423" s="87" t="str">
        <f>IFERROR(__xludf.DUMMYFUNCTION("""COMPUTED_VALUE"""),"ITBISA-RELAY-5V-4PIN-BLUE")</f>
        <v>ITBISA-RELAY-5V-4PIN-BLUE</v>
      </c>
      <c r="B3423" s="165">
        <f>IFERROR(__xludf.DUMMYFUNCTION("""COMPUTED_VALUE"""),46040.0)</f>
        <v>46040</v>
      </c>
      <c r="C3423" s="165" t="str">
        <f>IFERROR(__xludf.DUMMYFUNCTION("""COMPUTED_VALUE"""),"KERTASARI CIAMIS")</f>
        <v>KERTASARI CIAMIS</v>
      </c>
      <c r="D3423" s="94">
        <f>IFERROR(__xludf.DUMMYFUNCTION("""COMPUTED_VALUE"""),5.0)</f>
        <v>5</v>
      </c>
    </row>
    <row r="3424">
      <c r="A3424" s="87" t="str">
        <f>IFERROR(__xludf.DUMMYFUNCTION("""COMPUTED_VALUE"""),"ITBISA-RELAY-5V-4PIN-BLUE")</f>
        <v>ITBISA-RELAY-5V-4PIN-BLUE</v>
      </c>
      <c r="B3424" s="165">
        <f>IFERROR(__xludf.DUMMYFUNCTION("""COMPUTED_VALUE"""),46040.0)</f>
        <v>46040</v>
      </c>
      <c r="C3424" s="165" t="str">
        <f>IFERROR(__xludf.DUMMYFUNCTION("""COMPUTED_VALUE"""),"KERTASARI CIAMIS")</f>
        <v>KERTASARI CIAMIS</v>
      </c>
      <c r="D3424" s="94">
        <f>IFERROR(__xludf.DUMMYFUNCTION("""COMPUTED_VALUE"""),20.0)</f>
        <v>20</v>
      </c>
    </row>
    <row r="3425">
      <c r="A3425" s="87" t="str">
        <f>IFERROR(__xludf.DUMMYFUNCTION("""COMPUTED_VALUE"""),"ITBISA-RELAY-5V-4PIN-BLUE")</f>
        <v>ITBISA-RELAY-5V-4PIN-BLUE</v>
      </c>
      <c r="B3425" s="165">
        <f>IFERROR(__xludf.DUMMYFUNCTION("""COMPUTED_VALUE"""),46042.0)</f>
        <v>46042</v>
      </c>
      <c r="C3425" s="165" t="str">
        <f>IFERROR(__xludf.DUMMYFUNCTION("""COMPUTED_VALUE"""),"KERTASARI CIAMIS")</f>
        <v>KERTASARI CIAMIS</v>
      </c>
      <c r="D3425" s="94">
        <f>IFERROR(__xludf.DUMMYFUNCTION("""COMPUTED_VALUE"""),5.0)</f>
        <v>5</v>
      </c>
    </row>
    <row r="3426">
      <c r="A3426" s="87" t="str">
        <f>IFERROR(__xludf.DUMMYFUNCTION("""COMPUTED_VALUE"""),"ITBISA-RELAY-5V-4PIN-BLUE")</f>
        <v>ITBISA-RELAY-5V-4PIN-BLUE</v>
      </c>
      <c r="B3426" s="165">
        <f>IFERROR(__xludf.DUMMYFUNCTION("""COMPUTED_VALUE"""),46042.0)</f>
        <v>46042</v>
      </c>
      <c r="C3426" s="165" t="str">
        <f>IFERROR(__xludf.DUMMYFUNCTION("""COMPUTED_VALUE"""),"KYAI KONTONG")</f>
        <v>KYAI KONTONG</v>
      </c>
      <c r="D3426" s="94">
        <f>IFERROR(__xludf.DUMMYFUNCTION("""COMPUTED_VALUE"""),5.0)</f>
        <v>5</v>
      </c>
    </row>
    <row r="3427">
      <c r="A3427" s="87" t="str">
        <f>IFERROR(__xludf.DUMMYFUNCTION("""COMPUTED_VALUE"""),"ITBISA-RELAY-5V-4PIN-BLUE")</f>
        <v>ITBISA-RELAY-5V-4PIN-BLUE</v>
      </c>
      <c r="B3427" s="165">
        <f>IFERROR(__xludf.DUMMYFUNCTION("""COMPUTED_VALUE"""),46045.0)</f>
        <v>46045</v>
      </c>
      <c r="C3427" s="165" t="str">
        <f>IFERROR(__xludf.DUMMYFUNCTION("""COMPUTED_VALUE"""),"KERTASARI CIAMIS")</f>
        <v>KERTASARI CIAMIS</v>
      </c>
      <c r="D3427" s="94">
        <f>IFERROR(__xludf.DUMMYFUNCTION("""COMPUTED_VALUE"""),15.0)</f>
        <v>15</v>
      </c>
    </row>
    <row r="3428">
      <c r="A3428" s="87" t="str">
        <f>IFERROR(__xludf.DUMMYFUNCTION("""COMPUTED_VALUE"""),"ITBISA-RELAY-5V-4PIN-BLUE")</f>
        <v>ITBISA-RELAY-5V-4PIN-BLUE</v>
      </c>
      <c r="B3428" s="165">
        <f>IFERROR(__xludf.DUMMYFUNCTION("""COMPUTED_VALUE"""),46048.0)</f>
        <v>46048</v>
      </c>
      <c r="C3428" s="165" t="str">
        <f>IFERROR(__xludf.DUMMYFUNCTION("""COMPUTED_VALUE"""),"KERTASARI CIAMIS")</f>
        <v>KERTASARI CIAMIS</v>
      </c>
      <c r="D3428" s="94">
        <f>IFERROR(__xludf.DUMMYFUNCTION("""COMPUTED_VALUE"""),12.0)</f>
        <v>12</v>
      </c>
    </row>
    <row r="3429">
      <c r="A3429" s="87" t="str">
        <f>IFERROR(__xludf.DUMMYFUNCTION("""COMPUTED_VALUE"""),"ITBISA-RELAY-5V-4PIN-BLUE")</f>
        <v>ITBISA-RELAY-5V-4PIN-BLUE</v>
      </c>
      <c r="B3429" s="165">
        <f>IFERROR(__xludf.DUMMYFUNCTION("""COMPUTED_VALUE"""),46050.0)</f>
        <v>46050</v>
      </c>
      <c r="C3429" s="165" t="str">
        <f>IFERROR(__xludf.DUMMYFUNCTION("""COMPUTED_VALUE"""),"KYAI KONTONG")</f>
        <v>KYAI KONTONG</v>
      </c>
      <c r="D3429" s="94">
        <f>IFERROR(__xludf.DUMMYFUNCTION("""COMPUTED_VALUE"""),5.0)</f>
        <v>5</v>
      </c>
    </row>
    <row r="3430">
      <c r="A3430" s="87" t="str">
        <f>IFERROR(__xludf.DUMMYFUNCTION("""COMPUTED_VALUE"""),"ITBISA-RELAY-5V-4PIN-BLUE")</f>
        <v>ITBISA-RELAY-5V-4PIN-BLUE</v>
      </c>
      <c r="B3430" s="165">
        <f>IFERROR(__xludf.DUMMYFUNCTION("""COMPUTED_VALUE"""),46054.0)</f>
        <v>46054</v>
      </c>
      <c r="C3430" s="165" t="str">
        <f>IFERROR(__xludf.DUMMYFUNCTION("""COMPUTED_VALUE"""),"KERTASARI CIAMIS")</f>
        <v>KERTASARI CIAMIS</v>
      </c>
      <c r="D3430" s="94">
        <f>IFERROR(__xludf.DUMMYFUNCTION("""COMPUTED_VALUE"""),10.0)</f>
        <v>10</v>
      </c>
    </row>
    <row r="3431">
      <c r="A3431" s="87" t="str">
        <f>IFERROR(__xludf.DUMMYFUNCTION("""COMPUTED_VALUE"""),"ITBISA-RELAY-5V-4PIN-BLUE")</f>
        <v>ITBISA-RELAY-5V-4PIN-BLUE</v>
      </c>
      <c r="B3431" s="165">
        <f>IFERROR(__xludf.DUMMYFUNCTION("""COMPUTED_VALUE"""),46062.0)</f>
        <v>46062</v>
      </c>
      <c r="C3431" s="165" t="str">
        <f>IFERROR(__xludf.DUMMYFUNCTION("""COMPUTED_VALUE"""),"KERTASARI CIAMIS")</f>
        <v>KERTASARI CIAMIS</v>
      </c>
      <c r="D3431" s="94">
        <f>IFERROR(__xludf.DUMMYFUNCTION("""COMPUTED_VALUE"""),15.0)</f>
        <v>15</v>
      </c>
    </row>
    <row r="3432">
      <c r="A3432" s="87" t="str">
        <f>IFERROR(__xludf.DUMMYFUNCTION("""COMPUTED_VALUE"""),"ITBISA-RELAY-5V-4PIN-BLUE")</f>
        <v>ITBISA-RELAY-5V-4PIN-BLUE</v>
      </c>
      <c r="B3432" s="165">
        <f>IFERROR(__xludf.DUMMYFUNCTION("""COMPUTED_VALUE"""),46065.0)</f>
        <v>46065</v>
      </c>
      <c r="C3432" s="165" t="str">
        <f>IFERROR(__xludf.DUMMYFUNCTION("""COMPUTED_VALUE"""),"KERTASARI CIAMIS")</f>
        <v>KERTASARI CIAMIS</v>
      </c>
      <c r="D3432" s="94">
        <f>IFERROR(__xludf.DUMMYFUNCTION("""COMPUTED_VALUE"""),7.0)</f>
        <v>7</v>
      </c>
    </row>
    <row r="3433">
      <c r="A3433" s="87" t="str">
        <f>IFERROR(__xludf.DUMMYFUNCTION("""COMPUTED_VALUE"""),"ITBISA-RELAY-5V-4PIN-BLUE")</f>
        <v>ITBISA-RELAY-5V-4PIN-BLUE</v>
      </c>
      <c r="B3433" s="165">
        <f>IFERROR(__xludf.DUMMYFUNCTION("""COMPUTED_VALUE"""),46081.0)</f>
        <v>46081</v>
      </c>
      <c r="C3433" s="165" t="str">
        <f>IFERROR(__xludf.DUMMYFUNCTION("""COMPUTED_VALUE"""),"KERTASARI CIAMIS")</f>
        <v>KERTASARI CIAMIS</v>
      </c>
      <c r="D3433" s="94">
        <f>IFERROR(__xludf.DUMMYFUNCTION("""COMPUTED_VALUE"""),7.0)</f>
        <v>7</v>
      </c>
    </row>
    <row r="3434">
      <c r="A3434" s="87" t="str">
        <f>IFERROR(__xludf.DUMMYFUNCTION("""COMPUTED_VALUE"""),"ITBISA-RELAY-5V-4PIN-BLUE")</f>
        <v>ITBISA-RELAY-5V-4PIN-BLUE</v>
      </c>
      <c r="B3434" s="165">
        <f>IFERROR(__xludf.DUMMYFUNCTION("""COMPUTED_VALUE"""),46083.0)</f>
        <v>46083</v>
      </c>
      <c r="C3434" s="165" t="str">
        <f>IFERROR(__xludf.DUMMYFUNCTION("""COMPUTED_VALUE"""),"KYAI KONTONG")</f>
        <v>KYAI KONTONG</v>
      </c>
      <c r="D3434" s="94">
        <f>IFERROR(__xludf.DUMMYFUNCTION("""COMPUTED_VALUE"""),5.0)</f>
        <v>5</v>
      </c>
    </row>
    <row r="3435">
      <c r="A3435" s="87" t="str">
        <f>IFERROR(__xludf.DUMMYFUNCTION("""COMPUTED_VALUE"""),"ITBISA-RELAY-5V-4PIN-BLUE")</f>
        <v>ITBISA-RELAY-5V-4PIN-BLUE</v>
      </c>
      <c r="B3435" s="165">
        <f>IFERROR(__xludf.DUMMYFUNCTION("""COMPUTED_VALUE"""),46086.0)</f>
        <v>46086</v>
      </c>
      <c r="C3435" s="165" t="str">
        <f>IFERROR(__xludf.DUMMYFUNCTION("""COMPUTED_VALUE"""),"KERTASARI CIAMIS")</f>
        <v>KERTASARI CIAMIS</v>
      </c>
      <c r="D3435" s="94">
        <f>IFERROR(__xludf.DUMMYFUNCTION("""COMPUTED_VALUE"""),30.0)</f>
        <v>30</v>
      </c>
    </row>
    <row r="3436">
      <c r="A3436" s="87" t="str">
        <f>IFERROR(__xludf.DUMMYFUNCTION("""COMPUTED_VALUE"""),"ITBISA-RELAY-5V-4PIN-BLUE")</f>
        <v>ITBISA-RELAY-5V-4PIN-BLUE</v>
      </c>
      <c r="B3436" s="165">
        <f>IFERROR(__xludf.DUMMYFUNCTION("""COMPUTED_VALUE"""),46086.0)</f>
        <v>46086</v>
      </c>
      <c r="C3436" s="165" t="str">
        <f>IFERROR(__xludf.DUMMYFUNCTION("""COMPUTED_VALUE"""),"KYAI KONTONG")</f>
        <v>KYAI KONTONG</v>
      </c>
      <c r="D3436" s="94">
        <f>IFERROR(__xludf.DUMMYFUNCTION("""COMPUTED_VALUE"""),5.0)</f>
        <v>5</v>
      </c>
    </row>
    <row r="3437">
      <c r="A3437" s="87" t="str">
        <f>IFERROR(__xludf.DUMMYFUNCTION("""COMPUTED_VALUE"""),"ITBISA-RELAY-5V-4PIN-BLUE")</f>
        <v>ITBISA-RELAY-5V-4PIN-BLUE</v>
      </c>
      <c r="B3437" s="165">
        <f>IFERROR(__xludf.DUMMYFUNCTION("""COMPUTED_VALUE"""),46092.0)</f>
        <v>46092</v>
      </c>
      <c r="C3437" s="165" t="str">
        <f>IFERROR(__xludf.DUMMYFUNCTION("""COMPUTED_VALUE"""),"KYAI KONTONG")</f>
        <v>KYAI KONTONG</v>
      </c>
      <c r="D3437" s="94">
        <f>IFERROR(__xludf.DUMMYFUNCTION("""COMPUTED_VALUE"""),5.0)</f>
        <v>5</v>
      </c>
    </row>
    <row r="3438">
      <c r="A3438" s="87" t="str">
        <f>IFERROR(__xludf.DUMMYFUNCTION("""COMPUTED_VALUE"""),"ITBISA-RELAY-5V-4PIN-BLUE")</f>
        <v>ITBISA-RELAY-5V-4PIN-BLUE</v>
      </c>
      <c r="B3438" s="165">
        <f>IFERROR(__xludf.DUMMYFUNCTION("""COMPUTED_VALUE"""),46093.0)</f>
        <v>46093</v>
      </c>
      <c r="C3438" s="165" t="str">
        <f>IFERROR(__xludf.DUMMYFUNCTION("""COMPUTED_VALUE"""),"KYAI KONTONG")</f>
        <v>KYAI KONTONG</v>
      </c>
      <c r="D3438" s="94">
        <f>IFERROR(__xludf.DUMMYFUNCTION("""COMPUTED_VALUE"""),20.0)</f>
        <v>20</v>
      </c>
    </row>
    <row r="3439">
      <c r="A3439" s="87" t="str">
        <f>IFERROR(__xludf.DUMMYFUNCTION("""COMPUTED_VALUE"""),"ITBISA-RELAY-5V-4PIN-BLUE")</f>
        <v>ITBISA-RELAY-5V-4PIN-BLUE</v>
      </c>
      <c r="B3439" s="165">
        <f>IFERROR(__xludf.DUMMYFUNCTION("""COMPUTED_VALUE"""),46100.0)</f>
        <v>46100</v>
      </c>
      <c r="C3439" s="165" t="str">
        <f>IFERROR(__xludf.DUMMYFUNCTION("""COMPUTED_VALUE"""),"KYAI KONTONG")</f>
        <v>KYAI KONTONG</v>
      </c>
      <c r="D3439" s="94">
        <f>IFERROR(__xludf.DUMMYFUNCTION("""COMPUTED_VALUE"""),5.0)</f>
        <v>5</v>
      </c>
    </row>
    <row r="3440">
      <c r="A3440" s="87" t="str">
        <f>IFERROR(__xludf.DUMMYFUNCTION("""COMPUTED_VALUE"""),"ITBISA-RELAY-5V-4PIN-BLUE")</f>
        <v>ITBISA-RELAY-5V-4PIN-BLUE</v>
      </c>
      <c r="B3440" s="165">
        <f>IFERROR(__xludf.DUMMYFUNCTION("""COMPUTED_VALUE"""),46116.0)</f>
        <v>46116</v>
      </c>
      <c r="C3440" s="165" t="str">
        <f>IFERROR(__xludf.DUMMYFUNCTION("""COMPUTED_VALUE"""),"KYAI KONTONG")</f>
        <v>KYAI KONTONG</v>
      </c>
      <c r="D3440" s="94">
        <f>IFERROR(__xludf.DUMMYFUNCTION("""COMPUTED_VALUE"""),5.0)</f>
        <v>5</v>
      </c>
    </row>
    <row r="3441">
      <c r="A3441" s="87" t="str">
        <f>IFERROR(__xludf.DUMMYFUNCTION("""COMPUTED_VALUE"""),"ITBISA-RELAY-5V-4PIN-BLUE")</f>
        <v>ITBISA-RELAY-5V-4PIN-BLUE</v>
      </c>
      <c r="B3441" s="165">
        <f>IFERROR(__xludf.DUMMYFUNCTION("""COMPUTED_VALUE"""),46127.0)</f>
        <v>46127</v>
      </c>
      <c r="C3441" s="165" t="str">
        <f>IFERROR(__xludf.DUMMYFUNCTION("""COMPUTED_VALUE"""),"KYAI KONTONG")</f>
        <v>KYAI KONTONG</v>
      </c>
      <c r="D3441" s="94">
        <f>IFERROR(__xludf.DUMMYFUNCTION("""COMPUTED_VALUE"""),5.0)</f>
        <v>5</v>
      </c>
    </row>
    <row r="3442">
      <c r="A3442" s="87" t="str">
        <f>IFERROR(__xludf.DUMMYFUNCTION("""COMPUTED_VALUE"""),"ITBISA-RELAY-5V-4PIN-BLUE")</f>
        <v>ITBISA-RELAY-5V-4PIN-BLUE</v>
      </c>
      <c r="B3442" s="165">
        <f>IFERROR(__xludf.DUMMYFUNCTION("""COMPUTED_VALUE"""),46128.0)</f>
        <v>46128</v>
      </c>
      <c r="C3442" s="165" t="str">
        <f>IFERROR(__xludf.DUMMYFUNCTION("""COMPUTED_VALUE"""),"KYAI KONTONG")</f>
        <v>KYAI KONTONG</v>
      </c>
      <c r="D3442" s="94">
        <f>IFERROR(__xludf.DUMMYFUNCTION("""COMPUTED_VALUE"""),5.0)</f>
        <v>5</v>
      </c>
    </row>
    <row r="3443">
      <c r="A3443" s="87" t="str">
        <f>IFERROR(__xludf.DUMMYFUNCTION("""COMPUTED_VALUE"""),"ITBISA-RELAY-5V-4PIN-BLUE")</f>
        <v>ITBISA-RELAY-5V-4PIN-BLUE</v>
      </c>
      <c r="B3443" s="165">
        <f>IFERROR(__xludf.DUMMYFUNCTION("""COMPUTED_VALUE"""),46131.0)</f>
        <v>46131</v>
      </c>
      <c r="C3443" s="165" t="str">
        <f>IFERROR(__xludf.DUMMYFUNCTION("""COMPUTED_VALUE"""),"KYAI KONTONG")</f>
        <v>KYAI KONTONG</v>
      </c>
      <c r="D3443" s="94">
        <f>IFERROR(__xludf.DUMMYFUNCTION("""COMPUTED_VALUE"""),5.0)</f>
        <v>5</v>
      </c>
    </row>
    <row r="3444">
      <c r="A3444" s="87" t="str">
        <f>IFERROR(__xludf.DUMMYFUNCTION("""COMPUTED_VALUE"""),"ITBISA-RELAY-5V-4PIN-BLUE")</f>
        <v>ITBISA-RELAY-5V-4PIN-BLUE</v>
      </c>
      <c r="B3444" s="165">
        <f>IFERROR(__xludf.DUMMYFUNCTION("""COMPUTED_VALUE"""),46134.0)</f>
        <v>46134</v>
      </c>
      <c r="C3444" s="165" t="str">
        <f>IFERROR(__xludf.DUMMYFUNCTION("""COMPUTED_VALUE"""),"KYAI KONTONG")</f>
        <v>KYAI KONTONG</v>
      </c>
      <c r="D3444" s="94">
        <f>IFERROR(__xludf.DUMMYFUNCTION("""COMPUTED_VALUE"""),15.0)</f>
        <v>15</v>
      </c>
    </row>
    <row r="3445">
      <c r="A3445" s="87" t="str">
        <f>IFERROR(__xludf.DUMMYFUNCTION("""COMPUTED_VALUE"""),"ITBISA-RELAY-5V-4PIN-BLUE")</f>
        <v>ITBISA-RELAY-5V-4PIN-BLUE</v>
      </c>
      <c r="B3445" s="165">
        <f>IFERROR(__xludf.DUMMYFUNCTION("""COMPUTED_VALUE"""),46134.0)</f>
        <v>46134</v>
      </c>
      <c r="C3445" s="165" t="str">
        <f>IFERROR(__xludf.DUMMYFUNCTION("""COMPUTED_VALUE"""),"KYAI KONTONG")</f>
        <v>KYAI KONTONG</v>
      </c>
      <c r="D3445" s="94">
        <f>IFERROR(__xludf.DUMMYFUNCTION("""COMPUTED_VALUE"""),50.0)</f>
        <v>50</v>
      </c>
    </row>
    <row r="3446">
      <c r="A3446" s="87" t="str">
        <f>IFERROR(__xludf.DUMMYFUNCTION("""COMPUTED_VALUE"""),"ITBISA-RELAY-5V-4PIN-BLUE")</f>
        <v>ITBISA-RELAY-5V-4PIN-BLUE</v>
      </c>
      <c r="B3446" s="165">
        <f>IFERROR(__xludf.DUMMYFUNCTION("""COMPUTED_VALUE"""),46137.0)</f>
        <v>46137</v>
      </c>
      <c r="C3446" s="165" t="str">
        <f>IFERROR(__xludf.DUMMYFUNCTION("""COMPUTED_VALUE"""),"KYAI KONTONG")</f>
        <v>KYAI KONTONG</v>
      </c>
      <c r="D3446" s="94">
        <f>IFERROR(__xludf.DUMMYFUNCTION("""COMPUTED_VALUE"""),5.0)</f>
        <v>5</v>
      </c>
    </row>
    <row r="3447">
      <c r="A3447" s="87" t="str">
        <f>IFERROR(__xludf.DUMMYFUNCTION("""COMPUTED_VALUE"""),"ITBISA-RELAY-5V-4PIN-BLUE")</f>
        <v>ITBISA-RELAY-5V-4PIN-BLUE</v>
      </c>
      <c r="B3447" s="165">
        <f>IFERROR(__xludf.DUMMYFUNCTION("""COMPUTED_VALUE"""),46140.0)</f>
        <v>46140</v>
      </c>
      <c r="C3447" s="165" t="str">
        <f>IFERROR(__xludf.DUMMYFUNCTION("""COMPUTED_VALUE"""),"KYAI KONTONG")</f>
        <v>KYAI KONTONG</v>
      </c>
      <c r="D3447" s="94">
        <f>IFERROR(__xludf.DUMMYFUNCTION("""COMPUTED_VALUE"""),20.0)</f>
        <v>20</v>
      </c>
    </row>
    <row r="3448">
      <c r="A3448" s="87" t="str">
        <f>IFERROR(__xludf.DUMMYFUNCTION("""COMPUTED_VALUE"""),"ITBISA-RELAY-5V-4PIN-BLUE")</f>
        <v>ITBISA-RELAY-5V-4PIN-BLUE</v>
      </c>
      <c r="B3448" s="165">
        <f>IFERROR(__xludf.DUMMYFUNCTION("""COMPUTED_VALUE"""),46145.0)</f>
        <v>46145</v>
      </c>
      <c r="C3448" s="165" t="str">
        <f>IFERROR(__xludf.DUMMYFUNCTION("""COMPUTED_VALUE"""),"KYAI KONTONG")</f>
        <v>KYAI KONTONG</v>
      </c>
      <c r="D3448" s="94">
        <f>IFERROR(__xludf.DUMMYFUNCTION("""COMPUTED_VALUE"""),16.0)</f>
        <v>16</v>
      </c>
    </row>
    <row r="3449">
      <c r="A3449" s="87" t="str">
        <f>IFERROR(__xludf.DUMMYFUNCTION("""COMPUTED_VALUE"""),"ITBISA-RELAY-5V-4PIN-BLUE")</f>
        <v>ITBISA-RELAY-5V-4PIN-BLUE</v>
      </c>
      <c r="B3449" s="165">
        <f>IFERROR(__xludf.DUMMYFUNCTION("""COMPUTED_VALUE"""),46145.0)</f>
        <v>46145</v>
      </c>
      <c r="C3449" s="165" t="str">
        <f>IFERROR(__xludf.DUMMYFUNCTION("""COMPUTED_VALUE"""),"KYAI KONTONG")</f>
        <v>KYAI KONTONG</v>
      </c>
      <c r="D3449" s="94">
        <f>IFERROR(__xludf.DUMMYFUNCTION("""COMPUTED_VALUE"""),40.0)</f>
        <v>40</v>
      </c>
    </row>
    <row r="3450">
      <c r="A3450" s="87" t="str">
        <f>IFERROR(__xludf.DUMMYFUNCTION("""COMPUTED_VALUE"""),"ITBISA-RELAY-5V-4PIN-BLUE")</f>
        <v>ITBISA-RELAY-5V-4PIN-BLUE</v>
      </c>
      <c r="B3450" s="165">
        <f>IFERROR(__xludf.DUMMYFUNCTION("""COMPUTED_VALUE"""),46146.0)</f>
        <v>46146</v>
      </c>
      <c r="C3450" s="165" t="str">
        <f>IFERROR(__xludf.DUMMYFUNCTION("""COMPUTED_VALUE"""),"KYAI KONTONG")</f>
        <v>KYAI KONTONG</v>
      </c>
      <c r="D3450" s="94">
        <f>IFERROR(__xludf.DUMMYFUNCTION("""COMPUTED_VALUE"""),15.0)</f>
        <v>15</v>
      </c>
    </row>
    <row r="3451">
      <c r="A3451" s="87" t="str">
        <f>IFERROR(__xludf.DUMMYFUNCTION("""COMPUTED_VALUE"""),"ITBISA-RELAY-5V-4PIN-BLUE")</f>
        <v>ITBISA-RELAY-5V-4PIN-BLUE</v>
      </c>
      <c r="B3451" s="165">
        <f>IFERROR(__xludf.DUMMYFUNCTION("""COMPUTED_VALUE"""),46146.0)</f>
        <v>46146</v>
      </c>
      <c r="C3451" s="165" t="str">
        <f>IFERROR(__xludf.DUMMYFUNCTION("""COMPUTED_VALUE"""),"KYAI KONTONG")</f>
        <v>KYAI KONTONG</v>
      </c>
      <c r="D3451" s="94">
        <f>IFERROR(__xludf.DUMMYFUNCTION("""COMPUTED_VALUE"""),100.0)</f>
        <v>100</v>
      </c>
    </row>
    <row r="3452">
      <c r="A3452" s="87" t="str">
        <f>IFERROR(__xludf.DUMMYFUNCTION("""COMPUTED_VALUE"""),"ITBISA-RELAY-5V-4PIN-BLUE")</f>
        <v>ITBISA-RELAY-5V-4PIN-BLUE</v>
      </c>
      <c r="B3452" s="165">
        <f>IFERROR(__xludf.DUMMYFUNCTION("""COMPUTED_VALUE"""),46148.0)</f>
        <v>46148</v>
      </c>
      <c r="C3452" s="165" t="str">
        <f>IFERROR(__xludf.DUMMYFUNCTION("""COMPUTED_VALUE"""),"KYAI KONTONG")</f>
        <v>KYAI KONTONG</v>
      </c>
      <c r="D3452" s="94">
        <f>IFERROR(__xludf.DUMMYFUNCTION("""COMPUTED_VALUE"""),10.0)</f>
        <v>10</v>
      </c>
    </row>
    <row r="3453">
      <c r="A3453" s="87" t="str">
        <f>IFERROR(__xludf.DUMMYFUNCTION("""COMPUTED_VALUE"""),"ITBISA-RELAY-5V-4PIN-BLUE")</f>
        <v>ITBISA-RELAY-5V-4PIN-BLUE</v>
      </c>
      <c r="B3453" s="165">
        <f>IFERROR(__xludf.DUMMYFUNCTION("""COMPUTED_VALUE"""),46150.0)</f>
        <v>46150</v>
      </c>
      <c r="C3453" s="165" t="str">
        <f>IFERROR(__xludf.DUMMYFUNCTION("""COMPUTED_VALUE"""),"KYAI KONTONG")</f>
        <v>KYAI KONTONG</v>
      </c>
      <c r="D3453" s="94">
        <f>IFERROR(__xludf.DUMMYFUNCTION("""COMPUTED_VALUE"""),10.0)</f>
        <v>10</v>
      </c>
    </row>
    <row r="3454">
      <c r="A3454" s="87" t="str">
        <f>IFERROR(__xludf.DUMMYFUNCTION("""COMPUTED_VALUE"""),"ITBISA-RELAY-5V-4PIN-BLUE")</f>
        <v>ITBISA-RELAY-5V-4PIN-BLUE</v>
      </c>
      <c r="B3454" s="165">
        <f>IFERROR(__xludf.DUMMYFUNCTION("""COMPUTED_VALUE"""),46151.0)</f>
        <v>46151</v>
      </c>
      <c r="C3454" s="165" t="str">
        <f>IFERROR(__xludf.DUMMYFUNCTION("""COMPUTED_VALUE"""),"KYAI KONTONG")</f>
        <v>KYAI KONTONG</v>
      </c>
      <c r="D3454" s="94">
        <f>IFERROR(__xludf.DUMMYFUNCTION("""COMPUTED_VALUE"""),15.0)</f>
        <v>15</v>
      </c>
    </row>
    <row r="3455">
      <c r="A3455" s="87" t="str">
        <f>IFERROR(__xludf.DUMMYFUNCTION("""COMPUTED_VALUE"""),"ITBISA-RELAY-5V-4PIN-BLUE")</f>
        <v>ITBISA-RELAY-5V-4PIN-BLUE</v>
      </c>
      <c r="B3455" s="165">
        <f>IFERROR(__xludf.DUMMYFUNCTION("""COMPUTED_VALUE"""),46151.0)</f>
        <v>46151</v>
      </c>
      <c r="C3455" s="165" t="str">
        <f>IFERROR(__xludf.DUMMYFUNCTION("""COMPUTED_VALUE"""),"KYAI KONTONG")</f>
        <v>KYAI KONTONG</v>
      </c>
      <c r="D3455" s="94">
        <f>IFERROR(__xludf.DUMMYFUNCTION("""COMPUTED_VALUE"""),30.0)</f>
        <v>30</v>
      </c>
    </row>
    <row r="3456">
      <c r="A3456" s="87" t="str">
        <f>IFERROR(__xludf.DUMMYFUNCTION("""COMPUTED_VALUE"""),"ITBISA-RELAY-5V-4PIN-BLUE")</f>
        <v>ITBISA-RELAY-5V-4PIN-BLUE</v>
      </c>
      <c r="B3456" s="165">
        <f>IFERROR(__xludf.DUMMYFUNCTION("""COMPUTED_VALUE"""),46154.0)</f>
        <v>46154</v>
      </c>
      <c r="C3456" s="165" t="str">
        <f>IFERROR(__xludf.DUMMYFUNCTION("""COMPUTED_VALUE"""),"KYAI KONTONG")</f>
        <v>KYAI KONTONG</v>
      </c>
      <c r="D3456" s="94">
        <f>IFERROR(__xludf.DUMMYFUNCTION("""COMPUTED_VALUE"""),18.0)</f>
        <v>18</v>
      </c>
    </row>
    <row r="3457">
      <c r="A3457" s="87" t="str">
        <f>IFERROR(__xludf.DUMMYFUNCTION("""COMPUTED_VALUE"""),"ITBISA-RELAY-5V-4PIN-BLUE")</f>
        <v>ITBISA-RELAY-5V-4PIN-BLUE</v>
      </c>
      <c r="B3457" s="165">
        <f>IFERROR(__xludf.DUMMYFUNCTION("""COMPUTED_VALUE"""),46155.0)</f>
        <v>46155</v>
      </c>
      <c r="C3457" s="165" t="str">
        <f>IFERROR(__xludf.DUMMYFUNCTION("""COMPUTED_VALUE"""),"KYAI KONTONG")</f>
        <v>KYAI KONTONG</v>
      </c>
      <c r="D3457" s="94">
        <f>IFERROR(__xludf.DUMMYFUNCTION("""COMPUTED_VALUE"""),10.0)</f>
        <v>10</v>
      </c>
    </row>
    <row r="3458">
      <c r="A3458" s="87" t="str">
        <f>IFERROR(__xludf.DUMMYFUNCTION("""COMPUTED_VALUE"""),"ITBISA-RELAY-5V-4PIN-BLUE")</f>
        <v>ITBISA-RELAY-5V-4PIN-BLUE</v>
      </c>
      <c r="B3458" s="165">
        <f>IFERROR(__xludf.DUMMYFUNCTION("""COMPUTED_VALUE"""),46155.0)</f>
        <v>46155</v>
      </c>
      <c r="C3458" s="165" t="str">
        <f>IFERROR(__xludf.DUMMYFUNCTION("""COMPUTED_VALUE"""),"KYAI KONTONG")</f>
        <v>KYAI KONTONG</v>
      </c>
      <c r="D3458" s="94">
        <f>IFERROR(__xludf.DUMMYFUNCTION("""COMPUTED_VALUE"""),11.0)</f>
        <v>11</v>
      </c>
    </row>
    <row r="3459">
      <c r="A3459" s="87" t="str">
        <f>IFERROR(__xludf.DUMMYFUNCTION("""COMPUTED_VALUE"""),"ITBISA-RELAY-5V-4PIN-BLUE")</f>
        <v>ITBISA-RELAY-5V-4PIN-BLUE</v>
      </c>
      <c r="B3459" s="165">
        <f>IFERROR(__xludf.DUMMYFUNCTION("""COMPUTED_VALUE"""),46155.0)</f>
        <v>46155</v>
      </c>
      <c r="C3459" s="165" t="str">
        <f>IFERROR(__xludf.DUMMYFUNCTION("""COMPUTED_VALUE"""),"KYAI KONTONG")</f>
        <v>KYAI KONTONG</v>
      </c>
      <c r="D3459" s="94">
        <f>IFERROR(__xludf.DUMMYFUNCTION("""COMPUTED_VALUE"""),100.0)</f>
        <v>100</v>
      </c>
    </row>
    <row r="3460">
      <c r="A3460" s="87" t="str">
        <f>IFERROR(__xludf.DUMMYFUNCTION("""COMPUTED_VALUE"""),"ITBISA-RELAY-5V-4PIN-BLUE")</f>
        <v>ITBISA-RELAY-5V-4PIN-BLUE</v>
      </c>
      <c r="B3460" s="165">
        <f>IFERROR(__xludf.DUMMYFUNCTION("""COMPUTED_VALUE"""),46156.0)</f>
        <v>46156</v>
      </c>
      <c r="C3460" s="165" t="str">
        <f>IFERROR(__xludf.DUMMYFUNCTION("""COMPUTED_VALUE"""),"KYAI KONTONG")</f>
        <v>KYAI KONTONG</v>
      </c>
      <c r="D3460" s="94">
        <f>IFERROR(__xludf.DUMMYFUNCTION("""COMPUTED_VALUE"""),20.0)</f>
        <v>20</v>
      </c>
    </row>
    <row r="3461">
      <c r="A3461" s="87" t="str">
        <f>IFERROR(__xludf.DUMMYFUNCTION("""COMPUTED_VALUE"""),"ITBISA-RELAY-5V-4PIN-BLUE")</f>
        <v>ITBISA-RELAY-5V-4PIN-BLUE</v>
      </c>
      <c r="B3461" s="165">
        <f>IFERROR(__xludf.DUMMYFUNCTION("""COMPUTED_VALUE"""),46156.0)</f>
        <v>46156</v>
      </c>
      <c r="C3461" s="165" t="str">
        <f>IFERROR(__xludf.DUMMYFUNCTION("""COMPUTED_VALUE"""),"KYAI KONTONG")</f>
        <v>KYAI KONTONG</v>
      </c>
      <c r="D3461" s="94">
        <f>IFERROR(__xludf.DUMMYFUNCTION("""COMPUTED_VALUE"""),20.0)</f>
        <v>20</v>
      </c>
    </row>
    <row r="3462">
      <c r="A3462" s="87" t="str">
        <f>IFERROR(__xludf.DUMMYFUNCTION("""COMPUTED_VALUE"""),"ITBISA-RELAY-5V-4PIN-BLUE")</f>
        <v>ITBISA-RELAY-5V-4PIN-BLUE</v>
      </c>
      <c r="B3462" s="165">
        <f>IFERROR(__xludf.DUMMYFUNCTION("""COMPUTED_VALUE"""),46159.0)</f>
        <v>46159</v>
      </c>
      <c r="C3462" s="165" t="str">
        <f>IFERROR(__xludf.DUMMYFUNCTION("""COMPUTED_VALUE"""),"KYAI KONTONG")</f>
        <v>KYAI KONTONG</v>
      </c>
      <c r="D3462" s="94">
        <f>IFERROR(__xludf.DUMMYFUNCTION("""COMPUTED_VALUE"""),5.0)</f>
        <v>5</v>
      </c>
    </row>
    <row r="3463">
      <c r="A3463" s="87" t="str">
        <f>IFERROR(__xludf.DUMMYFUNCTION("""COMPUTED_VALUE"""),"ITBISA-RELAY-5V-4PIN-BLUE")</f>
        <v>ITBISA-RELAY-5V-4PIN-BLUE</v>
      </c>
      <c r="B3463" s="165">
        <f>IFERROR(__xludf.DUMMYFUNCTION("""COMPUTED_VALUE"""),46159.0)</f>
        <v>46159</v>
      </c>
      <c r="C3463" s="165" t="str">
        <f>IFERROR(__xludf.DUMMYFUNCTION("""COMPUTED_VALUE"""),"KYAI KONTONG")</f>
        <v>KYAI KONTONG</v>
      </c>
      <c r="D3463" s="94">
        <f>IFERROR(__xludf.DUMMYFUNCTION("""COMPUTED_VALUE"""),6.0)</f>
        <v>6</v>
      </c>
    </row>
    <row r="3464">
      <c r="A3464" s="87" t="str">
        <f>IFERROR(__xludf.DUMMYFUNCTION("""COMPUTED_VALUE"""),"ITBISA-RELAY-5V-4PIN-BLUE")</f>
        <v>ITBISA-RELAY-5V-4PIN-BLUE</v>
      </c>
      <c r="B3464" s="165">
        <f>IFERROR(__xludf.DUMMYFUNCTION("""COMPUTED_VALUE"""),46160.0)</f>
        <v>46160</v>
      </c>
      <c r="C3464" s="165" t="str">
        <f>IFERROR(__xludf.DUMMYFUNCTION("""COMPUTED_VALUE"""),"KYAI KONTONG")</f>
        <v>KYAI KONTONG</v>
      </c>
      <c r="D3464" s="94">
        <f>IFERROR(__xludf.DUMMYFUNCTION("""COMPUTED_VALUE"""),40.0)</f>
        <v>40</v>
      </c>
    </row>
    <row r="3465">
      <c r="A3465" s="87" t="str">
        <f>IFERROR(__xludf.DUMMYFUNCTION("""COMPUTED_VALUE"""),"ITBISA-RELAY-5V-4PIN-BLUE")</f>
        <v>ITBISA-RELAY-5V-4PIN-BLUE</v>
      </c>
      <c r="B3465" s="165">
        <f>IFERROR(__xludf.DUMMYFUNCTION("""COMPUTED_VALUE"""),46161.0)</f>
        <v>46161</v>
      </c>
      <c r="C3465" s="165" t="str">
        <f>IFERROR(__xludf.DUMMYFUNCTION("""COMPUTED_VALUE"""),"KYAI KONTONG")</f>
        <v>KYAI KONTONG</v>
      </c>
      <c r="D3465" s="94">
        <f>IFERROR(__xludf.DUMMYFUNCTION("""COMPUTED_VALUE"""),5.0)</f>
        <v>5</v>
      </c>
    </row>
    <row r="3466">
      <c r="A3466" s="87" t="str">
        <f>IFERROR(__xludf.DUMMYFUNCTION("""COMPUTED_VALUE"""),"ITBISA-RELAY-5V-4PIN-BLUE")</f>
        <v>ITBISA-RELAY-5V-4PIN-BLUE</v>
      </c>
      <c r="B3466" s="165">
        <f>IFERROR(__xludf.DUMMYFUNCTION("""COMPUTED_VALUE"""),46161.0)</f>
        <v>46161</v>
      </c>
      <c r="C3466" s="165" t="str">
        <f>IFERROR(__xludf.DUMMYFUNCTION("""COMPUTED_VALUE"""),"KYAI KONTONG")</f>
        <v>KYAI KONTONG</v>
      </c>
      <c r="D3466" s="94">
        <f>IFERROR(__xludf.DUMMYFUNCTION("""COMPUTED_VALUE"""),12.0)</f>
        <v>12</v>
      </c>
    </row>
    <row r="3467">
      <c r="A3467" s="87" t="str">
        <f>IFERROR(__xludf.DUMMYFUNCTION("""COMPUTED_VALUE"""),"ITBISA-RELAY-5V-4PIN-BLUE")</f>
        <v>ITBISA-RELAY-5V-4PIN-BLUE</v>
      </c>
      <c r="B3467" s="165">
        <f>IFERROR(__xludf.DUMMYFUNCTION("""COMPUTED_VALUE"""),46162.0)</f>
        <v>46162</v>
      </c>
      <c r="C3467" s="165" t="str">
        <f>IFERROR(__xludf.DUMMYFUNCTION("""COMPUTED_VALUE"""),"KYAI KONTONG")</f>
        <v>KYAI KONTONG</v>
      </c>
      <c r="D3467" s="94">
        <f>IFERROR(__xludf.DUMMYFUNCTION("""COMPUTED_VALUE"""),15.0)</f>
        <v>15</v>
      </c>
    </row>
    <row r="3468">
      <c r="A3468" s="87" t="str">
        <f>IFERROR(__xludf.DUMMYFUNCTION("""COMPUTED_VALUE"""),"ITBISA-RELAY-5V-4PIN-BLUE")</f>
        <v>ITBISA-RELAY-5V-4PIN-BLUE</v>
      </c>
      <c r="B3468" s="165">
        <f>IFERROR(__xludf.DUMMYFUNCTION("""COMPUTED_VALUE"""),46163.0)</f>
        <v>46163</v>
      </c>
      <c r="C3468" s="165" t="str">
        <f>IFERROR(__xludf.DUMMYFUNCTION("""COMPUTED_VALUE"""),"KYAI KONTONG")</f>
        <v>KYAI KONTONG</v>
      </c>
      <c r="D3468" s="94">
        <f>IFERROR(__xludf.DUMMYFUNCTION("""COMPUTED_VALUE"""),5.0)</f>
        <v>5</v>
      </c>
    </row>
    <row r="3469">
      <c r="A3469" s="87" t="str">
        <f>IFERROR(__xludf.DUMMYFUNCTION("""COMPUTED_VALUE"""),"ITBISA-RELAY-5V-4PIN-BLUE")</f>
        <v>ITBISA-RELAY-5V-4PIN-BLUE</v>
      </c>
      <c r="B3469" s="165">
        <f>IFERROR(__xludf.DUMMYFUNCTION("""COMPUTED_VALUE"""),46163.0)</f>
        <v>46163</v>
      </c>
      <c r="C3469" s="165" t="str">
        <f>IFERROR(__xludf.DUMMYFUNCTION("""COMPUTED_VALUE"""),"KYAI KONTONG")</f>
        <v>KYAI KONTONG</v>
      </c>
      <c r="D3469" s="94">
        <f>IFERROR(__xludf.DUMMYFUNCTION("""COMPUTED_VALUE"""),5.0)</f>
        <v>5</v>
      </c>
    </row>
    <row r="3470">
      <c r="A3470" s="87" t="str">
        <f>IFERROR(__xludf.DUMMYFUNCTION("""COMPUTED_VALUE"""),"ITBISA-RELAY-5V-4PIN-BLUE")</f>
        <v>ITBISA-RELAY-5V-4PIN-BLUE</v>
      </c>
      <c r="B3470" s="165">
        <f>IFERROR(__xludf.DUMMYFUNCTION("""COMPUTED_VALUE"""),46163.0)</f>
        <v>46163</v>
      </c>
      <c r="C3470" s="165" t="str">
        <f>IFERROR(__xludf.DUMMYFUNCTION("""COMPUTED_VALUE"""),"KYAI KONTONG")</f>
        <v>KYAI KONTONG</v>
      </c>
      <c r="D3470" s="94">
        <f>IFERROR(__xludf.DUMMYFUNCTION("""COMPUTED_VALUE"""),5.0)</f>
        <v>5</v>
      </c>
    </row>
    <row r="3471">
      <c r="A3471" s="87" t="str">
        <f>IFERROR(__xludf.DUMMYFUNCTION("""COMPUTED_VALUE"""),"ITBISA-RELAY-5V-4PIN-BLUE")</f>
        <v>ITBISA-RELAY-5V-4PIN-BLUE</v>
      </c>
      <c r="B3471" s="165">
        <f>IFERROR(__xludf.DUMMYFUNCTION("""COMPUTED_VALUE"""),46164.0)</f>
        <v>46164</v>
      </c>
      <c r="C3471" s="165" t="str">
        <f>IFERROR(__xludf.DUMMYFUNCTION("""COMPUTED_VALUE"""),"KYAI KONTONG")</f>
        <v>KYAI KONTONG</v>
      </c>
      <c r="D3471" s="94">
        <f>IFERROR(__xludf.DUMMYFUNCTION("""COMPUTED_VALUE"""),5.0)</f>
        <v>5</v>
      </c>
    </row>
    <row r="3472">
      <c r="A3472" s="87" t="str">
        <f>IFERROR(__xludf.DUMMYFUNCTION("""COMPUTED_VALUE"""),"ITBISA-RELAY-5V-4PIN-BLUE")</f>
        <v>ITBISA-RELAY-5V-4PIN-BLUE</v>
      </c>
      <c r="B3472" s="165">
        <f>IFERROR(__xludf.DUMMYFUNCTION("""COMPUTED_VALUE"""),46165.0)</f>
        <v>46165</v>
      </c>
      <c r="C3472" s="165" t="str">
        <f>IFERROR(__xludf.DUMMYFUNCTION("""COMPUTED_VALUE"""),"KYAI KONTONG")</f>
        <v>KYAI KONTONG</v>
      </c>
      <c r="D3472" s="94">
        <f>IFERROR(__xludf.DUMMYFUNCTION("""COMPUTED_VALUE"""),8.0)</f>
        <v>8</v>
      </c>
    </row>
    <row r="3473">
      <c r="A3473" s="87" t="str">
        <f>IFERROR(__xludf.DUMMYFUNCTION("""COMPUTED_VALUE"""),"ITBISA-RELAY-5V-4PIN-BLUE")</f>
        <v>ITBISA-RELAY-5V-4PIN-BLUE</v>
      </c>
      <c r="B3473" s="165">
        <f>IFERROR(__xludf.DUMMYFUNCTION("""COMPUTED_VALUE"""),46165.0)</f>
        <v>46165</v>
      </c>
      <c r="C3473" s="165" t="str">
        <f>IFERROR(__xludf.DUMMYFUNCTION("""COMPUTED_VALUE"""),"KYAI KONTONG")</f>
        <v>KYAI KONTONG</v>
      </c>
      <c r="D3473" s="94">
        <f>IFERROR(__xludf.DUMMYFUNCTION("""COMPUTED_VALUE"""),10.0)</f>
        <v>10</v>
      </c>
    </row>
    <row r="3474">
      <c r="A3474" s="87" t="str">
        <f>IFERROR(__xludf.DUMMYFUNCTION("""COMPUTED_VALUE"""),"ITBISA-RELAY-5V-4PIN-BLUE")</f>
        <v>ITBISA-RELAY-5V-4PIN-BLUE</v>
      </c>
      <c r="B3474" s="165">
        <f>IFERROR(__xludf.DUMMYFUNCTION("""COMPUTED_VALUE"""),46166.0)</f>
        <v>46166</v>
      </c>
      <c r="C3474" s="165" t="str">
        <f>IFERROR(__xludf.DUMMYFUNCTION("""COMPUTED_VALUE"""),"KYAI KONTONG")</f>
        <v>KYAI KONTONG</v>
      </c>
      <c r="D3474" s="94">
        <f>IFERROR(__xludf.DUMMYFUNCTION("""COMPUTED_VALUE"""),5.0)</f>
        <v>5</v>
      </c>
    </row>
    <row r="3475">
      <c r="A3475" s="87" t="str">
        <f>IFERROR(__xludf.DUMMYFUNCTION("""COMPUTED_VALUE"""),"ITBISA-RELAY-5V-4PIN-BLUE")</f>
        <v>ITBISA-RELAY-5V-4PIN-BLUE</v>
      </c>
      <c r="B3475" s="165">
        <f>IFERROR(__xludf.DUMMYFUNCTION("""COMPUTED_VALUE"""),46168.0)</f>
        <v>46168</v>
      </c>
      <c r="C3475" s="165" t="str">
        <f>IFERROR(__xludf.DUMMYFUNCTION("""COMPUTED_VALUE"""),"KYAI KONTONG")</f>
        <v>KYAI KONTONG</v>
      </c>
      <c r="D3475" s="94">
        <f>IFERROR(__xludf.DUMMYFUNCTION("""COMPUTED_VALUE"""),5.0)</f>
        <v>5</v>
      </c>
    </row>
    <row r="3476">
      <c r="A3476" s="87" t="str">
        <f>IFERROR(__xludf.DUMMYFUNCTION("""COMPUTED_VALUE"""),"ITBISA-RELAY-5V-4PIN-BLUE")</f>
        <v>ITBISA-RELAY-5V-4PIN-BLUE</v>
      </c>
      <c r="B3476" s="165">
        <f>IFERROR(__xludf.DUMMYFUNCTION("""COMPUTED_VALUE"""),46168.0)</f>
        <v>46168</v>
      </c>
      <c r="C3476" s="165" t="str">
        <f>IFERROR(__xludf.DUMMYFUNCTION("""COMPUTED_VALUE"""),"KYAI KONTONG")</f>
        <v>KYAI KONTONG</v>
      </c>
      <c r="D3476" s="94">
        <f>IFERROR(__xludf.DUMMYFUNCTION("""COMPUTED_VALUE"""),100.0)</f>
        <v>100</v>
      </c>
    </row>
    <row r="3477">
      <c r="A3477" s="87" t="str">
        <f>IFERROR(__xludf.DUMMYFUNCTION("""COMPUTED_VALUE"""),"ITBISA-RELAY-5V-4PIN-BLUE")</f>
        <v>ITBISA-RELAY-5V-4PIN-BLUE</v>
      </c>
      <c r="B3477" s="165">
        <f>IFERROR(__xludf.DUMMYFUNCTION("""COMPUTED_VALUE"""),46169.0)</f>
        <v>46169</v>
      </c>
      <c r="C3477" s="165" t="str">
        <f>IFERROR(__xludf.DUMMYFUNCTION("""COMPUTED_VALUE"""),"KYAI KONTONG")</f>
        <v>KYAI KONTONG</v>
      </c>
      <c r="D3477" s="94">
        <f>IFERROR(__xludf.DUMMYFUNCTION("""COMPUTED_VALUE"""),5.0)</f>
        <v>5</v>
      </c>
    </row>
    <row r="3478">
      <c r="A3478" s="87" t="str">
        <f>IFERROR(__xludf.DUMMYFUNCTION("""COMPUTED_VALUE"""),"ITBISA-RELAY-5V-4PIN-BLUE")</f>
        <v>ITBISA-RELAY-5V-4PIN-BLUE</v>
      </c>
      <c r="B3478" s="165">
        <f>IFERROR(__xludf.DUMMYFUNCTION("""COMPUTED_VALUE"""),46169.0)</f>
        <v>46169</v>
      </c>
      <c r="C3478" s="165" t="str">
        <f>IFERROR(__xludf.DUMMYFUNCTION("""COMPUTED_VALUE"""),"KYAI KONTONG")</f>
        <v>KYAI KONTONG</v>
      </c>
      <c r="D3478" s="94">
        <f>IFERROR(__xludf.DUMMYFUNCTION("""COMPUTED_VALUE"""),5.0)</f>
        <v>5</v>
      </c>
    </row>
    <row r="3479">
      <c r="A3479" s="87" t="str">
        <f>IFERROR(__xludf.DUMMYFUNCTION("""COMPUTED_VALUE"""),"ITBISA-RELAY-5V-4PIN-BLUE")</f>
        <v>ITBISA-RELAY-5V-4PIN-BLUE</v>
      </c>
      <c r="B3479" s="165">
        <f>IFERROR(__xludf.DUMMYFUNCTION("""COMPUTED_VALUE"""),46169.0)</f>
        <v>46169</v>
      </c>
      <c r="C3479" s="165" t="str">
        <f>IFERROR(__xludf.DUMMYFUNCTION("""COMPUTED_VALUE"""),"KYAI KONTONG")</f>
        <v>KYAI KONTONG</v>
      </c>
      <c r="D3479" s="94">
        <f>IFERROR(__xludf.DUMMYFUNCTION("""COMPUTED_VALUE"""),15.0)</f>
        <v>15</v>
      </c>
    </row>
    <row r="3480">
      <c r="A3480" s="87" t="str">
        <f>IFERROR(__xludf.DUMMYFUNCTION("""COMPUTED_VALUE"""),"ITBISA-RELAY-5V-4PIN-BLUE")</f>
        <v>ITBISA-RELAY-5V-4PIN-BLUE</v>
      </c>
      <c r="B3480" s="165">
        <f>IFERROR(__xludf.DUMMYFUNCTION("""COMPUTED_VALUE"""),46170.0)</f>
        <v>46170</v>
      </c>
      <c r="C3480" s="165" t="str">
        <f>IFERROR(__xludf.DUMMYFUNCTION("""COMPUTED_VALUE"""),"KYAI KONTONG")</f>
        <v>KYAI KONTONG</v>
      </c>
      <c r="D3480" s="94">
        <f>IFERROR(__xludf.DUMMYFUNCTION("""COMPUTED_VALUE"""),40.0)</f>
        <v>40</v>
      </c>
    </row>
    <row r="3481">
      <c r="A3481" s="87" t="str">
        <f>IFERROR(__xludf.DUMMYFUNCTION("""COMPUTED_VALUE"""),"ITBISA-RELAY-5V-4PIN-BLUE")</f>
        <v>ITBISA-RELAY-5V-4PIN-BLUE</v>
      </c>
      <c r="B3481" s="165">
        <f>IFERROR(__xludf.DUMMYFUNCTION("""COMPUTED_VALUE"""),46171.0)</f>
        <v>46171</v>
      </c>
      <c r="C3481" s="165" t="str">
        <f>IFERROR(__xludf.DUMMYFUNCTION("""COMPUTED_VALUE"""),"KYAI KONTONG")</f>
        <v>KYAI KONTONG</v>
      </c>
      <c r="D3481" s="94">
        <f>IFERROR(__xludf.DUMMYFUNCTION("""COMPUTED_VALUE"""),5.0)</f>
        <v>5</v>
      </c>
    </row>
    <row r="3482">
      <c r="A3482" s="87" t="str">
        <f>IFERROR(__xludf.DUMMYFUNCTION("""COMPUTED_VALUE"""),"ITBISA-RELAY-5V-4PIN-BLUE")</f>
        <v>ITBISA-RELAY-5V-4PIN-BLUE</v>
      </c>
      <c r="B3482" s="165">
        <f>IFERROR(__xludf.DUMMYFUNCTION("""COMPUTED_VALUE"""),46171.0)</f>
        <v>46171</v>
      </c>
      <c r="C3482" s="165" t="str">
        <f>IFERROR(__xludf.DUMMYFUNCTION("""COMPUTED_VALUE"""),"KYAI KONTONG")</f>
        <v>KYAI KONTONG</v>
      </c>
      <c r="D3482" s="94">
        <f>IFERROR(__xludf.DUMMYFUNCTION("""COMPUTED_VALUE"""),6.0)</f>
        <v>6</v>
      </c>
    </row>
    <row r="3483">
      <c r="A3483" s="87" t="str">
        <f>IFERROR(__xludf.DUMMYFUNCTION("""COMPUTED_VALUE"""),"ITBISA-RELAY-5V-4PIN-BLUE")</f>
        <v>ITBISA-RELAY-5V-4PIN-BLUE</v>
      </c>
      <c r="B3483" s="165">
        <f>IFERROR(__xludf.DUMMYFUNCTION("""COMPUTED_VALUE"""),46171.0)</f>
        <v>46171</v>
      </c>
      <c r="C3483" s="165" t="str">
        <f>IFERROR(__xludf.DUMMYFUNCTION("""COMPUTED_VALUE"""),"KYAI KONTONG")</f>
        <v>KYAI KONTONG</v>
      </c>
      <c r="D3483" s="94">
        <f>IFERROR(__xludf.DUMMYFUNCTION("""COMPUTED_VALUE"""),10.0)</f>
        <v>10</v>
      </c>
    </row>
    <row r="3484">
      <c r="A3484" s="87" t="str">
        <f>IFERROR(__xludf.DUMMYFUNCTION("""COMPUTED_VALUE"""),"ITBISA-RELAY-5V-4PIN-BLUE")</f>
        <v>ITBISA-RELAY-5V-4PIN-BLUE</v>
      </c>
      <c r="B3484" s="165">
        <f>IFERROR(__xludf.DUMMYFUNCTION("""COMPUTED_VALUE"""),46171.0)</f>
        <v>46171</v>
      </c>
      <c r="C3484" s="165" t="str">
        <f>IFERROR(__xludf.DUMMYFUNCTION("""COMPUTED_VALUE"""),"KYAI KONTONG")</f>
        <v>KYAI KONTONG</v>
      </c>
      <c r="D3484" s="94">
        <f>IFERROR(__xludf.DUMMYFUNCTION("""COMPUTED_VALUE"""),10.0)</f>
        <v>10</v>
      </c>
    </row>
    <row r="3485">
      <c r="A3485" s="87" t="str">
        <f>IFERROR(__xludf.DUMMYFUNCTION("""COMPUTED_VALUE"""),"ITBISA-RELAY-5V-4PIN-BLUE")</f>
        <v>ITBISA-RELAY-5V-4PIN-BLUE</v>
      </c>
      <c r="B3485" s="165">
        <f>IFERROR(__xludf.DUMMYFUNCTION("""COMPUTED_VALUE"""),46171.0)</f>
        <v>46171</v>
      </c>
      <c r="C3485" s="165" t="str">
        <f>IFERROR(__xludf.DUMMYFUNCTION("""COMPUTED_VALUE"""),"KYAI KONTONG")</f>
        <v>KYAI KONTONG</v>
      </c>
      <c r="D3485" s="94">
        <f>IFERROR(__xludf.DUMMYFUNCTION("""COMPUTED_VALUE"""),50.0)</f>
        <v>50</v>
      </c>
    </row>
    <row r="3486">
      <c r="A3486" s="87" t="str">
        <f>IFERROR(__xludf.DUMMYFUNCTION("""COMPUTED_VALUE"""),"ITBISA-RELAY-5V-4PIN-BLUE")</f>
        <v>ITBISA-RELAY-5V-4PIN-BLUE</v>
      </c>
      <c r="B3486" s="165">
        <f>IFERROR(__xludf.DUMMYFUNCTION("""COMPUTED_VALUE"""),46173.0)</f>
        <v>46173</v>
      </c>
      <c r="C3486" s="165" t="str">
        <f>IFERROR(__xludf.DUMMYFUNCTION("""COMPUTED_VALUE"""),"KYAI KONTONG")</f>
        <v>KYAI KONTONG</v>
      </c>
      <c r="D3486" s="94">
        <f>IFERROR(__xludf.DUMMYFUNCTION("""COMPUTED_VALUE"""),5.0)</f>
        <v>5</v>
      </c>
    </row>
    <row r="3487">
      <c r="A3487" s="87" t="str">
        <f>IFERROR(__xludf.DUMMYFUNCTION("""COMPUTED_VALUE"""),"ITBISA-RELAY-5V-4PIN-BLUE")</f>
        <v>ITBISA-RELAY-5V-4PIN-BLUE</v>
      </c>
      <c r="B3487" s="165">
        <f>IFERROR(__xludf.DUMMYFUNCTION("""COMPUTED_VALUE"""),46173.0)</f>
        <v>46173</v>
      </c>
      <c r="C3487" s="165" t="str">
        <f>IFERROR(__xludf.DUMMYFUNCTION("""COMPUTED_VALUE"""),"KYAI KONTONG")</f>
        <v>KYAI KONTONG</v>
      </c>
      <c r="D3487" s="94">
        <f>IFERROR(__xludf.DUMMYFUNCTION("""COMPUTED_VALUE"""),15.0)</f>
        <v>15</v>
      </c>
    </row>
    <row r="3488">
      <c r="A3488" s="87" t="str">
        <f>IFERROR(__xludf.DUMMYFUNCTION("""COMPUTED_VALUE"""),"ITBISA-RELAY-5V-4PIN-BLUE")</f>
        <v>ITBISA-RELAY-5V-4PIN-BLUE</v>
      </c>
      <c r="B3488" s="165">
        <f>IFERROR(__xludf.DUMMYFUNCTION("""COMPUTED_VALUE"""),46174.0)</f>
        <v>46174</v>
      </c>
      <c r="C3488" s="165" t="str">
        <f>IFERROR(__xludf.DUMMYFUNCTION("""COMPUTED_VALUE"""),"KYAI KONTONG")</f>
        <v>KYAI KONTONG</v>
      </c>
      <c r="D3488" s="94">
        <f>IFERROR(__xludf.DUMMYFUNCTION("""COMPUTED_VALUE"""),5.0)</f>
        <v>5</v>
      </c>
    </row>
    <row r="3489">
      <c r="A3489" s="87" t="str">
        <f>IFERROR(__xludf.DUMMYFUNCTION("""COMPUTED_VALUE"""),"ITBISA-RELAY-5V-4PIN-BLUE")</f>
        <v>ITBISA-RELAY-5V-4PIN-BLUE</v>
      </c>
      <c r="B3489" s="165">
        <f>IFERROR(__xludf.DUMMYFUNCTION("""COMPUTED_VALUE"""),46174.0)</f>
        <v>46174</v>
      </c>
      <c r="C3489" s="165" t="str">
        <f>IFERROR(__xludf.DUMMYFUNCTION("""COMPUTED_VALUE"""),"KYAI KONTONG")</f>
        <v>KYAI KONTONG</v>
      </c>
      <c r="D3489" s="94">
        <f>IFERROR(__xludf.DUMMYFUNCTION("""COMPUTED_VALUE"""),6.0)</f>
        <v>6</v>
      </c>
    </row>
    <row r="3490">
      <c r="A3490" s="87" t="str">
        <f>IFERROR(__xludf.DUMMYFUNCTION("""COMPUTED_VALUE"""),"ITBISA-RELAY-5V-4PIN-BLUE")</f>
        <v>ITBISA-RELAY-5V-4PIN-BLUE</v>
      </c>
      <c r="B3490" s="165">
        <f>IFERROR(__xludf.DUMMYFUNCTION("""COMPUTED_VALUE"""),46175.0)</f>
        <v>46175</v>
      </c>
      <c r="C3490" s="165" t="str">
        <f>IFERROR(__xludf.DUMMYFUNCTION("""COMPUTED_VALUE"""),"KYAI KONTONG")</f>
        <v>KYAI KONTONG</v>
      </c>
      <c r="D3490" s="94">
        <f>IFERROR(__xludf.DUMMYFUNCTION("""COMPUTED_VALUE"""),5.0)</f>
        <v>5</v>
      </c>
    </row>
    <row r="3491">
      <c r="A3491" s="87" t="str">
        <f>IFERROR(__xludf.DUMMYFUNCTION("""COMPUTED_VALUE"""),"ITBISA-RELAY-5V-4PIN-BLUE")</f>
        <v>ITBISA-RELAY-5V-4PIN-BLUE</v>
      </c>
      <c r="B3491" s="165">
        <f>IFERROR(__xludf.DUMMYFUNCTION("""COMPUTED_VALUE"""),46175.0)</f>
        <v>46175</v>
      </c>
      <c r="C3491" s="165" t="str">
        <f>IFERROR(__xludf.DUMMYFUNCTION("""COMPUTED_VALUE"""),"KYAI KONTONG")</f>
        <v>KYAI KONTONG</v>
      </c>
      <c r="D3491" s="94">
        <f>IFERROR(__xludf.DUMMYFUNCTION("""COMPUTED_VALUE"""),20.0)</f>
        <v>20</v>
      </c>
    </row>
    <row r="3492">
      <c r="A3492" s="87" t="str">
        <f>IFERROR(__xludf.DUMMYFUNCTION("""COMPUTED_VALUE"""),"ITBISA-RELAY-5V-4PIN-BLUE")</f>
        <v>ITBISA-RELAY-5V-4PIN-BLUE</v>
      </c>
      <c r="B3492" s="165">
        <f>IFERROR(__xludf.DUMMYFUNCTION("""COMPUTED_VALUE"""),46176.0)</f>
        <v>46176</v>
      </c>
      <c r="C3492" s="165" t="str">
        <f>IFERROR(__xludf.DUMMYFUNCTION("""COMPUTED_VALUE"""),"KYAI KONTONG")</f>
        <v>KYAI KONTONG</v>
      </c>
      <c r="D3492" s="94">
        <f>IFERROR(__xludf.DUMMYFUNCTION("""COMPUTED_VALUE"""),5.0)</f>
        <v>5</v>
      </c>
    </row>
    <row r="3493">
      <c r="A3493" s="87" t="str">
        <f>IFERROR(__xludf.DUMMYFUNCTION("""COMPUTED_VALUE"""),"ITBISA-RELAY-5V-4PIN-BLUE")</f>
        <v>ITBISA-RELAY-5V-4PIN-BLUE</v>
      </c>
      <c r="B3493" s="165">
        <f>IFERROR(__xludf.DUMMYFUNCTION("""COMPUTED_VALUE"""),46177.0)</f>
        <v>46177</v>
      </c>
      <c r="C3493" s="165" t="str">
        <f>IFERROR(__xludf.DUMMYFUNCTION("""COMPUTED_VALUE"""),"KYAI KONTONG")</f>
        <v>KYAI KONTONG</v>
      </c>
      <c r="D3493" s="94">
        <f>IFERROR(__xludf.DUMMYFUNCTION("""COMPUTED_VALUE"""),15.0)</f>
        <v>15</v>
      </c>
    </row>
    <row r="3494">
      <c r="A3494" s="87" t="str">
        <f>IFERROR(__xludf.DUMMYFUNCTION("""COMPUTED_VALUE"""),"ITBISA-RELAY-5V-4PIN-BLUE")</f>
        <v>ITBISA-RELAY-5V-4PIN-BLUE</v>
      </c>
      <c r="B3494" s="165">
        <f>IFERROR(__xludf.DUMMYFUNCTION("""COMPUTED_VALUE"""),46177.0)</f>
        <v>46177</v>
      </c>
      <c r="C3494" s="165" t="str">
        <f>IFERROR(__xludf.DUMMYFUNCTION("""COMPUTED_VALUE"""),"KYAI KONTONG")</f>
        <v>KYAI KONTONG</v>
      </c>
      <c r="D3494" s="94">
        <f>IFERROR(__xludf.DUMMYFUNCTION("""COMPUTED_VALUE"""),20.0)</f>
        <v>20</v>
      </c>
    </row>
    <row r="3495">
      <c r="A3495" s="87" t="str">
        <f>IFERROR(__xludf.DUMMYFUNCTION("""COMPUTED_VALUE"""),"ITBISA-RELAY-5V-4PIN-BLUE")</f>
        <v>ITBISA-RELAY-5V-4PIN-BLUE</v>
      </c>
      <c r="B3495" s="165">
        <f>IFERROR(__xludf.DUMMYFUNCTION("""COMPUTED_VALUE"""),46178.0)</f>
        <v>46178</v>
      </c>
      <c r="C3495" s="165" t="str">
        <f>IFERROR(__xludf.DUMMYFUNCTION("""COMPUTED_VALUE"""),"KYAI KONTONG")</f>
        <v>KYAI KONTONG</v>
      </c>
      <c r="D3495" s="94">
        <f>IFERROR(__xludf.DUMMYFUNCTION("""COMPUTED_VALUE"""),20.0)</f>
        <v>20</v>
      </c>
    </row>
    <row r="3496">
      <c r="A3496" s="87" t="str">
        <f>IFERROR(__xludf.DUMMYFUNCTION("""COMPUTED_VALUE"""),"ITBISA-RELAY-5V-4PIN-BLUE")</f>
        <v>ITBISA-RELAY-5V-4PIN-BLUE</v>
      </c>
      <c r="B3496" s="165">
        <f>IFERROR(__xludf.DUMMYFUNCTION("""COMPUTED_VALUE"""),46179.0)</f>
        <v>46179</v>
      </c>
      <c r="C3496" s="165" t="str">
        <f>IFERROR(__xludf.DUMMYFUNCTION("""COMPUTED_VALUE"""),"KYAI KONTONG")</f>
        <v>KYAI KONTONG</v>
      </c>
      <c r="D3496" s="94">
        <f>IFERROR(__xludf.DUMMYFUNCTION("""COMPUTED_VALUE"""),5.0)</f>
        <v>5</v>
      </c>
    </row>
    <row r="3497">
      <c r="A3497" s="87" t="str">
        <f>IFERROR(__xludf.DUMMYFUNCTION("""COMPUTED_VALUE"""),"ITBISA-RELAY-5V-4PIN-BLUE")</f>
        <v>ITBISA-RELAY-5V-4PIN-BLUE</v>
      </c>
      <c r="B3497" s="165">
        <f>IFERROR(__xludf.DUMMYFUNCTION("""COMPUTED_VALUE"""),46179.0)</f>
        <v>46179</v>
      </c>
      <c r="C3497" s="165" t="str">
        <f>IFERROR(__xludf.DUMMYFUNCTION("""COMPUTED_VALUE"""),"KYAI KONTONG")</f>
        <v>KYAI KONTONG</v>
      </c>
      <c r="D3497" s="94">
        <f>IFERROR(__xludf.DUMMYFUNCTION("""COMPUTED_VALUE"""),10.0)</f>
        <v>10</v>
      </c>
    </row>
    <row r="3498">
      <c r="A3498" s="87" t="str">
        <f>IFERROR(__xludf.DUMMYFUNCTION("""COMPUTED_VALUE"""),"ITBISA-RELAY-5V-4PIN-BLUE")</f>
        <v>ITBISA-RELAY-5V-4PIN-BLUE</v>
      </c>
      <c r="B3498" s="165">
        <f>IFERROR(__xludf.DUMMYFUNCTION("""COMPUTED_VALUE"""),46180.0)</f>
        <v>46180</v>
      </c>
      <c r="C3498" s="165" t="str">
        <f>IFERROR(__xludf.DUMMYFUNCTION("""COMPUTED_VALUE"""),"KYAI KONTONG")</f>
        <v>KYAI KONTONG</v>
      </c>
      <c r="D3498" s="94">
        <f>IFERROR(__xludf.DUMMYFUNCTION("""COMPUTED_VALUE"""),5.0)</f>
        <v>5</v>
      </c>
    </row>
    <row r="3499">
      <c r="A3499" s="87" t="str">
        <f>IFERROR(__xludf.DUMMYFUNCTION("""COMPUTED_VALUE"""),"ITBISA-RELAY-5V-4PIN-BLUE")</f>
        <v>ITBISA-RELAY-5V-4PIN-BLUE</v>
      </c>
      <c r="B3499" s="165">
        <f>IFERROR(__xludf.DUMMYFUNCTION("""COMPUTED_VALUE"""),46180.0)</f>
        <v>46180</v>
      </c>
      <c r="C3499" s="165" t="str">
        <f>IFERROR(__xludf.DUMMYFUNCTION("""COMPUTED_VALUE"""),"KYAI KONTONG")</f>
        <v>KYAI KONTONG</v>
      </c>
      <c r="D3499" s="94">
        <f>IFERROR(__xludf.DUMMYFUNCTION("""COMPUTED_VALUE"""),7.0)</f>
        <v>7</v>
      </c>
    </row>
    <row r="3500">
      <c r="A3500" s="87" t="str">
        <f>IFERROR(__xludf.DUMMYFUNCTION("""COMPUTED_VALUE"""),"ITBISA-RELAY-5V-4PIN-BLUE")</f>
        <v>ITBISA-RELAY-5V-4PIN-BLUE</v>
      </c>
      <c r="B3500" s="165">
        <f>IFERROR(__xludf.DUMMYFUNCTION("""COMPUTED_VALUE"""),46180.0)</f>
        <v>46180</v>
      </c>
      <c r="C3500" s="165" t="str">
        <f>IFERROR(__xludf.DUMMYFUNCTION("""COMPUTED_VALUE"""),"KYAI KONTONG")</f>
        <v>KYAI KONTONG</v>
      </c>
      <c r="D3500" s="94">
        <f>IFERROR(__xludf.DUMMYFUNCTION("""COMPUTED_VALUE"""),20.0)</f>
        <v>20</v>
      </c>
    </row>
    <row r="3501">
      <c r="A3501" s="87" t="str">
        <f>IFERROR(__xludf.DUMMYFUNCTION("""COMPUTED_VALUE"""),"ITBISA-RELAY-5V-4PIN-BLUE")</f>
        <v>ITBISA-RELAY-5V-4PIN-BLUE</v>
      </c>
      <c r="B3501" s="165">
        <f>IFERROR(__xludf.DUMMYFUNCTION("""COMPUTED_VALUE"""),46181.0)</f>
        <v>46181</v>
      </c>
      <c r="C3501" s="165" t="str">
        <f>IFERROR(__xludf.DUMMYFUNCTION("""COMPUTED_VALUE"""),"KYAI KONTONG")</f>
        <v>KYAI KONTONG</v>
      </c>
      <c r="D3501" s="94">
        <f>IFERROR(__xludf.DUMMYFUNCTION("""COMPUTED_VALUE"""),5.0)</f>
        <v>5</v>
      </c>
    </row>
    <row r="3502">
      <c r="A3502" s="87" t="str">
        <f>IFERROR(__xludf.DUMMYFUNCTION("""COMPUTED_VALUE"""),"ITBISA-RELAY-5V-4PIN-BLUE")</f>
        <v>ITBISA-RELAY-5V-4PIN-BLUE</v>
      </c>
      <c r="B3502" s="165">
        <f>IFERROR(__xludf.DUMMYFUNCTION("""COMPUTED_VALUE"""),46182.0)</f>
        <v>46182</v>
      </c>
      <c r="C3502" s="165" t="str">
        <f>IFERROR(__xludf.DUMMYFUNCTION("""COMPUTED_VALUE"""),"KYAI KONTONG")</f>
        <v>KYAI KONTONG</v>
      </c>
      <c r="D3502" s="94">
        <f>IFERROR(__xludf.DUMMYFUNCTION("""COMPUTED_VALUE"""),5.0)</f>
        <v>5</v>
      </c>
    </row>
    <row r="3503">
      <c r="A3503" s="87" t="str">
        <f>IFERROR(__xludf.DUMMYFUNCTION("""COMPUTED_VALUE"""),"ITBISA-RELAY-5V-4PIN-BLUE")</f>
        <v>ITBISA-RELAY-5V-4PIN-BLUE</v>
      </c>
      <c r="B3503" s="165">
        <f>IFERROR(__xludf.DUMMYFUNCTION("""COMPUTED_VALUE"""),46182.0)</f>
        <v>46182</v>
      </c>
      <c r="C3503" s="165" t="str">
        <f>IFERROR(__xludf.DUMMYFUNCTION("""COMPUTED_VALUE"""),"KYAI KONTONG")</f>
        <v>KYAI KONTONG</v>
      </c>
      <c r="D3503" s="94">
        <f>IFERROR(__xludf.DUMMYFUNCTION("""COMPUTED_VALUE"""),5.0)</f>
        <v>5</v>
      </c>
    </row>
    <row r="3504">
      <c r="A3504" s="87" t="str">
        <f>IFERROR(__xludf.DUMMYFUNCTION("""COMPUTED_VALUE"""),"ITBISA-RELAY-5V-4PIN-BLUE")</f>
        <v>ITBISA-RELAY-5V-4PIN-BLUE</v>
      </c>
      <c r="B3504" s="165">
        <f>IFERROR(__xludf.DUMMYFUNCTION("""COMPUTED_VALUE"""),46182.0)</f>
        <v>46182</v>
      </c>
      <c r="C3504" s="165" t="str">
        <f>IFERROR(__xludf.DUMMYFUNCTION("""COMPUTED_VALUE"""),"KYAI KONTONG")</f>
        <v>KYAI KONTONG</v>
      </c>
      <c r="D3504" s="94">
        <f>IFERROR(__xludf.DUMMYFUNCTION("""COMPUTED_VALUE"""),5.0)</f>
        <v>5</v>
      </c>
    </row>
    <row r="3505">
      <c r="A3505" s="87" t="str">
        <f>IFERROR(__xludf.DUMMYFUNCTION("""COMPUTED_VALUE"""),"ITBISA-RELAY-5V-4PIN-BLUE")</f>
        <v>ITBISA-RELAY-5V-4PIN-BLUE</v>
      </c>
      <c r="B3505" s="165">
        <f>IFERROR(__xludf.DUMMYFUNCTION("""COMPUTED_VALUE"""),46182.0)</f>
        <v>46182</v>
      </c>
      <c r="C3505" s="165" t="str">
        <f>IFERROR(__xludf.DUMMYFUNCTION("""COMPUTED_VALUE"""),"KYAI KONTONG")</f>
        <v>KYAI KONTONG</v>
      </c>
      <c r="D3505" s="94">
        <f>IFERROR(__xludf.DUMMYFUNCTION("""COMPUTED_VALUE"""),5.0)</f>
        <v>5</v>
      </c>
    </row>
    <row r="3506">
      <c r="A3506" s="87" t="str">
        <f>IFERROR(__xludf.DUMMYFUNCTION("""COMPUTED_VALUE"""),"ITBISA-RELAY-5V-4PIN-BLUE")</f>
        <v>ITBISA-RELAY-5V-4PIN-BLUE</v>
      </c>
      <c r="B3506" s="165">
        <f>IFERROR(__xludf.DUMMYFUNCTION("""COMPUTED_VALUE"""),46183.0)</f>
        <v>46183</v>
      </c>
      <c r="C3506" s="165" t="str">
        <f>IFERROR(__xludf.DUMMYFUNCTION("""COMPUTED_VALUE"""),"KYAI KONTONG")</f>
        <v>KYAI KONTONG</v>
      </c>
      <c r="D3506" s="94">
        <f>IFERROR(__xludf.DUMMYFUNCTION("""COMPUTED_VALUE"""),5.0)</f>
        <v>5</v>
      </c>
    </row>
    <row r="3507">
      <c r="A3507" s="87" t="str">
        <f>IFERROR(__xludf.DUMMYFUNCTION("""COMPUTED_VALUE"""),"ITBISA-RELAY-5V-4PIN-BLUE")</f>
        <v>ITBISA-RELAY-5V-4PIN-BLUE</v>
      </c>
      <c r="B3507" s="165">
        <f>IFERROR(__xludf.DUMMYFUNCTION("""COMPUTED_VALUE"""),46183.0)</f>
        <v>46183</v>
      </c>
      <c r="C3507" s="165" t="str">
        <f>IFERROR(__xludf.DUMMYFUNCTION("""COMPUTED_VALUE"""),"KYAI KONTONG")</f>
        <v>KYAI KONTONG</v>
      </c>
      <c r="D3507" s="94">
        <f>IFERROR(__xludf.DUMMYFUNCTION("""COMPUTED_VALUE"""),6.0)</f>
        <v>6</v>
      </c>
    </row>
    <row r="3508">
      <c r="A3508" s="87" t="str">
        <f>IFERROR(__xludf.DUMMYFUNCTION("""COMPUTED_VALUE"""),"ITBISA-RELAY-5V-4PIN-BLUE")</f>
        <v>ITBISA-RELAY-5V-4PIN-BLUE</v>
      </c>
      <c r="B3508" s="165">
        <f>IFERROR(__xludf.DUMMYFUNCTION("""COMPUTED_VALUE"""),46184.0)</f>
        <v>46184</v>
      </c>
      <c r="C3508" s="165" t="str">
        <f>IFERROR(__xludf.DUMMYFUNCTION("""COMPUTED_VALUE"""),"KYAI KONTONG")</f>
        <v>KYAI KONTONG</v>
      </c>
      <c r="D3508" s="94">
        <f>IFERROR(__xludf.DUMMYFUNCTION("""COMPUTED_VALUE"""),5.0)</f>
        <v>5</v>
      </c>
    </row>
    <row r="3509">
      <c r="A3509" s="87" t="str">
        <f>IFERROR(__xludf.DUMMYFUNCTION("""COMPUTED_VALUE"""),"ITBISA-RELAY-5V-4PIN-BLUE")</f>
        <v>ITBISA-RELAY-5V-4PIN-BLUE</v>
      </c>
      <c r="B3509" s="165">
        <f>IFERROR(__xludf.DUMMYFUNCTION("""COMPUTED_VALUE"""),46186.0)</f>
        <v>46186</v>
      </c>
      <c r="C3509" s="165" t="str">
        <f>IFERROR(__xludf.DUMMYFUNCTION("""COMPUTED_VALUE"""),"KYAI KONTONG")</f>
        <v>KYAI KONTONG</v>
      </c>
      <c r="D3509" s="94">
        <f>IFERROR(__xludf.DUMMYFUNCTION("""COMPUTED_VALUE"""),5.0)</f>
        <v>5</v>
      </c>
    </row>
    <row r="3510">
      <c r="A3510" s="87" t="str">
        <f>IFERROR(__xludf.DUMMYFUNCTION("""COMPUTED_VALUE"""),"ITBISA-RELAY-5V-4PIN-BLUE")</f>
        <v>ITBISA-RELAY-5V-4PIN-BLUE</v>
      </c>
      <c r="B3510" s="165">
        <f>IFERROR(__xludf.DUMMYFUNCTION("""COMPUTED_VALUE"""),46186.0)</f>
        <v>46186</v>
      </c>
      <c r="C3510" s="165" t="str">
        <f>IFERROR(__xludf.DUMMYFUNCTION("""COMPUTED_VALUE"""),"KYAI KONTONG")</f>
        <v>KYAI KONTONG</v>
      </c>
      <c r="D3510" s="94">
        <f>IFERROR(__xludf.DUMMYFUNCTION("""COMPUTED_VALUE"""),20.0)</f>
        <v>20</v>
      </c>
    </row>
    <row r="3511">
      <c r="A3511" s="87" t="str">
        <f>IFERROR(__xludf.DUMMYFUNCTION("""COMPUTED_VALUE"""),"ITBISA-RELAY-5V-4PIN-BLUE")</f>
        <v>ITBISA-RELAY-5V-4PIN-BLUE</v>
      </c>
      <c r="B3511" s="165">
        <f>IFERROR(__xludf.DUMMYFUNCTION("""COMPUTED_VALUE"""),46187.0)</f>
        <v>46187</v>
      </c>
      <c r="C3511" s="165" t="str">
        <f>IFERROR(__xludf.DUMMYFUNCTION("""COMPUTED_VALUE"""),"KYAI KONTONG")</f>
        <v>KYAI KONTONG</v>
      </c>
      <c r="D3511" s="94">
        <f>IFERROR(__xludf.DUMMYFUNCTION("""COMPUTED_VALUE"""),5.0)</f>
        <v>5</v>
      </c>
    </row>
    <row r="3512">
      <c r="A3512" s="87" t="str">
        <f>IFERROR(__xludf.DUMMYFUNCTION("""COMPUTED_VALUE"""),"ITBISA-RELAY-5V-4PIN-BLUE")</f>
        <v>ITBISA-RELAY-5V-4PIN-BLUE</v>
      </c>
      <c r="B3512" s="165">
        <f>IFERROR(__xludf.DUMMYFUNCTION("""COMPUTED_VALUE"""),46187.0)</f>
        <v>46187</v>
      </c>
      <c r="C3512" s="165" t="str">
        <f>IFERROR(__xludf.DUMMYFUNCTION("""COMPUTED_VALUE"""),"KYAI KONTONG")</f>
        <v>KYAI KONTONG</v>
      </c>
      <c r="D3512" s="94">
        <f>IFERROR(__xludf.DUMMYFUNCTION("""COMPUTED_VALUE"""),5.0)</f>
        <v>5</v>
      </c>
    </row>
    <row r="3513">
      <c r="A3513" s="87" t="str">
        <f>IFERROR(__xludf.DUMMYFUNCTION("""COMPUTED_VALUE"""),"ITBISA-RELAY-5V-4PIN-BLUE")</f>
        <v>ITBISA-RELAY-5V-4PIN-BLUE</v>
      </c>
      <c r="B3513" s="165">
        <f>IFERROR(__xludf.DUMMYFUNCTION("""COMPUTED_VALUE"""),46187.0)</f>
        <v>46187</v>
      </c>
      <c r="C3513" s="165" t="str">
        <f>IFERROR(__xludf.DUMMYFUNCTION("""COMPUTED_VALUE"""),"KYAI KONTONG")</f>
        <v>KYAI KONTONG</v>
      </c>
      <c r="D3513" s="94">
        <f>IFERROR(__xludf.DUMMYFUNCTION("""COMPUTED_VALUE"""),30.0)</f>
        <v>30</v>
      </c>
    </row>
    <row r="3514">
      <c r="A3514" s="87" t="str">
        <f>IFERROR(__xludf.DUMMYFUNCTION("""COMPUTED_VALUE"""),"ITBISA-RELAY-5V-4PIN-BLUE")</f>
        <v>ITBISA-RELAY-5V-4PIN-BLUE</v>
      </c>
      <c r="B3514" s="165">
        <f>IFERROR(__xludf.DUMMYFUNCTION("""COMPUTED_VALUE"""),46188.0)</f>
        <v>46188</v>
      </c>
      <c r="C3514" s="165" t="str">
        <f>IFERROR(__xludf.DUMMYFUNCTION("""COMPUTED_VALUE"""),"KYAI KONTONG")</f>
        <v>KYAI KONTONG</v>
      </c>
      <c r="D3514" s="94">
        <f>IFERROR(__xludf.DUMMYFUNCTION("""COMPUTED_VALUE"""),200.0)</f>
        <v>200</v>
      </c>
    </row>
    <row r="3515">
      <c r="A3515" s="87" t="str">
        <f>IFERROR(__xludf.DUMMYFUNCTION("""COMPUTED_VALUE"""),"ITBISA-RELAY-5V-4PIN-BLUE")</f>
        <v>ITBISA-RELAY-5V-4PIN-BLUE</v>
      </c>
      <c r="B3515" s="165">
        <f>IFERROR(__xludf.DUMMYFUNCTION("""COMPUTED_VALUE"""),46189.0)</f>
        <v>46189</v>
      </c>
      <c r="C3515" s="165" t="str">
        <f>IFERROR(__xludf.DUMMYFUNCTION("""COMPUTED_VALUE"""),"KYAI KONTONG")</f>
        <v>KYAI KONTONG</v>
      </c>
      <c r="D3515" s="94">
        <f>IFERROR(__xludf.DUMMYFUNCTION("""COMPUTED_VALUE"""),5.0)</f>
        <v>5</v>
      </c>
    </row>
    <row r="3516">
      <c r="A3516" s="87" t="str">
        <f>IFERROR(__xludf.DUMMYFUNCTION("""COMPUTED_VALUE"""),"ITBISA-RELAY-5V-4PIN-BLUE")</f>
        <v>ITBISA-RELAY-5V-4PIN-BLUE</v>
      </c>
      <c r="B3516" s="165">
        <f>IFERROR(__xludf.DUMMYFUNCTION("""COMPUTED_VALUE"""),46191.0)</f>
        <v>46191</v>
      </c>
      <c r="C3516" s="165" t="str">
        <f>IFERROR(__xludf.DUMMYFUNCTION("""COMPUTED_VALUE"""),"KYAI KONTONG")</f>
        <v>KYAI KONTONG</v>
      </c>
      <c r="D3516" s="94">
        <f>IFERROR(__xludf.DUMMYFUNCTION("""COMPUTED_VALUE"""),5.0)</f>
        <v>5</v>
      </c>
    </row>
    <row r="3517">
      <c r="A3517" s="87" t="str">
        <f>IFERROR(__xludf.DUMMYFUNCTION("""COMPUTED_VALUE"""),"ITBISA-RELAY-5V-4PIN-BLUE")</f>
        <v>ITBISA-RELAY-5V-4PIN-BLUE</v>
      </c>
      <c r="B3517" s="165">
        <f>IFERROR(__xludf.DUMMYFUNCTION("""COMPUTED_VALUE"""),46191.0)</f>
        <v>46191</v>
      </c>
      <c r="C3517" s="165" t="str">
        <f>IFERROR(__xludf.DUMMYFUNCTION("""COMPUTED_VALUE"""),"KYAI KONTONG")</f>
        <v>KYAI KONTONG</v>
      </c>
      <c r="D3517" s="94">
        <f>IFERROR(__xludf.DUMMYFUNCTION("""COMPUTED_VALUE"""),5.0)</f>
        <v>5</v>
      </c>
    </row>
    <row r="3518">
      <c r="A3518" s="87" t="str">
        <f>IFERROR(__xludf.DUMMYFUNCTION("""COMPUTED_VALUE"""),"ITBISA-RELAY-5V-4PIN-BLUE")</f>
        <v>ITBISA-RELAY-5V-4PIN-BLUE</v>
      </c>
      <c r="B3518" s="165">
        <f>IFERROR(__xludf.DUMMYFUNCTION("""COMPUTED_VALUE"""),46191.0)</f>
        <v>46191</v>
      </c>
      <c r="C3518" s="165" t="str">
        <f>IFERROR(__xludf.DUMMYFUNCTION("""COMPUTED_VALUE"""),"KYAI KONTONG")</f>
        <v>KYAI KONTONG</v>
      </c>
      <c r="D3518" s="94">
        <f>IFERROR(__xludf.DUMMYFUNCTION("""COMPUTED_VALUE"""),5.0)</f>
        <v>5</v>
      </c>
    </row>
    <row r="3519">
      <c r="A3519" s="87" t="str">
        <f>IFERROR(__xludf.DUMMYFUNCTION("""COMPUTED_VALUE"""),"ITBISA-RELAY-5V-4PIN-BLUE")</f>
        <v>ITBISA-RELAY-5V-4PIN-BLUE</v>
      </c>
      <c r="B3519" s="165">
        <f>IFERROR(__xludf.DUMMYFUNCTION("""COMPUTED_VALUE"""),46191.0)</f>
        <v>46191</v>
      </c>
      <c r="C3519" s="165" t="str">
        <f>IFERROR(__xludf.DUMMYFUNCTION("""COMPUTED_VALUE"""),"KYAI KONTONG")</f>
        <v>KYAI KONTONG</v>
      </c>
      <c r="D3519" s="94">
        <f>IFERROR(__xludf.DUMMYFUNCTION("""COMPUTED_VALUE"""),8.0)</f>
        <v>8</v>
      </c>
    </row>
    <row r="3520">
      <c r="A3520" s="87" t="str">
        <f>IFERROR(__xludf.DUMMYFUNCTION("""COMPUTED_VALUE"""),"ITBISA-RELAY-5V-4PIN-BLUE")</f>
        <v>ITBISA-RELAY-5V-4PIN-BLUE</v>
      </c>
      <c r="B3520" s="165">
        <f>IFERROR(__xludf.DUMMYFUNCTION("""COMPUTED_VALUE"""),46192.0)</f>
        <v>46192</v>
      </c>
      <c r="C3520" s="165" t="str">
        <f>IFERROR(__xludf.DUMMYFUNCTION("""COMPUTED_VALUE"""),"KYAI KONTONG")</f>
        <v>KYAI KONTONG</v>
      </c>
      <c r="D3520" s="94">
        <f>IFERROR(__xludf.DUMMYFUNCTION("""COMPUTED_VALUE"""),1.0)</f>
        <v>1</v>
      </c>
    </row>
    <row r="3521">
      <c r="A3521" s="87" t="str">
        <f>IFERROR(__xludf.DUMMYFUNCTION("""COMPUTED_VALUE"""),"ITBISA-RELAY-5V-4PIN-BLUE")</f>
        <v>ITBISA-RELAY-5V-4PIN-BLUE</v>
      </c>
      <c r="B3521" s="165">
        <f>IFERROR(__xludf.DUMMYFUNCTION("""COMPUTED_VALUE"""),46194.0)</f>
        <v>46194</v>
      </c>
      <c r="C3521" s="165" t="str">
        <f>IFERROR(__xludf.DUMMYFUNCTION("""COMPUTED_VALUE"""),"KYAI KONTONG")</f>
        <v>KYAI KONTONG</v>
      </c>
      <c r="D3521" s="94">
        <f>IFERROR(__xludf.DUMMYFUNCTION("""COMPUTED_VALUE"""),20.0)</f>
        <v>20</v>
      </c>
    </row>
    <row r="3522">
      <c r="A3522" s="87" t="str">
        <f>IFERROR(__xludf.DUMMYFUNCTION("""COMPUTED_VALUE"""),"ITBISA-RELAY-5V-4PIN-BLUE")</f>
        <v>ITBISA-RELAY-5V-4PIN-BLUE</v>
      </c>
      <c r="B3522" s="165">
        <f>IFERROR(__xludf.DUMMYFUNCTION("""COMPUTED_VALUE"""),46195.0)</f>
        <v>46195</v>
      </c>
      <c r="C3522" s="165" t="str">
        <f>IFERROR(__xludf.DUMMYFUNCTION("""COMPUTED_VALUE"""),"KYAI KONTONG")</f>
        <v>KYAI KONTONG</v>
      </c>
      <c r="D3522" s="94">
        <f>IFERROR(__xludf.DUMMYFUNCTION("""COMPUTED_VALUE"""),10.0)</f>
        <v>10</v>
      </c>
    </row>
    <row r="3523">
      <c r="A3523" s="87" t="str">
        <f>IFERROR(__xludf.DUMMYFUNCTION("""COMPUTED_VALUE"""),"ITBISA-RELAY-5V-5PIN-BLUE")</f>
        <v>ITBISA-RELAY-5V-5PIN-BLUE</v>
      </c>
      <c r="B3523" s="165">
        <f>IFERROR(__xludf.DUMMYFUNCTION("""COMPUTED_VALUE"""),46023.0)</f>
        <v>46023</v>
      </c>
      <c r="C3523" s="165" t="str">
        <f>IFERROR(__xludf.DUMMYFUNCTION("""COMPUTED_VALUE"""),"KYAI KONTONG")</f>
        <v>KYAI KONTONG</v>
      </c>
      <c r="D3523" s="94">
        <f>IFERROR(__xludf.DUMMYFUNCTION("""COMPUTED_VALUE"""),1.0)</f>
        <v>1</v>
      </c>
    </row>
    <row r="3524">
      <c r="A3524" s="87" t="str">
        <f>IFERROR(__xludf.DUMMYFUNCTION("""COMPUTED_VALUE"""),"ITBISA-RELAY-5V-5PIN-BLUE")</f>
        <v>ITBISA-RELAY-5V-5PIN-BLUE</v>
      </c>
      <c r="B3524" s="165">
        <f>IFERROR(__xludf.DUMMYFUNCTION("""COMPUTED_VALUE"""),46024.0)</f>
        <v>46024</v>
      </c>
      <c r="C3524" s="165" t="str">
        <f>IFERROR(__xludf.DUMMYFUNCTION("""COMPUTED_VALUE"""),"KYAI KONTONG")</f>
        <v>KYAI KONTONG</v>
      </c>
      <c r="D3524" s="94">
        <f>IFERROR(__xludf.DUMMYFUNCTION("""COMPUTED_VALUE"""),6.0)</f>
        <v>6</v>
      </c>
    </row>
    <row r="3525">
      <c r="A3525" s="87" t="str">
        <f>IFERROR(__xludf.DUMMYFUNCTION("""COMPUTED_VALUE"""),"ITBISA-RELAY-5V-5PIN-BLUE")</f>
        <v>ITBISA-RELAY-5V-5PIN-BLUE</v>
      </c>
      <c r="B3525" s="165">
        <f>IFERROR(__xludf.DUMMYFUNCTION("""COMPUTED_VALUE"""),46026.0)</f>
        <v>46026</v>
      </c>
      <c r="C3525" s="165" t="str">
        <f>IFERROR(__xludf.DUMMYFUNCTION("""COMPUTED_VALUE"""),"KERTASARI CIAMIS")</f>
        <v>KERTASARI CIAMIS</v>
      </c>
      <c r="D3525" s="94">
        <f>IFERROR(__xludf.DUMMYFUNCTION("""COMPUTED_VALUE"""),50.0)</f>
        <v>50</v>
      </c>
    </row>
    <row r="3526">
      <c r="A3526" s="87" t="str">
        <f>IFERROR(__xludf.DUMMYFUNCTION("""COMPUTED_VALUE"""),"ITBISA-RELAY-5V-5PIN-BLUE")</f>
        <v>ITBISA-RELAY-5V-5PIN-BLUE</v>
      </c>
      <c r="B3526" s="165">
        <f>IFERROR(__xludf.DUMMYFUNCTION("""COMPUTED_VALUE"""),46030.0)</f>
        <v>46030</v>
      </c>
      <c r="C3526" s="165" t="str">
        <f>IFERROR(__xludf.DUMMYFUNCTION("""COMPUTED_VALUE"""),"KYAI KONTONG")</f>
        <v>KYAI KONTONG</v>
      </c>
      <c r="D3526" s="94">
        <f>IFERROR(__xludf.DUMMYFUNCTION("""COMPUTED_VALUE"""),40.0)</f>
        <v>40</v>
      </c>
    </row>
    <row r="3527">
      <c r="A3527" s="87" t="str">
        <f>IFERROR(__xludf.DUMMYFUNCTION("""COMPUTED_VALUE"""),"ITBISA-RELAY-5V-5PIN-BLUE")</f>
        <v>ITBISA-RELAY-5V-5PIN-BLUE</v>
      </c>
      <c r="B3527" s="165">
        <f>IFERROR(__xludf.DUMMYFUNCTION("""COMPUTED_VALUE"""),46031.0)</f>
        <v>46031</v>
      </c>
      <c r="C3527" s="165" t="str">
        <f>IFERROR(__xludf.DUMMYFUNCTION("""COMPUTED_VALUE"""),"KYAI KONTONG")</f>
        <v>KYAI KONTONG</v>
      </c>
      <c r="D3527" s="94">
        <f>IFERROR(__xludf.DUMMYFUNCTION("""COMPUTED_VALUE"""),5.0)</f>
        <v>5</v>
      </c>
    </row>
    <row r="3528">
      <c r="A3528" s="87" t="str">
        <f>IFERROR(__xludf.DUMMYFUNCTION("""COMPUTED_VALUE"""),"ITBISA-RELAY-5V-5PIN-BLUE")</f>
        <v>ITBISA-RELAY-5V-5PIN-BLUE</v>
      </c>
      <c r="B3528" s="165">
        <f>IFERROR(__xludf.DUMMYFUNCTION("""COMPUTED_VALUE"""),46032.0)</f>
        <v>46032</v>
      </c>
      <c r="C3528" s="165" t="str">
        <f>IFERROR(__xludf.DUMMYFUNCTION("""COMPUTED_VALUE"""),"KERTASARI CIAMIS")</f>
        <v>KERTASARI CIAMIS</v>
      </c>
      <c r="D3528" s="94">
        <f>IFERROR(__xludf.DUMMYFUNCTION("""COMPUTED_VALUE"""),10.0)</f>
        <v>10</v>
      </c>
    </row>
    <row r="3529">
      <c r="A3529" s="87" t="str">
        <f>IFERROR(__xludf.DUMMYFUNCTION("""COMPUTED_VALUE"""),"ITBISA-RELAY-5V-5PIN-BLUE")</f>
        <v>ITBISA-RELAY-5V-5PIN-BLUE</v>
      </c>
      <c r="B3529" s="165">
        <f>IFERROR(__xludf.DUMMYFUNCTION("""COMPUTED_VALUE"""),46032.0)</f>
        <v>46032</v>
      </c>
      <c r="C3529" s="165" t="str">
        <f>IFERROR(__xludf.DUMMYFUNCTION("""COMPUTED_VALUE"""),"KERTASARI CIAMIS")</f>
        <v>KERTASARI CIAMIS</v>
      </c>
      <c r="D3529" s="94">
        <f>IFERROR(__xludf.DUMMYFUNCTION("""COMPUTED_VALUE"""),30.0)</f>
        <v>30</v>
      </c>
    </row>
    <row r="3530">
      <c r="A3530" s="87" t="str">
        <f>IFERROR(__xludf.DUMMYFUNCTION("""COMPUTED_VALUE"""),"ITBISA-RELAY-5V-5PIN-BLUE")</f>
        <v>ITBISA-RELAY-5V-5PIN-BLUE</v>
      </c>
      <c r="B3530" s="165">
        <f>IFERROR(__xludf.DUMMYFUNCTION("""COMPUTED_VALUE"""),46033.0)</f>
        <v>46033</v>
      </c>
      <c r="C3530" s="165" t="str">
        <f>IFERROR(__xludf.DUMMYFUNCTION("""COMPUTED_VALUE"""),"KERTASARI CIAMIS")</f>
        <v>KERTASARI CIAMIS</v>
      </c>
      <c r="D3530" s="94">
        <f>IFERROR(__xludf.DUMMYFUNCTION("""COMPUTED_VALUE"""),15.0)</f>
        <v>15</v>
      </c>
    </row>
    <row r="3531">
      <c r="A3531" s="87" t="str">
        <f>IFERROR(__xludf.DUMMYFUNCTION("""COMPUTED_VALUE"""),"ITBISA-RELAY-5V-5PIN-BLUE")</f>
        <v>ITBISA-RELAY-5V-5PIN-BLUE</v>
      </c>
      <c r="B3531" s="165">
        <f>IFERROR(__xludf.DUMMYFUNCTION("""COMPUTED_VALUE"""),46033.0)</f>
        <v>46033</v>
      </c>
      <c r="C3531" s="165" t="str">
        <f>IFERROR(__xludf.DUMMYFUNCTION("""COMPUTED_VALUE"""),"KYAI KONTONG")</f>
        <v>KYAI KONTONG</v>
      </c>
      <c r="D3531" s="94">
        <f>IFERROR(__xludf.DUMMYFUNCTION("""COMPUTED_VALUE"""),5.0)</f>
        <v>5</v>
      </c>
    </row>
    <row r="3532">
      <c r="A3532" s="87" t="str">
        <f>IFERROR(__xludf.DUMMYFUNCTION("""COMPUTED_VALUE"""),"ITBISA-RELAY-5V-5PIN-BLUE")</f>
        <v>ITBISA-RELAY-5V-5PIN-BLUE</v>
      </c>
      <c r="B3532" s="165">
        <f>IFERROR(__xludf.DUMMYFUNCTION("""COMPUTED_VALUE"""),46033.0)</f>
        <v>46033</v>
      </c>
      <c r="C3532" s="165" t="str">
        <f>IFERROR(__xludf.DUMMYFUNCTION("""COMPUTED_VALUE"""),"KYAI KONTONG")</f>
        <v>KYAI KONTONG</v>
      </c>
      <c r="D3532" s="94">
        <f>IFERROR(__xludf.DUMMYFUNCTION("""COMPUTED_VALUE"""),10.0)</f>
        <v>10</v>
      </c>
    </row>
    <row r="3533">
      <c r="A3533" s="87" t="str">
        <f>IFERROR(__xludf.DUMMYFUNCTION("""COMPUTED_VALUE"""),"ITBISA-RELAY-5V-5PIN-BLUE")</f>
        <v>ITBISA-RELAY-5V-5PIN-BLUE</v>
      </c>
      <c r="B3533" s="165">
        <f>IFERROR(__xludf.DUMMYFUNCTION("""COMPUTED_VALUE"""),46035.0)</f>
        <v>46035</v>
      </c>
      <c r="C3533" s="165" t="str">
        <f>IFERROR(__xludf.DUMMYFUNCTION("""COMPUTED_VALUE"""),"KERTASARI CIAMIS")</f>
        <v>KERTASARI CIAMIS</v>
      </c>
      <c r="D3533" s="94">
        <f>IFERROR(__xludf.DUMMYFUNCTION("""COMPUTED_VALUE"""),5.0)</f>
        <v>5</v>
      </c>
    </row>
    <row r="3534">
      <c r="A3534" s="87" t="str">
        <f>IFERROR(__xludf.DUMMYFUNCTION("""COMPUTED_VALUE"""),"ITBISA-RELAY-5V-5PIN-BLUE")</f>
        <v>ITBISA-RELAY-5V-5PIN-BLUE</v>
      </c>
      <c r="B3534" s="165">
        <f>IFERROR(__xludf.DUMMYFUNCTION("""COMPUTED_VALUE"""),46039.0)</f>
        <v>46039</v>
      </c>
      <c r="C3534" s="165" t="str">
        <f>IFERROR(__xludf.DUMMYFUNCTION("""COMPUTED_VALUE"""),"KERTASARI CIAMIS")</f>
        <v>KERTASARI CIAMIS</v>
      </c>
      <c r="D3534" s="94">
        <f>IFERROR(__xludf.DUMMYFUNCTION("""COMPUTED_VALUE"""),10.0)</f>
        <v>10</v>
      </c>
    </row>
    <row r="3535">
      <c r="A3535" s="87" t="str">
        <f>IFERROR(__xludf.DUMMYFUNCTION("""COMPUTED_VALUE"""),"ITBISA-RELAY-5V-5PIN-BLUE")</f>
        <v>ITBISA-RELAY-5V-5PIN-BLUE</v>
      </c>
      <c r="B3535" s="165">
        <f>IFERROR(__xludf.DUMMYFUNCTION("""COMPUTED_VALUE"""),46040.0)</f>
        <v>46040</v>
      </c>
      <c r="C3535" s="165" t="str">
        <f>IFERROR(__xludf.DUMMYFUNCTION("""COMPUTED_VALUE"""),"KYAI KONTONG")</f>
        <v>KYAI KONTONG</v>
      </c>
      <c r="D3535" s="94">
        <f>IFERROR(__xludf.DUMMYFUNCTION("""COMPUTED_VALUE"""),20.0)</f>
        <v>20</v>
      </c>
    </row>
    <row r="3536">
      <c r="A3536" s="87" t="str">
        <f>IFERROR(__xludf.DUMMYFUNCTION("""COMPUTED_VALUE"""),"ITBISA-RELAY-5V-5PIN-BLUE")</f>
        <v>ITBISA-RELAY-5V-5PIN-BLUE</v>
      </c>
      <c r="B3536" s="165">
        <f>IFERROR(__xludf.DUMMYFUNCTION("""COMPUTED_VALUE"""),46041.0)</f>
        <v>46041</v>
      </c>
      <c r="C3536" s="165" t="str">
        <f>IFERROR(__xludf.DUMMYFUNCTION("""COMPUTED_VALUE"""),"KERTASARI CIAMIS")</f>
        <v>KERTASARI CIAMIS</v>
      </c>
      <c r="D3536" s="94">
        <f>IFERROR(__xludf.DUMMYFUNCTION("""COMPUTED_VALUE"""),10.0)</f>
        <v>10</v>
      </c>
    </row>
    <row r="3537">
      <c r="A3537" s="87" t="str">
        <f>IFERROR(__xludf.DUMMYFUNCTION("""COMPUTED_VALUE"""),"ITBISA-RELAY-5V-5PIN-BLUE")</f>
        <v>ITBISA-RELAY-5V-5PIN-BLUE</v>
      </c>
      <c r="B3537" s="165">
        <f>IFERROR(__xludf.DUMMYFUNCTION("""COMPUTED_VALUE"""),46041.0)</f>
        <v>46041</v>
      </c>
      <c r="C3537" s="165" t="str">
        <f>IFERROR(__xludf.DUMMYFUNCTION("""COMPUTED_VALUE"""),"KYAI KONTONG")</f>
        <v>KYAI KONTONG</v>
      </c>
      <c r="D3537" s="94">
        <f>IFERROR(__xludf.DUMMYFUNCTION("""COMPUTED_VALUE"""),5.0)</f>
        <v>5</v>
      </c>
    </row>
    <row r="3538">
      <c r="A3538" s="87" t="str">
        <f>IFERROR(__xludf.DUMMYFUNCTION("""COMPUTED_VALUE"""),"ITBISA-RELAY-5V-5PIN-BLUE")</f>
        <v>ITBISA-RELAY-5V-5PIN-BLUE</v>
      </c>
      <c r="B3538" s="165">
        <f>IFERROR(__xludf.DUMMYFUNCTION("""COMPUTED_VALUE"""),46043.0)</f>
        <v>46043</v>
      </c>
      <c r="C3538" s="165" t="str">
        <f>IFERROR(__xludf.DUMMYFUNCTION("""COMPUTED_VALUE"""),"KERTASARI CIAMIS")</f>
        <v>KERTASARI CIAMIS</v>
      </c>
      <c r="D3538" s="94">
        <f>IFERROR(__xludf.DUMMYFUNCTION("""COMPUTED_VALUE"""),30.0)</f>
        <v>30</v>
      </c>
    </row>
    <row r="3539">
      <c r="A3539" s="87" t="str">
        <f>IFERROR(__xludf.DUMMYFUNCTION("""COMPUTED_VALUE"""),"ITBISA-RELAY-5V-5PIN-BLUE")</f>
        <v>ITBISA-RELAY-5V-5PIN-BLUE</v>
      </c>
      <c r="B3539" s="165">
        <f>IFERROR(__xludf.DUMMYFUNCTION("""COMPUTED_VALUE"""),46047.0)</f>
        <v>46047</v>
      </c>
      <c r="C3539" s="165" t="str">
        <f>IFERROR(__xludf.DUMMYFUNCTION("""COMPUTED_VALUE"""),"KERTASARI CIAMIS")</f>
        <v>KERTASARI CIAMIS</v>
      </c>
      <c r="D3539" s="94">
        <f>IFERROR(__xludf.DUMMYFUNCTION("""COMPUTED_VALUE"""),6.0)</f>
        <v>6</v>
      </c>
    </row>
    <row r="3540">
      <c r="A3540" s="87" t="str">
        <f>IFERROR(__xludf.DUMMYFUNCTION("""COMPUTED_VALUE"""),"ITBISA-RELAY-5V-5PIN-BLUE")</f>
        <v>ITBISA-RELAY-5V-5PIN-BLUE</v>
      </c>
      <c r="B3540" s="165">
        <f>IFERROR(__xludf.DUMMYFUNCTION("""COMPUTED_VALUE"""),46060.0)</f>
        <v>46060</v>
      </c>
      <c r="C3540" s="165" t="str">
        <f>IFERROR(__xludf.DUMMYFUNCTION("""COMPUTED_VALUE"""),"KERTASARI CIAMIS")</f>
        <v>KERTASARI CIAMIS</v>
      </c>
      <c r="D3540" s="94">
        <f>IFERROR(__xludf.DUMMYFUNCTION("""COMPUTED_VALUE"""),5.0)</f>
        <v>5</v>
      </c>
    </row>
    <row r="3541">
      <c r="A3541" s="87" t="str">
        <f>IFERROR(__xludf.DUMMYFUNCTION("""COMPUTED_VALUE"""),"ITBISA-RELAY-5V-5PIN-BLUE")</f>
        <v>ITBISA-RELAY-5V-5PIN-BLUE</v>
      </c>
      <c r="B3541" s="165">
        <f>IFERROR(__xludf.DUMMYFUNCTION("""COMPUTED_VALUE"""),46061.0)</f>
        <v>46061</v>
      </c>
      <c r="C3541" s="165" t="str">
        <f>IFERROR(__xludf.DUMMYFUNCTION("""COMPUTED_VALUE"""),"KERTASARI CIAMIS")</f>
        <v>KERTASARI CIAMIS</v>
      </c>
      <c r="D3541" s="94">
        <f>IFERROR(__xludf.DUMMYFUNCTION("""COMPUTED_VALUE"""),5.0)</f>
        <v>5</v>
      </c>
    </row>
    <row r="3542">
      <c r="A3542" s="87" t="str">
        <f>IFERROR(__xludf.DUMMYFUNCTION("""COMPUTED_VALUE"""),"ITBISA-RELAY-5V-5PIN-BLUE")</f>
        <v>ITBISA-RELAY-5V-5PIN-BLUE</v>
      </c>
      <c r="B3542" s="165">
        <f>IFERROR(__xludf.DUMMYFUNCTION("""COMPUTED_VALUE"""),46064.0)</f>
        <v>46064</v>
      </c>
      <c r="C3542" s="165" t="str">
        <f>IFERROR(__xludf.DUMMYFUNCTION("""COMPUTED_VALUE"""),"KERTASARI CIAMIS")</f>
        <v>KERTASARI CIAMIS</v>
      </c>
      <c r="D3542" s="94">
        <f>IFERROR(__xludf.DUMMYFUNCTION("""COMPUTED_VALUE"""),5.0)</f>
        <v>5</v>
      </c>
    </row>
    <row r="3543">
      <c r="A3543" s="87" t="str">
        <f>IFERROR(__xludf.DUMMYFUNCTION("""COMPUTED_VALUE"""),"ITBISA-RELAY-5V-5PIN-BLUE")</f>
        <v>ITBISA-RELAY-5V-5PIN-BLUE</v>
      </c>
      <c r="B3543" s="165">
        <f>IFERROR(__xludf.DUMMYFUNCTION("""COMPUTED_VALUE"""),46072.0)</f>
        <v>46072</v>
      </c>
      <c r="C3543" s="165" t="str">
        <f>IFERROR(__xludf.DUMMYFUNCTION("""COMPUTED_VALUE"""),"KYAI KONTONG")</f>
        <v>KYAI KONTONG</v>
      </c>
      <c r="D3543" s="94">
        <f>IFERROR(__xludf.DUMMYFUNCTION("""COMPUTED_VALUE"""),15.0)</f>
        <v>15</v>
      </c>
    </row>
    <row r="3544">
      <c r="A3544" s="87" t="str">
        <f>IFERROR(__xludf.DUMMYFUNCTION("""COMPUTED_VALUE"""),"ITBISA-RELAY-5V-5PIN-BLUE")</f>
        <v>ITBISA-RELAY-5V-5PIN-BLUE</v>
      </c>
      <c r="B3544" s="165">
        <f>IFERROR(__xludf.DUMMYFUNCTION("""COMPUTED_VALUE"""),46077.0)</f>
        <v>46077</v>
      </c>
      <c r="C3544" s="165" t="str">
        <f>IFERROR(__xludf.DUMMYFUNCTION("""COMPUTED_VALUE"""),"KYAI KONTONG")</f>
        <v>KYAI KONTONG</v>
      </c>
      <c r="D3544" s="94">
        <f>IFERROR(__xludf.DUMMYFUNCTION("""COMPUTED_VALUE"""),1.0)</f>
        <v>1</v>
      </c>
    </row>
    <row r="3545">
      <c r="A3545" s="87" t="str">
        <f>IFERROR(__xludf.DUMMYFUNCTION("""COMPUTED_VALUE"""),"ITBISA-RELAY-5V-5PIN-BLUE")</f>
        <v>ITBISA-RELAY-5V-5PIN-BLUE</v>
      </c>
      <c r="B3545" s="165">
        <f>IFERROR(__xludf.DUMMYFUNCTION("""COMPUTED_VALUE"""),46078.0)</f>
        <v>46078</v>
      </c>
      <c r="C3545" s="165" t="str">
        <f>IFERROR(__xludf.DUMMYFUNCTION("""COMPUTED_VALUE"""),"KYAI KONTONG")</f>
        <v>KYAI KONTONG</v>
      </c>
      <c r="D3545" s="94">
        <f>IFERROR(__xludf.DUMMYFUNCTION("""COMPUTED_VALUE"""),5.0)</f>
        <v>5</v>
      </c>
    </row>
    <row r="3546">
      <c r="A3546" s="87" t="str">
        <f>IFERROR(__xludf.DUMMYFUNCTION("""COMPUTED_VALUE"""),"ITBISA-RELAY-5V-5PIN-BLUE")</f>
        <v>ITBISA-RELAY-5V-5PIN-BLUE</v>
      </c>
      <c r="B3546" s="165">
        <f>IFERROR(__xludf.DUMMYFUNCTION("""COMPUTED_VALUE"""),46096.0)</f>
        <v>46096</v>
      </c>
      <c r="C3546" s="165" t="str">
        <f>IFERROR(__xludf.DUMMYFUNCTION("""COMPUTED_VALUE"""),"KYAI KONTONG")</f>
        <v>KYAI KONTONG</v>
      </c>
      <c r="D3546" s="94">
        <f>IFERROR(__xludf.DUMMYFUNCTION("""COMPUTED_VALUE"""),20.0)</f>
        <v>20</v>
      </c>
    </row>
    <row r="3547">
      <c r="A3547" s="87" t="str">
        <f>IFERROR(__xludf.DUMMYFUNCTION("""COMPUTED_VALUE"""),"ITBISA-RELAY-5V-5PIN-BLUE")</f>
        <v>ITBISA-RELAY-5V-5PIN-BLUE</v>
      </c>
      <c r="B3547" s="165">
        <f>IFERROR(__xludf.DUMMYFUNCTION("""COMPUTED_VALUE"""),46099.0)</f>
        <v>46099</v>
      </c>
      <c r="C3547" s="165" t="str">
        <f>IFERROR(__xludf.DUMMYFUNCTION("""COMPUTED_VALUE"""),"KYAI KONTONG")</f>
        <v>KYAI KONTONG</v>
      </c>
      <c r="D3547" s="94">
        <f>IFERROR(__xludf.DUMMYFUNCTION("""COMPUTED_VALUE"""),20.0)</f>
        <v>20</v>
      </c>
    </row>
    <row r="3548">
      <c r="A3548" s="87" t="str">
        <f>IFERROR(__xludf.DUMMYFUNCTION("""COMPUTED_VALUE"""),"ITBISA-RELAY-5V-5PIN-BLUE")</f>
        <v>ITBISA-RELAY-5V-5PIN-BLUE</v>
      </c>
      <c r="B3548" s="165">
        <f>IFERROR(__xludf.DUMMYFUNCTION("""COMPUTED_VALUE"""),46101.0)</f>
        <v>46101</v>
      </c>
      <c r="C3548" s="165" t="str">
        <f>IFERROR(__xludf.DUMMYFUNCTION("""COMPUTED_VALUE"""),"KYAI KONTONG")</f>
        <v>KYAI KONTONG</v>
      </c>
      <c r="D3548" s="94">
        <f>IFERROR(__xludf.DUMMYFUNCTION("""COMPUTED_VALUE"""),100.0)</f>
        <v>100</v>
      </c>
    </row>
    <row r="3549">
      <c r="A3549" s="87" t="str">
        <f>IFERROR(__xludf.DUMMYFUNCTION("""COMPUTED_VALUE"""),"ITBISA-RELAY-5V-5PIN-BLUE")</f>
        <v>ITBISA-RELAY-5V-5PIN-BLUE</v>
      </c>
      <c r="B3549" s="165">
        <f>IFERROR(__xludf.DUMMYFUNCTION("""COMPUTED_VALUE"""),46104.0)</f>
        <v>46104</v>
      </c>
      <c r="C3549" s="165" t="str">
        <f>IFERROR(__xludf.DUMMYFUNCTION("""COMPUTED_VALUE"""),"KYAI KONTONG")</f>
        <v>KYAI KONTONG</v>
      </c>
      <c r="D3549" s="94">
        <f>IFERROR(__xludf.DUMMYFUNCTION("""COMPUTED_VALUE"""),10.0)</f>
        <v>10</v>
      </c>
    </row>
    <row r="3550">
      <c r="A3550" s="87" t="str">
        <f>IFERROR(__xludf.DUMMYFUNCTION("""COMPUTED_VALUE"""),"ITBISA-RELAY-5V-5PIN-BLUE")</f>
        <v>ITBISA-RELAY-5V-5PIN-BLUE</v>
      </c>
      <c r="B3550" s="165">
        <f>IFERROR(__xludf.DUMMYFUNCTION("""COMPUTED_VALUE"""),46128.0)</f>
        <v>46128</v>
      </c>
      <c r="C3550" s="165" t="str">
        <f>IFERROR(__xludf.DUMMYFUNCTION("""COMPUTED_VALUE"""),"KYAI KONTONG")</f>
        <v>KYAI KONTONG</v>
      </c>
      <c r="D3550" s="94">
        <f>IFERROR(__xludf.DUMMYFUNCTION("""COMPUTED_VALUE"""),50.0)</f>
        <v>50</v>
      </c>
    </row>
    <row r="3551">
      <c r="A3551" s="87" t="str">
        <f>IFERROR(__xludf.DUMMYFUNCTION("""COMPUTED_VALUE"""),"ITBISA-RELAY-5V-5PIN-BLUE")</f>
        <v>ITBISA-RELAY-5V-5PIN-BLUE</v>
      </c>
      <c r="B3551" s="165">
        <f>IFERROR(__xludf.DUMMYFUNCTION("""COMPUTED_VALUE"""),46130.0)</f>
        <v>46130</v>
      </c>
      <c r="C3551" s="165" t="str">
        <f>IFERROR(__xludf.DUMMYFUNCTION("""COMPUTED_VALUE"""),"KYAI KONTONG")</f>
        <v>KYAI KONTONG</v>
      </c>
      <c r="D3551" s="94">
        <f>IFERROR(__xludf.DUMMYFUNCTION("""COMPUTED_VALUE"""),6.0)</f>
        <v>6</v>
      </c>
    </row>
    <row r="3552">
      <c r="A3552" s="87" t="str">
        <f>IFERROR(__xludf.DUMMYFUNCTION("""COMPUTED_VALUE"""),"ITBISA-RELAY-5V-5PIN-BLUE")</f>
        <v>ITBISA-RELAY-5V-5PIN-BLUE</v>
      </c>
      <c r="B3552" s="165">
        <f>IFERROR(__xludf.DUMMYFUNCTION("""COMPUTED_VALUE"""),46132.0)</f>
        <v>46132</v>
      </c>
      <c r="C3552" s="165" t="str">
        <f>IFERROR(__xludf.DUMMYFUNCTION("""COMPUTED_VALUE"""),"KYAI KONTONG")</f>
        <v>KYAI KONTONG</v>
      </c>
      <c r="D3552" s="94">
        <f>IFERROR(__xludf.DUMMYFUNCTION("""COMPUTED_VALUE"""),5.0)</f>
        <v>5</v>
      </c>
    </row>
    <row r="3553">
      <c r="A3553" s="87" t="str">
        <f>IFERROR(__xludf.DUMMYFUNCTION("""COMPUTED_VALUE"""),"ITBISA-RELAY-5V-5PIN-BLUE")</f>
        <v>ITBISA-RELAY-5V-5PIN-BLUE</v>
      </c>
      <c r="B3553" s="165">
        <f>IFERROR(__xludf.DUMMYFUNCTION("""COMPUTED_VALUE"""),46137.0)</f>
        <v>46137</v>
      </c>
      <c r="C3553" s="165" t="str">
        <f>IFERROR(__xludf.DUMMYFUNCTION("""COMPUTED_VALUE"""),"KYAI KONTONG")</f>
        <v>KYAI KONTONG</v>
      </c>
      <c r="D3553" s="94">
        <f>IFERROR(__xludf.DUMMYFUNCTION("""COMPUTED_VALUE"""),30.0)</f>
        <v>30</v>
      </c>
    </row>
    <row r="3554">
      <c r="A3554" s="87" t="str">
        <f>IFERROR(__xludf.DUMMYFUNCTION("""COMPUTED_VALUE"""),"ITBISA-RELAY-5V-5PIN-BLUE")</f>
        <v>ITBISA-RELAY-5V-5PIN-BLUE</v>
      </c>
      <c r="B3554" s="165">
        <f>IFERROR(__xludf.DUMMYFUNCTION("""COMPUTED_VALUE"""),46138.0)</f>
        <v>46138</v>
      </c>
      <c r="C3554" s="165" t="str">
        <f>IFERROR(__xludf.DUMMYFUNCTION("""COMPUTED_VALUE"""),"KYAI KONTONG")</f>
        <v>KYAI KONTONG</v>
      </c>
      <c r="D3554" s="94">
        <f>IFERROR(__xludf.DUMMYFUNCTION("""COMPUTED_VALUE"""),8.0)</f>
        <v>8</v>
      </c>
    </row>
    <row r="3555">
      <c r="A3555" s="87" t="str">
        <f>IFERROR(__xludf.DUMMYFUNCTION("""COMPUTED_VALUE"""),"ITBISA-RELAY-5V-5PIN-BLUE")</f>
        <v>ITBISA-RELAY-5V-5PIN-BLUE</v>
      </c>
      <c r="B3555" s="165">
        <f>IFERROR(__xludf.DUMMYFUNCTION("""COMPUTED_VALUE"""),46139.0)</f>
        <v>46139</v>
      </c>
      <c r="C3555" s="165" t="str">
        <f>IFERROR(__xludf.DUMMYFUNCTION("""COMPUTED_VALUE"""),"KYAI KONTONG")</f>
        <v>KYAI KONTONG</v>
      </c>
      <c r="D3555" s="94">
        <f>IFERROR(__xludf.DUMMYFUNCTION("""COMPUTED_VALUE"""),7.0)</f>
        <v>7</v>
      </c>
    </row>
    <row r="3556">
      <c r="A3556" s="87" t="str">
        <f>IFERROR(__xludf.DUMMYFUNCTION("""COMPUTED_VALUE"""),"ITBISA-RELAY-5V-5PIN-BLUE")</f>
        <v>ITBISA-RELAY-5V-5PIN-BLUE</v>
      </c>
      <c r="B3556" s="165">
        <f>IFERROR(__xludf.DUMMYFUNCTION("""COMPUTED_VALUE"""),46140.0)</f>
        <v>46140</v>
      </c>
      <c r="C3556" s="165" t="str">
        <f>IFERROR(__xludf.DUMMYFUNCTION("""COMPUTED_VALUE"""),"KYAI KONTONG")</f>
        <v>KYAI KONTONG</v>
      </c>
      <c r="D3556" s="94">
        <f>IFERROR(__xludf.DUMMYFUNCTION("""COMPUTED_VALUE"""),5.0)</f>
        <v>5</v>
      </c>
    </row>
    <row r="3557">
      <c r="A3557" s="87" t="str">
        <f>IFERROR(__xludf.DUMMYFUNCTION("""COMPUTED_VALUE"""),"ITBISA-RELAY-5V-5PIN-BLUE")</f>
        <v>ITBISA-RELAY-5V-5PIN-BLUE</v>
      </c>
      <c r="B3557" s="165">
        <f>IFERROR(__xludf.DUMMYFUNCTION("""COMPUTED_VALUE"""),46140.0)</f>
        <v>46140</v>
      </c>
      <c r="C3557" s="165" t="str">
        <f>IFERROR(__xludf.DUMMYFUNCTION("""COMPUTED_VALUE"""),"KYAI KONTONG")</f>
        <v>KYAI KONTONG</v>
      </c>
      <c r="D3557" s="94">
        <f>IFERROR(__xludf.DUMMYFUNCTION("""COMPUTED_VALUE"""),10.0)</f>
        <v>10</v>
      </c>
    </row>
    <row r="3558">
      <c r="A3558" s="87" t="str">
        <f>IFERROR(__xludf.DUMMYFUNCTION("""COMPUTED_VALUE"""),"ITBISA-RELAY-5V-5PIN-BLUE")</f>
        <v>ITBISA-RELAY-5V-5PIN-BLUE</v>
      </c>
      <c r="B3558" s="165">
        <f>IFERROR(__xludf.DUMMYFUNCTION("""COMPUTED_VALUE"""),46140.0)</f>
        <v>46140</v>
      </c>
      <c r="C3558" s="165" t="str">
        <f>IFERROR(__xludf.DUMMYFUNCTION("""COMPUTED_VALUE"""),"KYAI KONTONG")</f>
        <v>KYAI KONTONG</v>
      </c>
      <c r="D3558" s="94">
        <f>IFERROR(__xludf.DUMMYFUNCTION("""COMPUTED_VALUE"""),10.0)</f>
        <v>10</v>
      </c>
    </row>
    <row r="3559">
      <c r="A3559" s="87" t="str">
        <f>IFERROR(__xludf.DUMMYFUNCTION("""COMPUTED_VALUE"""),"ITBISA-RELAY-5V-5PIN-BLUE")</f>
        <v>ITBISA-RELAY-5V-5PIN-BLUE</v>
      </c>
      <c r="B3559" s="165">
        <f>IFERROR(__xludf.DUMMYFUNCTION("""COMPUTED_VALUE"""),46142.0)</f>
        <v>46142</v>
      </c>
      <c r="C3559" s="165" t="str">
        <f>IFERROR(__xludf.DUMMYFUNCTION("""COMPUTED_VALUE"""),"KYAI KONTONG")</f>
        <v>KYAI KONTONG</v>
      </c>
      <c r="D3559" s="94">
        <f>IFERROR(__xludf.DUMMYFUNCTION("""COMPUTED_VALUE"""),5.0)</f>
        <v>5</v>
      </c>
    </row>
    <row r="3560">
      <c r="A3560" s="87" t="str">
        <f>IFERROR(__xludf.DUMMYFUNCTION("""COMPUTED_VALUE"""),"ITBISA-RELAY-5V-5PIN-BLUE")</f>
        <v>ITBISA-RELAY-5V-5PIN-BLUE</v>
      </c>
      <c r="B3560" s="165">
        <f>IFERROR(__xludf.DUMMYFUNCTION("""COMPUTED_VALUE"""),46142.0)</f>
        <v>46142</v>
      </c>
      <c r="C3560" s="165" t="str">
        <f>IFERROR(__xludf.DUMMYFUNCTION("""COMPUTED_VALUE"""),"KYAI KONTONG")</f>
        <v>KYAI KONTONG</v>
      </c>
      <c r="D3560" s="94">
        <f>IFERROR(__xludf.DUMMYFUNCTION("""COMPUTED_VALUE"""),20.0)</f>
        <v>20</v>
      </c>
    </row>
    <row r="3561">
      <c r="A3561" s="87" t="str">
        <f>IFERROR(__xludf.DUMMYFUNCTION("""COMPUTED_VALUE"""),"ITBISA-RELAY-5V-5PIN-BLUE")</f>
        <v>ITBISA-RELAY-5V-5PIN-BLUE</v>
      </c>
      <c r="B3561" s="165">
        <f>IFERROR(__xludf.DUMMYFUNCTION("""COMPUTED_VALUE"""),46142.0)</f>
        <v>46142</v>
      </c>
      <c r="C3561" s="165" t="str">
        <f>IFERROR(__xludf.DUMMYFUNCTION("""COMPUTED_VALUE"""),"KYAI KONTONG")</f>
        <v>KYAI KONTONG</v>
      </c>
      <c r="D3561" s="94">
        <f>IFERROR(__xludf.DUMMYFUNCTION("""COMPUTED_VALUE"""),30.0)</f>
        <v>30</v>
      </c>
    </row>
    <row r="3562">
      <c r="A3562" s="87" t="str">
        <f>IFERROR(__xludf.DUMMYFUNCTION("""COMPUTED_VALUE"""),"ITBISA-RELAY-5V-5PIN-BLUE")</f>
        <v>ITBISA-RELAY-5V-5PIN-BLUE</v>
      </c>
      <c r="B3562" s="165">
        <f>IFERROR(__xludf.DUMMYFUNCTION("""COMPUTED_VALUE"""),46143.0)</f>
        <v>46143</v>
      </c>
      <c r="C3562" s="165" t="str">
        <f>IFERROR(__xludf.DUMMYFUNCTION("""COMPUTED_VALUE"""),"KYAI KONTONG")</f>
        <v>KYAI KONTONG</v>
      </c>
      <c r="D3562" s="94">
        <f>IFERROR(__xludf.DUMMYFUNCTION("""COMPUTED_VALUE"""),5.0)</f>
        <v>5</v>
      </c>
    </row>
    <row r="3563">
      <c r="A3563" s="87" t="str">
        <f>IFERROR(__xludf.DUMMYFUNCTION("""COMPUTED_VALUE"""),"ITBISA-RELAY-5V-5PIN-BLUE")</f>
        <v>ITBISA-RELAY-5V-5PIN-BLUE</v>
      </c>
      <c r="B3563" s="165">
        <f>IFERROR(__xludf.DUMMYFUNCTION("""COMPUTED_VALUE"""),46143.0)</f>
        <v>46143</v>
      </c>
      <c r="C3563" s="165" t="str">
        <f>IFERROR(__xludf.DUMMYFUNCTION("""COMPUTED_VALUE"""),"KYAI KONTONG")</f>
        <v>KYAI KONTONG</v>
      </c>
      <c r="D3563" s="94">
        <f>IFERROR(__xludf.DUMMYFUNCTION("""COMPUTED_VALUE"""),20.0)</f>
        <v>20</v>
      </c>
    </row>
    <row r="3564">
      <c r="A3564" s="87" t="str">
        <f>IFERROR(__xludf.DUMMYFUNCTION("""COMPUTED_VALUE"""),"ITBISA-RELAY-5V-5PIN-BLUE")</f>
        <v>ITBISA-RELAY-5V-5PIN-BLUE</v>
      </c>
      <c r="B3564" s="165">
        <f>IFERROR(__xludf.DUMMYFUNCTION("""COMPUTED_VALUE"""),46144.0)</f>
        <v>46144</v>
      </c>
      <c r="C3564" s="165" t="str">
        <f>IFERROR(__xludf.DUMMYFUNCTION("""COMPUTED_VALUE"""),"KYAI KONTONG")</f>
        <v>KYAI KONTONG</v>
      </c>
      <c r="D3564" s="94">
        <f>IFERROR(__xludf.DUMMYFUNCTION("""COMPUTED_VALUE"""),5.0)</f>
        <v>5</v>
      </c>
    </row>
    <row r="3565">
      <c r="A3565" s="87" t="str">
        <f>IFERROR(__xludf.DUMMYFUNCTION("""COMPUTED_VALUE"""),"ITBISA-RELAY-5V-5PIN-BLUE")</f>
        <v>ITBISA-RELAY-5V-5PIN-BLUE</v>
      </c>
      <c r="B3565" s="165">
        <f>IFERROR(__xludf.DUMMYFUNCTION("""COMPUTED_VALUE"""),46144.0)</f>
        <v>46144</v>
      </c>
      <c r="C3565" s="165" t="str">
        <f>IFERROR(__xludf.DUMMYFUNCTION("""COMPUTED_VALUE"""),"KYAI KONTONG")</f>
        <v>KYAI KONTONG</v>
      </c>
      <c r="D3565" s="94">
        <f>IFERROR(__xludf.DUMMYFUNCTION("""COMPUTED_VALUE"""),7.0)</f>
        <v>7</v>
      </c>
    </row>
    <row r="3566">
      <c r="A3566" s="87" t="str">
        <f>IFERROR(__xludf.DUMMYFUNCTION("""COMPUTED_VALUE"""),"ITBISA-RELAY-5V-5PIN-BLUE")</f>
        <v>ITBISA-RELAY-5V-5PIN-BLUE</v>
      </c>
      <c r="B3566" s="165">
        <f>IFERROR(__xludf.DUMMYFUNCTION("""COMPUTED_VALUE"""),46144.0)</f>
        <v>46144</v>
      </c>
      <c r="C3566" s="165" t="str">
        <f>IFERROR(__xludf.DUMMYFUNCTION("""COMPUTED_VALUE"""),"KYAI KONTONG")</f>
        <v>KYAI KONTONG</v>
      </c>
      <c r="D3566" s="94">
        <f>IFERROR(__xludf.DUMMYFUNCTION("""COMPUTED_VALUE"""),8.0)</f>
        <v>8</v>
      </c>
    </row>
    <row r="3567">
      <c r="A3567" s="87" t="str">
        <f>IFERROR(__xludf.DUMMYFUNCTION("""COMPUTED_VALUE"""),"ITBISA-RELAY-5V-5PIN-BLUE")</f>
        <v>ITBISA-RELAY-5V-5PIN-BLUE</v>
      </c>
      <c r="B3567" s="165">
        <f>IFERROR(__xludf.DUMMYFUNCTION("""COMPUTED_VALUE"""),46144.0)</f>
        <v>46144</v>
      </c>
      <c r="C3567" s="165" t="str">
        <f>IFERROR(__xludf.DUMMYFUNCTION("""COMPUTED_VALUE"""),"KYAI KONTONG")</f>
        <v>KYAI KONTONG</v>
      </c>
      <c r="D3567" s="94">
        <f>IFERROR(__xludf.DUMMYFUNCTION("""COMPUTED_VALUE"""),10.0)</f>
        <v>10</v>
      </c>
    </row>
    <row r="3568">
      <c r="A3568" s="87" t="str">
        <f>IFERROR(__xludf.DUMMYFUNCTION("""COMPUTED_VALUE"""),"ITBISA-RELAY-5V-5PIN-BLUE")</f>
        <v>ITBISA-RELAY-5V-5PIN-BLUE</v>
      </c>
      <c r="B3568" s="165">
        <f>IFERROR(__xludf.DUMMYFUNCTION("""COMPUTED_VALUE"""),46144.0)</f>
        <v>46144</v>
      </c>
      <c r="C3568" s="165" t="str">
        <f>IFERROR(__xludf.DUMMYFUNCTION("""COMPUTED_VALUE"""),"KYAI KONTONG")</f>
        <v>KYAI KONTONG</v>
      </c>
      <c r="D3568" s="94">
        <f>IFERROR(__xludf.DUMMYFUNCTION("""COMPUTED_VALUE"""),13.0)</f>
        <v>13</v>
      </c>
    </row>
    <row r="3569">
      <c r="A3569" s="87" t="str">
        <f>IFERROR(__xludf.DUMMYFUNCTION("""COMPUTED_VALUE"""),"ITBISA-RELAY-5V-5PIN-BLUE")</f>
        <v>ITBISA-RELAY-5V-5PIN-BLUE</v>
      </c>
      <c r="B3569" s="165">
        <f>IFERROR(__xludf.DUMMYFUNCTION("""COMPUTED_VALUE"""),46145.0)</f>
        <v>46145</v>
      </c>
      <c r="C3569" s="165" t="str">
        <f>IFERROR(__xludf.DUMMYFUNCTION("""COMPUTED_VALUE"""),"KYAI KONTONG")</f>
        <v>KYAI KONTONG</v>
      </c>
      <c r="D3569" s="94">
        <f>IFERROR(__xludf.DUMMYFUNCTION("""COMPUTED_VALUE"""),5.0)</f>
        <v>5</v>
      </c>
    </row>
    <row r="3570">
      <c r="A3570" s="87" t="str">
        <f>IFERROR(__xludf.DUMMYFUNCTION("""COMPUTED_VALUE"""),"ITBISA-RELAY-5V-5PIN-BLUE")</f>
        <v>ITBISA-RELAY-5V-5PIN-BLUE</v>
      </c>
      <c r="B3570" s="165">
        <f>IFERROR(__xludf.DUMMYFUNCTION("""COMPUTED_VALUE"""),46146.0)</f>
        <v>46146</v>
      </c>
      <c r="C3570" s="165" t="str">
        <f>IFERROR(__xludf.DUMMYFUNCTION("""COMPUTED_VALUE"""),"KYAI KONTONG")</f>
        <v>KYAI KONTONG</v>
      </c>
      <c r="D3570" s="94">
        <f>IFERROR(__xludf.DUMMYFUNCTION("""COMPUTED_VALUE"""),5.0)</f>
        <v>5</v>
      </c>
    </row>
    <row r="3571">
      <c r="A3571" s="87" t="str">
        <f>IFERROR(__xludf.DUMMYFUNCTION("""COMPUTED_VALUE"""),"ITBISA-RELAY-5V-5PIN-BLUE")</f>
        <v>ITBISA-RELAY-5V-5PIN-BLUE</v>
      </c>
      <c r="B3571" s="165">
        <f>IFERROR(__xludf.DUMMYFUNCTION("""COMPUTED_VALUE"""),46146.0)</f>
        <v>46146</v>
      </c>
      <c r="C3571" s="165" t="str">
        <f>IFERROR(__xludf.DUMMYFUNCTION("""COMPUTED_VALUE"""),"KYAI KONTONG")</f>
        <v>KYAI KONTONG</v>
      </c>
      <c r="D3571" s="94">
        <f>IFERROR(__xludf.DUMMYFUNCTION("""COMPUTED_VALUE"""),10.0)</f>
        <v>10</v>
      </c>
    </row>
    <row r="3572">
      <c r="A3572" s="87" t="str">
        <f>IFERROR(__xludf.DUMMYFUNCTION("""COMPUTED_VALUE"""),"ITBISA-RELAY-5V-5PIN-BLUE")</f>
        <v>ITBISA-RELAY-5V-5PIN-BLUE</v>
      </c>
      <c r="B3572" s="165">
        <f>IFERROR(__xludf.DUMMYFUNCTION("""COMPUTED_VALUE"""),46146.0)</f>
        <v>46146</v>
      </c>
      <c r="C3572" s="165" t="str">
        <f>IFERROR(__xludf.DUMMYFUNCTION("""COMPUTED_VALUE"""),"KYAI KONTONG")</f>
        <v>KYAI KONTONG</v>
      </c>
      <c r="D3572" s="94">
        <f>IFERROR(__xludf.DUMMYFUNCTION("""COMPUTED_VALUE"""),10.0)</f>
        <v>10</v>
      </c>
    </row>
    <row r="3573">
      <c r="A3573" s="87" t="str">
        <f>IFERROR(__xludf.DUMMYFUNCTION("""COMPUTED_VALUE"""),"ITBISA-RELAY-5V-5PIN-BLUE")</f>
        <v>ITBISA-RELAY-5V-5PIN-BLUE</v>
      </c>
      <c r="B3573" s="165">
        <f>IFERROR(__xludf.DUMMYFUNCTION("""COMPUTED_VALUE"""),46146.0)</f>
        <v>46146</v>
      </c>
      <c r="C3573" s="165" t="str">
        <f>IFERROR(__xludf.DUMMYFUNCTION("""COMPUTED_VALUE"""),"KYAI KONTONG")</f>
        <v>KYAI KONTONG</v>
      </c>
      <c r="D3573" s="94">
        <f>IFERROR(__xludf.DUMMYFUNCTION("""COMPUTED_VALUE"""),20.0)</f>
        <v>20</v>
      </c>
    </row>
    <row r="3574">
      <c r="A3574" s="87" t="str">
        <f>IFERROR(__xludf.DUMMYFUNCTION("""COMPUTED_VALUE"""),"ITBISA-RELAY-5V-5PIN-BLUE")</f>
        <v>ITBISA-RELAY-5V-5PIN-BLUE</v>
      </c>
      <c r="B3574" s="165">
        <f>IFERROR(__xludf.DUMMYFUNCTION("""COMPUTED_VALUE"""),46146.0)</f>
        <v>46146</v>
      </c>
      <c r="C3574" s="165" t="str">
        <f>IFERROR(__xludf.DUMMYFUNCTION("""COMPUTED_VALUE"""),"KYAI KONTONG")</f>
        <v>KYAI KONTONG</v>
      </c>
      <c r="D3574" s="94">
        <f>IFERROR(__xludf.DUMMYFUNCTION("""COMPUTED_VALUE"""),40.0)</f>
        <v>40</v>
      </c>
    </row>
    <row r="3575">
      <c r="A3575" s="87" t="str">
        <f>IFERROR(__xludf.DUMMYFUNCTION("""COMPUTED_VALUE"""),"ITBISA-RELAY-5V-5PIN-BLUE")</f>
        <v>ITBISA-RELAY-5V-5PIN-BLUE</v>
      </c>
      <c r="B3575" s="165">
        <f>IFERROR(__xludf.DUMMYFUNCTION("""COMPUTED_VALUE"""),46146.0)</f>
        <v>46146</v>
      </c>
      <c r="C3575" s="165" t="str">
        <f>IFERROR(__xludf.DUMMYFUNCTION("""COMPUTED_VALUE"""),"KYAI KONTONG")</f>
        <v>KYAI KONTONG</v>
      </c>
      <c r="D3575" s="94">
        <f>IFERROR(__xludf.DUMMYFUNCTION("""COMPUTED_VALUE"""),50.0)</f>
        <v>50</v>
      </c>
    </row>
    <row r="3576">
      <c r="A3576" s="87" t="str">
        <f>IFERROR(__xludf.DUMMYFUNCTION("""COMPUTED_VALUE"""),"ITBISA-RELAY-5V-5PIN-BLUE")</f>
        <v>ITBISA-RELAY-5V-5PIN-BLUE</v>
      </c>
      <c r="B3576" s="165">
        <f>IFERROR(__xludf.DUMMYFUNCTION("""COMPUTED_VALUE"""),46146.0)</f>
        <v>46146</v>
      </c>
      <c r="C3576" s="165" t="str">
        <f>IFERROR(__xludf.DUMMYFUNCTION("""COMPUTED_VALUE"""),"KYAI KONTONG")</f>
        <v>KYAI KONTONG</v>
      </c>
      <c r="D3576" s="94">
        <f>IFERROR(__xludf.DUMMYFUNCTION("""COMPUTED_VALUE"""),100.0)</f>
        <v>100</v>
      </c>
    </row>
    <row r="3577">
      <c r="A3577" s="87" t="str">
        <f>IFERROR(__xludf.DUMMYFUNCTION("""COMPUTED_VALUE"""),"ITBISA-RELAY-5V-5PIN-BLUE")</f>
        <v>ITBISA-RELAY-5V-5PIN-BLUE</v>
      </c>
      <c r="B3577" s="165">
        <f>IFERROR(__xludf.DUMMYFUNCTION("""COMPUTED_VALUE"""),46146.0)</f>
        <v>46146</v>
      </c>
      <c r="C3577" s="165" t="str">
        <f>IFERROR(__xludf.DUMMYFUNCTION("""COMPUTED_VALUE"""),"KYAI KONTONG")</f>
        <v>KYAI KONTONG</v>
      </c>
      <c r="D3577" s="94">
        <f>IFERROR(__xludf.DUMMYFUNCTION("""COMPUTED_VALUE"""),1400.0)</f>
        <v>1400</v>
      </c>
    </row>
    <row r="3578">
      <c r="A3578" s="87" t="str">
        <f>IFERROR(__xludf.DUMMYFUNCTION("""COMPUTED_VALUE"""),"ITBISA-RELAY-5V-5PIN-BLUE")</f>
        <v>ITBISA-RELAY-5V-5PIN-BLUE</v>
      </c>
      <c r="B3578" s="165">
        <f>IFERROR(__xludf.DUMMYFUNCTION("""COMPUTED_VALUE"""),46147.0)</f>
        <v>46147</v>
      </c>
      <c r="C3578" s="165" t="str">
        <f>IFERROR(__xludf.DUMMYFUNCTION("""COMPUTED_VALUE"""),"KYAI KONTONG")</f>
        <v>KYAI KONTONG</v>
      </c>
      <c r="D3578" s="94">
        <f>IFERROR(__xludf.DUMMYFUNCTION("""COMPUTED_VALUE"""),2.0)</f>
        <v>2</v>
      </c>
    </row>
    <row r="3579">
      <c r="A3579" s="87" t="str">
        <f>IFERROR(__xludf.DUMMYFUNCTION("""COMPUTED_VALUE"""),"ITBISA-RELAY-5V-5PIN-BLUE")</f>
        <v>ITBISA-RELAY-5V-5PIN-BLUE</v>
      </c>
      <c r="B3579" s="165">
        <f>IFERROR(__xludf.DUMMYFUNCTION("""COMPUTED_VALUE"""),46147.0)</f>
        <v>46147</v>
      </c>
      <c r="C3579" s="165" t="str">
        <f>IFERROR(__xludf.DUMMYFUNCTION("""COMPUTED_VALUE"""),"KYAI KONTONG")</f>
        <v>KYAI KONTONG</v>
      </c>
      <c r="D3579" s="94">
        <f>IFERROR(__xludf.DUMMYFUNCTION("""COMPUTED_VALUE"""),5.0)</f>
        <v>5</v>
      </c>
    </row>
    <row r="3580">
      <c r="A3580" s="87" t="str">
        <f>IFERROR(__xludf.DUMMYFUNCTION("""COMPUTED_VALUE"""),"ITBISA-RELAY-5V-5PIN-BLUE")</f>
        <v>ITBISA-RELAY-5V-5PIN-BLUE</v>
      </c>
      <c r="B3580" s="165">
        <f>IFERROR(__xludf.DUMMYFUNCTION("""COMPUTED_VALUE"""),46147.0)</f>
        <v>46147</v>
      </c>
      <c r="C3580" s="165" t="str">
        <f>IFERROR(__xludf.DUMMYFUNCTION("""COMPUTED_VALUE"""),"KYAI KONTONG")</f>
        <v>KYAI KONTONG</v>
      </c>
      <c r="D3580" s="94">
        <f>IFERROR(__xludf.DUMMYFUNCTION("""COMPUTED_VALUE"""),8.0)</f>
        <v>8</v>
      </c>
    </row>
    <row r="3581">
      <c r="A3581" s="87" t="str">
        <f>IFERROR(__xludf.DUMMYFUNCTION("""COMPUTED_VALUE"""),"ITBISA-RELAY-5V-5PIN-BLUE")</f>
        <v>ITBISA-RELAY-5V-5PIN-BLUE</v>
      </c>
      <c r="B3581" s="165">
        <f>IFERROR(__xludf.DUMMYFUNCTION("""COMPUTED_VALUE"""),46148.0)</f>
        <v>46148</v>
      </c>
      <c r="C3581" s="165" t="str">
        <f>IFERROR(__xludf.DUMMYFUNCTION("""COMPUTED_VALUE"""),"KYAI KONTONG")</f>
        <v>KYAI KONTONG</v>
      </c>
      <c r="D3581" s="94">
        <f>IFERROR(__xludf.DUMMYFUNCTION("""COMPUTED_VALUE"""),100.0)</f>
        <v>100</v>
      </c>
    </row>
    <row r="3582">
      <c r="A3582" s="87" t="str">
        <f>IFERROR(__xludf.DUMMYFUNCTION("""COMPUTED_VALUE"""),"ITBISA-RELAY-5V-5PIN-BLUE")</f>
        <v>ITBISA-RELAY-5V-5PIN-BLUE</v>
      </c>
      <c r="B3582" s="165">
        <f>IFERROR(__xludf.DUMMYFUNCTION("""COMPUTED_VALUE"""),46149.0)</f>
        <v>46149</v>
      </c>
      <c r="C3582" s="165" t="str">
        <f>IFERROR(__xludf.DUMMYFUNCTION("""COMPUTED_VALUE"""),"KYAI KONTONG")</f>
        <v>KYAI KONTONG</v>
      </c>
      <c r="D3582" s="94">
        <f>IFERROR(__xludf.DUMMYFUNCTION("""COMPUTED_VALUE"""),4.0)</f>
        <v>4</v>
      </c>
    </row>
    <row r="3583">
      <c r="A3583" s="87" t="str">
        <f>IFERROR(__xludf.DUMMYFUNCTION("""COMPUTED_VALUE"""),"ITBISA-RELAY-5V-5PIN-BLUE")</f>
        <v>ITBISA-RELAY-5V-5PIN-BLUE</v>
      </c>
      <c r="B3583" s="165">
        <f>IFERROR(__xludf.DUMMYFUNCTION("""COMPUTED_VALUE"""),46149.0)</f>
        <v>46149</v>
      </c>
      <c r="C3583" s="165" t="str">
        <f>IFERROR(__xludf.DUMMYFUNCTION("""COMPUTED_VALUE"""),"KYAI KONTONG")</f>
        <v>KYAI KONTONG</v>
      </c>
      <c r="D3583" s="94">
        <f>IFERROR(__xludf.DUMMYFUNCTION("""COMPUTED_VALUE"""),10.0)</f>
        <v>10</v>
      </c>
    </row>
    <row r="3584">
      <c r="A3584" s="87" t="str">
        <f>IFERROR(__xludf.DUMMYFUNCTION("""COMPUTED_VALUE"""),"ITBISA-RELAY-5V-5PIN-BLUE")</f>
        <v>ITBISA-RELAY-5V-5PIN-BLUE</v>
      </c>
      <c r="B3584" s="165">
        <f>IFERROR(__xludf.DUMMYFUNCTION("""COMPUTED_VALUE"""),46150.0)</f>
        <v>46150</v>
      </c>
      <c r="C3584" s="165" t="str">
        <f>IFERROR(__xludf.DUMMYFUNCTION("""COMPUTED_VALUE"""),"KYAI KONTONG")</f>
        <v>KYAI KONTONG</v>
      </c>
      <c r="D3584" s="94">
        <f>IFERROR(__xludf.DUMMYFUNCTION("""COMPUTED_VALUE"""),5.0)</f>
        <v>5</v>
      </c>
    </row>
    <row r="3585">
      <c r="A3585" s="87" t="str">
        <f>IFERROR(__xludf.DUMMYFUNCTION("""COMPUTED_VALUE"""),"ITBISA-RELAY-5V-5PIN-BLUE")</f>
        <v>ITBISA-RELAY-5V-5PIN-BLUE</v>
      </c>
      <c r="B3585" s="165">
        <f>IFERROR(__xludf.DUMMYFUNCTION("""COMPUTED_VALUE"""),46150.0)</f>
        <v>46150</v>
      </c>
      <c r="C3585" s="165" t="str">
        <f>IFERROR(__xludf.DUMMYFUNCTION("""COMPUTED_VALUE"""),"KYAI KONTONG")</f>
        <v>KYAI KONTONG</v>
      </c>
      <c r="D3585" s="94">
        <f>IFERROR(__xludf.DUMMYFUNCTION("""COMPUTED_VALUE"""),10.0)</f>
        <v>10</v>
      </c>
    </row>
    <row r="3586">
      <c r="A3586" s="87" t="str">
        <f>IFERROR(__xludf.DUMMYFUNCTION("""COMPUTED_VALUE"""),"ITBISA-RELAY-5V-5PIN-BLUE")</f>
        <v>ITBISA-RELAY-5V-5PIN-BLUE</v>
      </c>
      <c r="B3586" s="165">
        <f>IFERROR(__xludf.DUMMYFUNCTION("""COMPUTED_VALUE"""),46150.0)</f>
        <v>46150</v>
      </c>
      <c r="C3586" s="165" t="str">
        <f>IFERROR(__xludf.DUMMYFUNCTION("""COMPUTED_VALUE"""),"KYAI KONTONG")</f>
        <v>KYAI KONTONG</v>
      </c>
      <c r="D3586" s="94">
        <f>IFERROR(__xludf.DUMMYFUNCTION("""COMPUTED_VALUE"""),10.0)</f>
        <v>10</v>
      </c>
    </row>
    <row r="3587">
      <c r="A3587" s="87" t="str">
        <f>IFERROR(__xludf.DUMMYFUNCTION("""COMPUTED_VALUE"""),"ITBISA-RELAY-5V-5PIN-BLUE")</f>
        <v>ITBISA-RELAY-5V-5PIN-BLUE</v>
      </c>
      <c r="B3587" s="165">
        <f>IFERROR(__xludf.DUMMYFUNCTION("""COMPUTED_VALUE"""),46150.0)</f>
        <v>46150</v>
      </c>
      <c r="C3587" s="165" t="str">
        <f>IFERROR(__xludf.DUMMYFUNCTION("""COMPUTED_VALUE"""),"KYAI KONTONG")</f>
        <v>KYAI KONTONG</v>
      </c>
      <c r="D3587" s="94">
        <f>IFERROR(__xludf.DUMMYFUNCTION("""COMPUTED_VALUE"""),10.0)</f>
        <v>10</v>
      </c>
    </row>
    <row r="3588">
      <c r="A3588" s="87" t="str">
        <f>IFERROR(__xludf.DUMMYFUNCTION("""COMPUTED_VALUE"""),"ITBISA-RELAY-5V-5PIN-BLUE")</f>
        <v>ITBISA-RELAY-5V-5PIN-BLUE</v>
      </c>
      <c r="B3588" s="165">
        <f>IFERROR(__xludf.DUMMYFUNCTION("""COMPUTED_VALUE"""),46150.0)</f>
        <v>46150</v>
      </c>
      <c r="C3588" s="165" t="str">
        <f>IFERROR(__xludf.DUMMYFUNCTION("""COMPUTED_VALUE"""),"KYAI KONTONG")</f>
        <v>KYAI KONTONG</v>
      </c>
      <c r="D3588" s="94">
        <f>IFERROR(__xludf.DUMMYFUNCTION("""COMPUTED_VALUE"""),10.0)</f>
        <v>10</v>
      </c>
    </row>
    <row r="3589">
      <c r="A3589" s="87" t="str">
        <f>IFERROR(__xludf.DUMMYFUNCTION("""COMPUTED_VALUE"""),"ITBISA-RELAY-5V-5PIN-BLUE")</f>
        <v>ITBISA-RELAY-5V-5PIN-BLUE</v>
      </c>
      <c r="B3589" s="165">
        <f>IFERROR(__xludf.DUMMYFUNCTION("""COMPUTED_VALUE"""),46150.0)</f>
        <v>46150</v>
      </c>
      <c r="C3589" s="165" t="str">
        <f>IFERROR(__xludf.DUMMYFUNCTION("""COMPUTED_VALUE"""),"KYAI KONTONG")</f>
        <v>KYAI KONTONG</v>
      </c>
      <c r="D3589" s="94">
        <f>IFERROR(__xludf.DUMMYFUNCTION("""COMPUTED_VALUE"""),50.0)</f>
        <v>50</v>
      </c>
    </row>
    <row r="3590">
      <c r="A3590" s="87" t="str">
        <f>IFERROR(__xludf.DUMMYFUNCTION("""COMPUTED_VALUE"""),"ITBISA-RELAY-5V-5PIN-BLUE")</f>
        <v>ITBISA-RELAY-5V-5PIN-BLUE</v>
      </c>
      <c r="B3590" s="165">
        <f>IFERROR(__xludf.DUMMYFUNCTION("""COMPUTED_VALUE"""),46151.0)</f>
        <v>46151</v>
      </c>
      <c r="C3590" s="165" t="str">
        <f>IFERROR(__xludf.DUMMYFUNCTION("""COMPUTED_VALUE"""),"KYAI KONTONG")</f>
        <v>KYAI KONTONG</v>
      </c>
      <c r="D3590" s="94">
        <f>IFERROR(__xludf.DUMMYFUNCTION("""COMPUTED_VALUE"""),5.0)</f>
        <v>5</v>
      </c>
    </row>
    <row r="3591">
      <c r="A3591" s="87" t="str">
        <f>IFERROR(__xludf.DUMMYFUNCTION("""COMPUTED_VALUE"""),"ITBISA-RELAY-5V-5PIN-BLUE")</f>
        <v>ITBISA-RELAY-5V-5PIN-BLUE</v>
      </c>
      <c r="B3591" s="165">
        <f>IFERROR(__xludf.DUMMYFUNCTION("""COMPUTED_VALUE"""),46151.0)</f>
        <v>46151</v>
      </c>
      <c r="C3591" s="165" t="str">
        <f>IFERROR(__xludf.DUMMYFUNCTION("""COMPUTED_VALUE"""),"KYAI KONTONG")</f>
        <v>KYAI KONTONG</v>
      </c>
      <c r="D3591" s="94">
        <f>IFERROR(__xludf.DUMMYFUNCTION("""COMPUTED_VALUE"""),20.0)</f>
        <v>20</v>
      </c>
    </row>
    <row r="3592">
      <c r="A3592" s="87" t="str">
        <f>IFERROR(__xludf.DUMMYFUNCTION("""COMPUTED_VALUE"""),"ITBISA-RELAY-5V-5PIN-BLUE")</f>
        <v>ITBISA-RELAY-5V-5PIN-BLUE</v>
      </c>
      <c r="B3592" s="165">
        <f>IFERROR(__xludf.DUMMYFUNCTION("""COMPUTED_VALUE"""),46151.0)</f>
        <v>46151</v>
      </c>
      <c r="C3592" s="165" t="str">
        <f>IFERROR(__xludf.DUMMYFUNCTION("""COMPUTED_VALUE"""),"KYAI KONTONG")</f>
        <v>KYAI KONTONG</v>
      </c>
      <c r="D3592" s="94">
        <f>IFERROR(__xludf.DUMMYFUNCTION("""COMPUTED_VALUE"""),40.0)</f>
        <v>40</v>
      </c>
    </row>
    <row r="3593">
      <c r="A3593" s="87" t="str">
        <f>IFERROR(__xludf.DUMMYFUNCTION("""COMPUTED_VALUE"""),"ITBISA-RELAY-5V-5PIN-BLUE")</f>
        <v>ITBISA-RELAY-5V-5PIN-BLUE</v>
      </c>
      <c r="B3593" s="165">
        <f>IFERROR(__xludf.DUMMYFUNCTION("""COMPUTED_VALUE"""),46152.0)</f>
        <v>46152</v>
      </c>
      <c r="C3593" s="165" t="str">
        <f>IFERROR(__xludf.DUMMYFUNCTION("""COMPUTED_VALUE"""),"KYAI KONTONG")</f>
        <v>KYAI KONTONG</v>
      </c>
      <c r="D3593" s="94">
        <f>IFERROR(__xludf.DUMMYFUNCTION("""COMPUTED_VALUE"""),5.0)</f>
        <v>5</v>
      </c>
    </row>
    <row r="3594">
      <c r="A3594" s="87" t="str">
        <f>IFERROR(__xludf.DUMMYFUNCTION("""COMPUTED_VALUE"""),"ITBISA-RELAY-5V-5PIN-BLUE")</f>
        <v>ITBISA-RELAY-5V-5PIN-BLUE</v>
      </c>
      <c r="B3594" s="165">
        <f>IFERROR(__xludf.DUMMYFUNCTION("""COMPUTED_VALUE"""),46153.0)</f>
        <v>46153</v>
      </c>
      <c r="C3594" s="165" t="str">
        <f>IFERROR(__xludf.DUMMYFUNCTION("""COMPUTED_VALUE"""),"KYAI KONTONG")</f>
        <v>KYAI KONTONG</v>
      </c>
      <c r="D3594" s="94">
        <f>IFERROR(__xludf.DUMMYFUNCTION("""COMPUTED_VALUE"""),1.0)</f>
        <v>1</v>
      </c>
    </row>
    <row r="3595">
      <c r="A3595" s="87" t="str">
        <f>IFERROR(__xludf.DUMMYFUNCTION("""COMPUTED_VALUE"""),"ITBISA-RELAY-5V-5PIN-BLUE")</f>
        <v>ITBISA-RELAY-5V-5PIN-BLUE</v>
      </c>
      <c r="B3595" s="165">
        <f>IFERROR(__xludf.DUMMYFUNCTION("""COMPUTED_VALUE"""),46153.0)</f>
        <v>46153</v>
      </c>
      <c r="C3595" s="165" t="str">
        <f>IFERROR(__xludf.DUMMYFUNCTION("""COMPUTED_VALUE"""),"KYAI KONTONG")</f>
        <v>KYAI KONTONG</v>
      </c>
      <c r="D3595" s="94">
        <f>IFERROR(__xludf.DUMMYFUNCTION("""COMPUTED_VALUE"""),5.0)</f>
        <v>5</v>
      </c>
    </row>
    <row r="3596">
      <c r="A3596" s="87" t="str">
        <f>IFERROR(__xludf.DUMMYFUNCTION("""COMPUTED_VALUE"""),"ITBISA-RELAY-5V-5PIN-BLUE")</f>
        <v>ITBISA-RELAY-5V-5PIN-BLUE</v>
      </c>
      <c r="B3596" s="165">
        <f>IFERROR(__xludf.DUMMYFUNCTION("""COMPUTED_VALUE"""),46153.0)</f>
        <v>46153</v>
      </c>
      <c r="C3596" s="165" t="str">
        <f>IFERROR(__xludf.DUMMYFUNCTION("""COMPUTED_VALUE"""),"KYAI KONTONG")</f>
        <v>KYAI KONTONG</v>
      </c>
      <c r="D3596" s="94">
        <f>IFERROR(__xludf.DUMMYFUNCTION("""COMPUTED_VALUE"""),5.0)</f>
        <v>5</v>
      </c>
    </row>
    <row r="3597">
      <c r="A3597" s="87" t="str">
        <f>IFERROR(__xludf.DUMMYFUNCTION("""COMPUTED_VALUE"""),"ITBISA-RELAY-5V-5PIN-BLUE")</f>
        <v>ITBISA-RELAY-5V-5PIN-BLUE</v>
      </c>
      <c r="B3597" s="165">
        <f>IFERROR(__xludf.DUMMYFUNCTION("""COMPUTED_VALUE"""),46153.0)</f>
        <v>46153</v>
      </c>
      <c r="C3597" s="165" t="str">
        <f>IFERROR(__xludf.DUMMYFUNCTION("""COMPUTED_VALUE"""),"KYAI KONTONG")</f>
        <v>KYAI KONTONG</v>
      </c>
      <c r="D3597" s="94">
        <f>IFERROR(__xludf.DUMMYFUNCTION("""COMPUTED_VALUE"""),10.0)</f>
        <v>10</v>
      </c>
    </row>
    <row r="3598">
      <c r="A3598" s="87" t="str">
        <f>IFERROR(__xludf.DUMMYFUNCTION("""COMPUTED_VALUE"""),"ITBISA-RELAY-5V-5PIN-BLUE")</f>
        <v>ITBISA-RELAY-5V-5PIN-BLUE</v>
      </c>
      <c r="B3598" s="165">
        <f>IFERROR(__xludf.DUMMYFUNCTION("""COMPUTED_VALUE"""),46153.0)</f>
        <v>46153</v>
      </c>
      <c r="C3598" s="165" t="str">
        <f>IFERROR(__xludf.DUMMYFUNCTION("""COMPUTED_VALUE"""),"KYAI KONTONG")</f>
        <v>KYAI KONTONG</v>
      </c>
      <c r="D3598" s="94">
        <f>IFERROR(__xludf.DUMMYFUNCTION("""COMPUTED_VALUE"""),40.0)</f>
        <v>40</v>
      </c>
    </row>
    <row r="3599">
      <c r="A3599" s="87" t="str">
        <f>IFERROR(__xludf.DUMMYFUNCTION("""COMPUTED_VALUE"""),"ITBISA-RELAY-5V-5PIN-BLUE")</f>
        <v>ITBISA-RELAY-5V-5PIN-BLUE</v>
      </c>
      <c r="B3599" s="165">
        <f>IFERROR(__xludf.DUMMYFUNCTION("""COMPUTED_VALUE"""),46154.0)</f>
        <v>46154</v>
      </c>
      <c r="C3599" s="165" t="str">
        <f>IFERROR(__xludf.DUMMYFUNCTION("""COMPUTED_VALUE"""),"KYAI KONTONG")</f>
        <v>KYAI KONTONG</v>
      </c>
      <c r="D3599" s="94">
        <f>IFERROR(__xludf.DUMMYFUNCTION("""COMPUTED_VALUE"""),1.0)</f>
        <v>1</v>
      </c>
    </row>
    <row r="3600">
      <c r="A3600" s="87" t="str">
        <f>IFERROR(__xludf.DUMMYFUNCTION("""COMPUTED_VALUE"""),"ITBISA-RELAY-5V-5PIN-BLUE")</f>
        <v>ITBISA-RELAY-5V-5PIN-BLUE</v>
      </c>
      <c r="B3600" s="165">
        <f>IFERROR(__xludf.DUMMYFUNCTION("""COMPUTED_VALUE"""),46154.0)</f>
        <v>46154</v>
      </c>
      <c r="C3600" s="165" t="str">
        <f>IFERROR(__xludf.DUMMYFUNCTION("""COMPUTED_VALUE"""),"KYAI KONTONG")</f>
        <v>KYAI KONTONG</v>
      </c>
      <c r="D3600" s="94">
        <f>IFERROR(__xludf.DUMMYFUNCTION("""COMPUTED_VALUE"""),5.0)</f>
        <v>5</v>
      </c>
    </row>
    <row r="3601">
      <c r="A3601" s="87" t="str">
        <f>IFERROR(__xludf.DUMMYFUNCTION("""COMPUTED_VALUE"""),"ITBISA-RELAY-5V-5PIN-BLUE")</f>
        <v>ITBISA-RELAY-5V-5PIN-BLUE</v>
      </c>
      <c r="B3601" s="165">
        <f>IFERROR(__xludf.DUMMYFUNCTION("""COMPUTED_VALUE"""),46154.0)</f>
        <v>46154</v>
      </c>
      <c r="C3601" s="165" t="str">
        <f>IFERROR(__xludf.DUMMYFUNCTION("""COMPUTED_VALUE"""),"KYAI KONTONG")</f>
        <v>KYAI KONTONG</v>
      </c>
      <c r="D3601" s="94">
        <f>IFERROR(__xludf.DUMMYFUNCTION("""COMPUTED_VALUE"""),20.0)</f>
        <v>20</v>
      </c>
    </row>
    <row r="3602">
      <c r="A3602" s="87" t="str">
        <f>IFERROR(__xludf.DUMMYFUNCTION("""COMPUTED_VALUE"""),"ITBISA-RELAY-5V-5PIN-BLUE")</f>
        <v>ITBISA-RELAY-5V-5PIN-BLUE</v>
      </c>
      <c r="B3602" s="165">
        <f>IFERROR(__xludf.DUMMYFUNCTION("""COMPUTED_VALUE"""),46154.0)</f>
        <v>46154</v>
      </c>
      <c r="C3602" s="165" t="str">
        <f>IFERROR(__xludf.DUMMYFUNCTION("""COMPUTED_VALUE"""),"KYAI KONTONG")</f>
        <v>KYAI KONTONG</v>
      </c>
      <c r="D3602" s="94">
        <f>IFERROR(__xludf.DUMMYFUNCTION("""COMPUTED_VALUE"""),30.0)</f>
        <v>30</v>
      </c>
    </row>
    <row r="3603">
      <c r="A3603" s="87" t="str">
        <f>IFERROR(__xludf.DUMMYFUNCTION("""COMPUTED_VALUE"""),"ITBISA-RELAY-5V-5PIN-BLUE")</f>
        <v>ITBISA-RELAY-5V-5PIN-BLUE</v>
      </c>
      <c r="B3603" s="165">
        <f>IFERROR(__xludf.DUMMYFUNCTION("""COMPUTED_VALUE"""),46155.0)</f>
        <v>46155</v>
      </c>
      <c r="C3603" s="165" t="str">
        <f>IFERROR(__xludf.DUMMYFUNCTION("""COMPUTED_VALUE"""),"KYAI KONTONG")</f>
        <v>KYAI KONTONG</v>
      </c>
      <c r="D3603" s="94">
        <f>IFERROR(__xludf.DUMMYFUNCTION("""COMPUTED_VALUE"""),5.0)</f>
        <v>5</v>
      </c>
    </row>
    <row r="3604">
      <c r="A3604" s="87" t="str">
        <f>IFERROR(__xludf.DUMMYFUNCTION("""COMPUTED_VALUE"""),"ITBISA-RELAY-5V-5PIN-BLUE")</f>
        <v>ITBISA-RELAY-5V-5PIN-BLUE</v>
      </c>
      <c r="B3604" s="165">
        <f>IFERROR(__xludf.DUMMYFUNCTION("""COMPUTED_VALUE"""),46155.0)</f>
        <v>46155</v>
      </c>
      <c r="C3604" s="165" t="str">
        <f>IFERROR(__xludf.DUMMYFUNCTION("""COMPUTED_VALUE"""),"KYAI KONTONG")</f>
        <v>KYAI KONTONG</v>
      </c>
      <c r="D3604" s="94">
        <f>IFERROR(__xludf.DUMMYFUNCTION("""COMPUTED_VALUE"""),6.0)</f>
        <v>6</v>
      </c>
    </row>
    <row r="3605">
      <c r="A3605" s="87" t="str">
        <f>IFERROR(__xludf.DUMMYFUNCTION("""COMPUTED_VALUE"""),"ITBISA-RELAY-5V-5PIN-BLUE")</f>
        <v>ITBISA-RELAY-5V-5PIN-BLUE</v>
      </c>
      <c r="B3605" s="165">
        <f>IFERROR(__xludf.DUMMYFUNCTION("""COMPUTED_VALUE"""),46155.0)</f>
        <v>46155</v>
      </c>
      <c r="C3605" s="165" t="str">
        <f>IFERROR(__xludf.DUMMYFUNCTION("""COMPUTED_VALUE"""),"KYAI KONTONG")</f>
        <v>KYAI KONTONG</v>
      </c>
      <c r="D3605" s="94">
        <f>IFERROR(__xludf.DUMMYFUNCTION("""COMPUTED_VALUE"""),6.0)</f>
        <v>6</v>
      </c>
    </row>
    <row r="3606">
      <c r="A3606" s="87" t="str">
        <f>IFERROR(__xludf.DUMMYFUNCTION("""COMPUTED_VALUE"""),"ITBISA-RELAY-5V-5PIN-BLUE")</f>
        <v>ITBISA-RELAY-5V-5PIN-BLUE</v>
      </c>
      <c r="B3606" s="165">
        <f>IFERROR(__xludf.DUMMYFUNCTION("""COMPUTED_VALUE"""),46155.0)</f>
        <v>46155</v>
      </c>
      <c r="C3606" s="165" t="str">
        <f>IFERROR(__xludf.DUMMYFUNCTION("""COMPUTED_VALUE"""),"KYAI KONTONG")</f>
        <v>KYAI KONTONG</v>
      </c>
      <c r="D3606" s="94">
        <f>IFERROR(__xludf.DUMMYFUNCTION("""COMPUTED_VALUE"""),50.0)</f>
        <v>50</v>
      </c>
    </row>
    <row r="3607">
      <c r="A3607" s="87" t="str">
        <f>IFERROR(__xludf.DUMMYFUNCTION("""COMPUTED_VALUE"""),"ITBISA-RELAY-5V-5PIN-BLUE")</f>
        <v>ITBISA-RELAY-5V-5PIN-BLUE</v>
      </c>
      <c r="B3607" s="165">
        <f>IFERROR(__xludf.DUMMYFUNCTION("""COMPUTED_VALUE"""),46155.0)</f>
        <v>46155</v>
      </c>
      <c r="C3607" s="165" t="str">
        <f>IFERROR(__xludf.DUMMYFUNCTION("""COMPUTED_VALUE"""),"KYAI KONTONG")</f>
        <v>KYAI KONTONG</v>
      </c>
      <c r="D3607" s="94">
        <f>IFERROR(__xludf.DUMMYFUNCTION("""COMPUTED_VALUE"""),100.0)</f>
        <v>100</v>
      </c>
    </row>
    <row r="3608">
      <c r="A3608" s="87" t="str">
        <f>IFERROR(__xludf.DUMMYFUNCTION("""COMPUTED_VALUE"""),"ITBISA-RELAY-5V-5PIN-BLUE")</f>
        <v>ITBISA-RELAY-5V-5PIN-BLUE</v>
      </c>
      <c r="B3608" s="165">
        <f>IFERROR(__xludf.DUMMYFUNCTION("""COMPUTED_VALUE"""),46156.0)</f>
        <v>46156</v>
      </c>
      <c r="C3608" s="165" t="str">
        <f>IFERROR(__xludf.DUMMYFUNCTION("""COMPUTED_VALUE"""),"KYAI KONTONG")</f>
        <v>KYAI KONTONG</v>
      </c>
      <c r="D3608" s="94">
        <f>IFERROR(__xludf.DUMMYFUNCTION("""COMPUTED_VALUE"""),10.0)</f>
        <v>10</v>
      </c>
    </row>
    <row r="3609">
      <c r="A3609" s="87" t="str">
        <f>IFERROR(__xludf.DUMMYFUNCTION("""COMPUTED_VALUE"""),"ITBISA-RELAY-5V-5PIN-BLUE")</f>
        <v>ITBISA-RELAY-5V-5PIN-BLUE</v>
      </c>
      <c r="B3609" s="165">
        <f>IFERROR(__xludf.DUMMYFUNCTION("""COMPUTED_VALUE"""),46156.0)</f>
        <v>46156</v>
      </c>
      <c r="C3609" s="165" t="str">
        <f>IFERROR(__xludf.DUMMYFUNCTION("""COMPUTED_VALUE"""),"KYAI KONTONG")</f>
        <v>KYAI KONTONG</v>
      </c>
      <c r="D3609" s="94">
        <f>IFERROR(__xludf.DUMMYFUNCTION("""COMPUTED_VALUE"""),20.0)</f>
        <v>20</v>
      </c>
    </row>
    <row r="3610">
      <c r="A3610" s="87" t="str">
        <f>IFERROR(__xludf.DUMMYFUNCTION("""COMPUTED_VALUE"""),"ITBISA-RELAY-5V-5PIN-BLUE")</f>
        <v>ITBISA-RELAY-5V-5PIN-BLUE</v>
      </c>
      <c r="B3610" s="165">
        <f>IFERROR(__xludf.DUMMYFUNCTION("""COMPUTED_VALUE"""),46157.0)</f>
        <v>46157</v>
      </c>
      <c r="C3610" s="165" t="str">
        <f>IFERROR(__xludf.DUMMYFUNCTION("""COMPUTED_VALUE"""),"KYAI KONTONG")</f>
        <v>KYAI KONTONG</v>
      </c>
      <c r="D3610" s="94">
        <f>IFERROR(__xludf.DUMMYFUNCTION("""COMPUTED_VALUE"""),5.0)</f>
        <v>5</v>
      </c>
    </row>
    <row r="3611">
      <c r="A3611" s="87" t="str">
        <f>IFERROR(__xludf.DUMMYFUNCTION("""COMPUTED_VALUE"""),"ITBISA-RELAY-5V-5PIN-BLUE")</f>
        <v>ITBISA-RELAY-5V-5PIN-BLUE</v>
      </c>
      <c r="B3611" s="165">
        <f>IFERROR(__xludf.DUMMYFUNCTION("""COMPUTED_VALUE"""),46157.0)</f>
        <v>46157</v>
      </c>
      <c r="C3611" s="165" t="str">
        <f>IFERROR(__xludf.DUMMYFUNCTION("""COMPUTED_VALUE"""),"KYAI KONTONG")</f>
        <v>KYAI KONTONG</v>
      </c>
      <c r="D3611" s="94">
        <f>IFERROR(__xludf.DUMMYFUNCTION("""COMPUTED_VALUE"""),15.0)</f>
        <v>15</v>
      </c>
    </row>
    <row r="3612">
      <c r="A3612" s="87" t="str">
        <f>IFERROR(__xludf.DUMMYFUNCTION("""COMPUTED_VALUE"""),"ITBISA-RELAY-5V-5PIN-BLUE")</f>
        <v>ITBISA-RELAY-5V-5PIN-BLUE</v>
      </c>
      <c r="B3612" s="165">
        <f>IFERROR(__xludf.DUMMYFUNCTION("""COMPUTED_VALUE"""),46157.0)</f>
        <v>46157</v>
      </c>
      <c r="C3612" s="165" t="str">
        <f>IFERROR(__xludf.DUMMYFUNCTION("""COMPUTED_VALUE"""),"KYAI KONTONG")</f>
        <v>KYAI KONTONG</v>
      </c>
      <c r="D3612" s="94">
        <f>IFERROR(__xludf.DUMMYFUNCTION("""COMPUTED_VALUE"""),100.0)</f>
        <v>100</v>
      </c>
    </row>
    <row r="3613">
      <c r="A3613" s="87" t="str">
        <f>IFERROR(__xludf.DUMMYFUNCTION("""COMPUTED_VALUE"""),"ITBISA-RELAY-5V-5PIN-BLUE")</f>
        <v>ITBISA-RELAY-5V-5PIN-BLUE</v>
      </c>
      <c r="B3613" s="165">
        <f>IFERROR(__xludf.DUMMYFUNCTION("""COMPUTED_VALUE"""),46158.0)</f>
        <v>46158</v>
      </c>
      <c r="C3613" s="165" t="str">
        <f>IFERROR(__xludf.DUMMYFUNCTION("""COMPUTED_VALUE"""),"KYAI KONTONG")</f>
        <v>KYAI KONTONG</v>
      </c>
      <c r="D3613" s="94">
        <f>IFERROR(__xludf.DUMMYFUNCTION("""COMPUTED_VALUE"""),13.0)</f>
        <v>13</v>
      </c>
    </row>
    <row r="3614">
      <c r="A3614" s="87" t="str">
        <f>IFERROR(__xludf.DUMMYFUNCTION("""COMPUTED_VALUE"""),"ITBISA-RELAY-5V-5PIN-BLUE")</f>
        <v>ITBISA-RELAY-5V-5PIN-BLUE</v>
      </c>
      <c r="B3614" s="165">
        <f>IFERROR(__xludf.DUMMYFUNCTION("""COMPUTED_VALUE"""),46159.0)</f>
        <v>46159</v>
      </c>
      <c r="C3614" s="165" t="str">
        <f>IFERROR(__xludf.DUMMYFUNCTION("""COMPUTED_VALUE"""),"KYAI KONTONG")</f>
        <v>KYAI KONTONG</v>
      </c>
      <c r="D3614" s="94">
        <f>IFERROR(__xludf.DUMMYFUNCTION("""COMPUTED_VALUE"""),6.0)</f>
        <v>6</v>
      </c>
    </row>
    <row r="3615">
      <c r="A3615" s="87" t="str">
        <f>IFERROR(__xludf.DUMMYFUNCTION("""COMPUTED_VALUE"""),"ITBISA-RELAY-5V-5PIN-BLUE")</f>
        <v>ITBISA-RELAY-5V-5PIN-BLUE</v>
      </c>
      <c r="B3615" s="165">
        <f>IFERROR(__xludf.DUMMYFUNCTION("""COMPUTED_VALUE"""),46159.0)</f>
        <v>46159</v>
      </c>
      <c r="C3615" s="165" t="str">
        <f>IFERROR(__xludf.DUMMYFUNCTION("""COMPUTED_VALUE"""),"KYAI KONTONG")</f>
        <v>KYAI KONTONG</v>
      </c>
      <c r="D3615" s="94">
        <f>IFERROR(__xludf.DUMMYFUNCTION("""COMPUTED_VALUE"""),10.0)</f>
        <v>10</v>
      </c>
    </row>
    <row r="3616">
      <c r="A3616" s="87" t="str">
        <f>IFERROR(__xludf.DUMMYFUNCTION("""COMPUTED_VALUE"""),"ITBISA-RELAY-5V-5PIN-BLUE")</f>
        <v>ITBISA-RELAY-5V-5PIN-BLUE</v>
      </c>
      <c r="B3616" s="165">
        <f>IFERROR(__xludf.DUMMYFUNCTION("""COMPUTED_VALUE"""),46159.0)</f>
        <v>46159</v>
      </c>
      <c r="C3616" s="165" t="str">
        <f>IFERROR(__xludf.DUMMYFUNCTION("""COMPUTED_VALUE"""),"KYAI KONTONG")</f>
        <v>KYAI KONTONG</v>
      </c>
      <c r="D3616" s="94">
        <f>IFERROR(__xludf.DUMMYFUNCTION("""COMPUTED_VALUE"""),10.0)</f>
        <v>10</v>
      </c>
    </row>
    <row r="3617">
      <c r="A3617" s="87" t="str">
        <f>IFERROR(__xludf.DUMMYFUNCTION("""COMPUTED_VALUE"""),"ITBISA-RELAY-5V-5PIN-BLUE")</f>
        <v>ITBISA-RELAY-5V-5PIN-BLUE</v>
      </c>
      <c r="B3617" s="165">
        <f>IFERROR(__xludf.DUMMYFUNCTION("""COMPUTED_VALUE"""),46161.0)</f>
        <v>46161</v>
      </c>
      <c r="C3617" s="165" t="str">
        <f>IFERROR(__xludf.DUMMYFUNCTION("""COMPUTED_VALUE"""),"KYAI KONTONG")</f>
        <v>KYAI KONTONG</v>
      </c>
      <c r="D3617" s="94">
        <f>IFERROR(__xludf.DUMMYFUNCTION("""COMPUTED_VALUE"""),5.0)</f>
        <v>5</v>
      </c>
    </row>
    <row r="3618">
      <c r="A3618" s="87" t="str">
        <f>IFERROR(__xludf.DUMMYFUNCTION("""COMPUTED_VALUE"""),"ITBISA-RELAY-5V-5PIN-BLUE")</f>
        <v>ITBISA-RELAY-5V-5PIN-BLUE</v>
      </c>
      <c r="B3618" s="165">
        <f>IFERROR(__xludf.DUMMYFUNCTION("""COMPUTED_VALUE"""),46161.0)</f>
        <v>46161</v>
      </c>
      <c r="C3618" s="165" t="str">
        <f>IFERROR(__xludf.DUMMYFUNCTION("""COMPUTED_VALUE"""),"KYAI KONTONG")</f>
        <v>KYAI KONTONG</v>
      </c>
      <c r="D3618" s="94">
        <f>IFERROR(__xludf.DUMMYFUNCTION("""COMPUTED_VALUE"""),10.0)</f>
        <v>10</v>
      </c>
    </row>
    <row r="3619">
      <c r="A3619" s="87" t="str">
        <f>IFERROR(__xludf.DUMMYFUNCTION("""COMPUTED_VALUE"""),"ITBISA-RELAY-5V-5PIN-BLUE")</f>
        <v>ITBISA-RELAY-5V-5PIN-BLUE</v>
      </c>
      <c r="B3619" s="165">
        <f>IFERROR(__xludf.DUMMYFUNCTION("""COMPUTED_VALUE"""),46161.0)</f>
        <v>46161</v>
      </c>
      <c r="C3619" s="165" t="str">
        <f>IFERROR(__xludf.DUMMYFUNCTION("""COMPUTED_VALUE"""),"KYAI KONTONG")</f>
        <v>KYAI KONTONG</v>
      </c>
      <c r="D3619" s="94">
        <f>IFERROR(__xludf.DUMMYFUNCTION("""COMPUTED_VALUE"""),20.0)</f>
        <v>20</v>
      </c>
    </row>
    <row r="3620">
      <c r="A3620" s="87" t="str">
        <f>IFERROR(__xludf.DUMMYFUNCTION("""COMPUTED_VALUE"""),"ITBISA-RELAY-5V-5PIN-BLUE")</f>
        <v>ITBISA-RELAY-5V-5PIN-BLUE</v>
      </c>
      <c r="B3620" s="165">
        <f>IFERROR(__xludf.DUMMYFUNCTION("""COMPUTED_VALUE"""),46162.0)</f>
        <v>46162</v>
      </c>
      <c r="C3620" s="165" t="str">
        <f>IFERROR(__xludf.DUMMYFUNCTION("""COMPUTED_VALUE"""),"KYAI KONTONG")</f>
        <v>KYAI KONTONG</v>
      </c>
      <c r="D3620" s="94">
        <f>IFERROR(__xludf.DUMMYFUNCTION("""COMPUTED_VALUE"""),5.0)</f>
        <v>5</v>
      </c>
    </row>
    <row r="3621">
      <c r="A3621" s="87" t="str">
        <f>IFERROR(__xludf.DUMMYFUNCTION("""COMPUTED_VALUE"""),"ITBISA-RELAY-5V-5PIN-BLUE")</f>
        <v>ITBISA-RELAY-5V-5PIN-BLUE</v>
      </c>
      <c r="B3621" s="165">
        <f>IFERROR(__xludf.DUMMYFUNCTION("""COMPUTED_VALUE"""),46162.0)</f>
        <v>46162</v>
      </c>
      <c r="C3621" s="165" t="str">
        <f>IFERROR(__xludf.DUMMYFUNCTION("""COMPUTED_VALUE"""),"KYAI KONTONG")</f>
        <v>KYAI KONTONG</v>
      </c>
      <c r="D3621" s="94">
        <f>IFERROR(__xludf.DUMMYFUNCTION("""COMPUTED_VALUE"""),10.0)</f>
        <v>10</v>
      </c>
    </row>
    <row r="3622">
      <c r="A3622" s="87" t="str">
        <f>IFERROR(__xludf.DUMMYFUNCTION("""COMPUTED_VALUE"""),"ITBISA-RELAY-5V-5PIN-BLUE")</f>
        <v>ITBISA-RELAY-5V-5PIN-BLUE</v>
      </c>
      <c r="B3622" s="165">
        <f>IFERROR(__xludf.DUMMYFUNCTION("""COMPUTED_VALUE"""),46162.0)</f>
        <v>46162</v>
      </c>
      <c r="C3622" s="165" t="str">
        <f>IFERROR(__xludf.DUMMYFUNCTION("""COMPUTED_VALUE"""),"KYAI KONTONG")</f>
        <v>KYAI KONTONG</v>
      </c>
      <c r="D3622" s="94">
        <f>IFERROR(__xludf.DUMMYFUNCTION("""COMPUTED_VALUE"""),10.0)</f>
        <v>10</v>
      </c>
    </row>
    <row r="3623">
      <c r="A3623" s="87" t="str">
        <f>IFERROR(__xludf.DUMMYFUNCTION("""COMPUTED_VALUE"""),"ITBISA-RELAY-5V-5PIN-BLUE")</f>
        <v>ITBISA-RELAY-5V-5PIN-BLUE</v>
      </c>
      <c r="B3623" s="165">
        <f>IFERROR(__xludf.DUMMYFUNCTION("""COMPUTED_VALUE"""),46162.0)</f>
        <v>46162</v>
      </c>
      <c r="C3623" s="165" t="str">
        <f>IFERROR(__xludf.DUMMYFUNCTION("""COMPUTED_VALUE"""),"KYAI KONTONG")</f>
        <v>KYAI KONTONG</v>
      </c>
      <c r="D3623" s="94">
        <f>IFERROR(__xludf.DUMMYFUNCTION("""COMPUTED_VALUE"""),13.0)</f>
        <v>13</v>
      </c>
    </row>
    <row r="3624">
      <c r="A3624" s="87" t="str">
        <f>IFERROR(__xludf.DUMMYFUNCTION("""COMPUTED_VALUE"""),"ITBISA-RELAY-5V-5PIN-BLUE")</f>
        <v>ITBISA-RELAY-5V-5PIN-BLUE</v>
      </c>
      <c r="B3624" s="165">
        <f>IFERROR(__xludf.DUMMYFUNCTION("""COMPUTED_VALUE"""),46162.0)</f>
        <v>46162</v>
      </c>
      <c r="C3624" s="165" t="str">
        <f>IFERROR(__xludf.DUMMYFUNCTION("""COMPUTED_VALUE"""),"KYAI KONTONG")</f>
        <v>KYAI KONTONG</v>
      </c>
      <c r="D3624" s="94">
        <f>IFERROR(__xludf.DUMMYFUNCTION("""COMPUTED_VALUE"""),15.0)</f>
        <v>15</v>
      </c>
    </row>
    <row r="3625">
      <c r="A3625" s="87" t="str">
        <f>IFERROR(__xludf.DUMMYFUNCTION("""COMPUTED_VALUE"""),"ITBISA-RELAY-5V-5PIN-BLUE")</f>
        <v>ITBISA-RELAY-5V-5PIN-BLUE</v>
      </c>
      <c r="B3625" s="165">
        <f>IFERROR(__xludf.DUMMYFUNCTION("""COMPUTED_VALUE"""),46162.0)</f>
        <v>46162</v>
      </c>
      <c r="C3625" s="165" t="str">
        <f>IFERROR(__xludf.DUMMYFUNCTION("""COMPUTED_VALUE"""),"KYAI KONTONG")</f>
        <v>KYAI KONTONG</v>
      </c>
      <c r="D3625" s="94">
        <f>IFERROR(__xludf.DUMMYFUNCTION("""COMPUTED_VALUE"""),20.0)</f>
        <v>20</v>
      </c>
    </row>
    <row r="3626">
      <c r="A3626" s="87" t="str">
        <f>IFERROR(__xludf.DUMMYFUNCTION("""COMPUTED_VALUE"""),"ITBISA-RELAY-5V-5PIN-BLUE")</f>
        <v>ITBISA-RELAY-5V-5PIN-BLUE</v>
      </c>
      <c r="B3626" s="165">
        <f>IFERROR(__xludf.DUMMYFUNCTION("""COMPUTED_VALUE"""),46162.0)</f>
        <v>46162</v>
      </c>
      <c r="C3626" s="165" t="str">
        <f>IFERROR(__xludf.DUMMYFUNCTION("""COMPUTED_VALUE"""),"KYAI KONTONG")</f>
        <v>KYAI KONTONG</v>
      </c>
      <c r="D3626" s="94">
        <f>IFERROR(__xludf.DUMMYFUNCTION("""COMPUTED_VALUE"""),50.0)</f>
        <v>50</v>
      </c>
    </row>
    <row r="3627">
      <c r="A3627" s="87" t="str">
        <f>IFERROR(__xludf.DUMMYFUNCTION("""COMPUTED_VALUE"""),"ITBISA-RELAY-5V-5PIN-BLUE")</f>
        <v>ITBISA-RELAY-5V-5PIN-BLUE</v>
      </c>
      <c r="B3627" s="165">
        <f>IFERROR(__xludf.DUMMYFUNCTION("""COMPUTED_VALUE"""),46162.0)</f>
        <v>46162</v>
      </c>
      <c r="C3627" s="165" t="str">
        <f>IFERROR(__xludf.DUMMYFUNCTION("""COMPUTED_VALUE"""),"KYAI KONTONG")</f>
        <v>KYAI KONTONG</v>
      </c>
      <c r="D3627" s="94">
        <f>IFERROR(__xludf.DUMMYFUNCTION("""COMPUTED_VALUE"""),50.0)</f>
        <v>50</v>
      </c>
    </row>
    <row r="3628">
      <c r="A3628" s="87" t="str">
        <f>IFERROR(__xludf.DUMMYFUNCTION("""COMPUTED_VALUE"""),"ITBISA-RELAY-5V-5PIN-BLUE")</f>
        <v>ITBISA-RELAY-5V-5PIN-BLUE</v>
      </c>
      <c r="B3628" s="165">
        <f>IFERROR(__xludf.DUMMYFUNCTION("""COMPUTED_VALUE"""),46163.0)</f>
        <v>46163</v>
      </c>
      <c r="C3628" s="165" t="str">
        <f>IFERROR(__xludf.DUMMYFUNCTION("""COMPUTED_VALUE"""),"KYAI KONTONG")</f>
        <v>KYAI KONTONG</v>
      </c>
      <c r="D3628" s="94">
        <f>IFERROR(__xludf.DUMMYFUNCTION("""COMPUTED_VALUE"""),5.0)</f>
        <v>5</v>
      </c>
    </row>
    <row r="3629">
      <c r="A3629" s="87" t="str">
        <f>IFERROR(__xludf.DUMMYFUNCTION("""COMPUTED_VALUE"""),"ITBISA-RELAY-5V-5PIN-BLUE")</f>
        <v>ITBISA-RELAY-5V-5PIN-BLUE</v>
      </c>
      <c r="B3629" s="165">
        <f>IFERROR(__xludf.DUMMYFUNCTION("""COMPUTED_VALUE"""),46163.0)</f>
        <v>46163</v>
      </c>
      <c r="C3629" s="165" t="str">
        <f>IFERROR(__xludf.DUMMYFUNCTION("""COMPUTED_VALUE"""),"KYAI KONTONG")</f>
        <v>KYAI KONTONG</v>
      </c>
      <c r="D3629" s="94">
        <f>IFERROR(__xludf.DUMMYFUNCTION("""COMPUTED_VALUE"""),10.0)</f>
        <v>10</v>
      </c>
    </row>
    <row r="3630">
      <c r="A3630" s="87" t="str">
        <f>IFERROR(__xludf.DUMMYFUNCTION("""COMPUTED_VALUE"""),"ITBISA-RELAY-5V-5PIN-BLUE")</f>
        <v>ITBISA-RELAY-5V-5PIN-BLUE</v>
      </c>
      <c r="B3630" s="165">
        <f>IFERROR(__xludf.DUMMYFUNCTION("""COMPUTED_VALUE"""),46163.0)</f>
        <v>46163</v>
      </c>
      <c r="C3630" s="165" t="str">
        <f>IFERROR(__xludf.DUMMYFUNCTION("""COMPUTED_VALUE"""),"KYAI KONTONG")</f>
        <v>KYAI KONTONG</v>
      </c>
      <c r="D3630" s="94">
        <f>IFERROR(__xludf.DUMMYFUNCTION("""COMPUTED_VALUE"""),13.0)</f>
        <v>13</v>
      </c>
    </row>
    <row r="3631">
      <c r="A3631" s="87" t="str">
        <f>IFERROR(__xludf.DUMMYFUNCTION("""COMPUTED_VALUE"""),"ITBISA-RELAY-5V-5PIN-BLUE")</f>
        <v>ITBISA-RELAY-5V-5PIN-BLUE</v>
      </c>
      <c r="B3631" s="165">
        <f>IFERROR(__xludf.DUMMYFUNCTION("""COMPUTED_VALUE"""),46164.0)</f>
        <v>46164</v>
      </c>
      <c r="C3631" s="165" t="str">
        <f>IFERROR(__xludf.DUMMYFUNCTION("""COMPUTED_VALUE"""),"KYAI KONTONG")</f>
        <v>KYAI KONTONG</v>
      </c>
      <c r="D3631" s="94">
        <f>IFERROR(__xludf.DUMMYFUNCTION("""COMPUTED_VALUE"""),2.0)</f>
        <v>2</v>
      </c>
    </row>
    <row r="3632">
      <c r="A3632" s="87" t="str">
        <f>IFERROR(__xludf.DUMMYFUNCTION("""COMPUTED_VALUE"""),"ITBISA-RELAY-5V-5PIN-BLUE")</f>
        <v>ITBISA-RELAY-5V-5PIN-BLUE</v>
      </c>
      <c r="B3632" s="165">
        <f>IFERROR(__xludf.DUMMYFUNCTION("""COMPUTED_VALUE"""),46164.0)</f>
        <v>46164</v>
      </c>
      <c r="C3632" s="165" t="str">
        <f>IFERROR(__xludf.DUMMYFUNCTION("""COMPUTED_VALUE"""),"KYAI KONTONG")</f>
        <v>KYAI KONTONG</v>
      </c>
      <c r="D3632" s="94">
        <f>IFERROR(__xludf.DUMMYFUNCTION("""COMPUTED_VALUE"""),5.0)</f>
        <v>5</v>
      </c>
    </row>
    <row r="3633">
      <c r="A3633" s="87" t="str">
        <f>IFERROR(__xludf.DUMMYFUNCTION("""COMPUTED_VALUE"""),"ITBISA-RELAY-5V-5PIN-BLUE")</f>
        <v>ITBISA-RELAY-5V-5PIN-BLUE</v>
      </c>
      <c r="B3633" s="165">
        <f>IFERROR(__xludf.DUMMYFUNCTION("""COMPUTED_VALUE"""),46164.0)</f>
        <v>46164</v>
      </c>
      <c r="C3633" s="165" t="str">
        <f>IFERROR(__xludf.DUMMYFUNCTION("""COMPUTED_VALUE"""),"KYAI KONTONG")</f>
        <v>KYAI KONTONG</v>
      </c>
      <c r="D3633" s="94">
        <f>IFERROR(__xludf.DUMMYFUNCTION("""COMPUTED_VALUE"""),5.0)</f>
        <v>5</v>
      </c>
    </row>
    <row r="3634">
      <c r="A3634" s="87" t="str">
        <f>IFERROR(__xludf.DUMMYFUNCTION("""COMPUTED_VALUE"""),"ITBISA-RELAY-5V-5PIN-BLUE")</f>
        <v>ITBISA-RELAY-5V-5PIN-BLUE</v>
      </c>
      <c r="B3634" s="165">
        <f>IFERROR(__xludf.DUMMYFUNCTION("""COMPUTED_VALUE"""),46164.0)</f>
        <v>46164</v>
      </c>
      <c r="C3634" s="165" t="str">
        <f>IFERROR(__xludf.DUMMYFUNCTION("""COMPUTED_VALUE"""),"KYAI KONTONG")</f>
        <v>KYAI KONTONG</v>
      </c>
      <c r="D3634" s="94">
        <f>IFERROR(__xludf.DUMMYFUNCTION("""COMPUTED_VALUE"""),5.0)</f>
        <v>5</v>
      </c>
    </row>
    <row r="3635">
      <c r="A3635" s="87" t="str">
        <f>IFERROR(__xludf.DUMMYFUNCTION("""COMPUTED_VALUE"""),"ITBISA-RELAY-5V-5PIN-BLUE")</f>
        <v>ITBISA-RELAY-5V-5PIN-BLUE</v>
      </c>
      <c r="B3635" s="165">
        <f>IFERROR(__xludf.DUMMYFUNCTION("""COMPUTED_VALUE"""),46165.0)</f>
        <v>46165</v>
      </c>
      <c r="C3635" s="165" t="str">
        <f>IFERROR(__xludf.DUMMYFUNCTION("""COMPUTED_VALUE"""),"KYAI KONTONG")</f>
        <v>KYAI KONTONG</v>
      </c>
      <c r="D3635" s="94">
        <f>IFERROR(__xludf.DUMMYFUNCTION("""COMPUTED_VALUE"""),1.0)</f>
        <v>1</v>
      </c>
    </row>
    <row r="3636">
      <c r="A3636" s="87" t="str">
        <f>IFERROR(__xludf.DUMMYFUNCTION("""COMPUTED_VALUE"""),"ITBISA-RELAY-5V-5PIN-BLUE")</f>
        <v>ITBISA-RELAY-5V-5PIN-BLUE</v>
      </c>
      <c r="B3636" s="165">
        <f>IFERROR(__xludf.DUMMYFUNCTION("""COMPUTED_VALUE"""),46165.0)</f>
        <v>46165</v>
      </c>
      <c r="C3636" s="165" t="str">
        <f>IFERROR(__xludf.DUMMYFUNCTION("""COMPUTED_VALUE"""),"KYAI KONTONG")</f>
        <v>KYAI KONTONG</v>
      </c>
      <c r="D3636" s="94">
        <f>IFERROR(__xludf.DUMMYFUNCTION("""COMPUTED_VALUE"""),5.0)</f>
        <v>5</v>
      </c>
    </row>
    <row r="3637">
      <c r="A3637" s="87" t="str">
        <f>IFERROR(__xludf.DUMMYFUNCTION("""COMPUTED_VALUE"""),"ITBISA-RELAY-5V-5PIN-BLUE")</f>
        <v>ITBISA-RELAY-5V-5PIN-BLUE</v>
      </c>
      <c r="B3637" s="165">
        <f>IFERROR(__xludf.DUMMYFUNCTION("""COMPUTED_VALUE"""),46165.0)</f>
        <v>46165</v>
      </c>
      <c r="C3637" s="165" t="str">
        <f>IFERROR(__xludf.DUMMYFUNCTION("""COMPUTED_VALUE"""),"KYAI KONTONG")</f>
        <v>KYAI KONTONG</v>
      </c>
      <c r="D3637" s="94">
        <f>IFERROR(__xludf.DUMMYFUNCTION("""COMPUTED_VALUE"""),10.0)</f>
        <v>10</v>
      </c>
    </row>
    <row r="3638">
      <c r="A3638" s="87" t="str">
        <f>IFERROR(__xludf.DUMMYFUNCTION("""COMPUTED_VALUE"""),"ITBISA-RELAY-5V-5PIN-BLUE")</f>
        <v>ITBISA-RELAY-5V-5PIN-BLUE</v>
      </c>
      <c r="B3638" s="165">
        <f>IFERROR(__xludf.DUMMYFUNCTION("""COMPUTED_VALUE"""),46165.0)</f>
        <v>46165</v>
      </c>
      <c r="C3638" s="165" t="str">
        <f>IFERROR(__xludf.DUMMYFUNCTION("""COMPUTED_VALUE"""),"KYAI KONTONG")</f>
        <v>KYAI KONTONG</v>
      </c>
      <c r="D3638" s="94">
        <f>IFERROR(__xludf.DUMMYFUNCTION("""COMPUTED_VALUE"""),10.0)</f>
        <v>10</v>
      </c>
    </row>
    <row r="3639">
      <c r="A3639" s="87" t="str">
        <f>IFERROR(__xludf.DUMMYFUNCTION("""COMPUTED_VALUE"""),"ITBISA-RELAY-5V-5PIN-BLUE")</f>
        <v>ITBISA-RELAY-5V-5PIN-BLUE</v>
      </c>
      <c r="B3639" s="165">
        <f>IFERROR(__xludf.DUMMYFUNCTION("""COMPUTED_VALUE"""),46165.0)</f>
        <v>46165</v>
      </c>
      <c r="C3639" s="165" t="str">
        <f>IFERROR(__xludf.DUMMYFUNCTION("""COMPUTED_VALUE"""),"KYAI KONTONG")</f>
        <v>KYAI KONTONG</v>
      </c>
      <c r="D3639" s="94">
        <f>IFERROR(__xludf.DUMMYFUNCTION("""COMPUTED_VALUE"""),25.0)</f>
        <v>25</v>
      </c>
    </row>
    <row r="3640">
      <c r="A3640" s="87" t="str">
        <f>IFERROR(__xludf.DUMMYFUNCTION("""COMPUTED_VALUE"""),"ITBISA-RELAY-5V-5PIN-BLUE")</f>
        <v>ITBISA-RELAY-5V-5PIN-BLUE</v>
      </c>
      <c r="B3640" s="165">
        <f>IFERROR(__xludf.DUMMYFUNCTION("""COMPUTED_VALUE"""),46165.0)</f>
        <v>46165</v>
      </c>
      <c r="C3640" s="165" t="str">
        <f>IFERROR(__xludf.DUMMYFUNCTION("""COMPUTED_VALUE"""),"KYAI KONTONG")</f>
        <v>KYAI KONTONG</v>
      </c>
      <c r="D3640" s="94">
        <f>IFERROR(__xludf.DUMMYFUNCTION("""COMPUTED_VALUE"""),30.0)</f>
        <v>30</v>
      </c>
    </row>
    <row r="3641">
      <c r="A3641" s="87" t="str">
        <f>IFERROR(__xludf.DUMMYFUNCTION("""COMPUTED_VALUE"""),"ITBISA-RELAY-5V-5PIN-BLUE")</f>
        <v>ITBISA-RELAY-5V-5PIN-BLUE</v>
      </c>
      <c r="B3641" s="165">
        <f>IFERROR(__xludf.DUMMYFUNCTION("""COMPUTED_VALUE"""),46166.0)</f>
        <v>46166</v>
      </c>
      <c r="C3641" s="165" t="str">
        <f>IFERROR(__xludf.DUMMYFUNCTION("""COMPUTED_VALUE"""),"KYAI KONTONG")</f>
        <v>KYAI KONTONG</v>
      </c>
      <c r="D3641" s="94">
        <f>IFERROR(__xludf.DUMMYFUNCTION("""COMPUTED_VALUE"""),20.0)</f>
        <v>20</v>
      </c>
    </row>
    <row r="3642">
      <c r="A3642" s="87" t="str">
        <f>IFERROR(__xludf.DUMMYFUNCTION("""COMPUTED_VALUE"""),"ITBISA-RELAY-5V-5PIN-BLUE")</f>
        <v>ITBISA-RELAY-5V-5PIN-BLUE</v>
      </c>
      <c r="B3642" s="165">
        <f>IFERROR(__xludf.DUMMYFUNCTION("""COMPUTED_VALUE"""),46167.0)</f>
        <v>46167</v>
      </c>
      <c r="C3642" s="165" t="str">
        <f>IFERROR(__xludf.DUMMYFUNCTION("""COMPUTED_VALUE"""),"KYAI KONTONG")</f>
        <v>KYAI KONTONG</v>
      </c>
      <c r="D3642" s="94">
        <f>IFERROR(__xludf.DUMMYFUNCTION("""COMPUTED_VALUE"""),25.0)</f>
        <v>25</v>
      </c>
    </row>
    <row r="3643">
      <c r="A3643" s="87" t="str">
        <f>IFERROR(__xludf.DUMMYFUNCTION("""COMPUTED_VALUE"""),"ITBISA-RELAY-5V-5PIN-BLUE")</f>
        <v>ITBISA-RELAY-5V-5PIN-BLUE</v>
      </c>
      <c r="B3643" s="165">
        <f>IFERROR(__xludf.DUMMYFUNCTION("""COMPUTED_VALUE"""),46167.0)</f>
        <v>46167</v>
      </c>
      <c r="C3643" s="165" t="str">
        <f>IFERROR(__xludf.DUMMYFUNCTION("""COMPUTED_VALUE"""),"KYAI KONTONG")</f>
        <v>KYAI KONTONG</v>
      </c>
      <c r="D3643" s="94">
        <f>IFERROR(__xludf.DUMMYFUNCTION("""COMPUTED_VALUE"""),100.0)</f>
        <v>100</v>
      </c>
    </row>
    <row r="3644">
      <c r="A3644" s="87" t="str">
        <f>IFERROR(__xludf.DUMMYFUNCTION("""COMPUTED_VALUE"""),"ITBISA-RELAY-5V-5PIN-BLUE")</f>
        <v>ITBISA-RELAY-5V-5PIN-BLUE</v>
      </c>
      <c r="B3644" s="165">
        <f>IFERROR(__xludf.DUMMYFUNCTION("""COMPUTED_VALUE"""),46168.0)</f>
        <v>46168</v>
      </c>
      <c r="C3644" s="165" t="str">
        <f>IFERROR(__xludf.DUMMYFUNCTION("""COMPUTED_VALUE"""),"KYAI KONTONG")</f>
        <v>KYAI KONTONG</v>
      </c>
      <c r="D3644" s="94">
        <f>IFERROR(__xludf.DUMMYFUNCTION("""COMPUTED_VALUE"""),6.0)</f>
        <v>6</v>
      </c>
    </row>
    <row r="3645">
      <c r="A3645" s="87" t="str">
        <f>IFERROR(__xludf.DUMMYFUNCTION("""COMPUTED_VALUE"""),"ITBISA-RELAY-5V-5PIN-BLUE")</f>
        <v>ITBISA-RELAY-5V-5PIN-BLUE</v>
      </c>
      <c r="B3645" s="165">
        <f>IFERROR(__xludf.DUMMYFUNCTION("""COMPUTED_VALUE"""),46169.0)</f>
        <v>46169</v>
      </c>
      <c r="C3645" s="165" t="str">
        <f>IFERROR(__xludf.DUMMYFUNCTION("""COMPUTED_VALUE"""),"KYAI KONTONG")</f>
        <v>KYAI KONTONG</v>
      </c>
      <c r="D3645" s="94">
        <f>IFERROR(__xludf.DUMMYFUNCTION("""COMPUTED_VALUE"""),5.0)</f>
        <v>5</v>
      </c>
    </row>
    <row r="3646">
      <c r="A3646" s="87" t="str">
        <f>IFERROR(__xludf.DUMMYFUNCTION("""COMPUTED_VALUE"""),"ITBISA-RELAY-5V-5PIN-BLUE")</f>
        <v>ITBISA-RELAY-5V-5PIN-BLUE</v>
      </c>
      <c r="B3646" s="165">
        <f>IFERROR(__xludf.DUMMYFUNCTION("""COMPUTED_VALUE"""),46169.0)</f>
        <v>46169</v>
      </c>
      <c r="C3646" s="165" t="str">
        <f>IFERROR(__xludf.DUMMYFUNCTION("""COMPUTED_VALUE"""),"KYAI KONTONG")</f>
        <v>KYAI KONTONG</v>
      </c>
      <c r="D3646" s="94">
        <f>IFERROR(__xludf.DUMMYFUNCTION("""COMPUTED_VALUE"""),10.0)</f>
        <v>10</v>
      </c>
    </row>
    <row r="3647">
      <c r="A3647" s="87" t="str">
        <f>IFERROR(__xludf.DUMMYFUNCTION("""COMPUTED_VALUE"""),"ITBISA-RELAY-5V-5PIN-BLUE")</f>
        <v>ITBISA-RELAY-5V-5PIN-BLUE</v>
      </c>
      <c r="B3647" s="165">
        <f>IFERROR(__xludf.DUMMYFUNCTION("""COMPUTED_VALUE"""),46169.0)</f>
        <v>46169</v>
      </c>
      <c r="C3647" s="165" t="str">
        <f>IFERROR(__xludf.DUMMYFUNCTION("""COMPUTED_VALUE"""),"KYAI KONTONG")</f>
        <v>KYAI KONTONG</v>
      </c>
      <c r="D3647" s="94">
        <f>IFERROR(__xludf.DUMMYFUNCTION("""COMPUTED_VALUE"""),60.0)</f>
        <v>60</v>
      </c>
    </row>
    <row r="3648">
      <c r="A3648" s="87" t="str">
        <f>IFERROR(__xludf.DUMMYFUNCTION("""COMPUTED_VALUE"""),"ITBISA-RELAY-5V-5PIN-BLUE")</f>
        <v>ITBISA-RELAY-5V-5PIN-BLUE</v>
      </c>
      <c r="B3648" s="165">
        <f>IFERROR(__xludf.DUMMYFUNCTION("""COMPUTED_VALUE"""),46170.0)</f>
        <v>46170</v>
      </c>
      <c r="C3648" s="165" t="str">
        <f>IFERROR(__xludf.DUMMYFUNCTION("""COMPUTED_VALUE"""),"KYAI KONTONG")</f>
        <v>KYAI KONTONG</v>
      </c>
      <c r="D3648" s="94">
        <f>IFERROR(__xludf.DUMMYFUNCTION("""COMPUTED_VALUE"""),5.0)</f>
        <v>5</v>
      </c>
    </row>
    <row r="3649">
      <c r="A3649" s="87" t="str">
        <f>IFERROR(__xludf.DUMMYFUNCTION("""COMPUTED_VALUE"""),"ITBISA-RELAY-5V-5PIN-BLUE")</f>
        <v>ITBISA-RELAY-5V-5PIN-BLUE</v>
      </c>
      <c r="B3649" s="165">
        <f>IFERROR(__xludf.DUMMYFUNCTION("""COMPUTED_VALUE"""),46170.0)</f>
        <v>46170</v>
      </c>
      <c r="C3649" s="165" t="str">
        <f>IFERROR(__xludf.DUMMYFUNCTION("""COMPUTED_VALUE"""),"KYAI KONTONG")</f>
        <v>KYAI KONTONG</v>
      </c>
      <c r="D3649" s="94">
        <f>IFERROR(__xludf.DUMMYFUNCTION("""COMPUTED_VALUE"""),5.0)</f>
        <v>5</v>
      </c>
    </row>
    <row r="3650">
      <c r="A3650" s="87" t="str">
        <f>IFERROR(__xludf.DUMMYFUNCTION("""COMPUTED_VALUE"""),"ITBISA-RELAY-5V-5PIN-BLUE")</f>
        <v>ITBISA-RELAY-5V-5PIN-BLUE</v>
      </c>
      <c r="B3650" s="165">
        <f>IFERROR(__xludf.DUMMYFUNCTION("""COMPUTED_VALUE"""),46170.0)</f>
        <v>46170</v>
      </c>
      <c r="C3650" s="165" t="str">
        <f>IFERROR(__xludf.DUMMYFUNCTION("""COMPUTED_VALUE"""),"KYAI KONTONG")</f>
        <v>KYAI KONTONG</v>
      </c>
      <c r="D3650" s="94">
        <f>IFERROR(__xludf.DUMMYFUNCTION("""COMPUTED_VALUE"""),24.0)</f>
        <v>24</v>
      </c>
    </row>
    <row r="3651">
      <c r="A3651" s="87" t="str">
        <f>IFERROR(__xludf.DUMMYFUNCTION("""COMPUTED_VALUE"""),"ITBISA-RELAY-5V-5PIN-BLUE")</f>
        <v>ITBISA-RELAY-5V-5PIN-BLUE</v>
      </c>
      <c r="B3651" s="165">
        <f>IFERROR(__xludf.DUMMYFUNCTION("""COMPUTED_VALUE"""),46172.0)</f>
        <v>46172</v>
      </c>
      <c r="C3651" s="165" t="str">
        <f>IFERROR(__xludf.DUMMYFUNCTION("""COMPUTED_VALUE"""),"KYAI KONTONG")</f>
        <v>KYAI KONTONG</v>
      </c>
      <c r="D3651" s="94">
        <f>IFERROR(__xludf.DUMMYFUNCTION("""COMPUTED_VALUE"""),5.0)</f>
        <v>5</v>
      </c>
    </row>
    <row r="3652">
      <c r="A3652" s="87" t="str">
        <f>IFERROR(__xludf.DUMMYFUNCTION("""COMPUTED_VALUE"""),"ITBISA-RELAY-5V-5PIN-BLUE")</f>
        <v>ITBISA-RELAY-5V-5PIN-BLUE</v>
      </c>
      <c r="B3652" s="165">
        <f>IFERROR(__xludf.DUMMYFUNCTION("""COMPUTED_VALUE"""),46173.0)</f>
        <v>46173</v>
      </c>
      <c r="C3652" s="165" t="str">
        <f>IFERROR(__xludf.DUMMYFUNCTION("""COMPUTED_VALUE"""),"KYAI KONTONG")</f>
        <v>KYAI KONTONG</v>
      </c>
      <c r="D3652" s="94">
        <f>IFERROR(__xludf.DUMMYFUNCTION("""COMPUTED_VALUE"""),8.0)</f>
        <v>8</v>
      </c>
    </row>
    <row r="3653">
      <c r="A3653" s="87" t="str">
        <f>IFERROR(__xludf.DUMMYFUNCTION("""COMPUTED_VALUE"""),"ITBISA-RELAY-5V-5PIN-BLUE")</f>
        <v>ITBISA-RELAY-5V-5PIN-BLUE</v>
      </c>
      <c r="B3653" s="165">
        <f>IFERROR(__xludf.DUMMYFUNCTION("""COMPUTED_VALUE"""),46183.0)</f>
        <v>46183</v>
      </c>
      <c r="C3653" s="165" t="str">
        <f>IFERROR(__xludf.DUMMYFUNCTION("""COMPUTED_VALUE"""),"KYAI KONTONG")</f>
        <v>KYAI KONTONG</v>
      </c>
      <c r="D3653" s="94">
        <f>IFERROR(__xludf.DUMMYFUNCTION("""COMPUTED_VALUE"""),5.0)</f>
        <v>5</v>
      </c>
    </row>
    <row r="3654">
      <c r="A3654" s="87" t="str">
        <f>IFERROR(__xludf.DUMMYFUNCTION("""COMPUTED_VALUE"""),"ITBISA-RELAY-5V-5PIN-BLUE")</f>
        <v>ITBISA-RELAY-5V-5PIN-BLUE</v>
      </c>
      <c r="B3654" s="165">
        <f>IFERROR(__xludf.DUMMYFUNCTION("""COMPUTED_VALUE"""),46184.0)</f>
        <v>46184</v>
      </c>
      <c r="C3654" s="165" t="str">
        <f>IFERROR(__xludf.DUMMYFUNCTION("""COMPUTED_VALUE"""),"KYAI KONTONG")</f>
        <v>KYAI KONTONG</v>
      </c>
      <c r="D3654" s="94">
        <f>IFERROR(__xludf.DUMMYFUNCTION("""COMPUTED_VALUE"""),5.0)</f>
        <v>5</v>
      </c>
    </row>
    <row r="3655">
      <c r="A3655" s="87" t="str">
        <f>IFERROR(__xludf.DUMMYFUNCTION("""COMPUTED_VALUE"""),"ITBISA-RELAY-5V-5PIN-BLUE")</f>
        <v>ITBISA-RELAY-5V-5PIN-BLUE</v>
      </c>
      <c r="B3655" s="165">
        <f>IFERROR(__xludf.DUMMYFUNCTION("""COMPUTED_VALUE"""),46186.0)</f>
        <v>46186</v>
      </c>
      <c r="C3655" s="165" t="str">
        <f>IFERROR(__xludf.DUMMYFUNCTION("""COMPUTED_VALUE"""),"KYAI KONTONG")</f>
        <v>KYAI KONTONG</v>
      </c>
      <c r="D3655" s="94">
        <f>IFERROR(__xludf.DUMMYFUNCTION("""COMPUTED_VALUE"""),9.0)</f>
        <v>9</v>
      </c>
    </row>
    <row r="3656">
      <c r="A3656" s="87" t="str">
        <f>IFERROR(__xludf.DUMMYFUNCTION("""COMPUTED_VALUE"""),"ITBISA-RESISTOR-100K-1/4W")</f>
        <v>ITBISA-RESISTOR-100K-1/4W</v>
      </c>
      <c r="B3656" s="165">
        <f>IFERROR(__xludf.DUMMYFUNCTION("""COMPUTED_VALUE"""),46023.0)</f>
        <v>46023</v>
      </c>
      <c r="C3656" s="165" t="str">
        <f>IFERROR(__xludf.DUMMYFUNCTION("""COMPUTED_VALUE"""),"KYAI KONTONG")</f>
        <v>KYAI KONTONG</v>
      </c>
      <c r="D3656" s="94">
        <f>IFERROR(__xludf.DUMMYFUNCTION("""COMPUTED_VALUE"""),50.0)</f>
        <v>50</v>
      </c>
    </row>
    <row r="3657">
      <c r="A3657" s="87" t="str">
        <f>IFERROR(__xludf.DUMMYFUNCTION("""COMPUTED_VALUE"""),"ITBISA-RESISTOR-100K-1/4W")</f>
        <v>ITBISA-RESISTOR-100K-1/4W</v>
      </c>
      <c r="B3657" s="165">
        <f>IFERROR(__xludf.DUMMYFUNCTION("""COMPUTED_VALUE"""),46029.0)</f>
        <v>46029</v>
      </c>
      <c r="C3657" s="165" t="str">
        <f>IFERROR(__xludf.DUMMYFUNCTION("""COMPUTED_VALUE"""),"KERTASARI CIAMIS")</f>
        <v>KERTASARI CIAMIS</v>
      </c>
      <c r="D3657" s="94">
        <f>IFERROR(__xludf.DUMMYFUNCTION("""COMPUTED_VALUE"""),10.0)</f>
        <v>10</v>
      </c>
    </row>
    <row r="3658">
      <c r="A3658" s="87" t="str">
        <f>IFERROR(__xludf.DUMMYFUNCTION("""COMPUTED_VALUE"""),"ITBISA-RESISTOR-100K-1/4W")</f>
        <v>ITBISA-RESISTOR-100K-1/4W</v>
      </c>
      <c r="B3658" s="165">
        <f>IFERROR(__xludf.DUMMYFUNCTION("""COMPUTED_VALUE"""),46084.0)</f>
        <v>46084</v>
      </c>
      <c r="C3658" s="165" t="str">
        <f>IFERROR(__xludf.DUMMYFUNCTION("""COMPUTED_VALUE"""),"KYAI KONTONG")</f>
        <v>KYAI KONTONG</v>
      </c>
      <c r="D3658" s="94">
        <f>IFERROR(__xludf.DUMMYFUNCTION("""COMPUTED_VALUE"""),20.0)</f>
        <v>20</v>
      </c>
    </row>
    <row r="3659">
      <c r="A3659" s="87" t="str">
        <f>IFERROR(__xludf.DUMMYFUNCTION("""COMPUTED_VALUE"""),"ITBISA-RESISTOR-100K-1/4W")</f>
        <v>ITBISA-RESISTOR-100K-1/4W</v>
      </c>
      <c r="B3659" s="165">
        <f>IFERROR(__xludf.DUMMYFUNCTION("""COMPUTED_VALUE"""),46086.0)</f>
        <v>46086</v>
      </c>
      <c r="C3659" s="165" t="str">
        <f>IFERROR(__xludf.DUMMYFUNCTION("""COMPUTED_VALUE"""),"KYAI KONTONG")</f>
        <v>KYAI KONTONG</v>
      </c>
      <c r="D3659" s="94">
        <f>IFERROR(__xludf.DUMMYFUNCTION("""COMPUTED_VALUE"""),11.0)</f>
        <v>11</v>
      </c>
    </row>
    <row r="3660">
      <c r="A3660" s="87" t="str">
        <f>IFERROR(__xludf.DUMMYFUNCTION("""COMPUTED_VALUE"""),"ITBISA-RESISTOR-100K-1/4W")</f>
        <v>ITBISA-RESISTOR-100K-1/4W</v>
      </c>
      <c r="B3660" s="165">
        <f>IFERROR(__xludf.DUMMYFUNCTION("""COMPUTED_VALUE"""),46133.0)</f>
        <v>46133</v>
      </c>
      <c r="C3660" s="165" t="str">
        <f>IFERROR(__xludf.DUMMYFUNCTION("""COMPUTED_VALUE"""),"KYAI KONTONG")</f>
        <v>KYAI KONTONG</v>
      </c>
      <c r="D3660" s="94">
        <f>IFERROR(__xludf.DUMMYFUNCTION("""COMPUTED_VALUE"""),20.0)</f>
        <v>20</v>
      </c>
    </row>
    <row r="3661">
      <c r="A3661" s="87" t="str">
        <f>IFERROR(__xludf.DUMMYFUNCTION("""COMPUTED_VALUE"""),"ITBISA-RESISTOR-100K-1/4W")</f>
        <v>ITBISA-RESISTOR-100K-1/4W</v>
      </c>
      <c r="B3661" s="165">
        <f>IFERROR(__xludf.DUMMYFUNCTION("""COMPUTED_VALUE"""),46157.0)</f>
        <v>46157</v>
      </c>
      <c r="C3661" s="165" t="str">
        <f>IFERROR(__xludf.DUMMYFUNCTION("""COMPUTED_VALUE"""),"KYAI KONTONG")</f>
        <v>KYAI KONTONG</v>
      </c>
      <c r="D3661" s="94">
        <f>IFERROR(__xludf.DUMMYFUNCTION("""COMPUTED_VALUE"""),10.0)</f>
        <v>10</v>
      </c>
    </row>
    <row r="3662">
      <c r="A3662" s="87" t="str">
        <f>IFERROR(__xludf.DUMMYFUNCTION("""COMPUTED_VALUE"""),"ITBISA-RESISTOR-100K-1/4W")</f>
        <v>ITBISA-RESISTOR-100K-1/4W</v>
      </c>
      <c r="B3662" s="165">
        <f>IFERROR(__xludf.DUMMYFUNCTION("""COMPUTED_VALUE"""),46163.0)</f>
        <v>46163</v>
      </c>
      <c r="C3662" s="165" t="str">
        <f>IFERROR(__xludf.DUMMYFUNCTION("""COMPUTED_VALUE"""),"KYAI KONTONG")</f>
        <v>KYAI KONTONG</v>
      </c>
      <c r="D3662" s="94">
        <f>IFERROR(__xludf.DUMMYFUNCTION("""COMPUTED_VALUE"""),20.0)</f>
        <v>20</v>
      </c>
    </row>
    <row r="3663">
      <c r="A3663" s="87" t="str">
        <f>IFERROR(__xludf.DUMMYFUNCTION("""COMPUTED_VALUE"""),"ITBISA-RESISTOR-100K-1/4W")</f>
        <v>ITBISA-RESISTOR-100K-1/4W</v>
      </c>
      <c r="B3663" s="165">
        <f>IFERROR(__xludf.DUMMYFUNCTION("""COMPUTED_VALUE"""),46190.0)</f>
        <v>46190</v>
      </c>
      <c r="C3663" s="165" t="str">
        <f>IFERROR(__xludf.DUMMYFUNCTION("""COMPUTED_VALUE"""),"KYAI KONTONG")</f>
        <v>KYAI KONTONG</v>
      </c>
      <c r="D3663" s="94">
        <f>IFERROR(__xludf.DUMMYFUNCTION("""COMPUTED_VALUE"""),10.0)</f>
        <v>10</v>
      </c>
    </row>
    <row r="3664">
      <c r="A3664" s="87" t="str">
        <f>IFERROR(__xludf.DUMMYFUNCTION("""COMPUTED_VALUE"""),"ITBISA-RESISTOR-100K-1/4W")</f>
        <v>ITBISA-RESISTOR-100K-1/4W</v>
      </c>
      <c r="B3664" s="165">
        <f>IFERROR(__xludf.DUMMYFUNCTION("""COMPUTED_VALUE"""),46191.0)</f>
        <v>46191</v>
      </c>
      <c r="C3664" s="165" t="str">
        <f>IFERROR(__xludf.DUMMYFUNCTION("""COMPUTED_VALUE"""),"KYAI KONTONG")</f>
        <v>KYAI KONTONG</v>
      </c>
      <c r="D3664" s="94">
        <f>IFERROR(__xludf.DUMMYFUNCTION("""COMPUTED_VALUE"""),50.0)</f>
        <v>50</v>
      </c>
    </row>
    <row r="3665">
      <c r="A3665" s="87" t="str">
        <f>IFERROR(__xludf.DUMMYFUNCTION("""COMPUTED_VALUE"""),"ITBISA-RESISTOR-10K-1/4W")</f>
        <v>ITBISA-RESISTOR-10K-1/4W</v>
      </c>
      <c r="B3665" s="165">
        <f>IFERROR(__xludf.DUMMYFUNCTION("""COMPUTED_VALUE"""),46023.0)</f>
        <v>46023</v>
      </c>
      <c r="C3665" s="165" t="str">
        <f>IFERROR(__xludf.DUMMYFUNCTION("""COMPUTED_VALUE"""),"KYAI KONTONG")</f>
        <v>KYAI KONTONG</v>
      </c>
      <c r="D3665" s="94">
        <f>IFERROR(__xludf.DUMMYFUNCTION("""COMPUTED_VALUE"""),10.0)</f>
        <v>10</v>
      </c>
    </row>
    <row r="3666">
      <c r="A3666" s="87" t="str">
        <f>IFERROR(__xludf.DUMMYFUNCTION("""COMPUTED_VALUE"""),"ITBISA-RESISTOR-10K-1/4W")</f>
        <v>ITBISA-RESISTOR-10K-1/4W</v>
      </c>
      <c r="B3666" s="165">
        <f>IFERROR(__xludf.DUMMYFUNCTION("""COMPUTED_VALUE"""),46025.0)</f>
        <v>46025</v>
      </c>
      <c r="C3666" s="165" t="str">
        <f>IFERROR(__xludf.DUMMYFUNCTION("""COMPUTED_VALUE"""),"KYAI KONTONG")</f>
        <v>KYAI KONTONG</v>
      </c>
      <c r="D3666" s="94">
        <f>IFERROR(__xludf.DUMMYFUNCTION("""COMPUTED_VALUE"""),10.0)</f>
        <v>10</v>
      </c>
    </row>
    <row r="3667">
      <c r="A3667" s="87" t="str">
        <f>IFERROR(__xludf.DUMMYFUNCTION("""COMPUTED_VALUE"""),"ITBISA-RESISTOR-10K-1/4W")</f>
        <v>ITBISA-RESISTOR-10K-1/4W</v>
      </c>
      <c r="B3667" s="165">
        <f>IFERROR(__xludf.DUMMYFUNCTION("""COMPUTED_VALUE"""),46025.0)</f>
        <v>46025</v>
      </c>
      <c r="C3667" s="165" t="str">
        <f>IFERROR(__xludf.DUMMYFUNCTION("""COMPUTED_VALUE"""),"KYAI KONTONG")</f>
        <v>KYAI KONTONG</v>
      </c>
      <c r="D3667" s="94">
        <f>IFERROR(__xludf.DUMMYFUNCTION("""COMPUTED_VALUE"""),10.0)</f>
        <v>10</v>
      </c>
    </row>
    <row r="3668">
      <c r="A3668" s="87" t="str">
        <f>IFERROR(__xludf.DUMMYFUNCTION("""COMPUTED_VALUE"""),"ITBISA-RESISTOR-10K-1/4W")</f>
        <v>ITBISA-RESISTOR-10K-1/4W</v>
      </c>
      <c r="B3668" s="165">
        <f>IFERROR(__xludf.DUMMYFUNCTION("""COMPUTED_VALUE"""),46027.0)</f>
        <v>46027</v>
      </c>
      <c r="C3668" s="165" t="str">
        <f>IFERROR(__xludf.DUMMYFUNCTION("""COMPUTED_VALUE"""),"KYAI KONTONG")</f>
        <v>KYAI KONTONG</v>
      </c>
      <c r="D3668" s="94">
        <f>IFERROR(__xludf.DUMMYFUNCTION("""COMPUTED_VALUE"""),20.0)</f>
        <v>20</v>
      </c>
    </row>
    <row r="3669">
      <c r="A3669" s="87" t="str">
        <f>IFERROR(__xludf.DUMMYFUNCTION("""COMPUTED_VALUE"""),"ITBISA-RESISTOR-10K-1/4W")</f>
        <v>ITBISA-RESISTOR-10K-1/4W</v>
      </c>
      <c r="B3669" s="165">
        <f>IFERROR(__xludf.DUMMYFUNCTION("""COMPUTED_VALUE"""),46028.0)</f>
        <v>46028</v>
      </c>
      <c r="C3669" s="165" t="str">
        <f>IFERROR(__xludf.DUMMYFUNCTION("""COMPUTED_VALUE"""),"KYAI KONTONG")</f>
        <v>KYAI KONTONG</v>
      </c>
      <c r="D3669" s="94">
        <f>IFERROR(__xludf.DUMMYFUNCTION("""COMPUTED_VALUE"""),10.0)</f>
        <v>10</v>
      </c>
    </row>
    <row r="3670">
      <c r="A3670" s="87" t="str">
        <f>IFERROR(__xludf.DUMMYFUNCTION("""COMPUTED_VALUE"""),"ITBISA-RESISTOR-10K-1/4W")</f>
        <v>ITBISA-RESISTOR-10K-1/4W</v>
      </c>
      <c r="B3670" s="165">
        <f>IFERROR(__xludf.DUMMYFUNCTION("""COMPUTED_VALUE"""),46029.0)</f>
        <v>46029</v>
      </c>
      <c r="C3670" s="165" t="str">
        <f>IFERROR(__xludf.DUMMYFUNCTION("""COMPUTED_VALUE"""),"KERTASARI CIAMIS")</f>
        <v>KERTASARI CIAMIS</v>
      </c>
      <c r="D3670" s="94">
        <f>IFERROR(__xludf.DUMMYFUNCTION("""COMPUTED_VALUE"""),10.0)</f>
        <v>10</v>
      </c>
    </row>
    <row r="3671">
      <c r="A3671" s="87" t="str">
        <f>IFERROR(__xludf.DUMMYFUNCTION("""COMPUTED_VALUE"""),"ITBISA-RESISTOR-10K-1/4W")</f>
        <v>ITBISA-RESISTOR-10K-1/4W</v>
      </c>
      <c r="B3671" s="165">
        <f>IFERROR(__xludf.DUMMYFUNCTION("""COMPUTED_VALUE"""),46029.0)</f>
        <v>46029</v>
      </c>
      <c r="C3671" s="165" t="str">
        <f>IFERROR(__xludf.DUMMYFUNCTION("""COMPUTED_VALUE"""),"KYAI KONTONG")</f>
        <v>KYAI KONTONG</v>
      </c>
      <c r="D3671" s="94">
        <f>IFERROR(__xludf.DUMMYFUNCTION("""COMPUTED_VALUE"""),5.0)</f>
        <v>5</v>
      </c>
    </row>
    <row r="3672">
      <c r="A3672" s="87" t="str">
        <f>IFERROR(__xludf.DUMMYFUNCTION("""COMPUTED_VALUE"""),"ITBISA-RESISTOR-10K-1/4W")</f>
        <v>ITBISA-RESISTOR-10K-1/4W</v>
      </c>
      <c r="B3672" s="165">
        <f>IFERROR(__xludf.DUMMYFUNCTION("""COMPUTED_VALUE"""),46034.0)</f>
        <v>46034</v>
      </c>
      <c r="C3672" s="165" t="str">
        <f>IFERROR(__xludf.DUMMYFUNCTION("""COMPUTED_VALUE"""),"KYAI KONTONG")</f>
        <v>KYAI KONTONG</v>
      </c>
      <c r="D3672" s="94">
        <f>IFERROR(__xludf.DUMMYFUNCTION("""COMPUTED_VALUE"""),10.0)</f>
        <v>10</v>
      </c>
    </row>
    <row r="3673">
      <c r="A3673" s="87" t="str">
        <f>IFERROR(__xludf.DUMMYFUNCTION("""COMPUTED_VALUE"""),"ITBISA-RESISTOR-10K-1/4W")</f>
        <v>ITBISA-RESISTOR-10K-1/4W</v>
      </c>
      <c r="B3673" s="165">
        <f>IFERROR(__xludf.DUMMYFUNCTION("""COMPUTED_VALUE"""),46052.0)</f>
        <v>46052</v>
      </c>
      <c r="C3673" s="165" t="str">
        <f>IFERROR(__xludf.DUMMYFUNCTION("""COMPUTED_VALUE"""),"KERTASARI CIAMIS")</f>
        <v>KERTASARI CIAMIS</v>
      </c>
      <c r="D3673" s="94">
        <f>IFERROR(__xludf.DUMMYFUNCTION("""COMPUTED_VALUE"""),200.0)</f>
        <v>200</v>
      </c>
    </row>
    <row r="3674">
      <c r="A3674" s="87" t="str">
        <f>IFERROR(__xludf.DUMMYFUNCTION("""COMPUTED_VALUE"""),"ITBISA-RESISTOR-10K-1/4W")</f>
        <v>ITBISA-RESISTOR-10K-1/4W</v>
      </c>
      <c r="B3674" s="165">
        <f>IFERROR(__xludf.DUMMYFUNCTION("""COMPUTED_VALUE"""),46053.0)</f>
        <v>46053</v>
      </c>
      <c r="C3674" s="165" t="str">
        <f>IFERROR(__xludf.DUMMYFUNCTION("""COMPUTED_VALUE"""),"KERTASARI CIAMIS")</f>
        <v>KERTASARI CIAMIS</v>
      </c>
      <c r="D3674" s="94">
        <f>IFERROR(__xludf.DUMMYFUNCTION("""COMPUTED_VALUE"""),20.0)</f>
        <v>20</v>
      </c>
    </row>
    <row r="3675">
      <c r="A3675" s="87" t="str">
        <f>IFERROR(__xludf.DUMMYFUNCTION("""COMPUTED_VALUE"""),"ITBISA-RESISTOR-10K-1/4W")</f>
        <v>ITBISA-RESISTOR-10K-1/4W</v>
      </c>
      <c r="B3675" s="165">
        <f>IFERROR(__xludf.DUMMYFUNCTION("""COMPUTED_VALUE"""),46064.0)</f>
        <v>46064</v>
      </c>
      <c r="C3675" s="165" t="str">
        <f>IFERROR(__xludf.DUMMYFUNCTION("""COMPUTED_VALUE"""),"KYAI KONTONG")</f>
        <v>KYAI KONTONG</v>
      </c>
      <c r="D3675" s="94">
        <f>IFERROR(__xludf.DUMMYFUNCTION("""COMPUTED_VALUE"""),20.0)</f>
        <v>20</v>
      </c>
    </row>
    <row r="3676">
      <c r="A3676" s="87" t="str">
        <f>IFERROR(__xludf.DUMMYFUNCTION("""COMPUTED_VALUE"""),"ITBISA-RESISTOR-10K-1/4W")</f>
        <v>ITBISA-RESISTOR-10K-1/4W</v>
      </c>
      <c r="B3676" s="165">
        <f>IFERROR(__xludf.DUMMYFUNCTION("""COMPUTED_VALUE"""),46073.0)</f>
        <v>46073</v>
      </c>
      <c r="C3676" s="165" t="str">
        <f>IFERROR(__xludf.DUMMYFUNCTION("""COMPUTED_VALUE"""),"KYAI KONTONG")</f>
        <v>KYAI KONTONG</v>
      </c>
      <c r="D3676" s="94">
        <f>IFERROR(__xludf.DUMMYFUNCTION("""COMPUTED_VALUE"""),20.0)</f>
        <v>20</v>
      </c>
    </row>
    <row r="3677">
      <c r="A3677" s="87" t="str">
        <f>IFERROR(__xludf.DUMMYFUNCTION("""COMPUTED_VALUE"""),"ITBISA-RESISTOR-10K-1/4W")</f>
        <v>ITBISA-RESISTOR-10K-1/4W</v>
      </c>
      <c r="B3677" s="165">
        <f>IFERROR(__xludf.DUMMYFUNCTION("""COMPUTED_VALUE"""),46076.0)</f>
        <v>46076</v>
      </c>
      <c r="C3677" s="165" t="str">
        <f>IFERROR(__xludf.DUMMYFUNCTION("""COMPUTED_VALUE"""),"KYAI KONTONG")</f>
        <v>KYAI KONTONG</v>
      </c>
      <c r="D3677" s="94">
        <f>IFERROR(__xludf.DUMMYFUNCTION("""COMPUTED_VALUE"""),10.0)</f>
        <v>10</v>
      </c>
    </row>
    <row r="3678">
      <c r="A3678" s="87" t="str">
        <f>IFERROR(__xludf.DUMMYFUNCTION("""COMPUTED_VALUE"""),"ITBISA-RESISTOR-10K-1/4W")</f>
        <v>ITBISA-RESISTOR-10K-1/4W</v>
      </c>
      <c r="B3678" s="165">
        <f>IFERROR(__xludf.DUMMYFUNCTION("""COMPUTED_VALUE"""),46082.0)</f>
        <v>46082</v>
      </c>
      <c r="C3678" s="165" t="str">
        <f>IFERROR(__xludf.DUMMYFUNCTION("""COMPUTED_VALUE"""),"KYAI KONTONG")</f>
        <v>KYAI KONTONG</v>
      </c>
      <c r="D3678" s="94">
        <f>IFERROR(__xludf.DUMMYFUNCTION("""COMPUTED_VALUE"""),14.0)</f>
        <v>14</v>
      </c>
    </row>
    <row r="3679">
      <c r="A3679" s="87" t="str">
        <f>IFERROR(__xludf.DUMMYFUNCTION("""COMPUTED_VALUE"""),"ITBISA-RESISTOR-10K-1/4W")</f>
        <v>ITBISA-RESISTOR-10K-1/4W</v>
      </c>
      <c r="B3679" s="165">
        <f>IFERROR(__xludf.DUMMYFUNCTION("""COMPUTED_VALUE"""),46084.0)</f>
        <v>46084</v>
      </c>
      <c r="C3679" s="165" t="str">
        <f>IFERROR(__xludf.DUMMYFUNCTION("""COMPUTED_VALUE"""),"KYAI KONTONG")</f>
        <v>KYAI KONTONG</v>
      </c>
      <c r="D3679" s="94">
        <f>IFERROR(__xludf.DUMMYFUNCTION("""COMPUTED_VALUE"""),20.0)</f>
        <v>20</v>
      </c>
    </row>
    <row r="3680">
      <c r="A3680" s="87" t="str">
        <f>IFERROR(__xludf.DUMMYFUNCTION("""COMPUTED_VALUE"""),"ITBISA-RESISTOR-10K-1/4W")</f>
        <v>ITBISA-RESISTOR-10K-1/4W</v>
      </c>
      <c r="B3680" s="165">
        <f>IFERROR(__xludf.DUMMYFUNCTION("""COMPUTED_VALUE"""),46086.0)</f>
        <v>46086</v>
      </c>
      <c r="C3680" s="165" t="str">
        <f>IFERROR(__xludf.DUMMYFUNCTION("""COMPUTED_VALUE"""),"KYAI KONTONG")</f>
        <v>KYAI KONTONG</v>
      </c>
      <c r="D3680" s="94">
        <f>IFERROR(__xludf.DUMMYFUNCTION("""COMPUTED_VALUE"""),14.0)</f>
        <v>14</v>
      </c>
    </row>
    <row r="3681">
      <c r="A3681" s="87" t="str">
        <f>IFERROR(__xludf.DUMMYFUNCTION("""COMPUTED_VALUE"""),"ITBISA-RESISTOR-10K-1/4W")</f>
        <v>ITBISA-RESISTOR-10K-1/4W</v>
      </c>
      <c r="B3681" s="165">
        <f>IFERROR(__xludf.DUMMYFUNCTION("""COMPUTED_VALUE"""),46087.0)</f>
        <v>46087</v>
      </c>
      <c r="C3681" s="165" t="str">
        <f>IFERROR(__xludf.DUMMYFUNCTION("""COMPUTED_VALUE"""),"KYAI KONTONG")</f>
        <v>KYAI KONTONG</v>
      </c>
      <c r="D3681" s="94">
        <f>IFERROR(__xludf.DUMMYFUNCTION("""COMPUTED_VALUE"""),20.0)</f>
        <v>20</v>
      </c>
    </row>
    <row r="3682">
      <c r="A3682" s="87" t="str">
        <f>IFERROR(__xludf.DUMMYFUNCTION("""COMPUTED_VALUE"""),"ITBISA-RESISTOR-10K-1/4W")</f>
        <v>ITBISA-RESISTOR-10K-1/4W</v>
      </c>
      <c r="B3682" s="165">
        <f>IFERROR(__xludf.DUMMYFUNCTION("""COMPUTED_VALUE"""),46091.0)</f>
        <v>46091</v>
      </c>
      <c r="C3682" s="165" t="str">
        <f>IFERROR(__xludf.DUMMYFUNCTION("""COMPUTED_VALUE"""),"KYAI KONTONG")</f>
        <v>KYAI KONTONG</v>
      </c>
      <c r="D3682" s="94">
        <f>IFERROR(__xludf.DUMMYFUNCTION("""COMPUTED_VALUE"""),10.0)</f>
        <v>10</v>
      </c>
    </row>
    <row r="3683">
      <c r="A3683" s="87" t="str">
        <f>IFERROR(__xludf.DUMMYFUNCTION("""COMPUTED_VALUE"""),"ITBISA-RESISTOR-10K-1/4W")</f>
        <v>ITBISA-RESISTOR-10K-1/4W</v>
      </c>
      <c r="B3683" s="165">
        <f>IFERROR(__xludf.DUMMYFUNCTION("""COMPUTED_VALUE"""),46104.0)</f>
        <v>46104</v>
      </c>
      <c r="C3683" s="165" t="str">
        <f>IFERROR(__xludf.DUMMYFUNCTION("""COMPUTED_VALUE"""),"KYAI KONTONG")</f>
        <v>KYAI KONTONG</v>
      </c>
      <c r="D3683" s="94">
        <f>IFERROR(__xludf.DUMMYFUNCTION("""COMPUTED_VALUE"""),30.0)</f>
        <v>30</v>
      </c>
    </row>
    <row r="3684">
      <c r="A3684" s="87" t="str">
        <f>IFERROR(__xludf.DUMMYFUNCTION("""COMPUTED_VALUE"""),"ITBISA-RESISTOR-10K-1/4W")</f>
        <v>ITBISA-RESISTOR-10K-1/4W</v>
      </c>
      <c r="B3684" s="165">
        <f>IFERROR(__xludf.DUMMYFUNCTION("""COMPUTED_VALUE"""),46133.0)</f>
        <v>46133</v>
      </c>
      <c r="C3684" s="165" t="str">
        <f>IFERROR(__xludf.DUMMYFUNCTION("""COMPUTED_VALUE"""),"KYAI KONTONG")</f>
        <v>KYAI KONTONG</v>
      </c>
      <c r="D3684" s="94">
        <f>IFERROR(__xludf.DUMMYFUNCTION("""COMPUTED_VALUE"""),20.0)</f>
        <v>20</v>
      </c>
    </row>
    <row r="3685">
      <c r="A3685" s="87" t="str">
        <f>IFERROR(__xludf.DUMMYFUNCTION("""COMPUTED_VALUE"""),"ITBISA-RESISTOR-10K-1/4W")</f>
        <v>ITBISA-RESISTOR-10K-1/4W</v>
      </c>
      <c r="B3685" s="165">
        <f>IFERROR(__xludf.DUMMYFUNCTION("""COMPUTED_VALUE"""),46144.0)</f>
        <v>46144</v>
      </c>
      <c r="C3685" s="165" t="str">
        <f>IFERROR(__xludf.DUMMYFUNCTION("""COMPUTED_VALUE"""),"KYAI KONTONG")</f>
        <v>KYAI KONTONG</v>
      </c>
      <c r="D3685" s="94">
        <f>IFERROR(__xludf.DUMMYFUNCTION("""COMPUTED_VALUE"""),20.0)</f>
        <v>20</v>
      </c>
    </row>
    <row r="3686">
      <c r="A3686" s="87" t="str">
        <f>IFERROR(__xludf.DUMMYFUNCTION("""COMPUTED_VALUE"""),"ITBISA-RESISTOR-10K-1/4W")</f>
        <v>ITBISA-RESISTOR-10K-1/4W</v>
      </c>
      <c r="B3686" s="165">
        <f>IFERROR(__xludf.DUMMYFUNCTION("""COMPUTED_VALUE"""),46146.0)</f>
        <v>46146</v>
      </c>
      <c r="C3686" s="165" t="str">
        <f>IFERROR(__xludf.DUMMYFUNCTION("""COMPUTED_VALUE"""),"KYAI KONTONG")</f>
        <v>KYAI KONTONG</v>
      </c>
      <c r="D3686" s="94">
        <f>IFERROR(__xludf.DUMMYFUNCTION("""COMPUTED_VALUE"""),20.0)</f>
        <v>20</v>
      </c>
    </row>
    <row r="3687">
      <c r="A3687" s="87" t="str">
        <f>IFERROR(__xludf.DUMMYFUNCTION("""COMPUTED_VALUE"""),"ITBISA-RESISTOR-10K-1/4W")</f>
        <v>ITBISA-RESISTOR-10K-1/4W</v>
      </c>
      <c r="B3687" s="165">
        <f>IFERROR(__xludf.DUMMYFUNCTION("""COMPUTED_VALUE"""),46151.0)</f>
        <v>46151</v>
      </c>
      <c r="C3687" s="165" t="str">
        <f>IFERROR(__xludf.DUMMYFUNCTION("""COMPUTED_VALUE"""),"KYAI KONTONG")</f>
        <v>KYAI KONTONG</v>
      </c>
      <c r="D3687" s="94">
        <f>IFERROR(__xludf.DUMMYFUNCTION("""COMPUTED_VALUE"""),10.0)</f>
        <v>10</v>
      </c>
    </row>
    <row r="3688">
      <c r="A3688" s="87" t="str">
        <f>IFERROR(__xludf.DUMMYFUNCTION("""COMPUTED_VALUE"""),"ITBISA-RESISTOR-10K-1/4W")</f>
        <v>ITBISA-RESISTOR-10K-1/4W</v>
      </c>
      <c r="B3688" s="165">
        <f>IFERROR(__xludf.DUMMYFUNCTION("""COMPUTED_VALUE"""),46156.0)</f>
        <v>46156</v>
      </c>
      <c r="C3688" s="165" t="str">
        <f>IFERROR(__xludf.DUMMYFUNCTION("""COMPUTED_VALUE"""),"KYAI KONTONG")</f>
        <v>KYAI KONTONG</v>
      </c>
      <c r="D3688" s="94">
        <f>IFERROR(__xludf.DUMMYFUNCTION("""COMPUTED_VALUE"""),10.0)</f>
        <v>10</v>
      </c>
    </row>
    <row r="3689">
      <c r="A3689" s="87" t="str">
        <f>IFERROR(__xludf.DUMMYFUNCTION("""COMPUTED_VALUE"""),"ITBISA-RESISTOR-10K-1/4W")</f>
        <v>ITBISA-RESISTOR-10K-1/4W</v>
      </c>
      <c r="B3689" s="165">
        <f>IFERROR(__xludf.DUMMYFUNCTION("""COMPUTED_VALUE"""),46157.0)</f>
        <v>46157</v>
      </c>
      <c r="C3689" s="165" t="str">
        <f>IFERROR(__xludf.DUMMYFUNCTION("""COMPUTED_VALUE"""),"KYAI KONTONG")</f>
        <v>KYAI KONTONG</v>
      </c>
      <c r="D3689" s="94">
        <f>IFERROR(__xludf.DUMMYFUNCTION("""COMPUTED_VALUE"""),30.0)</f>
        <v>30</v>
      </c>
    </row>
    <row r="3690">
      <c r="A3690" s="87" t="str">
        <f>IFERROR(__xludf.DUMMYFUNCTION("""COMPUTED_VALUE"""),"ITBISA-RESISTOR-10K-1/4W")</f>
        <v>ITBISA-RESISTOR-10K-1/4W</v>
      </c>
      <c r="B3690" s="165">
        <f>IFERROR(__xludf.DUMMYFUNCTION("""COMPUTED_VALUE"""),46158.0)</f>
        <v>46158</v>
      </c>
      <c r="C3690" s="165" t="str">
        <f>IFERROR(__xludf.DUMMYFUNCTION("""COMPUTED_VALUE"""),"KYAI KONTONG")</f>
        <v>KYAI KONTONG</v>
      </c>
      <c r="D3690" s="94">
        <f>IFERROR(__xludf.DUMMYFUNCTION("""COMPUTED_VALUE"""),5.0)</f>
        <v>5</v>
      </c>
    </row>
    <row r="3691">
      <c r="A3691" s="87" t="str">
        <f>IFERROR(__xludf.DUMMYFUNCTION("""COMPUTED_VALUE"""),"ITBISA-RESISTOR-10K-1/4W")</f>
        <v>ITBISA-RESISTOR-10K-1/4W</v>
      </c>
      <c r="B3691" s="165">
        <f>IFERROR(__xludf.DUMMYFUNCTION("""COMPUTED_VALUE"""),46164.0)</f>
        <v>46164</v>
      </c>
      <c r="C3691" s="165" t="str">
        <f>IFERROR(__xludf.DUMMYFUNCTION("""COMPUTED_VALUE"""),"KYAI KONTONG")</f>
        <v>KYAI KONTONG</v>
      </c>
      <c r="D3691" s="94">
        <f>IFERROR(__xludf.DUMMYFUNCTION("""COMPUTED_VALUE"""),100.0)</f>
        <v>100</v>
      </c>
    </row>
    <row r="3692">
      <c r="A3692" s="87" t="str">
        <f>IFERROR(__xludf.DUMMYFUNCTION("""COMPUTED_VALUE"""),"ITBISA-RESISTOR-10K-1/4W")</f>
        <v>ITBISA-RESISTOR-10K-1/4W</v>
      </c>
      <c r="B3692" s="165">
        <f>IFERROR(__xludf.DUMMYFUNCTION("""COMPUTED_VALUE"""),46173.0)</f>
        <v>46173</v>
      </c>
      <c r="C3692" s="165" t="str">
        <f>IFERROR(__xludf.DUMMYFUNCTION("""COMPUTED_VALUE"""),"KYAI KONTONG")</f>
        <v>KYAI KONTONG</v>
      </c>
      <c r="D3692" s="94">
        <f>IFERROR(__xludf.DUMMYFUNCTION("""COMPUTED_VALUE"""),50.0)</f>
        <v>50</v>
      </c>
    </row>
    <row r="3693">
      <c r="A3693" s="87" t="str">
        <f>IFERROR(__xludf.DUMMYFUNCTION("""COMPUTED_VALUE"""),"ITBISA-RESISTOR-10K-1/4W")</f>
        <v>ITBISA-RESISTOR-10K-1/4W</v>
      </c>
      <c r="B3693" s="165">
        <f>IFERROR(__xludf.DUMMYFUNCTION("""COMPUTED_VALUE"""),46177.0)</f>
        <v>46177</v>
      </c>
      <c r="C3693" s="165" t="str">
        <f>IFERROR(__xludf.DUMMYFUNCTION("""COMPUTED_VALUE"""),"KYAI KONTONG")</f>
        <v>KYAI KONTONG</v>
      </c>
      <c r="D3693" s="94">
        <f>IFERROR(__xludf.DUMMYFUNCTION("""COMPUTED_VALUE"""),20.0)</f>
        <v>20</v>
      </c>
    </row>
    <row r="3694">
      <c r="A3694" s="87" t="str">
        <f>IFERROR(__xludf.DUMMYFUNCTION("""COMPUTED_VALUE"""),"ITBISA-RESISTOR-10K-1/4W")</f>
        <v>ITBISA-RESISTOR-10K-1/4W</v>
      </c>
      <c r="B3694" s="165">
        <f>IFERROR(__xludf.DUMMYFUNCTION("""COMPUTED_VALUE"""),46183.0)</f>
        <v>46183</v>
      </c>
      <c r="C3694" s="165" t="str">
        <f>IFERROR(__xludf.DUMMYFUNCTION("""COMPUTED_VALUE"""),"KYAI KONTONG")</f>
        <v>KYAI KONTONG</v>
      </c>
      <c r="D3694" s="94">
        <f>IFERROR(__xludf.DUMMYFUNCTION("""COMPUTED_VALUE"""),25.0)</f>
        <v>25</v>
      </c>
    </row>
    <row r="3695">
      <c r="A3695" s="87" t="str">
        <f>IFERROR(__xludf.DUMMYFUNCTION("""COMPUTED_VALUE"""),"ITBISA-RESISTOR-10K-1/4W")</f>
        <v>ITBISA-RESISTOR-10K-1/4W</v>
      </c>
      <c r="B3695" s="165">
        <f>IFERROR(__xludf.DUMMYFUNCTION("""COMPUTED_VALUE"""),46183.0)</f>
        <v>46183</v>
      </c>
      <c r="C3695" s="165" t="str">
        <f>IFERROR(__xludf.DUMMYFUNCTION("""COMPUTED_VALUE"""),"KYAI KONTONG")</f>
        <v>KYAI KONTONG</v>
      </c>
      <c r="D3695" s="94">
        <f>IFERROR(__xludf.DUMMYFUNCTION("""COMPUTED_VALUE"""),50.0)</f>
        <v>50</v>
      </c>
    </row>
    <row r="3696">
      <c r="A3696" s="87" t="str">
        <f>IFERROR(__xludf.DUMMYFUNCTION("""COMPUTED_VALUE"""),"ITBISA-RESISTOR-10K-1/4W")</f>
        <v>ITBISA-RESISTOR-10K-1/4W</v>
      </c>
      <c r="B3696" s="165">
        <f>IFERROR(__xludf.DUMMYFUNCTION("""COMPUTED_VALUE"""),46191.0)</f>
        <v>46191</v>
      </c>
      <c r="C3696" s="165" t="str">
        <f>IFERROR(__xludf.DUMMYFUNCTION("""COMPUTED_VALUE"""),"KYAI KONTONG")</f>
        <v>KYAI KONTONG</v>
      </c>
      <c r="D3696" s="94">
        <f>IFERROR(__xludf.DUMMYFUNCTION("""COMPUTED_VALUE"""),50.0)</f>
        <v>50</v>
      </c>
    </row>
    <row r="3697">
      <c r="A3697" s="87" t="str">
        <f>IFERROR(__xludf.DUMMYFUNCTION("""COMPUTED_VALUE"""),"ITBISA-RESISTOR-10K-1/4W")</f>
        <v>ITBISA-RESISTOR-10K-1/4W</v>
      </c>
      <c r="B3697" s="165">
        <f>IFERROR(__xludf.DUMMYFUNCTION("""COMPUTED_VALUE"""),46192.0)</f>
        <v>46192</v>
      </c>
      <c r="C3697" s="165" t="str">
        <f>IFERROR(__xludf.DUMMYFUNCTION("""COMPUTED_VALUE"""),"KYAI KONTONG")</f>
        <v>KYAI KONTONG</v>
      </c>
      <c r="D3697" s="94">
        <f>IFERROR(__xludf.DUMMYFUNCTION("""COMPUTED_VALUE"""),50.0)</f>
        <v>50</v>
      </c>
    </row>
    <row r="3698">
      <c r="A3698" s="87" t="str">
        <f>IFERROR(__xludf.DUMMYFUNCTION("""COMPUTED_VALUE"""),"ITBISA-RESISTOR-10K-1/4W")</f>
        <v>ITBISA-RESISTOR-10K-1/4W</v>
      </c>
      <c r="B3698" s="165">
        <f>IFERROR(__xludf.DUMMYFUNCTION("""COMPUTED_VALUE"""),46194.0)</f>
        <v>46194</v>
      </c>
      <c r="C3698" s="165" t="str">
        <f>IFERROR(__xludf.DUMMYFUNCTION("""COMPUTED_VALUE"""),"KYAI KONTONG")</f>
        <v>KYAI KONTONG</v>
      </c>
      <c r="D3698" s="94">
        <f>IFERROR(__xludf.DUMMYFUNCTION("""COMPUTED_VALUE"""),10.0)</f>
        <v>10</v>
      </c>
    </row>
    <row r="3699">
      <c r="A3699" s="87" t="str">
        <f>IFERROR(__xludf.DUMMYFUNCTION("""COMPUTED_VALUE"""),"ITBISA-RESISTOR-10K-1/4W")</f>
        <v>ITBISA-RESISTOR-10K-1/4W</v>
      </c>
      <c r="B3699" s="165">
        <f>IFERROR(__xludf.DUMMYFUNCTION("""COMPUTED_VALUE"""),46196.0)</f>
        <v>46196</v>
      </c>
      <c r="C3699" s="165" t="str">
        <f>IFERROR(__xludf.DUMMYFUNCTION("""COMPUTED_VALUE"""),"KYAI KONTONG")</f>
        <v>KYAI KONTONG</v>
      </c>
      <c r="D3699" s="94">
        <f>IFERROR(__xludf.DUMMYFUNCTION("""COMPUTED_VALUE"""),30.0)</f>
        <v>30</v>
      </c>
    </row>
    <row r="3700">
      <c r="A3700" s="87" t="str">
        <f>IFERROR(__xludf.DUMMYFUNCTION("""COMPUTED_VALUE"""),"ITBISA-RESISTOR-120K-1/4W")</f>
        <v>ITBISA-RESISTOR-120K-1/4W</v>
      </c>
      <c r="B3700" s="165">
        <f>IFERROR(__xludf.DUMMYFUNCTION("""COMPUTED_VALUE"""),46190.0)</f>
        <v>46190</v>
      </c>
      <c r="C3700" s="165" t="str">
        <f>IFERROR(__xludf.DUMMYFUNCTION("""COMPUTED_VALUE"""),"KYAI KONTONG")</f>
        <v>KYAI KONTONG</v>
      </c>
      <c r="D3700" s="94">
        <f>IFERROR(__xludf.DUMMYFUNCTION("""COMPUTED_VALUE"""),20.0)</f>
        <v>20</v>
      </c>
    </row>
    <row r="3701">
      <c r="A3701" s="87" t="str">
        <f>IFERROR(__xludf.DUMMYFUNCTION("""COMPUTED_VALUE"""),"ITBISA-RESISTOR-12K-1/4W")</f>
        <v>ITBISA-RESISTOR-12K-1/4W</v>
      </c>
      <c r="B3701" s="165">
        <f>IFERROR(__xludf.DUMMYFUNCTION("""COMPUTED_VALUE"""),46187.0)</f>
        <v>46187</v>
      </c>
      <c r="C3701" s="165" t="str">
        <f>IFERROR(__xludf.DUMMYFUNCTION("""COMPUTED_VALUE"""),"KYAI KONTONG")</f>
        <v>KYAI KONTONG</v>
      </c>
      <c r="D3701" s="94">
        <f>IFERROR(__xludf.DUMMYFUNCTION("""COMPUTED_VALUE"""),20.0)</f>
        <v>20</v>
      </c>
    </row>
    <row r="3702">
      <c r="A3702" s="87" t="str">
        <f>IFERROR(__xludf.DUMMYFUNCTION("""COMPUTED_VALUE"""),"ITBISA-RESISTOR-150K-1/4W")</f>
        <v>ITBISA-RESISTOR-150K-1/4W</v>
      </c>
      <c r="B3702" s="165">
        <f>IFERROR(__xludf.DUMMYFUNCTION("""COMPUTED_VALUE"""),45948.0)</f>
        <v>45948</v>
      </c>
      <c r="C3702" s="165" t="str">
        <f>IFERROR(__xludf.DUMMYFUNCTION("""COMPUTED_VALUE"""),"KERTASARI CIAMIS")</f>
        <v>KERTASARI CIAMIS</v>
      </c>
      <c r="D3702" s="94">
        <f>IFERROR(__xludf.DUMMYFUNCTION("""COMPUTED_VALUE"""),1000.0)</f>
        <v>1000</v>
      </c>
    </row>
    <row r="3703">
      <c r="A3703" s="87" t="str">
        <f>IFERROR(__xludf.DUMMYFUNCTION("""COMPUTED_VALUE"""),"ITBISA-RESISTOR-150K-1/4W")</f>
        <v>ITBISA-RESISTOR-150K-1/4W</v>
      </c>
      <c r="B3703" s="165">
        <f>IFERROR(__xludf.DUMMYFUNCTION("""COMPUTED_VALUE"""),46023.0)</f>
        <v>46023</v>
      </c>
      <c r="C3703" s="165" t="str">
        <f>IFERROR(__xludf.DUMMYFUNCTION("""COMPUTED_VALUE"""),"KYAI KONTONG")</f>
        <v>KYAI KONTONG</v>
      </c>
      <c r="D3703" s="94">
        <f>IFERROR(__xludf.DUMMYFUNCTION("""COMPUTED_VALUE"""),0.0)</f>
        <v>0</v>
      </c>
    </row>
    <row r="3704">
      <c r="A3704" s="87" t="str">
        <f>IFERROR(__xludf.DUMMYFUNCTION("""COMPUTED_VALUE"""),"ITBISA-RESISTOR-150K-1/4W")</f>
        <v>ITBISA-RESISTOR-150K-1/4W</v>
      </c>
      <c r="B3704" s="165">
        <f>IFERROR(__xludf.DUMMYFUNCTION("""COMPUTED_VALUE"""),46090.0)</f>
        <v>46090</v>
      </c>
      <c r="C3704" s="165" t="str">
        <f>IFERROR(__xludf.DUMMYFUNCTION("""COMPUTED_VALUE"""),"KYAI KONTONG")</f>
        <v>KYAI KONTONG</v>
      </c>
      <c r="D3704" s="94">
        <f>IFERROR(__xludf.DUMMYFUNCTION("""COMPUTED_VALUE"""),25.0)</f>
        <v>25</v>
      </c>
    </row>
    <row r="3705">
      <c r="A3705" s="87" t="str">
        <f>IFERROR(__xludf.DUMMYFUNCTION("""COMPUTED_VALUE"""),"ITBISA-RESISTOR-15K-1/4W")</f>
        <v>ITBISA-RESISTOR-15K-1/4W</v>
      </c>
      <c r="B3705" s="165">
        <f>IFERROR(__xludf.DUMMYFUNCTION("""COMPUTED_VALUE"""),46023.0)</f>
        <v>46023</v>
      </c>
      <c r="C3705" s="165" t="str">
        <f>IFERROR(__xludf.DUMMYFUNCTION("""COMPUTED_VALUE"""),"KYAI KONTONG")</f>
        <v>KYAI KONTONG</v>
      </c>
      <c r="D3705" s="94">
        <f>IFERROR(__xludf.DUMMYFUNCTION("""COMPUTED_VALUE"""),30.0)</f>
        <v>30</v>
      </c>
    </row>
    <row r="3706">
      <c r="A3706" s="87" t="str">
        <f>IFERROR(__xludf.DUMMYFUNCTION("""COMPUTED_VALUE"""),"ITBISA-RESISTOR-15K-1/4W")</f>
        <v>ITBISA-RESISTOR-15K-1/4W</v>
      </c>
      <c r="B3706" s="165">
        <f>IFERROR(__xludf.DUMMYFUNCTION("""COMPUTED_VALUE"""),46029.0)</f>
        <v>46029</v>
      </c>
      <c r="C3706" s="165" t="str">
        <f>IFERROR(__xludf.DUMMYFUNCTION("""COMPUTED_VALUE"""),"KYAI KONTONG")</f>
        <v>KYAI KONTONG</v>
      </c>
      <c r="D3706" s="94">
        <f>IFERROR(__xludf.DUMMYFUNCTION("""COMPUTED_VALUE"""),5.0)</f>
        <v>5</v>
      </c>
    </row>
    <row r="3707">
      <c r="A3707" s="87" t="str">
        <f>IFERROR(__xludf.DUMMYFUNCTION("""COMPUTED_VALUE"""),"ITBISA-RESISTOR-15K-1/4W")</f>
        <v>ITBISA-RESISTOR-15K-1/4W</v>
      </c>
      <c r="B3707" s="165">
        <f>IFERROR(__xludf.DUMMYFUNCTION("""COMPUTED_VALUE"""),46052.0)</f>
        <v>46052</v>
      </c>
      <c r="C3707" s="165" t="str">
        <f>IFERROR(__xludf.DUMMYFUNCTION("""COMPUTED_VALUE"""),"KERTASARI CIAMIS")</f>
        <v>KERTASARI CIAMIS</v>
      </c>
      <c r="D3707" s="94">
        <f>IFERROR(__xludf.DUMMYFUNCTION("""COMPUTED_VALUE"""),20.0)</f>
        <v>20</v>
      </c>
    </row>
    <row r="3708">
      <c r="A3708" s="87" t="str">
        <f>IFERROR(__xludf.DUMMYFUNCTION("""COMPUTED_VALUE"""),"ITBISA-RESISTOR-15K-1/4W")</f>
        <v>ITBISA-RESISTOR-15K-1/4W</v>
      </c>
      <c r="B3708" s="165">
        <f>IFERROR(__xludf.DUMMYFUNCTION("""COMPUTED_VALUE"""),46082.0)</f>
        <v>46082</v>
      </c>
      <c r="C3708" s="165" t="str">
        <f>IFERROR(__xludf.DUMMYFUNCTION("""COMPUTED_VALUE"""),"KYAI KONTONG")</f>
        <v>KYAI KONTONG</v>
      </c>
      <c r="D3708" s="94">
        <f>IFERROR(__xludf.DUMMYFUNCTION("""COMPUTED_VALUE"""),10.0)</f>
        <v>10</v>
      </c>
    </row>
    <row r="3709">
      <c r="A3709" s="87" t="str">
        <f>IFERROR(__xludf.DUMMYFUNCTION("""COMPUTED_VALUE"""),"ITBISA-RESISTOR-15K-1/4W")</f>
        <v>ITBISA-RESISTOR-15K-1/4W</v>
      </c>
      <c r="B3709" s="165">
        <f>IFERROR(__xludf.DUMMYFUNCTION("""COMPUTED_VALUE"""),46157.0)</f>
        <v>46157</v>
      </c>
      <c r="C3709" s="165" t="str">
        <f>IFERROR(__xludf.DUMMYFUNCTION("""COMPUTED_VALUE"""),"KYAI KONTONG")</f>
        <v>KYAI KONTONG</v>
      </c>
      <c r="D3709" s="94">
        <f>IFERROR(__xludf.DUMMYFUNCTION("""COMPUTED_VALUE"""),10.0)</f>
        <v>10</v>
      </c>
    </row>
    <row r="3710">
      <c r="A3710" s="87" t="str">
        <f>IFERROR(__xludf.DUMMYFUNCTION("""COMPUTED_VALUE"""),"ITBISA-RESISTOR-15K-1/4W")</f>
        <v>ITBISA-RESISTOR-15K-1/4W</v>
      </c>
      <c r="B3710" s="165">
        <f>IFERROR(__xludf.DUMMYFUNCTION("""COMPUTED_VALUE"""),46183.0)</f>
        <v>46183</v>
      </c>
      <c r="C3710" s="165" t="str">
        <f>IFERROR(__xludf.DUMMYFUNCTION("""COMPUTED_VALUE"""),"KYAI KONTONG")</f>
        <v>KYAI KONTONG</v>
      </c>
      <c r="D3710" s="94">
        <f>IFERROR(__xludf.DUMMYFUNCTION("""COMPUTED_VALUE"""),25.0)</f>
        <v>25</v>
      </c>
    </row>
    <row r="3711">
      <c r="A3711" s="87" t="str">
        <f>IFERROR(__xludf.DUMMYFUNCTION("""COMPUTED_VALUE"""),"ITBISA-RESISTOR-15K-1/4W")</f>
        <v>ITBISA-RESISTOR-15K-1/4W</v>
      </c>
      <c r="B3711" s="165">
        <f>IFERROR(__xludf.DUMMYFUNCTION("""COMPUTED_VALUE"""),46187.0)</f>
        <v>46187</v>
      </c>
      <c r="C3711" s="165" t="str">
        <f>IFERROR(__xludf.DUMMYFUNCTION("""COMPUTED_VALUE"""),"KYAI KONTONG")</f>
        <v>KYAI KONTONG</v>
      </c>
      <c r="D3711" s="94">
        <f>IFERROR(__xludf.DUMMYFUNCTION("""COMPUTED_VALUE"""),20.0)</f>
        <v>20</v>
      </c>
    </row>
    <row r="3712">
      <c r="A3712" s="87" t="str">
        <f>IFERROR(__xludf.DUMMYFUNCTION("""COMPUTED_VALUE"""),"ITBISA-RESISTOR-15K-1/4W")</f>
        <v>ITBISA-RESISTOR-15K-1/4W</v>
      </c>
      <c r="B3712" s="165">
        <f>IFERROR(__xludf.DUMMYFUNCTION("""COMPUTED_VALUE"""),46190.0)</f>
        <v>46190</v>
      </c>
      <c r="C3712" s="165" t="str">
        <f>IFERROR(__xludf.DUMMYFUNCTION("""COMPUTED_VALUE"""),"KYAI KONTONG")</f>
        <v>KYAI KONTONG</v>
      </c>
      <c r="D3712" s="94">
        <f>IFERROR(__xludf.DUMMYFUNCTION("""COMPUTED_VALUE"""),20.0)</f>
        <v>20</v>
      </c>
    </row>
    <row r="3713">
      <c r="A3713" s="87" t="str">
        <f>IFERROR(__xludf.DUMMYFUNCTION("""COMPUTED_VALUE"""),"ITBISA-RESISTOR-18K-1/4W")</f>
        <v>ITBISA-RESISTOR-18K-1/4W</v>
      </c>
      <c r="B3713" s="165">
        <f>IFERROR(__xludf.DUMMYFUNCTION("""COMPUTED_VALUE"""),46023.0)</f>
        <v>46023</v>
      </c>
      <c r="C3713" s="165" t="str">
        <f>IFERROR(__xludf.DUMMYFUNCTION("""COMPUTED_VALUE"""),"KYAI KONTONG")</f>
        <v>KYAI KONTONG</v>
      </c>
      <c r="D3713" s="94">
        <f>IFERROR(__xludf.DUMMYFUNCTION("""COMPUTED_VALUE"""),30.0)</f>
        <v>30</v>
      </c>
    </row>
    <row r="3714">
      <c r="A3714" s="87" t="str">
        <f>IFERROR(__xludf.DUMMYFUNCTION("""COMPUTED_VALUE"""),"ITBISA-RESISTOR-18K-1/4W")</f>
        <v>ITBISA-RESISTOR-18K-1/4W</v>
      </c>
      <c r="B3714" s="165">
        <f>IFERROR(__xludf.DUMMYFUNCTION("""COMPUTED_VALUE"""),46025.0)</f>
        <v>46025</v>
      </c>
      <c r="C3714" s="165" t="str">
        <f>IFERROR(__xludf.DUMMYFUNCTION("""COMPUTED_VALUE"""),"KYAI KONTONG")</f>
        <v>KYAI KONTONG</v>
      </c>
      <c r="D3714" s="94">
        <f>IFERROR(__xludf.DUMMYFUNCTION("""COMPUTED_VALUE"""),10.0)</f>
        <v>10</v>
      </c>
    </row>
    <row r="3715">
      <c r="A3715" s="87" t="str">
        <f>IFERROR(__xludf.DUMMYFUNCTION("""COMPUTED_VALUE"""),"ITBISA-RESISTOR-18K-1/4W")</f>
        <v>ITBISA-RESISTOR-18K-1/4W</v>
      </c>
      <c r="B3715" s="165">
        <f>IFERROR(__xludf.DUMMYFUNCTION("""COMPUTED_VALUE"""),46087.0)</f>
        <v>46087</v>
      </c>
      <c r="C3715" s="165" t="str">
        <f>IFERROR(__xludf.DUMMYFUNCTION("""COMPUTED_VALUE"""),"KYAI KONTONG")</f>
        <v>KYAI KONTONG</v>
      </c>
      <c r="D3715" s="94">
        <f>IFERROR(__xludf.DUMMYFUNCTION("""COMPUTED_VALUE"""),20.0)</f>
        <v>20</v>
      </c>
    </row>
    <row r="3716">
      <c r="A3716" s="87" t="str">
        <f>IFERROR(__xludf.DUMMYFUNCTION("""COMPUTED_VALUE"""),"ITBISA-RESISTOR-1K-1/4W")</f>
        <v>ITBISA-RESISTOR-1K-1/4W</v>
      </c>
      <c r="B3716" s="165">
        <f>IFERROR(__xludf.DUMMYFUNCTION("""COMPUTED_VALUE"""),46028.0)</f>
        <v>46028</v>
      </c>
      <c r="C3716" s="165" t="str">
        <f>IFERROR(__xludf.DUMMYFUNCTION("""COMPUTED_VALUE"""),"KYAI KONTONG")</f>
        <v>KYAI KONTONG</v>
      </c>
      <c r="D3716" s="94">
        <f>IFERROR(__xludf.DUMMYFUNCTION("""COMPUTED_VALUE"""),10.0)</f>
        <v>10</v>
      </c>
    </row>
    <row r="3717">
      <c r="A3717" s="87" t="str">
        <f>IFERROR(__xludf.DUMMYFUNCTION("""COMPUTED_VALUE"""),"ITBISA-RESISTOR-1K-1/4W")</f>
        <v>ITBISA-RESISTOR-1K-1/4W</v>
      </c>
      <c r="B3717" s="165">
        <f>IFERROR(__xludf.DUMMYFUNCTION("""COMPUTED_VALUE"""),46073.0)</f>
        <v>46073</v>
      </c>
      <c r="C3717" s="165" t="str">
        <f>IFERROR(__xludf.DUMMYFUNCTION("""COMPUTED_VALUE"""),"KYAI KONTONG")</f>
        <v>KYAI KONTONG</v>
      </c>
      <c r="D3717" s="94">
        <f>IFERROR(__xludf.DUMMYFUNCTION("""COMPUTED_VALUE"""),20.0)</f>
        <v>20</v>
      </c>
    </row>
    <row r="3718">
      <c r="A3718" s="87" t="str">
        <f>IFERROR(__xludf.DUMMYFUNCTION("""COMPUTED_VALUE"""),"ITBISA-RESISTOR-1K-1/4W")</f>
        <v>ITBISA-RESISTOR-1K-1/4W</v>
      </c>
      <c r="B3718" s="165">
        <f>IFERROR(__xludf.DUMMYFUNCTION("""COMPUTED_VALUE"""),46076.0)</f>
        <v>46076</v>
      </c>
      <c r="C3718" s="165" t="str">
        <f>IFERROR(__xludf.DUMMYFUNCTION("""COMPUTED_VALUE"""),"KYAI KONTONG")</f>
        <v>KYAI KONTONG</v>
      </c>
      <c r="D3718" s="94">
        <f>IFERROR(__xludf.DUMMYFUNCTION("""COMPUTED_VALUE"""),10.0)</f>
        <v>10</v>
      </c>
    </row>
    <row r="3719">
      <c r="A3719" s="87" t="str">
        <f>IFERROR(__xludf.DUMMYFUNCTION("""COMPUTED_VALUE"""),"ITBISA-RESISTOR-1K-1/4W")</f>
        <v>ITBISA-RESISTOR-1K-1/4W</v>
      </c>
      <c r="B3719" s="165">
        <f>IFERROR(__xludf.DUMMYFUNCTION("""COMPUTED_VALUE"""),46082.0)</f>
        <v>46082</v>
      </c>
      <c r="C3719" s="165" t="str">
        <f>IFERROR(__xludf.DUMMYFUNCTION("""COMPUTED_VALUE"""),"KYAI KONTONG")</f>
        <v>KYAI KONTONG</v>
      </c>
      <c r="D3719" s="94">
        <f>IFERROR(__xludf.DUMMYFUNCTION("""COMPUTED_VALUE"""),12.0)</f>
        <v>12</v>
      </c>
    </row>
    <row r="3720">
      <c r="A3720" s="87" t="str">
        <f>IFERROR(__xludf.DUMMYFUNCTION("""COMPUTED_VALUE"""),"ITBISA-RESISTOR-1K-1/4W")</f>
        <v>ITBISA-RESISTOR-1K-1/4W</v>
      </c>
      <c r="B3720" s="165">
        <f>IFERROR(__xludf.DUMMYFUNCTION("""COMPUTED_VALUE"""),46084.0)</f>
        <v>46084</v>
      </c>
      <c r="C3720" s="165" t="str">
        <f>IFERROR(__xludf.DUMMYFUNCTION("""COMPUTED_VALUE"""),"KYAI KONTONG")</f>
        <v>KYAI KONTONG</v>
      </c>
      <c r="D3720" s="94">
        <f>IFERROR(__xludf.DUMMYFUNCTION("""COMPUTED_VALUE"""),100.0)</f>
        <v>100</v>
      </c>
    </row>
    <row r="3721">
      <c r="A3721" s="87" t="str">
        <f>IFERROR(__xludf.DUMMYFUNCTION("""COMPUTED_VALUE"""),"ITBISA-RESISTOR-1K-1/4W")</f>
        <v>ITBISA-RESISTOR-1K-1/4W</v>
      </c>
      <c r="B3721" s="165">
        <f>IFERROR(__xludf.DUMMYFUNCTION("""COMPUTED_VALUE"""),46086.0)</f>
        <v>46086</v>
      </c>
      <c r="C3721" s="165" t="str">
        <f>IFERROR(__xludf.DUMMYFUNCTION("""COMPUTED_VALUE"""),"KYAI KONTONG")</f>
        <v>KYAI KONTONG</v>
      </c>
      <c r="D3721" s="94">
        <f>IFERROR(__xludf.DUMMYFUNCTION("""COMPUTED_VALUE"""),10.0)</f>
        <v>10</v>
      </c>
    </row>
    <row r="3722">
      <c r="A3722" s="87" t="str">
        <f>IFERROR(__xludf.DUMMYFUNCTION("""COMPUTED_VALUE"""),"ITBISA-RESISTOR-1K-1/4W")</f>
        <v>ITBISA-RESISTOR-1K-1/4W</v>
      </c>
      <c r="B3722" s="165">
        <f>IFERROR(__xludf.DUMMYFUNCTION("""COMPUTED_VALUE"""),46146.0)</f>
        <v>46146</v>
      </c>
      <c r="C3722" s="165" t="str">
        <f>IFERROR(__xludf.DUMMYFUNCTION("""COMPUTED_VALUE"""),"KYAI KONTONG")</f>
        <v>KYAI KONTONG</v>
      </c>
      <c r="D3722" s="94">
        <f>IFERROR(__xludf.DUMMYFUNCTION("""COMPUTED_VALUE"""),20.0)</f>
        <v>20</v>
      </c>
    </row>
    <row r="3723">
      <c r="A3723" s="87" t="str">
        <f>IFERROR(__xludf.DUMMYFUNCTION("""COMPUTED_VALUE"""),"ITBISA-RESISTOR-1K-1/4W")</f>
        <v>ITBISA-RESISTOR-1K-1/4W</v>
      </c>
      <c r="B3723" s="165">
        <f>IFERROR(__xludf.DUMMYFUNCTION("""COMPUTED_VALUE"""),46151.0)</f>
        <v>46151</v>
      </c>
      <c r="C3723" s="165" t="str">
        <f>IFERROR(__xludf.DUMMYFUNCTION("""COMPUTED_VALUE"""),"KYAI KONTONG")</f>
        <v>KYAI KONTONG</v>
      </c>
      <c r="D3723" s="94">
        <f>IFERROR(__xludf.DUMMYFUNCTION("""COMPUTED_VALUE"""),10.0)</f>
        <v>10</v>
      </c>
    </row>
    <row r="3724">
      <c r="A3724" s="87" t="str">
        <f>IFERROR(__xludf.DUMMYFUNCTION("""COMPUTED_VALUE"""),"ITBISA-RESISTOR-1K-1/4W")</f>
        <v>ITBISA-RESISTOR-1K-1/4W</v>
      </c>
      <c r="B3724" s="165">
        <f>IFERROR(__xludf.DUMMYFUNCTION("""COMPUTED_VALUE"""),46156.0)</f>
        <v>46156</v>
      </c>
      <c r="C3724" s="165" t="str">
        <f>IFERROR(__xludf.DUMMYFUNCTION("""COMPUTED_VALUE"""),"KYAI KONTONG")</f>
        <v>KYAI KONTONG</v>
      </c>
      <c r="D3724" s="94">
        <f>IFERROR(__xludf.DUMMYFUNCTION("""COMPUTED_VALUE"""),20.0)</f>
        <v>20</v>
      </c>
    </row>
    <row r="3725">
      <c r="A3725" s="87" t="str">
        <f>IFERROR(__xludf.DUMMYFUNCTION("""COMPUTED_VALUE"""),"ITBISA-RESISTOR-1K-1/4W")</f>
        <v>ITBISA-RESISTOR-1K-1/4W</v>
      </c>
      <c r="B3725" s="165">
        <f>IFERROR(__xludf.DUMMYFUNCTION("""COMPUTED_VALUE"""),46157.0)</f>
        <v>46157</v>
      </c>
      <c r="C3725" s="165" t="str">
        <f>IFERROR(__xludf.DUMMYFUNCTION("""COMPUTED_VALUE"""),"KYAI KONTONG")</f>
        <v>KYAI KONTONG</v>
      </c>
      <c r="D3725" s="94">
        <f>IFERROR(__xludf.DUMMYFUNCTION("""COMPUTED_VALUE"""),10.0)</f>
        <v>10</v>
      </c>
    </row>
    <row r="3726">
      <c r="A3726" s="87" t="str">
        <f>IFERROR(__xludf.DUMMYFUNCTION("""COMPUTED_VALUE"""),"ITBISA-RESISTOR-1K-1/4W")</f>
        <v>ITBISA-RESISTOR-1K-1/4W</v>
      </c>
      <c r="B3726" s="165">
        <f>IFERROR(__xludf.DUMMYFUNCTION("""COMPUTED_VALUE"""),46158.0)</f>
        <v>46158</v>
      </c>
      <c r="C3726" s="165" t="str">
        <f>IFERROR(__xludf.DUMMYFUNCTION("""COMPUTED_VALUE"""),"KYAI KONTONG")</f>
        <v>KYAI KONTONG</v>
      </c>
      <c r="D3726" s="94">
        <f>IFERROR(__xludf.DUMMYFUNCTION("""COMPUTED_VALUE"""),5.0)</f>
        <v>5</v>
      </c>
    </row>
    <row r="3727">
      <c r="A3727" s="87" t="str">
        <f>IFERROR(__xludf.DUMMYFUNCTION("""COMPUTED_VALUE"""),"ITBISA-RESISTOR-1K-1/4W")</f>
        <v>ITBISA-RESISTOR-1K-1/4W</v>
      </c>
      <c r="B3727" s="165">
        <f>IFERROR(__xludf.DUMMYFUNCTION("""COMPUTED_VALUE"""),46164.0)</f>
        <v>46164</v>
      </c>
      <c r="C3727" s="165" t="str">
        <f>IFERROR(__xludf.DUMMYFUNCTION("""COMPUTED_VALUE"""),"KYAI KONTONG")</f>
        <v>KYAI KONTONG</v>
      </c>
      <c r="D3727" s="94">
        <f>IFERROR(__xludf.DUMMYFUNCTION("""COMPUTED_VALUE"""),100.0)</f>
        <v>100</v>
      </c>
    </row>
    <row r="3728">
      <c r="A3728" s="87" t="str">
        <f>IFERROR(__xludf.DUMMYFUNCTION("""COMPUTED_VALUE"""),"ITBISA-RESISTOR-1K-1/4W")</f>
        <v>ITBISA-RESISTOR-1K-1/4W</v>
      </c>
      <c r="B3728" s="165">
        <f>IFERROR(__xludf.DUMMYFUNCTION("""COMPUTED_VALUE"""),46169.0)</f>
        <v>46169</v>
      </c>
      <c r="C3728" s="165" t="str">
        <f>IFERROR(__xludf.DUMMYFUNCTION("""COMPUTED_VALUE"""),"KYAI KONTONG")</f>
        <v>KYAI KONTONG</v>
      </c>
      <c r="D3728" s="94">
        <f>IFERROR(__xludf.DUMMYFUNCTION("""COMPUTED_VALUE"""),20.0)</f>
        <v>20</v>
      </c>
    </row>
    <row r="3729">
      <c r="A3729" s="87" t="str">
        <f>IFERROR(__xludf.DUMMYFUNCTION("""COMPUTED_VALUE"""),"ITBISA-RESISTOR-1K-1/4W")</f>
        <v>ITBISA-RESISTOR-1K-1/4W</v>
      </c>
      <c r="B3729" s="165">
        <f>IFERROR(__xludf.DUMMYFUNCTION("""COMPUTED_VALUE"""),46170.0)</f>
        <v>46170</v>
      </c>
      <c r="C3729" s="165" t="str">
        <f>IFERROR(__xludf.DUMMYFUNCTION("""COMPUTED_VALUE"""),"KYAI KONTONG")</f>
        <v>KYAI KONTONG</v>
      </c>
      <c r="D3729" s="94">
        <f>IFERROR(__xludf.DUMMYFUNCTION("""COMPUTED_VALUE"""),20.0)</f>
        <v>20</v>
      </c>
    </row>
    <row r="3730">
      <c r="A3730" s="87" t="str">
        <f>IFERROR(__xludf.DUMMYFUNCTION("""COMPUTED_VALUE"""),"ITBISA-RESISTOR-1K-1/4W")</f>
        <v>ITBISA-RESISTOR-1K-1/4W</v>
      </c>
      <c r="B3730" s="165">
        <f>IFERROR(__xludf.DUMMYFUNCTION("""COMPUTED_VALUE"""),46172.0)</f>
        <v>46172</v>
      </c>
      <c r="C3730" s="165" t="str">
        <f>IFERROR(__xludf.DUMMYFUNCTION("""COMPUTED_VALUE"""),"KYAI KONTONG")</f>
        <v>KYAI KONTONG</v>
      </c>
      <c r="D3730" s="94">
        <f>IFERROR(__xludf.DUMMYFUNCTION("""COMPUTED_VALUE"""),20.0)</f>
        <v>20</v>
      </c>
    </row>
    <row r="3731">
      <c r="A3731" s="87" t="str">
        <f>IFERROR(__xludf.DUMMYFUNCTION("""COMPUTED_VALUE"""),"ITBISA-RESISTOR-1K-1/4W")</f>
        <v>ITBISA-RESISTOR-1K-1/4W</v>
      </c>
      <c r="B3731" s="165">
        <f>IFERROR(__xludf.DUMMYFUNCTION("""COMPUTED_VALUE"""),46178.0)</f>
        <v>46178</v>
      </c>
      <c r="C3731" s="165" t="str">
        <f>IFERROR(__xludf.DUMMYFUNCTION("""COMPUTED_VALUE"""),"KYAI KONTONG")</f>
        <v>KYAI KONTONG</v>
      </c>
      <c r="D3731" s="94">
        <f>IFERROR(__xludf.DUMMYFUNCTION("""COMPUTED_VALUE"""),50.0)</f>
        <v>50</v>
      </c>
    </row>
    <row r="3732">
      <c r="A3732" s="87" t="str">
        <f>IFERROR(__xludf.DUMMYFUNCTION("""COMPUTED_VALUE"""),"ITBISA-RESISTOR-1K-1/4W")</f>
        <v>ITBISA-RESISTOR-1K-1/4W</v>
      </c>
      <c r="B3732" s="165">
        <f>IFERROR(__xludf.DUMMYFUNCTION("""COMPUTED_VALUE"""),46183.0)</f>
        <v>46183</v>
      </c>
      <c r="C3732" s="165" t="str">
        <f>IFERROR(__xludf.DUMMYFUNCTION("""COMPUTED_VALUE"""),"KYAI KONTONG")</f>
        <v>KYAI KONTONG</v>
      </c>
      <c r="D3732" s="94">
        <f>IFERROR(__xludf.DUMMYFUNCTION("""COMPUTED_VALUE"""),25.0)</f>
        <v>25</v>
      </c>
    </row>
    <row r="3733">
      <c r="A3733" s="87" t="str">
        <f>IFERROR(__xludf.DUMMYFUNCTION("""COMPUTED_VALUE"""),"ITBISA-RESISTOR-1K-1/4W")</f>
        <v>ITBISA-RESISTOR-1K-1/4W</v>
      </c>
      <c r="B3733" s="165">
        <f>IFERROR(__xludf.DUMMYFUNCTION("""COMPUTED_VALUE"""),46185.0)</f>
        <v>46185</v>
      </c>
      <c r="C3733" s="165" t="str">
        <f>IFERROR(__xludf.DUMMYFUNCTION("""COMPUTED_VALUE"""),"KYAI KONTONG")</f>
        <v>KYAI KONTONG</v>
      </c>
      <c r="D3733" s="94">
        <f>IFERROR(__xludf.DUMMYFUNCTION("""COMPUTED_VALUE"""),20.0)</f>
        <v>20</v>
      </c>
    </row>
    <row r="3734">
      <c r="A3734" s="87" t="str">
        <f>IFERROR(__xludf.DUMMYFUNCTION("""COMPUTED_VALUE"""),"ITBISA-RESISTOR-1K-1/4W")</f>
        <v>ITBISA-RESISTOR-1K-1/4W</v>
      </c>
      <c r="B3734" s="165">
        <f>IFERROR(__xludf.DUMMYFUNCTION("""COMPUTED_VALUE"""),46189.0)</f>
        <v>46189</v>
      </c>
      <c r="C3734" s="165" t="str">
        <f>IFERROR(__xludf.DUMMYFUNCTION("""COMPUTED_VALUE"""),"KYAI KONTONG")</f>
        <v>KYAI KONTONG</v>
      </c>
      <c r="D3734" s="94">
        <f>IFERROR(__xludf.DUMMYFUNCTION("""COMPUTED_VALUE"""),10.0)</f>
        <v>10</v>
      </c>
    </row>
    <row r="3735">
      <c r="A3735" s="87" t="str">
        <f>IFERROR(__xludf.DUMMYFUNCTION("""COMPUTED_VALUE"""),"ITBISA-RESISTOR-1K-1/4W")</f>
        <v>ITBISA-RESISTOR-1K-1/4W</v>
      </c>
      <c r="B3735" s="165">
        <f>IFERROR(__xludf.DUMMYFUNCTION("""COMPUTED_VALUE"""),46189.0)</f>
        <v>46189</v>
      </c>
      <c r="C3735" s="165" t="str">
        <f>IFERROR(__xludf.DUMMYFUNCTION("""COMPUTED_VALUE"""),"KYAI KONTONG")</f>
        <v>KYAI KONTONG</v>
      </c>
      <c r="D3735" s="94">
        <f>IFERROR(__xludf.DUMMYFUNCTION("""COMPUTED_VALUE"""),100.0)</f>
        <v>100</v>
      </c>
    </row>
    <row r="3736">
      <c r="A3736" s="87" t="str">
        <f>IFERROR(__xludf.DUMMYFUNCTION("""COMPUTED_VALUE"""),"ITBISA-RESISTOR-1K-1/4W")</f>
        <v>ITBISA-RESISTOR-1K-1/4W</v>
      </c>
      <c r="B3736" s="165">
        <f>IFERROR(__xludf.DUMMYFUNCTION("""COMPUTED_VALUE"""),46191.0)</f>
        <v>46191</v>
      </c>
      <c r="C3736" s="165" t="str">
        <f>IFERROR(__xludf.DUMMYFUNCTION("""COMPUTED_VALUE"""),"KYAI KONTONG")</f>
        <v>KYAI KONTONG</v>
      </c>
      <c r="D3736" s="94">
        <f>IFERROR(__xludf.DUMMYFUNCTION("""COMPUTED_VALUE"""),50.0)</f>
        <v>50</v>
      </c>
    </row>
    <row r="3737">
      <c r="A3737" s="87" t="str">
        <f>IFERROR(__xludf.DUMMYFUNCTION("""COMPUTED_VALUE"""),"ITBISA-RESISTOR-1K-1/4W")</f>
        <v>ITBISA-RESISTOR-1K-1/4W</v>
      </c>
      <c r="B3737" s="165">
        <f>IFERROR(__xludf.DUMMYFUNCTION("""COMPUTED_VALUE"""),46194.0)</f>
        <v>46194</v>
      </c>
      <c r="C3737" s="165" t="str">
        <f>IFERROR(__xludf.DUMMYFUNCTION("""COMPUTED_VALUE"""),"KYAI KONTONG")</f>
        <v>KYAI KONTONG</v>
      </c>
      <c r="D3737" s="94">
        <f>IFERROR(__xludf.DUMMYFUNCTION("""COMPUTED_VALUE"""),10.0)</f>
        <v>10</v>
      </c>
    </row>
    <row r="3738">
      <c r="A3738" s="87" t="str">
        <f>IFERROR(__xludf.DUMMYFUNCTION("""COMPUTED_VALUE"""),"ITBISA-RESISTOR-1M-1/4W")</f>
        <v>ITBISA-RESISTOR-1M-1/4W</v>
      </c>
      <c r="B3738" s="165">
        <f>IFERROR(__xludf.DUMMYFUNCTION("""COMPUTED_VALUE"""),46191.0)</f>
        <v>46191</v>
      </c>
      <c r="C3738" s="165" t="str">
        <f>IFERROR(__xludf.DUMMYFUNCTION("""COMPUTED_VALUE"""),"KYAI KONTONG")</f>
        <v>KYAI KONTONG</v>
      </c>
      <c r="D3738" s="94">
        <f>IFERROR(__xludf.DUMMYFUNCTION("""COMPUTED_VALUE"""),10.0)</f>
        <v>10</v>
      </c>
    </row>
    <row r="3739">
      <c r="A3739" s="87" t="str">
        <f>IFERROR(__xludf.DUMMYFUNCTION("""COMPUTED_VALUE"""),"ITBISA-RESISTOR-1M-1/4W")</f>
        <v>ITBISA-RESISTOR-1M-1/4W</v>
      </c>
      <c r="B3739" s="165">
        <f>IFERROR(__xludf.DUMMYFUNCTION("""COMPUTED_VALUE"""),46191.0)</f>
        <v>46191</v>
      </c>
      <c r="C3739" s="165" t="str">
        <f>IFERROR(__xludf.DUMMYFUNCTION("""COMPUTED_VALUE"""),"KYAI KONTONG")</f>
        <v>KYAI KONTONG</v>
      </c>
      <c r="D3739" s="94">
        <f>IFERROR(__xludf.DUMMYFUNCTION("""COMPUTED_VALUE"""),50.0)</f>
        <v>50</v>
      </c>
    </row>
    <row r="3740">
      <c r="A3740" s="87" t="str">
        <f>IFERROR(__xludf.DUMMYFUNCTION("""COMPUTED_VALUE"""),"ITBISA-RESISTOR-220-1/4W")</f>
        <v>ITBISA-RESISTOR-220-1/4W</v>
      </c>
      <c r="B3740" s="165">
        <f>IFERROR(__xludf.DUMMYFUNCTION("""COMPUTED_VALUE"""),46023.0)</f>
        <v>46023</v>
      </c>
      <c r="C3740" s="165" t="str">
        <f>IFERROR(__xludf.DUMMYFUNCTION("""COMPUTED_VALUE"""),"KYAI KONTONG")</f>
        <v>KYAI KONTONG</v>
      </c>
      <c r="D3740" s="94">
        <f>IFERROR(__xludf.DUMMYFUNCTION("""COMPUTED_VALUE"""),30.0)</f>
        <v>30</v>
      </c>
    </row>
    <row r="3741">
      <c r="A3741" s="87" t="str">
        <f>IFERROR(__xludf.DUMMYFUNCTION("""COMPUTED_VALUE"""),"ITBISA-RESISTOR-220-1/4W")</f>
        <v>ITBISA-RESISTOR-220-1/4W</v>
      </c>
      <c r="B3741" s="165">
        <f>IFERROR(__xludf.DUMMYFUNCTION("""COMPUTED_VALUE"""),46025.0)</f>
        <v>46025</v>
      </c>
      <c r="C3741" s="165" t="str">
        <f>IFERROR(__xludf.DUMMYFUNCTION("""COMPUTED_VALUE"""),"KYAI KONTONG")</f>
        <v>KYAI KONTONG</v>
      </c>
      <c r="D3741" s="94">
        <f>IFERROR(__xludf.DUMMYFUNCTION("""COMPUTED_VALUE"""),20.0)</f>
        <v>20</v>
      </c>
    </row>
    <row r="3742">
      <c r="A3742" s="87" t="str">
        <f>IFERROR(__xludf.DUMMYFUNCTION("""COMPUTED_VALUE"""),"ITBISA-RESISTOR-220-1/4W")</f>
        <v>ITBISA-RESISTOR-220-1/4W</v>
      </c>
      <c r="B3742" s="165">
        <f>IFERROR(__xludf.DUMMYFUNCTION("""COMPUTED_VALUE"""),46045.0)</f>
        <v>46045</v>
      </c>
      <c r="C3742" s="165" t="str">
        <f>IFERROR(__xludf.DUMMYFUNCTION("""COMPUTED_VALUE"""),"KERTASARI CIAMIS")</f>
        <v>KERTASARI CIAMIS</v>
      </c>
      <c r="D3742" s="94">
        <f>IFERROR(__xludf.DUMMYFUNCTION("""COMPUTED_VALUE"""),50.0)</f>
        <v>50</v>
      </c>
    </row>
    <row r="3743">
      <c r="A3743" s="87" t="str">
        <f>IFERROR(__xludf.DUMMYFUNCTION("""COMPUTED_VALUE"""),"ITBISA-RESISTOR-220-1/4W")</f>
        <v>ITBISA-RESISTOR-220-1/4W</v>
      </c>
      <c r="B3743" s="165">
        <f>IFERROR(__xludf.DUMMYFUNCTION("""COMPUTED_VALUE"""),46077.0)</f>
        <v>46077</v>
      </c>
      <c r="C3743" s="165" t="str">
        <f>IFERROR(__xludf.DUMMYFUNCTION("""COMPUTED_VALUE"""),"KERTASARI CIAMIS")</f>
        <v>KERTASARI CIAMIS</v>
      </c>
      <c r="D3743" s="94">
        <f>IFERROR(__xludf.DUMMYFUNCTION("""COMPUTED_VALUE"""),300.0)</f>
        <v>300</v>
      </c>
    </row>
    <row r="3744">
      <c r="A3744" s="87" t="str">
        <f>IFERROR(__xludf.DUMMYFUNCTION("""COMPUTED_VALUE"""),"ITBISA-RESISTOR-220-1/4W")</f>
        <v>ITBISA-RESISTOR-220-1/4W</v>
      </c>
      <c r="B3744" s="165">
        <f>IFERROR(__xludf.DUMMYFUNCTION("""COMPUTED_VALUE"""),46078.0)</f>
        <v>46078</v>
      </c>
      <c r="C3744" s="165" t="str">
        <f>IFERROR(__xludf.DUMMYFUNCTION("""COMPUTED_VALUE"""),"KYAI KONTONG")</f>
        <v>KYAI KONTONG</v>
      </c>
      <c r="D3744" s="94">
        <f>IFERROR(__xludf.DUMMYFUNCTION("""COMPUTED_VALUE"""),20.0)</f>
        <v>20</v>
      </c>
    </row>
    <row r="3745">
      <c r="A3745" s="87" t="str">
        <f>IFERROR(__xludf.DUMMYFUNCTION("""COMPUTED_VALUE"""),"ITBISA-RESISTOR-220-1/4W")</f>
        <v>ITBISA-RESISTOR-220-1/4W</v>
      </c>
      <c r="B3745" s="165">
        <f>IFERROR(__xludf.DUMMYFUNCTION("""COMPUTED_VALUE"""),46084.0)</f>
        <v>46084</v>
      </c>
      <c r="C3745" s="165" t="str">
        <f>IFERROR(__xludf.DUMMYFUNCTION("""COMPUTED_VALUE"""),"KYAI KONTONG")</f>
        <v>KYAI KONTONG</v>
      </c>
      <c r="D3745" s="94">
        <f>IFERROR(__xludf.DUMMYFUNCTION("""COMPUTED_VALUE"""),20.0)</f>
        <v>20</v>
      </c>
    </row>
    <row r="3746">
      <c r="A3746" s="87" t="str">
        <f>IFERROR(__xludf.DUMMYFUNCTION("""COMPUTED_VALUE"""),"ITBISA-RESISTOR-220-1/4W")</f>
        <v>ITBISA-RESISTOR-220-1/4W</v>
      </c>
      <c r="B3746" s="165">
        <f>IFERROR(__xludf.DUMMYFUNCTION("""COMPUTED_VALUE"""),46124.0)</f>
        <v>46124</v>
      </c>
      <c r="C3746" s="165" t="str">
        <f>IFERROR(__xludf.DUMMYFUNCTION("""COMPUTED_VALUE"""),"KYAI KONTONG")</f>
        <v>KYAI KONTONG</v>
      </c>
      <c r="D3746" s="94">
        <f>IFERROR(__xludf.DUMMYFUNCTION("""COMPUTED_VALUE"""),200.0)</f>
        <v>200</v>
      </c>
    </row>
    <row r="3747">
      <c r="A3747" s="87" t="str">
        <f>IFERROR(__xludf.DUMMYFUNCTION("""COMPUTED_VALUE"""),"ITBISA-RESISTOR-220-1/4W")</f>
        <v>ITBISA-RESISTOR-220-1/4W</v>
      </c>
      <c r="B3747" s="165">
        <f>IFERROR(__xludf.DUMMYFUNCTION("""COMPUTED_VALUE"""),46140.0)</f>
        <v>46140</v>
      </c>
      <c r="C3747" s="165" t="str">
        <f>IFERROR(__xludf.DUMMYFUNCTION("""COMPUTED_VALUE"""),"KYAI KONTONG")</f>
        <v>KYAI KONTONG</v>
      </c>
      <c r="D3747" s="94">
        <f>IFERROR(__xludf.DUMMYFUNCTION("""COMPUTED_VALUE"""),10.0)</f>
        <v>10</v>
      </c>
    </row>
    <row r="3748">
      <c r="A3748" s="87" t="str">
        <f>IFERROR(__xludf.DUMMYFUNCTION("""COMPUTED_VALUE"""),"ITBISA-RESISTOR-220-1/4W")</f>
        <v>ITBISA-RESISTOR-220-1/4W</v>
      </c>
      <c r="B3748" s="165">
        <f>IFERROR(__xludf.DUMMYFUNCTION("""COMPUTED_VALUE"""),46144.0)</f>
        <v>46144</v>
      </c>
      <c r="C3748" s="165" t="str">
        <f>IFERROR(__xludf.DUMMYFUNCTION("""COMPUTED_VALUE"""),"KYAI KONTONG")</f>
        <v>KYAI KONTONG</v>
      </c>
      <c r="D3748" s="94">
        <f>IFERROR(__xludf.DUMMYFUNCTION("""COMPUTED_VALUE"""),20.0)</f>
        <v>20</v>
      </c>
    </row>
    <row r="3749">
      <c r="A3749" s="87" t="str">
        <f>IFERROR(__xludf.DUMMYFUNCTION("""COMPUTED_VALUE"""),"ITBISA-RESISTOR-220-1/4W")</f>
        <v>ITBISA-RESISTOR-220-1/4W</v>
      </c>
      <c r="B3749" s="165">
        <f>IFERROR(__xludf.DUMMYFUNCTION("""COMPUTED_VALUE"""),46151.0)</f>
        <v>46151</v>
      </c>
      <c r="C3749" s="165" t="str">
        <f>IFERROR(__xludf.DUMMYFUNCTION("""COMPUTED_VALUE"""),"KYAI KONTONG")</f>
        <v>KYAI KONTONG</v>
      </c>
      <c r="D3749" s="94">
        <f>IFERROR(__xludf.DUMMYFUNCTION("""COMPUTED_VALUE"""),20.0)</f>
        <v>20</v>
      </c>
    </row>
    <row r="3750">
      <c r="A3750" s="87" t="str">
        <f>IFERROR(__xludf.DUMMYFUNCTION("""COMPUTED_VALUE"""),"ITBISA-RESISTOR-220-1/4W")</f>
        <v>ITBISA-RESISTOR-220-1/4W</v>
      </c>
      <c r="B3750" s="165">
        <f>IFERROR(__xludf.DUMMYFUNCTION("""COMPUTED_VALUE"""),46156.0)</f>
        <v>46156</v>
      </c>
      <c r="C3750" s="165" t="str">
        <f>IFERROR(__xludf.DUMMYFUNCTION("""COMPUTED_VALUE"""),"KYAI KONTONG")</f>
        <v>KYAI KONTONG</v>
      </c>
      <c r="D3750" s="94">
        <f>IFERROR(__xludf.DUMMYFUNCTION("""COMPUTED_VALUE"""),10.0)</f>
        <v>10</v>
      </c>
    </row>
    <row r="3751">
      <c r="A3751" s="87" t="str">
        <f>IFERROR(__xludf.DUMMYFUNCTION("""COMPUTED_VALUE"""),"ITBISA-RESISTOR-220-1/4W")</f>
        <v>ITBISA-RESISTOR-220-1/4W</v>
      </c>
      <c r="B3751" s="165">
        <f>IFERROR(__xludf.DUMMYFUNCTION("""COMPUTED_VALUE"""),46169.0)</f>
        <v>46169</v>
      </c>
      <c r="C3751" s="165" t="str">
        <f>IFERROR(__xludf.DUMMYFUNCTION("""COMPUTED_VALUE"""),"KYAI KONTONG")</f>
        <v>KYAI KONTONG</v>
      </c>
      <c r="D3751" s="94">
        <f>IFERROR(__xludf.DUMMYFUNCTION("""COMPUTED_VALUE"""),20.0)</f>
        <v>20</v>
      </c>
    </row>
    <row r="3752">
      <c r="A3752" s="87" t="str">
        <f>IFERROR(__xludf.DUMMYFUNCTION("""COMPUTED_VALUE"""),"ITBISA-RESISTOR-220-1/4W")</f>
        <v>ITBISA-RESISTOR-220-1/4W</v>
      </c>
      <c r="B3752" s="165">
        <f>IFERROR(__xludf.DUMMYFUNCTION("""COMPUTED_VALUE"""),46175.0)</f>
        <v>46175</v>
      </c>
      <c r="C3752" s="165" t="str">
        <f>IFERROR(__xludf.DUMMYFUNCTION("""COMPUTED_VALUE"""),"KYAI KONTONG")</f>
        <v>KYAI KONTONG</v>
      </c>
      <c r="D3752" s="94">
        <f>IFERROR(__xludf.DUMMYFUNCTION("""COMPUTED_VALUE"""),20.0)</f>
        <v>20</v>
      </c>
    </row>
    <row r="3753">
      <c r="A3753" s="87" t="str">
        <f>IFERROR(__xludf.DUMMYFUNCTION("""COMPUTED_VALUE"""),"ITBISA-RESISTOR-220-1/4W")</f>
        <v>ITBISA-RESISTOR-220-1/4W</v>
      </c>
      <c r="B3753" s="165">
        <f>IFERROR(__xludf.DUMMYFUNCTION("""COMPUTED_VALUE"""),46177.0)</f>
        <v>46177</v>
      </c>
      <c r="C3753" s="165" t="str">
        <f>IFERROR(__xludf.DUMMYFUNCTION("""COMPUTED_VALUE"""),"KYAI KONTONG")</f>
        <v>KYAI KONTONG</v>
      </c>
      <c r="D3753" s="94">
        <f>IFERROR(__xludf.DUMMYFUNCTION("""COMPUTED_VALUE"""),10.0)</f>
        <v>10</v>
      </c>
    </row>
    <row r="3754">
      <c r="A3754" s="87" t="str">
        <f>IFERROR(__xludf.DUMMYFUNCTION("""COMPUTED_VALUE"""),"ITBISA-RESISTOR-220-1/4W")</f>
        <v>ITBISA-RESISTOR-220-1/4W</v>
      </c>
      <c r="B3754" s="165">
        <f>IFERROR(__xludf.DUMMYFUNCTION("""COMPUTED_VALUE"""),46191.0)</f>
        <v>46191</v>
      </c>
      <c r="C3754" s="165" t="str">
        <f>IFERROR(__xludf.DUMMYFUNCTION("""COMPUTED_VALUE"""),"KYAI KONTONG")</f>
        <v>KYAI KONTONG</v>
      </c>
      <c r="D3754" s="94">
        <f>IFERROR(__xludf.DUMMYFUNCTION("""COMPUTED_VALUE"""),25.0)</f>
        <v>25</v>
      </c>
    </row>
    <row r="3755">
      <c r="A3755" s="87" t="str">
        <f>IFERROR(__xludf.DUMMYFUNCTION("""COMPUTED_VALUE"""),"ITBISA-RESISTOR-220-1/4W")</f>
        <v>ITBISA-RESISTOR-220-1/4W</v>
      </c>
      <c r="B3755" s="165">
        <f>IFERROR(__xludf.DUMMYFUNCTION("""COMPUTED_VALUE"""),46194.0)</f>
        <v>46194</v>
      </c>
      <c r="C3755" s="165" t="str">
        <f>IFERROR(__xludf.DUMMYFUNCTION("""COMPUTED_VALUE"""),"KYAI KONTONG")</f>
        <v>KYAI KONTONG</v>
      </c>
      <c r="D3755" s="94">
        <f>IFERROR(__xludf.DUMMYFUNCTION("""COMPUTED_VALUE"""),10.0)</f>
        <v>10</v>
      </c>
    </row>
    <row r="3756">
      <c r="A3756" s="87" t="str">
        <f>IFERROR(__xludf.DUMMYFUNCTION("""COMPUTED_VALUE"""),"ITBISA-RESISTOR-22K-1/4W")</f>
        <v>ITBISA-RESISTOR-22K-1/4W</v>
      </c>
      <c r="B3756" s="165">
        <f>IFERROR(__xludf.DUMMYFUNCTION("""COMPUTED_VALUE"""),46025.0)</f>
        <v>46025</v>
      </c>
      <c r="C3756" s="165" t="str">
        <f>IFERROR(__xludf.DUMMYFUNCTION("""COMPUTED_VALUE"""),"KYAI KONTONG")</f>
        <v>KYAI KONTONG</v>
      </c>
      <c r="D3756" s="94">
        <f>IFERROR(__xludf.DUMMYFUNCTION("""COMPUTED_VALUE"""),10.0)</f>
        <v>10</v>
      </c>
    </row>
    <row r="3757">
      <c r="A3757" s="87" t="str">
        <f>IFERROR(__xludf.DUMMYFUNCTION("""COMPUTED_VALUE"""),"ITBISA-RESISTOR-22K-1/4W")</f>
        <v>ITBISA-RESISTOR-22K-1/4W</v>
      </c>
      <c r="B3757" s="165">
        <f>IFERROR(__xludf.DUMMYFUNCTION("""COMPUTED_VALUE"""),46025.0)</f>
        <v>46025</v>
      </c>
      <c r="C3757" s="165" t="str">
        <f>IFERROR(__xludf.DUMMYFUNCTION("""COMPUTED_VALUE"""),"KYAI KONTONG")</f>
        <v>KYAI KONTONG</v>
      </c>
      <c r="D3757" s="94">
        <f>IFERROR(__xludf.DUMMYFUNCTION("""COMPUTED_VALUE"""),10.0)</f>
        <v>10</v>
      </c>
    </row>
    <row r="3758">
      <c r="A3758" s="87" t="str">
        <f>IFERROR(__xludf.DUMMYFUNCTION("""COMPUTED_VALUE"""),"ITBISA-RESISTOR-22K-1/4W")</f>
        <v>ITBISA-RESISTOR-22K-1/4W</v>
      </c>
      <c r="B3758" s="165">
        <f>IFERROR(__xludf.DUMMYFUNCTION("""COMPUTED_VALUE"""),46082.0)</f>
        <v>46082</v>
      </c>
      <c r="C3758" s="165" t="str">
        <f>IFERROR(__xludf.DUMMYFUNCTION("""COMPUTED_VALUE"""),"KYAI KONTONG")</f>
        <v>KYAI KONTONG</v>
      </c>
      <c r="D3758" s="94">
        <f>IFERROR(__xludf.DUMMYFUNCTION("""COMPUTED_VALUE"""),10.0)</f>
        <v>10</v>
      </c>
    </row>
    <row r="3759">
      <c r="A3759" s="87" t="str">
        <f>IFERROR(__xludf.DUMMYFUNCTION("""COMPUTED_VALUE"""),"ITBISA-RESISTOR-22K-1/4W")</f>
        <v>ITBISA-RESISTOR-22K-1/4W</v>
      </c>
      <c r="B3759" s="165">
        <f>IFERROR(__xludf.DUMMYFUNCTION("""COMPUTED_VALUE"""),46158.0)</f>
        <v>46158</v>
      </c>
      <c r="C3759" s="165" t="str">
        <f>IFERROR(__xludf.DUMMYFUNCTION("""COMPUTED_VALUE"""),"KYAI KONTONG")</f>
        <v>KYAI KONTONG</v>
      </c>
      <c r="D3759" s="94">
        <f>IFERROR(__xludf.DUMMYFUNCTION("""COMPUTED_VALUE"""),4.0)</f>
        <v>4</v>
      </c>
    </row>
    <row r="3760">
      <c r="A3760" s="87" t="str">
        <f>IFERROR(__xludf.DUMMYFUNCTION("""COMPUTED_VALUE"""),"ITBISA-RESISTOR-22K-1/4W")</f>
        <v>ITBISA-RESISTOR-22K-1/4W</v>
      </c>
      <c r="B3760" s="165">
        <f>IFERROR(__xludf.DUMMYFUNCTION("""COMPUTED_VALUE"""),46183.0)</f>
        <v>46183</v>
      </c>
      <c r="C3760" s="165" t="str">
        <f>IFERROR(__xludf.DUMMYFUNCTION("""COMPUTED_VALUE"""),"KYAI KONTONG")</f>
        <v>KYAI KONTONG</v>
      </c>
      <c r="D3760" s="94">
        <f>IFERROR(__xludf.DUMMYFUNCTION("""COMPUTED_VALUE"""),25.0)</f>
        <v>25</v>
      </c>
    </row>
    <row r="3761">
      <c r="A3761" s="87" t="str">
        <f>IFERROR(__xludf.DUMMYFUNCTION("""COMPUTED_VALUE"""),"ITBISA-RESISTOR-22K-1/4W")</f>
        <v>ITBISA-RESISTOR-22K-1/4W</v>
      </c>
      <c r="B3761" s="165">
        <f>IFERROR(__xludf.DUMMYFUNCTION("""COMPUTED_VALUE"""),46192.0)</f>
        <v>46192</v>
      </c>
      <c r="C3761" s="165" t="str">
        <f>IFERROR(__xludf.DUMMYFUNCTION("""COMPUTED_VALUE"""),"KYAI KONTONG")</f>
        <v>KYAI KONTONG</v>
      </c>
      <c r="D3761" s="94">
        <f>IFERROR(__xludf.DUMMYFUNCTION("""COMPUTED_VALUE"""),50.0)</f>
        <v>50</v>
      </c>
    </row>
    <row r="3762">
      <c r="A3762" s="87" t="str">
        <f>IFERROR(__xludf.DUMMYFUNCTION("""COMPUTED_VALUE"""),"ITBISA-RESISTOR-270-1/4W")</f>
        <v>ITBISA-RESISTOR-270-1/4W</v>
      </c>
      <c r="B3762" s="165">
        <f>IFERROR(__xludf.DUMMYFUNCTION("""COMPUTED_VALUE"""),46169.0)</f>
        <v>46169</v>
      </c>
      <c r="C3762" s="165" t="str">
        <f>IFERROR(__xludf.DUMMYFUNCTION("""COMPUTED_VALUE"""),"KYAI KONTONG")</f>
        <v>KYAI KONTONG</v>
      </c>
      <c r="D3762" s="94">
        <f>IFERROR(__xludf.DUMMYFUNCTION("""COMPUTED_VALUE"""),19.0)</f>
        <v>19</v>
      </c>
    </row>
    <row r="3763">
      <c r="A3763" s="87" t="str">
        <f>IFERROR(__xludf.DUMMYFUNCTION("""COMPUTED_VALUE"""),"ITBISA-RESISTOR-270-1/4W")</f>
        <v>ITBISA-RESISTOR-270-1/4W</v>
      </c>
      <c r="B3763" s="165">
        <f>IFERROR(__xludf.DUMMYFUNCTION("""COMPUTED_VALUE"""),46177.0)</f>
        <v>46177</v>
      </c>
      <c r="C3763" s="165" t="str">
        <f>IFERROR(__xludf.DUMMYFUNCTION("""COMPUTED_VALUE"""),"KYAI KONTONG")</f>
        <v>KYAI KONTONG</v>
      </c>
      <c r="D3763" s="94">
        <f>IFERROR(__xludf.DUMMYFUNCTION("""COMPUTED_VALUE"""),20.0)</f>
        <v>20</v>
      </c>
    </row>
    <row r="3764">
      <c r="A3764" s="87" t="str">
        <f>IFERROR(__xludf.DUMMYFUNCTION("""COMPUTED_VALUE"""),"ITBISA-RESISTOR-270-1/4W")</f>
        <v>ITBISA-RESISTOR-270-1/4W</v>
      </c>
      <c r="B3764" s="165">
        <f>IFERROR(__xludf.DUMMYFUNCTION("""COMPUTED_VALUE"""),46178.0)</f>
        <v>46178</v>
      </c>
      <c r="C3764" s="165" t="str">
        <f>IFERROR(__xludf.DUMMYFUNCTION("""COMPUTED_VALUE"""),"KYAI KONTONG")</f>
        <v>KYAI KONTONG</v>
      </c>
      <c r="D3764" s="94">
        <f>IFERROR(__xludf.DUMMYFUNCTION("""COMPUTED_VALUE"""),20.0)</f>
        <v>20</v>
      </c>
    </row>
    <row r="3765">
      <c r="A3765" s="87" t="str">
        <f>IFERROR(__xludf.DUMMYFUNCTION("""COMPUTED_VALUE"""),"ITBISA-RESISTOR-270-1/4W")</f>
        <v>ITBISA-RESISTOR-270-1/4W</v>
      </c>
      <c r="B3765" s="165">
        <f>IFERROR(__xludf.DUMMYFUNCTION("""COMPUTED_VALUE"""),46194.0)</f>
        <v>46194</v>
      </c>
      <c r="C3765" s="165" t="str">
        <f>IFERROR(__xludf.DUMMYFUNCTION("""COMPUTED_VALUE"""),"KYAI KONTONG")</f>
        <v>KYAI KONTONG</v>
      </c>
      <c r="D3765" s="94">
        <f>IFERROR(__xludf.DUMMYFUNCTION("""COMPUTED_VALUE"""),10.0)</f>
        <v>10</v>
      </c>
    </row>
    <row r="3766">
      <c r="A3766" s="87" t="str">
        <f>IFERROR(__xludf.DUMMYFUNCTION("""COMPUTED_VALUE"""),"ITBISA-RESISTOR-270K-1/4W")</f>
        <v>ITBISA-RESISTOR-270K-1/4W</v>
      </c>
      <c r="B3766" s="165">
        <f>IFERROR(__xludf.DUMMYFUNCTION("""COMPUTED_VALUE"""),46191.0)</f>
        <v>46191</v>
      </c>
      <c r="C3766" s="165" t="str">
        <f>IFERROR(__xludf.DUMMYFUNCTION("""COMPUTED_VALUE"""),"KYAI KONTONG")</f>
        <v>KYAI KONTONG</v>
      </c>
      <c r="D3766" s="94">
        <f>IFERROR(__xludf.DUMMYFUNCTION("""COMPUTED_VALUE"""),10.0)</f>
        <v>10</v>
      </c>
    </row>
    <row r="3767">
      <c r="A3767" s="87" t="str">
        <f>IFERROR(__xludf.DUMMYFUNCTION("""COMPUTED_VALUE"""),"ITBISA-RESISTOR-27K-1/4W")</f>
        <v>ITBISA-RESISTOR-27K-1/4W</v>
      </c>
      <c r="B3767" s="165">
        <f>IFERROR(__xludf.DUMMYFUNCTION("""COMPUTED_VALUE"""),46023.0)</f>
        <v>46023</v>
      </c>
      <c r="C3767" s="165" t="str">
        <f>IFERROR(__xludf.DUMMYFUNCTION("""COMPUTED_VALUE"""),"KYAI KONTONG")</f>
        <v>KYAI KONTONG</v>
      </c>
      <c r="D3767" s="94">
        <f>IFERROR(__xludf.DUMMYFUNCTION("""COMPUTED_VALUE"""),60.0)</f>
        <v>60</v>
      </c>
    </row>
    <row r="3768">
      <c r="A3768" s="87" t="str">
        <f>IFERROR(__xludf.DUMMYFUNCTION("""COMPUTED_VALUE"""),"ITBISA-RESISTOR-27K-1/4W")</f>
        <v>ITBISA-RESISTOR-27K-1/4W</v>
      </c>
      <c r="B3768" s="165">
        <f>IFERROR(__xludf.DUMMYFUNCTION("""COMPUTED_VALUE"""),46157.0)</f>
        <v>46157</v>
      </c>
      <c r="C3768" s="165" t="str">
        <f>IFERROR(__xludf.DUMMYFUNCTION("""COMPUTED_VALUE"""),"KYAI KONTONG")</f>
        <v>KYAI KONTONG</v>
      </c>
      <c r="D3768" s="94">
        <f>IFERROR(__xludf.DUMMYFUNCTION("""COMPUTED_VALUE"""),10.0)</f>
        <v>10</v>
      </c>
    </row>
    <row r="3769">
      <c r="A3769" s="87" t="str">
        <f>IFERROR(__xludf.DUMMYFUNCTION("""COMPUTED_VALUE"""),"ITBISA-RESISTOR-27K-1/4W")</f>
        <v>ITBISA-RESISTOR-27K-1/4W</v>
      </c>
      <c r="B3769" s="165">
        <f>IFERROR(__xludf.DUMMYFUNCTION("""COMPUTED_VALUE"""),46187.0)</f>
        <v>46187</v>
      </c>
      <c r="C3769" s="165" t="str">
        <f>IFERROR(__xludf.DUMMYFUNCTION("""COMPUTED_VALUE"""),"KYAI KONTONG")</f>
        <v>KYAI KONTONG</v>
      </c>
      <c r="D3769" s="94">
        <f>IFERROR(__xludf.DUMMYFUNCTION("""COMPUTED_VALUE"""),35.0)</f>
        <v>35</v>
      </c>
    </row>
    <row r="3770">
      <c r="A3770" s="87" t="str">
        <f>IFERROR(__xludf.DUMMYFUNCTION("""COMPUTED_VALUE"""),"ITBISA-RESISTOR-2K2-1/4W")</f>
        <v>ITBISA-RESISTOR-2K2-1/4W</v>
      </c>
      <c r="B3770" s="165">
        <f>IFERROR(__xludf.DUMMYFUNCTION("""COMPUTED_VALUE"""),46023.0)</f>
        <v>46023</v>
      </c>
      <c r="C3770" s="165" t="str">
        <f>IFERROR(__xludf.DUMMYFUNCTION("""COMPUTED_VALUE"""),"KYAI KONTONG")</f>
        <v>KYAI KONTONG</v>
      </c>
      <c r="D3770" s="94">
        <f>IFERROR(__xludf.DUMMYFUNCTION("""COMPUTED_VALUE"""),10.0)</f>
        <v>10</v>
      </c>
    </row>
    <row r="3771">
      <c r="A3771" s="87" t="str">
        <f>IFERROR(__xludf.DUMMYFUNCTION("""COMPUTED_VALUE"""),"ITBISA-RESISTOR-2K2-1/4W")</f>
        <v>ITBISA-RESISTOR-2K2-1/4W</v>
      </c>
      <c r="B3771" s="165">
        <f>IFERROR(__xludf.DUMMYFUNCTION("""COMPUTED_VALUE"""),46023.0)</f>
        <v>46023</v>
      </c>
      <c r="C3771" s="165" t="str">
        <f>IFERROR(__xludf.DUMMYFUNCTION("""COMPUTED_VALUE"""),"KYAI KONTONG")</f>
        <v>KYAI KONTONG</v>
      </c>
      <c r="D3771" s="94">
        <f>IFERROR(__xludf.DUMMYFUNCTION("""COMPUTED_VALUE"""),20.0)</f>
        <v>20</v>
      </c>
    </row>
    <row r="3772">
      <c r="A3772" s="87" t="str">
        <f>IFERROR(__xludf.DUMMYFUNCTION("""COMPUTED_VALUE"""),"ITBISA-RESISTOR-2K2-1/4W")</f>
        <v>ITBISA-RESISTOR-2K2-1/4W</v>
      </c>
      <c r="B3772" s="165">
        <f>IFERROR(__xludf.DUMMYFUNCTION("""COMPUTED_VALUE"""),46023.0)</f>
        <v>46023</v>
      </c>
      <c r="C3772" s="165" t="str">
        <f>IFERROR(__xludf.DUMMYFUNCTION("""COMPUTED_VALUE"""),"KYAI KONTONG")</f>
        <v>KYAI KONTONG</v>
      </c>
      <c r="D3772" s="94">
        <f>IFERROR(__xludf.DUMMYFUNCTION("""COMPUTED_VALUE"""),60.0)</f>
        <v>60</v>
      </c>
    </row>
    <row r="3773">
      <c r="A3773" s="87" t="str">
        <f>IFERROR(__xludf.DUMMYFUNCTION("""COMPUTED_VALUE"""),"ITBISA-RESISTOR-2K2-1/4W")</f>
        <v>ITBISA-RESISTOR-2K2-1/4W</v>
      </c>
      <c r="B3773" s="165">
        <f>IFERROR(__xludf.DUMMYFUNCTION("""COMPUTED_VALUE"""),46024.0)</f>
        <v>46024</v>
      </c>
      <c r="C3773" s="165" t="str">
        <f>IFERROR(__xludf.DUMMYFUNCTION("""COMPUTED_VALUE"""),"KYAI KONTONG")</f>
        <v>KYAI KONTONG</v>
      </c>
      <c r="D3773" s="94">
        <f>IFERROR(__xludf.DUMMYFUNCTION("""COMPUTED_VALUE"""),100.0)</f>
        <v>100</v>
      </c>
    </row>
    <row r="3774">
      <c r="A3774" s="87" t="str">
        <f>IFERROR(__xludf.DUMMYFUNCTION("""COMPUTED_VALUE"""),"ITBISA-RESISTOR-2K2-1/4W")</f>
        <v>ITBISA-RESISTOR-2K2-1/4W</v>
      </c>
      <c r="B3774" s="165">
        <f>IFERROR(__xludf.DUMMYFUNCTION("""COMPUTED_VALUE"""),46025.0)</f>
        <v>46025</v>
      </c>
      <c r="C3774" s="165" t="str">
        <f>IFERROR(__xludf.DUMMYFUNCTION("""COMPUTED_VALUE"""),"KYAI KONTONG")</f>
        <v>KYAI KONTONG</v>
      </c>
      <c r="D3774" s="94">
        <f>IFERROR(__xludf.DUMMYFUNCTION("""COMPUTED_VALUE"""),5.0)</f>
        <v>5</v>
      </c>
    </row>
    <row r="3775">
      <c r="A3775" s="87" t="str">
        <f>IFERROR(__xludf.DUMMYFUNCTION("""COMPUTED_VALUE"""),"ITBISA-RESISTOR-2K2-1/4W")</f>
        <v>ITBISA-RESISTOR-2K2-1/4W</v>
      </c>
      <c r="B3775" s="165">
        <f>IFERROR(__xludf.DUMMYFUNCTION("""COMPUTED_VALUE"""),46027.0)</f>
        <v>46027</v>
      </c>
      <c r="C3775" s="165" t="str">
        <f>IFERROR(__xludf.DUMMYFUNCTION("""COMPUTED_VALUE"""),"KERTASARI CIAMIS")</f>
        <v>KERTASARI CIAMIS</v>
      </c>
      <c r="D3775" s="94">
        <f>IFERROR(__xludf.DUMMYFUNCTION("""COMPUTED_VALUE"""),50.0)</f>
        <v>50</v>
      </c>
    </row>
    <row r="3776">
      <c r="A3776" s="87" t="str">
        <f>IFERROR(__xludf.DUMMYFUNCTION("""COMPUTED_VALUE"""),"ITBISA-RESISTOR-2K2-1/4W")</f>
        <v>ITBISA-RESISTOR-2K2-1/4W</v>
      </c>
      <c r="B3776" s="165">
        <f>IFERROR(__xludf.DUMMYFUNCTION("""COMPUTED_VALUE"""),46082.0)</f>
        <v>46082</v>
      </c>
      <c r="C3776" s="165" t="str">
        <f>IFERROR(__xludf.DUMMYFUNCTION("""COMPUTED_VALUE"""),"KYAI KONTONG")</f>
        <v>KYAI KONTONG</v>
      </c>
      <c r="D3776" s="94">
        <f>IFERROR(__xludf.DUMMYFUNCTION("""COMPUTED_VALUE"""),11.0)</f>
        <v>11</v>
      </c>
    </row>
    <row r="3777">
      <c r="A3777" s="87" t="str">
        <f>IFERROR(__xludf.DUMMYFUNCTION("""COMPUTED_VALUE"""),"ITBISA-RESISTOR-2K2-1/4W")</f>
        <v>ITBISA-RESISTOR-2K2-1/4W</v>
      </c>
      <c r="B3777" s="165">
        <f>IFERROR(__xludf.DUMMYFUNCTION("""COMPUTED_VALUE"""),46088.0)</f>
        <v>46088</v>
      </c>
      <c r="C3777" s="165" t="str">
        <f>IFERROR(__xludf.DUMMYFUNCTION("""COMPUTED_VALUE"""),"KYAI KONTONG")</f>
        <v>KYAI KONTONG</v>
      </c>
      <c r="D3777" s="94">
        <f>IFERROR(__xludf.DUMMYFUNCTION("""COMPUTED_VALUE"""),20.0)</f>
        <v>20</v>
      </c>
    </row>
    <row r="3778">
      <c r="A3778" s="87" t="str">
        <f>IFERROR(__xludf.DUMMYFUNCTION("""COMPUTED_VALUE"""),"ITBISA-RESISTOR-2K2-1/4W")</f>
        <v>ITBISA-RESISTOR-2K2-1/4W</v>
      </c>
      <c r="B3778" s="165">
        <f>IFERROR(__xludf.DUMMYFUNCTION("""COMPUTED_VALUE"""),46158.0)</f>
        <v>46158</v>
      </c>
      <c r="C3778" s="165" t="str">
        <f>IFERROR(__xludf.DUMMYFUNCTION("""COMPUTED_VALUE"""),"KYAI KONTONG")</f>
        <v>KYAI KONTONG</v>
      </c>
      <c r="D3778" s="94">
        <f>IFERROR(__xludf.DUMMYFUNCTION("""COMPUTED_VALUE"""),3.0)</f>
        <v>3</v>
      </c>
    </row>
    <row r="3779">
      <c r="A3779" s="87" t="str">
        <f>IFERROR(__xludf.DUMMYFUNCTION("""COMPUTED_VALUE"""),"ITBISA-RESISTOR-2K2-1/4W")</f>
        <v>ITBISA-RESISTOR-2K2-1/4W</v>
      </c>
      <c r="B3779" s="165">
        <f>IFERROR(__xludf.DUMMYFUNCTION("""COMPUTED_VALUE"""),46169.0)</f>
        <v>46169</v>
      </c>
      <c r="C3779" s="165" t="str">
        <f>IFERROR(__xludf.DUMMYFUNCTION("""COMPUTED_VALUE"""),"KYAI KONTONG")</f>
        <v>KYAI KONTONG</v>
      </c>
      <c r="D3779" s="94">
        <f>IFERROR(__xludf.DUMMYFUNCTION("""COMPUTED_VALUE"""),20.0)</f>
        <v>20</v>
      </c>
    </row>
    <row r="3780">
      <c r="A3780" s="87" t="str">
        <f>IFERROR(__xludf.DUMMYFUNCTION("""COMPUTED_VALUE"""),"ITBISA-RESISTOR-2K2-1/4W")</f>
        <v>ITBISA-RESISTOR-2K2-1/4W</v>
      </c>
      <c r="B3780" s="165">
        <f>IFERROR(__xludf.DUMMYFUNCTION("""COMPUTED_VALUE"""),46183.0)</f>
        <v>46183</v>
      </c>
      <c r="C3780" s="165" t="str">
        <f>IFERROR(__xludf.DUMMYFUNCTION("""COMPUTED_VALUE"""),"KYAI KONTONG")</f>
        <v>KYAI KONTONG</v>
      </c>
      <c r="D3780" s="94">
        <f>IFERROR(__xludf.DUMMYFUNCTION("""COMPUTED_VALUE"""),25.0)</f>
        <v>25</v>
      </c>
    </row>
    <row r="3781">
      <c r="A3781" s="87" t="str">
        <f>IFERROR(__xludf.DUMMYFUNCTION("""COMPUTED_VALUE"""),"ITBISA-RESISTOR-2K2-1/4W")</f>
        <v>ITBISA-RESISTOR-2K2-1/4W</v>
      </c>
      <c r="B3781" s="165">
        <f>IFERROR(__xludf.DUMMYFUNCTION("""COMPUTED_VALUE"""),46189.0)</f>
        <v>46189</v>
      </c>
      <c r="C3781" s="165" t="str">
        <f>IFERROR(__xludf.DUMMYFUNCTION("""COMPUTED_VALUE"""),"KYAI KONTONG")</f>
        <v>KYAI KONTONG</v>
      </c>
      <c r="D3781" s="94">
        <f>IFERROR(__xludf.DUMMYFUNCTION("""COMPUTED_VALUE"""),10.0)</f>
        <v>10</v>
      </c>
    </row>
    <row r="3782">
      <c r="A3782" s="87" t="str">
        <f>IFERROR(__xludf.DUMMYFUNCTION("""COMPUTED_VALUE"""),"ITBISA-RESISTOR-2K2-1/4W")</f>
        <v>ITBISA-RESISTOR-2K2-1/4W</v>
      </c>
      <c r="B3782" s="165">
        <f>IFERROR(__xludf.DUMMYFUNCTION("""COMPUTED_VALUE"""),46190.0)</f>
        <v>46190</v>
      </c>
      <c r="C3782" s="165" t="str">
        <f>IFERROR(__xludf.DUMMYFUNCTION("""COMPUTED_VALUE"""),"KYAI KONTONG")</f>
        <v>KYAI KONTONG</v>
      </c>
      <c r="D3782" s="94">
        <f>IFERROR(__xludf.DUMMYFUNCTION("""COMPUTED_VALUE"""),30.0)</f>
        <v>30</v>
      </c>
    </row>
    <row r="3783">
      <c r="A3783" s="87" t="str">
        <f>IFERROR(__xludf.DUMMYFUNCTION("""COMPUTED_VALUE"""),"ITBISA-RESISTOR-2K7-1/4W")</f>
        <v>ITBISA-RESISTOR-2K7-1/4W</v>
      </c>
      <c r="B3783" s="165">
        <f>IFERROR(__xludf.DUMMYFUNCTION("""COMPUTED_VALUE"""),46023.0)</f>
        <v>46023</v>
      </c>
      <c r="C3783" s="165" t="str">
        <f>IFERROR(__xludf.DUMMYFUNCTION("""COMPUTED_VALUE"""),"KYAI KONTONG")</f>
        <v>KYAI KONTONG</v>
      </c>
      <c r="D3783" s="94">
        <f>IFERROR(__xludf.DUMMYFUNCTION("""COMPUTED_VALUE"""),10.0)</f>
        <v>10</v>
      </c>
    </row>
    <row r="3784">
      <c r="A3784" s="87" t="str">
        <f>IFERROR(__xludf.DUMMYFUNCTION("""COMPUTED_VALUE"""),"ITBISA-RESISTOR-2K7-1/4W")</f>
        <v>ITBISA-RESISTOR-2K7-1/4W</v>
      </c>
      <c r="B3784" s="165">
        <f>IFERROR(__xludf.DUMMYFUNCTION("""COMPUTED_VALUE"""),46158.0)</f>
        <v>46158</v>
      </c>
      <c r="C3784" s="165" t="str">
        <f>IFERROR(__xludf.DUMMYFUNCTION("""COMPUTED_VALUE"""),"KYAI KONTONG")</f>
        <v>KYAI KONTONG</v>
      </c>
      <c r="D3784" s="94">
        <f>IFERROR(__xludf.DUMMYFUNCTION("""COMPUTED_VALUE"""),3.0)</f>
        <v>3</v>
      </c>
    </row>
    <row r="3785">
      <c r="A3785" s="87" t="str">
        <f>IFERROR(__xludf.DUMMYFUNCTION("""COMPUTED_VALUE"""),"ITBISA-RESISTOR-2K7-1/4W")</f>
        <v>ITBISA-RESISTOR-2K7-1/4W</v>
      </c>
      <c r="B3785" s="165">
        <f>IFERROR(__xludf.DUMMYFUNCTION("""COMPUTED_VALUE"""),46191.0)</f>
        <v>46191</v>
      </c>
      <c r="C3785" s="165" t="str">
        <f>IFERROR(__xludf.DUMMYFUNCTION("""COMPUTED_VALUE"""),"KYAI KONTONG")</f>
        <v>KYAI KONTONG</v>
      </c>
      <c r="D3785" s="94">
        <f>IFERROR(__xludf.DUMMYFUNCTION("""COMPUTED_VALUE"""),10.0)</f>
        <v>10</v>
      </c>
    </row>
    <row r="3786">
      <c r="A3786" s="87" t="str">
        <f>IFERROR(__xludf.DUMMYFUNCTION("""COMPUTED_VALUE"""),"ITBISA-RESISTOR-30K-1/4W")</f>
        <v>ITBISA-RESISTOR-30K-1/4W</v>
      </c>
      <c r="B3786" s="165">
        <f>IFERROR(__xludf.DUMMYFUNCTION("""COMPUTED_VALUE"""),46195.0)</f>
        <v>46195</v>
      </c>
      <c r="C3786" s="165" t="str">
        <f>IFERROR(__xludf.DUMMYFUNCTION("""COMPUTED_VALUE"""),"KYAI KONTONG")</f>
        <v>KYAI KONTONG</v>
      </c>
      <c r="D3786" s="94">
        <f>IFERROR(__xludf.DUMMYFUNCTION("""COMPUTED_VALUE"""),40.0)</f>
        <v>40</v>
      </c>
    </row>
    <row r="3787">
      <c r="A3787" s="87" t="str">
        <f>IFERROR(__xludf.DUMMYFUNCTION("""COMPUTED_VALUE"""),"ITBISA-RESISTOR-330-1/4W")</f>
        <v>ITBISA-RESISTOR-330-1/4W</v>
      </c>
      <c r="B3787" s="165">
        <f>IFERROR(__xludf.DUMMYFUNCTION("""COMPUTED_VALUE"""),45871.0)</f>
        <v>45871</v>
      </c>
      <c r="C3787" s="165" t="str">
        <f>IFERROR(__xludf.DUMMYFUNCTION("""COMPUTED_VALUE"""),"KERTASARI CIAMIS")</f>
        <v>KERTASARI CIAMIS</v>
      </c>
      <c r="D3787" s="94">
        <f>IFERROR(__xludf.DUMMYFUNCTION("""COMPUTED_VALUE"""),200.0)</f>
        <v>200</v>
      </c>
    </row>
    <row r="3788">
      <c r="A3788" s="87" t="str">
        <f>IFERROR(__xludf.DUMMYFUNCTION("""COMPUTED_VALUE"""),"ITBISA-RESISTOR-330-1/4W")</f>
        <v>ITBISA-RESISTOR-330-1/4W</v>
      </c>
      <c r="B3788" s="165">
        <f>IFERROR(__xludf.DUMMYFUNCTION("""COMPUTED_VALUE"""),46025.0)</f>
        <v>46025</v>
      </c>
      <c r="C3788" s="165" t="str">
        <f>IFERROR(__xludf.DUMMYFUNCTION("""COMPUTED_VALUE"""),"KYAI KONTONG")</f>
        <v>KYAI KONTONG</v>
      </c>
      <c r="D3788" s="94">
        <f>IFERROR(__xludf.DUMMYFUNCTION("""COMPUTED_VALUE"""),10.0)</f>
        <v>10</v>
      </c>
    </row>
    <row r="3789">
      <c r="A3789" s="87" t="str">
        <f>IFERROR(__xludf.DUMMYFUNCTION("""COMPUTED_VALUE"""),"ITBISA-RESISTOR-330-1/4W")</f>
        <v>ITBISA-RESISTOR-330-1/4W</v>
      </c>
      <c r="B3789" s="165">
        <f>IFERROR(__xludf.DUMMYFUNCTION("""COMPUTED_VALUE"""),46036.0)</f>
        <v>46036</v>
      </c>
      <c r="C3789" s="165" t="str">
        <f>IFERROR(__xludf.DUMMYFUNCTION("""COMPUTED_VALUE"""),"KYAI KONTONG")</f>
        <v>KYAI KONTONG</v>
      </c>
      <c r="D3789" s="94">
        <f>IFERROR(__xludf.DUMMYFUNCTION("""COMPUTED_VALUE"""),100.0)</f>
        <v>100</v>
      </c>
    </row>
    <row r="3790">
      <c r="A3790" s="87" t="str">
        <f>IFERROR(__xludf.DUMMYFUNCTION("""COMPUTED_VALUE"""),"ITBISA-RESISTOR-330-1/4W")</f>
        <v>ITBISA-RESISTOR-330-1/4W</v>
      </c>
      <c r="B3790" s="165">
        <f>IFERROR(__xludf.DUMMYFUNCTION("""COMPUTED_VALUE"""),46060.0)</f>
        <v>46060</v>
      </c>
      <c r="C3790" s="165" t="str">
        <f>IFERROR(__xludf.DUMMYFUNCTION("""COMPUTED_VALUE"""),"KYAI KONTONG")</f>
        <v>KYAI KONTONG</v>
      </c>
      <c r="D3790" s="94">
        <f>IFERROR(__xludf.DUMMYFUNCTION("""COMPUTED_VALUE"""),100.0)</f>
        <v>100</v>
      </c>
    </row>
    <row r="3791">
      <c r="A3791" s="87" t="str">
        <f>IFERROR(__xludf.DUMMYFUNCTION("""COMPUTED_VALUE"""),"ITBISA-RESISTOR-330-1/4W")</f>
        <v>ITBISA-RESISTOR-330-1/4W</v>
      </c>
      <c r="B3791" s="165">
        <f>IFERROR(__xludf.DUMMYFUNCTION("""COMPUTED_VALUE"""),46073.0)</f>
        <v>46073</v>
      </c>
      <c r="C3791" s="165" t="str">
        <f>IFERROR(__xludf.DUMMYFUNCTION("""COMPUTED_VALUE"""),"KYAI KONTONG")</f>
        <v>KYAI KONTONG</v>
      </c>
      <c r="D3791" s="94">
        <f>IFERROR(__xludf.DUMMYFUNCTION("""COMPUTED_VALUE"""),20.0)</f>
        <v>20</v>
      </c>
    </row>
    <row r="3792">
      <c r="A3792" s="87" t="str">
        <f>IFERROR(__xludf.DUMMYFUNCTION("""COMPUTED_VALUE"""),"ITBISA-RESISTOR-330-1/4W")</f>
        <v>ITBISA-RESISTOR-330-1/4W</v>
      </c>
      <c r="B3792" s="165">
        <f>IFERROR(__xludf.DUMMYFUNCTION("""COMPUTED_VALUE"""),46078.0)</f>
        <v>46078</v>
      </c>
      <c r="C3792" s="165" t="str">
        <f>IFERROR(__xludf.DUMMYFUNCTION("""COMPUTED_VALUE"""),"KYAI KONTONG")</f>
        <v>KYAI KONTONG</v>
      </c>
      <c r="D3792" s="94">
        <f>IFERROR(__xludf.DUMMYFUNCTION("""COMPUTED_VALUE"""),100.0)</f>
        <v>100</v>
      </c>
    </row>
    <row r="3793">
      <c r="A3793" s="87" t="str">
        <f>IFERROR(__xludf.DUMMYFUNCTION("""COMPUTED_VALUE"""),"ITBISA-RESISTOR-330-1/4W")</f>
        <v>ITBISA-RESISTOR-330-1/4W</v>
      </c>
      <c r="B3793" s="165">
        <f>IFERROR(__xludf.DUMMYFUNCTION("""COMPUTED_VALUE"""),46114.0)</f>
        <v>46114</v>
      </c>
      <c r="C3793" s="165" t="str">
        <f>IFERROR(__xludf.DUMMYFUNCTION("""COMPUTED_VALUE"""),"KYAI KONTONG")</f>
        <v>KYAI KONTONG</v>
      </c>
      <c r="D3793" s="94">
        <f>IFERROR(__xludf.DUMMYFUNCTION("""COMPUTED_VALUE"""),10.0)</f>
        <v>10</v>
      </c>
    </row>
    <row r="3794">
      <c r="A3794" s="87" t="str">
        <f>IFERROR(__xludf.DUMMYFUNCTION("""COMPUTED_VALUE"""),"ITBISA-RESISTOR-330-1/4W")</f>
        <v>ITBISA-RESISTOR-330-1/4W</v>
      </c>
      <c r="B3794" s="165">
        <f>IFERROR(__xludf.DUMMYFUNCTION("""COMPUTED_VALUE"""),46132.0)</f>
        <v>46132</v>
      </c>
      <c r="C3794" s="165" t="str">
        <f>IFERROR(__xludf.DUMMYFUNCTION("""COMPUTED_VALUE"""),"KYAI KONTONG")</f>
        <v>KYAI KONTONG</v>
      </c>
      <c r="D3794" s="94">
        <f>IFERROR(__xludf.DUMMYFUNCTION("""COMPUTED_VALUE"""),10.0)</f>
        <v>10</v>
      </c>
    </row>
    <row r="3795">
      <c r="A3795" s="87" t="str">
        <f>IFERROR(__xludf.DUMMYFUNCTION("""COMPUTED_VALUE"""),"ITBISA-RESISTOR-330-1/4W")</f>
        <v>ITBISA-RESISTOR-330-1/4W</v>
      </c>
      <c r="B3795" s="165">
        <f>IFERROR(__xludf.DUMMYFUNCTION("""COMPUTED_VALUE"""),46144.0)</f>
        <v>46144</v>
      </c>
      <c r="C3795" s="165" t="str">
        <f>IFERROR(__xludf.DUMMYFUNCTION("""COMPUTED_VALUE"""),"KYAI KONTONG")</f>
        <v>KYAI KONTONG</v>
      </c>
      <c r="D3795" s="94">
        <f>IFERROR(__xludf.DUMMYFUNCTION("""COMPUTED_VALUE"""),20.0)</f>
        <v>20</v>
      </c>
    </row>
    <row r="3796">
      <c r="A3796" s="87" t="str">
        <f>IFERROR(__xludf.DUMMYFUNCTION("""COMPUTED_VALUE"""),"ITBISA-RESISTOR-330-1/4W")</f>
        <v>ITBISA-RESISTOR-330-1/4W</v>
      </c>
      <c r="B3796" s="165">
        <f>IFERROR(__xludf.DUMMYFUNCTION("""COMPUTED_VALUE"""),46169.0)</f>
        <v>46169</v>
      </c>
      <c r="C3796" s="165" t="str">
        <f>IFERROR(__xludf.DUMMYFUNCTION("""COMPUTED_VALUE"""),"KYAI KONTONG")</f>
        <v>KYAI KONTONG</v>
      </c>
      <c r="D3796" s="94">
        <f>IFERROR(__xludf.DUMMYFUNCTION("""COMPUTED_VALUE"""),20.0)</f>
        <v>20</v>
      </c>
    </row>
    <row r="3797">
      <c r="A3797" s="87" t="str">
        <f>IFERROR(__xludf.DUMMYFUNCTION("""COMPUTED_VALUE"""),"ITBISA-RESISTOR-330-1/4W")</f>
        <v>ITBISA-RESISTOR-330-1/4W</v>
      </c>
      <c r="B3797" s="165">
        <f>IFERROR(__xludf.DUMMYFUNCTION("""COMPUTED_VALUE"""),46192.0)</f>
        <v>46192</v>
      </c>
      <c r="C3797" s="165" t="str">
        <f>IFERROR(__xludf.DUMMYFUNCTION("""COMPUTED_VALUE"""),"KYAI KONTONG")</f>
        <v>KYAI KONTONG</v>
      </c>
      <c r="D3797" s="94">
        <f>IFERROR(__xludf.DUMMYFUNCTION("""COMPUTED_VALUE"""),50.0)</f>
        <v>50</v>
      </c>
    </row>
    <row r="3798">
      <c r="A3798" s="87" t="str">
        <f>IFERROR(__xludf.DUMMYFUNCTION("""COMPUTED_VALUE"""),"ITBISA-RESISTOR-330-1/4W")</f>
        <v>ITBISA-RESISTOR-330-1/4W</v>
      </c>
      <c r="B3798" s="165">
        <f>IFERROR(__xludf.DUMMYFUNCTION("""COMPUTED_VALUE"""),46195.0)</f>
        <v>46195</v>
      </c>
      <c r="C3798" s="165" t="str">
        <f>IFERROR(__xludf.DUMMYFUNCTION("""COMPUTED_VALUE"""),"KYAI KONTONG")</f>
        <v>KYAI KONTONG</v>
      </c>
      <c r="D3798" s="94">
        <f>IFERROR(__xludf.DUMMYFUNCTION("""COMPUTED_VALUE"""),10.0)</f>
        <v>10</v>
      </c>
    </row>
    <row r="3799">
      <c r="A3799" s="87" t="str">
        <f>IFERROR(__xludf.DUMMYFUNCTION("""COMPUTED_VALUE"""),"ITBISA-RESISTOR-33K-1/4W")</f>
        <v>ITBISA-RESISTOR-33K-1/4W</v>
      </c>
      <c r="B3799" s="165">
        <f>IFERROR(__xludf.DUMMYFUNCTION("""COMPUTED_VALUE"""),46023.0)</f>
        <v>46023</v>
      </c>
      <c r="C3799" s="165" t="str">
        <f>IFERROR(__xludf.DUMMYFUNCTION("""COMPUTED_VALUE"""),"KYAI KONTONG")</f>
        <v>KYAI KONTONG</v>
      </c>
      <c r="D3799" s="94">
        <f>IFERROR(__xludf.DUMMYFUNCTION("""COMPUTED_VALUE"""),10.0)</f>
        <v>10</v>
      </c>
    </row>
    <row r="3800">
      <c r="A3800" s="87" t="str">
        <f>IFERROR(__xludf.DUMMYFUNCTION("""COMPUTED_VALUE"""),"ITBISA-RESISTOR-33K-1/4W")</f>
        <v>ITBISA-RESISTOR-33K-1/4W</v>
      </c>
      <c r="B3800" s="165">
        <f>IFERROR(__xludf.DUMMYFUNCTION("""COMPUTED_VALUE"""),46023.0)</f>
        <v>46023</v>
      </c>
      <c r="C3800" s="165" t="str">
        <f>IFERROR(__xludf.DUMMYFUNCTION("""COMPUTED_VALUE"""),"KYAI KONTONG")</f>
        <v>KYAI KONTONG</v>
      </c>
      <c r="D3800" s="94">
        <f>IFERROR(__xludf.DUMMYFUNCTION("""COMPUTED_VALUE"""),50.0)</f>
        <v>50</v>
      </c>
    </row>
    <row r="3801">
      <c r="A3801" s="87" t="str">
        <f>IFERROR(__xludf.DUMMYFUNCTION("""COMPUTED_VALUE"""),"ITBISA-RESISTOR-33K-1/4W")</f>
        <v>ITBISA-RESISTOR-33K-1/4W</v>
      </c>
      <c r="B3801" s="165">
        <f>IFERROR(__xludf.DUMMYFUNCTION("""COMPUTED_VALUE"""),46087.0)</f>
        <v>46087</v>
      </c>
      <c r="C3801" s="165" t="str">
        <f>IFERROR(__xludf.DUMMYFUNCTION("""COMPUTED_VALUE"""),"KYAI KONTONG")</f>
        <v>KYAI KONTONG</v>
      </c>
      <c r="D3801" s="94">
        <f>IFERROR(__xludf.DUMMYFUNCTION("""COMPUTED_VALUE"""),10.0)</f>
        <v>10</v>
      </c>
    </row>
    <row r="3802">
      <c r="A3802" s="87" t="str">
        <f>IFERROR(__xludf.DUMMYFUNCTION("""COMPUTED_VALUE"""),"ITBISA-RESISTOR-33K-1/4W")</f>
        <v>ITBISA-RESISTOR-33K-1/4W</v>
      </c>
      <c r="B3802" s="165">
        <f>IFERROR(__xludf.DUMMYFUNCTION("""COMPUTED_VALUE"""),46133.0)</f>
        <v>46133</v>
      </c>
      <c r="C3802" s="165" t="str">
        <f>IFERROR(__xludf.DUMMYFUNCTION("""COMPUTED_VALUE"""),"KYAI KONTONG")</f>
        <v>KYAI KONTONG</v>
      </c>
      <c r="D3802" s="94">
        <f>IFERROR(__xludf.DUMMYFUNCTION("""COMPUTED_VALUE"""),20.0)</f>
        <v>20</v>
      </c>
    </row>
    <row r="3803">
      <c r="A3803" s="87" t="str">
        <f>IFERROR(__xludf.DUMMYFUNCTION("""COMPUTED_VALUE"""),"ITBISA-RESISTOR-33K-1/4W")</f>
        <v>ITBISA-RESISTOR-33K-1/4W</v>
      </c>
      <c r="B3803" s="165">
        <f>IFERROR(__xludf.DUMMYFUNCTION("""COMPUTED_VALUE"""),46173.0)</f>
        <v>46173</v>
      </c>
      <c r="C3803" s="165" t="str">
        <f>IFERROR(__xludf.DUMMYFUNCTION("""COMPUTED_VALUE"""),"KYAI KONTONG")</f>
        <v>KYAI KONTONG</v>
      </c>
      <c r="D3803" s="94">
        <f>IFERROR(__xludf.DUMMYFUNCTION("""COMPUTED_VALUE"""),50.0)</f>
        <v>50</v>
      </c>
    </row>
    <row r="3804">
      <c r="A3804" s="87" t="str">
        <f>IFERROR(__xludf.DUMMYFUNCTION("""COMPUTED_VALUE"""),"ITBISA-RESISTOR-33K-1/4W")</f>
        <v>ITBISA-RESISTOR-33K-1/4W</v>
      </c>
      <c r="B3804" s="165">
        <f>IFERROR(__xludf.DUMMYFUNCTION("""COMPUTED_VALUE"""),46195.0)</f>
        <v>46195</v>
      </c>
      <c r="C3804" s="165" t="str">
        <f>IFERROR(__xludf.DUMMYFUNCTION("""COMPUTED_VALUE"""),"KYAI KONTONG")</f>
        <v>KYAI KONTONG</v>
      </c>
      <c r="D3804" s="94">
        <f>IFERROR(__xludf.DUMMYFUNCTION("""COMPUTED_VALUE"""),20.0)</f>
        <v>20</v>
      </c>
    </row>
    <row r="3805">
      <c r="A3805" s="87" t="str">
        <f>IFERROR(__xludf.DUMMYFUNCTION("""COMPUTED_VALUE"""),"ITBISA-RESISTOR-39K-1/4W")</f>
        <v>ITBISA-RESISTOR-39K-1/4W</v>
      </c>
      <c r="B3805" s="165">
        <f>IFERROR(__xludf.DUMMYFUNCTION("""COMPUTED_VALUE"""),46023.0)</f>
        <v>46023</v>
      </c>
      <c r="C3805" s="165" t="str">
        <f>IFERROR(__xludf.DUMMYFUNCTION("""COMPUTED_VALUE"""),"KYAI KONTONG")</f>
        <v>KYAI KONTONG</v>
      </c>
      <c r="D3805" s="94">
        <f>IFERROR(__xludf.DUMMYFUNCTION("""COMPUTED_VALUE"""),10.0)</f>
        <v>10</v>
      </c>
    </row>
    <row r="3806">
      <c r="A3806" s="87" t="str">
        <f>IFERROR(__xludf.DUMMYFUNCTION("""COMPUTED_VALUE"""),"ITBISA-RESISTOR-39K-1/4W")</f>
        <v>ITBISA-RESISTOR-39K-1/4W</v>
      </c>
      <c r="B3806" s="165">
        <f>IFERROR(__xludf.DUMMYFUNCTION("""COMPUTED_VALUE"""),46087.0)</f>
        <v>46087</v>
      </c>
      <c r="C3806" s="165" t="str">
        <f>IFERROR(__xludf.DUMMYFUNCTION("""COMPUTED_VALUE"""),"KYAI KONTONG")</f>
        <v>KYAI KONTONG</v>
      </c>
      <c r="D3806" s="94">
        <f>IFERROR(__xludf.DUMMYFUNCTION("""COMPUTED_VALUE"""),10.0)</f>
        <v>10</v>
      </c>
    </row>
    <row r="3807">
      <c r="A3807" s="87" t="str">
        <f>IFERROR(__xludf.DUMMYFUNCTION("""COMPUTED_VALUE"""),"ITBISA-RESISTOR-39K-1/4W")</f>
        <v>ITBISA-RESISTOR-39K-1/4W</v>
      </c>
      <c r="B3807" s="165">
        <f>IFERROR(__xludf.DUMMYFUNCTION("""COMPUTED_VALUE"""),46133.0)</f>
        <v>46133</v>
      </c>
      <c r="C3807" s="165" t="str">
        <f>IFERROR(__xludf.DUMMYFUNCTION("""COMPUTED_VALUE"""),"KYAI KONTONG")</f>
        <v>KYAI KONTONG</v>
      </c>
      <c r="D3807" s="94">
        <f>IFERROR(__xludf.DUMMYFUNCTION("""COMPUTED_VALUE"""),20.0)</f>
        <v>20</v>
      </c>
    </row>
    <row r="3808">
      <c r="A3808" s="87" t="str">
        <f>IFERROR(__xludf.DUMMYFUNCTION("""COMPUTED_VALUE"""),"ITBISA-RESISTOR-39K-1/4W")</f>
        <v>ITBISA-RESISTOR-39K-1/4W</v>
      </c>
      <c r="B3808" s="165">
        <f>IFERROR(__xludf.DUMMYFUNCTION("""COMPUTED_VALUE"""),46157.0)</f>
        <v>46157</v>
      </c>
      <c r="C3808" s="165" t="str">
        <f>IFERROR(__xludf.DUMMYFUNCTION("""COMPUTED_VALUE"""),"KYAI KONTONG")</f>
        <v>KYAI KONTONG</v>
      </c>
      <c r="D3808" s="94">
        <f>IFERROR(__xludf.DUMMYFUNCTION("""COMPUTED_VALUE"""),20.0)</f>
        <v>20</v>
      </c>
    </row>
    <row r="3809">
      <c r="A3809" s="87" t="str">
        <f>IFERROR(__xludf.DUMMYFUNCTION("""COMPUTED_VALUE"""),"ITBISA-RESISTOR-39K-1/4W")</f>
        <v>ITBISA-RESISTOR-39K-1/4W</v>
      </c>
      <c r="B3809" s="165">
        <f>IFERROR(__xludf.DUMMYFUNCTION("""COMPUTED_VALUE"""),46190.0)</f>
        <v>46190</v>
      </c>
      <c r="C3809" s="165" t="str">
        <f>IFERROR(__xludf.DUMMYFUNCTION("""COMPUTED_VALUE"""),"KYAI KONTONG")</f>
        <v>KYAI KONTONG</v>
      </c>
      <c r="D3809" s="94">
        <f>IFERROR(__xludf.DUMMYFUNCTION("""COMPUTED_VALUE"""),10.0)</f>
        <v>10</v>
      </c>
    </row>
    <row r="3810">
      <c r="A3810" s="87" t="str">
        <f>IFERROR(__xludf.DUMMYFUNCTION("""COMPUTED_VALUE"""),"ITBISA-RESISTOR-3K3-1/4W")</f>
        <v>ITBISA-RESISTOR-3K3-1/4W</v>
      </c>
      <c r="B3810" s="165">
        <f>IFERROR(__xludf.DUMMYFUNCTION("""COMPUTED_VALUE"""),46023.0)</f>
        <v>46023</v>
      </c>
      <c r="C3810" s="165" t="str">
        <f>IFERROR(__xludf.DUMMYFUNCTION("""COMPUTED_VALUE"""),"KYAI KONTONG")</f>
        <v>KYAI KONTONG</v>
      </c>
      <c r="D3810" s="94">
        <f>IFERROR(__xludf.DUMMYFUNCTION("""COMPUTED_VALUE"""),10.0)</f>
        <v>10</v>
      </c>
    </row>
    <row r="3811">
      <c r="A3811" s="87" t="str">
        <f>IFERROR(__xludf.DUMMYFUNCTION("""COMPUTED_VALUE"""),"ITBISA-RESISTOR-3K3-1/4W")</f>
        <v>ITBISA-RESISTOR-3K3-1/4W</v>
      </c>
      <c r="B3811" s="165">
        <f>IFERROR(__xludf.DUMMYFUNCTION("""COMPUTED_VALUE"""),46076.0)</f>
        <v>46076</v>
      </c>
      <c r="C3811" s="165" t="str">
        <f>IFERROR(__xludf.DUMMYFUNCTION("""COMPUTED_VALUE"""),"KYAI KONTONG")</f>
        <v>KYAI KONTONG</v>
      </c>
      <c r="D3811" s="94">
        <f>IFERROR(__xludf.DUMMYFUNCTION("""COMPUTED_VALUE"""),10.0)</f>
        <v>10</v>
      </c>
    </row>
    <row r="3812">
      <c r="A3812" s="87" t="str">
        <f>IFERROR(__xludf.DUMMYFUNCTION("""COMPUTED_VALUE"""),"ITBISA-RESISTOR-3K3-1/4W")</f>
        <v>ITBISA-RESISTOR-3K3-1/4W</v>
      </c>
      <c r="B3812" s="165">
        <f>IFERROR(__xludf.DUMMYFUNCTION("""COMPUTED_VALUE"""),46084.0)</f>
        <v>46084</v>
      </c>
      <c r="C3812" s="165" t="str">
        <f>IFERROR(__xludf.DUMMYFUNCTION("""COMPUTED_VALUE"""),"KYAI KONTONG")</f>
        <v>KYAI KONTONG</v>
      </c>
      <c r="D3812" s="94">
        <f>IFERROR(__xludf.DUMMYFUNCTION("""COMPUTED_VALUE"""),20.0)</f>
        <v>20</v>
      </c>
    </row>
    <row r="3813">
      <c r="A3813" s="87" t="str">
        <f>IFERROR(__xludf.DUMMYFUNCTION("""COMPUTED_VALUE"""),"ITBISA-RESISTOR-3K3-1/4W")</f>
        <v>ITBISA-RESISTOR-3K3-1/4W</v>
      </c>
      <c r="B3813" s="165">
        <f>IFERROR(__xludf.DUMMYFUNCTION("""COMPUTED_VALUE"""),46087.0)</f>
        <v>46087</v>
      </c>
      <c r="C3813" s="165" t="str">
        <f>IFERROR(__xludf.DUMMYFUNCTION("""COMPUTED_VALUE"""),"KYAI KONTONG")</f>
        <v>KYAI KONTONG</v>
      </c>
      <c r="D3813" s="94">
        <f>IFERROR(__xludf.DUMMYFUNCTION("""COMPUTED_VALUE"""),20.0)</f>
        <v>20</v>
      </c>
    </row>
    <row r="3814">
      <c r="A3814" s="87" t="str">
        <f>IFERROR(__xludf.DUMMYFUNCTION("""COMPUTED_VALUE"""),"ITBISA-RESISTOR-3K3-1/4W")</f>
        <v>ITBISA-RESISTOR-3K3-1/4W</v>
      </c>
      <c r="B3814" s="165">
        <f>IFERROR(__xludf.DUMMYFUNCTION("""COMPUTED_VALUE"""),46145.0)</f>
        <v>46145</v>
      </c>
      <c r="C3814" s="165" t="str">
        <f>IFERROR(__xludf.DUMMYFUNCTION("""COMPUTED_VALUE"""),"KYAI KONTONG")</f>
        <v>KYAI KONTONG</v>
      </c>
      <c r="D3814" s="94">
        <f>IFERROR(__xludf.DUMMYFUNCTION("""COMPUTED_VALUE"""),10.0)</f>
        <v>10</v>
      </c>
    </row>
    <row r="3815">
      <c r="A3815" s="87" t="str">
        <f>IFERROR(__xludf.DUMMYFUNCTION("""COMPUTED_VALUE"""),"ITBISA-RESISTOR-3K3-1/4W")</f>
        <v>ITBISA-RESISTOR-3K3-1/4W</v>
      </c>
      <c r="B3815" s="165">
        <f>IFERROR(__xludf.DUMMYFUNCTION("""COMPUTED_VALUE"""),46149.0)</f>
        <v>46149</v>
      </c>
      <c r="C3815" s="165" t="str">
        <f>IFERROR(__xludf.DUMMYFUNCTION("""COMPUTED_VALUE"""),"KYAI KONTONG")</f>
        <v>KYAI KONTONG</v>
      </c>
      <c r="D3815" s="94">
        <f>IFERROR(__xludf.DUMMYFUNCTION("""COMPUTED_VALUE"""),10.0)</f>
        <v>10</v>
      </c>
    </row>
    <row r="3816">
      <c r="A3816" s="87" t="str">
        <f>IFERROR(__xludf.DUMMYFUNCTION("""COMPUTED_VALUE"""),"ITBISA-RESISTOR-3K3-1/4W")</f>
        <v>ITBISA-RESISTOR-3K3-1/4W</v>
      </c>
      <c r="B3816" s="165">
        <f>IFERROR(__xludf.DUMMYFUNCTION("""COMPUTED_VALUE"""),46169.0)</f>
        <v>46169</v>
      </c>
      <c r="C3816" s="165" t="str">
        <f>IFERROR(__xludf.DUMMYFUNCTION("""COMPUTED_VALUE"""),"KYAI KONTONG")</f>
        <v>KYAI KONTONG</v>
      </c>
      <c r="D3816" s="94">
        <f>IFERROR(__xludf.DUMMYFUNCTION("""COMPUTED_VALUE"""),20.0)</f>
        <v>20</v>
      </c>
    </row>
    <row r="3817">
      <c r="A3817" s="87" t="str">
        <f>IFERROR(__xludf.DUMMYFUNCTION("""COMPUTED_VALUE"""),"ITBISA-RESISTOR-3K3-1/4W")</f>
        <v>ITBISA-RESISTOR-3K3-1/4W</v>
      </c>
      <c r="B3817" s="165">
        <f>IFERROR(__xludf.DUMMYFUNCTION("""COMPUTED_VALUE"""),46190.0)</f>
        <v>46190</v>
      </c>
      <c r="C3817" s="165" t="str">
        <f>IFERROR(__xludf.DUMMYFUNCTION("""COMPUTED_VALUE"""),"KYAI KONTONG")</f>
        <v>KYAI KONTONG</v>
      </c>
      <c r="D3817" s="94">
        <f>IFERROR(__xludf.DUMMYFUNCTION("""COMPUTED_VALUE"""),10.0)</f>
        <v>10</v>
      </c>
    </row>
    <row r="3818">
      <c r="A3818" s="87" t="str">
        <f>IFERROR(__xludf.DUMMYFUNCTION("""COMPUTED_VALUE"""),"ITBISA-RESISTOR-3K3-1/4W")</f>
        <v>ITBISA-RESISTOR-3K3-1/4W</v>
      </c>
      <c r="B3818" s="165">
        <f>IFERROR(__xludf.DUMMYFUNCTION("""COMPUTED_VALUE"""),46195.0)</f>
        <v>46195</v>
      </c>
      <c r="C3818" s="165" t="str">
        <f>IFERROR(__xludf.DUMMYFUNCTION("""COMPUTED_VALUE"""),"KYAI KONTONG")</f>
        <v>KYAI KONTONG</v>
      </c>
      <c r="D3818" s="94">
        <f>IFERROR(__xludf.DUMMYFUNCTION("""COMPUTED_VALUE"""),20.0)</f>
        <v>20</v>
      </c>
    </row>
    <row r="3819">
      <c r="A3819" s="87" t="str">
        <f>IFERROR(__xludf.DUMMYFUNCTION("""COMPUTED_VALUE"""),"ITBISA-RESISTOR-470K-1/4W")</f>
        <v>ITBISA-RESISTOR-470K-1/4W</v>
      </c>
      <c r="B3819" s="165">
        <f>IFERROR(__xludf.DUMMYFUNCTION("""COMPUTED_VALUE"""),46025.0)</f>
        <v>46025</v>
      </c>
      <c r="C3819" s="165" t="str">
        <f>IFERROR(__xludf.DUMMYFUNCTION("""COMPUTED_VALUE"""),"KYAI KONTONG")</f>
        <v>KYAI KONTONG</v>
      </c>
      <c r="D3819" s="94">
        <f>IFERROR(__xludf.DUMMYFUNCTION("""COMPUTED_VALUE"""),10.0)</f>
        <v>10</v>
      </c>
    </row>
    <row r="3820">
      <c r="A3820" s="87" t="str">
        <f>IFERROR(__xludf.DUMMYFUNCTION("""COMPUTED_VALUE"""),"ITBISA-RESISTOR-470K-1/4W")</f>
        <v>ITBISA-RESISTOR-470K-1/4W</v>
      </c>
      <c r="B3820" s="165">
        <f>IFERROR(__xludf.DUMMYFUNCTION("""COMPUTED_VALUE"""),46087.0)</f>
        <v>46087</v>
      </c>
      <c r="C3820" s="165" t="str">
        <f>IFERROR(__xludf.DUMMYFUNCTION("""COMPUTED_VALUE"""),"KYAI KONTONG")</f>
        <v>KYAI KONTONG</v>
      </c>
      <c r="D3820" s="94">
        <f>IFERROR(__xludf.DUMMYFUNCTION("""COMPUTED_VALUE"""),15.0)</f>
        <v>15</v>
      </c>
    </row>
    <row r="3821">
      <c r="A3821" s="87" t="str">
        <f>IFERROR(__xludf.DUMMYFUNCTION("""COMPUTED_VALUE"""),"ITBISA-RESISTOR-470K-1/4W")</f>
        <v>ITBISA-RESISTOR-470K-1/4W</v>
      </c>
      <c r="B3821" s="165">
        <f>IFERROR(__xludf.DUMMYFUNCTION("""COMPUTED_VALUE"""),46182.0)</f>
        <v>46182</v>
      </c>
      <c r="C3821" s="165" t="str">
        <f>IFERROR(__xludf.DUMMYFUNCTION("""COMPUTED_VALUE"""),"KYAI KONTONG")</f>
        <v>KYAI KONTONG</v>
      </c>
      <c r="D3821" s="94">
        <f>IFERROR(__xludf.DUMMYFUNCTION("""COMPUTED_VALUE"""),150.0)</f>
        <v>150</v>
      </c>
    </row>
    <row r="3822">
      <c r="A3822" s="87" t="str">
        <f>IFERROR(__xludf.DUMMYFUNCTION("""COMPUTED_VALUE"""),"ITBISA-RESISTOR-470K-1/4W")</f>
        <v>ITBISA-RESISTOR-470K-1/4W</v>
      </c>
      <c r="B3822" s="165">
        <f>IFERROR(__xludf.DUMMYFUNCTION("""COMPUTED_VALUE"""),46191.0)</f>
        <v>46191</v>
      </c>
      <c r="C3822" s="165" t="str">
        <f>IFERROR(__xludf.DUMMYFUNCTION("""COMPUTED_VALUE"""),"KYAI KONTONG")</f>
        <v>KYAI KONTONG</v>
      </c>
      <c r="D3822" s="94">
        <f>IFERROR(__xludf.DUMMYFUNCTION("""COMPUTED_VALUE"""),10.0)</f>
        <v>10</v>
      </c>
    </row>
    <row r="3823">
      <c r="A3823" s="87" t="str">
        <f>IFERROR(__xludf.DUMMYFUNCTION("""COMPUTED_VALUE"""),"ITBISA-RESISTOR-47K-1/4W")</f>
        <v>ITBISA-RESISTOR-47K-1/4W</v>
      </c>
      <c r="B3823" s="165">
        <f>IFERROR(__xludf.DUMMYFUNCTION("""COMPUTED_VALUE"""),46023.0)</f>
        <v>46023</v>
      </c>
      <c r="C3823" s="165" t="str">
        <f>IFERROR(__xludf.DUMMYFUNCTION("""COMPUTED_VALUE"""),"KYAI KONTONG")</f>
        <v>KYAI KONTONG</v>
      </c>
      <c r="D3823" s="94">
        <f>IFERROR(__xludf.DUMMYFUNCTION("""COMPUTED_VALUE"""),20.0)</f>
        <v>20</v>
      </c>
    </row>
    <row r="3824">
      <c r="A3824" s="87" t="str">
        <f>IFERROR(__xludf.DUMMYFUNCTION("""COMPUTED_VALUE"""),"ITBISA-RESISTOR-47K-1/4W")</f>
        <v>ITBISA-RESISTOR-47K-1/4W</v>
      </c>
      <c r="B3824" s="165">
        <f>IFERROR(__xludf.DUMMYFUNCTION("""COMPUTED_VALUE"""),46023.0)</f>
        <v>46023</v>
      </c>
      <c r="C3824" s="165" t="str">
        <f>IFERROR(__xludf.DUMMYFUNCTION("""COMPUTED_VALUE"""),"KYAI KONTONG")</f>
        <v>KYAI KONTONG</v>
      </c>
      <c r="D3824" s="94">
        <f>IFERROR(__xludf.DUMMYFUNCTION("""COMPUTED_VALUE"""),50.0)</f>
        <v>50</v>
      </c>
    </row>
    <row r="3825">
      <c r="A3825" s="87" t="str">
        <f>IFERROR(__xludf.DUMMYFUNCTION("""COMPUTED_VALUE"""),"ITBISA-RESISTOR-47K-1/4W")</f>
        <v>ITBISA-RESISTOR-47K-1/4W</v>
      </c>
      <c r="B3825" s="165">
        <f>IFERROR(__xludf.DUMMYFUNCTION("""COMPUTED_VALUE"""),46025.0)</f>
        <v>46025</v>
      </c>
      <c r="C3825" s="165" t="str">
        <f>IFERROR(__xludf.DUMMYFUNCTION("""COMPUTED_VALUE"""),"KYAI KONTONG")</f>
        <v>KYAI KONTONG</v>
      </c>
      <c r="D3825" s="94">
        <f>IFERROR(__xludf.DUMMYFUNCTION("""COMPUTED_VALUE"""),10.0)</f>
        <v>10</v>
      </c>
    </row>
    <row r="3826">
      <c r="A3826" s="87" t="str">
        <f>IFERROR(__xludf.DUMMYFUNCTION("""COMPUTED_VALUE"""),"ITBISA-RESISTOR-47K-1/4W")</f>
        <v>ITBISA-RESISTOR-47K-1/4W</v>
      </c>
      <c r="B3826" s="165">
        <f>IFERROR(__xludf.DUMMYFUNCTION("""COMPUTED_VALUE"""),46084.0)</f>
        <v>46084</v>
      </c>
      <c r="C3826" s="165" t="str">
        <f>IFERROR(__xludf.DUMMYFUNCTION("""COMPUTED_VALUE"""),"KYAI KONTONG")</f>
        <v>KYAI KONTONG</v>
      </c>
      <c r="D3826" s="94">
        <f>IFERROR(__xludf.DUMMYFUNCTION("""COMPUTED_VALUE"""),20.0)</f>
        <v>20</v>
      </c>
    </row>
    <row r="3827">
      <c r="A3827" s="87" t="str">
        <f>IFERROR(__xludf.DUMMYFUNCTION("""COMPUTED_VALUE"""),"ITBISA-RESISTOR-47K-1/4W")</f>
        <v>ITBISA-RESISTOR-47K-1/4W</v>
      </c>
      <c r="B3827" s="165">
        <f>IFERROR(__xludf.DUMMYFUNCTION("""COMPUTED_VALUE"""),46087.0)</f>
        <v>46087</v>
      </c>
      <c r="C3827" s="165" t="str">
        <f>IFERROR(__xludf.DUMMYFUNCTION("""COMPUTED_VALUE"""),"KYAI KONTONG")</f>
        <v>KYAI KONTONG</v>
      </c>
      <c r="D3827" s="94">
        <f>IFERROR(__xludf.DUMMYFUNCTION("""COMPUTED_VALUE"""),20.0)</f>
        <v>20</v>
      </c>
    </row>
    <row r="3828">
      <c r="A3828" s="87" t="str">
        <f>IFERROR(__xludf.DUMMYFUNCTION("""COMPUTED_VALUE"""),"ITBISA-RESISTOR-47K-1/4W")</f>
        <v>ITBISA-RESISTOR-47K-1/4W</v>
      </c>
      <c r="B3828" s="165">
        <f>IFERROR(__xludf.DUMMYFUNCTION("""COMPUTED_VALUE"""),46090.0)</f>
        <v>46090</v>
      </c>
      <c r="C3828" s="165" t="str">
        <f>IFERROR(__xludf.DUMMYFUNCTION("""COMPUTED_VALUE"""),"KYAI KONTONG")</f>
        <v>KYAI KONTONG</v>
      </c>
      <c r="D3828" s="94">
        <f>IFERROR(__xludf.DUMMYFUNCTION("""COMPUTED_VALUE"""),26.0)</f>
        <v>26</v>
      </c>
    </row>
    <row r="3829">
      <c r="A3829" s="87" t="str">
        <f>IFERROR(__xludf.DUMMYFUNCTION("""COMPUTED_VALUE"""),"ITBISA-RESISTOR-47K-1/4W")</f>
        <v>ITBISA-RESISTOR-47K-1/4W</v>
      </c>
      <c r="B3829" s="165">
        <f>IFERROR(__xludf.DUMMYFUNCTION("""COMPUTED_VALUE"""),46114.0)</f>
        <v>46114</v>
      </c>
      <c r="C3829" s="165" t="str">
        <f>IFERROR(__xludf.DUMMYFUNCTION("""COMPUTED_VALUE"""),"KYAI KONTONG")</f>
        <v>KYAI KONTONG</v>
      </c>
      <c r="D3829" s="94">
        <f>IFERROR(__xludf.DUMMYFUNCTION("""COMPUTED_VALUE"""),10.0)</f>
        <v>10</v>
      </c>
    </row>
    <row r="3830">
      <c r="A3830" s="87" t="str">
        <f>IFERROR(__xludf.DUMMYFUNCTION("""COMPUTED_VALUE"""),"ITBISA-RESISTOR-47K-1/4W")</f>
        <v>ITBISA-RESISTOR-47K-1/4W</v>
      </c>
      <c r="B3830" s="165">
        <f>IFERROR(__xludf.DUMMYFUNCTION("""COMPUTED_VALUE"""),46133.0)</f>
        <v>46133</v>
      </c>
      <c r="C3830" s="165" t="str">
        <f>IFERROR(__xludf.DUMMYFUNCTION("""COMPUTED_VALUE"""),"KYAI KONTONG")</f>
        <v>KYAI KONTONG</v>
      </c>
      <c r="D3830" s="94">
        <f>IFERROR(__xludf.DUMMYFUNCTION("""COMPUTED_VALUE"""),20.0)</f>
        <v>20</v>
      </c>
    </row>
    <row r="3831">
      <c r="A3831" s="87" t="str">
        <f>IFERROR(__xludf.DUMMYFUNCTION("""COMPUTED_VALUE"""),"ITBISA-RESISTOR-47K-1/4W")</f>
        <v>ITBISA-RESISTOR-47K-1/4W</v>
      </c>
      <c r="B3831" s="165">
        <f>IFERROR(__xludf.DUMMYFUNCTION("""COMPUTED_VALUE"""),46149.0)</f>
        <v>46149</v>
      </c>
      <c r="C3831" s="165" t="str">
        <f>IFERROR(__xludf.DUMMYFUNCTION("""COMPUTED_VALUE"""),"KYAI KONTONG")</f>
        <v>KYAI KONTONG</v>
      </c>
      <c r="D3831" s="94">
        <f>IFERROR(__xludf.DUMMYFUNCTION("""COMPUTED_VALUE"""),10.0)</f>
        <v>10</v>
      </c>
    </row>
    <row r="3832">
      <c r="A3832" s="87" t="str">
        <f>IFERROR(__xludf.DUMMYFUNCTION("""COMPUTED_VALUE"""),"ITBISA-RESISTOR-47K-1/4W")</f>
        <v>ITBISA-RESISTOR-47K-1/4W</v>
      </c>
      <c r="B3832" s="165">
        <f>IFERROR(__xludf.DUMMYFUNCTION("""COMPUTED_VALUE"""),46157.0)</f>
        <v>46157</v>
      </c>
      <c r="C3832" s="165" t="str">
        <f>IFERROR(__xludf.DUMMYFUNCTION("""COMPUTED_VALUE"""),"KYAI KONTONG")</f>
        <v>KYAI KONTONG</v>
      </c>
      <c r="D3832" s="94">
        <f>IFERROR(__xludf.DUMMYFUNCTION("""COMPUTED_VALUE"""),10.0)</f>
        <v>10</v>
      </c>
    </row>
    <row r="3833">
      <c r="A3833" s="87" t="str">
        <f>IFERROR(__xludf.DUMMYFUNCTION("""COMPUTED_VALUE"""),"ITBISA-RESISTOR-47K-1/4W")</f>
        <v>ITBISA-RESISTOR-47K-1/4W</v>
      </c>
      <c r="B3833" s="165">
        <f>IFERROR(__xludf.DUMMYFUNCTION("""COMPUTED_VALUE"""),46169.0)</f>
        <v>46169</v>
      </c>
      <c r="C3833" s="165" t="str">
        <f>IFERROR(__xludf.DUMMYFUNCTION("""COMPUTED_VALUE"""),"KYAI KONTONG")</f>
        <v>KYAI KONTONG</v>
      </c>
      <c r="D3833" s="94">
        <f>IFERROR(__xludf.DUMMYFUNCTION("""COMPUTED_VALUE"""),20.0)</f>
        <v>20</v>
      </c>
    </row>
    <row r="3834">
      <c r="A3834" s="87" t="str">
        <f>IFERROR(__xludf.DUMMYFUNCTION("""COMPUTED_VALUE"""),"ITBISA-RESISTOR-47K-1/4W")</f>
        <v>ITBISA-RESISTOR-47K-1/4W</v>
      </c>
      <c r="B3834" s="165">
        <f>IFERROR(__xludf.DUMMYFUNCTION("""COMPUTED_VALUE"""),46190.0)</f>
        <v>46190</v>
      </c>
      <c r="C3834" s="165" t="str">
        <f>IFERROR(__xludf.DUMMYFUNCTION("""COMPUTED_VALUE"""),"KYAI KONTONG")</f>
        <v>KYAI KONTONG</v>
      </c>
      <c r="D3834" s="94">
        <f>IFERROR(__xludf.DUMMYFUNCTION("""COMPUTED_VALUE"""),10.0)</f>
        <v>10</v>
      </c>
    </row>
    <row r="3835">
      <c r="A3835" s="87" t="str">
        <f>IFERROR(__xludf.DUMMYFUNCTION("""COMPUTED_VALUE"""),"ITBISA-RESISTOR-47K-1/4W")</f>
        <v>ITBISA-RESISTOR-47K-1/4W</v>
      </c>
      <c r="B3835" s="165">
        <f>IFERROR(__xludf.DUMMYFUNCTION("""COMPUTED_VALUE"""),46195.0)</f>
        <v>46195</v>
      </c>
      <c r="C3835" s="165" t="str">
        <f>IFERROR(__xludf.DUMMYFUNCTION("""COMPUTED_VALUE"""),"KYAI KONTONG")</f>
        <v>KYAI KONTONG</v>
      </c>
      <c r="D3835" s="94">
        <f>IFERROR(__xludf.DUMMYFUNCTION("""COMPUTED_VALUE"""),10.0)</f>
        <v>10</v>
      </c>
    </row>
    <row r="3836">
      <c r="A3836" s="87" t="str">
        <f>IFERROR(__xludf.DUMMYFUNCTION("""COMPUTED_VALUE"""),"ITBISA-RESISTOR-47K-1/4W")</f>
        <v>ITBISA-RESISTOR-47K-1/4W</v>
      </c>
      <c r="B3836" s="165">
        <f>IFERROR(__xludf.DUMMYFUNCTION("""COMPUTED_VALUE"""),46195.0)</f>
        <v>46195</v>
      </c>
      <c r="C3836" s="165" t="str">
        <f>IFERROR(__xludf.DUMMYFUNCTION("""COMPUTED_VALUE"""),"KYAI KONTONG")</f>
        <v>KYAI KONTONG</v>
      </c>
      <c r="D3836" s="94">
        <f>IFERROR(__xludf.DUMMYFUNCTION("""COMPUTED_VALUE"""),44.0)</f>
        <v>44</v>
      </c>
    </row>
    <row r="3837">
      <c r="A3837" s="87" t="str">
        <f>IFERROR(__xludf.DUMMYFUNCTION("""COMPUTED_VALUE"""),"ITBISA-RESISTOR-4K7-1/4W")</f>
        <v>ITBISA-RESISTOR-4K7-1/4W</v>
      </c>
      <c r="B3837" s="165">
        <f>IFERROR(__xludf.DUMMYFUNCTION("""COMPUTED_VALUE"""),46023.0)</f>
        <v>46023</v>
      </c>
      <c r="C3837" s="165" t="str">
        <f>IFERROR(__xludf.DUMMYFUNCTION("""COMPUTED_VALUE"""),"KYAI KONTONG")</f>
        <v>KYAI KONTONG</v>
      </c>
      <c r="D3837" s="94">
        <f>IFERROR(__xludf.DUMMYFUNCTION("""COMPUTED_VALUE"""),20.0)</f>
        <v>20</v>
      </c>
    </row>
    <row r="3838">
      <c r="A3838" s="87" t="str">
        <f>IFERROR(__xludf.DUMMYFUNCTION("""COMPUTED_VALUE"""),"ITBISA-RESISTOR-4K7-1/4W")</f>
        <v>ITBISA-RESISTOR-4K7-1/4W</v>
      </c>
      <c r="B3838" s="165">
        <f>IFERROR(__xludf.DUMMYFUNCTION("""COMPUTED_VALUE"""),46023.0)</f>
        <v>46023</v>
      </c>
      <c r="C3838" s="165" t="str">
        <f>IFERROR(__xludf.DUMMYFUNCTION("""COMPUTED_VALUE"""),"KYAI KONTONG")</f>
        <v>KYAI KONTONG</v>
      </c>
      <c r="D3838" s="94">
        <f>IFERROR(__xludf.DUMMYFUNCTION("""COMPUTED_VALUE"""),60.0)</f>
        <v>60</v>
      </c>
    </row>
    <row r="3839">
      <c r="A3839" s="87" t="str">
        <f>IFERROR(__xludf.DUMMYFUNCTION("""COMPUTED_VALUE"""),"ITBISA-RESISTOR-4K7-1/4W")</f>
        <v>ITBISA-RESISTOR-4K7-1/4W</v>
      </c>
      <c r="B3839" s="165">
        <f>IFERROR(__xludf.DUMMYFUNCTION("""COMPUTED_VALUE"""),46084.0)</f>
        <v>46084</v>
      </c>
      <c r="C3839" s="165" t="str">
        <f>IFERROR(__xludf.DUMMYFUNCTION("""COMPUTED_VALUE"""),"KYAI KONTONG")</f>
        <v>KYAI KONTONG</v>
      </c>
      <c r="D3839" s="94">
        <f>IFERROR(__xludf.DUMMYFUNCTION("""COMPUTED_VALUE"""),20.0)</f>
        <v>20</v>
      </c>
    </row>
    <row r="3840">
      <c r="A3840" s="87" t="str">
        <f>IFERROR(__xludf.DUMMYFUNCTION("""COMPUTED_VALUE"""),"ITBISA-RESISTOR-4K7-1/4W")</f>
        <v>ITBISA-RESISTOR-4K7-1/4W</v>
      </c>
      <c r="B3840" s="165">
        <f>IFERROR(__xludf.DUMMYFUNCTION("""COMPUTED_VALUE"""),46087.0)</f>
        <v>46087</v>
      </c>
      <c r="C3840" s="165" t="str">
        <f>IFERROR(__xludf.DUMMYFUNCTION("""COMPUTED_VALUE"""),"KYAI KONTONG")</f>
        <v>KYAI KONTONG</v>
      </c>
      <c r="D3840" s="94">
        <f>IFERROR(__xludf.DUMMYFUNCTION("""COMPUTED_VALUE"""),20.0)</f>
        <v>20</v>
      </c>
    </row>
    <row r="3841">
      <c r="A3841" s="87" t="str">
        <f>IFERROR(__xludf.DUMMYFUNCTION("""COMPUTED_VALUE"""),"ITBISA-RESISTOR-4K7-1/4W")</f>
        <v>ITBISA-RESISTOR-4K7-1/4W</v>
      </c>
      <c r="B3841" s="165">
        <f>IFERROR(__xludf.DUMMYFUNCTION("""COMPUTED_VALUE"""),46169.0)</f>
        <v>46169</v>
      </c>
      <c r="C3841" s="165" t="str">
        <f>IFERROR(__xludf.DUMMYFUNCTION("""COMPUTED_VALUE"""),"KYAI KONTONG")</f>
        <v>KYAI KONTONG</v>
      </c>
      <c r="D3841" s="94">
        <f>IFERROR(__xludf.DUMMYFUNCTION("""COMPUTED_VALUE"""),20.0)</f>
        <v>20</v>
      </c>
    </row>
    <row r="3842">
      <c r="A3842" s="87" t="str">
        <f>IFERROR(__xludf.DUMMYFUNCTION("""COMPUTED_VALUE"""),"ITBISA-RESISTOR-4K7-1/4W")</f>
        <v>ITBISA-RESISTOR-4K7-1/4W</v>
      </c>
      <c r="B3842" s="165">
        <f>IFERROR(__xludf.DUMMYFUNCTION("""COMPUTED_VALUE"""),46191.0)</f>
        <v>46191</v>
      </c>
      <c r="C3842" s="165" t="str">
        <f>IFERROR(__xludf.DUMMYFUNCTION("""COMPUTED_VALUE"""),"KYAI KONTONG")</f>
        <v>KYAI KONTONG</v>
      </c>
      <c r="D3842" s="94">
        <f>IFERROR(__xludf.DUMMYFUNCTION("""COMPUTED_VALUE"""),10.0)</f>
        <v>10</v>
      </c>
    </row>
    <row r="3843">
      <c r="A3843" s="87" t="str">
        <f>IFERROR(__xludf.DUMMYFUNCTION("""COMPUTED_VALUE"""),"ITBISA-RESISTOR-4K7-1/4W")</f>
        <v>ITBISA-RESISTOR-4K7-1/4W</v>
      </c>
      <c r="B3843" s="165">
        <f>IFERROR(__xludf.DUMMYFUNCTION("""COMPUTED_VALUE"""),46195.0)</f>
        <v>46195</v>
      </c>
      <c r="C3843" s="165" t="str">
        <f>IFERROR(__xludf.DUMMYFUNCTION("""COMPUTED_VALUE"""),"KYAI KONTONG")</f>
        <v>KYAI KONTONG</v>
      </c>
      <c r="D3843" s="94">
        <f>IFERROR(__xludf.DUMMYFUNCTION("""COMPUTED_VALUE"""),10.0)</f>
        <v>10</v>
      </c>
    </row>
    <row r="3844">
      <c r="A3844" s="87" t="str">
        <f>IFERROR(__xludf.DUMMYFUNCTION("""COMPUTED_VALUE"""),"ITBISA-RESISTOR-4K7-1/4W")</f>
        <v>ITBISA-RESISTOR-4K7-1/4W</v>
      </c>
      <c r="B3844" s="165">
        <f>IFERROR(__xludf.DUMMYFUNCTION("""COMPUTED_VALUE"""),46196.0)</f>
        <v>46196</v>
      </c>
      <c r="C3844" s="165" t="str">
        <f>IFERROR(__xludf.DUMMYFUNCTION("""COMPUTED_VALUE"""),"KYAI KONTONG")</f>
        <v>KYAI KONTONG</v>
      </c>
      <c r="D3844" s="94">
        <f>IFERROR(__xludf.DUMMYFUNCTION("""COMPUTED_VALUE"""),20.0)</f>
        <v>20</v>
      </c>
    </row>
    <row r="3845">
      <c r="A3845" s="87" t="str">
        <f>IFERROR(__xludf.DUMMYFUNCTION("""COMPUTED_VALUE"""),"ITBISA-RESISTOR-560-1/4W")</f>
        <v>ITBISA-RESISTOR-560-1/4W</v>
      </c>
      <c r="B3845" s="165">
        <f>IFERROR(__xludf.DUMMYFUNCTION("""COMPUTED_VALUE"""),46195.0)</f>
        <v>46195</v>
      </c>
      <c r="C3845" s="165" t="str">
        <f>IFERROR(__xludf.DUMMYFUNCTION("""COMPUTED_VALUE"""),"KYAI KONTONG")</f>
        <v>KYAI KONTONG</v>
      </c>
      <c r="D3845" s="94">
        <f>IFERROR(__xludf.DUMMYFUNCTION("""COMPUTED_VALUE"""),10.0)</f>
        <v>10</v>
      </c>
    </row>
    <row r="3846">
      <c r="A3846" s="87" t="str">
        <f>IFERROR(__xludf.DUMMYFUNCTION("""COMPUTED_VALUE"""),"ITBISA-RESISTOR-56K-1/4W")</f>
        <v>ITBISA-RESISTOR-56K-1/4W</v>
      </c>
      <c r="B3846" s="165">
        <f>IFERROR(__xludf.DUMMYFUNCTION("""COMPUTED_VALUE"""),46023.0)</f>
        <v>46023</v>
      </c>
      <c r="C3846" s="165" t="str">
        <f>IFERROR(__xludf.DUMMYFUNCTION("""COMPUTED_VALUE"""),"KYAI KONTONG")</f>
        <v>KYAI KONTONG</v>
      </c>
      <c r="D3846" s="94">
        <f>IFERROR(__xludf.DUMMYFUNCTION("""COMPUTED_VALUE"""),10.0)</f>
        <v>10</v>
      </c>
    </row>
    <row r="3847">
      <c r="A3847" s="87" t="str">
        <f>IFERROR(__xludf.DUMMYFUNCTION("""COMPUTED_VALUE"""),"ITBISA-RESISTOR-56K-1/4W")</f>
        <v>ITBISA-RESISTOR-56K-1/4W</v>
      </c>
      <c r="B3847" s="165">
        <f>IFERROR(__xludf.DUMMYFUNCTION("""COMPUTED_VALUE"""),46087.0)</f>
        <v>46087</v>
      </c>
      <c r="C3847" s="165" t="str">
        <f>IFERROR(__xludf.DUMMYFUNCTION("""COMPUTED_VALUE"""),"KYAI KONTONG")</f>
        <v>KYAI KONTONG</v>
      </c>
      <c r="D3847" s="94">
        <f>IFERROR(__xludf.DUMMYFUNCTION("""COMPUTED_VALUE"""),10.0)</f>
        <v>10</v>
      </c>
    </row>
    <row r="3848">
      <c r="A3848" s="87" t="str">
        <f>IFERROR(__xludf.DUMMYFUNCTION("""COMPUTED_VALUE"""),"ITBISA-RESISTOR-56K-1/4W")</f>
        <v>ITBISA-RESISTOR-56K-1/4W</v>
      </c>
      <c r="B3848" s="165">
        <f>IFERROR(__xludf.DUMMYFUNCTION("""COMPUTED_VALUE"""),46133.0)</f>
        <v>46133</v>
      </c>
      <c r="C3848" s="165" t="str">
        <f>IFERROR(__xludf.DUMMYFUNCTION("""COMPUTED_VALUE"""),"KYAI KONTONG")</f>
        <v>KYAI KONTONG</v>
      </c>
      <c r="D3848" s="94">
        <f>IFERROR(__xludf.DUMMYFUNCTION("""COMPUTED_VALUE"""),20.0)</f>
        <v>20</v>
      </c>
    </row>
    <row r="3849">
      <c r="A3849" s="87" t="str">
        <f>IFERROR(__xludf.DUMMYFUNCTION("""COMPUTED_VALUE"""),"ITBISA-RESISTOR-56K-1/4W")</f>
        <v>ITBISA-RESISTOR-56K-1/4W</v>
      </c>
      <c r="B3849" s="165">
        <f>IFERROR(__xludf.DUMMYFUNCTION("""COMPUTED_VALUE"""),46149.0)</f>
        <v>46149</v>
      </c>
      <c r="C3849" s="165" t="str">
        <f>IFERROR(__xludf.DUMMYFUNCTION("""COMPUTED_VALUE"""),"KYAI KONTONG")</f>
        <v>KYAI KONTONG</v>
      </c>
      <c r="D3849" s="94">
        <f>IFERROR(__xludf.DUMMYFUNCTION("""COMPUTED_VALUE"""),10.0)</f>
        <v>10</v>
      </c>
    </row>
    <row r="3850">
      <c r="A3850" s="87" t="str">
        <f>IFERROR(__xludf.DUMMYFUNCTION("""COMPUTED_VALUE"""),"ITBISA-RESISTOR-56K-1/4W")</f>
        <v>ITBISA-RESISTOR-56K-1/4W</v>
      </c>
      <c r="B3850" s="165">
        <f>IFERROR(__xludf.DUMMYFUNCTION("""COMPUTED_VALUE"""),46190.0)</f>
        <v>46190</v>
      </c>
      <c r="C3850" s="165" t="str">
        <f>IFERROR(__xludf.DUMMYFUNCTION("""COMPUTED_VALUE"""),"KYAI KONTONG")</f>
        <v>KYAI KONTONG</v>
      </c>
      <c r="D3850" s="94">
        <f>IFERROR(__xludf.DUMMYFUNCTION("""COMPUTED_VALUE"""),20.0)</f>
        <v>20</v>
      </c>
    </row>
    <row r="3851">
      <c r="A3851" s="87" t="str">
        <f>IFERROR(__xludf.DUMMYFUNCTION("""COMPUTED_VALUE"""),"ITBISA-RESISTOR-5K6-1/4W")</f>
        <v>ITBISA-RESISTOR-5K6-1/4W</v>
      </c>
      <c r="B3851" s="165">
        <f>IFERROR(__xludf.DUMMYFUNCTION("""COMPUTED_VALUE"""),46076.0)</f>
        <v>46076</v>
      </c>
      <c r="C3851" s="165" t="str">
        <f>IFERROR(__xludf.DUMMYFUNCTION("""COMPUTED_VALUE"""),"KYAI KONTONG")</f>
        <v>KYAI KONTONG</v>
      </c>
      <c r="D3851" s="94">
        <f>IFERROR(__xludf.DUMMYFUNCTION("""COMPUTED_VALUE"""),10.0)</f>
        <v>10</v>
      </c>
    </row>
    <row r="3852">
      <c r="A3852" s="87" t="str">
        <f>IFERROR(__xludf.DUMMYFUNCTION("""COMPUTED_VALUE"""),"ITBISA-RESISTOR-5K6-1/4W")</f>
        <v>ITBISA-RESISTOR-5K6-1/4W</v>
      </c>
      <c r="B3852" s="165">
        <f>IFERROR(__xludf.DUMMYFUNCTION("""COMPUTED_VALUE"""),46087.0)</f>
        <v>46087</v>
      </c>
      <c r="C3852" s="165" t="str">
        <f>IFERROR(__xludf.DUMMYFUNCTION("""COMPUTED_VALUE"""),"KYAI KONTONG")</f>
        <v>KYAI KONTONG</v>
      </c>
      <c r="D3852" s="94">
        <f>IFERROR(__xludf.DUMMYFUNCTION("""COMPUTED_VALUE"""),18.0)</f>
        <v>18</v>
      </c>
    </row>
    <row r="3853">
      <c r="A3853" s="87" t="str">
        <f>IFERROR(__xludf.DUMMYFUNCTION("""COMPUTED_VALUE"""),"ITBISA-RESISTOR-5K6-1/4W")</f>
        <v>ITBISA-RESISTOR-5K6-1/4W</v>
      </c>
      <c r="B3853" s="165">
        <f>IFERROR(__xludf.DUMMYFUNCTION("""COMPUTED_VALUE"""),46169.0)</f>
        <v>46169</v>
      </c>
      <c r="C3853" s="165" t="str">
        <f>IFERROR(__xludf.DUMMYFUNCTION("""COMPUTED_VALUE"""),"KYAI KONTONG")</f>
        <v>KYAI KONTONG</v>
      </c>
      <c r="D3853" s="94">
        <f>IFERROR(__xludf.DUMMYFUNCTION("""COMPUTED_VALUE"""),20.0)</f>
        <v>20</v>
      </c>
    </row>
    <row r="3854">
      <c r="A3854" s="87" t="str">
        <f>IFERROR(__xludf.DUMMYFUNCTION("""COMPUTED_VALUE"""),"ITBISA-RESISTOR-5K6-1/4W")</f>
        <v>ITBISA-RESISTOR-5K6-1/4W</v>
      </c>
      <c r="B3854" s="165">
        <f>IFERROR(__xludf.DUMMYFUNCTION("""COMPUTED_VALUE"""),46190.0)</f>
        <v>46190</v>
      </c>
      <c r="C3854" s="165" t="str">
        <f>IFERROR(__xludf.DUMMYFUNCTION("""COMPUTED_VALUE"""),"KYAI KONTONG")</f>
        <v>KYAI KONTONG</v>
      </c>
      <c r="D3854" s="94">
        <f>IFERROR(__xludf.DUMMYFUNCTION("""COMPUTED_VALUE"""),10.0)</f>
        <v>10</v>
      </c>
    </row>
    <row r="3855">
      <c r="A3855" s="87" t="str">
        <f>IFERROR(__xludf.DUMMYFUNCTION("""COMPUTED_VALUE"""),"ITBISA-RESISTOR-680K-1/4W")</f>
        <v>ITBISA-RESISTOR-680K-1/4W</v>
      </c>
      <c r="B3855" s="165">
        <f>IFERROR(__xludf.DUMMYFUNCTION("""COMPUTED_VALUE"""),46087.0)</f>
        <v>46087</v>
      </c>
      <c r="C3855" s="165" t="str">
        <f>IFERROR(__xludf.DUMMYFUNCTION("""COMPUTED_VALUE"""),"KYAI KONTONG")</f>
        <v>KYAI KONTONG</v>
      </c>
      <c r="D3855" s="94">
        <f>IFERROR(__xludf.DUMMYFUNCTION("""COMPUTED_VALUE"""),15.0)</f>
        <v>15</v>
      </c>
    </row>
    <row r="3856">
      <c r="A3856" s="87" t="str">
        <f>IFERROR(__xludf.DUMMYFUNCTION("""COMPUTED_VALUE"""),"ITBISA-RESISTOR-680K-1/4W")</f>
        <v>ITBISA-RESISTOR-680K-1/4W</v>
      </c>
      <c r="B3856" s="165">
        <f>IFERROR(__xludf.DUMMYFUNCTION("""COMPUTED_VALUE"""),46124.0)</f>
        <v>46124</v>
      </c>
      <c r="C3856" s="165" t="str">
        <f>IFERROR(__xludf.DUMMYFUNCTION("""COMPUTED_VALUE"""),"KYAI KONTONG")</f>
        <v>KYAI KONTONG</v>
      </c>
      <c r="D3856" s="94">
        <f>IFERROR(__xludf.DUMMYFUNCTION("""COMPUTED_VALUE"""),10.0)</f>
        <v>10</v>
      </c>
    </row>
    <row r="3857">
      <c r="A3857" s="87" t="str">
        <f>IFERROR(__xludf.DUMMYFUNCTION("""COMPUTED_VALUE"""),"ITBISA-RESISTOR-6K8-1/4W")</f>
        <v>ITBISA-RESISTOR-6K8-1/4W</v>
      </c>
      <c r="B3857" s="165">
        <f>IFERROR(__xludf.DUMMYFUNCTION("""COMPUTED_VALUE"""),46087.0)</f>
        <v>46087</v>
      </c>
      <c r="C3857" s="165" t="str">
        <f>IFERROR(__xludf.DUMMYFUNCTION("""COMPUTED_VALUE"""),"KYAI KONTONG")</f>
        <v>KYAI KONTONG</v>
      </c>
      <c r="D3857" s="94">
        <f>IFERROR(__xludf.DUMMYFUNCTION("""COMPUTED_VALUE"""),10.0)</f>
        <v>10</v>
      </c>
    </row>
    <row r="3858">
      <c r="A3858" s="87" t="str">
        <f>IFERROR(__xludf.DUMMYFUNCTION("""COMPUTED_VALUE"""),"ITBISA-RESISTOR-6K8-1/4W")</f>
        <v>ITBISA-RESISTOR-6K8-1/4W</v>
      </c>
      <c r="B3858" s="165">
        <f>IFERROR(__xludf.DUMMYFUNCTION("""COMPUTED_VALUE"""),46190.0)</f>
        <v>46190</v>
      </c>
      <c r="C3858" s="165" t="str">
        <f>IFERROR(__xludf.DUMMYFUNCTION("""COMPUTED_VALUE"""),"KYAI KONTONG")</f>
        <v>KYAI KONTONG</v>
      </c>
      <c r="D3858" s="94">
        <f>IFERROR(__xludf.DUMMYFUNCTION("""COMPUTED_VALUE"""),10.0)</f>
        <v>10</v>
      </c>
    </row>
    <row r="3859">
      <c r="A3859" s="87" t="str">
        <f>IFERROR(__xludf.DUMMYFUNCTION("""COMPUTED_VALUE"""),"ITBISA-RFID-RC522-KIT")</f>
        <v>ITBISA-RFID-RC522-KIT</v>
      </c>
      <c r="B3859" s="165">
        <f>IFERROR(__xludf.DUMMYFUNCTION("""COMPUTED_VALUE"""),46044.0)</f>
        <v>46044</v>
      </c>
      <c r="C3859" s="165" t="str">
        <f>IFERROR(__xludf.DUMMYFUNCTION("""COMPUTED_VALUE"""),"KYAI KONTONG")</f>
        <v>KYAI KONTONG</v>
      </c>
      <c r="D3859" s="94">
        <f>IFERROR(__xludf.DUMMYFUNCTION("""COMPUTED_VALUE"""),1.0)</f>
        <v>1</v>
      </c>
    </row>
    <row r="3860">
      <c r="A3860" s="87" t="str">
        <f>IFERROR(__xludf.DUMMYFUNCTION("""COMPUTED_VALUE"""),"ITBISA-RFID-RC522-KIT")</f>
        <v>ITBISA-RFID-RC522-KIT</v>
      </c>
      <c r="B3860" s="165">
        <f>IFERROR(__xludf.DUMMYFUNCTION("""COMPUTED_VALUE"""),46194.0)</f>
        <v>46194</v>
      </c>
      <c r="C3860" s="165" t="str">
        <f>IFERROR(__xludf.DUMMYFUNCTION("""COMPUTED_VALUE"""),"KYAI KONTONG")</f>
        <v>KYAI KONTONG</v>
      </c>
      <c r="D3860" s="94">
        <f>IFERROR(__xludf.DUMMYFUNCTION("""COMPUTED_VALUE"""),1.0)</f>
        <v>1</v>
      </c>
    </row>
    <row r="3861">
      <c r="A3861" s="87" t="str">
        <f>IFERROR(__xludf.DUMMYFUNCTION("""COMPUTED_VALUE"""),"ITBISA-RTC-DS3231M")</f>
        <v>ITBISA-RTC-DS3231M</v>
      </c>
      <c r="B3861" s="165">
        <f>IFERROR(__xludf.DUMMYFUNCTION("""COMPUTED_VALUE"""),45871.0)</f>
        <v>45871</v>
      </c>
      <c r="C3861" s="165" t="str">
        <f>IFERROR(__xludf.DUMMYFUNCTION("""COMPUTED_VALUE"""),"KERTASARI CIAMIS")</f>
        <v>KERTASARI CIAMIS</v>
      </c>
      <c r="D3861" s="94">
        <f>IFERROR(__xludf.DUMMYFUNCTION("""COMPUTED_VALUE"""),1.0)</f>
        <v>1</v>
      </c>
    </row>
    <row r="3862">
      <c r="A3862" s="87" t="str">
        <f>IFERROR(__xludf.DUMMYFUNCTION("""COMPUTED_VALUE"""),"ITBISA-RTC-DS3231M")</f>
        <v>ITBISA-RTC-DS3231M</v>
      </c>
      <c r="B3862" s="165">
        <f>IFERROR(__xludf.DUMMYFUNCTION("""COMPUTED_VALUE"""),45871.0)</f>
        <v>45871</v>
      </c>
      <c r="C3862" s="165" t="str">
        <f>IFERROR(__xludf.DUMMYFUNCTION("""COMPUTED_VALUE"""),"KERTASARI CIAMIS")</f>
        <v>KERTASARI CIAMIS</v>
      </c>
      <c r="D3862" s="94">
        <f>IFERROR(__xludf.DUMMYFUNCTION("""COMPUTED_VALUE"""),1.0)</f>
        <v>1</v>
      </c>
    </row>
    <row r="3863">
      <c r="A3863" s="87" t="str">
        <f>IFERROR(__xludf.DUMMYFUNCTION("""COMPUTED_VALUE"""),"ITBISA-RTC-DS3231M")</f>
        <v>ITBISA-RTC-DS3231M</v>
      </c>
      <c r="B3863" s="165">
        <f>IFERROR(__xludf.DUMMYFUNCTION("""COMPUTED_VALUE"""),46036.0)</f>
        <v>46036</v>
      </c>
      <c r="C3863" s="165" t="str">
        <f>IFERROR(__xludf.DUMMYFUNCTION("""COMPUTED_VALUE"""),"KYAI KONTONG")</f>
        <v>KYAI KONTONG</v>
      </c>
      <c r="D3863" s="94">
        <f>IFERROR(__xludf.DUMMYFUNCTION("""COMPUTED_VALUE"""),3.0)</f>
        <v>3</v>
      </c>
    </row>
    <row r="3864">
      <c r="A3864" s="87" t="str">
        <f>IFERROR(__xludf.DUMMYFUNCTION("""COMPUTED_VALUE"""),"ITBISA-RTC-DS3231M")</f>
        <v>ITBISA-RTC-DS3231M</v>
      </c>
      <c r="B3864" s="165">
        <f>IFERROR(__xludf.DUMMYFUNCTION("""COMPUTED_VALUE"""),46054.0)</f>
        <v>46054</v>
      </c>
      <c r="C3864" s="165" t="str">
        <f>IFERROR(__xludf.DUMMYFUNCTION("""COMPUTED_VALUE"""),"KERTASARI CIAMIS")</f>
        <v>KERTASARI CIAMIS</v>
      </c>
      <c r="D3864" s="94">
        <f>IFERROR(__xludf.DUMMYFUNCTION("""COMPUTED_VALUE"""),1.0)</f>
        <v>1</v>
      </c>
    </row>
    <row r="3865">
      <c r="A3865" s="87" t="str">
        <f>IFERROR(__xludf.DUMMYFUNCTION("""COMPUTED_VALUE"""),"ITBISA-RTC-DS3231M")</f>
        <v>ITBISA-RTC-DS3231M</v>
      </c>
      <c r="B3865" s="165">
        <f>IFERROR(__xludf.DUMMYFUNCTION("""COMPUTED_VALUE"""),46058.0)</f>
        <v>46058</v>
      </c>
      <c r="C3865" s="165" t="str">
        <f>IFERROR(__xludf.DUMMYFUNCTION("""COMPUTED_VALUE"""),"KYAI KONTONG")</f>
        <v>KYAI KONTONG</v>
      </c>
      <c r="D3865" s="94">
        <f>IFERROR(__xludf.DUMMYFUNCTION("""COMPUTED_VALUE"""),1.0)</f>
        <v>1</v>
      </c>
    </row>
    <row r="3866">
      <c r="A3866" s="87" t="str">
        <f>IFERROR(__xludf.DUMMYFUNCTION("""COMPUTED_VALUE"""),"ITBISA-RTC-DS3231M")</f>
        <v>ITBISA-RTC-DS3231M</v>
      </c>
      <c r="B3866" s="165">
        <f>IFERROR(__xludf.DUMMYFUNCTION("""COMPUTED_VALUE"""),46060.0)</f>
        <v>46060</v>
      </c>
      <c r="C3866" s="165" t="str">
        <f>IFERROR(__xludf.DUMMYFUNCTION("""COMPUTED_VALUE"""),"KYAI KONTONG")</f>
        <v>KYAI KONTONG</v>
      </c>
      <c r="D3866" s="94">
        <f>IFERROR(__xludf.DUMMYFUNCTION("""COMPUTED_VALUE"""),2.0)</f>
        <v>2</v>
      </c>
    </row>
    <row r="3867">
      <c r="A3867" s="87" t="str">
        <f>IFERROR(__xludf.DUMMYFUNCTION("""COMPUTED_VALUE"""),"ITBISA-RTC-DS3231M")</f>
        <v>ITBISA-RTC-DS3231M</v>
      </c>
      <c r="B3867" s="165">
        <f>IFERROR(__xludf.DUMMYFUNCTION("""COMPUTED_VALUE"""),46065.0)</f>
        <v>46065</v>
      </c>
      <c r="C3867" s="165" t="str">
        <f>IFERROR(__xludf.DUMMYFUNCTION("""COMPUTED_VALUE"""),"KYAI KONTONG")</f>
        <v>KYAI KONTONG</v>
      </c>
      <c r="D3867" s="94">
        <f>IFERROR(__xludf.DUMMYFUNCTION("""COMPUTED_VALUE"""),2.0)</f>
        <v>2</v>
      </c>
    </row>
    <row r="3868">
      <c r="A3868" s="87" t="str">
        <f>IFERROR(__xludf.DUMMYFUNCTION("""COMPUTED_VALUE"""),"ITBISA-RTC-DS3231M")</f>
        <v>ITBISA-RTC-DS3231M</v>
      </c>
      <c r="B3868" s="165">
        <f>IFERROR(__xludf.DUMMYFUNCTION("""COMPUTED_VALUE"""),46089.0)</f>
        <v>46089</v>
      </c>
      <c r="C3868" s="165" t="str">
        <f>IFERROR(__xludf.DUMMYFUNCTION("""COMPUTED_VALUE"""),"KYAI KONTONG")</f>
        <v>KYAI KONTONG</v>
      </c>
      <c r="D3868" s="94">
        <f>IFERROR(__xludf.DUMMYFUNCTION("""COMPUTED_VALUE"""),1.0)</f>
        <v>1</v>
      </c>
    </row>
    <row r="3869">
      <c r="A3869" s="87" t="str">
        <f>IFERROR(__xludf.DUMMYFUNCTION("""COMPUTED_VALUE"""),"ITBISA-RTC-DS3231M")</f>
        <v>ITBISA-RTC-DS3231M</v>
      </c>
      <c r="B3869" s="165">
        <f>IFERROR(__xludf.DUMMYFUNCTION("""COMPUTED_VALUE"""),46118.0)</f>
        <v>46118</v>
      </c>
      <c r="C3869" s="165" t="str">
        <f>IFERROR(__xludf.DUMMYFUNCTION("""COMPUTED_VALUE"""),"KYAI KONTONG")</f>
        <v>KYAI KONTONG</v>
      </c>
      <c r="D3869" s="94">
        <f>IFERROR(__xludf.DUMMYFUNCTION("""COMPUTED_VALUE"""),2.0)</f>
        <v>2</v>
      </c>
    </row>
    <row r="3870">
      <c r="A3870" s="87" t="str">
        <f>IFERROR(__xludf.DUMMYFUNCTION("""COMPUTED_VALUE"""),"ITBISA-RTC-DS3231M")</f>
        <v>ITBISA-RTC-DS3231M</v>
      </c>
      <c r="B3870" s="165">
        <f>IFERROR(__xludf.DUMMYFUNCTION("""COMPUTED_VALUE"""),46124.0)</f>
        <v>46124</v>
      </c>
      <c r="C3870" s="165" t="str">
        <f>IFERROR(__xludf.DUMMYFUNCTION("""COMPUTED_VALUE"""),"KYAI KONTONG")</f>
        <v>KYAI KONTONG</v>
      </c>
      <c r="D3870" s="94">
        <f>IFERROR(__xludf.DUMMYFUNCTION("""COMPUTED_VALUE"""),4.0)</f>
        <v>4</v>
      </c>
    </row>
    <row r="3871">
      <c r="A3871" s="87" t="str">
        <f>IFERROR(__xludf.DUMMYFUNCTION("""COMPUTED_VALUE"""),"ITBISA-RTC-DS3231M")</f>
        <v>ITBISA-RTC-DS3231M</v>
      </c>
      <c r="B3871" s="165">
        <f>IFERROR(__xludf.DUMMYFUNCTION("""COMPUTED_VALUE"""),46127.0)</f>
        <v>46127</v>
      </c>
      <c r="C3871" s="165" t="str">
        <f>IFERROR(__xludf.DUMMYFUNCTION("""COMPUTED_VALUE"""),"KYAI KONTONG")</f>
        <v>KYAI KONTONG</v>
      </c>
      <c r="D3871" s="94">
        <f>IFERROR(__xludf.DUMMYFUNCTION("""COMPUTED_VALUE"""),1.0)</f>
        <v>1</v>
      </c>
    </row>
    <row r="3872">
      <c r="A3872" s="87" t="str">
        <f>IFERROR(__xludf.DUMMYFUNCTION("""COMPUTED_VALUE"""),"ITBISA-RTC-DS3231M")</f>
        <v>ITBISA-RTC-DS3231M</v>
      </c>
      <c r="B3872" s="165">
        <f>IFERROR(__xludf.DUMMYFUNCTION("""COMPUTED_VALUE"""),46127.0)</f>
        <v>46127</v>
      </c>
      <c r="C3872" s="165" t="str">
        <f>IFERROR(__xludf.DUMMYFUNCTION("""COMPUTED_VALUE"""),"KYAI KONTONG")</f>
        <v>KYAI KONTONG</v>
      </c>
      <c r="D3872" s="94">
        <f>IFERROR(__xludf.DUMMYFUNCTION("""COMPUTED_VALUE"""),1.0)</f>
        <v>1</v>
      </c>
    </row>
    <row r="3873">
      <c r="A3873" s="87" t="str">
        <f>IFERROR(__xludf.DUMMYFUNCTION("""COMPUTED_VALUE"""),"ITBISA-RTC-DS3231M")</f>
        <v>ITBISA-RTC-DS3231M</v>
      </c>
      <c r="B3873" s="165">
        <f>IFERROR(__xludf.DUMMYFUNCTION("""COMPUTED_VALUE"""),46128.0)</f>
        <v>46128</v>
      </c>
      <c r="C3873" s="165" t="str">
        <f>IFERROR(__xludf.DUMMYFUNCTION("""COMPUTED_VALUE"""),"KYAI KONTONG")</f>
        <v>KYAI KONTONG</v>
      </c>
      <c r="D3873" s="94">
        <f>IFERROR(__xludf.DUMMYFUNCTION("""COMPUTED_VALUE"""),2.0)</f>
        <v>2</v>
      </c>
    </row>
    <row r="3874">
      <c r="A3874" s="87" t="str">
        <f>IFERROR(__xludf.DUMMYFUNCTION("""COMPUTED_VALUE"""),"ITBISA-RTC-DS3231M")</f>
        <v>ITBISA-RTC-DS3231M</v>
      </c>
      <c r="B3874" s="165">
        <f>IFERROR(__xludf.DUMMYFUNCTION("""COMPUTED_VALUE"""),46131.0)</f>
        <v>46131</v>
      </c>
      <c r="C3874" s="165" t="str">
        <f>IFERROR(__xludf.DUMMYFUNCTION("""COMPUTED_VALUE"""),"KYAI KONTONG")</f>
        <v>KYAI KONTONG</v>
      </c>
      <c r="D3874" s="94">
        <f>IFERROR(__xludf.DUMMYFUNCTION("""COMPUTED_VALUE"""),1.0)</f>
        <v>1</v>
      </c>
    </row>
    <row r="3875">
      <c r="A3875" s="87" t="str">
        <f>IFERROR(__xludf.DUMMYFUNCTION("""COMPUTED_VALUE"""),"ITBISA-RTC-DS3231M")</f>
        <v>ITBISA-RTC-DS3231M</v>
      </c>
      <c r="B3875" s="165">
        <f>IFERROR(__xludf.DUMMYFUNCTION("""COMPUTED_VALUE"""),46133.0)</f>
        <v>46133</v>
      </c>
      <c r="C3875" s="165" t="str">
        <f>IFERROR(__xludf.DUMMYFUNCTION("""COMPUTED_VALUE"""),"KYAI KONTONG")</f>
        <v>KYAI KONTONG</v>
      </c>
      <c r="D3875" s="94">
        <f>IFERROR(__xludf.DUMMYFUNCTION("""COMPUTED_VALUE"""),4.0)</f>
        <v>4</v>
      </c>
    </row>
    <row r="3876">
      <c r="A3876" s="87" t="str">
        <f>IFERROR(__xludf.DUMMYFUNCTION("""COMPUTED_VALUE"""),"ITBISA-RTC-DS3231M")</f>
        <v>ITBISA-RTC-DS3231M</v>
      </c>
      <c r="B3876" s="165">
        <f>IFERROR(__xludf.DUMMYFUNCTION("""COMPUTED_VALUE"""),46133.0)</f>
        <v>46133</v>
      </c>
      <c r="C3876" s="165" t="str">
        <f>IFERROR(__xludf.DUMMYFUNCTION("""COMPUTED_VALUE"""),"KYAI KONTONG")</f>
        <v>KYAI KONTONG</v>
      </c>
      <c r="D3876" s="94">
        <f>IFERROR(__xludf.DUMMYFUNCTION("""COMPUTED_VALUE"""),5.0)</f>
        <v>5</v>
      </c>
    </row>
    <row r="3877">
      <c r="A3877" s="87" t="str">
        <f>IFERROR(__xludf.DUMMYFUNCTION("""COMPUTED_VALUE"""),"ITBISA-RTC-DS3231M")</f>
        <v>ITBISA-RTC-DS3231M</v>
      </c>
      <c r="B3877" s="165">
        <f>IFERROR(__xludf.DUMMYFUNCTION("""COMPUTED_VALUE"""),46133.0)</f>
        <v>46133</v>
      </c>
      <c r="C3877" s="165" t="str">
        <f>IFERROR(__xludf.DUMMYFUNCTION("""COMPUTED_VALUE"""),"KYAI KONTONG")</f>
        <v>KYAI KONTONG</v>
      </c>
      <c r="D3877" s="94">
        <f>IFERROR(__xludf.DUMMYFUNCTION("""COMPUTED_VALUE"""),20.0)</f>
        <v>20</v>
      </c>
    </row>
    <row r="3878">
      <c r="A3878" s="87" t="str">
        <f>IFERROR(__xludf.DUMMYFUNCTION("""COMPUTED_VALUE"""),"ITBISA-RTC-DS3231M")</f>
        <v>ITBISA-RTC-DS3231M</v>
      </c>
      <c r="B3878" s="165">
        <f>IFERROR(__xludf.DUMMYFUNCTION("""COMPUTED_VALUE"""),46134.0)</f>
        <v>46134</v>
      </c>
      <c r="C3878" s="165" t="str">
        <f>IFERROR(__xludf.DUMMYFUNCTION("""COMPUTED_VALUE"""),"KYAI KONTONG")</f>
        <v>KYAI KONTONG</v>
      </c>
      <c r="D3878" s="94">
        <f>IFERROR(__xludf.DUMMYFUNCTION("""COMPUTED_VALUE"""),2.0)</f>
        <v>2</v>
      </c>
    </row>
    <row r="3879">
      <c r="A3879" s="87" t="str">
        <f>IFERROR(__xludf.DUMMYFUNCTION("""COMPUTED_VALUE"""),"ITBISA-RTC-DS3231M")</f>
        <v>ITBISA-RTC-DS3231M</v>
      </c>
      <c r="B3879" s="165">
        <f>IFERROR(__xludf.DUMMYFUNCTION("""COMPUTED_VALUE"""),46135.0)</f>
        <v>46135</v>
      </c>
      <c r="C3879" s="165" t="str">
        <f>IFERROR(__xludf.DUMMYFUNCTION("""COMPUTED_VALUE"""),"KYAI KONTONG")</f>
        <v>KYAI KONTONG</v>
      </c>
      <c r="D3879" s="94">
        <f>IFERROR(__xludf.DUMMYFUNCTION("""COMPUTED_VALUE"""),1.0)</f>
        <v>1</v>
      </c>
    </row>
    <row r="3880">
      <c r="A3880" s="87" t="str">
        <f>IFERROR(__xludf.DUMMYFUNCTION("""COMPUTED_VALUE"""),"ITBISA-RTC-DS3231M")</f>
        <v>ITBISA-RTC-DS3231M</v>
      </c>
      <c r="B3880" s="165">
        <f>IFERROR(__xludf.DUMMYFUNCTION("""COMPUTED_VALUE"""),46135.0)</f>
        <v>46135</v>
      </c>
      <c r="C3880" s="165" t="str">
        <f>IFERROR(__xludf.DUMMYFUNCTION("""COMPUTED_VALUE"""),"KYAI KONTONG")</f>
        <v>KYAI KONTONG</v>
      </c>
      <c r="D3880" s="94">
        <f>IFERROR(__xludf.DUMMYFUNCTION("""COMPUTED_VALUE"""),25.0)</f>
        <v>25</v>
      </c>
    </row>
    <row r="3881">
      <c r="A3881" s="87" t="str">
        <f>IFERROR(__xludf.DUMMYFUNCTION("""COMPUTED_VALUE"""),"ITBISA-RTC-DS3231M")</f>
        <v>ITBISA-RTC-DS3231M</v>
      </c>
      <c r="B3881" s="165">
        <f>IFERROR(__xludf.DUMMYFUNCTION("""COMPUTED_VALUE"""),46147.0)</f>
        <v>46147</v>
      </c>
      <c r="C3881" s="165" t="str">
        <f>IFERROR(__xludf.DUMMYFUNCTION("""COMPUTED_VALUE"""),"KYAI KONTONG")</f>
        <v>KYAI KONTONG</v>
      </c>
      <c r="D3881" s="94">
        <f>IFERROR(__xludf.DUMMYFUNCTION("""COMPUTED_VALUE"""),50.0)</f>
        <v>50</v>
      </c>
    </row>
    <row r="3882">
      <c r="A3882" s="87" t="str">
        <f>IFERROR(__xludf.DUMMYFUNCTION("""COMPUTED_VALUE"""),"ITBISA-RTC-DS3231M")</f>
        <v>ITBISA-RTC-DS3231M</v>
      </c>
      <c r="B3882" s="165">
        <f>IFERROR(__xludf.DUMMYFUNCTION("""COMPUTED_VALUE"""),46149.0)</f>
        <v>46149</v>
      </c>
      <c r="C3882" s="165" t="str">
        <f>IFERROR(__xludf.DUMMYFUNCTION("""COMPUTED_VALUE"""),"KYAI KONTONG")</f>
        <v>KYAI KONTONG</v>
      </c>
      <c r="D3882" s="94">
        <f>IFERROR(__xludf.DUMMYFUNCTION("""COMPUTED_VALUE"""),1.0)</f>
        <v>1</v>
      </c>
    </row>
    <row r="3883">
      <c r="A3883" s="87" t="str">
        <f>IFERROR(__xludf.DUMMYFUNCTION("""COMPUTED_VALUE"""),"ITBISA-RTC-DS3231M")</f>
        <v>ITBISA-RTC-DS3231M</v>
      </c>
      <c r="B3883" s="165">
        <f>IFERROR(__xludf.DUMMYFUNCTION("""COMPUTED_VALUE"""),46151.0)</f>
        <v>46151</v>
      </c>
      <c r="C3883" s="165" t="str">
        <f>IFERROR(__xludf.DUMMYFUNCTION("""COMPUTED_VALUE"""),"KYAI KONTONG")</f>
        <v>KYAI KONTONG</v>
      </c>
      <c r="D3883" s="94">
        <f>IFERROR(__xludf.DUMMYFUNCTION("""COMPUTED_VALUE"""),1.0)</f>
        <v>1</v>
      </c>
    </row>
    <row r="3884">
      <c r="A3884" s="87" t="str">
        <f>IFERROR(__xludf.DUMMYFUNCTION("""COMPUTED_VALUE"""),"ITBISA-RTC-DS3231SN")</f>
        <v>ITBISA-RTC-DS3231SN</v>
      </c>
      <c r="B3884" s="165">
        <f>IFERROR(__xludf.DUMMYFUNCTION("""COMPUTED_VALUE"""),46025.0)</f>
        <v>46025</v>
      </c>
      <c r="C3884" s="165" t="str">
        <f>IFERROR(__xludf.DUMMYFUNCTION("""COMPUTED_VALUE"""),"KYAI KONTONG")</f>
        <v>KYAI KONTONG</v>
      </c>
      <c r="D3884" s="94">
        <f>IFERROR(__xludf.DUMMYFUNCTION("""COMPUTED_VALUE"""),1.0)</f>
        <v>1</v>
      </c>
    </row>
    <row r="3885">
      <c r="A3885" s="87" t="str">
        <f>IFERROR(__xludf.DUMMYFUNCTION("""COMPUTED_VALUE"""),"ITBISA-RTC-DS3231SN")</f>
        <v>ITBISA-RTC-DS3231SN</v>
      </c>
      <c r="B3885" s="165">
        <f>IFERROR(__xludf.DUMMYFUNCTION("""COMPUTED_VALUE"""),46036.0)</f>
        <v>46036</v>
      </c>
      <c r="C3885" s="165" t="str">
        <f>IFERROR(__xludf.DUMMYFUNCTION("""COMPUTED_VALUE"""),"KYAI KONTONG")</f>
        <v>KYAI KONTONG</v>
      </c>
      <c r="D3885" s="94">
        <f>IFERROR(__xludf.DUMMYFUNCTION("""COMPUTED_VALUE"""),2.0)</f>
        <v>2</v>
      </c>
    </row>
    <row r="3886">
      <c r="A3886" s="87" t="str">
        <f>IFERROR(__xludf.DUMMYFUNCTION("""COMPUTED_VALUE"""),"ITBISA-RTC-DS3231SN")</f>
        <v>ITBISA-RTC-DS3231SN</v>
      </c>
      <c r="B3886" s="165">
        <f>IFERROR(__xludf.DUMMYFUNCTION("""COMPUTED_VALUE"""),46041.0)</f>
        <v>46041</v>
      </c>
      <c r="C3886" s="165" t="str">
        <f>IFERROR(__xludf.DUMMYFUNCTION("""COMPUTED_VALUE"""),"KYAI KONTONG")</f>
        <v>KYAI KONTONG</v>
      </c>
      <c r="D3886" s="94">
        <f>IFERROR(__xludf.DUMMYFUNCTION("""COMPUTED_VALUE"""),1.0)</f>
        <v>1</v>
      </c>
    </row>
    <row r="3887">
      <c r="A3887" s="87" t="str">
        <f>IFERROR(__xludf.DUMMYFUNCTION("""COMPUTED_VALUE"""),"ITBISA-RTC-DS3231SN")</f>
        <v>ITBISA-RTC-DS3231SN</v>
      </c>
      <c r="B3887" s="165">
        <f>IFERROR(__xludf.DUMMYFUNCTION("""COMPUTED_VALUE"""),46042.0)</f>
        <v>46042</v>
      </c>
      <c r="C3887" s="165" t="str">
        <f>IFERROR(__xludf.DUMMYFUNCTION("""COMPUTED_VALUE"""),"KERTASARI CIAMIS")</f>
        <v>KERTASARI CIAMIS</v>
      </c>
      <c r="D3887" s="94">
        <f>IFERROR(__xludf.DUMMYFUNCTION("""COMPUTED_VALUE"""),2.0)</f>
        <v>2</v>
      </c>
    </row>
    <row r="3888">
      <c r="A3888" s="87" t="str">
        <f>IFERROR(__xludf.DUMMYFUNCTION("""COMPUTED_VALUE"""),"ITBISA-RTC-DS3231SN")</f>
        <v>ITBISA-RTC-DS3231SN</v>
      </c>
      <c r="B3888" s="165">
        <f>IFERROR(__xludf.DUMMYFUNCTION("""COMPUTED_VALUE"""),46052.0)</f>
        <v>46052</v>
      </c>
      <c r="C3888" s="165" t="str">
        <f>IFERROR(__xludf.DUMMYFUNCTION("""COMPUTED_VALUE"""),"KERTASARI CIAMIS")</f>
        <v>KERTASARI CIAMIS</v>
      </c>
      <c r="D3888" s="94">
        <f>IFERROR(__xludf.DUMMYFUNCTION("""COMPUTED_VALUE"""),15.0)</f>
        <v>15</v>
      </c>
    </row>
    <row r="3889">
      <c r="A3889" s="87" t="str">
        <f>IFERROR(__xludf.DUMMYFUNCTION("""COMPUTED_VALUE"""),"ITBISA-RTC-DS3231SN")</f>
        <v>ITBISA-RTC-DS3231SN</v>
      </c>
      <c r="B3889" s="165">
        <f>IFERROR(__xludf.DUMMYFUNCTION("""COMPUTED_VALUE"""),46056.0)</f>
        <v>46056</v>
      </c>
      <c r="C3889" s="165" t="str">
        <f>IFERROR(__xludf.DUMMYFUNCTION("""COMPUTED_VALUE"""),"KYAI KONTONG")</f>
        <v>KYAI KONTONG</v>
      </c>
      <c r="D3889" s="94">
        <f>IFERROR(__xludf.DUMMYFUNCTION("""COMPUTED_VALUE"""),1.0)</f>
        <v>1</v>
      </c>
    </row>
    <row r="3890">
      <c r="A3890" s="87" t="str">
        <f>IFERROR(__xludf.DUMMYFUNCTION("""COMPUTED_VALUE"""),"ITBISA-RTC-DS3231SN")</f>
        <v>ITBISA-RTC-DS3231SN</v>
      </c>
      <c r="B3890" s="165">
        <f>IFERROR(__xludf.DUMMYFUNCTION("""COMPUTED_VALUE"""),46057.0)</f>
        <v>46057</v>
      </c>
      <c r="C3890" s="165" t="str">
        <f>IFERROR(__xludf.DUMMYFUNCTION("""COMPUTED_VALUE"""),"KERTASARI CIAMIS")</f>
        <v>KERTASARI CIAMIS</v>
      </c>
      <c r="D3890" s="94">
        <f>IFERROR(__xludf.DUMMYFUNCTION("""COMPUTED_VALUE"""),25.0)</f>
        <v>25</v>
      </c>
    </row>
    <row r="3891">
      <c r="A3891" s="87" t="str">
        <f>IFERROR(__xludf.DUMMYFUNCTION("""COMPUTED_VALUE"""),"ITBISA-RTC-DS3231SN")</f>
        <v>ITBISA-RTC-DS3231SN</v>
      </c>
      <c r="B3891" s="165">
        <f>IFERROR(__xludf.DUMMYFUNCTION("""COMPUTED_VALUE"""),46057.0)</f>
        <v>46057</v>
      </c>
      <c r="C3891" s="165" t="str">
        <f>IFERROR(__xludf.DUMMYFUNCTION("""COMPUTED_VALUE"""),"KYAI KONTONG")</f>
        <v>KYAI KONTONG</v>
      </c>
      <c r="D3891" s="94">
        <f>IFERROR(__xludf.DUMMYFUNCTION("""COMPUTED_VALUE"""),4.0)</f>
        <v>4</v>
      </c>
    </row>
    <row r="3892">
      <c r="A3892" s="87" t="str">
        <f>IFERROR(__xludf.DUMMYFUNCTION("""COMPUTED_VALUE"""),"ITBISA-RTC-DS3231SN")</f>
        <v>ITBISA-RTC-DS3231SN</v>
      </c>
      <c r="B3892" s="165">
        <f>IFERROR(__xludf.DUMMYFUNCTION("""COMPUTED_VALUE"""),46063.0)</f>
        <v>46063</v>
      </c>
      <c r="C3892" s="165" t="str">
        <f>IFERROR(__xludf.DUMMYFUNCTION("""COMPUTED_VALUE"""),"KERTASARI CIAMIS")</f>
        <v>KERTASARI CIAMIS</v>
      </c>
      <c r="D3892" s="94">
        <f>IFERROR(__xludf.DUMMYFUNCTION("""COMPUTED_VALUE"""),2.0)</f>
        <v>2</v>
      </c>
    </row>
    <row r="3893">
      <c r="A3893" s="87" t="str">
        <f>IFERROR(__xludf.DUMMYFUNCTION("""COMPUTED_VALUE"""),"ITBISA-RTC-DS3231SN")</f>
        <v>ITBISA-RTC-DS3231SN</v>
      </c>
      <c r="B3893" s="165">
        <f>IFERROR(__xludf.DUMMYFUNCTION("""COMPUTED_VALUE"""),46067.0)</f>
        <v>46067</v>
      </c>
      <c r="C3893" s="165" t="str">
        <f>IFERROR(__xludf.DUMMYFUNCTION("""COMPUTED_VALUE"""),"KERTASARI CIAMIS")</f>
        <v>KERTASARI CIAMIS</v>
      </c>
      <c r="D3893" s="94">
        <f>IFERROR(__xludf.DUMMYFUNCTION("""COMPUTED_VALUE"""),57.0)</f>
        <v>57</v>
      </c>
    </row>
    <row r="3894">
      <c r="A3894" s="87" t="str">
        <f>IFERROR(__xludf.DUMMYFUNCTION("""COMPUTED_VALUE"""),"ITBISA-RTC-DS3231SN")</f>
        <v>ITBISA-RTC-DS3231SN</v>
      </c>
      <c r="B3894" s="165">
        <f>IFERROR(__xludf.DUMMYFUNCTION("""COMPUTED_VALUE"""),46073.0)</f>
        <v>46073</v>
      </c>
      <c r="C3894" s="165" t="str">
        <f>IFERROR(__xludf.DUMMYFUNCTION("""COMPUTED_VALUE"""),"KERTASARI CIAMIS")</f>
        <v>KERTASARI CIAMIS</v>
      </c>
      <c r="D3894" s="94">
        <f>IFERROR(__xludf.DUMMYFUNCTION("""COMPUTED_VALUE"""),2.0)</f>
        <v>2</v>
      </c>
    </row>
    <row r="3895">
      <c r="A3895" s="87" t="str">
        <f>IFERROR(__xludf.DUMMYFUNCTION("""COMPUTED_VALUE"""),"ITBISA-RTC-DS3231SN")</f>
        <v>ITBISA-RTC-DS3231SN</v>
      </c>
      <c r="B3895" s="165">
        <f>IFERROR(__xludf.DUMMYFUNCTION("""COMPUTED_VALUE"""),46073.0)</f>
        <v>46073</v>
      </c>
      <c r="C3895" s="165" t="str">
        <f>IFERROR(__xludf.DUMMYFUNCTION("""COMPUTED_VALUE"""),"KYAI KONTONG")</f>
        <v>KYAI KONTONG</v>
      </c>
      <c r="D3895" s="94">
        <f>IFERROR(__xludf.DUMMYFUNCTION("""COMPUTED_VALUE"""),13.0)</f>
        <v>13</v>
      </c>
    </row>
    <row r="3896">
      <c r="A3896" s="87" t="str">
        <f>IFERROR(__xludf.DUMMYFUNCTION("""COMPUTED_VALUE"""),"ITBISA-RTC-DS3231SN")</f>
        <v>ITBISA-RTC-DS3231SN</v>
      </c>
      <c r="B3896" s="165">
        <f>IFERROR(__xludf.DUMMYFUNCTION("""COMPUTED_VALUE"""),46088.0)</f>
        <v>46088</v>
      </c>
      <c r="C3896" s="165" t="str">
        <f>IFERROR(__xludf.DUMMYFUNCTION("""COMPUTED_VALUE"""),"KERTASARI CIAMIS")</f>
        <v>KERTASARI CIAMIS</v>
      </c>
      <c r="D3896" s="94">
        <f>IFERROR(__xludf.DUMMYFUNCTION("""COMPUTED_VALUE"""),1.0)</f>
        <v>1</v>
      </c>
    </row>
    <row r="3897">
      <c r="A3897" s="87" t="str">
        <f>IFERROR(__xludf.DUMMYFUNCTION("""COMPUTED_VALUE"""),"ITBISA-RTC-DS3231SN")</f>
        <v>ITBISA-RTC-DS3231SN</v>
      </c>
      <c r="B3897" s="165">
        <f>IFERROR(__xludf.DUMMYFUNCTION("""COMPUTED_VALUE"""),46099.0)</f>
        <v>46099</v>
      </c>
      <c r="C3897" s="165" t="str">
        <f>IFERROR(__xludf.DUMMYFUNCTION("""COMPUTED_VALUE"""),"KYAI KONTONG")</f>
        <v>KYAI KONTONG</v>
      </c>
      <c r="D3897" s="94">
        <f>IFERROR(__xludf.DUMMYFUNCTION("""COMPUTED_VALUE"""),50.0)</f>
        <v>50</v>
      </c>
    </row>
    <row r="3898">
      <c r="A3898" s="87" t="str">
        <f>IFERROR(__xludf.DUMMYFUNCTION("""COMPUTED_VALUE"""),"ITBISA-RTC-DS3231SN")</f>
        <v>ITBISA-RTC-DS3231SN</v>
      </c>
      <c r="B3898" s="165">
        <f>IFERROR(__xludf.DUMMYFUNCTION("""COMPUTED_VALUE"""),46136.0)</f>
        <v>46136</v>
      </c>
      <c r="C3898" s="165" t="str">
        <f>IFERROR(__xludf.DUMMYFUNCTION("""COMPUTED_VALUE"""),"KYAI KONTONG")</f>
        <v>KYAI KONTONG</v>
      </c>
      <c r="D3898" s="94">
        <f>IFERROR(__xludf.DUMMYFUNCTION("""COMPUTED_VALUE"""),1.0)</f>
        <v>1</v>
      </c>
    </row>
    <row r="3899">
      <c r="A3899" s="87" t="str">
        <f>IFERROR(__xludf.DUMMYFUNCTION("""COMPUTED_VALUE"""),"ITBISA-RTC-DS3231SN")</f>
        <v>ITBISA-RTC-DS3231SN</v>
      </c>
      <c r="B3899" s="165">
        <f>IFERROR(__xludf.DUMMYFUNCTION("""COMPUTED_VALUE"""),46136.0)</f>
        <v>46136</v>
      </c>
      <c r="C3899" s="165" t="str">
        <f>IFERROR(__xludf.DUMMYFUNCTION("""COMPUTED_VALUE"""),"KYAI KONTONG")</f>
        <v>KYAI KONTONG</v>
      </c>
      <c r="D3899" s="94">
        <f>IFERROR(__xludf.DUMMYFUNCTION("""COMPUTED_VALUE"""),13.0)</f>
        <v>13</v>
      </c>
    </row>
    <row r="3900">
      <c r="A3900" s="87" t="str">
        <f>IFERROR(__xludf.DUMMYFUNCTION("""COMPUTED_VALUE"""),"ITBISA-RTC-DS3231SN")</f>
        <v>ITBISA-RTC-DS3231SN</v>
      </c>
      <c r="B3900" s="165">
        <f>IFERROR(__xludf.DUMMYFUNCTION("""COMPUTED_VALUE"""),46136.0)</f>
        <v>46136</v>
      </c>
      <c r="C3900" s="165" t="str">
        <f>IFERROR(__xludf.DUMMYFUNCTION("""COMPUTED_VALUE"""),"KYAI KONTONG")</f>
        <v>KYAI KONTONG</v>
      </c>
      <c r="D3900" s="94">
        <f>IFERROR(__xludf.DUMMYFUNCTION("""COMPUTED_VALUE"""),15.0)</f>
        <v>15</v>
      </c>
    </row>
    <row r="3901">
      <c r="A3901" s="87" t="str">
        <f>IFERROR(__xludf.DUMMYFUNCTION("""COMPUTED_VALUE"""),"ITBISA-RTC-DS3231SN")</f>
        <v>ITBISA-RTC-DS3231SN</v>
      </c>
      <c r="B3901" s="165">
        <f>IFERROR(__xludf.DUMMYFUNCTION("""COMPUTED_VALUE"""),46136.0)</f>
        <v>46136</v>
      </c>
      <c r="C3901" s="165" t="str">
        <f>IFERROR(__xludf.DUMMYFUNCTION("""COMPUTED_VALUE"""),"KYAI KONTONG")</f>
        <v>KYAI KONTONG</v>
      </c>
      <c r="D3901" s="94">
        <f>IFERROR(__xludf.DUMMYFUNCTION("""COMPUTED_VALUE"""),85.0)</f>
        <v>85</v>
      </c>
    </row>
    <row r="3902">
      <c r="A3902" s="87" t="str">
        <f>IFERROR(__xludf.DUMMYFUNCTION("""COMPUTED_VALUE"""),"ITBISA-RTC-DS3231SN")</f>
        <v>ITBISA-RTC-DS3231SN</v>
      </c>
      <c r="B3902" s="165">
        <f>IFERROR(__xludf.DUMMYFUNCTION("""COMPUTED_VALUE"""),46137.0)</f>
        <v>46137</v>
      </c>
      <c r="C3902" s="165" t="str">
        <f>IFERROR(__xludf.DUMMYFUNCTION("""COMPUTED_VALUE"""),"KYAI KONTONG")</f>
        <v>KYAI KONTONG</v>
      </c>
      <c r="D3902" s="94">
        <f>IFERROR(__xludf.DUMMYFUNCTION("""COMPUTED_VALUE"""),35.0)</f>
        <v>35</v>
      </c>
    </row>
    <row r="3903">
      <c r="A3903" s="87" t="str">
        <f>IFERROR(__xludf.DUMMYFUNCTION("""COMPUTED_VALUE"""),"ITBISA-RTC-DS3231SN")</f>
        <v>ITBISA-RTC-DS3231SN</v>
      </c>
      <c r="B3903" s="165">
        <f>IFERROR(__xludf.DUMMYFUNCTION("""COMPUTED_VALUE"""),46143.0)</f>
        <v>46143</v>
      </c>
      <c r="C3903" s="165" t="str">
        <f>IFERROR(__xludf.DUMMYFUNCTION("""COMPUTED_VALUE"""),"KYAI KONTONG")</f>
        <v>KYAI KONTONG</v>
      </c>
      <c r="D3903" s="94">
        <f>IFERROR(__xludf.DUMMYFUNCTION("""COMPUTED_VALUE"""),1.0)</f>
        <v>1</v>
      </c>
    </row>
    <row r="3904">
      <c r="A3904" s="87" t="str">
        <f>IFERROR(__xludf.DUMMYFUNCTION("""COMPUTED_VALUE"""),"ITBISA-RTC-DS3231SN")</f>
        <v>ITBISA-RTC-DS3231SN</v>
      </c>
      <c r="B3904" s="165">
        <f>IFERROR(__xludf.DUMMYFUNCTION("""COMPUTED_VALUE"""),46143.0)</f>
        <v>46143</v>
      </c>
      <c r="C3904" s="165" t="str">
        <f>IFERROR(__xludf.DUMMYFUNCTION("""COMPUTED_VALUE"""),"KYAI KONTONG")</f>
        <v>KYAI KONTONG</v>
      </c>
      <c r="D3904" s="94">
        <f>IFERROR(__xludf.DUMMYFUNCTION("""COMPUTED_VALUE"""),2.0)</f>
        <v>2</v>
      </c>
    </row>
    <row r="3905">
      <c r="A3905" s="87" t="str">
        <f>IFERROR(__xludf.DUMMYFUNCTION("""COMPUTED_VALUE"""),"ITBISA-RTC-DS3231SN")</f>
        <v>ITBISA-RTC-DS3231SN</v>
      </c>
      <c r="B3905" s="165">
        <f>IFERROR(__xludf.DUMMYFUNCTION("""COMPUTED_VALUE"""),46143.0)</f>
        <v>46143</v>
      </c>
      <c r="C3905" s="165" t="str">
        <f>IFERROR(__xludf.DUMMYFUNCTION("""COMPUTED_VALUE"""),"KYAI KONTONG")</f>
        <v>KYAI KONTONG</v>
      </c>
      <c r="D3905" s="94">
        <f>IFERROR(__xludf.DUMMYFUNCTION("""COMPUTED_VALUE"""),16.0)</f>
        <v>16</v>
      </c>
    </row>
    <row r="3906">
      <c r="A3906" s="87" t="str">
        <f>IFERROR(__xludf.DUMMYFUNCTION("""COMPUTED_VALUE"""),"ITBISA-RTC-DS3231SN")</f>
        <v>ITBISA-RTC-DS3231SN</v>
      </c>
      <c r="B3906" s="165">
        <f>IFERROR(__xludf.DUMMYFUNCTION("""COMPUTED_VALUE"""),46144.0)</f>
        <v>46144</v>
      </c>
      <c r="C3906" s="165" t="str">
        <f>IFERROR(__xludf.DUMMYFUNCTION("""COMPUTED_VALUE"""),"KYAI KONTONG")</f>
        <v>KYAI KONTONG</v>
      </c>
      <c r="D3906" s="94">
        <f>IFERROR(__xludf.DUMMYFUNCTION("""COMPUTED_VALUE"""),1.0)</f>
        <v>1</v>
      </c>
    </row>
    <row r="3907">
      <c r="A3907" s="87" t="str">
        <f>IFERROR(__xludf.DUMMYFUNCTION("""COMPUTED_VALUE"""),"ITBISA-RTC-DS3231SN")</f>
        <v>ITBISA-RTC-DS3231SN</v>
      </c>
      <c r="B3907" s="165">
        <f>IFERROR(__xludf.DUMMYFUNCTION("""COMPUTED_VALUE"""),46144.0)</f>
        <v>46144</v>
      </c>
      <c r="C3907" s="165" t="str">
        <f>IFERROR(__xludf.DUMMYFUNCTION("""COMPUTED_VALUE"""),"KYAI KONTONG")</f>
        <v>KYAI KONTONG</v>
      </c>
      <c r="D3907" s="94">
        <f>IFERROR(__xludf.DUMMYFUNCTION("""COMPUTED_VALUE"""),1.0)</f>
        <v>1</v>
      </c>
    </row>
    <row r="3908">
      <c r="A3908" s="87" t="str">
        <f>IFERROR(__xludf.DUMMYFUNCTION("""COMPUTED_VALUE"""),"ITBISA-RTC-DS3231SN")</f>
        <v>ITBISA-RTC-DS3231SN</v>
      </c>
      <c r="B3908" s="165">
        <f>IFERROR(__xludf.DUMMYFUNCTION("""COMPUTED_VALUE"""),46144.0)</f>
        <v>46144</v>
      </c>
      <c r="C3908" s="165" t="str">
        <f>IFERROR(__xludf.DUMMYFUNCTION("""COMPUTED_VALUE"""),"KYAI KONTONG")</f>
        <v>KYAI KONTONG</v>
      </c>
      <c r="D3908" s="94">
        <f>IFERROR(__xludf.DUMMYFUNCTION("""COMPUTED_VALUE"""),4.0)</f>
        <v>4</v>
      </c>
    </row>
    <row r="3909">
      <c r="A3909" s="87" t="str">
        <f>IFERROR(__xludf.DUMMYFUNCTION("""COMPUTED_VALUE"""),"ITBISA-RTC-DS3231SN")</f>
        <v>ITBISA-RTC-DS3231SN</v>
      </c>
      <c r="B3909" s="165">
        <f>IFERROR(__xludf.DUMMYFUNCTION("""COMPUTED_VALUE"""),46144.0)</f>
        <v>46144</v>
      </c>
      <c r="C3909" s="165" t="str">
        <f>IFERROR(__xludf.DUMMYFUNCTION("""COMPUTED_VALUE"""),"KYAI KONTONG")</f>
        <v>KYAI KONTONG</v>
      </c>
      <c r="D3909" s="94">
        <f>IFERROR(__xludf.DUMMYFUNCTION("""COMPUTED_VALUE"""),10.0)</f>
        <v>10</v>
      </c>
    </row>
    <row r="3910">
      <c r="A3910" s="87" t="str">
        <f>IFERROR(__xludf.DUMMYFUNCTION("""COMPUTED_VALUE"""),"ITBISA-RTC-DS3231SN")</f>
        <v>ITBISA-RTC-DS3231SN</v>
      </c>
      <c r="B3910" s="165">
        <f>IFERROR(__xludf.DUMMYFUNCTION("""COMPUTED_VALUE"""),46144.0)</f>
        <v>46144</v>
      </c>
      <c r="C3910" s="165" t="str">
        <f>IFERROR(__xludf.DUMMYFUNCTION("""COMPUTED_VALUE"""),"KYAI KONTONG")</f>
        <v>KYAI KONTONG</v>
      </c>
      <c r="D3910" s="94">
        <f>IFERROR(__xludf.DUMMYFUNCTION("""COMPUTED_VALUE"""),16.0)</f>
        <v>16</v>
      </c>
    </row>
    <row r="3911">
      <c r="A3911" s="87" t="str">
        <f>IFERROR(__xludf.DUMMYFUNCTION("""COMPUTED_VALUE"""),"ITBISA-RTC-DS3231SN")</f>
        <v>ITBISA-RTC-DS3231SN</v>
      </c>
      <c r="B3911" s="165">
        <f>IFERROR(__xludf.DUMMYFUNCTION("""COMPUTED_VALUE"""),46145.0)</f>
        <v>46145</v>
      </c>
      <c r="C3911" s="165" t="str">
        <f>IFERROR(__xludf.DUMMYFUNCTION("""COMPUTED_VALUE"""),"KYAI KONTONG")</f>
        <v>KYAI KONTONG</v>
      </c>
      <c r="D3911" s="94">
        <f>IFERROR(__xludf.DUMMYFUNCTION("""COMPUTED_VALUE"""),2.0)</f>
        <v>2</v>
      </c>
    </row>
    <row r="3912">
      <c r="A3912" s="87" t="str">
        <f>IFERROR(__xludf.DUMMYFUNCTION("""COMPUTED_VALUE"""),"ITBISA-RTC-DS3231SN")</f>
        <v>ITBISA-RTC-DS3231SN</v>
      </c>
      <c r="B3912" s="165">
        <f>IFERROR(__xludf.DUMMYFUNCTION("""COMPUTED_VALUE"""),46147.0)</f>
        <v>46147</v>
      </c>
      <c r="C3912" s="165" t="str">
        <f>IFERROR(__xludf.DUMMYFUNCTION("""COMPUTED_VALUE"""),"KYAI KONTONG")</f>
        <v>KYAI KONTONG</v>
      </c>
      <c r="D3912" s="94">
        <f>IFERROR(__xludf.DUMMYFUNCTION("""COMPUTED_VALUE"""),1.0)</f>
        <v>1</v>
      </c>
    </row>
    <row r="3913">
      <c r="A3913" s="87" t="str">
        <f>IFERROR(__xludf.DUMMYFUNCTION("""COMPUTED_VALUE"""),"ITBISA-SENSOR-SUHU-DHT11")</f>
        <v>ITBISA-SENSOR-SUHU-DHT11</v>
      </c>
      <c r="B3913" s="165">
        <f>IFERROR(__xludf.DUMMYFUNCTION("""COMPUTED_VALUE"""),46042.0)</f>
        <v>46042</v>
      </c>
      <c r="C3913" s="165" t="str">
        <f>IFERROR(__xludf.DUMMYFUNCTION("""COMPUTED_VALUE"""),"KYAI KONTONG")</f>
        <v>KYAI KONTONG</v>
      </c>
      <c r="D3913" s="94">
        <f>IFERROR(__xludf.DUMMYFUNCTION("""COMPUTED_VALUE"""),2.0)</f>
        <v>2</v>
      </c>
    </row>
    <row r="3914">
      <c r="A3914" s="87" t="str">
        <f>IFERROR(__xludf.DUMMYFUNCTION("""COMPUTED_VALUE"""),"ITBISA-SENSOR-SUHU-DHT11")</f>
        <v>ITBISA-SENSOR-SUHU-DHT11</v>
      </c>
      <c r="B3914" s="165">
        <f>IFERROR(__xludf.DUMMYFUNCTION("""COMPUTED_VALUE"""),46127.0)</f>
        <v>46127</v>
      </c>
      <c r="C3914" s="165" t="str">
        <f>IFERROR(__xludf.DUMMYFUNCTION("""COMPUTED_VALUE"""),"KYAI KONTONG")</f>
        <v>KYAI KONTONG</v>
      </c>
      <c r="D3914" s="94">
        <f>IFERROR(__xludf.DUMMYFUNCTION("""COMPUTED_VALUE"""),4.0)</f>
        <v>4</v>
      </c>
    </row>
    <row r="3915">
      <c r="A3915" s="87" t="str">
        <f>IFERROR(__xludf.DUMMYFUNCTION("""COMPUTED_VALUE"""),"ITBISA-SENSOR-ULTRASONIK-HCSR04")</f>
        <v>ITBISA-SENSOR-ULTRASONIK-HCSR04</v>
      </c>
      <c r="B3915" s="165">
        <f>IFERROR(__xludf.DUMMYFUNCTION("""COMPUTED_VALUE"""),45993.0)</f>
        <v>45993</v>
      </c>
      <c r="C3915" s="165" t="str">
        <f>IFERROR(__xludf.DUMMYFUNCTION("""COMPUTED_VALUE"""),"KYAI KONTONG")</f>
        <v>KYAI KONTONG</v>
      </c>
      <c r="D3915" s="94">
        <f>IFERROR(__xludf.DUMMYFUNCTION("""COMPUTED_VALUE"""),1.0)</f>
        <v>1</v>
      </c>
    </row>
    <row r="3916">
      <c r="A3916" s="87" t="str">
        <f>IFERROR(__xludf.DUMMYFUNCTION("""COMPUTED_VALUE"""),"ITBISA-SENSOR-ULTRASONIK-HCSR04")</f>
        <v>ITBISA-SENSOR-ULTRASONIK-HCSR04</v>
      </c>
      <c r="B3916" s="165">
        <f>IFERROR(__xludf.DUMMYFUNCTION("""COMPUTED_VALUE"""),46034.0)</f>
        <v>46034</v>
      </c>
      <c r="C3916" s="165" t="str">
        <f>IFERROR(__xludf.DUMMYFUNCTION("""COMPUTED_VALUE"""),"KYAI KONTONG")</f>
        <v>KYAI KONTONG</v>
      </c>
      <c r="D3916" s="94">
        <f>IFERROR(__xludf.DUMMYFUNCTION("""COMPUTED_VALUE"""),2.0)</f>
        <v>2</v>
      </c>
    </row>
    <row r="3917">
      <c r="A3917" s="87" t="str">
        <f>IFERROR(__xludf.DUMMYFUNCTION("""COMPUTED_VALUE"""),"ITBISA-SENSOR-ULTRASONIK-HCSR04")</f>
        <v>ITBISA-SENSOR-ULTRASONIK-HCSR04</v>
      </c>
      <c r="B3917" s="165">
        <f>IFERROR(__xludf.DUMMYFUNCTION("""COMPUTED_VALUE"""),46035.0)</f>
        <v>46035</v>
      </c>
      <c r="C3917" s="165" t="str">
        <f>IFERROR(__xludf.DUMMYFUNCTION("""COMPUTED_VALUE"""),"KYAI KONTONG")</f>
        <v>KYAI KONTONG</v>
      </c>
      <c r="D3917" s="94">
        <f>IFERROR(__xludf.DUMMYFUNCTION("""COMPUTED_VALUE"""),1.0)</f>
        <v>1</v>
      </c>
    </row>
    <row r="3918">
      <c r="A3918" s="87" t="str">
        <f>IFERROR(__xludf.DUMMYFUNCTION("""COMPUTED_VALUE"""),"ITBISA-SENSOR-ULTRASONIK-HCSR04")</f>
        <v>ITBISA-SENSOR-ULTRASONIK-HCSR04</v>
      </c>
      <c r="B3918" s="165">
        <f>IFERROR(__xludf.DUMMYFUNCTION("""COMPUTED_VALUE"""),46037.0)</f>
        <v>46037</v>
      </c>
      <c r="C3918" s="165" t="str">
        <f>IFERROR(__xludf.DUMMYFUNCTION("""COMPUTED_VALUE"""),"KYAI KONTONG")</f>
        <v>KYAI KONTONG</v>
      </c>
      <c r="D3918" s="94">
        <f>IFERROR(__xludf.DUMMYFUNCTION("""COMPUTED_VALUE"""),1.0)</f>
        <v>1</v>
      </c>
    </row>
    <row r="3919">
      <c r="A3919" s="87" t="str">
        <f>IFERROR(__xludf.DUMMYFUNCTION("""COMPUTED_VALUE"""),"ITBISA-SENSOR-ULTRASONIK-HCSR04")</f>
        <v>ITBISA-SENSOR-ULTRASONIK-HCSR04</v>
      </c>
      <c r="B3919" s="165">
        <f>IFERROR(__xludf.DUMMYFUNCTION("""COMPUTED_VALUE"""),46041.0)</f>
        <v>46041</v>
      </c>
      <c r="C3919" s="165" t="str">
        <f>IFERROR(__xludf.DUMMYFUNCTION("""COMPUTED_VALUE"""),"KERTASARI CIAMIS")</f>
        <v>KERTASARI CIAMIS</v>
      </c>
      <c r="D3919" s="94">
        <f>IFERROR(__xludf.DUMMYFUNCTION("""COMPUTED_VALUE"""),1.0)</f>
        <v>1</v>
      </c>
    </row>
    <row r="3920">
      <c r="A3920" s="87" t="str">
        <f>IFERROR(__xludf.DUMMYFUNCTION("""COMPUTED_VALUE"""),"ITBISA-SENSOR-ULTRASONIK-HCSR04")</f>
        <v>ITBISA-SENSOR-ULTRASONIK-HCSR04</v>
      </c>
      <c r="B3920" s="165">
        <f>IFERROR(__xludf.DUMMYFUNCTION("""COMPUTED_VALUE"""),46041.0)</f>
        <v>46041</v>
      </c>
      <c r="C3920" s="165" t="str">
        <f>IFERROR(__xludf.DUMMYFUNCTION("""COMPUTED_VALUE"""),"KYAI KONTONG")</f>
        <v>KYAI KONTONG</v>
      </c>
      <c r="D3920" s="94">
        <f>IFERROR(__xludf.DUMMYFUNCTION("""COMPUTED_VALUE"""),1.0)</f>
        <v>1</v>
      </c>
    </row>
    <row r="3921">
      <c r="A3921" s="87" t="str">
        <f>IFERROR(__xludf.DUMMYFUNCTION("""COMPUTED_VALUE"""),"ITBISA-SENSOR-ULTRASONIK-HCSR04")</f>
        <v>ITBISA-SENSOR-ULTRASONIK-HCSR04</v>
      </c>
      <c r="B3921" s="165">
        <f>IFERROR(__xludf.DUMMYFUNCTION("""COMPUTED_VALUE"""),46067.0)</f>
        <v>46067</v>
      </c>
      <c r="C3921" s="165" t="str">
        <f>IFERROR(__xludf.DUMMYFUNCTION("""COMPUTED_VALUE"""),"KERTASARI CIAMIS")</f>
        <v>KERTASARI CIAMIS</v>
      </c>
      <c r="D3921" s="94">
        <f>IFERROR(__xludf.DUMMYFUNCTION("""COMPUTED_VALUE"""),1.0)</f>
        <v>1</v>
      </c>
    </row>
    <row r="3922">
      <c r="A3922" s="87" t="str">
        <f>IFERROR(__xludf.DUMMYFUNCTION("""COMPUTED_VALUE"""),"ITBISA-SENSOR-ULTRASONIK-HCSR04")</f>
        <v>ITBISA-SENSOR-ULTRASONIK-HCSR04</v>
      </c>
      <c r="B3922" s="165">
        <f>IFERROR(__xludf.DUMMYFUNCTION("""COMPUTED_VALUE"""),46122.0)</f>
        <v>46122</v>
      </c>
      <c r="C3922" s="165" t="str">
        <f>IFERROR(__xludf.DUMMYFUNCTION("""COMPUTED_VALUE"""),"KYAI KONTONG")</f>
        <v>KYAI KONTONG</v>
      </c>
      <c r="D3922" s="94">
        <f>IFERROR(__xludf.DUMMYFUNCTION("""COMPUTED_VALUE"""),1.0)</f>
        <v>1</v>
      </c>
    </row>
    <row r="3923">
      <c r="A3923" s="87" t="str">
        <f>IFERROR(__xludf.DUMMYFUNCTION("""COMPUTED_VALUE"""),"ITBISA-SENSOR-ULTRASONIK-HCSR04")</f>
        <v>ITBISA-SENSOR-ULTRASONIK-HCSR04</v>
      </c>
      <c r="B3923" s="165">
        <f>IFERROR(__xludf.DUMMYFUNCTION("""COMPUTED_VALUE"""),46125.0)</f>
        <v>46125</v>
      </c>
      <c r="C3923" s="165" t="str">
        <f>IFERROR(__xludf.DUMMYFUNCTION("""COMPUTED_VALUE"""),"KYAI KONTONG")</f>
        <v>KYAI KONTONG</v>
      </c>
      <c r="D3923" s="94">
        <f>IFERROR(__xludf.DUMMYFUNCTION("""COMPUTED_VALUE"""),1.0)</f>
        <v>1</v>
      </c>
    </row>
    <row r="3924">
      <c r="A3924" s="87" t="str">
        <f>IFERROR(__xludf.DUMMYFUNCTION("""COMPUTED_VALUE"""),"ITBISA-SENSOR-ULTRASONIK-HCSR04")</f>
        <v>ITBISA-SENSOR-ULTRASONIK-HCSR04</v>
      </c>
      <c r="B3924" s="165">
        <f>IFERROR(__xludf.DUMMYFUNCTION("""COMPUTED_VALUE"""),46131.0)</f>
        <v>46131</v>
      </c>
      <c r="C3924" s="165" t="str">
        <f>IFERROR(__xludf.DUMMYFUNCTION("""COMPUTED_VALUE"""),"KYAI KONTONG")</f>
        <v>KYAI KONTONG</v>
      </c>
      <c r="D3924" s="94">
        <f>IFERROR(__xludf.DUMMYFUNCTION("""COMPUTED_VALUE"""),1.0)</f>
        <v>1</v>
      </c>
    </row>
    <row r="3925">
      <c r="A3925" s="87" t="str">
        <f>IFERROR(__xludf.DUMMYFUNCTION("""COMPUTED_VALUE"""),"ITBISA-SENSOR-ULTRASONIK-HCSR04")</f>
        <v>ITBISA-SENSOR-ULTRASONIK-HCSR04</v>
      </c>
      <c r="B3925" s="165">
        <f>IFERROR(__xludf.DUMMYFUNCTION("""COMPUTED_VALUE"""),46134.0)</f>
        <v>46134</v>
      </c>
      <c r="C3925" s="165" t="str">
        <f>IFERROR(__xludf.DUMMYFUNCTION("""COMPUTED_VALUE"""),"KYAI KONTONG")</f>
        <v>KYAI KONTONG</v>
      </c>
      <c r="D3925" s="94">
        <f>IFERROR(__xludf.DUMMYFUNCTION("""COMPUTED_VALUE"""),1.0)</f>
        <v>1</v>
      </c>
    </row>
    <row r="3926">
      <c r="A3926" s="87" t="str">
        <f>IFERROR(__xludf.DUMMYFUNCTION("""COMPUTED_VALUE"""),"ITBISA-SENSOR-ULTRASONIK-HCSR04")</f>
        <v>ITBISA-SENSOR-ULTRASONIK-HCSR04</v>
      </c>
      <c r="B3926" s="165">
        <f>IFERROR(__xludf.DUMMYFUNCTION("""COMPUTED_VALUE"""),46136.0)</f>
        <v>46136</v>
      </c>
      <c r="C3926" s="165" t="str">
        <f>IFERROR(__xludf.DUMMYFUNCTION("""COMPUTED_VALUE"""),"KYAI KONTONG")</f>
        <v>KYAI KONTONG</v>
      </c>
      <c r="D3926" s="94">
        <f>IFERROR(__xludf.DUMMYFUNCTION("""COMPUTED_VALUE"""),1.0)</f>
        <v>1</v>
      </c>
    </row>
    <row r="3927">
      <c r="A3927" s="87" t="str">
        <f>IFERROR(__xludf.DUMMYFUNCTION("""COMPUTED_VALUE"""),"ITBISA-SENSOR-ULTRASONIK-HCSR04")</f>
        <v>ITBISA-SENSOR-ULTRASONIK-HCSR04</v>
      </c>
      <c r="B3927" s="165">
        <f>IFERROR(__xludf.DUMMYFUNCTION("""COMPUTED_VALUE"""),46137.0)</f>
        <v>46137</v>
      </c>
      <c r="C3927" s="165" t="str">
        <f>IFERROR(__xludf.DUMMYFUNCTION("""COMPUTED_VALUE"""),"KYAI KONTONG")</f>
        <v>KYAI KONTONG</v>
      </c>
      <c r="D3927" s="94">
        <f>IFERROR(__xludf.DUMMYFUNCTION("""COMPUTED_VALUE"""),1.0)</f>
        <v>1</v>
      </c>
    </row>
    <row r="3928">
      <c r="A3928" s="87" t="str">
        <f>IFERROR(__xludf.DUMMYFUNCTION("""COMPUTED_VALUE"""),"ITBISA-SENSOR-ULTRASONIK-HCSR04")</f>
        <v>ITBISA-SENSOR-ULTRASONIK-HCSR04</v>
      </c>
      <c r="B3928" s="165">
        <f>IFERROR(__xludf.DUMMYFUNCTION("""COMPUTED_VALUE"""),46138.0)</f>
        <v>46138</v>
      </c>
      <c r="C3928" s="165" t="str">
        <f>IFERROR(__xludf.DUMMYFUNCTION("""COMPUTED_VALUE"""),"KYAI KONTONG")</f>
        <v>KYAI KONTONG</v>
      </c>
      <c r="D3928" s="94">
        <f>IFERROR(__xludf.DUMMYFUNCTION("""COMPUTED_VALUE"""),1.0)</f>
        <v>1</v>
      </c>
    </row>
    <row r="3929">
      <c r="A3929" s="87" t="str">
        <f>IFERROR(__xludf.DUMMYFUNCTION("""COMPUTED_VALUE"""),"ITBISA-SENSOR-ULTRASONIK-HCSR04")</f>
        <v>ITBISA-SENSOR-ULTRASONIK-HCSR04</v>
      </c>
      <c r="B3929" s="165">
        <f>IFERROR(__xludf.DUMMYFUNCTION("""COMPUTED_VALUE"""),46142.0)</f>
        <v>46142</v>
      </c>
      <c r="C3929" s="165" t="str">
        <f>IFERROR(__xludf.DUMMYFUNCTION("""COMPUTED_VALUE"""),"KYAI KONTONG")</f>
        <v>KYAI KONTONG</v>
      </c>
      <c r="D3929" s="94">
        <f>IFERROR(__xludf.DUMMYFUNCTION("""COMPUTED_VALUE"""),1.0)</f>
        <v>1</v>
      </c>
    </row>
    <row r="3930">
      <c r="A3930" s="87" t="str">
        <f>IFERROR(__xludf.DUMMYFUNCTION("""COMPUTED_VALUE"""),"ITBISA-SENSOR-ULTRASONIK-HCSR04")</f>
        <v>ITBISA-SENSOR-ULTRASONIK-HCSR04</v>
      </c>
      <c r="B3930" s="165">
        <f>IFERROR(__xludf.DUMMYFUNCTION("""COMPUTED_VALUE"""),46142.0)</f>
        <v>46142</v>
      </c>
      <c r="C3930" s="165" t="str">
        <f>IFERROR(__xludf.DUMMYFUNCTION("""COMPUTED_VALUE"""),"KYAI KONTONG")</f>
        <v>KYAI KONTONG</v>
      </c>
      <c r="D3930" s="94">
        <f>IFERROR(__xludf.DUMMYFUNCTION("""COMPUTED_VALUE"""),1.0)</f>
        <v>1</v>
      </c>
    </row>
    <row r="3931">
      <c r="A3931" s="87" t="str">
        <f>IFERROR(__xludf.DUMMYFUNCTION("""COMPUTED_VALUE"""),"ITBISA-SENSOR-ULTRASONIK-HCSR04")</f>
        <v>ITBISA-SENSOR-ULTRASONIK-HCSR04</v>
      </c>
      <c r="B3931" s="165">
        <f>IFERROR(__xludf.DUMMYFUNCTION("""COMPUTED_VALUE"""),46142.0)</f>
        <v>46142</v>
      </c>
      <c r="C3931" s="165" t="str">
        <f>IFERROR(__xludf.DUMMYFUNCTION("""COMPUTED_VALUE"""),"KYAI KONTONG")</f>
        <v>KYAI KONTONG</v>
      </c>
      <c r="D3931" s="94">
        <f>IFERROR(__xludf.DUMMYFUNCTION("""COMPUTED_VALUE"""),2.0)</f>
        <v>2</v>
      </c>
    </row>
    <row r="3932">
      <c r="A3932" s="87" t="str">
        <f>IFERROR(__xludf.DUMMYFUNCTION("""COMPUTED_VALUE"""),"ITBISA-SENSOR-ULTRASONIK-HCSR04")</f>
        <v>ITBISA-SENSOR-ULTRASONIK-HCSR04</v>
      </c>
      <c r="B3932" s="165">
        <f>IFERROR(__xludf.DUMMYFUNCTION("""COMPUTED_VALUE"""),46144.0)</f>
        <v>46144</v>
      </c>
      <c r="C3932" s="165" t="str">
        <f>IFERROR(__xludf.DUMMYFUNCTION("""COMPUTED_VALUE"""),"KYAI KONTONG")</f>
        <v>KYAI KONTONG</v>
      </c>
      <c r="D3932" s="94">
        <f>IFERROR(__xludf.DUMMYFUNCTION("""COMPUTED_VALUE"""),2.0)</f>
        <v>2</v>
      </c>
    </row>
    <row r="3933">
      <c r="A3933" s="87" t="str">
        <f>IFERROR(__xludf.DUMMYFUNCTION("""COMPUTED_VALUE"""),"ITBISA-SENSOR-ULTRASONIK-HCSR04")</f>
        <v>ITBISA-SENSOR-ULTRASONIK-HCSR04</v>
      </c>
      <c r="B3933" s="165">
        <f>IFERROR(__xludf.DUMMYFUNCTION("""COMPUTED_VALUE"""),46144.0)</f>
        <v>46144</v>
      </c>
      <c r="C3933" s="165" t="str">
        <f>IFERROR(__xludf.DUMMYFUNCTION("""COMPUTED_VALUE"""),"KYAI KONTONG")</f>
        <v>KYAI KONTONG</v>
      </c>
      <c r="D3933" s="94">
        <f>IFERROR(__xludf.DUMMYFUNCTION("""COMPUTED_VALUE"""),8.0)</f>
        <v>8</v>
      </c>
    </row>
    <row r="3934">
      <c r="A3934" s="87" t="str">
        <f>IFERROR(__xludf.DUMMYFUNCTION("""COMPUTED_VALUE"""),"ITBISA-SENSOR-ULTRASONIK-HCSR04")</f>
        <v>ITBISA-SENSOR-ULTRASONIK-HCSR04</v>
      </c>
      <c r="B3934" s="165">
        <f>IFERROR(__xludf.DUMMYFUNCTION("""COMPUTED_VALUE"""),46146.0)</f>
        <v>46146</v>
      </c>
      <c r="C3934" s="165" t="str">
        <f>IFERROR(__xludf.DUMMYFUNCTION("""COMPUTED_VALUE"""),"KYAI KONTONG")</f>
        <v>KYAI KONTONG</v>
      </c>
      <c r="D3934" s="94">
        <f>IFERROR(__xludf.DUMMYFUNCTION("""COMPUTED_VALUE"""),1.0)</f>
        <v>1</v>
      </c>
    </row>
    <row r="3935">
      <c r="A3935" s="87" t="str">
        <f>IFERROR(__xludf.DUMMYFUNCTION("""COMPUTED_VALUE"""),"ITBISA-SENSOR-ULTRASONIK-HCSR04")</f>
        <v>ITBISA-SENSOR-ULTRASONIK-HCSR04</v>
      </c>
      <c r="B3935" s="165">
        <f>IFERROR(__xludf.DUMMYFUNCTION("""COMPUTED_VALUE"""),46146.0)</f>
        <v>46146</v>
      </c>
      <c r="C3935" s="165" t="str">
        <f>IFERROR(__xludf.DUMMYFUNCTION("""COMPUTED_VALUE"""),"KYAI KONTONG")</f>
        <v>KYAI KONTONG</v>
      </c>
      <c r="D3935" s="94">
        <f>IFERROR(__xludf.DUMMYFUNCTION("""COMPUTED_VALUE"""),25.0)</f>
        <v>25</v>
      </c>
    </row>
    <row r="3936">
      <c r="A3936" s="87" t="str">
        <f>IFERROR(__xludf.DUMMYFUNCTION("""COMPUTED_VALUE"""),"ITBISA-SENSOR-ULTRASONIK-HCSR04")</f>
        <v>ITBISA-SENSOR-ULTRASONIK-HCSR04</v>
      </c>
      <c r="B3936" s="165">
        <f>IFERROR(__xludf.DUMMYFUNCTION("""COMPUTED_VALUE"""),46147.0)</f>
        <v>46147</v>
      </c>
      <c r="C3936" s="165" t="str">
        <f>IFERROR(__xludf.DUMMYFUNCTION("""COMPUTED_VALUE"""),"KYAI KONTONG")</f>
        <v>KYAI KONTONG</v>
      </c>
      <c r="D3936" s="94">
        <f>IFERROR(__xludf.DUMMYFUNCTION("""COMPUTED_VALUE"""),1.0)</f>
        <v>1</v>
      </c>
    </row>
    <row r="3937">
      <c r="A3937" s="87" t="str">
        <f>IFERROR(__xludf.DUMMYFUNCTION("""COMPUTED_VALUE"""),"ITBISA-SENSOR-ULTRASONIK-HCSR04")</f>
        <v>ITBISA-SENSOR-ULTRASONIK-HCSR04</v>
      </c>
      <c r="B3937" s="165">
        <f>IFERROR(__xludf.DUMMYFUNCTION("""COMPUTED_VALUE"""),46147.0)</f>
        <v>46147</v>
      </c>
      <c r="C3937" s="165" t="str">
        <f>IFERROR(__xludf.DUMMYFUNCTION("""COMPUTED_VALUE"""),"KYAI KONTONG")</f>
        <v>KYAI KONTONG</v>
      </c>
      <c r="D3937" s="94">
        <f>IFERROR(__xludf.DUMMYFUNCTION("""COMPUTED_VALUE"""),2.0)</f>
        <v>2</v>
      </c>
    </row>
    <row r="3938">
      <c r="A3938" s="87" t="str">
        <f>IFERROR(__xludf.DUMMYFUNCTION("""COMPUTED_VALUE"""),"ITBISA-SENSOR-ULTRASONIK-HCSR04")</f>
        <v>ITBISA-SENSOR-ULTRASONIK-HCSR04</v>
      </c>
      <c r="B3938" s="165">
        <f>IFERROR(__xludf.DUMMYFUNCTION("""COMPUTED_VALUE"""),46151.0)</f>
        <v>46151</v>
      </c>
      <c r="C3938" s="165" t="str">
        <f>IFERROR(__xludf.DUMMYFUNCTION("""COMPUTED_VALUE"""),"KYAI KONTONG")</f>
        <v>KYAI KONTONG</v>
      </c>
      <c r="D3938" s="94">
        <f>IFERROR(__xludf.DUMMYFUNCTION("""COMPUTED_VALUE"""),3.0)</f>
        <v>3</v>
      </c>
    </row>
    <row r="3939">
      <c r="A3939" s="87" t="str">
        <f>IFERROR(__xludf.DUMMYFUNCTION("""COMPUTED_VALUE"""),"ITBISA-SENSOR-ULTRASONIK-HCSR04")</f>
        <v>ITBISA-SENSOR-ULTRASONIK-HCSR04</v>
      </c>
      <c r="B3939" s="165">
        <f>IFERROR(__xludf.DUMMYFUNCTION("""COMPUTED_VALUE"""),46152.0)</f>
        <v>46152</v>
      </c>
      <c r="C3939" s="165" t="str">
        <f>IFERROR(__xludf.DUMMYFUNCTION("""COMPUTED_VALUE"""),"KYAI KONTONG")</f>
        <v>KYAI KONTONG</v>
      </c>
      <c r="D3939" s="94">
        <f>IFERROR(__xludf.DUMMYFUNCTION("""COMPUTED_VALUE"""),10.0)</f>
        <v>10</v>
      </c>
    </row>
    <row r="3940">
      <c r="A3940" s="87" t="str">
        <f>IFERROR(__xludf.DUMMYFUNCTION("""COMPUTED_VALUE"""),"ITBISA-SENSOR-ULTRASONIK-HCSR04")</f>
        <v>ITBISA-SENSOR-ULTRASONIK-HCSR04</v>
      </c>
      <c r="B3940" s="165">
        <f>IFERROR(__xludf.DUMMYFUNCTION("""COMPUTED_VALUE"""),46155.0)</f>
        <v>46155</v>
      </c>
      <c r="C3940" s="165" t="str">
        <f>IFERROR(__xludf.DUMMYFUNCTION("""COMPUTED_VALUE"""),"KYAI KONTONG")</f>
        <v>KYAI KONTONG</v>
      </c>
      <c r="D3940" s="94">
        <f>IFERROR(__xludf.DUMMYFUNCTION("""COMPUTED_VALUE"""),1.0)</f>
        <v>1</v>
      </c>
    </row>
    <row r="3941">
      <c r="A3941" s="87" t="str">
        <f>IFERROR(__xludf.DUMMYFUNCTION("""COMPUTED_VALUE"""),"ITBISA-SENSOR-ULTRASONIK-HCSR04")</f>
        <v>ITBISA-SENSOR-ULTRASONIK-HCSR04</v>
      </c>
      <c r="B3941" s="165">
        <f>IFERROR(__xludf.DUMMYFUNCTION("""COMPUTED_VALUE"""),46157.0)</f>
        <v>46157</v>
      </c>
      <c r="C3941" s="165" t="str">
        <f>IFERROR(__xludf.DUMMYFUNCTION("""COMPUTED_VALUE"""),"KYAI KONTONG")</f>
        <v>KYAI KONTONG</v>
      </c>
      <c r="D3941" s="94">
        <f>IFERROR(__xludf.DUMMYFUNCTION("""COMPUTED_VALUE"""),1.0)</f>
        <v>1</v>
      </c>
    </row>
    <row r="3942">
      <c r="A3942" s="87" t="str">
        <f>IFERROR(__xludf.DUMMYFUNCTION("""COMPUTED_VALUE"""),"ITBISA-SENSOR-ULTRASONIK-HCSR04")</f>
        <v>ITBISA-SENSOR-ULTRASONIK-HCSR04</v>
      </c>
      <c r="B3942" s="165">
        <f>IFERROR(__xludf.DUMMYFUNCTION("""COMPUTED_VALUE"""),46167.0)</f>
        <v>46167</v>
      </c>
      <c r="C3942" s="165" t="str">
        <f>IFERROR(__xludf.DUMMYFUNCTION("""COMPUTED_VALUE"""),"KYAI KONTONG")</f>
        <v>KYAI KONTONG</v>
      </c>
      <c r="D3942" s="94">
        <f>IFERROR(__xludf.DUMMYFUNCTION("""COMPUTED_VALUE"""),1.0)</f>
        <v>1</v>
      </c>
    </row>
    <row r="3943">
      <c r="A3943" s="87" t="str">
        <f>IFERROR(__xludf.DUMMYFUNCTION("""COMPUTED_VALUE"""),"ITBISA-SENSOR-ULTRASONIK-HCSR04")</f>
        <v>ITBISA-SENSOR-ULTRASONIK-HCSR04</v>
      </c>
      <c r="B3943" s="165">
        <f>IFERROR(__xludf.DUMMYFUNCTION("""COMPUTED_VALUE"""),46168.0)</f>
        <v>46168</v>
      </c>
      <c r="C3943" s="165" t="str">
        <f>IFERROR(__xludf.DUMMYFUNCTION("""COMPUTED_VALUE"""),"KYAI KONTONG")</f>
        <v>KYAI KONTONG</v>
      </c>
      <c r="D3943" s="94">
        <f>IFERROR(__xludf.DUMMYFUNCTION("""COMPUTED_VALUE"""),1.0)</f>
        <v>1</v>
      </c>
    </row>
    <row r="3944">
      <c r="A3944" s="87" t="str">
        <f>IFERROR(__xludf.DUMMYFUNCTION("""COMPUTED_VALUE"""),"ITBISA-SENSOR-ULTRASONIK-HCSR04")</f>
        <v>ITBISA-SENSOR-ULTRASONIK-HCSR04</v>
      </c>
      <c r="B3944" s="165">
        <f>IFERROR(__xludf.DUMMYFUNCTION("""COMPUTED_VALUE"""),46170.0)</f>
        <v>46170</v>
      </c>
      <c r="C3944" s="165" t="str">
        <f>IFERROR(__xludf.DUMMYFUNCTION("""COMPUTED_VALUE"""),"KYAI KONTONG")</f>
        <v>KYAI KONTONG</v>
      </c>
      <c r="D3944" s="94">
        <f>IFERROR(__xludf.DUMMYFUNCTION("""COMPUTED_VALUE"""),1.0)</f>
        <v>1</v>
      </c>
    </row>
    <row r="3945">
      <c r="A3945" s="87" t="str">
        <f>IFERROR(__xludf.DUMMYFUNCTION("""COMPUTED_VALUE"""),"ITBISA-SENSOR-ULTRASONIK-HCSR04")</f>
        <v>ITBISA-SENSOR-ULTRASONIK-HCSR04</v>
      </c>
      <c r="B3945" s="165">
        <f>IFERROR(__xludf.DUMMYFUNCTION("""COMPUTED_VALUE"""),46171.0)</f>
        <v>46171</v>
      </c>
      <c r="C3945" s="165" t="str">
        <f>IFERROR(__xludf.DUMMYFUNCTION("""COMPUTED_VALUE"""),"KYAI KONTONG")</f>
        <v>KYAI KONTONG</v>
      </c>
      <c r="D3945" s="94">
        <f>IFERROR(__xludf.DUMMYFUNCTION("""COMPUTED_VALUE"""),1.0)</f>
        <v>1</v>
      </c>
    </row>
    <row r="3946">
      <c r="A3946" s="87" t="str">
        <f>IFERROR(__xludf.DUMMYFUNCTION("""COMPUTED_VALUE"""),"ITBISA-SENSOR-ULTRASONIK-HCSR04")</f>
        <v>ITBISA-SENSOR-ULTRASONIK-HCSR04</v>
      </c>
      <c r="B3946" s="165">
        <f>IFERROR(__xludf.DUMMYFUNCTION("""COMPUTED_VALUE"""),46172.0)</f>
        <v>46172</v>
      </c>
      <c r="C3946" s="165" t="str">
        <f>IFERROR(__xludf.DUMMYFUNCTION("""COMPUTED_VALUE"""),"KYAI KONTONG")</f>
        <v>KYAI KONTONG</v>
      </c>
      <c r="D3946" s="94">
        <f>IFERROR(__xludf.DUMMYFUNCTION("""COMPUTED_VALUE"""),1.0)</f>
        <v>1</v>
      </c>
    </row>
    <row r="3947">
      <c r="A3947" s="87" t="str">
        <f>IFERROR(__xludf.DUMMYFUNCTION("""COMPUTED_VALUE"""),"ITBISA-SENSOR-ULTRASONIK-HCSR04")</f>
        <v>ITBISA-SENSOR-ULTRASONIK-HCSR04</v>
      </c>
      <c r="B3947" s="165">
        <f>IFERROR(__xludf.DUMMYFUNCTION("""COMPUTED_VALUE"""),46173.0)</f>
        <v>46173</v>
      </c>
      <c r="C3947" s="165" t="str">
        <f>IFERROR(__xludf.DUMMYFUNCTION("""COMPUTED_VALUE"""),"KYAI KONTONG")</f>
        <v>KYAI KONTONG</v>
      </c>
      <c r="D3947" s="94">
        <f>IFERROR(__xludf.DUMMYFUNCTION("""COMPUTED_VALUE"""),8.0)</f>
        <v>8</v>
      </c>
    </row>
    <row r="3948">
      <c r="A3948" s="87" t="str">
        <f>IFERROR(__xludf.DUMMYFUNCTION("""COMPUTED_VALUE"""),"ITBISA-SENSOR-ULTRASONIK-HCSR04")</f>
        <v>ITBISA-SENSOR-ULTRASONIK-HCSR04</v>
      </c>
      <c r="B3948" s="165">
        <f>IFERROR(__xludf.DUMMYFUNCTION("""COMPUTED_VALUE"""),46175.0)</f>
        <v>46175</v>
      </c>
      <c r="C3948" s="165" t="str">
        <f>IFERROR(__xludf.DUMMYFUNCTION("""COMPUTED_VALUE"""),"KYAI KONTONG")</f>
        <v>KYAI KONTONG</v>
      </c>
      <c r="D3948" s="94">
        <f>IFERROR(__xludf.DUMMYFUNCTION("""COMPUTED_VALUE"""),2.0)</f>
        <v>2</v>
      </c>
    </row>
    <row r="3949">
      <c r="A3949" s="87" t="str">
        <f>IFERROR(__xludf.DUMMYFUNCTION("""COMPUTED_VALUE"""),"ITBISA-SENSOR-ULTRASONIK-HCSR04")</f>
        <v>ITBISA-SENSOR-ULTRASONIK-HCSR04</v>
      </c>
      <c r="B3949" s="165">
        <f>IFERROR(__xludf.DUMMYFUNCTION("""COMPUTED_VALUE"""),46177.0)</f>
        <v>46177</v>
      </c>
      <c r="C3949" s="165" t="str">
        <f>IFERROR(__xludf.DUMMYFUNCTION("""COMPUTED_VALUE"""),"KYAI KONTONG")</f>
        <v>KYAI KONTONG</v>
      </c>
      <c r="D3949" s="94">
        <f>IFERROR(__xludf.DUMMYFUNCTION("""COMPUTED_VALUE"""),2.0)</f>
        <v>2</v>
      </c>
    </row>
    <row r="3950">
      <c r="A3950" s="87" t="str">
        <f>IFERROR(__xludf.DUMMYFUNCTION("""COMPUTED_VALUE"""),"ITBISA-SENSOR-ULTRASONIK-HCSR04")</f>
        <v>ITBISA-SENSOR-ULTRASONIK-HCSR04</v>
      </c>
      <c r="B3950" s="165">
        <f>IFERROR(__xludf.DUMMYFUNCTION("""COMPUTED_VALUE"""),46179.0)</f>
        <v>46179</v>
      </c>
      <c r="C3950" s="165" t="str">
        <f>IFERROR(__xludf.DUMMYFUNCTION("""COMPUTED_VALUE"""),"KYAI KONTONG")</f>
        <v>KYAI KONTONG</v>
      </c>
      <c r="D3950" s="94">
        <f>IFERROR(__xludf.DUMMYFUNCTION("""COMPUTED_VALUE"""),1.0)</f>
        <v>1</v>
      </c>
    </row>
    <row r="3951">
      <c r="A3951" s="87" t="str">
        <f>IFERROR(__xludf.DUMMYFUNCTION("""COMPUTED_VALUE"""),"ITBISA-SENSOR-ULTRASONIK-HCSR04")</f>
        <v>ITBISA-SENSOR-ULTRASONIK-HCSR04</v>
      </c>
      <c r="B3951" s="165">
        <f>IFERROR(__xludf.DUMMYFUNCTION("""COMPUTED_VALUE"""),46181.0)</f>
        <v>46181</v>
      </c>
      <c r="C3951" s="165" t="str">
        <f>IFERROR(__xludf.DUMMYFUNCTION("""COMPUTED_VALUE"""),"KYAI KONTONG")</f>
        <v>KYAI KONTONG</v>
      </c>
      <c r="D3951" s="94">
        <f>IFERROR(__xludf.DUMMYFUNCTION("""COMPUTED_VALUE"""),1.0)</f>
        <v>1</v>
      </c>
    </row>
    <row r="3952">
      <c r="A3952" s="87" t="str">
        <f>IFERROR(__xludf.DUMMYFUNCTION("""COMPUTED_VALUE"""),"ITBISA-SENSOR-ULTRASONIK-HCSR04")</f>
        <v>ITBISA-SENSOR-ULTRASONIK-HCSR04</v>
      </c>
      <c r="B3952" s="165">
        <f>IFERROR(__xludf.DUMMYFUNCTION("""COMPUTED_VALUE"""),46182.0)</f>
        <v>46182</v>
      </c>
      <c r="C3952" s="165" t="str">
        <f>IFERROR(__xludf.DUMMYFUNCTION("""COMPUTED_VALUE"""),"KYAI KONTONG")</f>
        <v>KYAI KONTONG</v>
      </c>
      <c r="D3952" s="94">
        <f>IFERROR(__xludf.DUMMYFUNCTION("""COMPUTED_VALUE"""),1.0)</f>
        <v>1</v>
      </c>
    </row>
    <row r="3953">
      <c r="A3953" s="87" t="str">
        <f>IFERROR(__xludf.DUMMYFUNCTION("""COMPUTED_VALUE"""),"ITBISA-SENSOR-ULTRASONIK-HCSR04")</f>
        <v>ITBISA-SENSOR-ULTRASONIK-HCSR04</v>
      </c>
      <c r="B3953" s="165">
        <f>IFERROR(__xludf.DUMMYFUNCTION("""COMPUTED_VALUE"""),46182.0)</f>
        <v>46182</v>
      </c>
      <c r="C3953" s="165" t="str">
        <f>IFERROR(__xludf.DUMMYFUNCTION("""COMPUTED_VALUE"""),"KYAI KONTONG")</f>
        <v>KYAI KONTONG</v>
      </c>
      <c r="D3953" s="94">
        <f>IFERROR(__xludf.DUMMYFUNCTION("""COMPUTED_VALUE"""),1.0)</f>
        <v>1</v>
      </c>
    </row>
    <row r="3954">
      <c r="A3954" s="87" t="str">
        <f>IFERROR(__xludf.DUMMYFUNCTION("""COMPUTED_VALUE"""),"ITBISA-SERVO-CHECKER")</f>
        <v>ITBISA-SERVO-CHECKER</v>
      </c>
      <c r="B3954" s="165">
        <f>IFERROR(__xludf.DUMMYFUNCTION("""COMPUTED_VALUE"""),46023.0)</f>
        <v>46023</v>
      </c>
      <c r="C3954" s="165" t="str">
        <f>IFERROR(__xludf.DUMMYFUNCTION("""COMPUTED_VALUE"""),"KYAI KONTONG")</f>
        <v>KYAI KONTONG</v>
      </c>
      <c r="D3954" s="94">
        <f>IFERROR(__xludf.DUMMYFUNCTION("""COMPUTED_VALUE"""),1.0)</f>
        <v>1</v>
      </c>
    </row>
    <row r="3955">
      <c r="A3955" s="87" t="str">
        <f>IFERROR(__xludf.DUMMYFUNCTION("""COMPUTED_VALUE"""),"ITBISA-SERVO-CHECKER")</f>
        <v>ITBISA-SERVO-CHECKER</v>
      </c>
      <c r="B3955" s="165">
        <f>IFERROR(__xludf.DUMMYFUNCTION("""COMPUTED_VALUE"""),46030.0)</f>
        <v>46030</v>
      </c>
      <c r="C3955" s="165" t="str">
        <f>IFERROR(__xludf.DUMMYFUNCTION("""COMPUTED_VALUE"""),"KYAI KONTONG")</f>
        <v>KYAI KONTONG</v>
      </c>
      <c r="D3955" s="94">
        <f>IFERROR(__xludf.DUMMYFUNCTION("""COMPUTED_VALUE"""),1.0)</f>
        <v>1</v>
      </c>
    </row>
    <row r="3956">
      <c r="A3956" s="87" t="str">
        <f>IFERROR(__xludf.DUMMYFUNCTION("""COMPUTED_VALUE"""),"ITBISA-SERVO-CHECKER")</f>
        <v>ITBISA-SERVO-CHECKER</v>
      </c>
      <c r="B3956" s="165">
        <f>IFERROR(__xludf.DUMMYFUNCTION("""COMPUTED_VALUE"""),46049.0)</f>
        <v>46049</v>
      </c>
      <c r="C3956" s="165" t="str">
        <f>IFERROR(__xludf.DUMMYFUNCTION("""COMPUTED_VALUE"""),"KYAI KONTONG")</f>
        <v>KYAI KONTONG</v>
      </c>
      <c r="D3956" s="94">
        <f>IFERROR(__xludf.DUMMYFUNCTION("""COMPUTED_VALUE"""),1.0)</f>
        <v>1</v>
      </c>
    </row>
    <row r="3957">
      <c r="A3957" s="87" t="str">
        <f>IFERROR(__xludf.DUMMYFUNCTION("""COMPUTED_VALUE"""),"ITBISA-SERVO-CHECKER")</f>
        <v>ITBISA-SERVO-CHECKER</v>
      </c>
      <c r="B3957" s="165">
        <f>IFERROR(__xludf.DUMMYFUNCTION("""COMPUTED_VALUE"""),46051.0)</f>
        <v>46051</v>
      </c>
      <c r="C3957" s="165" t="str">
        <f>IFERROR(__xludf.DUMMYFUNCTION("""COMPUTED_VALUE"""),"KYAI KONTONG")</f>
        <v>KYAI KONTONG</v>
      </c>
      <c r="D3957" s="94">
        <f>IFERROR(__xludf.DUMMYFUNCTION("""COMPUTED_VALUE"""),1.0)</f>
        <v>1</v>
      </c>
    </row>
    <row r="3958">
      <c r="A3958" s="87" t="str">
        <f>IFERROR(__xludf.DUMMYFUNCTION("""COMPUTED_VALUE"""),"ITBISA-SERVO-CHECKER")</f>
        <v>ITBISA-SERVO-CHECKER</v>
      </c>
      <c r="B3958" s="165">
        <f>IFERROR(__xludf.DUMMYFUNCTION("""COMPUTED_VALUE"""),46053.0)</f>
        <v>46053</v>
      </c>
      <c r="C3958" s="165" t="str">
        <f>IFERROR(__xludf.DUMMYFUNCTION("""COMPUTED_VALUE"""),"KYAI KONTONG")</f>
        <v>KYAI KONTONG</v>
      </c>
      <c r="D3958" s="94">
        <f>IFERROR(__xludf.DUMMYFUNCTION("""COMPUTED_VALUE"""),1.0)</f>
        <v>1</v>
      </c>
    </row>
    <row r="3959">
      <c r="A3959" s="87" t="str">
        <f>IFERROR(__xludf.DUMMYFUNCTION("""COMPUTED_VALUE"""),"ITBISA-SERVO-CHECKER")</f>
        <v>ITBISA-SERVO-CHECKER</v>
      </c>
      <c r="B3959" s="165">
        <f>IFERROR(__xludf.DUMMYFUNCTION("""COMPUTED_VALUE"""),46054.0)</f>
        <v>46054</v>
      </c>
      <c r="C3959" s="165" t="str">
        <f>IFERROR(__xludf.DUMMYFUNCTION("""COMPUTED_VALUE"""),"KYAI KONTONG")</f>
        <v>KYAI KONTONG</v>
      </c>
      <c r="D3959" s="94">
        <f>IFERROR(__xludf.DUMMYFUNCTION("""COMPUTED_VALUE"""),1.0)</f>
        <v>1</v>
      </c>
    </row>
    <row r="3960">
      <c r="A3960" s="87" t="str">
        <f>IFERROR(__xludf.DUMMYFUNCTION("""COMPUTED_VALUE"""),"ITBISA-SERVO-CHECKER")</f>
        <v>ITBISA-SERVO-CHECKER</v>
      </c>
      <c r="B3960" s="165">
        <f>IFERROR(__xludf.DUMMYFUNCTION("""COMPUTED_VALUE"""),46058.0)</f>
        <v>46058</v>
      </c>
      <c r="C3960" s="165" t="str">
        <f>IFERROR(__xludf.DUMMYFUNCTION("""COMPUTED_VALUE"""),"KYAI KONTONG")</f>
        <v>KYAI KONTONG</v>
      </c>
      <c r="D3960" s="94">
        <f>IFERROR(__xludf.DUMMYFUNCTION("""COMPUTED_VALUE"""),1.0)</f>
        <v>1</v>
      </c>
    </row>
    <row r="3961">
      <c r="A3961" s="87" t="str">
        <f>IFERROR(__xludf.DUMMYFUNCTION("""COMPUTED_VALUE"""),"ITBISA-SERVO-CHECKER")</f>
        <v>ITBISA-SERVO-CHECKER</v>
      </c>
      <c r="B3961" s="165">
        <f>IFERROR(__xludf.DUMMYFUNCTION("""COMPUTED_VALUE"""),46062.0)</f>
        <v>46062</v>
      </c>
      <c r="C3961" s="165" t="str">
        <f>IFERROR(__xludf.DUMMYFUNCTION("""COMPUTED_VALUE"""),"KYAI KONTONG")</f>
        <v>KYAI KONTONG</v>
      </c>
      <c r="D3961" s="94">
        <f>IFERROR(__xludf.DUMMYFUNCTION("""COMPUTED_VALUE"""),1.0)</f>
        <v>1</v>
      </c>
    </row>
    <row r="3962">
      <c r="A3962" s="87" t="str">
        <f>IFERROR(__xludf.DUMMYFUNCTION("""COMPUTED_VALUE"""),"ITBISA-SERVO-CHECKER")</f>
        <v>ITBISA-SERVO-CHECKER</v>
      </c>
      <c r="B3962" s="165">
        <f>IFERROR(__xludf.DUMMYFUNCTION("""COMPUTED_VALUE"""),46063.0)</f>
        <v>46063</v>
      </c>
      <c r="C3962" s="165" t="str">
        <f>IFERROR(__xludf.DUMMYFUNCTION("""COMPUTED_VALUE"""),"KYAI KONTONG")</f>
        <v>KYAI KONTONG</v>
      </c>
      <c r="D3962" s="94">
        <f>IFERROR(__xludf.DUMMYFUNCTION("""COMPUTED_VALUE"""),1.0)</f>
        <v>1</v>
      </c>
    </row>
    <row r="3963">
      <c r="A3963" s="87" t="str">
        <f>IFERROR(__xludf.DUMMYFUNCTION("""COMPUTED_VALUE"""),"ITBISA-SERVO-CHECKER")</f>
        <v>ITBISA-SERVO-CHECKER</v>
      </c>
      <c r="B3963" s="165">
        <f>IFERROR(__xludf.DUMMYFUNCTION("""COMPUTED_VALUE"""),46071.0)</f>
        <v>46071</v>
      </c>
      <c r="C3963" s="165" t="str">
        <f>IFERROR(__xludf.DUMMYFUNCTION("""COMPUTED_VALUE"""),"KYAI KONTONG")</f>
        <v>KYAI KONTONG</v>
      </c>
      <c r="D3963" s="94">
        <f>IFERROR(__xludf.DUMMYFUNCTION("""COMPUTED_VALUE"""),1.0)</f>
        <v>1</v>
      </c>
    </row>
    <row r="3964">
      <c r="A3964" s="87" t="str">
        <f>IFERROR(__xludf.DUMMYFUNCTION("""COMPUTED_VALUE"""),"ITBISA-SERVO-CHECKER")</f>
        <v>ITBISA-SERVO-CHECKER</v>
      </c>
      <c r="B3964" s="165">
        <f>IFERROR(__xludf.DUMMYFUNCTION("""COMPUTED_VALUE"""),46078.0)</f>
        <v>46078</v>
      </c>
      <c r="C3964" s="165" t="str">
        <f>IFERROR(__xludf.DUMMYFUNCTION("""COMPUTED_VALUE"""),"KYAI KONTONG")</f>
        <v>KYAI KONTONG</v>
      </c>
      <c r="D3964" s="94">
        <f>IFERROR(__xludf.DUMMYFUNCTION("""COMPUTED_VALUE"""),2.0)</f>
        <v>2</v>
      </c>
    </row>
    <row r="3965">
      <c r="A3965" s="87" t="str">
        <f>IFERROR(__xludf.DUMMYFUNCTION("""COMPUTED_VALUE"""),"ITBISA-SERVO-CHECKER")</f>
        <v>ITBISA-SERVO-CHECKER</v>
      </c>
      <c r="B3965" s="165">
        <f>IFERROR(__xludf.DUMMYFUNCTION("""COMPUTED_VALUE"""),46088.0)</f>
        <v>46088</v>
      </c>
      <c r="C3965" s="165" t="str">
        <f>IFERROR(__xludf.DUMMYFUNCTION("""COMPUTED_VALUE"""),"KYAI KONTONG")</f>
        <v>KYAI KONTONG</v>
      </c>
      <c r="D3965" s="94">
        <f>IFERROR(__xludf.DUMMYFUNCTION("""COMPUTED_VALUE"""),1.0)</f>
        <v>1</v>
      </c>
    </row>
    <row r="3966">
      <c r="A3966" s="87" t="str">
        <f>IFERROR(__xludf.DUMMYFUNCTION("""COMPUTED_VALUE"""),"ITBISA-SERVO-CHECKER")</f>
        <v>ITBISA-SERVO-CHECKER</v>
      </c>
      <c r="B3966" s="165">
        <f>IFERROR(__xludf.DUMMYFUNCTION("""COMPUTED_VALUE"""),46090.0)</f>
        <v>46090</v>
      </c>
      <c r="C3966" s="165" t="str">
        <f>IFERROR(__xludf.DUMMYFUNCTION("""COMPUTED_VALUE"""),"KYAI KONTONG")</f>
        <v>KYAI KONTONG</v>
      </c>
      <c r="D3966" s="94">
        <f>IFERROR(__xludf.DUMMYFUNCTION("""COMPUTED_VALUE"""),3.0)</f>
        <v>3</v>
      </c>
    </row>
    <row r="3967">
      <c r="A3967" s="87" t="str">
        <f>IFERROR(__xludf.DUMMYFUNCTION("""COMPUTED_VALUE"""),"ITBISA-SERVO-CHECKER")</f>
        <v>ITBISA-SERVO-CHECKER</v>
      </c>
      <c r="B3967" s="165">
        <f>IFERROR(__xludf.DUMMYFUNCTION("""COMPUTED_VALUE"""),46131.0)</f>
        <v>46131</v>
      </c>
      <c r="C3967" s="165" t="str">
        <f>IFERROR(__xludf.DUMMYFUNCTION("""COMPUTED_VALUE"""),"KYAI KONTONG")</f>
        <v>KYAI KONTONG</v>
      </c>
      <c r="D3967" s="94">
        <f>IFERROR(__xludf.DUMMYFUNCTION("""COMPUTED_VALUE"""),1.0)</f>
        <v>1</v>
      </c>
    </row>
    <row r="3968">
      <c r="A3968" s="87" t="str">
        <f>IFERROR(__xludf.DUMMYFUNCTION("""COMPUTED_VALUE"""),"ITBISA-SERVO-CHECKER")</f>
        <v>ITBISA-SERVO-CHECKER</v>
      </c>
      <c r="B3968" s="165">
        <f>IFERROR(__xludf.DUMMYFUNCTION("""COMPUTED_VALUE"""),46136.0)</f>
        <v>46136</v>
      </c>
      <c r="C3968" s="165" t="str">
        <f>IFERROR(__xludf.DUMMYFUNCTION("""COMPUTED_VALUE"""),"KYAI KONTONG")</f>
        <v>KYAI KONTONG</v>
      </c>
      <c r="D3968" s="94">
        <f>IFERROR(__xludf.DUMMYFUNCTION("""COMPUTED_VALUE"""),2.0)</f>
        <v>2</v>
      </c>
    </row>
    <row r="3969">
      <c r="A3969" s="87" t="str">
        <f>IFERROR(__xludf.DUMMYFUNCTION("""COMPUTED_VALUE"""),"ITBISA-SERVO-CHECKER")</f>
        <v>ITBISA-SERVO-CHECKER</v>
      </c>
      <c r="B3969" s="165">
        <f>IFERROR(__xludf.DUMMYFUNCTION("""COMPUTED_VALUE"""),46148.0)</f>
        <v>46148</v>
      </c>
      <c r="C3969" s="165" t="str">
        <f>IFERROR(__xludf.DUMMYFUNCTION("""COMPUTED_VALUE"""),"KYAI KONTONG")</f>
        <v>KYAI KONTONG</v>
      </c>
      <c r="D3969" s="94">
        <f>IFERROR(__xludf.DUMMYFUNCTION("""COMPUTED_VALUE"""),1.0)</f>
        <v>1</v>
      </c>
    </row>
    <row r="3970">
      <c r="A3970" s="87" t="str">
        <f>IFERROR(__xludf.DUMMYFUNCTION("""COMPUTED_VALUE"""),"ITBISA-SERVO-CHECKER")</f>
        <v>ITBISA-SERVO-CHECKER</v>
      </c>
      <c r="B3970" s="165">
        <f>IFERROR(__xludf.DUMMYFUNCTION("""COMPUTED_VALUE"""),46152.0)</f>
        <v>46152</v>
      </c>
      <c r="C3970" s="165" t="str">
        <f>IFERROR(__xludf.DUMMYFUNCTION("""COMPUTED_VALUE"""),"KYAI KONTONG")</f>
        <v>KYAI KONTONG</v>
      </c>
      <c r="D3970" s="94">
        <f>IFERROR(__xludf.DUMMYFUNCTION("""COMPUTED_VALUE"""),1.0)</f>
        <v>1</v>
      </c>
    </row>
    <row r="3971">
      <c r="A3971" s="87" t="str">
        <f>IFERROR(__xludf.DUMMYFUNCTION("""COMPUTED_VALUE"""),"ITBISA-SERVO-CHECKER")</f>
        <v>ITBISA-SERVO-CHECKER</v>
      </c>
      <c r="B3971" s="165">
        <f>IFERROR(__xludf.DUMMYFUNCTION("""COMPUTED_VALUE"""),46152.0)</f>
        <v>46152</v>
      </c>
      <c r="C3971" s="165" t="str">
        <f>IFERROR(__xludf.DUMMYFUNCTION("""COMPUTED_VALUE"""),"KYAI KONTONG")</f>
        <v>KYAI KONTONG</v>
      </c>
      <c r="D3971" s="94">
        <f>IFERROR(__xludf.DUMMYFUNCTION("""COMPUTED_VALUE"""),1.0)</f>
        <v>1</v>
      </c>
    </row>
    <row r="3972">
      <c r="A3972" s="87" t="str">
        <f>IFERROR(__xludf.DUMMYFUNCTION("""COMPUTED_VALUE"""),"ITBISA-SERVO-CHECKER")</f>
        <v>ITBISA-SERVO-CHECKER</v>
      </c>
      <c r="B3972" s="165">
        <f>IFERROR(__xludf.DUMMYFUNCTION("""COMPUTED_VALUE"""),46152.0)</f>
        <v>46152</v>
      </c>
      <c r="C3972" s="165" t="str">
        <f>IFERROR(__xludf.DUMMYFUNCTION("""COMPUTED_VALUE"""),"KYAI KONTONG")</f>
        <v>KYAI KONTONG</v>
      </c>
      <c r="D3972" s="94">
        <f>IFERROR(__xludf.DUMMYFUNCTION("""COMPUTED_VALUE"""),4.0)</f>
        <v>4</v>
      </c>
    </row>
    <row r="3973">
      <c r="A3973" s="87" t="str">
        <f>IFERROR(__xludf.DUMMYFUNCTION("""COMPUTED_VALUE"""),"ITBISA-SERVO-CHECKER")</f>
        <v>ITBISA-SERVO-CHECKER</v>
      </c>
      <c r="B3973" s="165">
        <f>IFERROR(__xludf.DUMMYFUNCTION("""COMPUTED_VALUE"""),46155.0)</f>
        <v>46155</v>
      </c>
      <c r="C3973" s="165" t="str">
        <f>IFERROR(__xludf.DUMMYFUNCTION("""COMPUTED_VALUE"""),"KYAI KONTONG")</f>
        <v>KYAI KONTONG</v>
      </c>
      <c r="D3973" s="94">
        <f>IFERROR(__xludf.DUMMYFUNCTION("""COMPUTED_VALUE"""),1.0)</f>
        <v>1</v>
      </c>
    </row>
    <row r="3974">
      <c r="A3974" s="87" t="str">
        <f>IFERROR(__xludf.DUMMYFUNCTION("""COMPUTED_VALUE"""),"ITBISA-SERVO-CHECKER")</f>
        <v>ITBISA-SERVO-CHECKER</v>
      </c>
      <c r="B3974" s="165">
        <f>IFERROR(__xludf.DUMMYFUNCTION("""COMPUTED_VALUE"""),46157.0)</f>
        <v>46157</v>
      </c>
      <c r="C3974" s="165" t="str">
        <f>IFERROR(__xludf.DUMMYFUNCTION("""COMPUTED_VALUE"""),"KYAI KONTONG")</f>
        <v>KYAI KONTONG</v>
      </c>
      <c r="D3974" s="94">
        <f>IFERROR(__xludf.DUMMYFUNCTION("""COMPUTED_VALUE"""),2.0)</f>
        <v>2</v>
      </c>
    </row>
    <row r="3975">
      <c r="A3975" s="87" t="str">
        <f>IFERROR(__xludf.DUMMYFUNCTION("""COMPUTED_VALUE"""),"ITBISA-SERVO-CHECKER")</f>
        <v>ITBISA-SERVO-CHECKER</v>
      </c>
      <c r="B3975" s="165">
        <f>IFERROR(__xludf.DUMMYFUNCTION("""COMPUTED_VALUE"""),46195.0)</f>
        <v>46195</v>
      </c>
      <c r="C3975" s="165" t="str">
        <f>IFERROR(__xludf.DUMMYFUNCTION("""COMPUTED_VALUE"""),"KYAI KONTONG")</f>
        <v>KYAI KONTONG</v>
      </c>
      <c r="D3975" s="94">
        <f>IFERROR(__xludf.DUMMYFUNCTION("""COMPUTED_VALUE"""),1.0)</f>
        <v>1</v>
      </c>
    </row>
    <row r="3976">
      <c r="A3976" s="87" t="str">
        <f>IFERROR(__xludf.DUMMYFUNCTION("""COMPUTED_VALUE"""),"ITBISA-SERVO-SG90-180DEG")</f>
        <v>ITBISA-SERVO-SG90-180DEG</v>
      </c>
      <c r="B3976" s="165">
        <f>IFERROR(__xludf.DUMMYFUNCTION("""COMPUTED_VALUE"""),45993.0)</f>
        <v>45993</v>
      </c>
      <c r="C3976" s="165" t="str">
        <f>IFERROR(__xludf.DUMMYFUNCTION("""COMPUTED_VALUE"""),"KYAI KONTONG")</f>
        <v>KYAI KONTONG</v>
      </c>
      <c r="D3976" s="94">
        <f>IFERROR(__xludf.DUMMYFUNCTION("""COMPUTED_VALUE"""),1.0)</f>
        <v>1</v>
      </c>
    </row>
    <row r="3977">
      <c r="A3977" s="87" t="str">
        <f>IFERROR(__xludf.DUMMYFUNCTION("""COMPUTED_VALUE"""),"ITBISA-SERVO-SG90-180DEG")</f>
        <v>ITBISA-SERVO-SG90-180DEG</v>
      </c>
      <c r="B3977" s="165">
        <f>IFERROR(__xludf.DUMMYFUNCTION("""COMPUTED_VALUE"""),46023.0)</f>
        <v>46023</v>
      </c>
      <c r="C3977" s="165" t="str">
        <f>IFERROR(__xludf.DUMMYFUNCTION("""COMPUTED_VALUE"""),"KYAI KONTONG")</f>
        <v>KYAI KONTONG</v>
      </c>
      <c r="D3977" s="94">
        <f>IFERROR(__xludf.DUMMYFUNCTION("""COMPUTED_VALUE"""),1.0)</f>
        <v>1</v>
      </c>
    </row>
    <row r="3978">
      <c r="A3978" s="87" t="str">
        <f>IFERROR(__xludf.DUMMYFUNCTION("""COMPUTED_VALUE"""),"ITBISA-SERVO-SG90-180DEG")</f>
        <v>ITBISA-SERVO-SG90-180DEG</v>
      </c>
      <c r="B3978" s="165">
        <f>IFERROR(__xludf.DUMMYFUNCTION("""COMPUTED_VALUE"""),46028.0)</f>
        <v>46028</v>
      </c>
      <c r="C3978" s="165" t="str">
        <f>IFERROR(__xludf.DUMMYFUNCTION("""COMPUTED_VALUE"""),"KYAI KONTONG")</f>
        <v>KYAI KONTONG</v>
      </c>
      <c r="D3978" s="94">
        <f>IFERROR(__xludf.DUMMYFUNCTION("""COMPUTED_VALUE"""),1.0)</f>
        <v>1</v>
      </c>
    </row>
    <row r="3979">
      <c r="A3979" s="87" t="str">
        <f>IFERROR(__xludf.DUMMYFUNCTION("""COMPUTED_VALUE"""),"ITBISA-SERVO-SG90-180DEG")</f>
        <v>ITBISA-SERVO-SG90-180DEG</v>
      </c>
      <c r="B3979" s="165">
        <f>IFERROR(__xludf.DUMMYFUNCTION("""COMPUTED_VALUE"""),46030.0)</f>
        <v>46030</v>
      </c>
      <c r="C3979" s="165" t="str">
        <f>IFERROR(__xludf.DUMMYFUNCTION("""COMPUTED_VALUE"""),"KYAI KONTONG")</f>
        <v>KYAI KONTONG</v>
      </c>
      <c r="D3979" s="94">
        <f>IFERROR(__xludf.DUMMYFUNCTION("""COMPUTED_VALUE"""),1.0)</f>
        <v>1</v>
      </c>
    </row>
    <row r="3980">
      <c r="A3980" s="87" t="str">
        <f>IFERROR(__xludf.DUMMYFUNCTION("""COMPUTED_VALUE"""),"ITBISA-SERVO-SG90-180DEG")</f>
        <v>ITBISA-SERVO-SG90-180DEG</v>
      </c>
      <c r="B3980" s="165">
        <f>IFERROR(__xludf.DUMMYFUNCTION("""COMPUTED_VALUE"""),46034.0)</f>
        <v>46034</v>
      </c>
      <c r="C3980" s="165" t="str">
        <f>IFERROR(__xludf.DUMMYFUNCTION("""COMPUTED_VALUE"""),"KYAI KONTONG")</f>
        <v>KYAI KONTONG</v>
      </c>
      <c r="D3980" s="94">
        <f>IFERROR(__xludf.DUMMYFUNCTION("""COMPUTED_VALUE"""),2.0)</f>
        <v>2</v>
      </c>
    </row>
    <row r="3981">
      <c r="A3981" s="87" t="str">
        <f>IFERROR(__xludf.DUMMYFUNCTION("""COMPUTED_VALUE"""),"ITBISA-SERVO-SG90-180DEG")</f>
        <v>ITBISA-SERVO-SG90-180DEG</v>
      </c>
      <c r="B3981" s="165">
        <f>IFERROR(__xludf.DUMMYFUNCTION("""COMPUTED_VALUE"""),46048.0)</f>
        <v>46048</v>
      </c>
      <c r="C3981" s="165" t="str">
        <f>IFERROR(__xludf.DUMMYFUNCTION("""COMPUTED_VALUE"""),"KERTASARI CIAMIS")</f>
        <v>KERTASARI CIAMIS</v>
      </c>
      <c r="D3981" s="94">
        <f>IFERROR(__xludf.DUMMYFUNCTION("""COMPUTED_VALUE"""),2.0)</f>
        <v>2</v>
      </c>
    </row>
    <row r="3982">
      <c r="A3982" s="87" t="str">
        <f>IFERROR(__xludf.DUMMYFUNCTION("""COMPUTED_VALUE"""),"ITBISA-SERVO-SG90-180DEG")</f>
        <v>ITBISA-SERVO-SG90-180DEG</v>
      </c>
      <c r="B3982" s="165">
        <f>IFERROR(__xludf.DUMMYFUNCTION("""COMPUTED_VALUE"""),46054.0)</f>
        <v>46054</v>
      </c>
      <c r="C3982" s="165" t="str">
        <f>IFERROR(__xludf.DUMMYFUNCTION("""COMPUTED_VALUE"""),"KERTASARI CIAMIS")</f>
        <v>KERTASARI CIAMIS</v>
      </c>
      <c r="D3982" s="94">
        <f>IFERROR(__xludf.DUMMYFUNCTION("""COMPUTED_VALUE"""),1.0)</f>
        <v>1</v>
      </c>
    </row>
    <row r="3983">
      <c r="A3983" s="87" t="str">
        <f>IFERROR(__xludf.DUMMYFUNCTION("""COMPUTED_VALUE"""),"ITBISA-SERVO-SG90-180DEG")</f>
        <v>ITBISA-SERVO-SG90-180DEG</v>
      </c>
      <c r="B3983" s="165">
        <f>IFERROR(__xludf.DUMMYFUNCTION("""COMPUTED_VALUE"""),46065.0)</f>
        <v>46065</v>
      </c>
      <c r="C3983" s="165" t="str">
        <f>IFERROR(__xludf.DUMMYFUNCTION("""COMPUTED_VALUE"""),"KERTASARI CIAMIS")</f>
        <v>KERTASARI CIAMIS</v>
      </c>
      <c r="D3983" s="94">
        <f>IFERROR(__xludf.DUMMYFUNCTION("""COMPUTED_VALUE"""),1.0)</f>
        <v>1</v>
      </c>
    </row>
    <row r="3984">
      <c r="A3984" s="87" t="str">
        <f>IFERROR(__xludf.DUMMYFUNCTION("""COMPUTED_VALUE"""),"ITBISA-SERVO-SG90-180DEG")</f>
        <v>ITBISA-SERVO-SG90-180DEG</v>
      </c>
      <c r="B3984" s="165">
        <f>IFERROR(__xludf.DUMMYFUNCTION("""COMPUTED_VALUE"""),46065.0)</f>
        <v>46065</v>
      </c>
      <c r="C3984" s="165" t="str">
        <f>IFERROR(__xludf.DUMMYFUNCTION("""COMPUTED_VALUE"""),"KERTASARI CIAMIS")</f>
        <v>KERTASARI CIAMIS</v>
      </c>
      <c r="D3984" s="94">
        <f>IFERROR(__xludf.DUMMYFUNCTION("""COMPUTED_VALUE"""),1.0)</f>
        <v>1</v>
      </c>
    </row>
    <row r="3985">
      <c r="A3985" s="87" t="str">
        <f>IFERROR(__xludf.DUMMYFUNCTION("""COMPUTED_VALUE"""),"ITBISA-SERVO-SG90-180DEG")</f>
        <v>ITBISA-SERVO-SG90-180DEG</v>
      </c>
      <c r="B3985" s="165">
        <f>IFERROR(__xludf.DUMMYFUNCTION("""COMPUTED_VALUE"""),46076.0)</f>
        <v>46076</v>
      </c>
      <c r="C3985" s="165" t="str">
        <f>IFERROR(__xludf.DUMMYFUNCTION("""COMPUTED_VALUE"""),"KYAI KONTONG")</f>
        <v>KYAI KONTONG</v>
      </c>
      <c r="D3985" s="94">
        <f>IFERROR(__xludf.DUMMYFUNCTION("""COMPUTED_VALUE"""),1.0)</f>
        <v>1</v>
      </c>
    </row>
    <row r="3986">
      <c r="A3986" s="87" t="str">
        <f>IFERROR(__xludf.DUMMYFUNCTION("""COMPUTED_VALUE"""),"ITBISA-SERVO-SG90-180DEG")</f>
        <v>ITBISA-SERVO-SG90-180DEG</v>
      </c>
      <c r="B3986" s="165">
        <f>IFERROR(__xludf.DUMMYFUNCTION("""COMPUTED_VALUE"""),46077.0)</f>
        <v>46077</v>
      </c>
      <c r="C3986" s="165" t="str">
        <f>IFERROR(__xludf.DUMMYFUNCTION("""COMPUTED_VALUE"""),"KYAI KONTONG")</f>
        <v>KYAI KONTONG</v>
      </c>
      <c r="D3986" s="94">
        <f>IFERROR(__xludf.DUMMYFUNCTION("""COMPUTED_VALUE"""),1.0)</f>
        <v>1</v>
      </c>
    </row>
    <row r="3987">
      <c r="A3987" s="87" t="str">
        <f>IFERROR(__xludf.DUMMYFUNCTION("""COMPUTED_VALUE"""),"ITBISA-SERVO-SG90-180DEG")</f>
        <v>ITBISA-SERVO-SG90-180DEG</v>
      </c>
      <c r="B3987" s="165">
        <f>IFERROR(__xludf.DUMMYFUNCTION("""COMPUTED_VALUE"""),46077.0)</f>
        <v>46077</v>
      </c>
      <c r="C3987" s="165" t="str">
        <f>IFERROR(__xludf.DUMMYFUNCTION("""COMPUTED_VALUE"""),"KYAI KONTONG")</f>
        <v>KYAI KONTONG</v>
      </c>
      <c r="D3987" s="94">
        <f>IFERROR(__xludf.DUMMYFUNCTION("""COMPUTED_VALUE"""),1.0)</f>
        <v>1</v>
      </c>
    </row>
    <row r="3988">
      <c r="A3988" s="87" t="str">
        <f>IFERROR(__xludf.DUMMYFUNCTION("""COMPUTED_VALUE"""),"ITBISA-SERVO-SG90-180DEG")</f>
        <v>ITBISA-SERVO-SG90-180DEG</v>
      </c>
      <c r="B3988" s="165">
        <f>IFERROR(__xludf.DUMMYFUNCTION("""COMPUTED_VALUE"""),46078.0)</f>
        <v>46078</v>
      </c>
      <c r="C3988" s="165" t="str">
        <f>IFERROR(__xludf.DUMMYFUNCTION("""COMPUTED_VALUE"""),"KYAI KONTONG")</f>
        <v>KYAI KONTONG</v>
      </c>
      <c r="D3988" s="94">
        <f>IFERROR(__xludf.DUMMYFUNCTION("""COMPUTED_VALUE"""),1.0)</f>
        <v>1</v>
      </c>
    </row>
    <row r="3989">
      <c r="A3989" s="87" t="str">
        <f>IFERROR(__xludf.DUMMYFUNCTION("""COMPUTED_VALUE"""),"ITBISA-SERVO-SG90-180DEG")</f>
        <v>ITBISA-SERVO-SG90-180DEG</v>
      </c>
      <c r="B3989" s="165">
        <f>IFERROR(__xludf.DUMMYFUNCTION("""COMPUTED_VALUE"""),46078.0)</f>
        <v>46078</v>
      </c>
      <c r="C3989" s="165" t="str">
        <f>IFERROR(__xludf.DUMMYFUNCTION("""COMPUTED_VALUE"""),"KYAI KONTONG")</f>
        <v>KYAI KONTONG</v>
      </c>
      <c r="D3989" s="94">
        <f>IFERROR(__xludf.DUMMYFUNCTION("""COMPUTED_VALUE"""),2.0)</f>
        <v>2</v>
      </c>
    </row>
    <row r="3990">
      <c r="A3990" s="87" t="str">
        <f>IFERROR(__xludf.DUMMYFUNCTION("""COMPUTED_VALUE"""),"ITBISA-SERVO-SG90-180DEG")</f>
        <v>ITBISA-SERVO-SG90-180DEG</v>
      </c>
      <c r="B3990" s="165">
        <f>IFERROR(__xludf.DUMMYFUNCTION("""COMPUTED_VALUE"""),46081.0)</f>
        <v>46081</v>
      </c>
      <c r="C3990" s="165" t="str">
        <f>IFERROR(__xludf.DUMMYFUNCTION("""COMPUTED_VALUE"""),"KERTASARI CIAMIS")</f>
        <v>KERTASARI CIAMIS</v>
      </c>
      <c r="D3990" s="94">
        <f>IFERROR(__xludf.DUMMYFUNCTION("""COMPUTED_VALUE"""),8.0)</f>
        <v>8</v>
      </c>
    </row>
    <row r="3991">
      <c r="A3991" s="87" t="str">
        <f>IFERROR(__xludf.DUMMYFUNCTION("""COMPUTED_VALUE"""),"ITBISA-SERVO-SG90-180DEG")</f>
        <v>ITBISA-SERVO-SG90-180DEG</v>
      </c>
      <c r="B3991" s="165">
        <f>IFERROR(__xludf.DUMMYFUNCTION("""COMPUTED_VALUE"""),46081.0)</f>
        <v>46081</v>
      </c>
      <c r="C3991" s="165" t="str">
        <f>IFERROR(__xludf.DUMMYFUNCTION("""COMPUTED_VALUE"""),"KYAI KONTONG")</f>
        <v>KYAI KONTONG</v>
      </c>
      <c r="D3991" s="94">
        <f>IFERROR(__xludf.DUMMYFUNCTION("""COMPUTED_VALUE"""),1.0)</f>
        <v>1</v>
      </c>
    </row>
    <row r="3992">
      <c r="A3992" s="87" t="str">
        <f>IFERROR(__xludf.DUMMYFUNCTION("""COMPUTED_VALUE"""),"ITBISA-SERVO-SG90-180DEG")</f>
        <v>ITBISA-SERVO-SG90-180DEG</v>
      </c>
      <c r="B3992" s="165">
        <f>IFERROR(__xludf.DUMMYFUNCTION("""COMPUTED_VALUE"""),46083.0)</f>
        <v>46083</v>
      </c>
      <c r="C3992" s="165" t="str">
        <f>IFERROR(__xludf.DUMMYFUNCTION("""COMPUTED_VALUE"""),"KYAI KONTONG")</f>
        <v>KYAI KONTONG</v>
      </c>
      <c r="D3992" s="94">
        <f>IFERROR(__xludf.DUMMYFUNCTION("""COMPUTED_VALUE"""),1.0)</f>
        <v>1</v>
      </c>
    </row>
    <row r="3993">
      <c r="A3993" s="87" t="str">
        <f>IFERROR(__xludf.DUMMYFUNCTION("""COMPUTED_VALUE"""),"ITBISA-SERVO-SG90-180DEG")</f>
        <v>ITBISA-SERVO-SG90-180DEG</v>
      </c>
      <c r="B3993" s="165">
        <f>IFERROR(__xludf.DUMMYFUNCTION("""COMPUTED_VALUE"""),46084.0)</f>
        <v>46084</v>
      </c>
      <c r="C3993" s="165" t="str">
        <f>IFERROR(__xludf.DUMMYFUNCTION("""COMPUTED_VALUE"""),"KYAI KONTONG")</f>
        <v>KYAI KONTONG</v>
      </c>
      <c r="D3993" s="94">
        <f>IFERROR(__xludf.DUMMYFUNCTION("""COMPUTED_VALUE"""),2.0)</f>
        <v>2</v>
      </c>
    </row>
    <row r="3994">
      <c r="A3994" s="87" t="str">
        <f>IFERROR(__xludf.DUMMYFUNCTION("""COMPUTED_VALUE"""),"ITBISA-SERVO-SG90-180DEG")</f>
        <v>ITBISA-SERVO-SG90-180DEG</v>
      </c>
      <c r="B3994" s="165">
        <f>IFERROR(__xludf.DUMMYFUNCTION("""COMPUTED_VALUE"""),46085.0)</f>
        <v>46085</v>
      </c>
      <c r="C3994" s="165" t="str">
        <f>IFERROR(__xludf.DUMMYFUNCTION("""COMPUTED_VALUE"""),"KERTASARI CIAMIS")</f>
        <v>KERTASARI CIAMIS</v>
      </c>
      <c r="D3994" s="94">
        <f>IFERROR(__xludf.DUMMYFUNCTION("""COMPUTED_VALUE"""),1.0)</f>
        <v>1</v>
      </c>
    </row>
    <row r="3995">
      <c r="A3995" s="87" t="str">
        <f>IFERROR(__xludf.DUMMYFUNCTION("""COMPUTED_VALUE"""),"ITBISA-SERVO-SG90-180DEG")</f>
        <v>ITBISA-SERVO-SG90-180DEG</v>
      </c>
      <c r="B3995" s="165">
        <f>IFERROR(__xludf.DUMMYFUNCTION("""COMPUTED_VALUE"""),46088.0)</f>
        <v>46088</v>
      </c>
      <c r="C3995" s="165" t="str">
        <f>IFERROR(__xludf.DUMMYFUNCTION("""COMPUTED_VALUE"""),"KERTASARI CIAMIS")</f>
        <v>KERTASARI CIAMIS</v>
      </c>
      <c r="D3995" s="94">
        <f>IFERROR(__xludf.DUMMYFUNCTION("""COMPUTED_VALUE"""),1.0)</f>
        <v>1</v>
      </c>
    </row>
    <row r="3996">
      <c r="A3996" s="87" t="str">
        <f>IFERROR(__xludf.DUMMYFUNCTION("""COMPUTED_VALUE"""),"ITBISA-SERVO-SG90-180DEG")</f>
        <v>ITBISA-SERVO-SG90-180DEG</v>
      </c>
      <c r="B3996" s="165">
        <f>IFERROR(__xludf.DUMMYFUNCTION("""COMPUTED_VALUE"""),46143.0)</f>
        <v>46143</v>
      </c>
      <c r="C3996" s="165" t="str">
        <f>IFERROR(__xludf.DUMMYFUNCTION("""COMPUTED_VALUE"""),"KYAI KONTONG")</f>
        <v>KYAI KONTONG</v>
      </c>
      <c r="D3996" s="94">
        <f>IFERROR(__xludf.DUMMYFUNCTION("""COMPUTED_VALUE"""),1.0)</f>
        <v>1</v>
      </c>
    </row>
    <row r="3997">
      <c r="A3997" s="87" t="str">
        <f>IFERROR(__xludf.DUMMYFUNCTION("""COMPUTED_VALUE"""),"ITBISA-SERVO-SG90-180DEG")</f>
        <v>ITBISA-SERVO-SG90-180DEG</v>
      </c>
      <c r="B3997" s="165">
        <f>IFERROR(__xludf.DUMMYFUNCTION("""COMPUTED_VALUE"""),46146.0)</f>
        <v>46146</v>
      </c>
      <c r="C3997" s="165" t="str">
        <f>IFERROR(__xludf.DUMMYFUNCTION("""COMPUTED_VALUE"""),"KYAI KONTONG")</f>
        <v>KYAI KONTONG</v>
      </c>
      <c r="D3997" s="94">
        <f>IFERROR(__xludf.DUMMYFUNCTION("""COMPUTED_VALUE"""),10.0)</f>
        <v>10</v>
      </c>
    </row>
    <row r="3998">
      <c r="A3998" s="87" t="str">
        <f>IFERROR(__xludf.DUMMYFUNCTION("""COMPUTED_VALUE"""),"ITBISA-SERVO-SG90-180DEG")</f>
        <v>ITBISA-SERVO-SG90-180DEG</v>
      </c>
      <c r="B3998" s="165">
        <f>IFERROR(__xludf.DUMMYFUNCTION("""COMPUTED_VALUE"""),46148.0)</f>
        <v>46148</v>
      </c>
      <c r="C3998" s="165" t="str">
        <f>IFERROR(__xludf.DUMMYFUNCTION("""COMPUTED_VALUE"""),"KYAI KONTONG")</f>
        <v>KYAI KONTONG</v>
      </c>
      <c r="D3998" s="94">
        <f>IFERROR(__xludf.DUMMYFUNCTION("""COMPUTED_VALUE"""),1.0)</f>
        <v>1</v>
      </c>
    </row>
    <row r="3999">
      <c r="A3999" s="87" t="str">
        <f>IFERROR(__xludf.DUMMYFUNCTION("""COMPUTED_VALUE"""),"ITBISA-SERVO-SG90-180DEG")</f>
        <v>ITBISA-SERVO-SG90-180DEG</v>
      </c>
      <c r="B3999" s="165">
        <f>IFERROR(__xludf.DUMMYFUNCTION("""COMPUTED_VALUE"""),46154.0)</f>
        <v>46154</v>
      </c>
      <c r="C3999" s="165" t="str">
        <f>IFERROR(__xludf.DUMMYFUNCTION("""COMPUTED_VALUE"""),"KYAI KONTONG")</f>
        <v>KYAI KONTONG</v>
      </c>
      <c r="D3999" s="94">
        <f>IFERROR(__xludf.DUMMYFUNCTION("""COMPUTED_VALUE"""),4.0)</f>
        <v>4</v>
      </c>
    </row>
    <row r="4000">
      <c r="A4000" s="87" t="str">
        <f>IFERROR(__xludf.DUMMYFUNCTION("""COMPUTED_VALUE"""),"ITBISA-SERVO-SG90-180DEG")</f>
        <v>ITBISA-SERVO-SG90-180DEG</v>
      </c>
      <c r="B4000" s="165">
        <f>IFERROR(__xludf.DUMMYFUNCTION("""COMPUTED_VALUE"""),46154.0)</f>
        <v>46154</v>
      </c>
      <c r="C4000" s="165" t="str">
        <f>IFERROR(__xludf.DUMMYFUNCTION("""COMPUTED_VALUE"""),"KYAI KONTONG")</f>
        <v>KYAI KONTONG</v>
      </c>
      <c r="D4000" s="94">
        <f>IFERROR(__xludf.DUMMYFUNCTION("""COMPUTED_VALUE"""),4.0)</f>
        <v>4</v>
      </c>
    </row>
    <row r="4001">
      <c r="A4001" s="87" t="str">
        <f>IFERROR(__xludf.DUMMYFUNCTION("""COMPUTED_VALUE"""),"ITBISA-SERVO-SG90-180DEG")</f>
        <v>ITBISA-SERVO-SG90-180DEG</v>
      </c>
      <c r="B4001" s="165">
        <f>IFERROR(__xludf.DUMMYFUNCTION("""COMPUTED_VALUE"""),46155.0)</f>
        <v>46155</v>
      </c>
      <c r="C4001" s="165" t="str">
        <f>IFERROR(__xludf.DUMMYFUNCTION("""COMPUTED_VALUE"""),"KYAI KONTONG")</f>
        <v>KYAI KONTONG</v>
      </c>
      <c r="D4001" s="94">
        <f>IFERROR(__xludf.DUMMYFUNCTION("""COMPUTED_VALUE"""),1.0)</f>
        <v>1</v>
      </c>
    </row>
    <row r="4002">
      <c r="A4002" s="87" t="str">
        <f>IFERROR(__xludf.DUMMYFUNCTION("""COMPUTED_VALUE"""),"ITBISA-SERVO-SG90-180DEG")</f>
        <v>ITBISA-SERVO-SG90-180DEG</v>
      </c>
      <c r="B4002" s="165">
        <f>IFERROR(__xludf.DUMMYFUNCTION("""COMPUTED_VALUE"""),46156.0)</f>
        <v>46156</v>
      </c>
      <c r="C4002" s="165" t="str">
        <f>IFERROR(__xludf.DUMMYFUNCTION("""COMPUTED_VALUE"""),"KYAI KONTONG")</f>
        <v>KYAI KONTONG</v>
      </c>
      <c r="D4002" s="94">
        <f>IFERROR(__xludf.DUMMYFUNCTION("""COMPUTED_VALUE"""),1.0)</f>
        <v>1</v>
      </c>
    </row>
    <row r="4003">
      <c r="A4003" s="87" t="str">
        <f>IFERROR(__xludf.DUMMYFUNCTION("""COMPUTED_VALUE"""),"ITBISA-SERVO-SG90-180DEG")</f>
        <v>ITBISA-SERVO-SG90-180DEG</v>
      </c>
      <c r="B4003" s="165">
        <f>IFERROR(__xludf.DUMMYFUNCTION("""COMPUTED_VALUE"""),46156.0)</f>
        <v>46156</v>
      </c>
      <c r="C4003" s="165" t="str">
        <f>IFERROR(__xludf.DUMMYFUNCTION("""COMPUTED_VALUE"""),"KYAI KONTONG")</f>
        <v>KYAI KONTONG</v>
      </c>
      <c r="D4003" s="94">
        <f>IFERROR(__xludf.DUMMYFUNCTION("""COMPUTED_VALUE"""),1.0)</f>
        <v>1</v>
      </c>
    </row>
    <row r="4004">
      <c r="A4004" s="87" t="str">
        <f>IFERROR(__xludf.DUMMYFUNCTION("""COMPUTED_VALUE"""),"ITBISA-SERVO-SG90-180DEG")</f>
        <v>ITBISA-SERVO-SG90-180DEG</v>
      </c>
      <c r="B4004" s="165">
        <f>IFERROR(__xludf.DUMMYFUNCTION("""COMPUTED_VALUE"""),46157.0)</f>
        <v>46157</v>
      </c>
      <c r="C4004" s="165" t="str">
        <f>IFERROR(__xludf.DUMMYFUNCTION("""COMPUTED_VALUE"""),"KYAI KONTONG")</f>
        <v>KYAI KONTONG</v>
      </c>
      <c r="D4004" s="94">
        <f>IFERROR(__xludf.DUMMYFUNCTION("""COMPUTED_VALUE"""),1.0)</f>
        <v>1</v>
      </c>
    </row>
    <row r="4005">
      <c r="A4005" s="87" t="str">
        <f>IFERROR(__xludf.DUMMYFUNCTION("""COMPUTED_VALUE"""),"ITBISA-SERVO-SG90-180DEG")</f>
        <v>ITBISA-SERVO-SG90-180DEG</v>
      </c>
      <c r="B4005" s="165">
        <f>IFERROR(__xludf.DUMMYFUNCTION("""COMPUTED_VALUE"""),46157.0)</f>
        <v>46157</v>
      </c>
      <c r="C4005" s="165" t="str">
        <f>IFERROR(__xludf.DUMMYFUNCTION("""COMPUTED_VALUE"""),"KYAI KONTONG")</f>
        <v>KYAI KONTONG</v>
      </c>
      <c r="D4005" s="94">
        <f>IFERROR(__xludf.DUMMYFUNCTION("""COMPUTED_VALUE"""),2.0)</f>
        <v>2</v>
      </c>
    </row>
    <row r="4006">
      <c r="A4006" s="87" t="str">
        <f>IFERROR(__xludf.DUMMYFUNCTION("""COMPUTED_VALUE"""),"ITBISA-SERVO-SG90-180DEG")</f>
        <v>ITBISA-SERVO-SG90-180DEG</v>
      </c>
      <c r="B4006" s="165">
        <f>IFERROR(__xludf.DUMMYFUNCTION("""COMPUTED_VALUE"""),46158.0)</f>
        <v>46158</v>
      </c>
      <c r="C4006" s="165" t="str">
        <f>IFERROR(__xludf.DUMMYFUNCTION("""COMPUTED_VALUE"""),"KYAI KONTONG")</f>
        <v>KYAI KONTONG</v>
      </c>
      <c r="D4006" s="94">
        <f>IFERROR(__xludf.DUMMYFUNCTION("""COMPUTED_VALUE"""),2.0)</f>
        <v>2</v>
      </c>
    </row>
    <row r="4007">
      <c r="A4007" s="87" t="str">
        <f>IFERROR(__xludf.DUMMYFUNCTION("""COMPUTED_VALUE"""),"ITBISA-SERVO-SG90-180DEG")</f>
        <v>ITBISA-SERVO-SG90-180DEG</v>
      </c>
      <c r="B4007" s="165">
        <f>IFERROR(__xludf.DUMMYFUNCTION("""COMPUTED_VALUE"""),46163.0)</f>
        <v>46163</v>
      </c>
      <c r="C4007" s="165" t="str">
        <f>IFERROR(__xludf.DUMMYFUNCTION("""COMPUTED_VALUE"""),"KYAI KONTONG")</f>
        <v>KYAI KONTONG</v>
      </c>
      <c r="D4007" s="94">
        <f>IFERROR(__xludf.DUMMYFUNCTION("""COMPUTED_VALUE"""),1.0)</f>
        <v>1</v>
      </c>
    </row>
    <row r="4008">
      <c r="A4008" s="87" t="str">
        <f>IFERROR(__xludf.DUMMYFUNCTION("""COMPUTED_VALUE"""),"ITBISA-SERVO-SG90-180DEG")</f>
        <v>ITBISA-SERVO-SG90-180DEG</v>
      </c>
      <c r="B4008" s="165">
        <f>IFERROR(__xludf.DUMMYFUNCTION("""COMPUTED_VALUE"""),46163.0)</f>
        <v>46163</v>
      </c>
      <c r="C4008" s="165" t="str">
        <f>IFERROR(__xludf.DUMMYFUNCTION("""COMPUTED_VALUE"""),"KYAI KONTONG")</f>
        <v>KYAI KONTONG</v>
      </c>
      <c r="D4008" s="94">
        <f>IFERROR(__xludf.DUMMYFUNCTION("""COMPUTED_VALUE"""),3.0)</f>
        <v>3</v>
      </c>
    </row>
    <row r="4009">
      <c r="A4009" s="87" t="str">
        <f>IFERROR(__xludf.DUMMYFUNCTION("""COMPUTED_VALUE"""),"ITBISA-SERVO-SG90-180DEG")</f>
        <v>ITBISA-SERVO-SG90-180DEG</v>
      </c>
      <c r="B4009" s="165">
        <f>IFERROR(__xludf.DUMMYFUNCTION("""COMPUTED_VALUE"""),46165.0)</f>
        <v>46165</v>
      </c>
      <c r="C4009" s="165" t="str">
        <f>IFERROR(__xludf.DUMMYFUNCTION("""COMPUTED_VALUE"""),"KYAI KONTONG")</f>
        <v>KYAI KONTONG</v>
      </c>
      <c r="D4009" s="94">
        <f>IFERROR(__xludf.DUMMYFUNCTION("""COMPUTED_VALUE"""),1.0)</f>
        <v>1</v>
      </c>
    </row>
    <row r="4010">
      <c r="A4010" s="87" t="str">
        <f>IFERROR(__xludf.DUMMYFUNCTION("""COMPUTED_VALUE"""),"ITBISA-SERVO-SG90-180DEG")</f>
        <v>ITBISA-SERVO-SG90-180DEG</v>
      </c>
      <c r="B4010" s="165">
        <f>IFERROR(__xludf.DUMMYFUNCTION("""COMPUTED_VALUE"""),46170.0)</f>
        <v>46170</v>
      </c>
      <c r="C4010" s="165" t="str">
        <f>IFERROR(__xludf.DUMMYFUNCTION("""COMPUTED_VALUE"""),"KYAI KONTONG")</f>
        <v>KYAI KONTONG</v>
      </c>
      <c r="D4010" s="94">
        <f>IFERROR(__xludf.DUMMYFUNCTION("""COMPUTED_VALUE"""),1.0)</f>
        <v>1</v>
      </c>
    </row>
    <row r="4011">
      <c r="A4011" s="87" t="str">
        <f>IFERROR(__xludf.DUMMYFUNCTION("""COMPUTED_VALUE"""),"ITBISA-SERVO-SG90-180DEG")</f>
        <v>ITBISA-SERVO-SG90-180DEG</v>
      </c>
      <c r="B4011" s="165">
        <f>IFERROR(__xludf.DUMMYFUNCTION("""COMPUTED_VALUE"""),46174.0)</f>
        <v>46174</v>
      </c>
      <c r="C4011" s="165" t="str">
        <f>IFERROR(__xludf.DUMMYFUNCTION("""COMPUTED_VALUE"""),"KYAI KONTONG")</f>
        <v>KYAI KONTONG</v>
      </c>
      <c r="D4011" s="94">
        <f>IFERROR(__xludf.DUMMYFUNCTION("""COMPUTED_VALUE"""),1.0)</f>
        <v>1</v>
      </c>
    </row>
    <row r="4012">
      <c r="A4012" s="87" t="str">
        <f>IFERROR(__xludf.DUMMYFUNCTION("""COMPUTED_VALUE"""),"ITBISA-SERVO-SG90-180DEG")</f>
        <v>ITBISA-SERVO-SG90-180DEG</v>
      </c>
      <c r="B4012" s="165">
        <f>IFERROR(__xludf.DUMMYFUNCTION("""COMPUTED_VALUE"""),46196.0)</f>
        <v>46196</v>
      </c>
      <c r="C4012" s="165" t="str">
        <f>IFERROR(__xludf.DUMMYFUNCTION("""COMPUTED_VALUE"""),"KYAI KONTONG")</f>
        <v>KYAI KONTONG</v>
      </c>
      <c r="D4012" s="94">
        <f>IFERROR(__xludf.DUMMYFUNCTION("""COMPUTED_VALUE"""),8.0)</f>
        <v>8</v>
      </c>
    </row>
    <row r="4013">
      <c r="A4013" s="87" t="str">
        <f>IFERROR(__xludf.DUMMYFUNCTION("""COMPUTED_VALUE"""),"ITBISA-SERVO-SG90-180DEG")</f>
        <v>ITBISA-SERVO-SG90-180DEG</v>
      </c>
      <c r="B4013" s="165">
        <f>IFERROR(__xludf.DUMMYFUNCTION("""COMPUTED_VALUE"""),46197.0)</f>
        <v>46197</v>
      </c>
      <c r="C4013" s="165" t="str">
        <f>IFERROR(__xludf.DUMMYFUNCTION("""COMPUTED_VALUE"""),"KYAI KONTONG")</f>
        <v>KYAI KONTONG</v>
      </c>
      <c r="D4013" s="94">
        <f>IFERROR(__xludf.DUMMYFUNCTION("""COMPUTED_VALUE"""),1.0)</f>
        <v>1</v>
      </c>
    </row>
    <row r="4014">
      <c r="A4014" s="87" t="str">
        <f>IFERROR(__xludf.DUMMYFUNCTION("""COMPUTED_VALUE"""),"ITBISA-SERVO-SG90-180DEG")</f>
        <v>ITBISA-SERVO-SG90-180DEG</v>
      </c>
      <c r="B4014" s="165">
        <f>IFERROR(__xludf.DUMMYFUNCTION("""COMPUTED_VALUE"""),46198.0)</f>
        <v>46198</v>
      </c>
      <c r="C4014" s="165" t="str">
        <f>IFERROR(__xludf.DUMMYFUNCTION("""COMPUTED_VALUE"""),"KYAI KONTONG")</f>
        <v>KYAI KONTONG</v>
      </c>
      <c r="D4014" s="94">
        <f>IFERROR(__xludf.DUMMYFUNCTION("""COMPUTED_VALUE"""),1.0)</f>
        <v>1</v>
      </c>
    </row>
    <row r="4015">
      <c r="A4015" s="87" t="str">
        <f>IFERROR(__xludf.DUMMYFUNCTION("""COMPUTED_VALUE"""),"ITBISA-SERVO-SG90-180DEG")</f>
        <v>ITBISA-SERVO-SG90-180DEG</v>
      </c>
      <c r="B4015" s="165">
        <f>IFERROR(__xludf.DUMMYFUNCTION("""COMPUTED_VALUE"""),46198.0)</f>
        <v>46198</v>
      </c>
      <c r="C4015" s="165" t="str">
        <f>IFERROR(__xludf.DUMMYFUNCTION("""COMPUTED_VALUE"""),"KYAI KONTONG")</f>
        <v>KYAI KONTONG</v>
      </c>
      <c r="D4015" s="94">
        <f>IFERROR(__xludf.DUMMYFUNCTION("""COMPUTED_VALUE"""),2.0)</f>
        <v>2</v>
      </c>
    </row>
    <row r="4016">
      <c r="A4016" s="87" t="str">
        <f>IFERROR(__xludf.DUMMYFUNCTION("""COMPUTED_VALUE"""),"ITBISA-SERVO-SG90-180DEG")</f>
        <v>ITBISA-SERVO-SG90-180DEG</v>
      </c>
      <c r="B4016" s="165">
        <f>IFERROR(__xludf.DUMMYFUNCTION("""COMPUTED_VALUE"""),46198.0)</f>
        <v>46198</v>
      </c>
      <c r="C4016" s="165" t="str">
        <f>IFERROR(__xludf.DUMMYFUNCTION("""COMPUTED_VALUE"""),"KYAI KONTONG")</f>
        <v>KYAI KONTONG</v>
      </c>
      <c r="D4016" s="94">
        <f>IFERROR(__xludf.DUMMYFUNCTION("""COMPUTED_VALUE"""),2.0)</f>
        <v>2</v>
      </c>
    </row>
    <row r="4017">
      <c r="A4017" s="87" t="str">
        <f>IFERROR(__xludf.DUMMYFUNCTION("""COMPUTED_VALUE"""),"ITBISA-SERVO-SG90-360DEG")</f>
        <v>ITBISA-SERVO-SG90-360DEG</v>
      </c>
      <c r="B4017" s="165">
        <f>IFERROR(__xludf.DUMMYFUNCTION("""COMPUTED_VALUE"""),46023.0)</f>
        <v>46023</v>
      </c>
      <c r="C4017" s="165" t="str">
        <f>IFERROR(__xludf.DUMMYFUNCTION("""COMPUTED_VALUE"""),"KYAI KONTONG")</f>
        <v>KYAI KONTONG</v>
      </c>
      <c r="D4017" s="94">
        <f>IFERROR(__xludf.DUMMYFUNCTION("""COMPUTED_VALUE"""),1.0)</f>
        <v>1</v>
      </c>
    </row>
    <row r="4018">
      <c r="A4018" s="87" t="str">
        <f>IFERROR(__xludf.DUMMYFUNCTION("""COMPUTED_VALUE"""),"ITBISA-SERVO-SG90-360DEG")</f>
        <v>ITBISA-SERVO-SG90-360DEG</v>
      </c>
      <c r="B4018" s="165">
        <f>IFERROR(__xludf.DUMMYFUNCTION("""COMPUTED_VALUE"""),46028.0)</f>
        <v>46028</v>
      </c>
      <c r="C4018" s="165" t="str">
        <f>IFERROR(__xludf.DUMMYFUNCTION("""COMPUTED_VALUE"""),"KYAI KONTONG")</f>
        <v>KYAI KONTONG</v>
      </c>
      <c r="D4018" s="94">
        <f>IFERROR(__xludf.DUMMYFUNCTION("""COMPUTED_VALUE"""),1.0)</f>
        <v>1</v>
      </c>
    </row>
    <row r="4019">
      <c r="A4019" s="87" t="str">
        <f>IFERROR(__xludf.DUMMYFUNCTION("""COMPUTED_VALUE"""),"ITBISA-SERVO-SG90-360DEG")</f>
        <v>ITBISA-SERVO-SG90-360DEG</v>
      </c>
      <c r="B4019" s="165">
        <f>IFERROR(__xludf.DUMMYFUNCTION("""COMPUTED_VALUE"""),46029.0)</f>
        <v>46029</v>
      </c>
      <c r="C4019" s="165" t="str">
        <f>IFERROR(__xludf.DUMMYFUNCTION("""COMPUTED_VALUE"""),"KERTASARI CIAMIS")</f>
        <v>KERTASARI CIAMIS</v>
      </c>
      <c r="D4019" s="94">
        <f>IFERROR(__xludf.DUMMYFUNCTION("""COMPUTED_VALUE"""),1.0)</f>
        <v>1</v>
      </c>
    </row>
    <row r="4020">
      <c r="A4020" s="87" t="str">
        <f>IFERROR(__xludf.DUMMYFUNCTION("""COMPUTED_VALUE"""),"ITBISA-SERVO-SG90-360DEG")</f>
        <v>ITBISA-SERVO-SG90-360DEG</v>
      </c>
      <c r="B4020" s="165">
        <f>IFERROR(__xludf.DUMMYFUNCTION("""COMPUTED_VALUE"""),46029.0)</f>
        <v>46029</v>
      </c>
      <c r="C4020" s="165" t="str">
        <f>IFERROR(__xludf.DUMMYFUNCTION("""COMPUTED_VALUE"""),"KERTASARI CIAMIS")</f>
        <v>KERTASARI CIAMIS</v>
      </c>
      <c r="D4020" s="94">
        <f>IFERROR(__xludf.DUMMYFUNCTION("""COMPUTED_VALUE"""),2.0)</f>
        <v>2</v>
      </c>
    </row>
    <row r="4021">
      <c r="A4021" s="87" t="str">
        <f>IFERROR(__xludf.DUMMYFUNCTION("""COMPUTED_VALUE"""),"ITBISA-SERVO-SG90-360DEG")</f>
        <v>ITBISA-SERVO-SG90-360DEG</v>
      </c>
      <c r="B4021" s="165">
        <f>IFERROR(__xludf.DUMMYFUNCTION("""COMPUTED_VALUE"""),46029.0)</f>
        <v>46029</v>
      </c>
      <c r="C4021" s="165" t="str">
        <f>IFERROR(__xludf.DUMMYFUNCTION("""COMPUTED_VALUE"""),"KYAI KONTONG")</f>
        <v>KYAI KONTONG</v>
      </c>
      <c r="D4021" s="94">
        <f>IFERROR(__xludf.DUMMYFUNCTION("""COMPUTED_VALUE"""),1.0)</f>
        <v>1</v>
      </c>
    </row>
    <row r="4022">
      <c r="A4022" s="87" t="str">
        <f>IFERROR(__xludf.DUMMYFUNCTION("""COMPUTED_VALUE"""),"ITBISA-SERVO-SG90-360DEG")</f>
        <v>ITBISA-SERVO-SG90-360DEG</v>
      </c>
      <c r="B4022" s="165">
        <f>IFERROR(__xludf.DUMMYFUNCTION("""COMPUTED_VALUE"""),46030.0)</f>
        <v>46030</v>
      </c>
      <c r="C4022" s="165" t="str">
        <f>IFERROR(__xludf.DUMMYFUNCTION("""COMPUTED_VALUE"""),"KYAI KONTONG")</f>
        <v>KYAI KONTONG</v>
      </c>
      <c r="D4022" s="94">
        <f>IFERROR(__xludf.DUMMYFUNCTION("""COMPUTED_VALUE"""),1.0)</f>
        <v>1</v>
      </c>
    </row>
    <row r="4023">
      <c r="A4023" s="87" t="str">
        <f>IFERROR(__xludf.DUMMYFUNCTION("""COMPUTED_VALUE"""),"ITBISA-SERVO-SG90-360DEG")</f>
        <v>ITBISA-SERVO-SG90-360DEG</v>
      </c>
      <c r="B4023" s="165">
        <f>IFERROR(__xludf.DUMMYFUNCTION("""COMPUTED_VALUE"""),46033.0)</f>
        <v>46033</v>
      </c>
      <c r="C4023" s="165" t="str">
        <f>IFERROR(__xludf.DUMMYFUNCTION("""COMPUTED_VALUE"""),"KYAI KONTONG")</f>
        <v>KYAI KONTONG</v>
      </c>
      <c r="D4023" s="94">
        <f>IFERROR(__xludf.DUMMYFUNCTION("""COMPUTED_VALUE"""),1.0)</f>
        <v>1</v>
      </c>
    </row>
    <row r="4024">
      <c r="A4024" s="87" t="str">
        <f>IFERROR(__xludf.DUMMYFUNCTION("""COMPUTED_VALUE"""),"ITBISA-SERVO-SG90-360DEG")</f>
        <v>ITBISA-SERVO-SG90-360DEG</v>
      </c>
      <c r="B4024" s="165">
        <f>IFERROR(__xludf.DUMMYFUNCTION("""COMPUTED_VALUE"""),46034.0)</f>
        <v>46034</v>
      </c>
      <c r="C4024" s="165" t="str">
        <f>IFERROR(__xludf.DUMMYFUNCTION("""COMPUTED_VALUE"""),"KERTASARI CIAMIS")</f>
        <v>KERTASARI CIAMIS</v>
      </c>
      <c r="D4024" s="94">
        <f>IFERROR(__xludf.DUMMYFUNCTION("""COMPUTED_VALUE"""),1.0)</f>
        <v>1</v>
      </c>
    </row>
    <row r="4025">
      <c r="A4025" s="87" t="str">
        <f>IFERROR(__xludf.DUMMYFUNCTION("""COMPUTED_VALUE"""),"ITBISA-SERVO-SG90-360DEG")</f>
        <v>ITBISA-SERVO-SG90-360DEG</v>
      </c>
      <c r="B4025" s="165">
        <f>IFERROR(__xludf.DUMMYFUNCTION("""COMPUTED_VALUE"""),46036.0)</f>
        <v>46036</v>
      </c>
      <c r="C4025" s="165" t="str">
        <f>IFERROR(__xludf.DUMMYFUNCTION("""COMPUTED_VALUE"""),"KYAI KONTONG")</f>
        <v>KYAI KONTONG</v>
      </c>
      <c r="D4025" s="94">
        <f>IFERROR(__xludf.DUMMYFUNCTION("""COMPUTED_VALUE"""),1.0)</f>
        <v>1</v>
      </c>
    </row>
    <row r="4026">
      <c r="A4026" s="87" t="str">
        <f>IFERROR(__xludf.DUMMYFUNCTION("""COMPUTED_VALUE"""),"ITBISA-SERVO-SG90-360DEG")</f>
        <v>ITBISA-SERVO-SG90-360DEG</v>
      </c>
      <c r="B4026" s="165">
        <f>IFERROR(__xludf.DUMMYFUNCTION("""COMPUTED_VALUE"""),46038.0)</f>
        <v>46038</v>
      </c>
      <c r="C4026" s="165" t="str">
        <f>IFERROR(__xludf.DUMMYFUNCTION("""COMPUTED_VALUE"""),"KYAI KONTONG")</f>
        <v>KYAI KONTONG</v>
      </c>
      <c r="D4026" s="94">
        <f>IFERROR(__xludf.DUMMYFUNCTION("""COMPUTED_VALUE"""),2.0)</f>
        <v>2</v>
      </c>
    </row>
    <row r="4027">
      <c r="A4027" s="87" t="str">
        <f>IFERROR(__xludf.DUMMYFUNCTION("""COMPUTED_VALUE"""),"ITBISA-SERVO-SG90-360DEG")</f>
        <v>ITBISA-SERVO-SG90-360DEG</v>
      </c>
      <c r="B4027" s="165">
        <f>IFERROR(__xludf.DUMMYFUNCTION("""COMPUTED_VALUE"""),46041.0)</f>
        <v>46041</v>
      </c>
      <c r="C4027" s="165" t="str">
        <f>IFERROR(__xludf.DUMMYFUNCTION("""COMPUTED_VALUE"""),"KYAI KONTONG")</f>
        <v>KYAI KONTONG</v>
      </c>
      <c r="D4027" s="94">
        <f>IFERROR(__xludf.DUMMYFUNCTION("""COMPUTED_VALUE"""),1.0)</f>
        <v>1</v>
      </c>
    </row>
    <row r="4028">
      <c r="A4028" s="87" t="str">
        <f>IFERROR(__xludf.DUMMYFUNCTION("""COMPUTED_VALUE"""),"ITBISA-SERVO-SG90-360DEG")</f>
        <v>ITBISA-SERVO-SG90-360DEG</v>
      </c>
      <c r="B4028" s="165">
        <f>IFERROR(__xludf.DUMMYFUNCTION("""COMPUTED_VALUE"""),46048.0)</f>
        <v>46048</v>
      </c>
      <c r="C4028" s="165" t="str">
        <f>IFERROR(__xludf.DUMMYFUNCTION("""COMPUTED_VALUE"""),"KERTASARI CIAMIS")</f>
        <v>KERTASARI CIAMIS</v>
      </c>
      <c r="D4028" s="94">
        <f>IFERROR(__xludf.DUMMYFUNCTION("""COMPUTED_VALUE"""),2.0)</f>
        <v>2</v>
      </c>
    </row>
    <row r="4029">
      <c r="A4029" s="87" t="str">
        <f>IFERROR(__xludf.DUMMYFUNCTION("""COMPUTED_VALUE"""),"ITBISA-SERVO-SG90-360DEG")</f>
        <v>ITBISA-SERVO-SG90-360DEG</v>
      </c>
      <c r="B4029" s="165">
        <f>IFERROR(__xludf.DUMMYFUNCTION("""COMPUTED_VALUE"""),46050.0)</f>
        <v>46050</v>
      </c>
      <c r="C4029" s="165" t="str">
        <f>IFERROR(__xludf.DUMMYFUNCTION("""COMPUTED_VALUE"""),"KYAI KONTONG")</f>
        <v>KYAI KONTONG</v>
      </c>
      <c r="D4029" s="94">
        <f>IFERROR(__xludf.DUMMYFUNCTION("""COMPUTED_VALUE"""),1.0)</f>
        <v>1</v>
      </c>
    </row>
    <row r="4030">
      <c r="A4030" s="87" t="str">
        <f>IFERROR(__xludf.DUMMYFUNCTION("""COMPUTED_VALUE"""),"ITBISA-SERVO-SG90-360DEG")</f>
        <v>ITBISA-SERVO-SG90-360DEG</v>
      </c>
      <c r="B4030" s="165">
        <f>IFERROR(__xludf.DUMMYFUNCTION("""COMPUTED_VALUE"""),46054.0)</f>
        <v>46054</v>
      </c>
      <c r="C4030" s="165" t="str">
        <f>IFERROR(__xludf.DUMMYFUNCTION("""COMPUTED_VALUE"""),"KYAI KONTONG")</f>
        <v>KYAI KONTONG</v>
      </c>
      <c r="D4030" s="94">
        <f>IFERROR(__xludf.DUMMYFUNCTION("""COMPUTED_VALUE"""),1.0)</f>
        <v>1</v>
      </c>
    </row>
    <row r="4031">
      <c r="A4031" s="87" t="str">
        <f>IFERROR(__xludf.DUMMYFUNCTION("""COMPUTED_VALUE"""),"ITBISA-SERVO-SG90-360DEG")</f>
        <v>ITBISA-SERVO-SG90-360DEG</v>
      </c>
      <c r="B4031" s="165">
        <f>IFERROR(__xludf.DUMMYFUNCTION("""COMPUTED_VALUE"""),46055.0)</f>
        <v>46055</v>
      </c>
      <c r="C4031" s="165" t="str">
        <f>IFERROR(__xludf.DUMMYFUNCTION("""COMPUTED_VALUE"""),"KERTASARI CIAMIS")</f>
        <v>KERTASARI CIAMIS</v>
      </c>
      <c r="D4031" s="94">
        <f>IFERROR(__xludf.DUMMYFUNCTION("""COMPUTED_VALUE"""),2.0)</f>
        <v>2</v>
      </c>
    </row>
    <row r="4032">
      <c r="A4032" s="87" t="str">
        <f>IFERROR(__xludf.DUMMYFUNCTION("""COMPUTED_VALUE"""),"ITBISA-SERVO-SG90-360DEG")</f>
        <v>ITBISA-SERVO-SG90-360DEG</v>
      </c>
      <c r="B4032" s="165">
        <f>IFERROR(__xludf.DUMMYFUNCTION("""COMPUTED_VALUE"""),46056.0)</f>
        <v>46056</v>
      </c>
      <c r="C4032" s="165" t="str">
        <f>IFERROR(__xludf.DUMMYFUNCTION("""COMPUTED_VALUE"""),"KERTASARI CIAMIS")</f>
        <v>KERTASARI CIAMIS</v>
      </c>
      <c r="D4032" s="94">
        <f>IFERROR(__xludf.DUMMYFUNCTION("""COMPUTED_VALUE"""),1.0)</f>
        <v>1</v>
      </c>
    </row>
    <row r="4033">
      <c r="A4033" s="87" t="str">
        <f>IFERROR(__xludf.DUMMYFUNCTION("""COMPUTED_VALUE"""),"ITBISA-SERVO-SG90-360DEG")</f>
        <v>ITBISA-SERVO-SG90-360DEG</v>
      </c>
      <c r="B4033" s="165">
        <f>IFERROR(__xludf.DUMMYFUNCTION("""COMPUTED_VALUE"""),46058.0)</f>
        <v>46058</v>
      </c>
      <c r="C4033" s="165" t="str">
        <f>IFERROR(__xludf.DUMMYFUNCTION("""COMPUTED_VALUE"""),"KYAI KONTONG")</f>
        <v>KYAI KONTONG</v>
      </c>
      <c r="D4033" s="94">
        <f>IFERROR(__xludf.DUMMYFUNCTION("""COMPUTED_VALUE"""),1.0)</f>
        <v>1</v>
      </c>
    </row>
    <row r="4034">
      <c r="A4034" s="87" t="str">
        <f>IFERROR(__xludf.DUMMYFUNCTION("""COMPUTED_VALUE"""),"ITBISA-SERVO-SG90-360DEG")</f>
        <v>ITBISA-SERVO-SG90-360DEG</v>
      </c>
      <c r="B4034" s="165">
        <f>IFERROR(__xludf.DUMMYFUNCTION("""COMPUTED_VALUE"""),46059.0)</f>
        <v>46059</v>
      </c>
      <c r="C4034" s="165" t="str">
        <f>IFERROR(__xludf.DUMMYFUNCTION("""COMPUTED_VALUE"""),"KYAI KONTONG")</f>
        <v>KYAI KONTONG</v>
      </c>
      <c r="D4034" s="94">
        <f>IFERROR(__xludf.DUMMYFUNCTION("""COMPUTED_VALUE"""),1.0)</f>
        <v>1</v>
      </c>
    </row>
    <row r="4035">
      <c r="A4035" s="87" t="str">
        <f>IFERROR(__xludf.DUMMYFUNCTION("""COMPUTED_VALUE"""),"ITBISA-SERVO-SG90-360DEG")</f>
        <v>ITBISA-SERVO-SG90-360DEG</v>
      </c>
      <c r="B4035" s="165">
        <f>IFERROR(__xludf.DUMMYFUNCTION("""COMPUTED_VALUE"""),46059.0)</f>
        <v>46059</v>
      </c>
      <c r="C4035" s="165" t="str">
        <f>IFERROR(__xludf.DUMMYFUNCTION("""COMPUTED_VALUE"""),"KYAI KONTONG")</f>
        <v>KYAI KONTONG</v>
      </c>
      <c r="D4035" s="94">
        <f>IFERROR(__xludf.DUMMYFUNCTION("""COMPUTED_VALUE"""),1.0)</f>
        <v>1</v>
      </c>
    </row>
    <row r="4036">
      <c r="A4036" s="87" t="str">
        <f>IFERROR(__xludf.DUMMYFUNCTION("""COMPUTED_VALUE"""),"ITBISA-SERVO-SG90-360DEG")</f>
        <v>ITBISA-SERVO-SG90-360DEG</v>
      </c>
      <c r="B4036" s="165">
        <f>IFERROR(__xludf.DUMMYFUNCTION("""COMPUTED_VALUE"""),46061.0)</f>
        <v>46061</v>
      </c>
      <c r="C4036" s="165" t="str">
        <f>IFERROR(__xludf.DUMMYFUNCTION("""COMPUTED_VALUE"""),"KERTASARI CIAMIS")</f>
        <v>KERTASARI CIAMIS</v>
      </c>
      <c r="D4036" s="94">
        <f>IFERROR(__xludf.DUMMYFUNCTION("""COMPUTED_VALUE"""),4.0)</f>
        <v>4</v>
      </c>
    </row>
    <row r="4037">
      <c r="A4037" s="87" t="str">
        <f>IFERROR(__xludf.DUMMYFUNCTION("""COMPUTED_VALUE"""),"ITBISA-SERVO-SG90-360DEG")</f>
        <v>ITBISA-SERVO-SG90-360DEG</v>
      </c>
      <c r="B4037" s="165">
        <f>IFERROR(__xludf.DUMMYFUNCTION("""COMPUTED_VALUE"""),46071.0)</f>
        <v>46071</v>
      </c>
      <c r="C4037" s="165" t="str">
        <f>IFERROR(__xludf.DUMMYFUNCTION("""COMPUTED_VALUE"""),"KERTASARI CIAMIS")</f>
        <v>KERTASARI CIAMIS</v>
      </c>
      <c r="D4037" s="94">
        <f>IFERROR(__xludf.DUMMYFUNCTION("""COMPUTED_VALUE"""),1.0)</f>
        <v>1</v>
      </c>
    </row>
    <row r="4038">
      <c r="A4038" s="87" t="str">
        <f>IFERROR(__xludf.DUMMYFUNCTION("""COMPUTED_VALUE"""),"ITBISA-SERVO-SG90-360DEG")</f>
        <v>ITBISA-SERVO-SG90-360DEG</v>
      </c>
      <c r="B4038" s="165">
        <f>IFERROR(__xludf.DUMMYFUNCTION("""COMPUTED_VALUE"""),46075.0)</f>
        <v>46075</v>
      </c>
      <c r="C4038" s="165" t="str">
        <f>IFERROR(__xludf.DUMMYFUNCTION("""COMPUTED_VALUE"""),"KERTASARI CIAMIS")</f>
        <v>KERTASARI CIAMIS</v>
      </c>
      <c r="D4038" s="94">
        <f>IFERROR(__xludf.DUMMYFUNCTION("""COMPUTED_VALUE"""),1.0)</f>
        <v>1</v>
      </c>
    </row>
    <row r="4039">
      <c r="A4039" s="87" t="str">
        <f>IFERROR(__xludf.DUMMYFUNCTION("""COMPUTED_VALUE"""),"ITBISA-SERVO-SG90-360DEG")</f>
        <v>ITBISA-SERVO-SG90-360DEG</v>
      </c>
      <c r="B4039" s="165">
        <f>IFERROR(__xludf.DUMMYFUNCTION("""COMPUTED_VALUE"""),46076.0)</f>
        <v>46076</v>
      </c>
      <c r="C4039" s="165" t="str">
        <f>IFERROR(__xludf.DUMMYFUNCTION("""COMPUTED_VALUE"""),"KERTASARI CIAMIS")</f>
        <v>KERTASARI CIAMIS</v>
      </c>
      <c r="D4039" s="94">
        <f>IFERROR(__xludf.DUMMYFUNCTION("""COMPUTED_VALUE"""),2.0)</f>
        <v>2</v>
      </c>
    </row>
    <row r="4040">
      <c r="A4040" s="87" t="str">
        <f>IFERROR(__xludf.DUMMYFUNCTION("""COMPUTED_VALUE"""),"ITBISA-SERVO-SG90-360DEG")</f>
        <v>ITBISA-SERVO-SG90-360DEG</v>
      </c>
      <c r="B4040" s="165">
        <f>IFERROR(__xludf.DUMMYFUNCTION("""COMPUTED_VALUE"""),46088.0)</f>
        <v>46088</v>
      </c>
      <c r="C4040" s="165" t="str">
        <f>IFERROR(__xludf.DUMMYFUNCTION("""COMPUTED_VALUE"""),"KERTASARI CIAMIS")</f>
        <v>KERTASARI CIAMIS</v>
      </c>
      <c r="D4040" s="94">
        <f>IFERROR(__xludf.DUMMYFUNCTION("""COMPUTED_VALUE"""),1.0)</f>
        <v>1</v>
      </c>
    </row>
    <row r="4041">
      <c r="A4041" s="87" t="str">
        <f>IFERROR(__xludf.DUMMYFUNCTION("""COMPUTED_VALUE"""),"ITBISA-SERVO-SG90-360DEG")</f>
        <v>ITBISA-SERVO-SG90-360DEG</v>
      </c>
      <c r="B4041" s="165">
        <f>IFERROR(__xludf.DUMMYFUNCTION("""COMPUTED_VALUE"""),46093.0)</f>
        <v>46093</v>
      </c>
      <c r="C4041" s="165" t="str">
        <f>IFERROR(__xludf.DUMMYFUNCTION("""COMPUTED_VALUE"""),"KYAI KONTONG")</f>
        <v>KYAI KONTONG</v>
      </c>
      <c r="D4041" s="94">
        <f>IFERROR(__xludf.DUMMYFUNCTION("""COMPUTED_VALUE"""),1.0)</f>
        <v>1</v>
      </c>
    </row>
    <row r="4042">
      <c r="A4042" s="87" t="str">
        <f>IFERROR(__xludf.DUMMYFUNCTION("""COMPUTED_VALUE"""),"ITBISA-SERVO-SG90-360DEG")</f>
        <v>ITBISA-SERVO-SG90-360DEG</v>
      </c>
      <c r="B4042" s="165">
        <f>IFERROR(__xludf.DUMMYFUNCTION("""COMPUTED_VALUE"""),46095.0)</f>
        <v>46095</v>
      </c>
      <c r="C4042" s="165" t="str">
        <f>IFERROR(__xludf.DUMMYFUNCTION("""COMPUTED_VALUE"""),"KYAI KONTONG")</f>
        <v>KYAI KONTONG</v>
      </c>
      <c r="D4042" s="94">
        <f>IFERROR(__xludf.DUMMYFUNCTION("""COMPUTED_VALUE"""),1.0)</f>
        <v>1</v>
      </c>
    </row>
    <row r="4043">
      <c r="A4043" s="87" t="str">
        <f>IFERROR(__xludf.DUMMYFUNCTION("""COMPUTED_VALUE"""),"ITBISA-SERVO-SG90-360DEG")</f>
        <v>ITBISA-SERVO-SG90-360DEG</v>
      </c>
      <c r="B4043" s="165">
        <f>IFERROR(__xludf.DUMMYFUNCTION("""COMPUTED_VALUE"""),46095.0)</f>
        <v>46095</v>
      </c>
      <c r="C4043" s="165" t="str">
        <f>IFERROR(__xludf.DUMMYFUNCTION("""COMPUTED_VALUE"""),"KYAI KONTONG")</f>
        <v>KYAI KONTONG</v>
      </c>
      <c r="D4043" s="94">
        <f>IFERROR(__xludf.DUMMYFUNCTION("""COMPUTED_VALUE"""),2.0)</f>
        <v>2</v>
      </c>
    </row>
    <row r="4044">
      <c r="A4044" s="87" t="str">
        <f>IFERROR(__xludf.DUMMYFUNCTION("""COMPUTED_VALUE"""),"ITBISA-SERVO-SG90-360DEG")</f>
        <v>ITBISA-SERVO-SG90-360DEG</v>
      </c>
      <c r="B4044" s="165">
        <f>IFERROR(__xludf.DUMMYFUNCTION("""COMPUTED_VALUE"""),46096.0)</f>
        <v>46096</v>
      </c>
      <c r="C4044" s="165" t="str">
        <f>IFERROR(__xludf.DUMMYFUNCTION("""COMPUTED_VALUE"""),"KYAI KONTONG")</f>
        <v>KYAI KONTONG</v>
      </c>
      <c r="D4044" s="94">
        <f>IFERROR(__xludf.DUMMYFUNCTION("""COMPUTED_VALUE"""),1.0)</f>
        <v>1</v>
      </c>
    </row>
    <row r="4045">
      <c r="A4045" s="87" t="str">
        <f>IFERROR(__xludf.DUMMYFUNCTION("""COMPUTED_VALUE"""),"ITBISA-SERVO-SG90-360DEG")</f>
        <v>ITBISA-SERVO-SG90-360DEG</v>
      </c>
      <c r="B4045" s="165">
        <f>IFERROR(__xludf.DUMMYFUNCTION("""COMPUTED_VALUE"""),46145.0)</f>
        <v>46145</v>
      </c>
      <c r="C4045" s="165" t="str">
        <f>IFERROR(__xludf.DUMMYFUNCTION("""COMPUTED_VALUE"""),"KYAI KONTONG")</f>
        <v>KYAI KONTONG</v>
      </c>
      <c r="D4045" s="94">
        <f>IFERROR(__xludf.DUMMYFUNCTION("""COMPUTED_VALUE"""),1.0)</f>
        <v>1</v>
      </c>
    </row>
    <row r="4046">
      <c r="A4046" s="87" t="str">
        <f>IFERROR(__xludf.DUMMYFUNCTION("""COMPUTED_VALUE"""),"ITBISA-SERVO-SG90-360DEG")</f>
        <v>ITBISA-SERVO-SG90-360DEG</v>
      </c>
      <c r="B4046" s="165">
        <f>IFERROR(__xludf.DUMMYFUNCTION("""COMPUTED_VALUE"""),46150.0)</f>
        <v>46150</v>
      </c>
      <c r="C4046" s="165" t="str">
        <f>IFERROR(__xludf.DUMMYFUNCTION("""COMPUTED_VALUE"""),"KYAI KONTONG")</f>
        <v>KYAI KONTONG</v>
      </c>
      <c r="D4046" s="94">
        <f>IFERROR(__xludf.DUMMYFUNCTION("""COMPUTED_VALUE"""),1.0)</f>
        <v>1</v>
      </c>
    </row>
    <row r="4047">
      <c r="A4047" s="87" t="str">
        <f>IFERROR(__xludf.DUMMYFUNCTION("""COMPUTED_VALUE"""),"ITBISA-SERVO-SG90-360DEG")</f>
        <v>ITBISA-SERVO-SG90-360DEG</v>
      </c>
      <c r="B4047" s="165">
        <f>IFERROR(__xludf.DUMMYFUNCTION("""COMPUTED_VALUE"""),46150.0)</f>
        <v>46150</v>
      </c>
      <c r="C4047" s="165" t="str">
        <f>IFERROR(__xludf.DUMMYFUNCTION("""COMPUTED_VALUE"""),"KYAI KONTONG")</f>
        <v>KYAI KONTONG</v>
      </c>
      <c r="D4047" s="94">
        <f>IFERROR(__xludf.DUMMYFUNCTION("""COMPUTED_VALUE"""),1.0)</f>
        <v>1</v>
      </c>
    </row>
    <row r="4048">
      <c r="A4048" s="87" t="str">
        <f>IFERROR(__xludf.DUMMYFUNCTION("""COMPUTED_VALUE"""),"ITBISA-SERVO-SG90-360DEG")</f>
        <v>ITBISA-SERVO-SG90-360DEG</v>
      </c>
      <c r="B4048" s="165">
        <f>IFERROR(__xludf.DUMMYFUNCTION("""COMPUTED_VALUE"""),46151.0)</f>
        <v>46151</v>
      </c>
      <c r="C4048" s="165" t="str">
        <f>IFERROR(__xludf.DUMMYFUNCTION("""COMPUTED_VALUE"""),"KYAI KONTONG")</f>
        <v>KYAI KONTONG</v>
      </c>
      <c r="D4048" s="94">
        <f>IFERROR(__xludf.DUMMYFUNCTION("""COMPUTED_VALUE"""),10.0)</f>
        <v>10</v>
      </c>
    </row>
    <row r="4049">
      <c r="A4049" s="87" t="str">
        <f>IFERROR(__xludf.DUMMYFUNCTION("""COMPUTED_VALUE"""),"ITBISA-SERVO-SG90-360DEG")</f>
        <v>ITBISA-SERVO-SG90-360DEG</v>
      </c>
      <c r="B4049" s="165">
        <f>IFERROR(__xludf.DUMMYFUNCTION("""COMPUTED_VALUE"""),46153.0)</f>
        <v>46153</v>
      </c>
      <c r="C4049" s="165" t="str">
        <f>IFERROR(__xludf.DUMMYFUNCTION("""COMPUTED_VALUE"""),"KYAI KONTONG")</f>
        <v>KYAI KONTONG</v>
      </c>
      <c r="D4049" s="94">
        <f>IFERROR(__xludf.DUMMYFUNCTION("""COMPUTED_VALUE"""),1.0)</f>
        <v>1</v>
      </c>
    </row>
    <row r="4050">
      <c r="A4050" s="87" t="str">
        <f>IFERROR(__xludf.DUMMYFUNCTION("""COMPUTED_VALUE"""),"ITBISA-SOCKET-BATERAI-AA-4SLOT")</f>
        <v>ITBISA-SOCKET-BATERAI-AA-4SLOT</v>
      </c>
      <c r="B4050" s="165">
        <f>IFERROR(__xludf.DUMMYFUNCTION("""COMPUTED_VALUE"""),46157.0)</f>
        <v>46157</v>
      </c>
      <c r="C4050" s="165" t="str">
        <f>IFERROR(__xludf.DUMMYFUNCTION("""COMPUTED_VALUE"""),"KYAI KONTONG")</f>
        <v>KYAI KONTONG</v>
      </c>
      <c r="D4050" s="94">
        <f>IFERROR(__xludf.DUMMYFUNCTION("""COMPUTED_VALUE"""),1.0)</f>
        <v>1</v>
      </c>
    </row>
    <row r="4051">
      <c r="A4051" s="87" t="str">
        <f>IFERROR(__xludf.DUMMYFUNCTION("""COMPUTED_VALUE"""),"ITBISA-SOCKET-IC-DIP14-NARROW")</f>
        <v>ITBISA-SOCKET-IC-DIP14-NARROW</v>
      </c>
      <c r="B4051" s="165">
        <f>IFERROR(__xludf.DUMMYFUNCTION("""COMPUTED_VALUE"""),46030.0)</f>
        <v>46030</v>
      </c>
      <c r="C4051" s="165" t="str">
        <f>IFERROR(__xludf.DUMMYFUNCTION("""COMPUTED_VALUE"""),"KYAI KONTONG")</f>
        <v>KYAI KONTONG</v>
      </c>
      <c r="D4051" s="94">
        <f>IFERROR(__xludf.DUMMYFUNCTION("""COMPUTED_VALUE"""),2.0)</f>
        <v>2</v>
      </c>
    </row>
    <row r="4052">
      <c r="A4052" s="87" t="str">
        <f>IFERROR(__xludf.DUMMYFUNCTION("""COMPUTED_VALUE"""),"ITBISA-SOCKET-IC-DIP14-NARROW")</f>
        <v>ITBISA-SOCKET-IC-DIP14-NARROW</v>
      </c>
      <c r="B4052" s="165">
        <f>IFERROR(__xludf.DUMMYFUNCTION("""COMPUTED_VALUE"""),46039.0)</f>
        <v>46039</v>
      </c>
      <c r="C4052" s="165" t="str">
        <f>IFERROR(__xludf.DUMMYFUNCTION("""COMPUTED_VALUE"""),"KERTASARI CIAMIS")</f>
        <v>KERTASARI CIAMIS</v>
      </c>
      <c r="D4052" s="94">
        <f>IFERROR(__xludf.DUMMYFUNCTION("""COMPUTED_VALUE"""),1.0)</f>
        <v>1</v>
      </c>
    </row>
    <row r="4053">
      <c r="A4053" s="87" t="str">
        <f>IFERROR(__xludf.DUMMYFUNCTION("""COMPUTED_VALUE"""),"ITBISA-SOCKET-IC-DIP14-NARROW")</f>
        <v>ITBISA-SOCKET-IC-DIP14-NARROW</v>
      </c>
      <c r="B4053" s="165">
        <f>IFERROR(__xludf.DUMMYFUNCTION("""COMPUTED_VALUE"""),46054.0)</f>
        <v>46054</v>
      </c>
      <c r="C4053" s="165" t="str">
        <f>IFERROR(__xludf.DUMMYFUNCTION("""COMPUTED_VALUE"""),"KERTASARI CIAMIS")</f>
        <v>KERTASARI CIAMIS</v>
      </c>
      <c r="D4053" s="94">
        <f>IFERROR(__xludf.DUMMYFUNCTION("""COMPUTED_VALUE"""),5.0)</f>
        <v>5</v>
      </c>
    </row>
    <row r="4054">
      <c r="A4054" s="87" t="str">
        <f>IFERROR(__xludf.DUMMYFUNCTION("""COMPUTED_VALUE"""),"ITBISA-SOCKET-IC-DIP14-NARROW")</f>
        <v>ITBISA-SOCKET-IC-DIP14-NARROW</v>
      </c>
      <c r="B4054" s="165">
        <f>IFERROR(__xludf.DUMMYFUNCTION("""COMPUTED_VALUE"""),46072.0)</f>
        <v>46072</v>
      </c>
      <c r="C4054" s="165" t="str">
        <f>IFERROR(__xludf.DUMMYFUNCTION("""COMPUTED_VALUE"""),"KYAI KONTONG")</f>
        <v>KYAI KONTONG</v>
      </c>
      <c r="D4054" s="94">
        <f>IFERROR(__xludf.DUMMYFUNCTION("""COMPUTED_VALUE"""),1.0)</f>
        <v>1</v>
      </c>
    </row>
    <row r="4055">
      <c r="A4055" s="87" t="str">
        <f>IFERROR(__xludf.DUMMYFUNCTION("""COMPUTED_VALUE"""),"ITBISA-SOCKET-IC-DIP14-NARROW")</f>
        <v>ITBISA-SOCKET-IC-DIP14-NARROW</v>
      </c>
      <c r="B4055" s="165">
        <f>IFERROR(__xludf.DUMMYFUNCTION("""COMPUTED_VALUE"""),46082.0)</f>
        <v>46082</v>
      </c>
      <c r="C4055" s="165" t="str">
        <f>IFERROR(__xludf.DUMMYFUNCTION("""COMPUTED_VALUE"""),"KYAI KONTONG")</f>
        <v>KYAI KONTONG</v>
      </c>
      <c r="D4055" s="94">
        <f>IFERROR(__xludf.DUMMYFUNCTION("""COMPUTED_VALUE"""),2.0)</f>
        <v>2</v>
      </c>
    </row>
    <row r="4056">
      <c r="A4056" s="87" t="str">
        <f>IFERROR(__xludf.DUMMYFUNCTION("""COMPUTED_VALUE"""),"ITBISA-SOCKET-IC-DIP14-NARROW")</f>
        <v>ITBISA-SOCKET-IC-DIP14-NARROW</v>
      </c>
      <c r="B4056" s="165">
        <f>IFERROR(__xludf.DUMMYFUNCTION("""COMPUTED_VALUE"""),46104.0)</f>
        <v>46104</v>
      </c>
      <c r="C4056" s="165" t="str">
        <f>IFERROR(__xludf.DUMMYFUNCTION("""COMPUTED_VALUE"""),"KYAI KONTONG")</f>
        <v>KYAI KONTONG</v>
      </c>
      <c r="D4056" s="94">
        <f>IFERROR(__xludf.DUMMYFUNCTION("""COMPUTED_VALUE"""),20.0)</f>
        <v>20</v>
      </c>
    </row>
    <row r="4057">
      <c r="A4057" s="87" t="str">
        <f>IFERROR(__xludf.DUMMYFUNCTION("""COMPUTED_VALUE"""),"ITBISA-SOCKET-IC-DIP14-NARROW")</f>
        <v>ITBISA-SOCKET-IC-DIP14-NARROW</v>
      </c>
      <c r="B4057" s="165">
        <f>IFERROR(__xludf.DUMMYFUNCTION("""COMPUTED_VALUE"""),46118.0)</f>
        <v>46118</v>
      </c>
      <c r="C4057" s="165" t="str">
        <f>IFERROR(__xludf.DUMMYFUNCTION("""COMPUTED_VALUE"""),"KYAI KONTONG")</f>
        <v>KYAI KONTONG</v>
      </c>
      <c r="D4057" s="94">
        <f>IFERROR(__xludf.DUMMYFUNCTION("""COMPUTED_VALUE"""),2.0)</f>
        <v>2</v>
      </c>
    </row>
    <row r="4058">
      <c r="A4058" s="87" t="str">
        <f>IFERROR(__xludf.DUMMYFUNCTION("""COMPUTED_VALUE"""),"ITBISA-SOCKET-IC-DIP14-NARROW")</f>
        <v>ITBISA-SOCKET-IC-DIP14-NARROW</v>
      </c>
      <c r="B4058" s="165">
        <f>IFERROR(__xludf.DUMMYFUNCTION("""COMPUTED_VALUE"""),46124.0)</f>
        <v>46124</v>
      </c>
      <c r="C4058" s="165" t="str">
        <f>IFERROR(__xludf.DUMMYFUNCTION("""COMPUTED_VALUE"""),"KYAI KONTONG")</f>
        <v>KYAI KONTONG</v>
      </c>
      <c r="D4058" s="94">
        <f>IFERROR(__xludf.DUMMYFUNCTION("""COMPUTED_VALUE"""),10.0)</f>
        <v>10</v>
      </c>
    </row>
    <row r="4059">
      <c r="A4059" s="87" t="str">
        <f>IFERROR(__xludf.DUMMYFUNCTION("""COMPUTED_VALUE"""),"ITBISA-SOCKET-IC-DIP14-NARROW")</f>
        <v>ITBISA-SOCKET-IC-DIP14-NARROW</v>
      </c>
      <c r="B4059" s="165">
        <f>IFERROR(__xludf.DUMMYFUNCTION("""COMPUTED_VALUE"""),46132.0)</f>
        <v>46132</v>
      </c>
      <c r="C4059" s="165" t="str">
        <f>IFERROR(__xludf.DUMMYFUNCTION("""COMPUTED_VALUE"""),"KYAI KONTONG")</f>
        <v>KYAI KONTONG</v>
      </c>
      <c r="D4059" s="94">
        <f>IFERROR(__xludf.DUMMYFUNCTION("""COMPUTED_VALUE"""),4.0)</f>
        <v>4</v>
      </c>
    </row>
    <row r="4060">
      <c r="A4060" s="87" t="str">
        <f>IFERROR(__xludf.DUMMYFUNCTION("""COMPUTED_VALUE"""),"ITBISA-SOCKET-IC-DIP14-NARROW")</f>
        <v>ITBISA-SOCKET-IC-DIP14-NARROW</v>
      </c>
      <c r="B4060" s="165">
        <f>IFERROR(__xludf.DUMMYFUNCTION("""COMPUTED_VALUE"""),46141.0)</f>
        <v>46141</v>
      </c>
      <c r="C4060" s="165" t="str">
        <f>IFERROR(__xludf.DUMMYFUNCTION("""COMPUTED_VALUE"""),"KYAI KONTONG")</f>
        <v>KYAI KONTONG</v>
      </c>
      <c r="D4060" s="94">
        <f>IFERROR(__xludf.DUMMYFUNCTION("""COMPUTED_VALUE"""),20.0)</f>
        <v>20</v>
      </c>
    </row>
    <row r="4061">
      <c r="A4061" s="87" t="str">
        <f>IFERROR(__xludf.DUMMYFUNCTION("""COMPUTED_VALUE"""),"ITBISA-SOCKET-IC-DIP14-NARROW")</f>
        <v>ITBISA-SOCKET-IC-DIP14-NARROW</v>
      </c>
      <c r="B4061" s="165">
        <f>IFERROR(__xludf.DUMMYFUNCTION("""COMPUTED_VALUE"""),46147.0)</f>
        <v>46147</v>
      </c>
      <c r="C4061" s="165" t="str">
        <f>IFERROR(__xludf.DUMMYFUNCTION("""COMPUTED_VALUE"""),"KYAI KONTONG")</f>
        <v>KYAI KONTONG</v>
      </c>
      <c r="D4061" s="94">
        <f>IFERROR(__xludf.DUMMYFUNCTION("""COMPUTED_VALUE"""),10.0)</f>
        <v>10</v>
      </c>
    </row>
    <row r="4062">
      <c r="A4062" s="87" t="str">
        <f>IFERROR(__xludf.DUMMYFUNCTION("""COMPUTED_VALUE"""),"ITBISA-SOCKET-IC-DIP14-NARROW")</f>
        <v>ITBISA-SOCKET-IC-DIP14-NARROW</v>
      </c>
      <c r="B4062" s="165">
        <f>IFERROR(__xludf.DUMMYFUNCTION("""COMPUTED_VALUE"""),46161.0)</f>
        <v>46161</v>
      </c>
      <c r="C4062" s="165" t="str">
        <f>IFERROR(__xludf.DUMMYFUNCTION("""COMPUTED_VALUE"""),"KYAI KONTONG")</f>
        <v>KYAI KONTONG</v>
      </c>
      <c r="D4062" s="94">
        <f>IFERROR(__xludf.DUMMYFUNCTION("""COMPUTED_VALUE"""),10.0)</f>
        <v>10</v>
      </c>
    </row>
    <row r="4063">
      <c r="A4063" s="87" t="str">
        <f>IFERROR(__xludf.DUMMYFUNCTION("""COMPUTED_VALUE"""),"ITBISA-SOCKET-IC-DIP14-NARROW")</f>
        <v>ITBISA-SOCKET-IC-DIP14-NARROW</v>
      </c>
      <c r="B4063" s="165">
        <f>IFERROR(__xludf.DUMMYFUNCTION("""COMPUTED_VALUE"""),46167.0)</f>
        <v>46167</v>
      </c>
      <c r="C4063" s="165" t="str">
        <f>IFERROR(__xludf.DUMMYFUNCTION("""COMPUTED_VALUE"""),"KYAI KONTONG")</f>
        <v>KYAI KONTONG</v>
      </c>
      <c r="D4063" s="94">
        <f>IFERROR(__xludf.DUMMYFUNCTION("""COMPUTED_VALUE"""),10.0)</f>
        <v>10</v>
      </c>
    </row>
    <row r="4064">
      <c r="A4064" s="87" t="str">
        <f>IFERROR(__xludf.DUMMYFUNCTION("""COMPUTED_VALUE"""),"ITBISA-SOCKET-IC-DIP14-NARROW")</f>
        <v>ITBISA-SOCKET-IC-DIP14-NARROW</v>
      </c>
      <c r="B4064" s="165">
        <f>IFERROR(__xludf.DUMMYFUNCTION("""COMPUTED_VALUE"""),46168.0)</f>
        <v>46168</v>
      </c>
      <c r="C4064" s="165" t="str">
        <f>IFERROR(__xludf.DUMMYFUNCTION("""COMPUTED_VALUE"""),"KYAI KONTONG")</f>
        <v>KYAI KONTONG</v>
      </c>
      <c r="D4064" s="94">
        <f>IFERROR(__xludf.DUMMYFUNCTION("""COMPUTED_VALUE"""),2.0)</f>
        <v>2</v>
      </c>
    </row>
    <row r="4065">
      <c r="A4065" s="87" t="str">
        <f>IFERROR(__xludf.DUMMYFUNCTION("""COMPUTED_VALUE"""),"ITBISA-SOCKET-IC-DIP14-NARROW")</f>
        <v>ITBISA-SOCKET-IC-DIP14-NARROW</v>
      </c>
      <c r="B4065" s="165">
        <f>IFERROR(__xludf.DUMMYFUNCTION("""COMPUTED_VALUE"""),46178.0)</f>
        <v>46178</v>
      </c>
      <c r="C4065" s="165" t="str">
        <f>IFERROR(__xludf.DUMMYFUNCTION("""COMPUTED_VALUE"""),"KYAI KONTONG")</f>
        <v>KYAI KONTONG</v>
      </c>
      <c r="D4065" s="94">
        <f>IFERROR(__xludf.DUMMYFUNCTION("""COMPUTED_VALUE"""),4.0)</f>
        <v>4</v>
      </c>
    </row>
    <row r="4066">
      <c r="A4066" s="87" t="str">
        <f>IFERROR(__xludf.DUMMYFUNCTION("""COMPUTED_VALUE"""),"ITBISA-SOCKET-IC-DIP14-NARROW")</f>
        <v>ITBISA-SOCKET-IC-DIP14-NARROW</v>
      </c>
      <c r="B4066" s="165">
        <f>IFERROR(__xludf.DUMMYFUNCTION("""COMPUTED_VALUE"""),46187.0)</f>
        <v>46187</v>
      </c>
      <c r="C4066" s="165" t="str">
        <f>IFERROR(__xludf.DUMMYFUNCTION("""COMPUTED_VALUE"""),"KYAI KONTONG")</f>
        <v>KYAI KONTONG</v>
      </c>
      <c r="D4066" s="94">
        <f>IFERROR(__xludf.DUMMYFUNCTION("""COMPUTED_VALUE"""),8.0)</f>
        <v>8</v>
      </c>
    </row>
    <row r="4067">
      <c r="A4067" s="87" t="str">
        <f>IFERROR(__xludf.DUMMYFUNCTION("""COMPUTED_VALUE"""),"ITBISA-SOCKET-IC-DIP14-NARROW")</f>
        <v>ITBISA-SOCKET-IC-DIP14-NARROW</v>
      </c>
      <c r="B4067" s="165">
        <f>IFERROR(__xludf.DUMMYFUNCTION("""COMPUTED_VALUE"""),46187.0)</f>
        <v>46187</v>
      </c>
      <c r="C4067" s="165" t="str">
        <f>IFERROR(__xludf.DUMMYFUNCTION("""COMPUTED_VALUE"""),"KYAI KONTONG")</f>
        <v>KYAI KONTONG</v>
      </c>
      <c r="D4067" s="94">
        <f>IFERROR(__xludf.DUMMYFUNCTION("""COMPUTED_VALUE"""),10.0)</f>
        <v>10</v>
      </c>
    </row>
    <row r="4068">
      <c r="A4068" s="87" t="str">
        <f>IFERROR(__xludf.DUMMYFUNCTION("""COMPUTED_VALUE"""),"ITBISA-SOCKET-IC-DIP14-NARROW")</f>
        <v>ITBISA-SOCKET-IC-DIP14-NARROW</v>
      </c>
      <c r="B4068" s="165">
        <f>IFERROR(__xludf.DUMMYFUNCTION("""COMPUTED_VALUE"""),46192.0)</f>
        <v>46192</v>
      </c>
      <c r="C4068" s="165" t="str">
        <f>IFERROR(__xludf.DUMMYFUNCTION("""COMPUTED_VALUE"""),"KYAI KONTONG")</f>
        <v>KYAI KONTONG</v>
      </c>
      <c r="D4068" s="94">
        <f>IFERROR(__xludf.DUMMYFUNCTION("""COMPUTED_VALUE"""),1.0)</f>
        <v>1</v>
      </c>
    </row>
    <row r="4069">
      <c r="A4069" s="87" t="str">
        <f>IFERROR(__xludf.DUMMYFUNCTION("""COMPUTED_VALUE"""),"ITBISA-SOCKET-IC-DIP14-NARROW")</f>
        <v>ITBISA-SOCKET-IC-DIP14-NARROW</v>
      </c>
      <c r="B4069" s="165">
        <f>IFERROR(__xludf.DUMMYFUNCTION("""COMPUTED_VALUE"""),46192.0)</f>
        <v>46192</v>
      </c>
      <c r="C4069" s="165" t="str">
        <f>IFERROR(__xludf.DUMMYFUNCTION("""COMPUTED_VALUE"""),"KYAI KONTONG")</f>
        <v>KYAI KONTONG</v>
      </c>
      <c r="D4069" s="94">
        <f>IFERROR(__xludf.DUMMYFUNCTION("""COMPUTED_VALUE"""),5.0)</f>
        <v>5</v>
      </c>
    </row>
    <row r="4070">
      <c r="A4070" s="87" t="str">
        <f>IFERROR(__xludf.DUMMYFUNCTION("""COMPUTED_VALUE"""),"ITBISA-SOCKET-IC-DIP14-NARROW")</f>
        <v>ITBISA-SOCKET-IC-DIP14-NARROW</v>
      </c>
      <c r="B4070" s="165">
        <f>IFERROR(__xludf.DUMMYFUNCTION("""COMPUTED_VALUE"""),46193.0)</f>
        <v>46193</v>
      </c>
      <c r="C4070" s="165" t="str">
        <f>IFERROR(__xludf.DUMMYFUNCTION("""COMPUTED_VALUE"""),"KYAI KONTONG")</f>
        <v>KYAI KONTONG</v>
      </c>
      <c r="D4070" s="94">
        <f>IFERROR(__xludf.DUMMYFUNCTION("""COMPUTED_VALUE"""),1.0)</f>
        <v>1</v>
      </c>
    </row>
    <row r="4071">
      <c r="A4071" s="87" t="str">
        <f>IFERROR(__xludf.DUMMYFUNCTION("""COMPUTED_VALUE"""),"ITBISA-SOCKET-IC-DIP14-NARROW")</f>
        <v>ITBISA-SOCKET-IC-DIP14-NARROW</v>
      </c>
      <c r="B4071" s="165">
        <f>IFERROR(__xludf.DUMMYFUNCTION("""COMPUTED_VALUE"""),46193.0)</f>
        <v>46193</v>
      </c>
      <c r="C4071" s="165" t="str">
        <f>IFERROR(__xludf.DUMMYFUNCTION("""COMPUTED_VALUE"""),"KYAI KONTONG")</f>
        <v>KYAI KONTONG</v>
      </c>
      <c r="D4071" s="94">
        <f>IFERROR(__xludf.DUMMYFUNCTION("""COMPUTED_VALUE"""),50.0)</f>
        <v>50</v>
      </c>
    </row>
    <row r="4072">
      <c r="A4072" s="87" t="str">
        <f>IFERROR(__xludf.DUMMYFUNCTION("""COMPUTED_VALUE"""),"ITBISA-SOCKET-IC-DIP14-NARROW")</f>
        <v>ITBISA-SOCKET-IC-DIP14-NARROW</v>
      </c>
      <c r="B4072" s="165">
        <f>IFERROR(__xludf.DUMMYFUNCTION("""COMPUTED_VALUE"""),46194.0)</f>
        <v>46194</v>
      </c>
      <c r="C4072" s="165" t="str">
        <f>IFERROR(__xludf.DUMMYFUNCTION("""COMPUTED_VALUE"""),"KYAI KONTONG")</f>
        <v>KYAI KONTONG</v>
      </c>
      <c r="D4072" s="94">
        <f>IFERROR(__xludf.DUMMYFUNCTION("""COMPUTED_VALUE"""),10.0)</f>
        <v>10</v>
      </c>
    </row>
    <row r="4073">
      <c r="A4073" s="87" t="str">
        <f>IFERROR(__xludf.DUMMYFUNCTION("""COMPUTED_VALUE"""),"ITBISA-SOCKET-IC-DIP16-NARROW")</f>
        <v>ITBISA-SOCKET-IC-DIP16-NARROW</v>
      </c>
      <c r="B4073" s="165">
        <f>IFERROR(__xludf.DUMMYFUNCTION("""COMPUTED_VALUE"""),46023.0)</f>
        <v>46023</v>
      </c>
      <c r="C4073" s="165" t="str">
        <f>IFERROR(__xludf.DUMMYFUNCTION("""COMPUTED_VALUE"""),"KYAI KONTONG")</f>
        <v>KYAI KONTONG</v>
      </c>
      <c r="D4073" s="94">
        <f>IFERROR(__xludf.DUMMYFUNCTION("""COMPUTED_VALUE"""),100.0)</f>
        <v>100</v>
      </c>
    </row>
    <row r="4074">
      <c r="A4074" s="87" t="str">
        <f>IFERROR(__xludf.DUMMYFUNCTION("""COMPUTED_VALUE"""),"ITBISA-SOCKET-IC-DIP16-NARROW")</f>
        <v>ITBISA-SOCKET-IC-DIP16-NARROW</v>
      </c>
      <c r="B4074" s="165">
        <f>IFERROR(__xludf.DUMMYFUNCTION("""COMPUTED_VALUE"""),46023.0)</f>
        <v>46023</v>
      </c>
      <c r="C4074" s="165" t="str">
        <f>IFERROR(__xludf.DUMMYFUNCTION("""COMPUTED_VALUE"""),"KYAI KONTONG")</f>
        <v>KYAI KONTONG</v>
      </c>
      <c r="D4074" s="94">
        <f>IFERROR(__xludf.DUMMYFUNCTION("""COMPUTED_VALUE"""),100.0)</f>
        <v>100</v>
      </c>
    </row>
    <row r="4075">
      <c r="A4075" s="87" t="str">
        <f>IFERROR(__xludf.DUMMYFUNCTION("""COMPUTED_VALUE"""),"ITBISA-SOCKET-IC-DIP16-NARROW")</f>
        <v>ITBISA-SOCKET-IC-DIP16-NARROW</v>
      </c>
      <c r="B4075" s="165">
        <f>IFERROR(__xludf.DUMMYFUNCTION("""COMPUTED_VALUE"""),46024.0)</f>
        <v>46024</v>
      </c>
      <c r="C4075" s="165" t="str">
        <f>IFERROR(__xludf.DUMMYFUNCTION("""COMPUTED_VALUE"""),"KYAI KONTONG")</f>
        <v>KYAI KONTONG</v>
      </c>
      <c r="D4075" s="94">
        <f>IFERROR(__xludf.DUMMYFUNCTION("""COMPUTED_VALUE"""),30.0)</f>
        <v>30</v>
      </c>
    </row>
    <row r="4076">
      <c r="A4076" s="87" t="str">
        <f>IFERROR(__xludf.DUMMYFUNCTION("""COMPUTED_VALUE"""),"ITBISA-SOCKET-IC-DIP16-NARROW")</f>
        <v>ITBISA-SOCKET-IC-DIP16-NARROW</v>
      </c>
      <c r="B4076" s="165">
        <f>IFERROR(__xludf.DUMMYFUNCTION("""COMPUTED_VALUE"""),46027.0)</f>
        <v>46027</v>
      </c>
      <c r="C4076" s="165" t="str">
        <f>IFERROR(__xludf.DUMMYFUNCTION("""COMPUTED_VALUE"""),"KERTASARI CIAMIS")</f>
        <v>KERTASARI CIAMIS</v>
      </c>
      <c r="D4076" s="94">
        <f>IFERROR(__xludf.DUMMYFUNCTION("""COMPUTED_VALUE"""),38.0)</f>
        <v>38</v>
      </c>
    </row>
    <row r="4077">
      <c r="A4077" s="87" t="str">
        <f>IFERROR(__xludf.DUMMYFUNCTION("""COMPUTED_VALUE"""),"ITBISA-SOCKET-IC-DIP16-NARROW")</f>
        <v>ITBISA-SOCKET-IC-DIP16-NARROW</v>
      </c>
      <c r="B4077" s="165">
        <f>IFERROR(__xludf.DUMMYFUNCTION("""COMPUTED_VALUE"""),46028.0)</f>
        <v>46028</v>
      </c>
      <c r="C4077" s="165" t="str">
        <f>IFERROR(__xludf.DUMMYFUNCTION("""COMPUTED_VALUE"""),"KERTASARI CIAMIS")</f>
        <v>KERTASARI CIAMIS</v>
      </c>
      <c r="D4077" s="94">
        <f>IFERROR(__xludf.DUMMYFUNCTION("""COMPUTED_VALUE"""),16.0)</f>
        <v>16</v>
      </c>
    </row>
    <row r="4078">
      <c r="A4078" s="87" t="str">
        <f>IFERROR(__xludf.DUMMYFUNCTION("""COMPUTED_VALUE"""),"ITBISA-SOCKET-IC-DIP16-NARROW")</f>
        <v>ITBISA-SOCKET-IC-DIP16-NARROW</v>
      </c>
      <c r="B4078" s="165">
        <f>IFERROR(__xludf.DUMMYFUNCTION("""COMPUTED_VALUE"""),46028.0)</f>
        <v>46028</v>
      </c>
      <c r="C4078" s="165" t="str">
        <f>IFERROR(__xludf.DUMMYFUNCTION("""COMPUTED_VALUE"""),"KYAI KONTONG")</f>
        <v>KYAI KONTONG</v>
      </c>
      <c r="D4078" s="94">
        <f>IFERROR(__xludf.DUMMYFUNCTION("""COMPUTED_VALUE"""),12.0)</f>
        <v>12</v>
      </c>
    </row>
    <row r="4079">
      <c r="A4079" s="87" t="str">
        <f>IFERROR(__xludf.DUMMYFUNCTION("""COMPUTED_VALUE"""),"ITBISA-SOCKET-IC-DIP16-NARROW")</f>
        <v>ITBISA-SOCKET-IC-DIP16-NARROW</v>
      </c>
      <c r="B4079" s="165">
        <f>IFERROR(__xludf.DUMMYFUNCTION("""COMPUTED_VALUE"""),46028.0)</f>
        <v>46028</v>
      </c>
      <c r="C4079" s="165" t="str">
        <f>IFERROR(__xludf.DUMMYFUNCTION("""COMPUTED_VALUE"""),"KYAI KONTONG")</f>
        <v>KYAI KONTONG</v>
      </c>
      <c r="D4079" s="94">
        <f>IFERROR(__xludf.DUMMYFUNCTION("""COMPUTED_VALUE"""),20.0)</f>
        <v>20</v>
      </c>
    </row>
    <row r="4080">
      <c r="A4080" s="87" t="str">
        <f>IFERROR(__xludf.DUMMYFUNCTION("""COMPUTED_VALUE"""),"ITBISA-SOCKET-IC-DIP16-NARROW")</f>
        <v>ITBISA-SOCKET-IC-DIP16-NARROW</v>
      </c>
      <c r="B4080" s="165">
        <f>IFERROR(__xludf.DUMMYFUNCTION("""COMPUTED_VALUE"""),46030.0)</f>
        <v>46030</v>
      </c>
      <c r="C4080" s="165" t="str">
        <f>IFERROR(__xludf.DUMMYFUNCTION("""COMPUTED_VALUE"""),"KYAI KONTONG")</f>
        <v>KYAI KONTONG</v>
      </c>
      <c r="D4080" s="94">
        <f>IFERROR(__xludf.DUMMYFUNCTION("""COMPUTED_VALUE"""),5.0)</f>
        <v>5</v>
      </c>
    </row>
    <row r="4081">
      <c r="A4081" s="87" t="str">
        <f>IFERROR(__xludf.DUMMYFUNCTION("""COMPUTED_VALUE"""),"ITBISA-SOCKET-IC-DIP16-NARROW")</f>
        <v>ITBISA-SOCKET-IC-DIP16-NARROW</v>
      </c>
      <c r="B4081" s="165">
        <f>IFERROR(__xludf.DUMMYFUNCTION("""COMPUTED_VALUE"""),46035.0)</f>
        <v>46035</v>
      </c>
      <c r="C4081" s="165" t="str">
        <f>IFERROR(__xludf.DUMMYFUNCTION("""COMPUTED_VALUE"""),"KYAI KONTONG")</f>
        <v>KYAI KONTONG</v>
      </c>
      <c r="D4081" s="94">
        <f>IFERROR(__xludf.DUMMYFUNCTION("""COMPUTED_VALUE"""),1.0)</f>
        <v>1</v>
      </c>
    </row>
    <row r="4082">
      <c r="A4082" s="87" t="str">
        <f>IFERROR(__xludf.DUMMYFUNCTION("""COMPUTED_VALUE"""),"ITBISA-SOCKET-IC-DIP16-NARROW")</f>
        <v>ITBISA-SOCKET-IC-DIP16-NARROW</v>
      </c>
      <c r="B4082" s="165">
        <f>IFERROR(__xludf.DUMMYFUNCTION("""COMPUTED_VALUE"""),46043.0)</f>
        <v>46043</v>
      </c>
      <c r="C4082" s="165" t="str">
        <f>IFERROR(__xludf.DUMMYFUNCTION("""COMPUTED_VALUE"""),"KYAI KONTONG")</f>
        <v>KYAI KONTONG</v>
      </c>
      <c r="D4082" s="94">
        <f>IFERROR(__xludf.DUMMYFUNCTION("""COMPUTED_VALUE"""),10.0)</f>
        <v>10</v>
      </c>
    </row>
    <row r="4083">
      <c r="A4083" s="87" t="str">
        <f>IFERROR(__xludf.DUMMYFUNCTION("""COMPUTED_VALUE"""),"ITBISA-SOCKET-IC-DIP16-NARROW")</f>
        <v>ITBISA-SOCKET-IC-DIP16-NARROW</v>
      </c>
      <c r="B4083" s="165">
        <f>IFERROR(__xludf.DUMMYFUNCTION("""COMPUTED_VALUE"""),46045.0)</f>
        <v>46045</v>
      </c>
      <c r="C4083" s="165" t="str">
        <f>IFERROR(__xludf.DUMMYFUNCTION("""COMPUTED_VALUE"""),"KERTASARI CIAMIS")</f>
        <v>KERTASARI CIAMIS</v>
      </c>
      <c r="D4083" s="94">
        <f>IFERROR(__xludf.DUMMYFUNCTION("""COMPUTED_VALUE"""),5.0)</f>
        <v>5</v>
      </c>
    </row>
    <row r="4084">
      <c r="A4084" s="87" t="str">
        <f>IFERROR(__xludf.DUMMYFUNCTION("""COMPUTED_VALUE"""),"ITBISA-SOCKET-IC-DIP16-NARROW")</f>
        <v>ITBISA-SOCKET-IC-DIP16-NARROW</v>
      </c>
      <c r="B4084" s="165">
        <f>IFERROR(__xludf.DUMMYFUNCTION("""COMPUTED_VALUE"""),46046.0)</f>
        <v>46046</v>
      </c>
      <c r="C4084" s="165" t="str">
        <f>IFERROR(__xludf.DUMMYFUNCTION("""COMPUTED_VALUE"""),"KYAI KONTONG")</f>
        <v>KYAI KONTONG</v>
      </c>
      <c r="D4084" s="94">
        <f>IFERROR(__xludf.DUMMYFUNCTION("""COMPUTED_VALUE"""),200.0)</f>
        <v>200</v>
      </c>
    </row>
    <row r="4085">
      <c r="A4085" s="87" t="str">
        <f>IFERROR(__xludf.DUMMYFUNCTION("""COMPUTED_VALUE"""),"ITBISA-SOCKET-IC-DIP16-NARROW")</f>
        <v>ITBISA-SOCKET-IC-DIP16-NARROW</v>
      </c>
      <c r="B4085" s="165">
        <f>IFERROR(__xludf.DUMMYFUNCTION("""COMPUTED_VALUE"""),46048.0)</f>
        <v>46048</v>
      </c>
      <c r="C4085" s="165" t="str">
        <f>IFERROR(__xludf.DUMMYFUNCTION("""COMPUTED_VALUE"""),"KYAI KONTONG")</f>
        <v>KYAI KONTONG</v>
      </c>
      <c r="D4085" s="94">
        <f>IFERROR(__xludf.DUMMYFUNCTION("""COMPUTED_VALUE"""),5.0)</f>
        <v>5</v>
      </c>
    </row>
    <row r="4086">
      <c r="A4086" s="87" t="str">
        <f>IFERROR(__xludf.DUMMYFUNCTION("""COMPUTED_VALUE"""),"ITBISA-SOCKET-IC-DIP16-NARROW")</f>
        <v>ITBISA-SOCKET-IC-DIP16-NARROW</v>
      </c>
      <c r="B4086" s="165">
        <f>IFERROR(__xludf.DUMMYFUNCTION("""COMPUTED_VALUE"""),46054.0)</f>
        <v>46054</v>
      </c>
      <c r="C4086" s="165" t="str">
        <f>IFERROR(__xludf.DUMMYFUNCTION("""COMPUTED_VALUE"""),"KERTASARI CIAMIS")</f>
        <v>KERTASARI CIAMIS</v>
      </c>
      <c r="D4086" s="94">
        <f>IFERROR(__xludf.DUMMYFUNCTION("""COMPUTED_VALUE"""),5.0)</f>
        <v>5</v>
      </c>
    </row>
    <row r="4087">
      <c r="A4087" s="87" t="str">
        <f>IFERROR(__xludf.DUMMYFUNCTION("""COMPUTED_VALUE"""),"ITBISA-SOCKET-IC-DIP16-NARROW")</f>
        <v>ITBISA-SOCKET-IC-DIP16-NARROW</v>
      </c>
      <c r="B4087" s="165">
        <f>IFERROR(__xludf.DUMMYFUNCTION("""COMPUTED_VALUE"""),46058.0)</f>
        <v>46058</v>
      </c>
      <c r="C4087" s="165" t="str">
        <f>IFERROR(__xludf.DUMMYFUNCTION("""COMPUTED_VALUE"""),"KYAI KONTONG")</f>
        <v>KYAI KONTONG</v>
      </c>
      <c r="D4087" s="94">
        <f>IFERROR(__xludf.DUMMYFUNCTION("""COMPUTED_VALUE"""),10.0)</f>
        <v>10</v>
      </c>
    </row>
    <row r="4088">
      <c r="A4088" s="87" t="str">
        <f>IFERROR(__xludf.DUMMYFUNCTION("""COMPUTED_VALUE"""),"ITBISA-SOCKET-IC-DIP16-NARROW")</f>
        <v>ITBISA-SOCKET-IC-DIP16-NARROW</v>
      </c>
      <c r="B4088" s="165">
        <f>IFERROR(__xludf.DUMMYFUNCTION("""COMPUTED_VALUE"""),46067.0)</f>
        <v>46067</v>
      </c>
      <c r="C4088" s="165" t="str">
        <f>IFERROR(__xludf.DUMMYFUNCTION("""COMPUTED_VALUE"""),"KERTASARI CIAMIS")</f>
        <v>KERTASARI CIAMIS</v>
      </c>
      <c r="D4088" s="94">
        <f>IFERROR(__xludf.DUMMYFUNCTION("""COMPUTED_VALUE"""),200.0)</f>
        <v>200</v>
      </c>
    </row>
    <row r="4089">
      <c r="A4089" s="87" t="str">
        <f>IFERROR(__xludf.DUMMYFUNCTION("""COMPUTED_VALUE"""),"ITBISA-SOCKET-IC-DIP16-NARROW")</f>
        <v>ITBISA-SOCKET-IC-DIP16-NARROW</v>
      </c>
      <c r="B4089" s="165">
        <f>IFERROR(__xludf.DUMMYFUNCTION("""COMPUTED_VALUE"""),46074.0)</f>
        <v>46074</v>
      </c>
      <c r="C4089" s="165" t="str">
        <f>IFERROR(__xludf.DUMMYFUNCTION("""COMPUTED_VALUE"""),"KERTASARI CIAMIS")</f>
        <v>KERTASARI CIAMIS</v>
      </c>
      <c r="D4089" s="94">
        <f>IFERROR(__xludf.DUMMYFUNCTION("""COMPUTED_VALUE"""),200.0)</f>
        <v>200</v>
      </c>
    </row>
    <row r="4090">
      <c r="A4090" s="87" t="str">
        <f>IFERROR(__xludf.DUMMYFUNCTION("""COMPUTED_VALUE"""),"ITBISA-SOCKET-IC-DIP16-NARROW")</f>
        <v>ITBISA-SOCKET-IC-DIP16-NARROW</v>
      </c>
      <c r="B4090" s="165">
        <f>IFERROR(__xludf.DUMMYFUNCTION("""COMPUTED_VALUE"""),46075.0)</f>
        <v>46075</v>
      </c>
      <c r="C4090" s="165" t="str">
        <f>IFERROR(__xludf.DUMMYFUNCTION("""COMPUTED_VALUE"""),"KYAI KONTONG")</f>
        <v>KYAI KONTONG</v>
      </c>
      <c r="D4090" s="94">
        <f>IFERROR(__xludf.DUMMYFUNCTION("""COMPUTED_VALUE"""),19.0)</f>
        <v>19</v>
      </c>
    </row>
    <row r="4091">
      <c r="A4091" s="87" t="str">
        <f>IFERROR(__xludf.DUMMYFUNCTION("""COMPUTED_VALUE"""),"ITBISA-SOCKET-IC-DIP16-NARROW")</f>
        <v>ITBISA-SOCKET-IC-DIP16-NARROW</v>
      </c>
      <c r="B4091" s="165">
        <f>IFERROR(__xludf.DUMMYFUNCTION("""COMPUTED_VALUE"""),46077.0)</f>
        <v>46077</v>
      </c>
      <c r="C4091" s="165" t="str">
        <f>IFERROR(__xludf.DUMMYFUNCTION("""COMPUTED_VALUE"""),"KERTASARI CIAMIS")</f>
        <v>KERTASARI CIAMIS</v>
      </c>
      <c r="D4091" s="94">
        <f>IFERROR(__xludf.DUMMYFUNCTION("""COMPUTED_VALUE"""),5.0)</f>
        <v>5</v>
      </c>
    </row>
    <row r="4092">
      <c r="A4092" s="87" t="str">
        <f>IFERROR(__xludf.DUMMYFUNCTION("""COMPUTED_VALUE"""),"ITBISA-SOCKET-IC-DIP16-NARROW")</f>
        <v>ITBISA-SOCKET-IC-DIP16-NARROW</v>
      </c>
      <c r="B4092" s="165">
        <f>IFERROR(__xludf.DUMMYFUNCTION("""COMPUTED_VALUE"""),46081.0)</f>
        <v>46081</v>
      </c>
      <c r="C4092" s="165" t="str">
        <f>IFERROR(__xludf.DUMMYFUNCTION("""COMPUTED_VALUE"""),"KERTASARI CIAMIS")</f>
        <v>KERTASARI CIAMIS</v>
      </c>
      <c r="D4092" s="94">
        <f>IFERROR(__xludf.DUMMYFUNCTION("""COMPUTED_VALUE"""),210.0)</f>
        <v>210</v>
      </c>
    </row>
    <row r="4093">
      <c r="A4093" s="87" t="str">
        <f>IFERROR(__xludf.DUMMYFUNCTION("""COMPUTED_VALUE"""),"ITBISA-SOCKET-IC-DIP16-NARROW")</f>
        <v>ITBISA-SOCKET-IC-DIP16-NARROW</v>
      </c>
      <c r="B4093" s="165">
        <f>IFERROR(__xludf.DUMMYFUNCTION("""COMPUTED_VALUE"""),46087.0)</f>
        <v>46087</v>
      </c>
      <c r="C4093" s="165" t="str">
        <f>IFERROR(__xludf.DUMMYFUNCTION("""COMPUTED_VALUE"""),"KYAI KONTONG")</f>
        <v>KYAI KONTONG</v>
      </c>
      <c r="D4093" s="94">
        <f>IFERROR(__xludf.DUMMYFUNCTION("""COMPUTED_VALUE"""),10.0)</f>
        <v>10</v>
      </c>
    </row>
    <row r="4094">
      <c r="A4094" s="87" t="str">
        <f>IFERROR(__xludf.DUMMYFUNCTION("""COMPUTED_VALUE"""),"ITBISA-SOCKET-IC-DIP16-NARROW")</f>
        <v>ITBISA-SOCKET-IC-DIP16-NARROW</v>
      </c>
      <c r="B4094" s="165">
        <f>IFERROR(__xludf.DUMMYFUNCTION("""COMPUTED_VALUE"""),46089.0)</f>
        <v>46089</v>
      </c>
      <c r="C4094" s="165" t="str">
        <f>IFERROR(__xludf.DUMMYFUNCTION("""COMPUTED_VALUE"""),"KYAI KONTONG")</f>
        <v>KYAI KONTONG</v>
      </c>
      <c r="D4094" s="94">
        <f>IFERROR(__xludf.DUMMYFUNCTION("""COMPUTED_VALUE"""),20.0)</f>
        <v>20</v>
      </c>
    </row>
    <row r="4095">
      <c r="A4095" s="87" t="str">
        <f>IFERROR(__xludf.DUMMYFUNCTION("""COMPUTED_VALUE"""),"ITBISA-SOCKET-IC-DIP16-NARROW")</f>
        <v>ITBISA-SOCKET-IC-DIP16-NARROW</v>
      </c>
      <c r="B4095" s="165">
        <f>IFERROR(__xludf.DUMMYFUNCTION("""COMPUTED_VALUE"""),46089.0)</f>
        <v>46089</v>
      </c>
      <c r="C4095" s="165" t="str">
        <f>IFERROR(__xludf.DUMMYFUNCTION("""COMPUTED_VALUE"""),"KYAI KONTONG")</f>
        <v>KYAI KONTONG</v>
      </c>
      <c r="D4095" s="94">
        <f>IFERROR(__xludf.DUMMYFUNCTION("""COMPUTED_VALUE"""),200.0)</f>
        <v>200</v>
      </c>
    </row>
    <row r="4096">
      <c r="A4096" s="87" t="str">
        <f>IFERROR(__xludf.DUMMYFUNCTION("""COMPUTED_VALUE"""),"ITBISA-SOCKET-IC-DIP16-NARROW")</f>
        <v>ITBISA-SOCKET-IC-DIP16-NARROW</v>
      </c>
      <c r="B4096" s="165">
        <f>IFERROR(__xludf.DUMMYFUNCTION("""COMPUTED_VALUE"""),46091.0)</f>
        <v>46091</v>
      </c>
      <c r="C4096" s="165" t="str">
        <f>IFERROR(__xludf.DUMMYFUNCTION("""COMPUTED_VALUE"""),"KYAI KONTONG")</f>
        <v>KYAI KONTONG</v>
      </c>
      <c r="D4096" s="94">
        <f>IFERROR(__xludf.DUMMYFUNCTION("""COMPUTED_VALUE"""),1.0)</f>
        <v>1</v>
      </c>
    </row>
    <row r="4097">
      <c r="A4097" s="87" t="str">
        <f>IFERROR(__xludf.DUMMYFUNCTION("""COMPUTED_VALUE"""),"ITBISA-SOCKET-IC-DIP16-NARROW")</f>
        <v>ITBISA-SOCKET-IC-DIP16-NARROW</v>
      </c>
      <c r="B4097" s="165">
        <f>IFERROR(__xludf.DUMMYFUNCTION("""COMPUTED_VALUE"""),46093.0)</f>
        <v>46093</v>
      </c>
      <c r="C4097" s="165" t="str">
        <f>IFERROR(__xludf.DUMMYFUNCTION("""COMPUTED_VALUE"""),"KYAI KONTONG")</f>
        <v>KYAI KONTONG</v>
      </c>
      <c r="D4097" s="94">
        <f>IFERROR(__xludf.DUMMYFUNCTION("""COMPUTED_VALUE"""),150.0)</f>
        <v>150</v>
      </c>
    </row>
    <row r="4098">
      <c r="A4098" s="87" t="str">
        <f>IFERROR(__xludf.DUMMYFUNCTION("""COMPUTED_VALUE"""),"ITBISA-SOCKET-IC-DIP16-NARROW")</f>
        <v>ITBISA-SOCKET-IC-DIP16-NARROW</v>
      </c>
      <c r="B4098" s="165">
        <f>IFERROR(__xludf.DUMMYFUNCTION("""COMPUTED_VALUE"""),46117.0)</f>
        <v>46117</v>
      </c>
      <c r="C4098" s="165" t="str">
        <f>IFERROR(__xludf.DUMMYFUNCTION("""COMPUTED_VALUE"""),"KYAI KONTONG")</f>
        <v>KYAI KONTONG</v>
      </c>
      <c r="D4098" s="94">
        <f>IFERROR(__xludf.DUMMYFUNCTION("""COMPUTED_VALUE"""),5.0)</f>
        <v>5</v>
      </c>
    </row>
    <row r="4099">
      <c r="A4099" s="87" t="str">
        <f>IFERROR(__xludf.DUMMYFUNCTION("""COMPUTED_VALUE"""),"ITBISA-SOCKET-IC-DIP16-NARROW")</f>
        <v>ITBISA-SOCKET-IC-DIP16-NARROW</v>
      </c>
      <c r="B4099" s="165">
        <f>IFERROR(__xludf.DUMMYFUNCTION("""COMPUTED_VALUE"""),46119.0)</f>
        <v>46119</v>
      </c>
      <c r="C4099" s="165" t="str">
        <f>IFERROR(__xludf.DUMMYFUNCTION("""COMPUTED_VALUE"""),"KYAI KONTONG")</f>
        <v>KYAI KONTONG</v>
      </c>
      <c r="D4099" s="94">
        <f>IFERROR(__xludf.DUMMYFUNCTION("""COMPUTED_VALUE"""),5.0)</f>
        <v>5</v>
      </c>
    </row>
    <row r="4100">
      <c r="A4100" s="87" t="str">
        <f>IFERROR(__xludf.DUMMYFUNCTION("""COMPUTED_VALUE"""),"ITBISA-SOCKET-IC-DIP16-NARROW")</f>
        <v>ITBISA-SOCKET-IC-DIP16-NARROW</v>
      </c>
      <c r="B4100" s="165">
        <f>IFERROR(__xludf.DUMMYFUNCTION("""COMPUTED_VALUE"""),46120.0)</f>
        <v>46120</v>
      </c>
      <c r="C4100" s="165" t="str">
        <f>IFERROR(__xludf.DUMMYFUNCTION("""COMPUTED_VALUE"""),"KYAI KONTONG")</f>
        <v>KYAI KONTONG</v>
      </c>
      <c r="D4100" s="94">
        <f>IFERROR(__xludf.DUMMYFUNCTION("""COMPUTED_VALUE"""),200.0)</f>
        <v>200</v>
      </c>
    </row>
    <row r="4101">
      <c r="A4101" s="87" t="str">
        <f>IFERROR(__xludf.DUMMYFUNCTION("""COMPUTED_VALUE"""),"ITBISA-SOCKET-IC-DIP16-NARROW")</f>
        <v>ITBISA-SOCKET-IC-DIP16-NARROW</v>
      </c>
      <c r="B4101" s="165">
        <f>IFERROR(__xludf.DUMMYFUNCTION("""COMPUTED_VALUE"""),46125.0)</f>
        <v>46125</v>
      </c>
      <c r="C4101" s="165" t="str">
        <f>IFERROR(__xludf.DUMMYFUNCTION("""COMPUTED_VALUE"""),"KYAI KONTONG")</f>
        <v>KYAI KONTONG</v>
      </c>
      <c r="D4101" s="94">
        <f>IFERROR(__xludf.DUMMYFUNCTION("""COMPUTED_VALUE"""),10.0)</f>
        <v>10</v>
      </c>
    </row>
    <row r="4102">
      <c r="A4102" s="87" t="str">
        <f>IFERROR(__xludf.DUMMYFUNCTION("""COMPUTED_VALUE"""),"ITBISA-SOCKET-IC-DIP16-NARROW")</f>
        <v>ITBISA-SOCKET-IC-DIP16-NARROW</v>
      </c>
      <c r="B4102" s="165">
        <f>IFERROR(__xludf.DUMMYFUNCTION("""COMPUTED_VALUE"""),46127.0)</f>
        <v>46127</v>
      </c>
      <c r="C4102" s="165" t="str">
        <f>IFERROR(__xludf.DUMMYFUNCTION("""COMPUTED_VALUE"""),"KYAI KONTONG")</f>
        <v>KYAI KONTONG</v>
      </c>
      <c r="D4102" s="94">
        <f>IFERROR(__xludf.DUMMYFUNCTION("""COMPUTED_VALUE"""),10.0)</f>
        <v>10</v>
      </c>
    </row>
    <row r="4103">
      <c r="A4103" s="87" t="str">
        <f>IFERROR(__xludf.DUMMYFUNCTION("""COMPUTED_VALUE"""),"ITBISA-SOCKET-IC-DIP16-NARROW")</f>
        <v>ITBISA-SOCKET-IC-DIP16-NARROW</v>
      </c>
      <c r="B4103" s="165">
        <f>IFERROR(__xludf.DUMMYFUNCTION("""COMPUTED_VALUE"""),46128.0)</f>
        <v>46128</v>
      </c>
      <c r="C4103" s="165" t="str">
        <f>IFERROR(__xludf.DUMMYFUNCTION("""COMPUTED_VALUE"""),"KYAI KONTONG")</f>
        <v>KYAI KONTONG</v>
      </c>
      <c r="D4103" s="94">
        <f>IFERROR(__xludf.DUMMYFUNCTION("""COMPUTED_VALUE"""),220.0)</f>
        <v>220</v>
      </c>
    </row>
    <row r="4104">
      <c r="A4104" s="87" t="str">
        <f>IFERROR(__xludf.DUMMYFUNCTION("""COMPUTED_VALUE"""),"ITBISA-SOCKET-IC-DIP16-NARROW")</f>
        <v>ITBISA-SOCKET-IC-DIP16-NARROW</v>
      </c>
      <c r="B4104" s="165">
        <f>IFERROR(__xludf.DUMMYFUNCTION("""COMPUTED_VALUE"""),46130.0)</f>
        <v>46130</v>
      </c>
      <c r="C4104" s="165" t="str">
        <f>IFERROR(__xludf.DUMMYFUNCTION("""COMPUTED_VALUE"""),"KYAI KONTONG")</f>
        <v>KYAI KONTONG</v>
      </c>
      <c r="D4104" s="94">
        <f>IFERROR(__xludf.DUMMYFUNCTION("""COMPUTED_VALUE"""),10.0)</f>
        <v>10</v>
      </c>
    </row>
    <row r="4105">
      <c r="A4105" s="87" t="str">
        <f>IFERROR(__xludf.DUMMYFUNCTION("""COMPUTED_VALUE"""),"ITBISA-SOCKET-IC-DIP16-NARROW")</f>
        <v>ITBISA-SOCKET-IC-DIP16-NARROW</v>
      </c>
      <c r="B4105" s="165">
        <f>IFERROR(__xludf.DUMMYFUNCTION("""COMPUTED_VALUE"""),46132.0)</f>
        <v>46132</v>
      </c>
      <c r="C4105" s="165" t="str">
        <f>IFERROR(__xludf.DUMMYFUNCTION("""COMPUTED_VALUE"""),"KYAI KONTONG")</f>
        <v>KYAI KONTONG</v>
      </c>
      <c r="D4105" s="94">
        <f>IFERROR(__xludf.DUMMYFUNCTION("""COMPUTED_VALUE"""),20.0)</f>
        <v>20</v>
      </c>
    </row>
    <row r="4106">
      <c r="A4106" s="87" t="str">
        <f>IFERROR(__xludf.DUMMYFUNCTION("""COMPUTED_VALUE"""),"ITBISA-SOCKET-IC-DIP16-NARROW")</f>
        <v>ITBISA-SOCKET-IC-DIP16-NARROW</v>
      </c>
      <c r="B4106" s="165">
        <f>IFERROR(__xludf.DUMMYFUNCTION("""COMPUTED_VALUE"""),46134.0)</f>
        <v>46134</v>
      </c>
      <c r="C4106" s="165" t="str">
        <f>IFERROR(__xludf.DUMMYFUNCTION("""COMPUTED_VALUE"""),"KYAI KONTONG")</f>
        <v>KYAI KONTONG</v>
      </c>
      <c r="D4106" s="94">
        <f>IFERROR(__xludf.DUMMYFUNCTION("""COMPUTED_VALUE"""),220.0)</f>
        <v>220</v>
      </c>
    </row>
    <row r="4107">
      <c r="A4107" s="87" t="str">
        <f>IFERROR(__xludf.DUMMYFUNCTION("""COMPUTED_VALUE"""),"ITBISA-SOCKET-IC-DIP16-NARROW")</f>
        <v>ITBISA-SOCKET-IC-DIP16-NARROW</v>
      </c>
      <c r="B4107" s="165">
        <f>IFERROR(__xludf.DUMMYFUNCTION("""COMPUTED_VALUE"""),46135.0)</f>
        <v>46135</v>
      </c>
      <c r="C4107" s="165" t="str">
        <f>IFERROR(__xludf.DUMMYFUNCTION("""COMPUTED_VALUE"""),"KYAI KONTONG")</f>
        <v>KYAI KONTONG</v>
      </c>
      <c r="D4107" s="94">
        <f>IFERROR(__xludf.DUMMYFUNCTION("""COMPUTED_VALUE"""),5.0)</f>
        <v>5</v>
      </c>
    </row>
    <row r="4108">
      <c r="A4108" s="87" t="str">
        <f>IFERROR(__xludf.DUMMYFUNCTION("""COMPUTED_VALUE"""),"ITBISA-SOCKET-IC-DIP16-NARROW")</f>
        <v>ITBISA-SOCKET-IC-DIP16-NARROW</v>
      </c>
      <c r="B4108" s="165">
        <f>IFERROR(__xludf.DUMMYFUNCTION("""COMPUTED_VALUE"""),46140.0)</f>
        <v>46140</v>
      </c>
      <c r="C4108" s="165" t="str">
        <f>IFERROR(__xludf.DUMMYFUNCTION("""COMPUTED_VALUE"""),"KYAI KONTONG")</f>
        <v>KYAI KONTONG</v>
      </c>
      <c r="D4108" s="94">
        <f>IFERROR(__xludf.DUMMYFUNCTION("""COMPUTED_VALUE"""),10.0)</f>
        <v>10</v>
      </c>
    </row>
    <row r="4109">
      <c r="A4109" s="87" t="str">
        <f>IFERROR(__xludf.DUMMYFUNCTION("""COMPUTED_VALUE"""),"ITBISA-SOCKET-IC-DIP16-NARROW")</f>
        <v>ITBISA-SOCKET-IC-DIP16-NARROW</v>
      </c>
      <c r="B4109" s="165">
        <f>IFERROR(__xludf.DUMMYFUNCTION("""COMPUTED_VALUE"""),46141.0)</f>
        <v>46141</v>
      </c>
      <c r="C4109" s="165" t="str">
        <f>IFERROR(__xludf.DUMMYFUNCTION("""COMPUTED_VALUE"""),"KYAI KONTONG")</f>
        <v>KYAI KONTONG</v>
      </c>
      <c r="D4109" s="94">
        <f>IFERROR(__xludf.DUMMYFUNCTION("""COMPUTED_VALUE"""),10.0)</f>
        <v>10</v>
      </c>
    </row>
    <row r="4110">
      <c r="A4110" s="87" t="str">
        <f>IFERROR(__xludf.DUMMYFUNCTION("""COMPUTED_VALUE"""),"ITBISA-SOCKET-IC-DIP16-NARROW")</f>
        <v>ITBISA-SOCKET-IC-DIP16-NARROW</v>
      </c>
      <c r="B4110" s="165">
        <f>IFERROR(__xludf.DUMMYFUNCTION("""COMPUTED_VALUE"""),46143.0)</f>
        <v>46143</v>
      </c>
      <c r="C4110" s="165" t="str">
        <f>IFERROR(__xludf.DUMMYFUNCTION("""COMPUTED_VALUE"""),"KYAI KONTONG")</f>
        <v>KYAI KONTONG</v>
      </c>
      <c r="D4110" s="94">
        <f>IFERROR(__xludf.DUMMYFUNCTION("""COMPUTED_VALUE"""),5.0)</f>
        <v>5</v>
      </c>
    </row>
    <row r="4111">
      <c r="A4111" s="87" t="str">
        <f>IFERROR(__xludf.DUMMYFUNCTION("""COMPUTED_VALUE"""),"ITBISA-SOCKET-IC-DIP16-NARROW")</f>
        <v>ITBISA-SOCKET-IC-DIP16-NARROW</v>
      </c>
      <c r="B4111" s="165">
        <f>IFERROR(__xludf.DUMMYFUNCTION("""COMPUTED_VALUE"""),46146.0)</f>
        <v>46146</v>
      </c>
      <c r="C4111" s="165" t="str">
        <f>IFERROR(__xludf.DUMMYFUNCTION("""COMPUTED_VALUE"""),"KYAI KONTONG")</f>
        <v>KYAI KONTONG</v>
      </c>
      <c r="D4111" s="94">
        <f>IFERROR(__xludf.DUMMYFUNCTION("""COMPUTED_VALUE"""),20.0)</f>
        <v>20</v>
      </c>
    </row>
    <row r="4112">
      <c r="A4112" s="87" t="str">
        <f>IFERROR(__xludf.DUMMYFUNCTION("""COMPUTED_VALUE"""),"ITBISA-SOCKET-IC-DIP16-NARROW")</f>
        <v>ITBISA-SOCKET-IC-DIP16-NARROW</v>
      </c>
      <c r="B4112" s="165">
        <f>IFERROR(__xludf.DUMMYFUNCTION("""COMPUTED_VALUE"""),46147.0)</f>
        <v>46147</v>
      </c>
      <c r="C4112" s="165" t="str">
        <f>IFERROR(__xludf.DUMMYFUNCTION("""COMPUTED_VALUE"""),"KYAI KONTONG")</f>
        <v>KYAI KONTONG</v>
      </c>
      <c r="D4112" s="94">
        <f>IFERROR(__xludf.DUMMYFUNCTION("""COMPUTED_VALUE"""),220.0)</f>
        <v>220</v>
      </c>
    </row>
    <row r="4113">
      <c r="A4113" s="87" t="str">
        <f>IFERROR(__xludf.DUMMYFUNCTION("""COMPUTED_VALUE"""),"ITBISA-SOCKET-IC-DIP16-NARROW")</f>
        <v>ITBISA-SOCKET-IC-DIP16-NARROW</v>
      </c>
      <c r="B4113" s="165">
        <f>IFERROR(__xludf.DUMMYFUNCTION("""COMPUTED_VALUE"""),46148.0)</f>
        <v>46148</v>
      </c>
      <c r="C4113" s="165" t="str">
        <f>IFERROR(__xludf.DUMMYFUNCTION("""COMPUTED_VALUE"""),"KYAI KONTONG")</f>
        <v>KYAI KONTONG</v>
      </c>
      <c r="D4113" s="94">
        <f>IFERROR(__xludf.DUMMYFUNCTION("""COMPUTED_VALUE"""),3.0)</f>
        <v>3</v>
      </c>
    </row>
    <row r="4114">
      <c r="A4114" s="87" t="str">
        <f>IFERROR(__xludf.DUMMYFUNCTION("""COMPUTED_VALUE"""),"ITBISA-SOCKET-IC-DIP16-NARROW")</f>
        <v>ITBISA-SOCKET-IC-DIP16-NARROW</v>
      </c>
      <c r="B4114" s="165">
        <f>IFERROR(__xludf.DUMMYFUNCTION("""COMPUTED_VALUE"""),46150.0)</f>
        <v>46150</v>
      </c>
      <c r="C4114" s="165" t="str">
        <f>IFERROR(__xludf.DUMMYFUNCTION("""COMPUTED_VALUE"""),"KYAI KONTONG")</f>
        <v>KYAI KONTONG</v>
      </c>
      <c r="D4114" s="94">
        <f>IFERROR(__xludf.DUMMYFUNCTION("""COMPUTED_VALUE"""),5.0)</f>
        <v>5</v>
      </c>
    </row>
    <row r="4115">
      <c r="A4115" s="87" t="str">
        <f>IFERROR(__xludf.DUMMYFUNCTION("""COMPUTED_VALUE"""),"ITBISA-SOCKET-IC-DIP16-NARROW")</f>
        <v>ITBISA-SOCKET-IC-DIP16-NARROW</v>
      </c>
      <c r="B4115" s="165">
        <f>IFERROR(__xludf.DUMMYFUNCTION("""COMPUTED_VALUE"""),46151.0)</f>
        <v>46151</v>
      </c>
      <c r="C4115" s="165" t="str">
        <f>IFERROR(__xludf.DUMMYFUNCTION("""COMPUTED_VALUE"""),"KYAI KONTONG")</f>
        <v>KYAI KONTONG</v>
      </c>
      <c r="D4115" s="94">
        <f>IFERROR(__xludf.DUMMYFUNCTION("""COMPUTED_VALUE"""),50.0)</f>
        <v>50</v>
      </c>
    </row>
    <row r="4116">
      <c r="A4116" s="87" t="str">
        <f>IFERROR(__xludf.DUMMYFUNCTION("""COMPUTED_VALUE"""),"ITBISA-SOCKET-IC-DIP16-NARROW")</f>
        <v>ITBISA-SOCKET-IC-DIP16-NARROW</v>
      </c>
      <c r="B4116" s="165">
        <f>IFERROR(__xludf.DUMMYFUNCTION("""COMPUTED_VALUE"""),46156.0)</f>
        <v>46156</v>
      </c>
      <c r="C4116" s="165" t="str">
        <f>IFERROR(__xludf.DUMMYFUNCTION("""COMPUTED_VALUE"""),"KYAI KONTONG")</f>
        <v>KYAI KONTONG</v>
      </c>
      <c r="D4116" s="94">
        <f>IFERROR(__xludf.DUMMYFUNCTION("""COMPUTED_VALUE"""),50.0)</f>
        <v>50</v>
      </c>
    </row>
    <row r="4117">
      <c r="A4117" s="87" t="str">
        <f>IFERROR(__xludf.DUMMYFUNCTION("""COMPUTED_VALUE"""),"ITBISA-SOCKET-IC-DIP16-NARROW")</f>
        <v>ITBISA-SOCKET-IC-DIP16-NARROW</v>
      </c>
      <c r="B4117" s="165">
        <f>IFERROR(__xludf.DUMMYFUNCTION("""COMPUTED_VALUE"""),46158.0)</f>
        <v>46158</v>
      </c>
      <c r="C4117" s="165" t="str">
        <f>IFERROR(__xludf.DUMMYFUNCTION("""COMPUTED_VALUE"""),"KYAI KONTONG")</f>
        <v>KYAI KONTONG</v>
      </c>
      <c r="D4117" s="94">
        <f>IFERROR(__xludf.DUMMYFUNCTION("""COMPUTED_VALUE"""),10.0)</f>
        <v>10</v>
      </c>
    </row>
    <row r="4118">
      <c r="A4118" s="87" t="str">
        <f>IFERROR(__xludf.DUMMYFUNCTION("""COMPUTED_VALUE"""),"ITBISA-SOCKET-IC-DIP16-NARROW")</f>
        <v>ITBISA-SOCKET-IC-DIP16-NARROW</v>
      </c>
      <c r="B4118" s="165">
        <f>IFERROR(__xludf.DUMMYFUNCTION("""COMPUTED_VALUE"""),46159.0)</f>
        <v>46159</v>
      </c>
      <c r="C4118" s="165" t="str">
        <f>IFERROR(__xludf.DUMMYFUNCTION("""COMPUTED_VALUE"""),"KYAI KONTONG")</f>
        <v>KYAI KONTONG</v>
      </c>
      <c r="D4118" s="94">
        <f>IFERROR(__xludf.DUMMYFUNCTION("""COMPUTED_VALUE"""),4.0)</f>
        <v>4</v>
      </c>
    </row>
    <row r="4119">
      <c r="A4119" s="87" t="str">
        <f>IFERROR(__xludf.DUMMYFUNCTION("""COMPUTED_VALUE"""),"ITBISA-SOCKET-IC-DIP16-NARROW")</f>
        <v>ITBISA-SOCKET-IC-DIP16-NARROW</v>
      </c>
      <c r="B4119" s="165">
        <f>IFERROR(__xludf.DUMMYFUNCTION("""COMPUTED_VALUE"""),46161.0)</f>
        <v>46161</v>
      </c>
      <c r="C4119" s="165" t="str">
        <f>IFERROR(__xludf.DUMMYFUNCTION("""COMPUTED_VALUE"""),"KYAI KONTONG")</f>
        <v>KYAI KONTONG</v>
      </c>
      <c r="D4119" s="94">
        <f>IFERROR(__xludf.DUMMYFUNCTION("""COMPUTED_VALUE"""),10.0)</f>
        <v>10</v>
      </c>
    </row>
    <row r="4120">
      <c r="A4120" s="87" t="str">
        <f>IFERROR(__xludf.DUMMYFUNCTION("""COMPUTED_VALUE"""),"ITBISA-SOCKET-IC-DIP16-NARROW")</f>
        <v>ITBISA-SOCKET-IC-DIP16-NARROW</v>
      </c>
      <c r="B4120" s="165">
        <f>IFERROR(__xludf.DUMMYFUNCTION("""COMPUTED_VALUE"""),46161.0)</f>
        <v>46161</v>
      </c>
      <c r="C4120" s="165" t="str">
        <f>IFERROR(__xludf.DUMMYFUNCTION("""COMPUTED_VALUE"""),"KYAI KONTONG")</f>
        <v>KYAI KONTONG</v>
      </c>
      <c r="D4120" s="94">
        <f>IFERROR(__xludf.DUMMYFUNCTION("""COMPUTED_VALUE"""),220.0)</f>
        <v>220</v>
      </c>
    </row>
    <row r="4121">
      <c r="A4121" s="87" t="str">
        <f>IFERROR(__xludf.DUMMYFUNCTION("""COMPUTED_VALUE"""),"ITBISA-SOCKET-IC-DIP16-NARROW")</f>
        <v>ITBISA-SOCKET-IC-DIP16-NARROW</v>
      </c>
      <c r="B4121" s="165">
        <f>IFERROR(__xludf.DUMMYFUNCTION("""COMPUTED_VALUE"""),46162.0)</f>
        <v>46162</v>
      </c>
      <c r="C4121" s="165" t="str">
        <f>IFERROR(__xludf.DUMMYFUNCTION("""COMPUTED_VALUE"""),"KYAI KONTONG")</f>
        <v>KYAI KONTONG</v>
      </c>
      <c r="D4121" s="94">
        <f>IFERROR(__xludf.DUMMYFUNCTION("""COMPUTED_VALUE"""),6.0)</f>
        <v>6</v>
      </c>
    </row>
    <row r="4122">
      <c r="A4122" s="87" t="str">
        <f>IFERROR(__xludf.DUMMYFUNCTION("""COMPUTED_VALUE"""),"ITBISA-SOCKET-IC-DIP16-NARROW")</f>
        <v>ITBISA-SOCKET-IC-DIP16-NARROW</v>
      </c>
      <c r="B4122" s="165">
        <f>IFERROR(__xludf.DUMMYFUNCTION("""COMPUTED_VALUE"""),46163.0)</f>
        <v>46163</v>
      </c>
      <c r="C4122" s="165" t="str">
        <f>IFERROR(__xludf.DUMMYFUNCTION("""COMPUTED_VALUE"""),"KYAI KONTONG")</f>
        <v>KYAI KONTONG</v>
      </c>
      <c r="D4122" s="94">
        <f>IFERROR(__xludf.DUMMYFUNCTION("""COMPUTED_VALUE"""),2.0)</f>
        <v>2</v>
      </c>
    </row>
    <row r="4123">
      <c r="A4123" s="87" t="str">
        <f>IFERROR(__xludf.DUMMYFUNCTION("""COMPUTED_VALUE"""),"ITBISA-SOCKET-IC-DIP16-NARROW")</f>
        <v>ITBISA-SOCKET-IC-DIP16-NARROW</v>
      </c>
      <c r="B4123" s="165">
        <f>IFERROR(__xludf.DUMMYFUNCTION("""COMPUTED_VALUE"""),46163.0)</f>
        <v>46163</v>
      </c>
      <c r="C4123" s="165" t="str">
        <f>IFERROR(__xludf.DUMMYFUNCTION("""COMPUTED_VALUE"""),"KYAI KONTONG")</f>
        <v>KYAI KONTONG</v>
      </c>
      <c r="D4123" s="94">
        <f>IFERROR(__xludf.DUMMYFUNCTION("""COMPUTED_VALUE"""),19.0)</f>
        <v>19</v>
      </c>
    </row>
    <row r="4124">
      <c r="A4124" s="87" t="str">
        <f>IFERROR(__xludf.DUMMYFUNCTION("""COMPUTED_VALUE"""),"ITBISA-SOCKET-IC-DIP16-NARROW")</f>
        <v>ITBISA-SOCKET-IC-DIP16-NARROW</v>
      </c>
      <c r="B4124" s="165">
        <f>IFERROR(__xludf.DUMMYFUNCTION("""COMPUTED_VALUE"""),46163.0)</f>
        <v>46163</v>
      </c>
      <c r="C4124" s="165" t="str">
        <f>IFERROR(__xludf.DUMMYFUNCTION("""COMPUTED_VALUE"""),"KYAI KONTONG")</f>
        <v>KYAI KONTONG</v>
      </c>
      <c r="D4124" s="94">
        <f>IFERROR(__xludf.DUMMYFUNCTION("""COMPUTED_VALUE"""),60.0)</f>
        <v>60</v>
      </c>
    </row>
    <row r="4125">
      <c r="A4125" s="87" t="str">
        <f>IFERROR(__xludf.DUMMYFUNCTION("""COMPUTED_VALUE"""),"ITBISA-SOCKET-IC-DIP16-NARROW")</f>
        <v>ITBISA-SOCKET-IC-DIP16-NARROW</v>
      </c>
      <c r="B4125" s="165">
        <f>IFERROR(__xludf.DUMMYFUNCTION("""COMPUTED_VALUE"""),46166.0)</f>
        <v>46166</v>
      </c>
      <c r="C4125" s="165" t="str">
        <f>IFERROR(__xludf.DUMMYFUNCTION("""COMPUTED_VALUE"""),"KYAI KONTONG")</f>
        <v>KYAI KONTONG</v>
      </c>
      <c r="D4125" s="94">
        <f>IFERROR(__xludf.DUMMYFUNCTION("""COMPUTED_VALUE"""),10.0)</f>
        <v>10</v>
      </c>
    </row>
    <row r="4126">
      <c r="A4126" s="87" t="str">
        <f>IFERROR(__xludf.DUMMYFUNCTION("""COMPUTED_VALUE"""),"ITBISA-SOCKET-IC-DIP16-NARROW")</f>
        <v>ITBISA-SOCKET-IC-DIP16-NARROW</v>
      </c>
      <c r="B4126" s="165">
        <f>IFERROR(__xludf.DUMMYFUNCTION("""COMPUTED_VALUE"""),46167.0)</f>
        <v>46167</v>
      </c>
      <c r="C4126" s="165" t="str">
        <f>IFERROR(__xludf.DUMMYFUNCTION("""COMPUTED_VALUE"""),"KYAI KONTONG")</f>
        <v>KYAI KONTONG</v>
      </c>
      <c r="D4126" s="94">
        <f>IFERROR(__xludf.DUMMYFUNCTION("""COMPUTED_VALUE"""),4.0)</f>
        <v>4</v>
      </c>
    </row>
    <row r="4127">
      <c r="A4127" s="87" t="str">
        <f>IFERROR(__xludf.DUMMYFUNCTION("""COMPUTED_VALUE"""),"ITBISA-SOCKET-IC-DIP16-NARROW")</f>
        <v>ITBISA-SOCKET-IC-DIP16-NARROW</v>
      </c>
      <c r="B4127" s="165">
        <f>IFERROR(__xludf.DUMMYFUNCTION("""COMPUTED_VALUE"""),46167.0)</f>
        <v>46167</v>
      </c>
      <c r="C4127" s="165" t="str">
        <f>IFERROR(__xludf.DUMMYFUNCTION("""COMPUTED_VALUE"""),"KYAI KONTONG")</f>
        <v>KYAI KONTONG</v>
      </c>
      <c r="D4127" s="94">
        <f>IFERROR(__xludf.DUMMYFUNCTION("""COMPUTED_VALUE"""),6.0)</f>
        <v>6</v>
      </c>
    </row>
    <row r="4128">
      <c r="A4128" s="87" t="str">
        <f>IFERROR(__xludf.DUMMYFUNCTION("""COMPUTED_VALUE"""),"ITBISA-SOCKET-IC-DIP16-NARROW")</f>
        <v>ITBISA-SOCKET-IC-DIP16-NARROW</v>
      </c>
      <c r="B4128" s="165">
        <f>IFERROR(__xludf.DUMMYFUNCTION("""COMPUTED_VALUE"""),46168.0)</f>
        <v>46168</v>
      </c>
      <c r="C4128" s="165" t="str">
        <f>IFERROR(__xludf.DUMMYFUNCTION("""COMPUTED_VALUE"""),"KYAI KONTONG")</f>
        <v>KYAI KONTONG</v>
      </c>
      <c r="D4128" s="94">
        <f>IFERROR(__xludf.DUMMYFUNCTION("""COMPUTED_VALUE"""),20.0)</f>
        <v>20</v>
      </c>
    </row>
    <row r="4129">
      <c r="A4129" s="87" t="str">
        <f>IFERROR(__xludf.DUMMYFUNCTION("""COMPUTED_VALUE"""),"ITBISA-SOCKET-IC-DIP16-NARROW")</f>
        <v>ITBISA-SOCKET-IC-DIP16-NARROW</v>
      </c>
      <c r="B4129" s="165">
        <f>IFERROR(__xludf.DUMMYFUNCTION("""COMPUTED_VALUE"""),46171.0)</f>
        <v>46171</v>
      </c>
      <c r="C4129" s="165" t="str">
        <f>IFERROR(__xludf.DUMMYFUNCTION("""COMPUTED_VALUE"""),"KYAI KONTONG")</f>
        <v>KYAI KONTONG</v>
      </c>
      <c r="D4129" s="94">
        <f>IFERROR(__xludf.DUMMYFUNCTION("""COMPUTED_VALUE"""),5.0)</f>
        <v>5</v>
      </c>
    </row>
    <row r="4130">
      <c r="A4130" s="87" t="str">
        <f>IFERROR(__xludf.DUMMYFUNCTION("""COMPUTED_VALUE"""),"ITBISA-SOCKET-IC-DIP16-NARROW")</f>
        <v>ITBISA-SOCKET-IC-DIP16-NARROW</v>
      </c>
      <c r="B4130" s="165">
        <f>IFERROR(__xludf.DUMMYFUNCTION("""COMPUTED_VALUE"""),46172.0)</f>
        <v>46172</v>
      </c>
      <c r="C4130" s="165" t="str">
        <f>IFERROR(__xludf.DUMMYFUNCTION("""COMPUTED_VALUE"""),"KYAI KONTONG")</f>
        <v>KYAI KONTONG</v>
      </c>
      <c r="D4130" s="94">
        <f>IFERROR(__xludf.DUMMYFUNCTION("""COMPUTED_VALUE"""),5.0)</f>
        <v>5</v>
      </c>
    </row>
    <row r="4131">
      <c r="A4131" s="87" t="str">
        <f>IFERROR(__xludf.DUMMYFUNCTION("""COMPUTED_VALUE"""),"ITBISA-SOCKET-IC-DIP16-NARROW")</f>
        <v>ITBISA-SOCKET-IC-DIP16-NARROW</v>
      </c>
      <c r="B4131" s="165">
        <f>IFERROR(__xludf.DUMMYFUNCTION("""COMPUTED_VALUE"""),46172.0)</f>
        <v>46172</v>
      </c>
      <c r="C4131" s="165" t="str">
        <f>IFERROR(__xludf.DUMMYFUNCTION("""COMPUTED_VALUE"""),"KYAI KONTONG")</f>
        <v>KYAI KONTONG</v>
      </c>
      <c r="D4131" s="94">
        <f>IFERROR(__xludf.DUMMYFUNCTION("""COMPUTED_VALUE"""),14.0)</f>
        <v>14</v>
      </c>
    </row>
    <row r="4132">
      <c r="A4132" s="87" t="str">
        <f>IFERROR(__xludf.DUMMYFUNCTION("""COMPUTED_VALUE"""),"ITBISA-SOCKET-IC-DIP16-NARROW")</f>
        <v>ITBISA-SOCKET-IC-DIP16-NARROW</v>
      </c>
      <c r="B4132" s="165">
        <f>IFERROR(__xludf.DUMMYFUNCTION("""COMPUTED_VALUE"""),46176.0)</f>
        <v>46176</v>
      </c>
      <c r="C4132" s="165" t="str">
        <f>IFERROR(__xludf.DUMMYFUNCTION("""COMPUTED_VALUE"""),"KYAI KONTONG")</f>
        <v>KYAI KONTONG</v>
      </c>
      <c r="D4132" s="94">
        <f>IFERROR(__xludf.DUMMYFUNCTION("""COMPUTED_VALUE"""),10.0)</f>
        <v>10</v>
      </c>
    </row>
    <row r="4133">
      <c r="A4133" s="87" t="str">
        <f>IFERROR(__xludf.DUMMYFUNCTION("""COMPUTED_VALUE"""),"ITBISA-SOCKET-IC-DIP16-NARROW")</f>
        <v>ITBISA-SOCKET-IC-DIP16-NARROW</v>
      </c>
      <c r="B4133" s="165">
        <f>IFERROR(__xludf.DUMMYFUNCTION("""COMPUTED_VALUE"""),46178.0)</f>
        <v>46178</v>
      </c>
      <c r="C4133" s="165" t="str">
        <f>IFERROR(__xludf.DUMMYFUNCTION("""COMPUTED_VALUE"""),"KYAI KONTONG")</f>
        <v>KYAI KONTONG</v>
      </c>
      <c r="D4133" s="94">
        <f>IFERROR(__xludf.DUMMYFUNCTION("""COMPUTED_VALUE"""),5.0)</f>
        <v>5</v>
      </c>
    </row>
    <row r="4134">
      <c r="A4134" s="87" t="str">
        <f>IFERROR(__xludf.DUMMYFUNCTION("""COMPUTED_VALUE"""),"ITBISA-SOCKET-IC-DIP16-NARROW")</f>
        <v>ITBISA-SOCKET-IC-DIP16-NARROW</v>
      </c>
      <c r="B4134" s="165">
        <f>IFERROR(__xludf.DUMMYFUNCTION("""COMPUTED_VALUE"""),46178.0)</f>
        <v>46178</v>
      </c>
      <c r="C4134" s="165" t="str">
        <f>IFERROR(__xludf.DUMMYFUNCTION("""COMPUTED_VALUE"""),"KYAI KONTONG")</f>
        <v>KYAI KONTONG</v>
      </c>
      <c r="D4134" s="94">
        <f>IFERROR(__xludf.DUMMYFUNCTION("""COMPUTED_VALUE"""),12.0)</f>
        <v>12</v>
      </c>
    </row>
    <row r="4135">
      <c r="A4135" s="87" t="str">
        <f>IFERROR(__xludf.DUMMYFUNCTION("""COMPUTED_VALUE"""),"ITBISA-SOCKET-IC-DIP16-NARROW")</f>
        <v>ITBISA-SOCKET-IC-DIP16-NARROW</v>
      </c>
      <c r="B4135" s="165">
        <f>IFERROR(__xludf.DUMMYFUNCTION("""COMPUTED_VALUE"""),46179.0)</f>
        <v>46179</v>
      </c>
      <c r="C4135" s="165" t="str">
        <f>IFERROR(__xludf.DUMMYFUNCTION("""COMPUTED_VALUE"""),"KYAI KONTONG")</f>
        <v>KYAI KONTONG</v>
      </c>
      <c r="D4135" s="94">
        <f>IFERROR(__xludf.DUMMYFUNCTION("""COMPUTED_VALUE"""),110.0)</f>
        <v>110</v>
      </c>
    </row>
    <row r="4136">
      <c r="A4136" s="87" t="str">
        <f>IFERROR(__xludf.DUMMYFUNCTION("""COMPUTED_VALUE"""),"ITBISA-SOCKET-IC-DIP16-NARROW")</f>
        <v>ITBISA-SOCKET-IC-DIP16-NARROW</v>
      </c>
      <c r="B4136" s="165">
        <f>IFERROR(__xludf.DUMMYFUNCTION("""COMPUTED_VALUE"""),46185.0)</f>
        <v>46185</v>
      </c>
      <c r="C4136" s="165" t="str">
        <f>IFERROR(__xludf.DUMMYFUNCTION("""COMPUTED_VALUE"""),"KYAI KONTONG")</f>
        <v>KYAI KONTONG</v>
      </c>
      <c r="D4136" s="94">
        <f>IFERROR(__xludf.DUMMYFUNCTION("""COMPUTED_VALUE"""),6.0)</f>
        <v>6</v>
      </c>
    </row>
    <row r="4137">
      <c r="A4137" s="87" t="str">
        <f>IFERROR(__xludf.DUMMYFUNCTION("""COMPUTED_VALUE"""),"ITBISA-SOCKET-IC-DIP16-NARROW")</f>
        <v>ITBISA-SOCKET-IC-DIP16-NARROW</v>
      </c>
      <c r="B4137" s="165">
        <f>IFERROR(__xludf.DUMMYFUNCTION("""COMPUTED_VALUE"""),46185.0)</f>
        <v>46185</v>
      </c>
      <c r="C4137" s="165" t="str">
        <f>IFERROR(__xludf.DUMMYFUNCTION("""COMPUTED_VALUE"""),"KYAI KONTONG")</f>
        <v>KYAI KONTONG</v>
      </c>
      <c r="D4137" s="94">
        <f>IFERROR(__xludf.DUMMYFUNCTION("""COMPUTED_VALUE"""),20.0)</f>
        <v>20</v>
      </c>
    </row>
    <row r="4138">
      <c r="A4138" s="87" t="str">
        <f>IFERROR(__xludf.DUMMYFUNCTION("""COMPUTED_VALUE"""),"ITBISA-SOCKET-IC-DIP16-NARROW")</f>
        <v>ITBISA-SOCKET-IC-DIP16-NARROW</v>
      </c>
      <c r="B4138" s="165">
        <f>IFERROR(__xludf.DUMMYFUNCTION("""COMPUTED_VALUE"""),46186.0)</f>
        <v>46186</v>
      </c>
      <c r="C4138" s="165" t="str">
        <f>IFERROR(__xludf.DUMMYFUNCTION("""COMPUTED_VALUE"""),"KYAI KONTONG")</f>
        <v>KYAI KONTONG</v>
      </c>
      <c r="D4138" s="94">
        <f>IFERROR(__xludf.DUMMYFUNCTION("""COMPUTED_VALUE"""),10.0)</f>
        <v>10</v>
      </c>
    </row>
    <row r="4139">
      <c r="A4139" s="87" t="str">
        <f>IFERROR(__xludf.DUMMYFUNCTION("""COMPUTED_VALUE"""),"ITBISA-SOCKET-IC-DIP16-NARROW")</f>
        <v>ITBISA-SOCKET-IC-DIP16-NARROW</v>
      </c>
      <c r="B4139" s="165">
        <f>IFERROR(__xludf.DUMMYFUNCTION("""COMPUTED_VALUE"""),46193.0)</f>
        <v>46193</v>
      </c>
      <c r="C4139" s="165" t="str">
        <f>IFERROR(__xludf.DUMMYFUNCTION("""COMPUTED_VALUE"""),"KYAI KONTONG")</f>
        <v>KYAI KONTONG</v>
      </c>
      <c r="D4139" s="94">
        <f>IFERROR(__xludf.DUMMYFUNCTION("""COMPUTED_VALUE"""),5.0)</f>
        <v>5</v>
      </c>
    </row>
    <row r="4140">
      <c r="A4140" s="87" t="str">
        <f>IFERROR(__xludf.DUMMYFUNCTION("""COMPUTED_VALUE"""),"ITBISA-SOCKET-IC-DIP16-NARROW")</f>
        <v>ITBISA-SOCKET-IC-DIP16-NARROW</v>
      </c>
      <c r="B4140" s="165">
        <f>IFERROR(__xludf.DUMMYFUNCTION("""COMPUTED_VALUE"""),46194.0)</f>
        <v>46194</v>
      </c>
      <c r="C4140" s="165" t="str">
        <f>IFERROR(__xludf.DUMMYFUNCTION("""COMPUTED_VALUE"""),"KYAI KONTONG")</f>
        <v>KYAI KONTONG</v>
      </c>
      <c r="D4140" s="94">
        <f>IFERROR(__xludf.DUMMYFUNCTION("""COMPUTED_VALUE"""),5.0)</f>
        <v>5</v>
      </c>
    </row>
    <row r="4141">
      <c r="A4141" s="87" t="str">
        <f>IFERROR(__xludf.DUMMYFUNCTION("""COMPUTED_VALUE"""),"ITBISA-SOCKET-IC-DIP16-NARROW")</f>
        <v>ITBISA-SOCKET-IC-DIP16-NARROW</v>
      </c>
      <c r="B4141" s="165">
        <f>IFERROR(__xludf.DUMMYFUNCTION("""COMPUTED_VALUE"""),46195.0)</f>
        <v>46195</v>
      </c>
      <c r="C4141" s="165" t="str">
        <f>IFERROR(__xludf.DUMMYFUNCTION("""COMPUTED_VALUE"""),"KYAI KONTONG")</f>
        <v>KYAI KONTONG</v>
      </c>
      <c r="D4141" s="94">
        <f>IFERROR(__xludf.DUMMYFUNCTION("""COMPUTED_VALUE"""),5.0)</f>
        <v>5</v>
      </c>
    </row>
    <row r="4142">
      <c r="A4142" s="87" t="str">
        <f>IFERROR(__xludf.DUMMYFUNCTION("""COMPUTED_VALUE"""),"ITBISA-SOCKET-IC-DIP16-NARROW")</f>
        <v>ITBISA-SOCKET-IC-DIP16-NARROW</v>
      </c>
      <c r="B4142" s="165">
        <f>IFERROR(__xludf.DUMMYFUNCTION("""COMPUTED_VALUE"""),46196.0)</f>
        <v>46196</v>
      </c>
      <c r="C4142" s="165" t="str">
        <f>IFERROR(__xludf.DUMMYFUNCTION("""COMPUTED_VALUE"""),"KYAI KONTONG")</f>
        <v>KYAI KONTONG</v>
      </c>
      <c r="D4142" s="94">
        <f>IFERROR(__xludf.DUMMYFUNCTION("""COMPUTED_VALUE"""),10.0)</f>
        <v>10</v>
      </c>
    </row>
    <row r="4143">
      <c r="A4143" s="87" t="str">
        <f>IFERROR(__xludf.DUMMYFUNCTION("""COMPUTED_VALUE"""),"ITBISA-SOCKET-IC-DIP20-NARROW")</f>
        <v>ITBISA-SOCKET-IC-DIP20-NARROW</v>
      </c>
      <c r="B4143" s="165">
        <f>IFERROR(__xludf.DUMMYFUNCTION("""COMPUTED_VALUE"""),46025.0)</f>
        <v>46025</v>
      </c>
      <c r="C4143" s="165" t="str">
        <f>IFERROR(__xludf.DUMMYFUNCTION("""COMPUTED_VALUE"""),"KYAI KONTONG")</f>
        <v>KYAI KONTONG</v>
      </c>
      <c r="D4143" s="94">
        <f>IFERROR(__xludf.DUMMYFUNCTION("""COMPUTED_VALUE"""),10.0)</f>
        <v>10</v>
      </c>
    </row>
    <row r="4144">
      <c r="A4144" s="87" t="str">
        <f>IFERROR(__xludf.DUMMYFUNCTION("""COMPUTED_VALUE"""),"ITBISA-SOCKET-IC-DIP20-NARROW")</f>
        <v>ITBISA-SOCKET-IC-DIP20-NARROW</v>
      </c>
      <c r="B4144" s="165">
        <f>IFERROR(__xludf.DUMMYFUNCTION("""COMPUTED_VALUE"""),46055.0)</f>
        <v>46055</v>
      </c>
      <c r="C4144" s="165" t="str">
        <f>IFERROR(__xludf.DUMMYFUNCTION("""COMPUTED_VALUE"""),"KYAI KONTONG")</f>
        <v>KYAI KONTONG</v>
      </c>
      <c r="D4144" s="94">
        <f>IFERROR(__xludf.DUMMYFUNCTION("""COMPUTED_VALUE"""),30.0)</f>
        <v>30</v>
      </c>
    </row>
    <row r="4145">
      <c r="A4145" s="87" t="str">
        <f>IFERROR(__xludf.DUMMYFUNCTION("""COMPUTED_VALUE"""),"ITBISA-SOCKET-IC-DIP20-NARROW")</f>
        <v>ITBISA-SOCKET-IC-DIP20-NARROW</v>
      </c>
      <c r="B4145" s="165">
        <f>IFERROR(__xludf.DUMMYFUNCTION("""COMPUTED_VALUE"""),46064.0)</f>
        <v>46064</v>
      </c>
      <c r="C4145" s="165" t="str">
        <f>IFERROR(__xludf.DUMMYFUNCTION("""COMPUTED_VALUE"""),"KYAI KONTONG")</f>
        <v>KYAI KONTONG</v>
      </c>
      <c r="D4145" s="94">
        <f>IFERROR(__xludf.DUMMYFUNCTION("""COMPUTED_VALUE"""),10.0)</f>
        <v>10</v>
      </c>
    </row>
    <row r="4146">
      <c r="A4146" s="87" t="str">
        <f>IFERROR(__xludf.DUMMYFUNCTION("""COMPUTED_VALUE"""),"ITBISA-SOCKET-IC-DIP20-NARROW")</f>
        <v>ITBISA-SOCKET-IC-DIP20-NARROW</v>
      </c>
      <c r="B4146" s="165">
        <f>IFERROR(__xludf.DUMMYFUNCTION("""COMPUTED_VALUE"""),46078.0)</f>
        <v>46078</v>
      </c>
      <c r="C4146" s="165" t="str">
        <f>IFERROR(__xludf.DUMMYFUNCTION("""COMPUTED_VALUE"""),"KYAI KONTONG")</f>
        <v>KYAI KONTONG</v>
      </c>
      <c r="D4146" s="94">
        <f>IFERROR(__xludf.DUMMYFUNCTION("""COMPUTED_VALUE"""),15.0)</f>
        <v>15</v>
      </c>
    </row>
    <row r="4147">
      <c r="A4147" s="87" t="str">
        <f>IFERROR(__xludf.DUMMYFUNCTION("""COMPUTED_VALUE"""),"ITBISA-SOCKET-IC-DIP20-NARROW")</f>
        <v>ITBISA-SOCKET-IC-DIP20-NARROW</v>
      </c>
      <c r="B4147" s="165">
        <f>IFERROR(__xludf.DUMMYFUNCTION("""COMPUTED_VALUE"""),46084.0)</f>
        <v>46084</v>
      </c>
      <c r="C4147" s="165" t="str">
        <f>IFERROR(__xludf.DUMMYFUNCTION("""COMPUTED_VALUE"""),"KYAI KONTONG")</f>
        <v>KYAI KONTONG</v>
      </c>
      <c r="D4147" s="94">
        <f>IFERROR(__xludf.DUMMYFUNCTION("""COMPUTED_VALUE"""),150.0)</f>
        <v>150</v>
      </c>
    </row>
    <row r="4148">
      <c r="A4148" s="87" t="str">
        <f>IFERROR(__xludf.DUMMYFUNCTION("""COMPUTED_VALUE"""),"ITBISA-SOCKET-IC-DIP20-NARROW")</f>
        <v>ITBISA-SOCKET-IC-DIP20-NARROW</v>
      </c>
      <c r="B4148" s="165">
        <f>IFERROR(__xludf.DUMMYFUNCTION("""COMPUTED_VALUE"""),46128.0)</f>
        <v>46128</v>
      </c>
      <c r="C4148" s="165" t="str">
        <f>IFERROR(__xludf.DUMMYFUNCTION("""COMPUTED_VALUE"""),"KYAI KONTONG")</f>
        <v>KYAI KONTONG</v>
      </c>
      <c r="D4148" s="94">
        <f>IFERROR(__xludf.DUMMYFUNCTION("""COMPUTED_VALUE"""),10.0)</f>
        <v>10</v>
      </c>
    </row>
    <row r="4149">
      <c r="A4149" s="87" t="str">
        <f>IFERROR(__xludf.DUMMYFUNCTION("""COMPUTED_VALUE"""),"ITBISA-SOCKET-IC-DIP20-NARROW")</f>
        <v>ITBISA-SOCKET-IC-DIP20-NARROW</v>
      </c>
      <c r="B4149" s="165">
        <f>IFERROR(__xludf.DUMMYFUNCTION("""COMPUTED_VALUE"""),46141.0)</f>
        <v>46141</v>
      </c>
      <c r="C4149" s="165" t="str">
        <f>IFERROR(__xludf.DUMMYFUNCTION("""COMPUTED_VALUE"""),"KYAI KONTONG")</f>
        <v>KYAI KONTONG</v>
      </c>
      <c r="D4149" s="94">
        <f>IFERROR(__xludf.DUMMYFUNCTION("""COMPUTED_VALUE"""),15.0)</f>
        <v>15</v>
      </c>
    </row>
    <row r="4150">
      <c r="A4150" s="87" t="str">
        <f>IFERROR(__xludf.DUMMYFUNCTION("""COMPUTED_VALUE"""),"ITBISA-SOCKET-IC-DIP20-NARROW")</f>
        <v>ITBISA-SOCKET-IC-DIP20-NARROW</v>
      </c>
      <c r="B4150" s="165">
        <f>IFERROR(__xludf.DUMMYFUNCTION("""COMPUTED_VALUE"""),46142.0)</f>
        <v>46142</v>
      </c>
      <c r="C4150" s="165" t="str">
        <f>IFERROR(__xludf.DUMMYFUNCTION("""COMPUTED_VALUE"""),"KYAI KONTONG")</f>
        <v>KYAI KONTONG</v>
      </c>
      <c r="D4150" s="94">
        <f>IFERROR(__xludf.DUMMYFUNCTION("""COMPUTED_VALUE"""),66.0)</f>
        <v>66</v>
      </c>
    </row>
    <row r="4151">
      <c r="A4151" s="87" t="str">
        <f>IFERROR(__xludf.DUMMYFUNCTION("""COMPUTED_VALUE"""),"ITBISA-SOCKET-IC-DIP20-NARROW")</f>
        <v>ITBISA-SOCKET-IC-DIP20-NARROW</v>
      </c>
      <c r="B4151" s="165">
        <f>IFERROR(__xludf.DUMMYFUNCTION("""COMPUTED_VALUE"""),46147.0)</f>
        <v>46147</v>
      </c>
      <c r="C4151" s="165" t="str">
        <f>IFERROR(__xludf.DUMMYFUNCTION("""COMPUTED_VALUE"""),"KYAI KONTONG")</f>
        <v>KYAI KONTONG</v>
      </c>
      <c r="D4151" s="94">
        <f>IFERROR(__xludf.DUMMYFUNCTION("""COMPUTED_VALUE"""),10.0)</f>
        <v>10</v>
      </c>
    </row>
    <row r="4152">
      <c r="A4152" s="87" t="str">
        <f>IFERROR(__xludf.DUMMYFUNCTION("""COMPUTED_VALUE"""),"ITBISA-SOCKET-IC-DIP20-NARROW")</f>
        <v>ITBISA-SOCKET-IC-DIP20-NARROW</v>
      </c>
      <c r="B4152" s="165">
        <f>IFERROR(__xludf.DUMMYFUNCTION("""COMPUTED_VALUE"""),46156.0)</f>
        <v>46156</v>
      </c>
      <c r="C4152" s="165" t="str">
        <f>IFERROR(__xludf.DUMMYFUNCTION("""COMPUTED_VALUE"""),"KYAI KONTONG")</f>
        <v>KYAI KONTONG</v>
      </c>
      <c r="D4152" s="94">
        <f>IFERROR(__xludf.DUMMYFUNCTION("""COMPUTED_VALUE"""),48.0)</f>
        <v>48</v>
      </c>
    </row>
    <row r="4153">
      <c r="A4153" s="87" t="str">
        <f>IFERROR(__xludf.DUMMYFUNCTION("""COMPUTED_VALUE"""),"ITBISA-SOCKET-IC-DIP20-NARROW")</f>
        <v>ITBISA-SOCKET-IC-DIP20-NARROW</v>
      </c>
      <c r="B4153" s="165">
        <f>IFERROR(__xludf.DUMMYFUNCTION("""COMPUTED_VALUE"""),46167.0)</f>
        <v>46167</v>
      </c>
      <c r="C4153" s="165" t="str">
        <f>IFERROR(__xludf.DUMMYFUNCTION("""COMPUTED_VALUE"""),"KYAI KONTONG")</f>
        <v>KYAI KONTONG</v>
      </c>
      <c r="D4153" s="94">
        <f>IFERROR(__xludf.DUMMYFUNCTION("""COMPUTED_VALUE"""),10.0)</f>
        <v>10</v>
      </c>
    </row>
    <row r="4154">
      <c r="A4154" s="87" t="str">
        <f>IFERROR(__xludf.DUMMYFUNCTION("""COMPUTED_VALUE"""),"ITBISA-SOCKET-IC-DIP20-NARROW")</f>
        <v>ITBISA-SOCKET-IC-DIP20-NARROW</v>
      </c>
      <c r="B4154" s="165">
        <f>IFERROR(__xludf.DUMMYFUNCTION("""COMPUTED_VALUE"""),46169.0)</f>
        <v>46169</v>
      </c>
      <c r="C4154" s="165" t="str">
        <f>IFERROR(__xludf.DUMMYFUNCTION("""COMPUTED_VALUE"""),"KYAI KONTONG")</f>
        <v>KYAI KONTONG</v>
      </c>
      <c r="D4154" s="94">
        <f>IFERROR(__xludf.DUMMYFUNCTION("""COMPUTED_VALUE"""),10.0)</f>
        <v>10</v>
      </c>
    </row>
    <row r="4155">
      <c r="A4155" s="87" t="str">
        <f>IFERROR(__xludf.DUMMYFUNCTION("""COMPUTED_VALUE"""),"ITBISA-SOCKET-IC-DIP20-NARROW")</f>
        <v>ITBISA-SOCKET-IC-DIP20-NARROW</v>
      </c>
      <c r="B4155" s="165">
        <f>IFERROR(__xludf.DUMMYFUNCTION("""COMPUTED_VALUE"""),46172.0)</f>
        <v>46172</v>
      </c>
      <c r="C4155" s="165" t="str">
        <f>IFERROR(__xludf.DUMMYFUNCTION("""COMPUTED_VALUE"""),"KYAI KONTONG")</f>
        <v>KYAI KONTONG</v>
      </c>
      <c r="D4155" s="94">
        <f>IFERROR(__xludf.DUMMYFUNCTION("""COMPUTED_VALUE"""),10.0)</f>
        <v>10</v>
      </c>
    </row>
    <row r="4156">
      <c r="A4156" s="87" t="str">
        <f>IFERROR(__xludf.DUMMYFUNCTION("""COMPUTED_VALUE"""),"ITBISA-SOCKET-IC-DIP28-NARROW")</f>
        <v>ITBISA-SOCKET-IC-DIP28-NARROW</v>
      </c>
      <c r="B4156" s="165">
        <f>IFERROR(__xludf.DUMMYFUNCTION("""COMPUTED_VALUE"""),46057.0)</f>
        <v>46057</v>
      </c>
      <c r="C4156" s="165" t="str">
        <f>IFERROR(__xludf.DUMMYFUNCTION("""COMPUTED_VALUE"""),"KERTASARI CIAMIS")</f>
        <v>KERTASARI CIAMIS</v>
      </c>
      <c r="D4156" s="94">
        <f>IFERROR(__xludf.DUMMYFUNCTION("""COMPUTED_VALUE"""),20.0)</f>
        <v>20</v>
      </c>
    </row>
    <row r="4157">
      <c r="A4157" s="87" t="str">
        <f>IFERROR(__xludf.DUMMYFUNCTION("""COMPUTED_VALUE"""),"ITBISA-SOCKET-IC-DIP28-NARROW")</f>
        <v>ITBISA-SOCKET-IC-DIP28-NARROW</v>
      </c>
      <c r="B4157" s="165">
        <f>IFERROR(__xludf.DUMMYFUNCTION("""COMPUTED_VALUE"""),46060.0)</f>
        <v>46060</v>
      </c>
      <c r="C4157" s="165" t="str">
        <f>IFERROR(__xludf.DUMMYFUNCTION("""COMPUTED_VALUE"""),"KYAI KONTONG")</f>
        <v>KYAI KONTONG</v>
      </c>
      <c r="D4157" s="94">
        <f>IFERROR(__xludf.DUMMYFUNCTION("""COMPUTED_VALUE"""),10.0)</f>
        <v>10</v>
      </c>
    </row>
    <row r="4158">
      <c r="A4158" s="87" t="str">
        <f>IFERROR(__xludf.DUMMYFUNCTION("""COMPUTED_VALUE"""),"ITBISA-SOCKET-IC-DIP28-NARROW")</f>
        <v>ITBISA-SOCKET-IC-DIP28-NARROW</v>
      </c>
      <c r="B4158" s="165">
        <f>IFERROR(__xludf.DUMMYFUNCTION("""COMPUTED_VALUE"""),46074.0)</f>
        <v>46074</v>
      </c>
      <c r="C4158" s="165" t="str">
        <f>IFERROR(__xludf.DUMMYFUNCTION("""COMPUTED_VALUE"""),"KYAI KONTONG")</f>
        <v>KYAI KONTONG</v>
      </c>
      <c r="D4158" s="94">
        <f>IFERROR(__xludf.DUMMYFUNCTION("""COMPUTED_VALUE"""),10.0)</f>
        <v>10</v>
      </c>
    </row>
    <row r="4159">
      <c r="A4159" s="87" t="str">
        <f>IFERROR(__xludf.DUMMYFUNCTION("""COMPUTED_VALUE"""),"ITBISA-SOCKET-IC-DIP28-NARROW")</f>
        <v>ITBISA-SOCKET-IC-DIP28-NARROW</v>
      </c>
      <c r="B4159" s="165">
        <f>IFERROR(__xludf.DUMMYFUNCTION("""COMPUTED_VALUE"""),46078.0)</f>
        <v>46078</v>
      </c>
      <c r="C4159" s="165" t="str">
        <f>IFERROR(__xludf.DUMMYFUNCTION("""COMPUTED_VALUE"""),"KYAI KONTONG")</f>
        <v>KYAI KONTONG</v>
      </c>
      <c r="D4159" s="94">
        <f>IFERROR(__xludf.DUMMYFUNCTION("""COMPUTED_VALUE"""),5.0)</f>
        <v>5</v>
      </c>
    </row>
    <row r="4160">
      <c r="A4160" s="87" t="str">
        <f>IFERROR(__xludf.DUMMYFUNCTION("""COMPUTED_VALUE"""),"ITBISA-SOCKET-IC-DIP28-NARROW")</f>
        <v>ITBISA-SOCKET-IC-DIP28-NARROW</v>
      </c>
      <c r="B4160" s="165">
        <f>IFERROR(__xludf.DUMMYFUNCTION("""COMPUTED_VALUE"""),46157.0)</f>
        <v>46157</v>
      </c>
      <c r="C4160" s="165" t="str">
        <f>IFERROR(__xludf.DUMMYFUNCTION("""COMPUTED_VALUE"""),"KYAI KONTONG")</f>
        <v>KYAI KONTONG</v>
      </c>
      <c r="D4160" s="94">
        <f>IFERROR(__xludf.DUMMYFUNCTION("""COMPUTED_VALUE"""),5.0)</f>
        <v>5</v>
      </c>
    </row>
    <row r="4161">
      <c r="A4161" s="87" t="str">
        <f>IFERROR(__xludf.DUMMYFUNCTION("""COMPUTED_VALUE"""),"ITBISA-SOCKET-IC-DIP28-NARROW")</f>
        <v>ITBISA-SOCKET-IC-DIP28-NARROW</v>
      </c>
      <c r="B4161" s="165">
        <f>IFERROR(__xludf.DUMMYFUNCTION("""COMPUTED_VALUE"""),46172.0)</f>
        <v>46172</v>
      </c>
      <c r="C4161" s="165" t="str">
        <f>IFERROR(__xludf.DUMMYFUNCTION("""COMPUTED_VALUE"""),"KYAI KONTONG")</f>
        <v>KYAI KONTONG</v>
      </c>
      <c r="D4161" s="94">
        <f>IFERROR(__xludf.DUMMYFUNCTION("""COMPUTED_VALUE"""),5.0)</f>
        <v>5</v>
      </c>
    </row>
    <row r="4162">
      <c r="A4162" s="87" t="str">
        <f>IFERROR(__xludf.DUMMYFUNCTION("""COMPUTED_VALUE"""),"ITBISA-SOCKET-IC-DIP8-NARROW")</f>
        <v>ITBISA-SOCKET-IC-DIP8-NARROW</v>
      </c>
      <c r="B4162" s="165">
        <f>IFERROR(__xludf.DUMMYFUNCTION("""COMPUTED_VALUE"""),46023.0)</f>
        <v>46023</v>
      </c>
      <c r="C4162" s="165" t="str">
        <f>IFERROR(__xludf.DUMMYFUNCTION("""COMPUTED_VALUE"""),"KYAI KONTONG")</f>
        <v>KYAI KONTONG</v>
      </c>
      <c r="D4162" s="94">
        <f>IFERROR(__xludf.DUMMYFUNCTION("""COMPUTED_VALUE"""),49.0)</f>
        <v>49</v>
      </c>
    </row>
    <row r="4163">
      <c r="A4163" s="87" t="str">
        <f>IFERROR(__xludf.DUMMYFUNCTION("""COMPUTED_VALUE"""),"ITBISA-SOCKET-IC-DIP8-NARROW")</f>
        <v>ITBISA-SOCKET-IC-DIP8-NARROW</v>
      </c>
      <c r="B4163" s="165">
        <f>IFERROR(__xludf.DUMMYFUNCTION("""COMPUTED_VALUE"""),46023.0)</f>
        <v>46023</v>
      </c>
      <c r="C4163" s="165" t="str">
        <f>IFERROR(__xludf.DUMMYFUNCTION("""COMPUTED_VALUE"""),"KYAI KONTONG")</f>
        <v>KYAI KONTONG</v>
      </c>
      <c r="D4163" s="94">
        <f>IFERROR(__xludf.DUMMYFUNCTION("""COMPUTED_VALUE"""),400.0)</f>
        <v>400</v>
      </c>
    </row>
    <row r="4164">
      <c r="A4164" s="87" t="str">
        <f>IFERROR(__xludf.DUMMYFUNCTION("""COMPUTED_VALUE"""),"ITBISA-SOCKET-IC-DIP8-NARROW")</f>
        <v>ITBISA-SOCKET-IC-DIP8-NARROW</v>
      </c>
      <c r="B4164" s="165">
        <f>IFERROR(__xludf.DUMMYFUNCTION("""COMPUTED_VALUE"""),46025.0)</f>
        <v>46025</v>
      </c>
      <c r="C4164" s="165" t="str">
        <f>IFERROR(__xludf.DUMMYFUNCTION("""COMPUTED_VALUE"""),"KYAI KONTONG")</f>
        <v>KYAI KONTONG</v>
      </c>
      <c r="D4164" s="94">
        <f>IFERROR(__xludf.DUMMYFUNCTION("""COMPUTED_VALUE"""),5.0)</f>
        <v>5</v>
      </c>
    </row>
    <row r="4165">
      <c r="A4165" s="87" t="str">
        <f>IFERROR(__xludf.DUMMYFUNCTION("""COMPUTED_VALUE"""),"ITBISA-SOCKET-IC-DIP8-NARROW")</f>
        <v>ITBISA-SOCKET-IC-DIP8-NARROW</v>
      </c>
      <c r="B4165" s="165">
        <f>IFERROR(__xludf.DUMMYFUNCTION("""COMPUTED_VALUE"""),46032.0)</f>
        <v>46032</v>
      </c>
      <c r="C4165" s="165" t="str">
        <f>IFERROR(__xludf.DUMMYFUNCTION("""COMPUTED_VALUE"""),"KERTASARI CIAMIS")</f>
        <v>KERTASARI CIAMIS</v>
      </c>
      <c r="D4165" s="94">
        <f>IFERROR(__xludf.DUMMYFUNCTION("""COMPUTED_VALUE"""),8.0)</f>
        <v>8</v>
      </c>
    </row>
    <row r="4166">
      <c r="A4166" s="87" t="str">
        <f>IFERROR(__xludf.DUMMYFUNCTION("""COMPUTED_VALUE"""),"ITBISA-SOCKET-IC-DIP8-NARROW")</f>
        <v>ITBISA-SOCKET-IC-DIP8-NARROW</v>
      </c>
      <c r="B4166" s="165">
        <f>IFERROR(__xludf.DUMMYFUNCTION("""COMPUTED_VALUE"""),46044.0)</f>
        <v>46044</v>
      </c>
      <c r="C4166" s="165" t="str">
        <f>IFERROR(__xludf.DUMMYFUNCTION("""COMPUTED_VALUE"""),"KERTASARI CIAMIS")</f>
        <v>KERTASARI CIAMIS</v>
      </c>
      <c r="D4166" s="94">
        <f>IFERROR(__xludf.DUMMYFUNCTION("""COMPUTED_VALUE"""),31.0)</f>
        <v>31</v>
      </c>
    </row>
    <row r="4167">
      <c r="A4167" s="87" t="str">
        <f>IFERROR(__xludf.DUMMYFUNCTION("""COMPUTED_VALUE"""),"ITBISA-SOCKET-IC-DIP8-NARROW")</f>
        <v>ITBISA-SOCKET-IC-DIP8-NARROW</v>
      </c>
      <c r="B4167" s="165">
        <f>IFERROR(__xludf.DUMMYFUNCTION("""COMPUTED_VALUE"""),46052.0)</f>
        <v>46052</v>
      </c>
      <c r="C4167" s="165" t="str">
        <f>IFERROR(__xludf.DUMMYFUNCTION("""COMPUTED_VALUE"""),"KERTASARI CIAMIS")</f>
        <v>KERTASARI CIAMIS</v>
      </c>
      <c r="D4167" s="94">
        <f>IFERROR(__xludf.DUMMYFUNCTION("""COMPUTED_VALUE"""),20.0)</f>
        <v>20</v>
      </c>
    </row>
    <row r="4168">
      <c r="A4168" s="87" t="str">
        <f>IFERROR(__xludf.DUMMYFUNCTION("""COMPUTED_VALUE"""),"ITBISA-SOCKET-IC-DIP8-NARROW")</f>
        <v>ITBISA-SOCKET-IC-DIP8-NARROW</v>
      </c>
      <c r="B4168" s="165">
        <f>IFERROR(__xludf.DUMMYFUNCTION("""COMPUTED_VALUE"""),46054.0)</f>
        <v>46054</v>
      </c>
      <c r="C4168" s="165" t="str">
        <f>IFERROR(__xludf.DUMMYFUNCTION("""COMPUTED_VALUE"""),"KERTASARI CIAMIS")</f>
        <v>KERTASARI CIAMIS</v>
      </c>
      <c r="D4168" s="94">
        <f>IFERROR(__xludf.DUMMYFUNCTION("""COMPUTED_VALUE"""),10.0)</f>
        <v>10</v>
      </c>
    </row>
    <row r="4169">
      <c r="A4169" s="87" t="str">
        <f>IFERROR(__xludf.DUMMYFUNCTION("""COMPUTED_VALUE"""),"ITBISA-SOCKET-IC-DIP8-NARROW")</f>
        <v>ITBISA-SOCKET-IC-DIP8-NARROW</v>
      </c>
      <c r="B4169" s="165">
        <f>IFERROR(__xludf.DUMMYFUNCTION("""COMPUTED_VALUE"""),46057.0)</f>
        <v>46057</v>
      </c>
      <c r="C4169" s="165" t="str">
        <f>IFERROR(__xludf.DUMMYFUNCTION("""COMPUTED_VALUE"""),"KERTASARI CIAMIS")</f>
        <v>KERTASARI CIAMIS</v>
      </c>
      <c r="D4169" s="94">
        <f>IFERROR(__xludf.DUMMYFUNCTION("""COMPUTED_VALUE"""),10.0)</f>
        <v>10</v>
      </c>
    </row>
    <row r="4170">
      <c r="A4170" s="87" t="str">
        <f>IFERROR(__xludf.DUMMYFUNCTION("""COMPUTED_VALUE"""),"ITBISA-SOCKET-IC-DIP8-NARROW")</f>
        <v>ITBISA-SOCKET-IC-DIP8-NARROW</v>
      </c>
      <c r="B4170" s="165">
        <f>IFERROR(__xludf.DUMMYFUNCTION("""COMPUTED_VALUE"""),46072.0)</f>
        <v>46072</v>
      </c>
      <c r="C4170" s="165" t="str">
        <f>IFERROR(__xludf.DUMMYFUNCTION("""COMPUTED_VALUE"""),"KYAI KONTONG")</f>
        <v>KYAI KONTONG</v>
      </c>
      <c r="D4170" s="94">
        <f>IFERROR(__xludf.DUMMYFUNCTION("""COMPUTED_VALUE"""),10.0)</f>
        <v>10</v>
      </c>
    </row>
    <row r="4171">
      <c r="A4171" s="87" t="str">
        <f>IFERROR(__xludf.DUMMYFUNCTION("""COMPUTED_VALUE"""),"ITBISA-SOCKET-IC-DIP8-NARROW")</f>
        <v>ITBISA-SOCKET-IC-DIP8-NARROW</v>
      </c>
      <c r="B4171" s="165">
        <f>IFERROR(__xludf.DUMMYFUNCTION("""COMPUTED_VALUE"""),46073.0)</f>
        <v>46073</v>
      </c>
      <c r="C4171" s="165" t="str">
        <f>IFERROR(__xludf.DUMMYFUNCTION("""COMPUTED_VALUE"""),"KERTASARI CIAMIS")</f>
        <v>KERTASARI CIAMIS</v>
      </c>
      <c r="D4171" s="94">
        <f>IFERROR(__xludf.DUMMYFUNCTION("""COMPUTED_VALUE"""),10.0)</f>
        <v>10</v>
      </c>
    </row>
    <row r="4172">
      <c r="A4172" s="87" t="str">
        <f>IFERROR(__xludf.DUMMYFUNCTION("""COMPUTED_VALUE"""),"ITBISA-SOCKET-IC-DIP8-NARROW")</f>
        <v>ITBISA-SOCKET-IC-DIP8-NARROW</v>
      </c>
      <c r="B4172" s="165">
        <f>IFERROR(__xludf.DUMMYFUNCTION("""COMPUTED_VALUE"""),46079.0)</f>
        <v>46079</v>
      </c>
      <c r="C4172" s="165" t="str">
        <f>IFERROR(__xludf.DUMMYFUNCTION("""COMPUTED_VALUE"""),"KYAI KONTONG")</f>
        <v>KYAI KONTONG</v>
      </c>
      <c r="D4172" s="94">
        <f>IFERROR(__xludf.DUMMYFUNCTION("""COMPUTED_VALUE"""),60.0)</f>
        <v>60</v>
      </c>
    </row>
    <row r="4173">
      <c r="A4173" s="87" t="str">
        <f>IFERROR(__xludf.DUMMYFUNCTION("""COMPUTED_VALUE"""),"ITBISA-SOCKET-IC-DIP8-NARROW")</f>
        <v>ITBISA-SOCKET-IC-DIP8-NARROW</v>
      </c>
      <c r="B4173" s="165">
        <f>IFERROR(__xludf.DUMMYFUNCTION("""COMPUTED_VALUE"""),46085.0)</f>
        <v>46085</v>
      </c>
      <c r="C4173" s="165" t="str">
        <f>IFERROR(__xludf.DUMMYFUNCTION("""COMPUTED_VALUE"""),"KERTASARI CIAMIS")</f>
        <v>KERTASARI CIAMIS</v>
      </c>
      <c r="D4173" s="94">
        <f>IFERROR(__xludf.DUMMYFUNCTION("""COMPUTED_VALUE"""),13.0)</f>
        <v>13</v>
      </c>
    </row>
    <row r="4174">
      <c r="A4174" s="87" t="str">
        <f>IFERROR(__xludf.DUMMYFUNCTION("""COMPUTED_VALUE"""),"ITBISA-SOCKET-IC-DIP8-NARROW")</f>
        <v>ITBISA-SOCKET-IC-DIP8-NARROW</v>
      </c>
      <c r="B4174" s="165">
        <f>IFERROR(__xludf.DUMMYFUNCTION("""COMPUTED_VALUE"""),46087.0)</f>
        <v>46087</v>
      </c>
      <c r="C4174" s="165" t="str">
        <f>IFERROR(__xludf.DUMMYFUNCTION("""COMPUTED_VALUE"""),"KYAI KONTONG")</f>
        <v>KYAI KONTONG</v>
      </c>
      <c r="D4174" s="94">
        <f>IFERROR(__xludf.DUMMYFUNCTION("""COMPUTED_VALUE"""),15.0)</f>
        <v>15</v>
      </c>
    </row>
    <row r="4175">
      <c r="A4175" s="87" t="str">
        <f>IFERROR(__xludf.DUMMYFUNCTION("""COMPUTED_VALUE"""),"ITBISA-SOCKET-IC-DIP8-NARROW")</f>
        <v>ITBISA-SOCKET-IC-DIP8-NARROW</v>
      </c>
      <c r="B4175" s="165">
        <f>IFERROR(__xludf.DUMMYFUNCTION("""COMPUTED_VALUE"""),46087.0)</f>
        <v>46087</v>
      </c>
      <c r="C4175" s="165" t="str">
        <f>IFERROR(__xludf.DUMMYFUNCTION("""COMPUTED_VALUE"""),"KYAI KONTONG")</f>
        <v>KYAI KONTONG</v>
      </c>
      <c r="D4175" s="94">
        <f>IFERROR(__xludf.DUMMYFUNCTION("""COMPUTED_VALUE"""),20.0)</f>
        <v>20</v>
      </c>
    </row>
    <row r="4176">
      <c r="A4176" s="87" t="str">
        <f>IFERROR(__xludf.DUMMYFUNCTION("""COMPUTED_VALUE"""),"ITBISA-SOCKET-IC-DIP8-NARROW")</f>
        <v>ITBISA-SOCKET-IC-DIP8-NARROW</v>
      </c>
      <c r="B4176" s="165">
        <f>IFERROR(__xludf.DUMMYFUNCTION("""COMPUTED_VALUE"""),46088.0)</f>
        <v>46088</v>
      </c>
      <c r="C4176" s="165" t="str">
        <f>IFERROR(__xludf.DUMMYFUNCTION("""COMPUTED_VALUE"""),"KYAI KONTONG")</f>
        <v>KYAI KONTONG</v>
      </c>
      <c r="D4176" s="94">
        <f>IFERROR(__xludf.DUMMYFUNCTION("""COMPUTED_VALUE"""),10.0)</f>
        <v>10</v>
      </c>
    </row>
    <row r="4177">
      <c r="A4177" s="87" t="str">
        <f>IFERROR(__xludf.DUMMYFUNCTION("""COMPUTED_VALUE"""),"ITBISA-SOCKET-IC-DIP8-NARROW")</f>
        <v>ITBISA-SOCKET-IC-DIP8-NARROW</v>
      </c>
      <c r="B4177" s="165">
        <f>IFERROR(__xludf.DUMMYFUNCTION("""COMPUTED_VALUE"""),46089.0)</f>
        <v>46089</v>
      </c>
      <c r="C4177" s="165" t="str">
        <f>IFERROR(__xludf.DUMMYFUNCTION("""COMPUTED_VALUE"""),"KYAI KONTONG")</f>
        <v>KYAI KONTONG</v>
      </c>
      <c r="D4177" s="94">
        <f>IFERROR(__xludf.DUMMYFUNCTION("""COMPUTED_VALUE"""),50.0)</f>
        <v>50</v>
      </c>
    </row>
    <row r="4178">
      <c r="A4178" s="87" t="str">
        <f>IFERROR(__xludf.DUMMYFUNCTION("""COMPUTED_VALUE"""),"ITBISA-SOCKET-IC-DIP8-NARROW")</f>
        <v>ITBISA-SOCKET-IC-DIP8-NARROW</v>
      </c>
      <c r="B4178" s="165">
        <f>IFERROR(__xludf.DUMMYFUNCTION("""COMPUTED_VALUE"""),46092.0)</f>
        <v>46092</v>
      </c>
      <c r="C4178" s="165" t="str">
        <f>IFERROR(__xludf.DUMMYFUNCTION("""COMPUTED_VALUE"""),"KYAI KONTONG")</f>
        <v>KYAI KONTONG</v>
      </c>
      <c r="D4178" s="94">
        <f>IFERROR(__xludf.DUMMYFUNCTION("""COMPUTED_VALUE"""),10.0)</f>
        <v>10</v>
      </c>
    </row>
    <row r="4179">
      <c r="A4179" s="87" t="str">
        <f>IFERROR(__xludf.DUMMYFUNCTION("""COMPUTED_VALUE"""),"ITBISA-SOCKET-IC-DIP8-NARROW")</f>
        <v>ITBISA-SOCKET-IC-DIP8-NARROW</v>
      </c>
      <c r="B4179" s="165">
        <f>IFERROR(__xludf.DUMMYFUNCTION("""COMPUTED_VALUE"""),46101.0)</f>
        <v>46101</v>
      </c>
      <c r="C4179" s="165" t="str">
        <f>IFERROR(__xludf.DUMMYFUNCTION("""COMPUTED_VALUE"""),"KYAI KONTONG")</f>
        <v>KYAI KONTONG</v>
      </c>
      <c r="D4179" s="94">
        <f>IFERROR(__xludf.DUMMYFUNCTION("""COMPUTED_VALUE"""),120.0)</f>
        <v>120</v>
      </c>
    </row>
    <row r="4180">
      <c r="A4180" s="87" t="str">
        <f>IFERROR(__xludf.DUMMYFUNCTION("""COMPUTED_VALUE"""),"ITBISA-SOCKET-IC-DIP8-NARROW")</f>
        <v>ITBISA-SOCKET-IC-DIP8-NARROW</v>
      </c>
      <c r="B4180" s="165">
        <f>IFERROR(__xludf.DUMMYFUNCTION("""COMPUTED_VALUE"""),46118.0)</f>
        <v>46118</v>
      </c>
      <c r="C4180" s="165" t="str">
        <f>IFERROR(__xludf.DUMMYFUNCTION("""COMPUTED_VALUE"""),"KYAI KONTONG")</f>
        <v>KYAI KONTONG</v>
      </c>
      <c r="D4180" s="94">
        <f>IFERROR(__xludf.DUMMYFUNCTION("""COMPUTED_VALUE"""),20.0)</f>
        <v>20</v>
      </c>
    </row>
    <row r="4181">
      <c r="A4181" s="87" t="str">
        <f>IFERROR(__xludf.DUMMYFUNCTION("""COMPUTED_VALUE"""),"ITBISA-SOCKET-IC-DIP8-NARROW")</f>
        <v>ITBISA-SOCKET-IC-DIP8-NARROW</v>
      </c>
      <c r="B4181" s="165">
        <f>IFERROR(__xludf.DUMMYFUNCTION("""COMPUTED_VALUE"""),46118.0)</f>
        <v>46118</v>
      </c>
      <c r="C4181" s="165" t="str">
        <f>IFERROR(__xludf.DUMMYFUNCTION("""COMPUTED_VALUE"""),"KYAI KONTONG")</f>
        <v>KYAI KONTONG</v>
      </c>
      <c r="D4181" s="94">
        <f>IFERROR(__xludf.DUMMYFUNCTION("""COMPUTED_VALUE"""),200.0)</f>
        <v>200</v>
      </c>
    </row>
    <row r="4182">
      <c r="A4182" s="87" t="str">
        <f>IFERROR(__xludf.DUMMYFUNCTION("""COMPUTED_VALUE"""),"ITBISA-SOCKET-IC-DIP8-NARROW")</f>
        <v>ITBISA-SOCKET-IC-DIP8-NARROW</v>
      </c>
      <c r="B4182" s="165">
        <f>IFERROR(__xludf.DUMMYFUNCTION("""COMPUTED_VALUE"""),46119.0)</f>
        <v>46119</v>
      </c>
      <c r="C4182" s="165" t="str">
        <f>IFERROR(__xludf.DUMMYFUNCTION("""COMPUTED_VALUE"""),"KYAI KONTONG")</f>
        <v>KYAI KONTONG</v>
      </c>
      <c r="D4182" s="94">
        <f>IFERROR(__xludf.DUMMYFUNCTION("""COMPUTED_VALUE"""),20.0)</f>
        <v>20</v>
      </c>
    </row>
    <row r="4183">
      <c r="A4183" s="87" t="str">
        <f>IFERROR(__xludf.DUMMYFUNCTION("""COMPUTED_VALUE"""),"ITBISA-SOCKET-IC-DIP8-NARROW")</f>
        <v>ITBISA-SOCKET-IC-DIP8-NARROW</v>
      </c>
      <c r="B4183" s="165">
        <f>IFERROR(__xludf.DUMMYFUNCTION("""COMPUTED_VALUE"""),46123.0)</f>
        <v>46123</v>
      </c>
      <c r="C4183" s="165" t="str">
        <f>IFERROR(__xludf.DUMMYFUNCTION("""COMPUTED_VALUE"""),"KYAI KONTONG")</f>
        <v>KYAI KONTONG</v>
      </c>
      <c r="D4183" s="94">
        <f>IFERROR(__xludf.DUMMYFUNCTION("""COMPUTED_VALUE"""),10.0)</f>
        <v>10</v>
      </c>
    </row>
    <row r="4184">
      <c r="A4184" s="87" t="str">
        <f>IFERROR(__xludf.DUMMYFUNCTION("""COMPUTED_VALUE"""),"ITBISA-SOCKET-IC-DIP8-NARROW")</f>
        <v>ITBISA-SOCKET-IC-DIP8-NARROW</v>
      </c>
      <c r="B4184" s="165">
        <f>IFERROR(__xludf.DUMMYFUNCTION("""COMPUTED_VALUE"""),46123.0)</f>
        <v>46123</v>
      </c>
      <c r="C4184" s="165" t="str">
        <f>IFERROR(__xludf.DUMMYFUNCTION("""COMPUTED_VALUE"""),"KYAI KONTONG")</f>
        <v>KYAI KONTONG</v>
      </c>
      <c r="D4184" s="94">
        <f>IFERROR(__xludf.DUMMYFUNCTION("""COMPUTED_VALUE"""),20.0)</f>
        <v>20</v>
      </c>
    </row>
    <row r="4185">
      <c r="A4185" s="87" t="str">
        <f>IFERROR(__xludf.DUMMYFUNCTION("""COMPUTED_VALUE"""),"ITBISA-SOCKET-IC-DIP8-NARROW")</f>
        <v>ITBISA-SOCKET-IC-DIP8-NARROW</v>
      </c>
      <c r="B4185" s="165">
        <f>IFERROR(__xludf.DUMMYFUNCTION("""COMPUTED_VALUE"""),46124.0)</f>
        <v>46124</v>
      </c>
      <c r="C4185" s="165" t="str">
        <f>IFERROR(__xludf.DUMMYFUNCTION("""COMPUTED_VALUE"""),"KYAI KONTONG")</f>
        <v>KYAI KONTONG</v>
      </c>
      <c r="D4185" s="94">
        <f>IFERROR(__xludf.DUMMYFUNCTION("""COMPUTED_VALUE"""),20.0)</f>
        <v>20</v>
      </c>
    </row>
    <row r="4186">
      <c r="A4186" s="87" t="str">
        <f>IFERROR(__xludf.DUMMYFUNCTION("""COMPUTED_VALUE"""),"ITBISA-SOCKET-IC-DIP8-NARROW")</f>
        <v>ITBISA-SOCKET-IC-DIP8-NARROW</v>
      </c>
      <c r="B4186" s="165">
        <f>IFERROR(__xludf.DUMMYFUNCTION("""COMPUTED_VALUE"""),46127.0)</f>
        <v>46127</v>
      </c>
      <c r="C4186" s="165" t="str">
        <f>IFERROR(__xludf.DUMMYFUNCTION("""COMPUTED_VALUE"""),"KYAI KONTONG")</f>
        <v>KYAI KONTONG</v>
      </c>
      <c r="D4186" s="94">
        <f>IFERROR(__xludf.DUMMYFUNCTION("""COMPUTED_VALUE"""),10.0)</f>
        <v>10</v>
      </c>
    </row>
    <row r="4187">
      <c r="A4187" s="87" t="str">
        <f>IFERROR(__xludf.DUMMYFUNCTION("""COMPUTED_VALUE"""),"ITBISA-SOCKET-IC-DIP8-NARROW")</f>
        <v>ITBISA-SOCKET-IC-DIP8-NARROW</v>
      </c>
      <c r="B4187" s="165">
        <f>IFERROR(__xludf.DUMMYFUNCTION("""COMPUTED_VALUE"""),46129.0)</f>
        <v>46129</v>
      </c>
      <c r="C4187" s="165" t="str">
        <f>IFERROR(__xludf.DUMMYFUNCTION("""COMPUTED_VALUE"""),"KYAI KONTONG")</f>
        <v>KYAI KONTONG</v>
      </c>
      <c r="D4187" s="94">
        <f>IFERROR(__xludf.DUMMYFUNCTION("""COMPUTED_VALUE"""),10.0)</f>
        <v>10</v>
      </c>
    </row>
    <row r="4188">
      <c r="A4188" s="87" t="str">
        <f>IFERROR(__xludf.DUMMYFUNCTION("""COMPUTED_VALUE"""),"ITBISA-SOCKET-IC-DIP8-NARROW")</f>
        <v>ITBISA-SOCKET-IC-DIP8-NARROW</v>
      </c>
      <c r="B4188" s="165">
        <f>IFERROR(__xludf.DUMMYFUNCTION("""COMPUTED_VALUE"""),46131.0)</f>
        <v>46131</v>
      </c>
      <c r="C4188" s="165" t="str">
        <f>IFERROR(__xludf.DUMMYFUNCTION("""COMPUTED_VALUE"""),"KYAI KONTONG")</f>
        <v>KYAI KONTONG</v>
      </c>
      <c r="D4188" s="94">
        <f>IFERROR(__xludf.DUMMYFUNCTION("""COMPUTED_VALUE"""),10.0)</f>
        <v>10</v>
      </c>
    </row>
    <row r="4189">
      <c r="A4189" s="87" t="str">
        <f>IFERROR(__xludf.DUMMYFUNCTION("""COMPUTED_VALUE"""),"ITBISA-SOCKET-IC-DIP8-NARROW")</f>
        <v>ITBISA-SOCKET-IC-DIP8-NARROW</v>
      </c>
      <c r="B4189" s="165">
        <f>IFERROR(__xludf.DUMMYFUNCTION("""COMPUTED_VALUE"""),46141.0)</f>
        <v>46141</v>
      </c>
      <c r="C4189" s="165" t="str">
        <f>IFERROR(__xludf.DUMMYFUNCTION("""COMPUTED_VALUE"""),"KYAI KONTONG")</f>
        <v>KYAI KONTONG</v>
      </c>
      <c r="D4189" s="94">
        <f>IFERROR(__xludf.DUMMYFUNCTION("""COMPUTED_VALUE"""),20.0)</f>
        <v>20</v>
      </c>
    </row>
    <row r="4190">
      <c r="A4190" s="87" t="str">
        <f>IFERROR(__xludf.DUMMYFUNCTION("""COMPUTED_VALUE"""),"ITBISA-SOCKET-IC-DIP8-NARROW")</f>
        <v>ITBISA-SOCKET-IC-DIP8-NARROW</v>
      </c>
      <c r="B4190" s="165">
        <f>IFERROR(__xludf.DUMMYFUNCTION("""COMPUTED_VALUE"""),46142.0)</f>
        <v>46142</v>
      </c>
      <c r="C4190" s="165" t="str">
        <f>IFERROR(__xludf.DUMMYFUNCTION("""COMPUTED_VALUE"""),"KYAI KONTONG")</f>
        <v>KYAI KONTONG</v>
      </c>
      <c r="D4190" s="94">
        <f>IFERROR(__xludf.DUMMYFUNCTION("""COMPUTED_VALUE"""),25.0)</f>
        <v>25</v>
      </c>
    </row>
    <row r="4191">
      <c r="A4191" s="87" t="str">
        <f>IFERROR(__xludf.DUMMYFUNCTION("""COMPUTED_VALUE"""),"ITBISA-SOCKET-IC-DIP8-NARROW")</f>
        <v>ITBISA-SOCKET-IC-DIP8-NARROW</v>
      </c>
      <c r="B4191" s="165">
        <f>IFERROR(__xludf.DUMMYFUNCTION("""COMPUTED_VALUE"""),46144.0)</f>
        <v>46144</v>
      </c>
      <c r="C4191" s="165" t="str">
        <f>IFERROR(__xludf.DUMMYFUNCTION("""COMPUTED_VALUE"""),"KYAI KONTONG")</f>
        <v>KYAI KONTONG</v>
      </c>
      <c r="D4191" s="94">
        <f>IFERROR(__xludf.DUMMYFUNCTION("""COMPUTED_VALUE"""),30.0)</f>
        <v>30</v>
      </c>
    </row>
    <row r="4192">
      <c r="A4192" s="87" t="str">
        <f>IFERROR(__xludf.DUMMYFUNCTION("""COMPUTED_VALUE"""),"ITBISA-SOCKET-IC-DIP8-NARROW")</f>
        <v>ITBISA-SOCKET-IC-DIP8-NARROW</v>
      </c>
      <c r="B4192" s="165">
        <f>IFERROR(__xludf.DUMMYFUNCTION("""COMPUTED_VALUE"""),46145.0)</f>
        <v>46145</v>
      </c>
      <c r="C4192" s="165" t="str">
        <f>IFERROR(__xludf.DUMMYFUNCTION("""COMPUTED_VALUE"""),"KYAI KONTONG")</f>
        <v>KYAI KONTONG</v>
      </c>
      <c r="D4192" s="94">
        <f>IFERROR(__xludf.DUMMYFUNCTION("""COMPUTED_VALUE"""),30.0)</f>
        <v>30</v>
      </c>
    </row>
    <row r="4193">
      <c r="A4193" s="87" t="str">
        <f>IFERROR(__xludf.DUMMYFUNCTION("""COMPUTED_VALUE"""),"ITBISA-SOCKET-IC-DIP8-NARROW")</f>
        <v>ITBISA-SOCKET-IC-DIP8-NARROW</v>
      </c>
      <c r="B4193" s="165">
        <f>IFERROR(__xludf.DUMMYFUNCTION("""COMPUTED_VALUE"""),46147.0)</f>
        <v>46147</v>
      </c>
      <c r="C4193" s="165" t="str">
        <f>IFERROR(__xludf.DUMMYFUNCTION("""COMPUTED_VALUE"""),"KYAI KONTONG")</f>
        <v>KYAI KONTONG</v>
      </c>
      <c r="D4193" s="94">
        <f>IFERROR(__xludf.DUMMYFUNCTION("""COMPUTED_VALUE"""),10.0)</f>
        <v>10</v>
      </c>
    </row>
    <row r="4194">
      <c r="A4194" s="87" t="str">
        <f>IFERROR(__xludf.DUMMYFUNCTION("""COMPUTED_VALUE"""),"ITBISA-SOCKET-IC-DIP8-NARROW")</f>
        <v>ITBISA-SOCKET-IC-DIP8-NARROW</v>
      </c>
      <c r="B4194" s="165">
        <f>IFERROR(__xludf.DUMMYFUNCTION("""COMPUTED_VALUE"""),46147.0)</f>
        <v>46147</v>
      </c>
      <c r="C4194" s="165" t="str">
        <f>IFERROR(__xludf.DUMMYFUNCTION("""COMPUTED_VALUE"""),"KYAI KONTONG")</f>
        <v>KYAI KONTONG</v>
      </c>
      <c r="D4194" s="94">
        <f>IFERROR(__xludf.DUMMYFUNCTION("""COMPUTED_VALUE"""),15.0)</f>
        <v>15</v>
      </c>
    </row>
    <row r="4195">
      <c r="A4195" s="87" t="str">
        <f>IFERROR(__xludf.DUMMYFUNCTION("""COMPUTED_VALUE"""),"ITBISA-SOCKET-IC-DIP8-NARROW")</f>
        <v>ITBISA-SOCKET-IC-DIP8-NARROW</v>
      </c>
      <c r="B4195" s="165">
        <f>IFERROR(__xludf.DUMMYFUNCTION("""COMPUTED_VALUE"""),46148.0)</f>
        <v>46148</v>
      </c>
      <c r="C4195" s="165" t="str">
        <f>IFERROR(__xludf.DUMMYFUNCTION("""COMPUTED_VALUE"""),"KYAI KONTONG")</f>
        <v>KYAI KONTONG</v>
      </c>
      <c r="D4195" s="94">
        <f>IFERROR(__xludf.DUMMYFUNCTION("""COMPUTED_VALUE"""),10.0)</f>
        <v>10</v>
      </c>
    </row>
    <row r="4196">
      <c r="A4196" s="87" t="str">
        <f>IFERROR(__xludf.DUMMYFUNCTION("""COMPUTED_VALUE"""),"ITBISA-SOCKET-IC-DIP8-NARROW")</f>
        <v>ITBISA-SOCKET-IC-DIP8-NARROW</v>
      </c>
      <c r="B4196" s="165">
        <f>IFERROR(__xludf.DUMMYFUNCTION("""COMPUTED_VALUE"""),46149.0)</f>
        <v>46149</v>
      </c>
      <c r="C4196" s="165" t="str">
        <f>IFERROR(__xludf.DUMMYFUNCTION("""COMPUTED_VALUE"""),"KYAI KONTONG")</f>
        <v>KYAI KONTONG</v>
      </c>
      <c r="D4196" s="94">
        <f>IFERROR(__xludf.DUMMYFUNCTION("""COMPUTED_VALUE"""),20.0)</f>
        <v>20</v>
      </c>
    </row>
    <row r="4197">
      <c r="A4197" s="87" t="str">
        <f>IFERROR(__xludf.DUMMYFUNCTION("""COMPUTED_VALUE"""),"ITBISA-SOCKET-IC-DIP8-NARROW")</f>
        <v>ITBISA-SOCKET-IC-DIP8-NARROW</v>
      </c>
      <c r="B4197" s="165">
        <f>IFERROR(__xludf.DUMMYFUNCTION("""COMPUTED_VALUE"""),46150.0)</f>
        <v>46150</v>
      </c>
      <c r="C4197" s="165" t="str">
        <f>IFERROR(__xludf.DUMMYFUNCTION("""COMPUTED_VALUE"""),"KYAI KONTONG")</f>
        <v>KYAI KONTONG</v>
      </c>
      <c r="D4197" s="94">
        <f>IFERROR(__xludf.DUMMYFUNCTION("""COMPUTED_VALUE"""),4.0)</f>
        <v>4</v>
      </c>
    </row>
    <row r="4198">
      <c r="A4198" s="87" t="str">
        <f>IFERROR(__xludf.DUMMYFUNCTION("""COMPUTED_VALUE"""),"ITBISA-SOCKET-IC-DIP8-NARROW")</f>
        <v>ITBISA-SOCKET-IC-DIP8-NARROW</v>
      </c>
      <c r="B4198" s="165">
        <f>IFERROR(__xludf.DUMMYFUNCTION("""COMPUTED_VALUE"""),46152.0)</f>
        <v>46152</v>
      </c>
      <c r="C4198" s="165" t="str">
        <f>IFERROR(__xludf.DUMMYFUNCTION("""COMPUTED_VALUE"""),"KYAI KONTONG")</f>
        <v>KYAI KONTONG</v>
      </c>
      <c r="D4198" s="94">
        <f>IFERROR(__xludf.DUMMYFUNCTION("""COMPUTED_VALUE"""),60.0)</f>
        <v>60</v>
      </c>
    </row>
    <row r="4199">
      <c r="A4199" s="87" t="str">
        <f>IFERROR(__xludf.DUMMYFUNCTION("""COMPUTED_VALUE"""),"ITBISA-SOCKET-IC-DIP8-NARROW")</f>
        <v>ITBISA-SOCKET-IC-DIP8-NARROW</v>
      </c>
      <c r="B4199" s="165">
        <f>IFERROR(__xludf.DUMMYFUNCTION("""COMPUTED_VALUE"""),46153.0)</f>
        <v>46153</v>
      </c>
      <c r="C4199" s="165" t="str">
        <f>IFERROR(__xludf.DUMMYFUNCTION("""COMPUTED_VALUE"""),"KYAI KONTONG")</f>
        <v>KYAI KONTONG</v>
      </c>
      <c r="D4199" s="94">
        <f>IFERROR(__xludf.DUMMYFUNCTION("""COMPUTED_VALUE"""),10.0)</f>
        <v>10</v>
      </c>
    </row>
    <row r="4200">
      <c r="A4200" s="87" t="str">
        <f>IFERROR(__xludf.DUMMYFUNCTION("""COMPUTED_VALUE"""),"ITBISA-SOCKET-IC-DIP8-NARROW")</f>
        <v>ITBISA-SOCKET-IC-DIP8-NARROW</v>
      </c>
      <c r="B4200" s="165">
        <f>IFERROR(__xludf.DUMMYFUNCTION("""COMPUTED_VALUE"""),46153.0)</f>
        <v>46153</v>
      </c>
      <c r="C4200" s="165" t="str">
        <f>IFERROR(__xludf.DUMMYFUNCTION("""COMPUTED_VALUE"""),"KYAI KONTONG")</f>
        <v>KYAI KONTONG</v>
      </c>
      <c r="D4200" s="94">
        <f>IFERROR(__xludf.DUMMYFUNCTION("""COMPUTED_VALUE"""),20.0)</f>
        <v>20</v>
      </c>
    </row>
    <row r="4201">
      <c r="A4201" s="87" t="str">
        <f>IFERROR(__xludf.DUMMYFUNCTION("""COMPUTED_VALUE"""),"ITBISA-SOCKET-IC-DIP8-NARROW")</f>
        <v>ITBISA-SOCKET-IC-DIP8-NARROW</v>
      </c>
      <c r="B4201" s="165">
        <f>IFERROR(__xludf.DUMMYFUNCTION("""COMPUTED_VALUE"""),46153.0)</f>
        <v>46153</v>
      </c>
      <c r="C4201" s="165" t="str">
        <f>IFERROR(__xludf.DUMMYFUNCTION("""COMPUTED_VALUE"""),"KYAI KONTONG")</f>
        <v>KYAI KONTONG</v>
      </c>
      <c r="D4201" s="94">
        <f>IFERROR(__xludf.DUMMYFUNCTION("""COMPUTED_VALUE"""),20.0)</f>
        <v>20</v>
      </c>
    </row>
    <row r="4202">
      <c r="A4202" s="87" t="str">
        <f>IFERROR(__xludf.DUMMYFUNCTION("""COMPUTED_VALUE"""),"ITBISA-SOCKET-IC-DIP8-NARROW")</f>
        <v>ITBISA-SOCKET-IC-DIP8-NARROW</v>
      </c>
      <c r="B4202" s="165">
        <f>IFERROR(__xludf.DUMMYFUNCTION("""COMPUTED_VALUE"""),46154.0)</f>
        <v>46154</v>
      </c>
      <c r="C4202" s="165" t="str">
        <f>IFERROR(__xludf.DUMMYFUNCTION("""COMPUTED_VALUE"""),"KYAI KONTONG")</f>
        <v>KYAI KONTONG</v>
      </c>
      <c r="D4202" s="94">
        <f>IFERROR(__xludf.DUMMYFUNCTION("""COMPUTED_VALUE"""),1000.0)</f>
        <v>1000</v>
      </c>
    </row>
    <row r="4203">
      <c r="A4203" s="87" t="str">
        <f>IFERROR(__xludf.DUMMYFUNCTION("""COMPUTED_VALUE"""),"ITBISA-SOCKET-IC-DIP8-NARROW")</f>
        <v>ITBISA-SOCKET-IC-DIP8-NARROW</v>
      </c>
      <c r="B4203" s="165">
        <f>IFERROR(__xludf.DUMMYFUNCTION("""COMPUTED_VALUE"""),46155.0)</f>
        <v>46155</v>
      </c>
      <c r="C4203" s="165" t="str">
        <f>IFERROR(__xludf.DUMMYFUNCTION("""COMPUTED_VALUE"""),"KYAI KONTONG")</f>
        <v>KYAI KONTONG</v>
      </c>
      <c r="D4203" s="94">
        <f>IFERROR(__xludf.DUMMYFUNCTION("""COMPUTED_VALUE"""),20.0)</f>
        <v>20</v>
      </c>
    </row>
    <row r="4204">
      <c r="A4204" s="87" t="str">
        <f>IFERROR(__xludf.DUMMYFUNCTION("""COMPUTED_VALUE"""),"ITBISA-SOCKET-IC-DIP8-NARROW")</f>
        <v>ITBISA-SOCKET-IC-DIP8-NARROW</v>
      </c>
      <c r="B4204" s="165">
        <f>IFERROR(__xludf.DUMMYFUNCTION("""COMPUTED_VALUE"""),46156.0)</f>
        <v>46156</v>
      </c>
      <c r="C4204" s="165" t="str">
        <f>IFERROR(__xludf.DUMMYFUNCTION("""COMPUTED_VALUE"""),"KYAI KONTONG")</f>
        <v>KYAI KONTONG</v>
      </c>
      <c r="D4204" s="94">
        <f>IFERROR(__xludf.DUMMYFUNCTION("""COMPUTED_VALUE"""),10.0)</f>
        <v>10</v>
      </c>
    </row>
    <row r="4205">
      <c r="A4205" s="87" t="str">
        <f>IFERROR(__xludf.DUMMYFUNCTION("""COMPUTED_VALUE"""),"ITBISA-SOCKET-IC-DIP8-NARROW")</f>
        <v>ITBISA-SOCKET-IC-DIP8-NARROW</v>
      </c>
      <c r="B4205" s="165">
        <f>IFERROR(__xludf.DUMMYFUNCTION("""COMPUTED_VALUE"""),46157.0)</f>
        <v>46157</v>
      </c>
      <c r="C4205" s="165" t="str">
        <f>IFERROR(__xludf.DUMMYFUNCTION("""COMPUTED_VALUE"""),"KYAI KONTONG")</f>
        <v>KYAI KONTONG</v>
      </c>
      <c r="D4205" s="94">
        <f>IFERROR(__xludf.DUMMYFUNCTION("""COMPUTED_VALUE"""),10.0)</f>
        <v>10</v>
      </c>
    </row>
    <row r="4206">
      <c r="A4206" s="87" t="str">
        <f>IFERROR(__xludf.DUMMYFUNCTION("""COMPUTED_VALUE"""),"ITBISA-SOCKET-IC-DIP8-NARROW")</f>
        <v>ITBISA-SOCKET-IC-DIP8-NARROW</v>
      </c>
      <c r="B4206" s="165">
        <f>IFERROR(__xludf.DUMMYFUNCTION("""COMPUTED_VALUE"""),46157.0)</f>
        <v>46157</v>
      </c>
      <c r="C4206" s="165" t="str">
        <f>IFERROR(__xludf.DUMMYFUNCTION("""COMPUTED_VALUE"""),"KYAI KONTONG")</f>
        <v>KYAI KONTONG</v>
      </c>
      <c r="D4206" s="94">
        <f>IFERROR(__xludf.DUMMYFUNCTION("""COMPUTED_VALUE"""),11.0)</f>
        <v>11</v>
      </c>
    </row>
    <row r="4207">
      <c r="A4207" s="87" t="str">
        <f>IFERROR(__xludf.DUMMYFUNCTION("""COMPUTED_VALUE"""),"ITBISA-SOCKET-IC-DIP8-NARROW")</f>
        <v>ITBISA-SOCKET-IC-DIP8-NARROW</v>
      </c>
      <c r="B4207" s="165">
        <f>IFERROR(__xludf.DUMMYFUNCTION("""COMPUTED_VALUE"""),46158.0)</f>
        <v>46158</v>
      </c>
      <c r="C4207" s="165" t="str">
        <f>IFERROR(__xludf.DUMMYFUNCTION("""COMPUTED_VALUE"""),"KYAI KONTONG")</f>
        <v>KYAI KONTONG</v>
      </c>
      <c r="D4207" s="94">
        <f>IFERROR(__xludf.DUMMYFUNCTION("""COMPUTED_VALUE"""),10.0)</f>
        <v>10</v>
      </c>
    </row>
    <row r="4208">
      <c r="A4208" s="87" t="str">
        <f>IFERROR(__xludf.DUMMYFUNCTION("""COMPUTED_VALUE"""),"ITBISA-SOCKET-IC-DIP8-NARROW")</f>
        <v>ITBISA-SOCKET-IC-DIP8-NARROW</v>
      </c>
      <c r="B4208" s="165">
        <f>IFERROR(__xludf.DUMMYFUNCTION("""COMPUTED_VALUE"""),46160.0)</f>
        <v>46160</v>
      </c>
      <c r="C4208" s="165" t="str">
        <f>IFERROR(__xludf.DUMMYFUNCTION("""COMPUTED_VALUE"""),"KYAI KONTONG")</f>
        <v>KYAI KONTONG</v>
      </c>
      <c r="D4208" s="94">
        <f>IFERROR(__xludf.DUMMYFUNCTION("""COMPUTED_VALUE"""),10.0)</f>
        <v>10</v>
      </c>
    </row>
    <row r="4209">
      <c r="A4209" s="87" t="str">
        <f>IFERROR(__xludf.DUMMYFUNCTION("""COMPUTED_VALUE"""),"ITBISA-SOCKET-IC-DIP8-NARROW")</f>
        <v>ITBISA-SOCKET-IC-DIP8-NARROW</v>
      </c>
      <c r="B4209" s="165">
        <f>IFERROR(__xludf.DUMMYFUNCTION("""COMPUTED_VALUE"""),46160.0)</f>
        <v>46160</v>
      </c>
      <c r="C4209" s="165" t="str">
        <f>IFERROR(__xludf.DUMMYFUNCTION("""COMPUTED_VALUE"""),"KYAI KONTONG")</f>
        <v>KYAI KONTONG</v>
      </c>
      <c r="D4209" s="94">
        <f>IFERROR(__xludf.DUMMYFUNCTION("""COMPUTED_VALUE"""),10.0)</f>
        <v>10</v>
      </c>
    </row>
    <row r="4210">
      <c r="A4210" s="87" t="str">
        <f>IFERROR(__xludf.DUMMYFUNCTION("""COMPUTED_VALUE"""),"ITBISA-SOCKET-IC-DIP8-NARROW")</f>
        <v>ITBISA-SOCKET-IC-DIP8-NARROW</v>
      </c>
      <c r="B4210" s="165">
        <f>IFERROR(__xludf.DUMMYFUNCTION("""COMPUTED_VALUE"""),46161.0)</f>
        <v>46161</v>
      </c>
      <c r="C4210" s="165" t="str">
        <f>IFERROR(__xludf.DUMMYFUNCTION("""COMPUTED_VALUE"""),"KYAI KONTONG")</f>
        <v>KYAI KONTONG</v>
      </c>
      <c r="D4210" s="94">
        <f>IFERROR(__xludf.DUMMYFUNCTION("""COMPUTED_VALUE"""),10.0)</f>
        <v>10</v>
      </c>
    </row>
    <row r="4211">
      <c r="A4211" s="87" t="str">
        <f>IFERROR(__xludf.DUMMYFUNCTION("""COMPUTED_VALUE"""),"ITBISA-SOCKET-IC-DIP8-NARROW")</f>
        <v>ITBISA-SOCKET-IC-DIP8-NARROW</v>
      </c>
      <c r="B4211" s="165">
        <f>IFERROR(__xludf.DUMMYFUNCTION("""COMPUTED_VALUE"""),46161.0)</f>
        <v>46161</v>
      </c>
      <c r="C4211" s="165" t="str">
        <f>IFERROR(__xludf.DUMMYFUNCTION("""COMPUTED_VALUE"""),"KYAI KONTONG")</f>
        <v>KYAI KONTONG</v>
      </c>
      <c r="D4211" s="94">
        <f>IFERROR(__xludf.DUMMYFUNCTION("""COMPUTED_VALUE"""),200.0)</f>
        <v>200</v>
      </c>
    </row>
    <row r="4212">
      <c r="A4212" s="87" t="str">
        <f>IFERROR(__xludf.DUMMYFUNCTION("""COMPUTED_VALUE"""),"ITBISA-SOCKET-IC-DIP8-NARROW")</f>
        <v>ITBISA-SOCKET-IC-DIP8-NARROW</v>
      </c>
      <c r="B4212" s="165">
        <f>IFERROR(__xludf.DUMMYFUNCTION("""COMPUTED_VALUE"""),46162.0)</f>
        <v>46162</v>
      </c>
      <c r="C4212" s="165" t="str">
        <f>IFERROR(__xludf.DUMMYFUNCTION("""COMPUTED_VALUE"""),"KYAI KONTONG")</f>
        <v>KYAI KONTONG</v>
      </c>
      <c r="D4212" s="94">
        <f>IFERROR(__xludf.DUMMYFUNCTION("""COMPUTED_VALUE"""),20.0)</f>
        <v>20</v>
      </c>
    </row>
    <row r="4213">
      <c r="A4213" s="87" t="str">
        <f>IFERROR(__xludf.DUMMYFUNCTION("""COMPUTED_VALUE"""),"ITBISA-SOCKET-IC-DIP8-NARROW")</f>
        <v>ITBISA-SOCKET-IC-DIP8-NARROW</v>
      </c>
      <c r="B4213" s="165">
        <f>IFERROR(__xludf.DUMMYFUNCTION("""COMPUTED_VALUE"""),46163.0)</f>
        <v>46163</v>
      </c>
      <c r="C4213" s="165" t="str">
        <f>IFERROR(__xludf.DUMMYFUNCTION("""COMPUTED_VALUE"""),"KYAI KONTONG")</f>
        <v>KYAI KONTONG</v>
      </c>
      <c r="D4213" s="94">
        <f>IFERROR(__xludf.DUMMYFUNCTION("""COMPUTED_VALUE"""),10.0)</f>
        <v>10</v>
      </c>
    </row>
    <row r="4214">
      <c r="A4214" s="87" t="str">
        <f>IFERROR(__xludf.DUMMYFUNCTION("""COMPUTED_VALUE"""),"ITBISA-SOCKET-IC-DIP8-NARROW")</f>
        <v>ITBISA-SOCKET-IC-DIP8-NARROW</v>
      </c>
      <c r="B4214" s="165">
        <f>IFERROR(__xludf.DUMMYFUNCTION("""COMPUTED_VALUE"""),46164.0)</f>
        <v>46164</v>
      </c>
      <c r="C4214" s="165" t="str">
        <f>IFERROR(__xludf.DUMMYFUNCTION("""COMPUTED_VALUE"""),"KYAI KONTONG")</f>
        <v>KYAI KONTONG</v>
      </c>
      <c r="D4214" s="94">
        <f>IFERROR(__xludf.DUMMYFUNCTION("""COMPUTED_VALUE"""),20.0)</f>
        <v>20</v>
      </c>
    </row>
    <row r="4215">
      <c r="A4215" s="87" t="str">
        <f>IFERROR(__xludf.DUMMYFUNCTION("""COMPUTED_VALUE"""),"ITBISA-SOCKET-IC-DIP8-NARROW")</f>
        <v>ITBISA-SOCKET-IC-DIP8-NARROW</v>
      </c>
      <c r="B4215" s="165">
        <f>IFERROR(__xludf.DUMMYFUNCTION("""COMPUTED_VALUE"""),46165.0)</f>
        <v>46165</v>
      </c>
      <c r="C4215" s="165" t="str">
        <f>IFERROR(__xludf.DUMMYFUNCTION("""COMPUTED_VALUE"""),"KYAI KONTONG")</f>
        <v>KYAI KONTONG</v>
      </c>
      <c r="D4215" s="94">
        <f>IFERROR(__xludf.DUMMYFUNCTION("""COMPUTED_VALUE"""),15.0)</f>
        <v>15</v>
      </c>
    </row>
    <row r="4216">
      <c r="A4216" s="87" t="str">
        <f>IFERROR(__xludf.DUMMYFUNCTION("""COMPUTED_VALUE"""),"ITBISA-SOCKET-IC-DIP8-NARROW")</f>
        <v>ITBISA-SOCKET-IC-DIP8-NARROW</v>
      </c>
      <c r="B4216" s="165">
        <f>IFERROR(__xludf.DUMMYFUNCTION("""COMPUTED_VALUE"""),46165.0)</f>
        <v>46165</v>
      </c>
      <c r="C4216" s="165" t="str">
        <f>IFERROR(__xludf.DUMMYFUNCTION("""COMPUTED_VALUE"""),"KYAI KONTONG")</f>
        <v>KYAI KONTONG</v>
      </c>
      <c r="D4216" s="94">
        <f>IFERROR(__xludf.DUMMYFUNCTION("""COMPUTED_VALUE"""),500.0)</f>
        <v>500</v>
      </c>
    </row>
    <row r="4217">
      <c r="A4217" s="87" t="str">
        <f>IFERROR(__xludf.DUMMYFUNCTION("""COMPUTED_VALUE"""),"ITBISA-SOCKET-IC-DIP8-NARROW")</f>
        <v>ITBISA-SOCKET-IC-DIP8-NARROW</v>
      </c>
      <c r="B4217" s="165">
        <f>IFERROR(__xludf.DUMMYFUNCTION("""COMPUTED_VALUE"""),46166.0)</f>
        <v>46166</v>
      </c>
      <c r="C4217" s="165" t="str">
        <f>IFERROR(__xludf.DUMMYFUNCTION("""COMPUTED_VALUE"""),"KYAI KONTONG")</f>
        <v>KYAI KONTONG</v>
      </c>
      <c r="D4217" s="94">
        <f>IFERROR(__xludf.DUMMYFUNCTION("""COMPUTED_VALUE"""),20.0)</f>
        <v>20</v>
      </c>
    </row>
    <row r="4218">
      <c r="A4218" s="87" t="str">
        <f>IFERROR(__xludf.DUMMYFUNCTION("""COMPUTED_VALUE"""),"ITBISA-SOCKET-IC-DIP8-NARROW")</f>
        <v>ITBISA-SOCKET-IC-DIP8-NARROW</v>
      </c>
      <c r="B4218" s="165">
        <f>IFERROR(__xludf.DUMMYFUNCTION("""COMPUTED_VALUE"""),46167.0)</f>
        <v>46167</v>
      </c>
      <c r="C4218" s="165" t="str">
        <f>IFERROR(__xludf.DUMMYFUNCTION("""COMPUTED_VALUE"""),"KYAI KONTONG")</f>
        <v>KYAI KONTONG</v>
      </c>
      <c r="D4218" s="94">
        <f>IFERROR(__xludf.DUMMYFUNCTION("""COMPUTED_VALUE"""),3.0)</f>
        <v>3</v>
      </c>
    </row>
    <row r="4219">
      <c r="A4219" s="87" t="str">
        <f>IFERROR(__xludf.DUMMYFUNCTION("""COMPUTED_VALUE"""),"ITBISA-SOCKET-IC-DIP8-NARROW")</f>
        <v>ITBISA-SOCKET-IC-DIP8-NARROW</v>
      </c>
      <c r="B4219" s="165">
        <f>IFERROR(__xludf.DUMMYFUNCTION("""COMPUTED_VALUE"""),46167.0)</f>
        <v>46167</v>
      </c>
      <c r="C4219" s="165" t="str">
        <f>IFERROR(__xludf.DUMMYFUNCTION("""COMPUTED_VALUE"""),"KYAI KONTONG")</f>
        <v>KYAI KONTONG</v>
      </c>
      <c r="D4219" s="94">
        <f>IFERROR(__xludf.DUMMYFUNCTION("""COMPUTED_VALUE"""),9.0)</f>
        <v>9</v>
      </c>
    </row>
    <row r="4220">
      <c r="A4220" s="87" t="str">
        <f>IFERROR(__xludf.DUMMYFUNCTION("""COMPUTED_VALUE"""),"ITBISA-SOCKET-IC-DIP8-NARROW")</f>
        <v>ITBISA-SOCKET-IC-DIP8-NARROW</v>
      </c>
      <c r="B4220" s="165">
        <f>IFERROR(__xludf.DUMMYFUNCTION("""COMPUTED_VALUE"""),46167.0)</f>
        <v>46167</v>
      </c>
      <c r="C4220" s="165" t="str">
        <f>IFERROR(__xludf.DUMMYFUNCTION("""COMPUTED_VALUE"""),"KYAI KONTONG")</f>
        <v>KYAI KONTONG</v>
      </c>
      <c r="D4220" s="94">
        <f>IFERROR(__xludf.DUMMYFUNCTION("""COMPUTED_VALUE"""),30.0)</f>
        <v>30</v>
      </c>
    </row>
    <row r="4221">
      <c r="A4221" s="87" t="str">
        <f>IFERROR(__xludf.DUMMYFUNCTION("""COMPUTED_VALUE"""),"ITBISA-SOCKET-IC-DIP8-NARROW")</f>
        <v>ITBISA-SOCKET-IC-DIP8-NARROW</v>
      </c>
      <c r="B4221" s="165">
        <f>IFERROR(__xludf.DUMMYFUNCTION("""COMPUTED_VALUE"""),46168.0)</f>
        <v>46168</v>
      </c>
      <c r="C4221" s="165" t="str">
        <f>IFERROR(__xludf.DUMMYFUNCTION("""COMPUTED_VALUE"""),"KYAI KONTONG")</f>
        <v>KYAI KONTONG</v>
      </c>
      <c r="D4221" s="94">
        <f>IFERROR(__xludf.DUMMYFUNCTION("""COMPUTED_VALUE"""),10.0)</f>
        <v>10</v>
      </c>
    </row>
    <row r="4222">
      <c r="A4222" s="87" t="str">
        <f>IFERROR(__xludf.DUMMYFUNCTION("""COMPUTED_VALUE"""),"ITBISA-SOCKET-IC-DIP8-NARROW")</f>
        <v>ITBISA-SOCKET-IC-DIP8-NARROW</v>
      </c>
      <c r="B4222" s="165">
        <f>IFERROR(__xludf.DUMMYFUNCTION("""COMPUTED_VALUE"""),46168.0)</f>
        <v>46168</v>
      </c>
      <c r="C4222" s="165" t="str">
        <f>IFERROR(__xludf.DUMMYFUNCTION("""COMPUTED_VALUE"""),"KYAI KONTONG")</f>
        <v>KYAI KONTONG</v>
      </c>
      <c r="D4222" s="94">
        <f>IFERROR(__xludf.DUMMYFUNCTION("""COMPUTED_VALUE"""),100.0)</f>
        <v>100</v>
      </c>
    </row>
    <row r="4223">
      <c r="A4223" s="87" t="str">
        <f>IFERROR(__xludf.DUMMYFUNCTION("""COMPUTED_VALUE"""),"ITBISA-SOCKET-IC-DIP8-NARROW")</f>
        <v>ITBISA-SOCKET-IC-DIP8-NARROW</v>
      </c>
      <c r="B4223" s="165">
        <f>IFERROR(__xludf.DUMMYFUNCTION("""COMPUTED_VALUE"""),46170.0)</f>
        <v>46170</v>
      </c>
      <c r="C4223" s="165" t="str">
        <f>IFERROR(__xludf.DUMMYFUNCTION("""COMPUTED_VALUE"""),"KYAI KONTONG")</f>
        <v>KYAI KONTONG</v>
      </c>
      <c r="D4223" s="94">
        <f>IFERROR(__xludf.DUMMYFUNCTION("""COMPUTED_VALUE"""),10.0)</f>
        <v>10</v>
      </c>
    </row>
    <row r="4224">
      <c r="A4224" s="87" t="str">
        <f>IFERROR(__xludf.DUMMYFUNCTION("""COMPUTED_VALUE"""),"ITBISA-SOCKET-IC-DIP8-NARROW")</f>
        <v>ITBISA-SOCKET-IC-DIP8-NARROW</v>
      </c>
      <c r="B4224" s="165">
        <f>IFERROR(__xludf.DUMMYFUNCTION("""COMPUTED_VALUE"""),46170.0)</f>
        <v>46170</v>
      </c>
      <c r="C4224" s="165" t="str">
        <f>IFERROR(__xludf.DUMMYFUNCTION("""COMPUTED_VALUE"""),"KYAI KONTONG")</f>
        <v>KYAI KONTONG</v>
      </c>
      <c r="D4224" s="94">
        <f>IFERROR(__xludf.DUMMYFUNCTION("""COMPUTED_VALUE"""),15.0)</f>
        <v>15</v>
      </c>
    </row>
    <row r="4225">
      <c r="A4225" s="87" t="str">
        <f>IFERROR(__xludf.DUMMYFUNCTION("""COMPUTED_VALUE"""),"ITBISA-SOCKET-IC-DIP8-NARROW")</f>
        <v>ITBISA-SOCKET-IC-DIP8-NARROW</v>
      </c>
      <c r="B4225" s="165">
        <f>IFERROR(__xludf.DUMMYFUNCTION("""COMPUTED_VALUE"""),46170.0)</f>
        <v>46170</v>
      </c>
      <c r="C4225" s="165" t="str">
        <f>IFERROR(__xludf.DUMMYFUNCTION("""COMPUTED_VALUE"""),"KYAI KONTONG")</f>
        <v>KYAI KONTONG</v>
      </c>
      <c r="D4225" s="94">
        <f>IFERROR(__xludf.DUMMYFUNCTION("""COMPUTED_VALUE"""),30.0)</f>
        <v>30</v>
      </c>
    </row>
    <row r="4226">
      <c r="A4226" s="87" t="str">
        <f>IFERROR(__xludf.DUMMYFUNCTION("""COMPUTED_VALUE"""),"ITBISA-SOCKET-IC-DIP8-NARROW")</f>
        <v>ITBISA-SOCKET-IC-DIP8-NARROW</v>
      </c>
      <c r="B4226" s="165">
        <f>IFERROR(__xludf.DUMMYFUNCTION("""COMPUTED_VALUE"""),46171.0)</f>
        <v>46171</v>
      </c>
      <c r="C4226" s="165" t="str">
        <f>IFERROR(__xludf.DUMMYFUNCTION("""COMPUTED_VALUE"""),"KYAI KONTONG")</f>
        <v>KYAI KONTONG</v>
      </c>
      <c r="D4226" s="94">
        <f>IFERROR(__xludf.DUMMYFUNCTION("""COMPUTED_VALUE"""),12.0)</f>
        <v>12</v>
      </c>
    </row>
    <row r="4227">
      <c r="A4227" s="87" t="str">
        <f>IFERROR(__xludf.DUMMYFUNCTION("""COMPUTED_VALUE"""),"ITBISA-SOCKET-IC-DIP8-NARROW")</f>
        <v>ITBISA-SOCKET-IC-DIP8-NARROW</v>
      </c>
      <c r="B4227" s="165">
        <f>IFERROR(__xludf.DUMMYFUNCTION("""COMPUTED_VALUE"""),46171.0)</f>
        <v>46171</v>
      </c>
      <c r="C4227" s="165" t="str">
        <f>IFERROR(__xludf.DUMMYFUNCTION("""COMPUTED_VALUE"""),"KYAI KONTONG")</f>
        <v>KYAI KONTONG</v>
      </c>
      <c r="D4227" s="94">
        <f>IFERROR(__xludf.DUMMYFUNCTION("""COMPUTED_VALUE"""),17.0)</f>
        <v>17</v>
      </c>
    </row>
    <row r="4228">
      <c r="A4228" s="87" t="str">
        <f>IFERROR(__xludf.DUMMYFUNCTION("""COMPUTED_VALUE"""),"ITBISA-SOCKET-IC-DIP8-NARROW")</f>
        <v>ITBISA-SOCKET-IC-DIP8-NARROW</v>
      </c>
      <c r="B4228" s="165">
        <f>IFERROR(__xludf.DUMMYFUNCTION("""COMPUTED_VALUE"""),46172.0)</f>
        <v>46172</v>
      </c>
      <c r="C4228" s="165" t="str">
        <f>IFERROR(__xludf.DUMMYFUNCTION("""COMPUTED_VALUE"""),"KYAI KONTONG")</f>
        <v>KYAI KONTONG</v>
      </c>
      <c r="D4228" s="94">
        <f>IFERROR(__xludf.DUMMYFUNCTION("""COMPUTED_VALUE"""),27.0)</f>
        <v>27</v>
      </c>
    </row>
    <row r="4229">
      <c r="A4229" s="87" t="str">
        <f>IFERROR(__xludf.DUMMYFUNCTION("""COMPUTED_VALUE"""),"ITBISA-SOCKET-IC-DIP8-NARROW")</f>
        <v>ITBISA-SOCKET-IC-DIP8-NARROW</v>
      </c>
      <c r="B4229" s="165">
        <f>IFERROR(__xludf.DUMMYFUNCTION("""COMPUTED_VALUE"""),46174.0)</f>
        <v>46174</v>
      </c>
      <c r="C4229" s="165" t="str">
        <f>IFERROR(__xludf.DUMMYFUNCTION("""COMPUTED_VALUE"""),"KYAI KONTONG")</f>
        <v>KYAI KONTONG</v>
      </c>
      <c r="D4229" s="94">
        <f>IFERROR(__xludf.DUMMYFUNCTION("""COMPUTED_VALUE"""),10.0)</f>
        <v>10</v>
      </c>
    </row>
    <row r="4230">
      <c r="A4230" s="87" t="str">
        <f>IFERROR(__xludf.DUMMYFUNCTION("""COMPUTED_VALUE"""),"ITBISA-SOCKET-IC-DIP8-NARROW")</f>
        <v>ITBISA-SOCKET-IC-DIP8-NARROW</v>
      </c>
      <c r="B4230" s="165">
        <f>IFERROR(__xludf.DUMMYFUNCTION("""COMPUTED_VALUE"""),46174.0)</f>
        <v>46174</v>
      </c>
      <c r="C4230" s="165" t="str">
        <f>IFERROR(__xludf.DUMMYFUNCTION("""COMPUTED_VALUE"""),"KYAI KONTONG")</f>
        <v>KYAI KONTONG</v>
      </c>
      <c r="D4230" s="94">
        <f>IFERROR(__xludf.DUMMYFUNCTION("""COMPUTED_VALUE"""),100.0)</f>
        <v>100</v>
      </c>
    </row>
    <row r="4231">
      <c r="A4231" s="87" t="str">
        <f>IFERROR(__xludf.DUMMYFUNCTION("""COMPUTED_VALUE"""),"ITBISA-SOCKET-IC-DIP8-NARROW")</f>
        <v>ITBISA-SOCKET-IC-DIP8-NARROW</v>
      </c>
      <c r="B4231" s="165">
        <f>IFERROR(__xludf.DUMMYFUNCTION("""COMPUTED_VALUE"""),46176.0)</f>
        <v>46176</v>
      </c>
      <c r="C4231" s="165" t="str">
        <f>IFERROR(__xludf.DUMMYFUNCTION("""COMPUTED_VALUE"""),"KYAI KONTONG")</f>
        <v>KYAI KONTONG</v>
      </c>
      <c r="D4231" s="94">
        <f>IFERROR(__xludf.DUMMYFUNCTION("""COMPUTED_VALUE"""),14.0)</f>
        <v>14</v>
      </c>
    </row>
    <row r="4232">
      <c r="A4232" s="87" t="str">
        <f>IFERROR(__xludf.DUMMYFUNCTION("""COMPUTED_VALUE"""),"ITBISA-SOCKET-IC-DIP8-NARROW")</f>
        <v>ITBISA-SOCKET-IC-DIP8-NARROW</v>
      </c>
      <c r="B4232" s="165">
        <f>IFERROR(__xludf.DUMMYFUNCTION("""COMPUTED_VALUE"""),46176.0)</f>
        <v>46176</v>
      </c>
      <c r="C4232" s="165" t="str">
        <f>IFERROR(__xludf.DUMMYFUNCTION("""COMPUTED_VALUE"""),"KYAI KONTONG")</f>
        <v>KYAI KONTONG</v>
      </c>
      <c r="D4232" s="94">
        <f>IFERROR(__xludf.DUMMYFUNCTION("""COMPUTED_VALUE"""),20.0)</f>
        <v>20</v>
      </c>
    </row>
    <row r="4233">
      <c r="A4233" s="87" t="str">
        <f>IFERROR(__xludf.DUMMYFUNCTION("""COMPUTED_VALUE"""),"ITBISA-SOCKET-IC-DIP8-NARROW")</f>
        <v>ITBISA-SOCKET-IC-DIP8-NARROW</v>
      </c>
      <c r="B4233" s="165">
        <f>IFERROR(__xludf.DUMMYFUNCTION("""COMPUTED_VALUE"""),46178.0)</f>
        <v>46178</v>
      </c>
      <c r="C4233" s="165" t="str">
        <f>IFERROR(__xludf.DUMMYFUNCTION("""COMPUTED_VALUE"""),"KYAI KONTONG")</f>
        <v>KYAI KONTONG</v>
      </c>
      <c r="D4233" s="94">
        <f>IFERROR(__xludf.DUMMYFUNCTION("""COMPUTED_VALUE"""),10.0)</f>
        <v>10</v>
      </c>
    </row>
    <row r="4234">
      <c r="A4234" s="87" t="str">
        <f>IFERROR(__xludf.DUMMYFUNCTION("""COMPUTED_VALUE"""),"ITBISA-SOCKET-IC-DIP8-NARROW")</f>
        <v>ITBISA-SOCKET-IC-DIP8-NARROW</v>
      </c>
      <c r="B4234" s="165">
        <f>IFERROR(__xludf.DUMMYFUNCTION("""COMPUTED_VALUE"""),46178.0)</f>
        <v>46178</v>
      </c>
      <c r="C4234" s="165" t="str">
        <f>IFERROR(__xludf.DUMMYFUNCTION("""COMPUTED_VALUE"""),"KYAI KONTONG")</f>
        <v>KYAI KONTONG</v>
      </c>
      <c r="D4234" s="94">
        <f>IFERROR(__xludf.DUMMYFUNCTION("""COMPUTED_VALUE"""),33.0)</f>
        <v>33</v>
      </c>
    </row>
    <row r="4235">
      <c r="A4235" s="87" t="str">
        <f>IFERROR(__xludf.DUMMYFUNCTION("""COMPUTED_VALUE"""),"ITBISA-SOCKET-IC-DIP8-NARROW")</f>
        <v>ITBISA-SOCKET-IC-DIP8-NARROW</v>
      </c>
      <c r="B4235" s="165">
        <f>IFERROR(__xludf.DUMMYFUNCTION("""COMPUTED_VALUE"""),46179.0)</f>
        <v>46179</v>
      </c>
      <c r="C4235" s="165" t="str">
        <f>IFERROR(__xludf.DUMMYFUNCTION("""COMPUTED_VALUE"""),"KYAI KONTONG")</f>
        <v>KYAI KONTONG</v>
      </c>
      <c r="D4235" s="94">
        <f>IFERROR(__xludf.DUMMYFUNCTION("""COMPUTED_VALUE"""),10.0)</f>
        <v>10</v>
      </c>
    </row>
    <row r="4236">
      <c r="A4236" s="87" t="str">
        <f>IFERROR(__xludf.DUMMYFUNCTION("""COMPUTED_VALUE"""),"ITBISA-SOCKET-IC-DIP8-NARROW")</f>
        <v>ITBISA-SOCKET-IC-DIP8-NARROW</v>
      </c>
      <c r="B4236" s="165">
        <f>IFERROR(__xludf.DUMMYFUNCTION("""COMPUTED_VALUE"""),46179.0)</f>
        <v>46179</v>
      </c>
      <c r="C4236" s="165" t="str">
        <f>IFERROR(__xludf.DUMMYFUNCTION("""COMPUTED_VALUE"""),"KYAI KONTONG")</f>
        <v>KYAI KONTONG</v>
      </c>
      <c r="D4236" s="94">
        <f>IFERROR(__xludf.DUMMYFUNCTION("""COMPUTED_VALUE"""),10.0)</f>
        <v>10</v>
      </c>
    </row>
    <row r="4237">
      <c r="A4237" s="87" t="str">
        <f>IFERROR(__xludf.DUMMYFUNCTION("""COMPUTED_VALUE"""),"ITBISA-SOCKET-IC-DIP8-NARROW")</f>
        <v>ITBISA-SOCKET-IC-DIP8-NARROW</v>
      </c>
      <c r="B4237" s="165">
        <f>IFERROR(__xludf.DUMMYFUNCTION("""COMPUTED_VALUE"""),46179.0)</f>
        <v>46179</v>
      </c>
      <c r="C4237" s="165" t="str">
        <f>IFERROR(__xludf.DUMMYFUNCTION("""COMPUTED_VALUE"""),"KYAI KONTONG")</f>
        <v>KYAI KONTONG</v>
      </c>
      <c r="D4237" s="94">
        <f>IFERROR(__xludf.DUMMYFUNCTION("""COMPUTED_VALUE"""),200.0)</f>
        <v>200</v>
      </c>
    </row>
    <row r="4238">
      <c r="A4238" s="87" t="str">
        <f>IFERROR(__xludf.DUMMYFUNCTION("""COMPUTED_VALUE"""),"ITBISA-SOCKET-IC-DIP8-NARROW")</f>
        <v>ITBISA-SOCKET-IC-DIP8-NARROW</v>
      </c>
      <c r="B4238" s="165">
        <f>IFERROR(__xludf.DUMMYFUNCTION("""COMPUTED_VALUE"""),46180.0)</f>
        <v>46180</v>
      </c>
      <c r="C4238" s="165" t="str">
        <f>IFERROR(__xludf.DUMMYFUNCTION("""COMPUTED_VALUE"""),"KYAI KONTONG")</f>
        <v>KYAI KONTONG</v>
      </c>
      <c r="D4238" s="94">
        <f>IFERROR(__xludf.DUMMYFUNCTION("""COMPUTED_VALUE"""),100.0)</f>
        <v>100</v>
      </c>
    </row>
    <row r="4239">
      <c r="A4239" s="87" t="str">
        <f>IFERROR(__xludf.DUMMYFUNCTION("""COMPUTED_VALUE"""),"ITBISA-SOCKET-IC-DIP8-NARROW")</f>
        <v>ITBISA-SOCKET-IC-DIP8-NARROW</v>
      </c>
      <c r="B4239" s="165">
        <f>IFERROR(__xludf.DUMMYFUNCTION("""COMPUTED_VALUE"""),46181.0)</f>
        <v>46181</v>
      </c>
      <c r="C4239" s="165" t="str">
        <f>IFERROR(__xludf.DUMMYFUNCTION("""COMPUTED_VALUE"""),"KYAI KONTONG")</f>
        <v>KYAI KONTONG</v>
      </c>
      <c r="D4239" s="94">
        <f>IFERROR(__xludf.DUMMYFUNCTION("""COMPUTED_VALUE"""),15.0)</f>
        <v>15</v>
      </c>
    </row>
    <row r="4240">
      <c r="A4240" s="87" t="str">
        <f>IFERROR(__xludf.DUMMYFUNCTION("""COMPUTED_VALUE"""),"ITBISA-SOCKET-IC-DIP8-NARROW")</f>
        <v>ITBISA-SOCKET-IC-DIP8-NARROW</v>
      </c>
      <c r="B4240" s="165">
        <f>IFERROR(__xludf.DUMMYFUNCTION("""COMPUTED_VALUE"""),46182.0)</f>
        <v>46182</v>
      </c>
      <c r="C4240" s="165" t="str">
        <f>IFERROR(__xludf.DUMMYFUNCTION("""COMPUTED_VALUE"""),"KYAI KONTONG")</f>
        <v>KYAI KONTONG</v>
      </c>
      <c r="D4240" s="94">
        <f>IFERROR(__xludf.DUMMYFUNCTION("""COMPUTED_VALUE"""),10.0)</f>
        <v>10</v>
      </c>
    </row>
    <row r="4241">
      <c r="A4241" s="87" t="str">
        <f>IFERROR(__xludf.DUMMYFUNCTION("""COMPUTED_VALUE"""),"ITBISA-SOCKET-IC-DIP8-NARROW")</f>
        <v>ITBISA-SOCKET-IC-DIP8-NARROW</v>
      </c>
      <c r="B4241" s="165">
        <f>IFERROR(__xludf.DUMMYFUNCTION("""COMPUTED_VALUE"""),46182.0)</f>
        <v>46182</v>
      </c>
      <c r="C4241" s="165" t="str">
        <f>IFERROR(__xludf.DUMMYFUNCTION("""COMPUTED_VALUE"""),"KYAI KONTONG")</f>
        <v>KYAI KONTONG</v>
      </c>
      <c r="D4241" s="94">
        <f>IFERROR(__xludf.DUMMYFUNCTION("""COMPUTED_VALUE"""),50.0)</f>
        <v>50</v>
      </c>
    </row>
    <row r="4242">
      <c r="A4242" s="87" t="str">
        <f>IFERROR(__xludf.DUMMYFUNCTION("""COMPUTED_VALUE"""),"ITBISA-SOCKET-IC-DIP8-NARROW")</f>
        <v>ITBISA-SOCKET-IC-DIP8-NARROW</v>
      </c>
      <c r="B4242" s="165">
        <f>IFERROR(__xludf.DUMMYFUNCTION("""COMPUTED_VALUE"""),46185.0)</f>
        <v>46185</v>
      </c>
      <c r="C4242" s="165" t="str">
        <f>IFERROR(__xludf.DUMMYFUNCTION("""COMPUTED_VALUE"""),"KYAI KONTONG")</f>
        <v>KYAI KONTONG</v>
      </c>
      <c r="D4242" s="94">
        <f>IFERROR(__xludf.DUMMYFUNCTION("""COMPUTED_VALUE"""),10.0)</f>
        <v>10</v>
      </c>
    </row>
    <row r="4243">
      <c r="A4243" s="87" t="str">
        <f>IFERROR(__xludf.DUMMYFUNCTION("""COMPUTED_VALUE"""),"ITBISA-SOCKET-IC-DIP8-NARROW")</f>
        <v>ITBISA-SOCKET-IC-DIP8-NARROW</v>
      </c>
      <c r="B4243" s="165">
        <f>IFERROR(__xludf.DUMMYFUNCTION("""COMPUTED_VALUE"""),46185.0)</f>
        <v>46185</v>
      </c>
      <c r="C4243" s="165" t="str">
        <f>IFERROR(__xludf.DUMMYFUNCTION("""COMPUTED_VALUE"""),"KYAI KONTONG")</f>
        <v>KYAI KONTONG</v>
      </c>
      <c r="D4243" s="94">
        <f>IFERROR(__xludf.DUMMYFUNCTION("""COMPUTED_VALUE"""),10.0)</f>
        <v>10</v>
      </c>
    </row>
    <row r="4244">
      <c r="A4244" s="87" t="str">
        <f>IFERROR(__xludf.DUMMYFUNCTION("""COMPUTED_VALUE"""),"ITBISA-SOCKET-IC-DIP8-NARROW")</f>
        <v>ITBISA-SOCKET-IC-DIP8-NARROW</v>
      </c>
      <c r="B4244" s="165">
        <f>IFERROR(__xludf.DUMMYFUNCTION("""COMPUTED_VALUE"""),46189.0)</f>
        <v>46189</v>
      </c>
      <c r="C4244" s="165" t="str">
        <f>IFERROR(__xludf.DUMMYFUNCTION("""COMPUTED_VALUE"""),"KYAI KONTONG")</f>
        <v>KYAI KONTONG</v>
      </c>
      <c r="D4244" s="94">
        <f>IFERROR(__xludf.DUMMYFUNCTION("""COMPUTED_VALUE"""),50.0)</f>
        <v>50</v>
      </c>
    </row>
    <row r="4245">
      <c r="A4245" s="87" t="str">
        <f>IFERROR(__xludf.DUMMYFUNCTION("""COMPUTED_VALUE"""),"ITBISA-SOCKET-IC-DIP8-NARROW")</f>
        <v>ITBISA-SOCKET-IC-DIP8-NARROW</v>
      </c>
      <c r="B4245" s="165">
        <f>IFERROR(__xludf.DUMMYFUNCTION("""COMPUTED_VALUE"""),46190.0)</f>
        <v>46190</v>
      </c>
      <c r="C4245" s="165" t="str">
        <f>IFERROR(__xludf.DUMMYFUNCTION("""COMPUTED_VALUE"""),"KYAI KONTONG")</f>
        <v>KYAI KONTONG</v>
      </c>
      <c r="D4245" s="94">
        <f>IFERROR(__xludf.DUMMYFUNCTION("""COMPUTED_VALUE"""),10.0)</f>
        <v>10</v>
      </c>
    </row>
    <row r="4246">
      <c r="A4246" s="87" t="str">
        <f>IFERROR(__xludf.DUMMYFUNCTION("""COMPUTED_VALUE"""),"ITBISA-SOCKET-IC-DIP8-NARROW")</f>
        <v>ITBISA-SOCKET-IC-DIP8-NARROW</v>
      </c>
      <c r="B4246" s="165">
        <f>IFERROR(__xludf.DUMMYFUNCTION("""COMPUTED_VALUE"""),46191.0)</f>
        <v>46191</v>
      </c>
      <c r="C4246" s="165" t="str">
        <f>IFERROR(__xludf.DUMMYFUNCTION("""COMPUTED_VALUE"""),"KYAI KONTONG")</f>
        <v>KYAI KONTONG</v>
      </c>
      <c r="D4246" s="94">
        <f>IFERROR(__xludf.DUMMYFUNCTION("""COMPUTED_VALUE"""),30.0)</f>
        <v>30</v>
      </c>
    </row>
    <row r="4247">
      <c r="A4247" s="87" t="str">
        <f>IFERROR(__xludf.DUMMYFUNCTION("""COMPUTED_VALUE"""),"ITBISA-SOCKET-IC-DIP8-NARROW")</f>
        <v>ITBISA-SOCKET-IC-DIP8-NARROW</v>
      </c>
      <c r="B4247" s="165">
        <f>IFERROR(__xludf.DUMMYFUNCTION("""COMPUTED_VALUE"""),46191.0)</f>
        <v>46191</v>
      </c>
      <c r="C4247" s="165" t="str">
        <f>IFERROR(__xludf.DUMMYFUNCTION("""COMPUTED_VALUE"""),"KYAI KONTONG")</f>
        <v>KYAI KONTONG</v>
      </c>
      <c r="D4247" s="94">
        <f>IFERROR(__xludf.DUMMYFUNCTION("""COMPUTED_VALUE"""),30.0)</f>
        <v>30</v>
      </c>
    </row>
    <row r="4248">
      <c r="A4248" s="87" t="str">
        <f>IFERROR(__xludf.DUMMYFUNCTION("""COMPUTED_VALUE"""),"ITBISA-SOCKET-IC-DIP8-NARROW")</f>
        <v>ITBISA-SOCKET-IC-DIP8-NARROW</v>
      </c>
      <c r="B4248" s="165">
        <f>IFERROR(__xludf.DUMMYFUNCTION("""COMPUTED_VALUE"""),46192.0)</f>
        <v>46192</v>
      </c>
      <c r="C4248" s="165" t="str">
        <f>IFERROR(__xludf.DUMMYFUNCTION("""COMPUTED_VALUE"""),"KYAI KONTONG")</f>
        <v>KYAI KONTONG</v>
      </c>
      <c r="D4248" s="94">
        <f>IFERROR(__xludf.DUMMYFUNCTION("""COMPUTED_VALUE"""),10.0)</f>
        <v>10</v>
      </c>
    </row>
    <row r="4249">
      <c r="A4249" s="87" t="str">
        <f>IFERROR(__xludf.DUMMYFUNCTION("""COMPUTED_VALUE"""),"ITBISA-SOCKET-IC-DIP8-NARROW")</f>
        <v>ITBISA-SOCKET-IC-DIP8-NARROW</v>
      </c>
      <c r="B4249" s="165">
        <f>IFERROR(__xludf.DUMMYFUNCTION("""COMPUTED_VALUE"""),46192.0)</f>
        <v>46192</v>
      </c>
      <c r="C4249" s="165" t="str">
        <f>IFERROR(__xludf.DUMMYFUNCTION("""COMPUTED_VALUE"""),"KYAI KONTONG")</f>
        <v>KYAI KONTONG</v>
      </c>
      <c r="D4249" s="94">
        <f>IFERROR(__xludf.DUMMYFUNCTION("""COMPUTED_VALUE"""),30.0)</f>
        <v>30</v>
      </c>
    </row>
    <row r="4250">
      <c r="A4250" s="87" t="str">
        <f>IFERROR(__xludf.DUMMYFUNCTION("""COMPUTED_VALUE"""),"ITBISA-SOCKET-IC-DIP8-NARROW")</f>
        <v>ITBISA-SOCKET-IC-DIP8-NARROW</v>
      </c>
      <c r="B4250" s="165">
        <f>IFERROR(__xludf.DUMMYFUNCTION("""COMPUTED_VALUE"""),46192.0)</f>
        <v>46192</v>
      </c>
      <c r="C4250" s="165" t="str">
        <f>IFERROR(__xludf.DUMMYFUNCTION("""COMPUTED_VALUE"""),"KYAI KONTONG")</f>
        <v>KYAI KONTONG</v>
      </c>
      <c r="D4250" s="94">
        <f>IFERROR(__xludf.DUMMYFUNCTION("""COMPUTED_VALUE"""),60.0)</f>
        <v>60</v>
      </c>
    </row>
    <row r="4251">
      <c r="A4251" s="87" t="str">
        <f>IFERROR(__xludf.DUMMYFUNCTION("""COMPUTED_VALUE"""),"ITBISA-SOCKET-IC-DIP8-NARROW")</f>
        <v>ITBISA-SOCKET-IC-DIP8-NARROW</v>
      </c>
      <c r="B4251" s="165">
        <f>IFERROR(__xludf.DUMMYFUNCTION("""COMPUTED_VALUE"""),46193.0)</f>
        <v>46193</v>
      </c>
      <c r="C4251" s="165" t="str">
        <f>IFERROR(__xludf.DUMMYFUNCTION("""COMPUTED_VALUE"""),"KYAI KONTONG")</f>
        <v>KYAI KONTONG</v>
      </c>
      <c r="D4251" s="94">
        <f>IFERROR(__xludf.DUMMYFUNCTION("""COMPUTED_VALUE"""),10.0)</f>
        <v>10</v>
      </c>
    </row>
    <row r="4252">
      <c r="A4252" s="87" t="str">
        <f>IFERROR(__xludf.DUMMYFUNCTION("""COMPUTED_VALUE"""),"ITBISA-SOCKET-IC-DIP8-NARROW")</f>
        <v>ITBISA-SOCKET-IC-DIP8-NARROW</v>
      </c>
      <c r="B4252" s="165">
        <f>IFERROR(__xludf.DUMMYFUNCTION("""COMPUTED_VALUE"""),46195.0)</f>
        <v>46195</v>
      </c>
      <c r="C4252" s="165" t="str">
        <f>IFERROR(__xludf.DUMMYFUNCTION("""COMPUTED_VALUE"""),"KYAI KONTONG")</f>
        <v>KYAI KONTONG</v>
      </c>
      <c r="D4252" s="94">
        <f>IFERROR(__xludf.DUMMYFUNCTION("""COMPUTED_VALUE"""),14.0)</f>
        <v>14</v>
      </c>
    </row>
    <row r="4253">
      <c r="A4253" s="87" t="str">
        <f>IFERROR(__xludf.DUMMYFUNCTION("""COMPUTED_VALUE"""),"ITBISA-SOCKET-IC-DIP8-NARROW")</f>
        <v>ITBISA-SOCKET-IC-DIP8-NARROW</v>
      </c>
      <c r="B4253" s="165">
        <f>IFERROR(__xludf.DUMMYFUNCTION("""COMPUTED_VALUE"""),46196.0)</f>
        <v>46196</v>
      </c>
      <c r="C4253" s="165" t="str">
        <f>IFERROR(__xludf.DUMMYFUNCTION("""COMPUTED_VALUE"""),"KYAI KONTONG")</f>
        <v>KYAI KONTONG</v>
      </c>
      <c r="D4253" s="94">
        <f>IFERROR(__xludf.DUMMYFUNCTION("""COMPUTED_VALUE"""),10.0)</f>
        <v>10</v>
      </c>
    </row>
    <row r="4254">
      <c r="A4254" s="87" t="str">
        <f>IFERROR(__xludf.DUMMYFUNCTION("""COMPUTED_VALUE"""),"ITBISA-SOCKET-IC-DIP8-NARROW")</f>
        <v>ITBISA-SOCKET-IC-DIP8-NARROW</v>
      </c>
      <c r="B4254" s="165">
        <f>IFERROR(__xludf.DUMMYFUNCTION("""COMPUTED_VALUE"""),46196.0)</f>
        <v>46196</v>
      </c>
      <c r="C4254" s="165" t="str">
        <f>IFERROR(__xludf.DUMMYFUNCTION("""COMPUTED_VALUE"""),"KYAI KONTONG")</f>
        <v>KYAI KONTONG</v>
      </c>
      <c r="D4254" s="94">
        <f>IFERROR(__xludf.DUMMYFUNCTION("""COMPUTED_VALUE"""),10.0)</f>
        <v>10</v>
      </c>
    </row>
    <row r="4255">
      <c r="A4255" s="87" t="str">
        <f>IFERROR(__xludf.DUMMYFUNCTION("""COMPUTED_VALUE"""),"ITBISA-SOCKET-IC-DIP8-NARROW")</f>
        <v>ITBISA-SOCKET-IC-DIP8-NARROW</v>
      </c>
      <c r="B4255" s="165">
        <f>IFERROR(__xludf.DUMMYFUNCTION("""COMPUTED_VALUE"""),46196.0)</f>
        <v>46196</v>
      </c>
      <c r="C4255" s="165" t="str">
        <f>IFERROR(__xludf.DUMMYFUNCTION("""COMPUTED_VALUE"""),"KYAI KONTONG")</f>
        <v>KYAI KONTONG</v>
      </c>
      <c r="D4255" s="94">
        <f>IFERROR(__xludf.DUMMYFUNCTION("""COMPUTED_VALUE"""),10.0)</f>
        <v>10</v>
      </c>
    </row>
    <row r="4256">
      <c r="A4256" s="87" t="str">
        <f>IFERROR(__xludf.DUMMYFUNCTION("""COMPUTED_VALUE"""),"ITBISA-SOCKET-IC-DIP8-NARROW")</f>
        <v>ITBISA-SOCKET-IC-DIP8-NARROW</v>
      </c>
      <c r="B4256" s="165">
        <f>IFERROR(__xludf.DUMMYFUNCTION("""COMPUTED_VALUE"""),46196.0)</f>
        <v>46196</v>
      </c>
      <c r="C4256" s="165" t="str">
        <f>IFERROR(__xludf.DUMMYFUNCTION("""COMPUTED_VALUE"""),"KYAI KONTONG")</f>
        <v>KYAI KONTONG</v>
      </c>
      <c r="D4256" s="94">
        <f>IFERROR(__xludf.DUMMYFUNCTION("""COMPUTED_VALUE"""),50.0)</f>
        <v>50</v>
      </c>
    </row>
    <row r="4257">
      <c r="A4257" s="87" t="str">
        <f>IFERROR(__xludf.DUMMYFUNCTION("""COMPUTED_VALUE"""),"ITBISA-SOCKET-IC-DIP8-NARROW")</f>
        <v>ITBISA-SOCKET-IC-DIP8-NARROW</v>
      </c>
      <c r="B4257" s="165">
        <f>IFERROR(__xludf.DUMMYFUNCTION("""COMPUTED_VALUE"""),46197.0)</f>
        <v>46197</v>
      </c>
      <c r="C4257" s="165" t="str">
        <f>IFERROR(__xludf.DUMMYFUNCTION("""COMPUTED_VALUE"""),"KYAI KONTONG")</f>
        <v>KYAI KONTONG</v>
      </c>
      <c r="D4257" s="94">
        <f>IFERROR(__xludf.DUMMYFUNCTION("""COMPUTED_VALUE"""),10.0)</f>
        <v>10</v>
      </c>
    </row>
    <row r="4258">
      <c r="A4258" s="87" t="str">
        <f>IFERROR(__xludf.DUMMYFUNCTION("""COMPUTED_VALUE"""),"ITBISA-SOCKET-IC-DIP8-NARROW")</f>
        <v>ITBISA-SOCKET-IC-DIP8-NARROW</v>
      </c>
      <c r="B4258" s="165">
        <f>IFERROR(__xludf.DUMMYFUNCTION("""COMPUTED_VALUE"""),46197.0)</f>
        <v>46197</v>
      </c>
      <c r="C4258" s="165" t="str">
        <f>IFERROR(__xludf.DUMMYFUNCTION("""COMPUTED_VALUE"""),"KYAI KONTONG")</f>
        <v>KYAI KONTONG</v>
      </c>
      <c r="D4258" s="94">
        <f>IFERROR(__xludf.DUMMYFUNCTION("""COMPUTED_VALUE"""),50.0)</f>
        <v>50</v>
      </c>
    </row>
    <row r="4259">
      <c r="A4259" s="87" t="str">
        <f>IFERROR(__xludf.DUMMYFUNCTION("""COMPUTED_VALUE"""),"ITBISA-TERMINAL-BLOCK-KF301-2P-BLUE")</f>
        <v>ITBISA-TERMINAL-BLOCK-KF301-2P-BLUE</v>
      </c>
      <c r="B4259" s="165">
        <f>IFERROR(__xludf.DUMMYFUNCTION("""COMPUTED_VALUE"""),46025.0)</f>
        <v>46025</v>
      </c>
      <c r="C4259" s="165" t="str">
        <f>IFERROR(__xludf.DUMMYFUNCTION("""COMPUTED_VALUE"""),"KYAI KONTONG")</f>
        <v>KYAI KONTONG</v>
      </c>
      <c r="D4259" s="94">
        <f>IFERROR(__xludf.DUMMYFUNCTION("""COMPUTED_VALUE"""),3.0)</f>
        <v>3</v>
      </c>
    </row>
    <row r="4260">
      <c r="A4260" s="87" t="str">
        <f>IFERROR(__xludf.DUMMYFUNCTION("""COMPUTED_VALUE"""),"ITBISA-TERMINAL-BLOCK-KF301-2P-BLUE")</f>
        <v>ITBISA-TERMINAL-BLOCK-KF301-2P-BLUE</v>
      </c>
      <c r="B4260" s="165">
        <f>IFERROR(__xludf.DUMMYFUNCTION("""COMPUTED_VALUE"""),46035.0)</f>
        <v>46035</v>
      </c>
      <c r="C4260" s="165" t="str">
        <f>IFERROR(__xludf.DUMMYFUNCTION("""COMPUTED_VALUE"""),"KYAI KONTONG")</f>
        <v>KYAI KONTONG</v>
      </c>
      <c r="D4260" s="94">
        <f>IFERROR(__xludf.DUMMYFUNCTION("""COMPUTED_VALUE"""),1.0)</f>
        <v>1</v>
      </c>
    </row>
    <row r="4261">
      <c r="A4261" s="87" t="str">
        <f>IFERROR(__xludf.DUMMYFUNCTION("""COMPUTED_VALUE"""),"ITBISA-TERMINAL-BLOCK-KF301-2P-BLUE")</f>
        <v>ITBISA-TERMINAL-BLOCK-KF301-2P-BLUE</v>
      </c>
      <c r="B4261" s="165">
        <f>IFERROR(__xludf.DUMMYFUNCTION("""COMPUTED_VALUE"""),46035.0)</f>
        <v>46035</v>
      </c>
      <c r="C4261" s="165" t="str">
        <f>IFERROR(__xludf.DUMMYFUNCTION("""COMPUTED_VALUE"""),"KYAI KONTONG")</f>
        <v>KYAI KONTONG</v>
      </c>
      <c r="D4261" s="94">
        <f>IFERROR(__xludf.DUMMYFUNCTION("""COMPUTED_VALUE"""),3.0)</f>
        <v>3</v>
      </c>
    </row>
    <row r="4262">
      <c r="A4262" s="87" t="str">
        <f>IFERROR(__xludf.DUMMYFUNCTION("""COMPUTED_VALUE"""),"ITBISA-TERMINAL-BLOCK-KF301-2P-BLUE")</f>
        <v>ITBISA-TERMINAL-BLOCK-KF301-2P-BLUE</v>
      </c>
      <c r="B4262" s="165">
        <f>IFERROR(__xludf.DUMMYFUNCTION("""COMPUTED_VALUE"""),46056.0)</f>
        <v>46056</v>
      </c>
      <c r="C4262" s="165" t="str">
        <f>IFERROR(__xludf.DUMMYFUNCTION("""COMPUTED_VALUE"""),"KYAI KONTONG")</f>
        <v>KYAI KONTONG</v>
      </c>
      <c r="D4262" s="94">
        <f>IFERROR(__xludf.DUMMYFUNCTION("""COMPUTED_VALUE"""),4.0)</f>
        <v>4</v>
      </c>
    </row>
    <row r="4263">
      <c r="A4263" s="87" t="str">
        <f>IFERROR(__xludf.DUMMYFUNCTION("""COMPUTED_VALUE"""),"ITBISA-TERMINAL-BLOCK-KF301-2P-BLUE")</f>
        <v>ITBISA-TERMINAL-BLOCK-KF301-2P-BLUE</v>
      </c>
      <c r="B4263" s="165">
        <f>IFERROR(__xludf.DUMMYFUNCTION("""COMPUTED_VALUE"""),46071.0)</f>
        <v>46071</v>
      </c>
      <c r="C4263" s="165" t="str">
        <f>IFERROR(__xludf.DUMMYFUNCTION("""COMPUTED_VALUE"""),"KERTASARI CIAMIS")</f>
        <v>KERTASARI CIAMIS</v>
      </c>
      <c r="D4263" s="94">
        <f>IFERROR(__xludf.DUMMYFUNCTION("""COMPUTED_VALUE"""),10.0)</f>
        <v>10</v>
      </c>
    </row>
    <row r="4264">
      <c r="A4264" s="87" t="str">
        <f>IFERROR(__xludf.DUMMYFUNCTION("""COMPUTED_VALUE"""),"ITBISA-TERMINAL-BLOCK-KF301-2P-BLUE")</f>
        <v>ITBISA-TERMINAL-BLOCK-KF301-2P-BLUE</v>
      </c>
      <c r="B4264" s="165">
        <f>IFERROR(__xludf.DUMMYFUNCTION("""COMPUTED_VALUE"""),46078.0)</f>
        <v>46078</v>
      </c>
      <c r="C4264" s="165" t="str">
        <f>IFERROR(__xludf.DUMMYFUNCTION("""COMPUTED_VALUE"""),"KYAI KONTONG")</f>
        <v>KYAI KONTONG</v>
      </c>
      <c r="D4264" s="94">
        <f>IFERROR(__xludf.DUMMYFUNCTION("""COMPUTED_VALUE"""),8.0)</f>
        <v>8</v>
      </c>
    </row>
    <row r="4265">
      <c r="A4265" s="87" t="str">
        <f>IFERROR(__xludf.DUMMYFUNCTION("""COMPUTED_VALUE"""),"ITBISA-TERMINAL-BLOCK-KF301-2P-BLUE")</f>
        <v>ITBISA-TERMINAL-BLOCK-KF301-2P-BLUE</v>
      </c>
      <c r="B4265" s="165">
        <f>IFERROR(__xludf.DUMMYFUNCTION("""COMPUTED_VALUE"""),46082.0)</f>
        <v>46082</v>
      </c>
      <c r="C4265" s="165" t="str">
        <f>IFERROR(__xludf.DUMMYFUNCTION("""COMPUTED_VALUE"""),"KYAI KONTONG")</f>
        <v>KYAI KONTONG</v>
      </c>
      <c r="D4265" s="94">
        <f>IFERROR(__xludf.DUMMYFUNCTION("""COMPUTED_VALUE"""),5.0)</f>
        <v>5</v>
      </c>
    </row>
    <row r="4266">
      <c r="A4266" s="87" t="str">
        <f>IFERROR(__xludf.DUMMYFUNCTION("""COMPUTED_VALUE"""),"ITBISA-TERMINAL-BLOCK-KF301-2P-BLUE")</f>
        <v>ITBISA-TERMINAL-BLOCK-KF301-2P-BLUE</v>
      </c>
      <c r="B4266" s="165">
        <f>IFERROR(__xludf.DUMMYFUNCTION("""COMPUTED_VALUE"""),46084.0)</f>
        <v>46084</v>
      </c>
      <c r="C4266" s="165" t="str">
        <f>IFERROR(__xludf.DUMMYFUNCTION("""COMPUTED_VALUE"""),"KERTASARI CIAMIS")</f>
        <v>KERTASARI CIAMIS</v>
      </c>
      <c r="D4266" s="94">
        <f>IFERROR(__xludf.DUMMYFUNCTION("""COMPUTED_VALUE"""),6.0)</f>
        <v>6</v>
      </c>
    </row>
    <row r="4267">
      <c r="A4267" s="87" t="str">
        <f>IFERROR(__xludf.DUMMYFUNCTION("""COMPUTED_VALUE"""),"ITBISA-TERMINAL-BLOCK-KF301-2P-BLUE")</f>
        <v>ITBISA-TERMINAL-BLOCK-KF301-2P-BLUE</v>
      </c>
      <c r="B4267" s="165">
        <f>IFERROR(__xludf.DUMMYFUNCTION("""COMPUTED_VALUE"""),46087.0)</f>
        <v>46087</v>
      </c>
      <c r="C4267" s="165" t="str">
        <f>IFERROR(__xludf.DUMMYFUNCTION("""COMPUTED_VALUE"""),"KYAI KONTONG")</f>
        <v>KYAI KONTONG</v>
      </c>
      <c r="D4267" s="94">
        <f>IFERROR(__xludf.DUMMYFUNCTION("""COMPUTED_VALUE"""),5.0)</f>
        <v>5</v>
      </c>
    </row>
    <row r="4268">
      <c r="A4268" s="87" t="str">
        <f>IFERROR(__xludf.DUMMYFUNCTION("""COMPUTED_VALUE"""),"ITBISA-TERMINAL-BLOCK-KF301-2P-BLUE")</f>
        <v>ITBISA-TERMINAL-BLOCK-KF301-2P-BLUE</v>
      </c>
      <c r="B4268" s="165">
        <f>IFERROR(__xludf.DUMMYFUNCTION("""COMPUTED_VALUE"""),46088.0)</f>
        <v>46088</v>
      </c>
      <c r="C4268" s="165" t="str">
        <f>IFERROR(__xludf.DUMMYFUNCTION("""COMPUTED_VALUE"""),"KYAI KONTONG")</f>
        <v>KYAI KONTONG</v>
      </c>
      <c r="D4268" s="94">
        <f>IFERROR(__xludf.DUMMYFUNCTION("""COMPUTED_VALUE"""),10.0)</f>
        <v>10</v>
      </c>
    </row>
    <row r="4269">
      <c r="A4269" s="87" t="str">
        <f>IFERROR(__xludf.DUMMYFUNCTION("""COMPUTED_VALUE"""),"ITBISA-TERMINAL-BLOCK-KF301-2P-BLUE")</f>
        <v>ITBISA-TERMINAL-BLOCK-KF301-2P-BLUE</v>
      </c>
      <c r="B4269" s="165">
        <f>IFERROR(__xludf.DUMMYFUNCTION("""COMPUTED_VALUE"""),46095.0)</f>
        <v>46095</v>
      </c>
      <c r="C4269" s="165" t="str">
        <f>IFERROR(__xludf.DUMMYFUNCTION("""COMPUTED_VALUE"""),"KYAI KONTONG")</f>
        <v>KYAI KONTONG</v>
      </c>
      <c r="D4269" s="94">
        <f>IFERROR(__xludf.DUMMYFUNCTION("""COMPUTED_VALUE"""),10.0)</f>
        <v>10</v>
      </c>
    </row>
    <row r="4270">
      <c r="A4270" s="87" t="str">
        <f>IFERROR(__xludf.DUMMYFUNCTION("""COMPUTED_VALUE"""),"ITBISA-TERMINAL-BLOCK-KF301-2P-BLUE")</f>
        <v>ITBISA-TERMINAL-BLOCK-KF301-2P-BLUE</v>
      </c>
      <c r="B4270" s="165">
        <f>IFERROR(__xludf.DUMMYFUNCTION("""COMPUTED_VALUE"""),46102.0)</f>
        <v>46102</v>
      </c>
      <c r="C4270" s="165" t="str">
        <f>IFERROR(__xludf.DUMMYFUNCTION("""COMPUTED_VALUE"""),"KYAI KONTONG")</f>
        <v>KYAI KONTONG</v>
      </c>
      <c r="D4270" s="94">
        <f>IFERROR(__xludf.DUMMYFUNCTION("""COMPUTED_VALUE"""),5.0)</f>
        <v>5</v>
      </c>
    </row>
    <row r="4271">
      <c r="A4271" s="87" t="str">
        <f>IFERROR(__xludf.DUMMYFUNCTION("""COMPUTED_VALUE"""),"ITBISA-TERMINAL-BLOCK-KF301-2P-BLUE")</f>
        <v>ITBISA-TERMINAL-BLOCK-KF301-2P-BLUE</v>
      </c>
      <c r="B4271" s="165">
        <f>IFERROR(__xludf.DUMMYFUNCTION("""COMPUTED_VALUE"""),46120.0)</f>
        <v>46120</v>
      </c>
      <c r="C4271" s="165" t="str">
        <f>IFERROR(__xludf.DUMMYFUNCTION("""COMPUTED_VALUE"""),"KYAI KONTONG")</f>
        <v>KYAI KONTONG</v>
      </c>
      <c r="D4271" s="94">
        <f>IFERROR(__xludf.DUMMYFUNCTION("""COMPUTED_VALUE"""),5.0)</f>
        <v>5</v>
      </c>
    </row>
    <row r="4272">
      <c r="A4272" s="87" t="str">
        <f>IFERROR(__xludf.DUMMYFUNCTION("""COMPUTED_VALUE"""),"ITBISA-TERMINAL-BLOCK-KF301-2P-BLUE")</f>
        <v>ITBISA-TERMINAL-BLOCK-KF301-2P-BLUE</v>
      </c>
      <c r="B4272" s="165">
        <f>IFERROR(__xludf.DUMMYFUNCTION("""COMPUTED_VALUE"""),46122.0)</f>
        <v>46122</v>
      </c>
      <c r="C4272" s="165" t="str">
        <f>IFERROR(__xludf.DUMMYFUNCTION("""COMPUTED_VALUE"""),"KYAI KONTONG")</f>
        <v>KYAI KONTONG</v>
      </c>
      <c r="D4272" s="94">
        <f>IFERROR(__xludf.DUMMYFUNCTION("""COMPUTED_VALUE"""),6.0)</f>
        <v>6</v>
      </c>
    </row>
    <row r="4273">
      <c r="A4273" s="87" t="str">
        <f>IFERROR(__xludf.DUMMYFUNCTION("""COMPUTED_VALUE"""),"ITBISA-TERMINAL-BLOCK-KF301-2P-BLUE")</f>
        <v>ITBISA-TERMINAL-BLOCK-KF301-2P-BLUE</v>
      </c>
      <c r="B4273" s="165">
        <f>IFERROR(__xludf.DUMMYFUNCTION("""COMPUTED_VALUE"""),46128.0)</f>
        <v>46128</v>
      </c>
      <c r="C4273" s="165" t="str">
        <f>IFERROR(__xludf.DUMMYFUNCTION("""COMPUTED_VALUE"""),"KYAI KONTONG")</f>
        <v>KYAI KONTONG</v>
      </c>
      <c r="D4273" s="94">
        <f>IFERROR(__xludf.DUMMYFUNCTION("""COMPUTED_VALUE"""),5.0)</f>
        <v>5</v>
      </c>
    </row>
    <row r="4274">
      <c r="A4274" s="87" t="str">
        <f>IFERROR(__xludf.DUMMYFUNCTION("""COMPUTED_VALUE"""),"ITBISA-TERMINAL-BLOCK-KF301-2P-BLUE")</f>
        <v>ITBISA-TERMINAL-BLOCK-KF301-2P-BLUE</v>
      </c>
      <c r="B4274" s="165">
        <f>IFERROR(__xludf.DUMMYFUNCTION("""COMPUTED_VALUE"""),46145.0)</f>
        <v>46145</v>
      </c>
      <c r="C4274" s="165" t="str">
        <f>IFERROR(__xludf.DUMMYFUNCTION("""COMPUTED_VALUE"""),"KYAI KONTONG")</f>
        <v>KYAI KONTONG</v>
      </c>
      <c r="D4274" s="94">
        <f>IFERROR(__xludf.DUMMYFUNCTION("""COMPUTED_VALUE"""),6.0)</f>
        <v>6</v>
      </c>
    </row>
    <row r="4275">
      <c r="A4275" s="87" t="str">
        <f>IFERROR(__xludf.DUMMYFUNCTION("""COMPUTED_VALUE"""),"ITBISA-TERMINAL-BLOCK-KF301-2P-BLUE")</f>
        <v>ITBISA-TERMINAL-BLOCK-KF301-2P-BLUE</v>
      </c>
      <c r="B4275" s="165">
        <f>IFERROR(__xludf.DUMMYFUNCTION("""COMPUTED_VALUE"""),46145.0)</f>
        <v>46145</v>
      </c>
      <c r="C4275" s="165" t="str">
        <f>IFERROR(__xludf.DUMMYFUNCTION("""COMPUTED_VALUE"""),"KYAI KONTONG")</f>
        <v>KYAI KONTONG</v>
      </c>
      <c r="D4275" s="94">
        <f>IFERROR(__xludf.DUMMYFUNCTION("""COMPUTED_VALUE"""),27.0)</f>
        <v>27</v>
      </c>
    </row>
    <row r="4276">
      <c r="A4276" s="87" t="str">
        <f>IFERROR(__xludf.DUMMYFUNCTION("""COMPUTED_VALUE"""),"ITBISA-USB-A-TO-B-30CM")</f>
        <v>ITBISA-USB-A-TO-B-30CM</v>
      </c>
      <c r="B4276" s="165">
        <f>IFERROR(__xludf.DUMMYFUNCTION("""COMPUTED_VALUE"""),45993.0)</f>
        <v>45993</v>
      </c>
      <c r="C4276" s="165" t="str">
        <f>IFERROR(__xludf.DUMMYFUNCTION("""COMPUTED_VALUE"""),"KYAI KONTONG")</f>
        <v>KYAI KONTONG</v>
      </c>
      <c r="D4276" s="94">
        <f>IFERROR(__xludf.DUMMYFUNCTION("""COMPUTED_VALUE"""),1.0)</f>
        <v>1</v>
      </c>
    </row>
    <row r="4277">
      <c r="A4277" s="87" t="str">
        <f>IFERROR(__xludf.DUMMYFUNCTION("""COMPUTED_VALUE"""),"ITBISA-USB-A-TO-B-30CM")</f>
        <v>ITBISA-USB-A-TO-B-30CM</v>
      </c>
      <c r="B4277" s="165">
        <f>IFERROR(__xludf.DUMMYFUNCTION("""COMPUTED_VALUE"""),46036.0)</f>
        <v>46036</v>
      </c>
      <c r="C4277" s="165" t="str">
        <f>IFERROR(__xludf.DUMMYFUNCTION("""COMPUTED_VALUE"""),"KERTASARI CIAMIS")</f>
        <v>KERTASARI CIAMIS</v>
      </c>
      <c r="D4277" s="94">
        <f>IFERROR(__xludf.DUMMYFUNCTION("""COMPUTED_VALUE"""),10.0)</f>
        <v>10</v>
      </c>
    </row>
    <row r="4278">
      <c r="A4278" s="87" t="str">
        <f>IFERROR(__xludf.DUMMYFUNCTION("""COMPUTED_VALUE"""),"ITBISA-USB-A-TO-B-30CM")</f>
        <v>ITBISA-USB-A-TO-B-30CM</v>
      </c>
      <c r="B4278" s="165">
        <f>IFERROR(__xludf.DUMMYFUNCTION("""COMPUTED_VALUE"""),46049.0)</f>
        <v>46049</v>
      </c>
      <c r="C4278" s="165" t="str">
        <f>IFERROR(__xludf.DUMMYFUNCTION("""COMPUTED_VALUE"""),"KYAI KONTONG")</f>
        <v>KYAI KONTONG</v>
      </c>
      <c r="D4278" s="94">
        <f>IFERROR(__xludf.DUMMYFUNCTION("""COMPUTED_VALUE"""),1.0)</f>
        <v>1</v>
      </c>
    </row>
    <row r="4279">
      <c r="A4279" s="87" t="str">
        <f>IFERROR(__xludf.DUMMYFUNCTION("""COMPUTED_VALUE"""),"ITBISA-USB-A-TO-B-30CM")</f>
        <v>ITBISA-USB-A-TO-B-30CM</v>
      </c>
      <c r="B4279" s="165">
        <f>IFERROR(__xludf.DUMMYFUNCTION("""COMPUTED_VALUE"""),46050.0)</f>
        <v>46050</v>
      </c>
      <c r="C4279" s="165" t="str">
        <f>IFERROR(__xludf.DUMMYFUNCTION("""COMPUTED_VALUE"""),"KYAI KONTONG")</f>
        <v>KYAI KONTONG</v>
      </c>
      <c r="D4279" s="94">
        <f>IFERROR(__xludf.DUMMYFUNCTION("""COMPUTED_VALUE"""),1.0)</f>
        <v>1</v>
      </c>
    </row>
    <row r="4280">
      <c r="A4280" s="87" t="str">
        <f>IFERROR(__xludf.DUMMYFUNCTION("""COMPUTED_VALUE"""),"ITBISA-USB-A-TO-B-30CM")</f>
        <v>ITBISA-USB-A-TO-B-30CM</v>
      </c>
      <c r="B4280" s="165">
        <f>IFERROR(__xludf.DUMMYFUNCTION("""COMPUTED_VALUE"""),46057.0)</f>
        <v>46057</v>
      </c>
      <c r="C4280" s="165" t="str">
        <f>IFERROR(__xludf.DUMMYFUNCTION("""COMPUTED_VALUE"""),"KERTASARI CIAMIS")</f>
        <v>KERTASARI CIAMIS</v>
      </c>
      <c r="D4280" s="94">
        <f>IFERROR(__xludf.DUMMYFUNCTION("""COMPUTED_VALUE"""),1.0)</f>
        <v>1</v>
      </c>
    </row>
    <row r="4281">
      <c r="A4281" s="87" t="str">
        <f>IFERROR(__xludf.DUMMYFUNCTION("""COMPUTED_VALUE"""),"ITBISA-USB-A-TO-B-30CM")</f>
        <v>ITBISA-USB-A-TO-B-30CM</v>
      </c>
      <c r="B4281" s="165">
        <f>IFERROR(__xludf.DUMMYFUNCTION("""COMPUTED_VALUE"""),46057.0)</f>
        <v>46057</v>
      </c>
      <c r="C4281" s="165" t="str">
        <f>IFERROR(__xludf.DUMMYFUNCTION("""COMPUTED_VALUE"""),"KERTASARI CIAMIS")</f>
        <v>KERTASARI CIAMIS</v>
      </c>
      <c r="D4281" s="94">
        <f>IFERROR(__xludf.DUMMYFUNCTION("""COMPUTED_VALUE"""),5.0)</f>
        <v>5</v>
      </c>
    </row>
    <row r="4282">
      <c r="A4282" s="87" t="str">
        <f>IFERROR(__xludf.DUMMYFUNCTION("""COMPUTED_VALUE"""),"ITBISA-USB-A-TO-B-30CM")</f>
        <v>ITBISA-USB-A-TO-B-30CM</v>
      </c>
      <c r="B4282" s="165">
        <f>IFERROR(__xludf.DUMMYFUNCTION("""COMPUTED_VALUE"""),46088.0)</f>
        <v>46088</v>
      </c>
      <c r="C4282" s="165" t="str">
        <f>IFERROR(__xludf.DUMMYFUNCTION("""COMPUTED_VALUE"""),"KERTASARI CIAMIS")</f>
        <v>KERTASARI CIAMIS</v>
      </c>
      <c r="D4282" s="94">
        <f>IFERROR(__xludf.DUMMYFUNCTION("""COMPUTED_VALUE"""),1.0)</f>
        <v>1</v>
      </c>
    </row>
    <row r="4283">
      <c r="A4283" s="87" t="str">
        <f>IFERROR(__xludf.DUMMYFUNCTION("""COMPUTED_VALUE"""),"ITBISA-USB-A-TO-B-30CM")</f>
        <v>ITBISA-USB-A-TO-B-30CM</v>
      </c>
      <c r="B4283" s="165">
        <f>IFERROR(__xludf.DUMMYFUNCTION("""COMPUTED_VALUE"""),46124.0)</f>
        <v>46124</v>
      </c>
      <c r="C4283" s="165" t="str">
        <f>IFERROR(__xludf.DUMMYFUNCTION("""COMPUTED_VALUE"""),"KYAI KONTONG")</f>
        <v>KYAI KONTONG</v>
      </c>
      <c r="D4283" s="94">
        <f>IFERROR(__xludf.DUMMYFUNCTION("""COMPUTED_VALUE"""),1.0)</f>
        <v>1</v>
      </c>
    </row>
    <row r="4284">
      <c r="A4284" s="87" t="str">
        <f>IFERROR(__xludf.DUMMYFUNCTION("""COMPUTED_VALUE"""),"ITBISA-USB-A-TO-B-30CM")</f>
        <v>ITBISA-USB-A-TO-B-30CM</v>
      </c>
      <c r="B4284" s="165">
        <f>IFERROR(__xludf.DUMMYFUNCTION("""COMPUTED_VALUE"""),46132.0)</f>
        <v>46132</v>
      </c>
      <c r="C4284" s="165" t="str">
        <f>IFERROR(__xludf.DUMMYFUNCTION("""COMPUTED_VALUE"""),"KYAI KONTONG")</f>
        <v>KYAI KONTONG</v>
      </c>
      <c r="D4284" s="94">
        <f>IFERROR(__xludf.DUMMYFUNCTION("""COMPUTED_VALUE"""),1.0)</f>
        <v>1</v>
      </c>
    </row>
    <row r="4285">
      <c r="A4285" s="87" t="str">
        <f>IFERROR(__xludf.DUMMYFUNCTION("""COMPUTED_VALUE"""),"ITBISA-USB-A-TO-B-30CM")</f>
        <v>ITBISA-USB-A-TO-B-30CM</v>
      </c>
      <c r="B4285" s="165">
        <f>IFERROR(__xludf.DUMMYFUNCTION("""COMPUTED_VALUE"""),46140.0)</f>
        <v>46140</v>
      </c>
      <c r="C4285" s="165" t="str">
        <f>IFERROR(__xludf.DUMMYFUNCTION("""COMPUTED_VALUE"""),"KYAI KONTONG")</f>
        <v>KYAI KONTONG</v>
      </c>
      <c r="D4285" s="94">
        <f>IFERROR(__xludf.DUMMYFUNCTION("""COMPUTED_VALUE"""),5.0)</f>
        <v>5</v>
      </c>
    </row>
    <row r="4286">
      <c r="A4286" s="87" t="str">
        <f>IFERROR(__xludf.DUMMYFUNCTION("""COMPUTED_VALUE"""),"ITBISA-USB-A-TO-B-30CM")</f>
        <v>ITBISA-USB-A-TO-B-30CM</v>
      </c>
      <c r="B4286" s="165">
        <f>IFERROR(__xludf.DUMMYFUNCTION("""COMPUTED_VALUE"""),46142.0)</f>
        <v>46142</v>
      </c>
      <c r="C4286" s="165" t="str">
        <f>IFERROR(__xludf.DUMMYFUNCTION("""COMPUTED_VALUE"""),"KYAI KONTONG")</f>
        <v>KYAI KONTONG</v>
      </c>
      <c r="D4286" s="94">
        <f>IFERROR(__xludf.DUMMYFUNCTION("""COMPUTED_VALUE"""),50.0)</f>
        <v>50</v>
      </c>
    </row>
    <row r="4287">
      <c r="A4287" s="87" t="str">
        <f>IFERROR(__xludf.DUMMYFUNCTION("""COMPUTED_VALUE"""),"ITBISA-USB-A-TO-B-30CM")</f>
        <v>ITBISA-USB-A-TO-B-30CM</v>
      </c>
      <c r="B4287" s="165">
        <f>IFERROR(__xludf.DUMMYFUNCTION("""COMPUTED_VALUE"""),46144.0)</f>
        <v>46144</v>
      </c>
      <c r="C4287" s="165" t="str">
        <f>IFERROR(__xludf.DUMMYFUNCTION("""COMPUTED_VALUE"""),"KYAI KONTONG")</f>
        <v>KYAI KONTONG</v>
      </c>
      <c r="D4287" s="94">
        <f>IFERROR(__xludf.DUMMYFUNCTION("""COMPUTED_VALUE"""),1.0)</f>
        <v>1</v>
      </c>
    </row>
    <row r="4288">
      <c r="A4288" s="87" t="str">
        <f>IFERROR(__xludf.DUMMYFUNCTION("""COMPUTED_VALUE"""),"ITBISA-USB-A-TO-B-30CM")</f>
        <v>ITBISA-USB-A-TO-B-30CM</v>
      </c>
      <c r="B4288" s="165">
        <f>IFERROR(__xludf.DUMMYFUNCTION("""COMPUTED_VALUE"""),46147.0)</f>
        <v>46147</v>
      </c>
      <c r="C4288" s="165" t="str">
        <f>IFERROR(__xludf.DUMMYFUNCTION("""COMPUTED_VALUE"""),"KYAI KONTONG")</f>
        <v>KYAI KONTONG</v>
      </c>
      <c r="D4288" s="94">
        <f>IFERROR(__xludf.DUMMYFUNCTION("""COMPUTED_VALUE"""),65.0)</f>
        <v>65</v>
      </c>
    </row>
    <row r="4289">
      <c r="A4289" s="87" t="str">
        <f>IFERROR(__xludf.DUMMYFUNCTION("""COMPUTED_VALUE"""),"ITBISA-USB-A-TO-B-30CM")</f>
        <v>ITBISA-USB-A-TO-B-30CM</v>
      </c>
      <c r="B4289" s="165">
        <f>IFERROR(__xludf.DUMMYFUNCTION("""COMPUTED_VALUE"""),46157.0)</f>
        <v>46157</v>
      </c>
      <c r="C4289" s="165" t="str">
        <f>IFERROR(__xludf.DUMMYFUNCTION("""COMPUTED_VALUE"""),"KYAI KONTONG")</f>
        <v>KYAI KONTONG</v>
      </c>
      <c r="D4289" s="94">
        <f>IFERROR(__xludf.DUMMYFUNCTION("""COMPUTED_VALUE"""),1.0)</f>
        <v>1</v>
      </c>
    </row>
    <row r="4290">
      <c r="A4290" s="87" t="str">
        <f>IFERROR(__xludf.DUMMYFUNCTION("""COMPUTED_VALUE"""),"ITBISA-USB-A-TO-B-30CM")</f>
        <v>ITBISA-USB-A-TO-B-30CM</v>
      </c>
      <c r="B4290" s="165">
        <f>IFERROR(__xludf.DUMMYFUNCTION("""COMPUTED_VALUE"""),46160.0)</f>
        <v>46160</v>
      </c>
      <c r="C4290" s="165" t="str">
        <f>IFERROR(__xludf.DUMMYFUNCTION("""COMPUTED_VALUE"""),"KYAI KONTONG")</f>
        <v>KYAI KONTONG</v>
      </c>
      <c r="D4290" s="94">
        <f>IFERROR(__xludf.DUMMYFUNCTION("""COMPUTED_VALUE"""),1.0)</f>
        <v>1</v>
      </c>
    </row>
    <row r="4291">
      <c r="A4291" s="87" t="str">
        <f>IFERROR(__xludf.DUMMYFUNCTION("""COMPUTED_VALUE"""),"ITBISA-USB-A-TO-B-30CM")</f>
        <v>ITBISA-USB-A-TO-B-30CM</v>
      </c>
      <c r="B4291" s="165">
        <f>IFERROR(__xludf.DUMMYFUNCTION("""COMPUTED_VALUE"""),46168.0)</f>
        <v>46168</v>
      </c>
      <c r="C4291" s="165" t="str">
        <f>IFERROR(__xludf.DUMMYFUNCTION("""COMPUTED_VALUE"""),"KYAI KONTONG")</f>
        <v>KYAI KONTONG</v>
      </c>
      <c r="D4291" s="94">
        <f>IFERROR(__xludf.DUMMYFUNCTION("""COMPUTED_VALUE"""),1.0)</f>
        <v>1</v>
      </c>
    </row>
    <row r="4292">
      <c r="A4292" s="87" t="str">
        <f>IFERROR(__xludf.DUMMYFUNCTION("""COMPUTED_VALUE"""),"ITBISA-USB-A-TO-B-30CM")</f>
        <v>ITBISA-USB-A-TO-B-30CM</v>
      </c>
      <c r="B4292" s="165">
        <f>IFERROR(__xludf.DUMMYFUNCTION("""COMPUTED_VALUE"""),46170.0)</f>
        <v>46170</v>
      </c>
      <c r="C4292" s="165" t="str">
        <f>IFERROR(__xludf.DUMMYFUNCTION("""COMPUTED_VALUE"""),"KYAI KONTONG")</f>
        <v>KYAI KONTONG</v>
      </c>
      <c r="D4292" s="94">
        <f>IFERROR(__xludf.DUMMYFUNCTION("""COMPUTED_VALUE"""),1.0)</f>
        <v>1</v>
      </c>
    </row>
    <row r="4293">
      <c r="A4293" s="87" t="str">
        <f>IFERROR(__xludf.DUMMYFUNCTION("""COMPUTED_VALUE"""),"ITBISA-USB-A-TO-B-30CM")</f>
        <v>ITBISA-USB-A-TO-B-30CM</v>
      </c>
      <c r="B4293" s="165">
        <f>IFERROR(__xludf.DUMMYFUNCTION("""COMPUTED_VALUE"""),46181.0)</f>
        <v>46181</v>
      </c>
      <c r="C4293" s="165" t="str">
        <f>IFERROR(__xludf.DUMMYFUNCTION("""COMPUTED_VALUE"""),"KYAI KONTONG")</f>
        <v>KYAI KONTONG</v>
      </c>
      <c r="D4293" s="94">
        <f>IFERROR(__xludf.DUMMYFUNCTION("""COMPUTED_VALUE"""),1.0)</f>
        <v>1</v>
      </c>
    </row>
    <row r="4294">
      <c r="A4294" s="87" t="str">
        <f>IFERROR(__xludf.DUMMYFUNCTION("""COMPUTED_VALUE"""),"ITBISA-USB-A-TO-B-30CM")</f>
        <v>ITBISA-USB-A-TO-B-30CM</v>
      </c>
      <c r="B4294" s="165">
        <f>IFERROR(__xludf.DUMMYFUNCTION("""COMPUTED_VALUE"""),46186.0)</f>
        <v>46186</v>
      </c>
      <c r="C4294" s="165" t="str">
        <f>IFERROR(__xludf.DUMMYFUNCTION("""COMPUTED_VALUE"""),"KYAI KONTONG")</f>
        <v>KYAI KONTONG</v>
      </c>
      <c r="D4294" s="94">
        <f>IFERROR(__xludf.DUMMYFUNCTION("""COMPUTED_VALUE"""),3.0)</f>
        <v>3</v>
      </c>
    </row>
    <row r="4295">
      <c r="A4295" s="87" t="str">
        <f>IFERROR(__xludf.DUMMYFUNCTION("""COMPUTED_VALUE"""),"ITBISA-USB-A-TO-B-30CM")</f>
        <v>ITBISA-USB-A-TO-B-30CM</v>
      </c>
      <c r="B4295" s="165">
        <f>IFERROR(__xludf.DUMMYFUNCTION("""COMPUTED_VALUE"""),46192.0)</f>
        <v>46192</v>
      </c>
      <c r="C4295" s="165" t="str">
        <f>IFERROR(__xludf.DUMMYFUNCTION("""COMPUTED_VALUE"""),"KYAI KONTONG")</f>
        <v>KYAI KONTONG</v>
      </c>
      <c r="D4295" s="94">
        <f>IFERROR(__xludf.DUMMYFUNCTION("""COMPUTED_VALUE"""),1.0)</f>
        <v>1</v>
      </c>
    </row>
    <row r="4296">
      <c r="A4296" s="87" t="str">
        <f>IFERROR(__xludf.DUMMYFUNCTION("""COMPUTED_VALUE"""),"ITBISA-USB-A-TO-B-30CM")</f>
        <v>ITBISA-USB-A-TO-B-30CM</v>
      </c>
      <c r="B4296" s="165">
        <f>IFERROR(__xludf.DUMMYFUNCTION("""COMPUTED_VALUE"""),46193.0)</f>
        <v>46193</v>
      </c>
      <c r="C4296" s="165" t="str">
        <f>IFERROR(__xludf.DUMMYFUNCTION("""COMPUTED_VALUE"""),"KYAI KONTONG")</f>
        <v>KYAI KONTONG</v>
      </c>
      <c r="D4296" s="94">
        <f>IFERROR(__xludf.DUMMYFUNCTION("""COMPUTED_VALUE"""),2.0)</f>
        <v>2</v>
      </c>
    </row>
    <row r="4297">
      <c r="A4297" s="87" t="str">
        <f>IFERROR(__xludf.DUMMYFUNCTION("""COMPUTED_VALUE"""),"ITBISA-WEMOS-D1-MINI-ESP8266")</f>
        <v>ITBISA-WEMOS-D1-MINI-ESP8266</v>
      </c>
      <c r="B4297" s="165">
        <f>IFERROR(__xludf.DUMMYFUNCTION("""COMPUTED_VALUE"""),46028.0)</f>
        <v>46028</v>
      </c>
      <c r="C4297" s="165" t="str">
        <f>IFERROR(__xludf.DUMMYFUNCTION("""COMPUTED_VALUE"""),"KYAI KONTONG")</f>
        <v>KYAI KONTONG</v>
      </c>
      <c r="D4297" s="94">
        <f>IFERROR(__xludf.DUMMYFUNCTION("""COMPUTED_VALUE"""),1.0)</f>
        <v>1</v>
      </c>
    </row>
    <row r="4298">
      <c r="A4298" s="87" t="str">
        <f>IFERROR(__xludf.DUMMYFUNCTION("""COMPUTED_VALUE"""),"ITBISA-WEMOS-D1-MINI-ESP8266")</f>
        <v>ITBISA-WEMOS-D1-MINI-ESP8266</v>
      </c>
      <c r="B4298" s="165">
        <f>IFERROR(__xludf.DUMMYFUNCTION("""COMPUTED_VALUE"""),46077.0)</f>
        <v>46077</v>
      </c>
      <c r="C4298" s="165" t="str">
        <f>IFERROR(__xludf.DUMMYFUNCTION("""COMPUTED_VALUE"""),"KERTASARI CIAMIS")</f>
        <v>KERTASARI CIAMIS</v>
      </c>
      <c r="D4298" s="94">
        <f>IFERROR(__xludf.DUMMYFUNCTION("""COMPUTED_VALUE"""),6.0)</f>
        <v>6</v>
      </c>
    </row>
    <row r="4299">
      <c r="A4299" s="87" t="str">
        <f>IFERROR(__xludf.DUMMYFUNCTION("""COMPUTED_VALUE"""),"ITBISA-WEMOS-D1-MINI-ESP8266")</f>
        <v>ITBISA-WEMOS-D1-MINI-ESP8266</v>
      </c>
      <c r="B4299" s="165">
        <f>IFERROR(__xludf.DUMMYFUNCTION("""COMPUTED_VALUE"""),46083.0)</f>
        <v>46083</v>
      </c>
      <c r="C4299" s="165" t="str">
        <f>IFERROR(__xludf.DUMMYFUNCTION("""COMPUTED_VALUE"""),"KYAI KONTONG")</f>
        <v>KYAI KONTONG</v>
      </c>
      <c r="D4299" s="94">
        <f>IFERROR(__xludf.DUMMYFUNCTION("""COMPUTED_VALUE"""),5.0)</f>
        <v>5</v>
      </c>
    </row>
    <row r="4300">
      <c r="A4300" s="87" t="str">
        <f>IFERROR(__xludf.DUMMYFUNCTION("""COMPUTED_VALUE"""),"ITBISA-WEMOS-D1-MINI-ESP8266")</f>
        <v>ITBISA-WEMOS-D1-MINI-ESP8266</v>
      </c>
      <c r="B4300" s="165">
        <f>IFERROR(__xludf.DUMMYFUNCTION("""COMPUTED_VALUE"""),46084.0)</f>
        <v>46084</v>
      </c>
      <c r="C4300" s="165" t="str">
        <f>IFERROR(__xludf.DUMMYFUNCTION("""COMPUTED_VALUE"""),"KYAI KONTONG")</f>
        <v>KYAI KONTONG</v>
      </c>
      <c r="D4300" s="94">
        <f>IFERROR(__xludf.DUMMYFUNCTION("""COMPUTED_VALUE"""),5.0)</f>
        <v>5</v>
      </c>
    </row>
    <row r="4301">
      <c r="A4301" s="87" t="str">
        <f>IFERROR(__xludf.DUMMYFUNCTION("""COMPUTED_VALUE"""),"ITBISA-WEMOS-D1-MINI-ESP8266")</f>
        <v>ITBISA-WEMOS-D1-MINI-ESP8266</v>
      </c>
      <c r="B4301" s="165">
        <f>IFERROR(__xludf.DUMMYFUNCTION("""COMPUTED_VALUE"""),46086.0)</f>
        <v>46086</v>
      </c>
      <c r="C4301" s="165" t="str">
        <f>IFERROR(__xludf.DUMMYFUNCTION("""COMPUTED_VALUE"""),"KYAI KONTONG")</f>
        <v>KYAI KONTONG</v>
      </c>
      <c r="D4301" s="94">
        <f>IFERROR(__xludf.DUMMYFUNCTION("""COMPUTED_VALUE"""),3.0)</f>
        <v>3</v>
      </c>
    </row>
    <row r="4302">
      <c r="A4302" s="87" t="str">
        <f>IFERROR(__xludf.DUMMYFUNCTION("""COMPUTED_VALUE"""),"ITBISA-WEMOS-D1-MINI-ESP8266")</f>
        <v>ITBISA-WEMOS-D1-MINI-ESP8266</v>
      </c>
      <c r="B4302" s="165">
        <f>IFERROR(__xludf.DUMMYFUNCTION("""COMPUTED_VALUE"""),46123.0)</f>
        <v>46123</v>
      </c>
      <c r="C4302" s="165" t="str">
        <f>IFERROR(__xludf.DUMMYFUNCTION("""COMPUTED_VALUE"""),"KYAI KONTONG")</f>
        <v>KYAI KONTONG</v>
      </c>
      <c r="D4302" s="94">
        <f>IFERROR(__xludf.DUMMYFUNCTION("""COMPUTED_VALUE"""),1.0)</f>
        <v>1</v>
      </c>
    </row>
    <row r="4303">
      <c r="A4303" s="87" t="str">
        <f>IFERROR(__xludf.DUMMYFUNCTION("""COMPUTED_VALUE"""),"ITBISA-WEMOS-D1-MINI-ESP8266")</f>
        <v>ITBISA-WEMOS-D1-MINI-ESP8266</v>
      </c>
      <c r="B4303" s="165">
        <f>IFERROR(__xludf.DUMMYFUNCTION("""COMPUTED_VALUE"""),46124.0)</f>
        <v>46124</v>
      </c>
      <c r="C4303" s="165" t="str">
        <f>IFERROR(__xludf.DUMMYFUNCTION("""COMPUTED_VALUE"""),"KYAI KONTONG")</f>
        <v>KYAI KONTONG</v>
      </c>
      <c r="D4303" s="94">
        <f>IFERROR(__xludf.DUMMYFUNCTION("""COMPUTED_VALUE"""),4.0)</f>
        <v>4</v>
      </c>
    </row>
    <row r="4304">
      <c r="A4304" s="87" t="str">
        <f>IFERROR(__xludf.DUMMYFUNCTION("""COMPUTED_VALUE"""),"ITBISA-WEMOS-D1-MINI-ESP8266")</f>
        <v>ITBISA-WEMOS-D1-MINI-ESP8266</v>
      </c>
      <c r="B4304" s="165">
        <f>IFERROR(__xludf.DUMMYFUNCTION("""COMPUTED_VALUE"""),46129.0)</f>
        <v>46129</v>
      </c>
      <c r="C4304" s="165" t="str">
        <f>IFERROR(__xludf.DUMMYFUNCTION("""COMPUTED_VALUE"""),"KYAI KONTONG")</f>
        <v>KYAI KONTONG</v>
      </c>
      <c r="D4304" s="94">
        <f>IFERROR(__xludf.DUMMYFUNCTION("""COMPUTED_VALUE"""),6.0)</f>
        <v>6</v>
      </c>
    </row>
    <row r="4305">
      <c r="A4305" s="87" t="str">
        <f>IFERROR(__xludf.DUMMYFUNCTION("""COMPUTED_VALUE"""),"ITBISA-WEMOS-D1-MINI-ESP8266")</f>
        <v>ITBISA-WEMOS-D1-MINI-ESP8266</v>
      </c>
      <c r="B4305" s="165">
        <f>IFERROR(__xludf.DUMMYFUNCTION("""COMPUTED_VALUE"""),46129.0)</f>
        <v>46129</v>
      </c>
      <c r="C4305" s="165" t="str">
        <f>IFERROR(__xludf.DUMMYFUNCTION("""COMPUTED_VALUE"""),"KYAI KONTONG")</f>
        <v>KYAI KONTONG</v>
      </c>
      <c r="D4305" s="94">
        <f>IFERROR(__xludf.DUMMYFUNCTION("""COMPUTED_VALUE"""),10.0)</f>
        <v>10</v>
      </c>
    </row>
    <row r="4306">
      <c r="A4306" s="87" t="str">
        <f>IFERROR(__xludf.DUMMYFUNCTION("""COMPUTED_VALUE"""),"ITBISA-WEMOS-D1-MINI-ESP8266")</f>
        <v>ITBISA-WEMOS-D1-MINI-ESP8266</v>
      </c>
      <c r="B4306" s="165">
        <f>IFERROR(__xludf.DUMMYFUNCTION("""COMPUTED_VALUE"""),46133.0)</f>
        <v>46133</v>
      </c>
      <c r="C4306" s="165" t="str">
        <f>IFERROR(__xludf.DUMMYFUNCTION("""COMPUTED_VALUE"""),"KYAI KONTONG")</f>
        <v>KYAI KONTONG</v>
      </c>
      <c r="D4306" s="94">
        <f>IFERROR(__xludf.DUMMYFUNCTION("""COMPUTED_VALUE"""),20.0)</f>
        <v>20</v>
      </c>
    </row>
    <row r="4307">
      <c r="A4307" s="87" t="str">
        <f>IFERROR(__xludf.DUMMYFUNCTION("""COMPUTED_VALUE"""),"ITBISA-WEMOS-D1-MINI-ESP8266")</f>
        <v>ITBISA-WEMOS-D1-MINI-ESP8266</v>
      </c>
      <c r="B4307" s="165">
        <f>IFERROR(__xludf.DUMMYFUNCTION("""COMPUTED_VALUE"""),46135.0)</f>
        <v>46135</v>
      </c>
      <c r="C4307" s="165" t="str">
        <f>IFERROR(__xludf.DUMMYFUNCTION("""COMPUTED_VALUE"""),"KYAI KONTONG")</f>
        <v>KYAI KONTONG</v>
      </c>
      <c r="D4307" s="94">
        <f>IFERROR(__xludf.DUMMYFUNCTION("""COMPUTED_VALUE"""),10.0)</f>
        <v>10</v>
      </c>
    </row>
    <row r="4308">
      <c r="A4308" s="87" t="str">
        <f>IFERROR(__xludf.DUMMYFUNCTION("""COMPUTED_VALUE"""),"ITBISA-WEMOS-D1-MINI-ESP8266")</f>
        <v>ITBISA-WEMOS-D1-MINI-ESP8266</v>
      </c>
      <c r="B4308" s="165">
        <f>IFERROR(__xludf.DUMMYFUNCTION("""COMPUTED_VALUE"""),46136.0)</f>
        <v>46136</v>
      </c>
      <c r="C4308" s="165" t="str">
        <f>IFERROR(__xludf.DUMMYFUNCTION("""COMPUTED_VALUE"""),"KYAI KONTONG")</f>
        <v>KYAI KONTONG</v>
      </c>
      <c r="D4308" s="94">
        <f>IFERROR(__xludf.DUMMYFUNCTION("""COMPUTED_VALUE"""),5.0)</f>
        <v>5</v>
      </c>
    </row>
    <row r="4309">
      <c r="A4309" s="87" t="str">
        <f>IFERROR(__xludf.DUMMYFUNCTION("""COMPUTED_VALUE"""),"ITBISA-WEMOS-D1-MINI-ESP8266")</f>
        <v>ITBISA-WEMOS-D1-MINI-ESP8266</v>
      </c>
      <c r="B4309" s="165">
        <f>IFERROR(__xludf.DUMMYFUNCTION("""COMPUTED_VALUE"""),46138.0)</f>
        <v>46138</v>
      </c>
      <c r="C4309" s="165" t="str">
        <f>IFERROR(__xludf.DUMMYFUNCTION("""COMPUTED_VALUE"""),"KYAI KONTONG")</f>
        <v>KYAI KONTONG</v>
      </c>
      <c r="D4309" s="94">
        <f>IFERROR(__xludf.DUMMYFUNCTION("""COMPUTED_VALUE"""),4.0)</f>
        <v>4</v>
      </c>
    </row>
    <row r="4310">
      <c r="A4310" s="87" t="str">
        <f>IFERROR(__xludf.DUMMYFUNCTION("""COMPUTED_VALUE"""),"ITBISA-WEMOS-D1-MINI-ESP8266")</f>
        <v>ITBISA-WEMOS-D1-MINI-ESP8266</v>
      </c>
      <c r="B4310" s="165">
        <f>IFERROR(__xludf.DUMMYFUNCTION("""COMPUTED_VALUE"""),46138.0)</f>
        <v>46138</v>
      </c>
      <c r="C4310" s="165" t="str">
        <f>IFERROR(__xludf.DUMMYFUNCTION("""COMPUTED_VALUE"""),"KYAI KONTONG")</f>
        <v>KYAI KONTONG</v>
      </c>
      <c r="D4310" s="94">
        <f>IFERROR(__xludf.DUMMYFUNCTION("""COMPUTED_VALUE"""),10.0)</f>
        <v>10</v>
      </c>
    </row>
    <row r="4311">
      <c r="A4311" s="87" t="str">
        <f>IFERROR(__xludf.DUMMYFUNCTION("""COMPUTED_VALUE"""),"ITBISA-WEMOS-D1-MINI-ESP8266")</f>
        <v>ITBISA-WEMOS-D1-MINI-ESP8266</v>
      </c>
      <c r="B4311" s="165">
        <f>IFERROR(__xludf.DUMMYFUNCTION("""COMPUTED_VALUE"""),46139.0)</f>
        <v>46139</v>
      </c>
      <c r="C4311" s="165" t="str">
        <f>IFERROR(__xludf.DUMMYFUNCTION("""COMPUTED_VALUE"""),"KYAI KONTONG")</f>
        <v>KYAI KONTONG</v>
      </c>
      <c r="D4311" s="94">
        <f>IFERROR(__xludf.DUMMYFUNCTION("""COMPUTED_VALUE"""),1.0)</f>
        <v>1</v>
      </c>
    </row>
    <row r="4312">
      <c r="A4312" s="87" t="str">
        <f>IFERROR(__xludf.DUMMYFUNCTION("""COMPUTED_VALUE"""),"ITBISA-WEMOS-D1-MINI-ESP8266")</f>
        <v>ITBISA-WEMOS-D1-MINI-ESP8266</v>
      </c>
      <c r="B4312" s="165">
        <f>IFERROR(__xludf.DUMMYFUNCTION("""COMPUTED_VALUE"""),46139.0)</f>
        <v>46139</v>
      </c>
      <c r="C4312" s="165" t="str">
        <f>IFERROR(__xludf.DUMMYFUNCTION("""COMPUTED_VALUE"""),"KYAI KONTONG")</f>
        <v>KYAI KONTONG</v>
      </c>
      <c r="D4312" s="94">
        <f>IFERROR(__xludf.DUMMYFUNCTION("""COMPUTED_VALUE"""),5.0)</f>
        <v>5</v>
      </c>
    </row>
    <row r="4313">
      <c r="A4313" s="87" t="str">
        <f>IFERROR(__xludf.DUMMYFUNCTION("""COMPUTED_VALUE"""),"ITBISA-WEMOS-D1-MINI-ESP8266")</f>
        <v>ITBISA-WEMOS-D1-MINI-ESP8266</v>
      </c>
      <c r="B4313" s="165">
        <f>IFERROR(__xludf.DUMMYFUNCTION("""COMPUTED_VALUE"""),46143.0)</f>
        <v>46143</v>
      </c>
      <c r="C4313" s="165" t="str">
        <f>IFERROR(__xludf.DUMMYFUNCTION("""COMPUTED_VALUE"""),"KYAI KONTONG")</f>
        <v>KYAI KONTONG</v>
      </c>
      <c r="D4313" s="94">
        <f>IFERROR(__xludf.DUMMYFUNCTION("""COMPUTED_VALUE"""),11.0)</f>
        <v>11</v>
      </c>
    </row>
    <row r="4314">
      <c r="A4314" s="87" t="str">
        <f>IFERROR(__xludf.DUMMYFUNCTION("""COMPUTED_VALUE"""),"ITBISA-WEMOS-D1-MINI-ESP8266")</f>
        <v>ITBISA-WEMOS-D1-MINI-ESP8266</v>
      </c>
      <c r="B4314" s="165">
        <f>IFERROR(__xludf.DUMMYFUNCTION("""COMPUTED_VALUE"""),46195.0)</f>
        <v>46195</v>
      </c>
      <c r="C4314" s="165" t="str">
        <f>IFERROR(__xludf.DUMMYFUNCTION("""COMPUTED_VALUE"""),"KYAI KONTONG")</f>
        <v>KYAI KONTONG</v>
      </c>
      <c r="D4314" s="94">
        <f>IFERROR(__xludf.DUMMYFUNCTION("""COMPUTED_VALUE"""),3.0)</f>
        <v>3</v>
      </c>
    </row>
    <row r="4315">
      <c r="A4315" s="87" t="str">
        <f>IFERROR(__xludf.DUMMYFUNCTION("""COMPUTED_VALUE"""),"ITBISA-WEMOS-D1-MINI-ESP8266")</f>
        <v>ITBISA-WEMOS-D1-MINI-ESP8266</v>
      </c>
      <c r="B4315" s="165">
        <f>IFERROR(__xludf.DUMMYFUNCTION("""COMPUTED_VALUE"""),46195.0)</f>
        <v>46195</v>
      </c>
      <c r="C4315" s="165" t="str">
        <f>IFERROR(__xludf.DUMMYFUNCTION("""COMPUTED_VALUE"""),"KYAI KONTONG")</f>
        <v>KYAI KONTONG</v>
      </c>
      <c r="D4315" s="94">
        <f>IFERROR(__xludf.DUMMYFUNCTION("""COMPUTED_VALUE"""),8.0)</f>
        <v>8</v>
      </c>
    </row>
    <row r="4316">
      <c r="A4316" s="87" t="str">
        <f>IFERROR(__xludf.DUMMYFUNCTION("""COMPUTED_VALUE"""),"ITBISA-WEMOS-D1-MINI-ESP8266")</f>
        <v>ITBISA-WEMOS-D1-MINI-ESP8266</v>
      </c>
      <c r="B4316" s="165">
        <f>IFERROR(__xludf.DUMMYFUNCTION("""COMPUTED_VALUE"""),46196.0)</f>
        <v>46196</v>
      </c>
      <c r="C4316" s="165" t="str">
        <f>IFERROR(__xludf.DUMMYFUNCTION("""COMPUTED_VALUE"""),"KYAI KONTONG")</f>
        <v>KYAI KONTONG</v>
      </c>
      <c r="D4316" s="94">
        <f>IFERROR(__xludf.DUMMYFUNCTION("""COMPUTED_VALUE"""),3.0)</f>
        <v>3</v>
      </c>
    </row>
    <row r="4317">
      <c r="A4317" s="87"/>
      <c r="B4317" s="165"/>
      <c r="C4317" s="165"/>
      <c r="D4317" s="94"/>
    </row>
    <row r="4318">
      <c r="A4318" s="87"/>
      <c r="B4318" s="165"/>
      <c r="C4318" s="165"/>
      <c r="D4318" s="94"/>
    </row>
    <row r="4319">
      <c r="A4319" s="87"/>
      <c r="B4319" s="165"/>
      <c r="C4319" s="165"/>
      <c r="D4319" s="94"/>
    </row>
    <row r="4320">
      <c r="A4320" s="87"/>
      <c r="B4320" s="165"/>
      <c r="C4320" s="165"/>
      <c r="D4320" s="94"/>
    </row>
    <row r="4321">
      <c r="A4321" s="87"/>
      <c r="B4321" s="165"/>
      <c r="C4321" s="165"/>
      <c r="D4321" s="94"/>
    </row>
    <row r="4322">
      <c r="A4322" s="87"/>
      <c r="B4322" s="165"/>
      <c r="C4322" s="165"/>
      <c r="D4322" s="94"/>
    </row>
    <row r="4323">
      <c r="A4323" s="87"/>
      <c r="B4323" s="165"/>
      <c r="C4323" s="165"/>
      <c r="D4323" s="94"/>
    </row>
    <row r="4324">
      <c r="A4324" s="87"/>
      <c r="B4324" s="165"/>
      <c r="C4324" s="165"/>
      <c r="D4324" s="94"/>
    </row>
    <row r="4325">
      <c r="A4325" s="87"/>
      <c r="B4325" s="165"/>
      <c r="C4325" s="165"/>
      <c r="D4325" s="94"/>
    </row>
    <row r="4326">
      <c r="A4326" s="87"/>
      <c r="B4326" s="165"/>
      <c r="C4326" s="165"/>
      <c r="D4326" s="94"/>
    </row>
    <row r="4327">
      <c r="A4327" s="87"/>
      <c r="B4327" s="165"/>
      <c r="C4327" s="165"/>
      <c r="D4327" s="94"/>
    </row>
    <row r="4328">
      <c r="A4328" s="87"/>
      <c r="B4328" s="165"/>
      <c r="C4328" s="165"/>
      <c r="D4328" s="94"/>
    </row>
    <row r="4329">
      <c r="A4329" s="87"/>
      <c r="B4329" s="165"/>
      <c r="C4329" s="165"/>
      <c r="D4329" s="94"/>
    </row>
    <row r="4330">
      <c r="A4330" s="87"/>
      <c r="B4330" s="165"/>
      <c r="C4330" s="165"/>
      <c r="D4330" s="94"/>
    </row>
    <row r="4331">
      <c r="A4331" s="87"/>
      <c r="B4331" s="165"/>
      <c r="C4331" s="165"/>
      <c r="D4331" s="94"/>
    </row>
    <row r="4332">
      <c r="A4332" s="87"/>
      <c r="B4332" s="165"/>
      <c r="C4332" s="165"/>
      <c r="D4332" s="94"/>
    </row>
    <row r="4333">
      <c r="A4333" s="87"/>
      <c r="B4333" s="165"/>
      <c r="C4333" s="165"/>
      <c r="D4333" s="94"/>
    </row>
    <row r="4334">
      <c r="A4334" s="87"/>
      <c r="B4334" s="165"/>
      <c r="C4334" s="165"/>
      <c r="D4334" s="94"/>
    </row>
    <row r="4335">
      <c r="A4335" s="87"/>
      <c r="B4335" s="165"/>
      <c r="C4335" s="165"/>
      <c r="D4335" s="94"/>
    </row>
    <row r="4336">
      <c r="A4336" s="87"/>
      <c r="B4336" s="165"/>
      <c r="C4336" s="165"/>
      <c r="D4336" s="94"/>
    </row>
    <row r="4337">
      <c r="A4337" s="87"/>
      <c r="B4337" s="165"/>
      <c r="C4337" s="165"/>
      <c r="D4337" s="94"/>
    </row>
    <row r="4338">
      <c r="A4338" s="87"/>
      <c r="B4338" s="165"/>
      <c r="C4338" s="165"/>
      <c r="D4338" s="94"/>
    </row>
    <row r="4339">
      <c r="A4339" s="87"/>
      <c r="B4339" s="165"/>
      <c r="C4339" s="165"/>
      <c r="D4339" s="94"/>
    </row>
    <row r="4340">
      <c r="A4340" s="87"/>
      <c r="B4340" s="165"/>
      <c r="C4340" s="165"/>
      <c r="D4340" s="94"/>
    </row>
    <row r="4341">
      <c r="A4341" s="87"/>
      <c r="B4341" s="165"/>
      <c r="C4341" s="165"/>
      <c r="D4341" s="94"/>
    </row>
    <row r="4342">
      <c r="A4342" s="87"/>
      <c r="B4342" s="165"/>
      <c r="C4342" s="165"/>
      <c r="D4342" s="94"/>
    </row>
    <row r="4343">
      <c r="A4343" s="87"/>
      <c r="B4343" s="165"/>
      <c r="C4343" s="165"/>
      <c r="D4343" s="94"/>
    </row>
    <row r="4344">
      <c r="A4344" s="87"/>
      <c r="B4344" s="165"/>
      <c r="C4344" s="165"/>
      <c r="D4344" s="94"/>
    </row>
    <row r="4345">
      <c r="A4345" s="87"/>
      <c r="B4345" s="165"/>
      <c r="C4345" s="165"/>
      <c r="D4345" s="94"/>
    </row>
    <row r="4346">
      <c r="A4346" s="87"/>
      <c r="B4346" s="165"/>
      <c r="C4346" s="165"/>
      <c r="D4346" s="94"/>
    </row>
    <row r="4347">
      <c r="A4347" s="87"/>
      <c r="B4347" s="165"/>
      <c r="C4347" s="165"/>
      <c r="D4347" s="94"/>
    </row>
    <row r="4348">
      <c r="A4348" s="87"/>
      <c r="B4348" s="165"/>
      <c r="C4348" s="165"/>
      <c r="D4348" s="94"/>
    </row>
    <row r="4349">
      <c r="A4349" s="87"/>
      <c r="B4349" s="165"/>
      <c r="C4349" s="165"/>
      <c r="D4349" s="94"/>
    </row>
    <row r="4350">
      <c r="A4350" s="87"/>
      <c r="B4350" s="165"/>
      <c r="C4350" s="165"/>
      <c r="D4350" s="94"/>
    </row>
    <row r="4351">
      <c r="A4351" s="87"/>
      <c r="B4351" s="165"/>
      <c r="C4351" s="165"/>
      <c r="D4351" s="94"/>
    </row>
    <row r="4352">
      <c r="A4352" s="87"/>
      <c r="B4352" s="165"/>
      <c r="C4352" s="165"/>
      <c r="D4352" s="94"/>
    </row>
    <row r="4353">
      <c r="A4353" s="87"/>
      <c r="B4353" s="165"/>
      <c r="C4353" s="165"/>
      <c r="D4353" s="94"/>
    </row>
    <row r="4354">
      <c r="A4354" s="87"/>
      <c r="B4354" s="165"/>
      <c r="C4354" s="165"/>
      <c r="D4354" s="94"/>
    </row>
    <row r="4355">
      <c r="A4355" s="87"/>
      <c r="B4355" s="165"/>
      <c r="C4355" s="165"/>
      <c r="D4355" s="94"/>
    </row>
    <row r="4356">
      <c r="A4356" s="87"/>
      <c r="B4356" s="165"/>
      <c r="C4356" s="165"/>
      <c r="D4356" s="94"/>
    </row>
    <row r="4357">
      <c r="A4357" s="87"/>
      <c r="B4357" s="165"/>
      <c r="C4357" s="165"/>
      <c r="D4357" s="94"/>
    </row>
    <row r="4358">
      <c r="A4358" s="87"/>
      <c r="B4358" s="165"/>
      <c r="C4358" s="165"/>
      <c r="D4358" s="94"/>
    </row>
    <row r="4359">
      <c r="A4359" s="87"/>
      <c r="B4359" s="165"/>
      <c r="C4359" s="165"/>
      <c r="D4359" s="94"/>
    </row>
    <row r="4360">
      <c r="A4360" s="87"/>
      <c r="B4360" s="165"/>
      <c r="C4360" s="165"/>
      <c r="D4360" s="94"/>
    </row>
    <row r="4361">
      <c r="A4361" s="87"/>
      <c r="B4361" s="165"/>
      <c r="C4361" s="165"/>
      <c r="D4361" s="94"/>
    </row>
    <row r="4362">
      <c r="A4362" s="87"/>
      <c r="B4362" s="165"/>
      <c r="C4362" s="165"/>
      <c r="D4362" s="94"/>
    </row>
    <row r="4363">
      <c r="A4363" s="87"/>
      <c r="B4363" s="165"/>
      <c r="C4363" s="165"/>
      <c r="D4363" s="94"/>
    </row>
    <row r="4364">
      <c r="A4364" s="87"/>
      <c r="B4364" s="165"/>
      <c r="C4364" s="165"/>
      <c r="D4364" s="94"/>
    </row>
    <row r="4365">
      <c r="A4365" s="87"/>
      <c r="B4365" s="165"/>
      <c r="C4365" s="165"/>
      <c r="D4365" s="94"/>
    </row>
    <row r="4366">
      <c r="A4366" s="87"/>
      <c r="B4366" s="165"/>
      <c r="C4366" s="165"/>
      <c r="D4366" s="94"/>
    </row>
    <row r="4367">
      <c r="A4367" s="87"/>
      <c r="B4367" s="165"/>
      <c r="C4367" s="165"/>
      <c r="D4367" s="94"/>
    </row>
    <row r="4368">
      <c r="A4368" s="87"/>
      <c r="B4368" s="165"/>
      <c r="C4368" s="165"/>
      <c r="D4368" s="94"/>
    </row>
    <row r="4369">
      <c r="A4369" s="87"/>
      <c r="B4369" s="165"/>
      <c r="C4369" s="165"/>
      <c r="D4369" s="94"/>
    </row>
    <row r="4370">
      <c r="A4370" s="87"/>
      <c r="B4370" s="165"/>
      <c r="C4370" s="165"/>
      <c r="D4370" s="94"/>
    </row>
    <row r="4371">
      <c r="A4371" s="87"/>
      <c r="B4371" s="165"/>
      <c r="C4371" s="165"/>
      <c r="D4371" s="94"/>
    </row>
    <row r="4372">
      <c r="A4372" s="87"/>
      <c r="B4372" s="165"/>
      <c r="C4372" s="165"/>
      <c r="D4372" s="94"/>
    </row>
    <row r="4373">
      <c r="A4373" s="87"/>
      <c r="B4373" s="165"/>
      <c r="C4373" s="165"/>
      <c r="D4373" s="94"/>
    </row>
    <row r="4374">
      <c r="A4374" s="87"/>
      <c r="B4374" s="165"/>
      <c r="C4374" s="165"/>
      <c r="D4374" s="94"/>
    </row>
    <row r="4375">
      <c r="A4375" s="87"/>
      <c r="B4375" s="165"/>
      <c r="C4375" s="165"/>
      <c r="D4375" s="94"/>
    </row>
    <row r="4376">
      <c r="A4376" s="87"/>
      <c r="B4376" s="165"/>
      <c r="C4376" s="165"/>
      <c r="D4376" s="94"/>
    </row>
    <row r="4377">
      <c r="A4377" s="87"/>
      <c r="B4377" s="165"/>
      <c r="C4377" s="165"/>
      <c r="D4377" s="94"/>
    </row>
    <row r="4378">
      <c r="A4378" s="87"/>
      <c r="B4378" s="165"/>
      <c r="C4378" s="165"/>
      <c r="D4378" s="94"/>
    </row>
    <row r="4379">
      <c r="A4379" s="87"/>
      <c r="B4379" s="165"/>
      <c r="C4379" s="165"/>
      <c r="D4379" s="94"/>
    </row>
    <row r="4380">
      <c r="A4380" s="87"/>
      <c r="B4380" s="165"/>
      <c r="C4380" s="165"/>
      <c r="D4380" s="94"/>
    </row>
    <row r="4381">
      <c r="A4381" s="87"/>
      <c r="B4381" s="165"/>
      <c r="C4381" s="165"/>
      <c r="D4381" s="94"/>
    </row>
    <row r="4382">
      <c r="A4382" s="87"/>
      <c r="B4382" s="165"/>
      <c r="C4382" s="165"/>
      <c r="D4382" s="94"/>
    </row>
    <row r="4383">
      <c r="A4383" s="87"/>
      <c r="B4383" s="165"/>
      <c r="C4383" s="165"/>
      <c r="D4383" s="94"/>
    </row>
    <row r="4384">
      <c r="A4384" s="87"/>
      <c r="B4384" s="165"/>
      <c r="C4384" s="165"/>
      <c r="D4384" s="94"/>
    </row>
    <row r="4385">
      <c r="A4385" s="87"/>
      <c r="B4385" s="165"/>
      <c r="C4385" s="165"/>
      <c r="D4385" s="94"/>
    </row>
    <row r="4386">
      <c r="A4386" s="87"/>
      <c r="B4386" s="165"/>
      <c r="C4386" s="165"/>
      <c r="D4386" s="94"/>
    </row>
    <row r="4387">
      <c r="A4387" s="87"/>
      <c r="B4387" s="165"/>
      <c r="C4387" s="165"/>
      <c r="D4387" s="94"/>
    </row>
    <row r="4388">
      <c r="A4388" s="87"/>
      <c r="B4388" s="165"/>
      <c r="C4388" s="165"/>
      <c r="D4388" s="94"/>
    </row>
    <row r="4389">
      <c r="A4389" s="87"/>
      <c r="B4389" s="165"/>
      <c r="C4389" s="165"/>
      <c r="D4389" s="94"/>
    </row>
    <row r="4390">
      <c r="A4390" s="87"/>
      <c r="B4390" s="165"/>
      <c r="C4390" s="165"/>
      <c r="D4390" s="94"/>
    </row>
    <row r="4391">
      <c r="A4391" s="87"/>
      <c r="B4391" s="165"/>
      <c r="C4391" s="165"/>
      <c r="D4391" s="94"/>
    </row>
    <row r="4392">
      <c r="A4392" s="87"/>
      <c r="B4392" s="165"/>
      <c r="C4392" s="165"/>
      <c r="D4392" s="94"/>
    </row>
    <row r="4393">
      <c r="A4393" s="87"/>
      <c r="B4393" s="165"/>
      <c r="C4393" s="165"/>
      <c r="D4393" s="94"/>
    </row>
    <row r="4394">
      <c r="A4394" s="87"/>
      <c r="B4394" s="165"/>
      <c r="C4394" s="165"/>
      <c r="D4394" s="94"/>
    </row>
    <row r="4395">
      <c r="A4395" s="87"/>
      <c r="B4395" s="165"/>
      <c r="C4395" s="165"/>
      <c r="D4395" s="94"/>
    </row>
    <row r="4396">
      <c r="A4396" s="87"/>
      <c r="B4396" s="165"/>
      <c r="C4396" s="165"/>
      <c r="D4396" s="94"/>
    </row>
    <row r="4397">
      <c r="A4397" s="87"/>
      <c r="B4397" s="165"/>
      <c r="C4397" s="165"/>
      <c r="D4397" s="94"/>
    </row>
    <row r="4398">
      <c r="A4398" s="87"/>
      <c r="B4398" s="165"/>
      <c r="C4398" s="165"/>
      <c r="D4398" s="94"/>
    </row>
    <row r="4399">
      <c r="A4399" s="87"/>
      <c r="B4399" s="165"/>
      <c r="C4399" s="165"/>
      <c r="D4399" s="94"/>
    </row>
    <row r="4400">
      <c r="A4400" s="87"/>
      <c r="B4400" s="165"/>
      <c r="C4400" s="165"/>
      <c r="D4400" s="94"/>
    </row>
    <row r="4401">
      <c r="A4401" s="87"/>
      <c r="B4401" s="165"/>
      <c r="C4401" s="165"/>
      <c r="D4401" s="94"/>
    </row>
    <row r="4402">
      <c r="A4402" s="87"/>
      <c r="B4402" s="165"/>
      <c r="C4402" s="165"/>
      <c r="D4402" s="94"/>
    </row>
    <row r="4403">
      <c r="A4403" s="87"/>
      <c r="B4403" s="165"/>
      <c r="C4403" s="165"/>
      <c r="D4403" s="94"/>
    </row>
    <row r="4404">
      <c r="A4404" s="87"/>
      <c r="B4404" s="165"/>
      <c r="C4404" s="165"/>
      <c r="D4404" s="94"/>
    </row>
    <row r="4405">
      <c r="A4405" s="87"/>
      <c r="B4405" s="165"/>
      <c r="C4405" s="165"/>
      <c r="D4405" s="94"/>
    </row>
    <row r="4406">
      <c r="A4406" s="87"/>
      <c r="B4406" s="165"/>
      <c r="C4406" s="165"/>
      <c r="D4406" s="94"/>
    </row>
    <row r="4407">
      <c r="A4407" s="87"/>
      <c r="B4407" s="165"/>
      <c r="C4407" s="165"/>
      <c r="D4407" s="94"/>
    </row>
    <row r="4408">
      <c r="A4408" s="87"/>
      <c r="B4408" s="165"/>
      <c r="C4408" s="165"/>
      <c r="D4408" s="94"/>
    </row>
    <row r="4409">
      <c r="A4409" s="87"/>
      <c r="B4409" s="165"/>
      <c r="C4409" s="165"/>
      <c r="D4409" s="94"/>
    </row>
    <row r="4410">
      <c r="A4410" s="87"/>
      <c r="B4410" s="165"/>
      <c r="C4410" s="165"/>
      <c r="D4410" s="94"/>
    </row>
    <row r="4411">
      <c r="A4411" s="87"/>
      <c r="B4411" s="165"/>
      <c r="C4411" s="165"/>
      <c r="D4411" s="94"/>
    </row>
    <row r="4412">
      <c r="A4412" s="87"/>
      <c r="B4412" s="165"/>
      <c r="C4412" s="165"/>
      <c r="D4412" s="94"/>
    </row>
    <row r="4413">
      <c r="A4413" s="87"/>
      <c r="B4413" s="165"/>
      <c r="C4413" s="165"/>
      <c r="D4413" s="94"/>
    </row>
    <row r="4414">
      <c r="A4414" s="87"/>
      <c r="B4414" s="165"/>
      <c r="C4414" s="165"/>
      <c r="D4414" s="94"/>
    </row>
    <row r="4415">
      <c r="A4415" s="87"/>
      <c r="B4415" s="165"/>
      <c r="C4415" s="165"/>
      <c r="D4415" s="94"/>
    </row>
    <row r="4416">
      <c r="A4416" s="87"/>
      <c r="B4416" s="165"/>
      <c r="C4416" s="165"/>
      <c r="D4416" s="94"/>
    </row>
    <row r="4417">
      <c r="A4417" s="87"/>
      <c r="B4417" s="165"/>
      <c r="C4417" s="165"/>
      <c r="D4417" s="94"/>
    </row>
    <row r="4418">
      <c r="A4418" s="87"/>
      <c r="B4418" s="165"/>
      <c r="C4418" s="165"/>
      <c r="D4418" s="94"/>
    </row>
    <row r="4419">
      <c r="A4419" s="87"/>
      <c r="B4419" s="165"/>
      <c r="C4419" s="165"/>
      <c r="D4419" s="94"/>
    </row>
    <row r="4420">
      <c r="A4420" s="87"/>
      <c r="B4420" s="165"/>
      <c r="C4420" s="165"/>
      <c r="D4420" s="94"/>
    </row>
    <row r="4421">
      <c r="A4421" s="87"/>
      <c r="B4421" s="165"/>
      <c r="C4421" s="165"/>
      <c r="D4421" s="94"/>
    </row>
    <row r="4422">
      <c r="A4422" s="87"/>
      <c r="B4422" s="165"/>
      <c r="C4422" s="165"/>
      <c r="D4422" s="94"/>
    </row>
    <row r="4423">
      <c r="A4423" s="87"/>
      <c r="B4423" s="165"/>
      <c r="C4423" s="165"/>
      <c r="D4423" s="94"/>
    </row>
    <row r="4424">
      <c r="A4424" s="87"/>
      <c r="B4424" s="165"/>
      <c r="C4424" s="165"/>
      <c r="D4424" s="94"/>
    </row>
    <row r="4425">
      <c r="A4425" s="87"/>
      <c r="B4425" s="165"/>
      <c r="C4425" s="165"/>
      <c r="D4425" s="94"/>
    </row>
    <row r="4426">
      <c r="A4426" s="87"/>
      <c r="B4426" s="165"/>
      <c r="C4426" s="165"/>
      <c r="D4426" s="94"/>
    </row>
    <row r="4427">
      <c r="A4427" s="87"/>
      <c r="B4427" s="165"/>
      <c r="C4427" s="165"/>
      <c r="D4427" s="94"/>
    </row>
    <row r="4428">
      <c r="A4428" s="87"/>
      <c r="B4428" s="165"/>
      <c r="C4428" s="165"/>
      <c r="D4428" s="94"/>
    </row>
    <row r="4429">
      <c r="A4429" s="87"/>
      <c r="B4429" s="165"/>
      <c r="C4429" s="165"/>
      <c r="D4429" s="94"/>
    </row>
    <row r="4430">
      <c r="A4430" s="87"/>
      <c r="B4430" s="165"/>
      <c r="C4430" s="165"/>
      <c r="D4430" s="94"/>
    </row>
    <row r="4431">
      <c r="A4431" s="87"/>
      <c r="B4431" s="165"/>
      <c r="C4431" s="165"/>
      <c r="D4431" s="94"/>
    </row>
    <row r="4432">
      <c r="A4432" s="87"/>
      <c r="B4432" s="165"/>
      <c r="C4432" s="165"/>
      <c r="D4432" s="94"/>
    </row>
    <row r="4433">
      <c r="A4433" s="87"/>
      <c r="B4433" s="165"/>
      <c r="C4433" s="165"/>
      <c r="D4433" s="94"/>
    </row>
    <row r="4434">
      <c r="A4434" s="87"/>
      <c r="B4434" s="165"/>
      <c r="C4434" s="165"/>
      <c r="D4434" s="94"/>
    </row>
    <row r="4435">
      <c r="A4435" s="87"/>
      <c r="B4435" s="165"/>
      <c r="C4435" s="165"/>
      <c r="D4435" s="94"/>
    </row>
    <row r="4436">
      <c r="A4436" s="87"/>
      <c r="B4436" s="165"/>
      <c r="C4436" s="165"/>
      <c r="D4436" s="94"/>
    </row>
    <row r="4437">
      <c r="A4437" s="87"/>
      <c r="B4437" s="165"/>
      <c r="C4437" s="165"/>
      <c r="D4437" s="94"/>
    </row>
    <row r="4438">
      <c r="A4438" s="87"/>
      <c r="B4438" s="165"/>
      <c r="C4438" s="165"/>
      <c r="D4438" s="94"/>
    </row>
    <row r="4439">
      <c r="A4439" s="87"/>
      <c r="B4439" s="165"/>
      <c r="C4439" s="165"/>
      <c r="D4439" s="94"/>
    </row>
    <row r="4440">
      <c r="A4440" s="87"/>
      <c r="B4440" s="165"/>
      <c r="C4440" s="165"/>
      <c r="D4440" s="94"/>
    </row>
    <row r="4441">
      <c r="A4441" s="87"/>
      <c r="B4441" s="165"/>
      <c r="C4441" s="165"/>
      <c r="D4441" s="94"/>
    </row>
    <row r="4442">
      <c r="A4442" s="87"/>
      <c r="B4442" s="165"/>
      <c r="C4442" s="165"/>
      <c r="D4442" s="94"/>
    </row>
    <row r="4443">
      <c r="A4443" s="87"/>
      <c r="B4443" s="165"/>
      <c r="C4443" s="165"/>
      <c r="D4443" s="94"/>
    </row>
    <row r="4444">
      <c r="A4444" s="87"/>
      <c r="B4444" s="165"/>
      <c r="C4444" s="165"/>
      <c r="D4444" s="94"/>
    </row>
    <row r="4445">
      <c r="A4445" s="87"/>
      <c r="B4445" s="165"/>
      <c r="C4445" s="165"/>
      <c r="D4445" s="94"/>
    </row>
    <row r="4446">
      <c r="A4446" s="87"/>
      <c r="B4446" s="165"/>
      <c r="C4446" s="165"/>
      <c r="D4446" s="94"/>
    </row>
    <row r="4447">
      <c r="A4447" s="87"/>
      <c r="B4447" s="165"/>
      <c r="C4447" s="165"/>
      <c r="D4447" s="94"/>
    </row>
    <row r="4448">
      <c r="A4448" s="87"/>
      <c r="B4448" s="165"/>
      <c r="C4448" s="165"/>
      <c r="D4448" s="94"/>
    </row>
    <row r="4449">
      <c r="A4449" s="87"/>
      <c r="B4449" s="165"/>
      <c r="C4449" s="165"/>
      <c r="D4449" s="94"/>
    </row>
    <row r="4450">
      <c r="A4450" s="87"/>
      <c r="B4450" s="165"/>
      <c r="C4450" s="165"/>
      <c r="D4450" s="94"/>
    </row>
    <row r="4451">
      <c r="A4451" s="87"/>
      <c r="B4451" s="165"/>
      <c r="C4451" s="165"/>
      <c r="D4451" s="94"/>
    </row>
    <row r="4452">
      <c r="A4452" s="87"/>
      <c r="B4452" s="165"/>
      <c r="C4452" s="165"/>
      <c r="D4452" s="94"/>
    </row>
    <row r="4453">
      <c r="A4453" s="87"/>
      <c r="B4453" s="165"/>
      <c r="C4453" s="165"/>
      <c r="D4453" s="94"/>
    </row>
    <row r="4454">
      <c r="A4454" s="87"/>
      <c r="B4454" s="165"/>
      <c r="C4454" s="165"/>
      <c r="D4454" s="94"/>
    </row>
    <row r="4455">
      <c r="A4455" s="87"/>
      <c r="B4455" s="165"/>
      <c r="C4455" s="165"/>
      <c r="D4455" s="94"/>
    </row>
    <row r="4456">
      <c r="A4456" s="87"/>
      <c r="B4456" s="165"/>
      <c r="C4456" s="165"/>
      <c r="D4456" s="94"/>
    </row>
    <row r="4457">
      <c r="A4457" s="87"/>
      <c r="B4457" s="165"/>
      <c r="C4457" s="165"/>
      <c r="D4457" s="94"/>
    </row>
    <row r="4458">
      <c r="A4458" s="87"/>
      <c r="B4458" s="165"/>
      <c r="C4458" s="165"/>
      <c r="D4458" s="94"/>
    </row>
    <row r="4459">
      <c r="A4459" s="87"/>
      <c r="B4459" s="165"/>
      <c r="C4459" s="165"/>
      <c r="D4459" s="94"/>
    </row>
    <row r="4460">
      <c r="A4460" s="87"/>
      <c r="B4460" s="165"/>
      <c r="C4460" s="165"/>
      <c r="D4460" s="94"/>
    </row>
    <row r="4461">
      <c r="A4461" s="87"/>
      <c r="B4461" s="165"/>
      <c r="C4461" s="165"/>
      <c r="D4461" s="94"/>
    </row>
    <row r="4462">
      <c r="A4462" s="87"/>
      <c r="B4462" s="165"/>
      <c r="C4462" s="165"/>
      <c r="D4462" s="94"/>
    </row>
    <row r="4463">
      <c r="A4463" s="87"/>
      <c r="B4463" s="165"/>
      <c r="C4463" s="165"/>
      <c r="D4463" s="94"/>
    </row>
    <row r="4464">
      <c r="A4464" s="87"/>
      <c r="B4464" s="165"/>
      <c r="C4464" s="165"/>
      <c r="D4464" s="94"/>
    </row>
    <row r="4465">
      <c r="A4465" s="87"/>
      <c r="B4465" s="165"/>
      <c r="C4465" s="165"/>
      <c r="D4465" s="94"/>
    </row>
    <row r="4466">
      <c r="A4466" s="87"/>
      <c r="B4466" s="165"/>
      <c r="C4466" s="165"/>
      <c r="D4466" s="94"/>
    </row>
    <row r="4467">
      <c r="A4467" s="87"/>
      <c r="B4467" s="165"/>
      <c r="C4467" s="165"/>
      <c r="D4467" s="94"/>
    </row>
    <row r="4468">
      <c r="A4468" s="87"/>
      <c r="B4468" s="165"/>
      <c r="C4468" s="165"/>
      <c r="D4468" s="94"/>
    </row>
    <row r="4469">
      <c r="A4469" s="87"/>
      <c r="B4469" s="165"/>
      <c r="C4469" s="165"/>
      <c r="D4469" s="94"/>
    </row>
    <row r="4470">
      <c r="A4470" s="87"/>
      <c r="B4470" s="165"/>
      <c r="C4470" s="165"/>
      <c r="D4470" s="94"/>
    </row>
    <row r="4471">
      <c r="A4471" s="87"/>
      <c r="B4471" s="165"/>
      <c r="C4471" s="165"/>
      <c r="D4471" s="94"/>
    </row>
    <row r="4472">
      <c r="A4472" s="87"/>
      <c r="B4472" s="165"/>
      <c r="C4472" s="165"/>
      <c r="D4472" s="94"/>
    </row>
    <row r="4473">
      <c r="A4473" s="87"/>
      <c r="B4473" s="165"/>
      <c r="C4473" s="165"/>
      <c r="D4473" s="94"/>
    </row>
    <row r="4474">
      <c r="A4474" s="87"/>
      <c r="B4474" s="165"/>
      <c r="C4474" s="165"/>
      <c r="D4474" s="94"/>
    </row>
    <row r="4475">
      <c r="A4475" s="87"/>
      <c r="B4475" s="165"/>
      <c r="C4475" s="165"/>
      <c r="D4475" s="94"/>
    </row>
    <row r="4476">
      <c r="A4476" s="87"/>
      <c r="B4476" s="165"/>
      <c r="C4476" s="165"/>
      <c r="D4476" s="94"/>
    </row>
    <row r="4477">
      <c r="A4477" s="87"/>
      <c r="B4477" s="165"/>
      <c r="C4477" s="165"/>
      <c r="D4477" s="94"/>
    </row>
    <row r="4478">
      <c r="A4478" s="87"/>
      <c r="B4478" s="165"/>
      <c r="C4478" s="165"/>
      <c r="D4478" s="94"/>
    </row>
    <row r="4479">
      <c r="A4479" s="87"/>
      <c r="B4479" s="165"/>
      <c r="C4479" s="165"/>
      <c r="D4479" s="94"/>
    </row>
    <row r="4480">
      <c r="A4480" s="87"/>
      <c r="B4480" s="165"/>
      <c r="C4480" s="165"/>
      <c r="D4480" s="94"/>
    </row>
    <row r="4481">
      <c r="A4481" s="87"/>
      <c r="B4481" s="165"/>
      <c r="C4481" s="165"/>
      <c r="D4481" s="94"/>
    </row>
    <row r="4482">
      <c r="A4482" s="87"/>
      <c r="B4482" s="165"/>
      <c r="C4482" s="165"/>
      <c r="D4482" s="94"/>
    </row>
    <row r="4483">
      <c r="A4483" s="87"/>
      <c r="B4483" s="165"/>
      <c r="C4483" s="165"/>
      <c r="D4483" s="94"/>
    </row>
    <row r="4484">
      <c r="A4484" s="87"/>
      <c r="B4484" s="165"/>
      <c r="C4484" s="165"/>
      <c r="D4484" s="94"/>
    </row>
    <row r="4485">
      <c r="A4485" s="87"/>
      <c r="B4485" s="165"/>
      <c r="C4485" s="165"/>
      <c r="D4485" s="94"/>
    </row>
    <row r="4486">
      <c r="A4486" s="87"/>
      <c r="B4486" s="165"/>
      <c r="C4486" s="165"/>
      <c r="D4486" s="94"/>
    </row>
    <row r="4487">
      <c r="A4487" s="87"/>
      <c r="B4487" s="165"/>
      <c r="C4487" s="165"/>
      <c r="D4487" s="94"/>
    </row>
    <row r="4488">
      <c r="A4488" s="87"/>
      <c r="B4488" s="165"/>
      <c r="C4488" s="165"/>
      <c r="D4488" s="94"/>
    </row>
    <row r="4489">
      <c r="A4489" s="87"/>
      <c r="B4489" s="165"/>
      <c r="C4489" s="165"/>
      <c r="D4489" s="94"/>
    </row>
    <row r="4490">
      <c r="A4490" s="87"/>
      <c r="B4490" s="165"/>
      <c r="C4490" s="165"/>
      <c r="D4490" s="94"/>
    </row>
    <row r="4491">
      <c r="A4491" s="87"/>
      <c r="B4491" s="165"/>
      <c r="C4491" s="165"/>
      <c r="D4491" s="94"/>
    </row>
    <row r="4492">
      <c r="A4492" s="87"/>
      <c r="B4492" s="165"/>
      <c r="C4492" s="165"/>
      <c r="D4492" s="94"/>
    </row>
    <row r="4493">
      <c r="A4493" s="87"/>
      <c r="B4493" s="165"/>
      <c r="C4493" s="165"/>
      <c r="D4493" s="94"/>
    </row>
    <row r="4494">
      <c r="A4494" s="87"/>
      <c r="B4494" s="165"/>
      <c r="C4494" s="165"/>
      <c r="D4494" s="94"/>
    </row>
    <row r="4495">
      <c r="A4495" s="87"/>
      <c r="B4495" s="165"/>
      <c r="C4495" s="165"/>
      <c r="D4495" s="94"/>
    </row>
    <row r="4496">
      <c r="A4496" s="87"/>
      <c r="B4496" s="165"/>
      <c r="C4496" s="165"/>
      <c r="D4496" s="94"/>
    </row>
    <row r="4497">
      <c r="A4497" s="87"/>
      <c r="B4497" s="165"/>
      <c r="C4497" s="165"/>
      <c r="D4497" s="94"/>
    </row>
    <row r="4498">
      <c r="A4498" s="87"/>
      <c r="B4498" s="165"/>
      <c r="C4498" s="165"/>
      <c r="D4498" s="94"/>
    </row>
    <row r="4499">
      <c r="A4499" s="87"/>
      <c r="B4499" s="165"/>
      <c r="C4499" s="165"/>
      <c r="D4499" s="94"/>
    </row>
    <row r="4500">
      <c r="A4500" s="87"/>
      <c r="B4500" s="165"/>
      <c r="C4500" s="165"/>
      <c r="D4500" s="94"/>
    </row>
    <row r="4501">
      <c r="A4501" s="87"/>
      <c r="B4501" s="165"/>
      <c r="C4501" s="165"/>
      <c r="D4501" s="94"/>
    </row>
    <row r="4502">
      <c r="A4502" s="87"/>
      <c r="B4502" s="165"/>
      <c r="C4502" s="165"/>
      <c r="D4502" s="94"/>
    </row>
    <row r="4503">
      <c r="A4503" s="87"/>
      <c r="B4503" s="165"/>
      <c r="C4503" s="165"/>
      <c r="D4503" s="94"/>
    </row>
    <row r="4504">
      <c r="A4504" s="87"/>
      <c r="B4504" s="165"/>
      <c r="C4504" s="165"/>
      <c r="D4504" s="94"/>
    </row>
    <row r="4505">
      <c r="A4505" s="87"/>
      <c r="B4505" s="165"/>
      <c r="C4505" s="165"/>
      <c r="D4505" s="94"/>
    </row>
    <row r="4506">
      <c r="A4506" s="87"/>
      <c r="B4506" s="165"/>
      <c r="C4506" s="165"/>
      <c r="D4506" s="94"/>
    </row>
    <row r="4507">
      <c r="A4507" s="87"/>
      <c r="B4507" s="165"/>
      <c r="C4507" s="165"/>
      <c r="D4507" s="94"/>
    </row>
    <row r="4508">
      <c r="A4508" s="87"/>
      <c r="B4508" s="165"/>
      <c r="C4508" s="165"/>
      <c r="D4508" s="94"/>
    </row>
    <row r="4509">
      <c r="A4509" s="87"/>
      <c r="B4509" s="165"/>
      <c r="C4509" s="165"/>
      <c r="D4509" s="94"/>
    </row>
    <row r="4510">
      <c r="A4510" s="87"/>
      <c r="B4510" s="165"/>
      <c r="C4510" s="165"/>
      <c r="D4510" s="94"/>
    </row>
    <row r="4511">
      <c r="A4511" s="87"/>
      <c r="B4511" s="165"/>
      <c r="C4511" s="165"/>
      <c r="D4511" s="94"/>
    </row>
    <row r="4512">
      <c r="A4512" s="87"/>
      <c r="B4512" s="165"/>
      <c r="C4512" s="165"/>
      <c r="D4512" s="94"/>
    </row>
    <row r="4513">
      <c r="A4513" s="87"/>
      <c r="B4513" s="165"/>
      <c r="C4513" s="165"/>
      <c r="D4513" s="94"/>
    </row>
    <row r="4514">
      <c r="A4514" s="87"/>
      <c r="B4514" s="165"/>
      <c r="C4514" s="165"/>
      <c r="D4514" s="94"/>
    </row>
    <row r="4515">
      <c r="A4515" s="87"/>
      <c r="B4515" s="165"/>
      <c r="C4515" s="165"/>
      <c r="D4515" s="94"/>
    </row>
    <row r="4516">
      <c r="A4516" s="87"/>
      <c r="B4516" s="165"/>
      <c r="C4516" s="165"/>
      <c r="D4516" s="94"/>
    </row>
    <row r="4517">
      <c r="A4517" s="87"/>
      <c r="B4517" s="165"/>
      <c r="C4517" s="165"/>
      <c r="D4517" s="94"/>
    </row>
    <row r="4518">
      <c r="A4518" s="87"/>
      <c r="B4518" s="165"/>
      <c r="C4518" s="165"/>
      <c r="D4518" s="94"/>
    </row>
    <row r="4519">
      <c r="A4519" s="87"/>
      <c r="B4519" s="165"/>
      <c r="C4519" s="165"/>
      <c r="D4519" s="94"/>
    </row>
    <row r="4520">
      <c r="A4520" s="87"/>
      <c r="B4520" s="165"/>
      <c r="C4520" s="165"/>
      <c r="D4520" s="94"/>
    </row>
    <row r="4521">
      <c r="A4521" s="87"/>
      <c r="B4521" s="165"/>
      <c r="C4521" s="165"/>
      <c r="D4521" s="94"/>
    </row>
    <row r="4522">
      <c r="A4522" s="87"/>
      <c r="B4522" s="165"/>
      <c r="C4522" s="165"/>
      <c r="D4522" s="94"/>
    </row>
    <row r="4523">
      <c r="A4523" s="87"/>
      <c r="B4523" s="165"/>
      <c r="C4523" s="165"/>
      <c r="D4523" s="94"/>
    </row>
    <row r="4524">
      <c r="A4524" s="87"/>
      <c r="B4524" s="165"/>
      <c r="C4524" s="165"/>
      <c r="D4524" s="94"/>
    </row>
    <row r="4525">
      <c r="A4525" s="87"/>
      <c r="B4525" s="165"/>
      <c r="C4525" s="165"/>
      <c r="D4525" s="94"/>
    </row>
    <row r="4526">
      <c r="A4526" s="87"/>
      <c r="B4526" s="165"/>
      <c r="C4526" s="165"/>
      <c r="D4526" s="94"/>
    </row>
    <row r="4527">
      <c r="A4527" s="87"/>
      <c r="B4527" s="165"/>
      <c r="C4527" s="165"/>
      <c r="D4527" s="94"/>
    </row>
    <row r="4528">
      <c r="A4528" s="87"/>
      <c r="B4528" s="165"/>
      <c r="C4528" s="165"/>
      <c r="D4528" s="94"/>
    </row>
    <row r="4529">
      <c r="A4529" s="87"/>
      <c r="B4529" s="165"/>
      <c r="C4529" s="165"/>
      <c r="D4529" s="94"/>
    </row>
    <row r="4530">
      <c r="A4530" s="87"/>
      <c r="B4530" s="165"/>
      <c r="C4530" s="165"/>
      <c r="D4530" s="94"/>
    </row>
    <row r="4531">
      <c r="A4531" s="87"/>
      <c r="B4531" s="165"/>
      <c r="C4531" s="165"/>
      <c r="D4531" s="94"/>
    </row>
    <row r="4532">
      <c r="A4532" s="87"/>
      <c r="B4532" s="165"/>
      <c r="C4532" s="165"/>
      <c r="D4532" s="94"/>
    </row>
    <row r="4533">
      <c r="A4533" s="87"/>
      <c r="B4533" s="165"/>
      <c r="C4533" s="165"/>
      <c r="D4533" s="94"/>
    </row>
    <row r="4534">
      <c r="A4534" s="87"/>
      <c r="B4534" s="165"/>
      <c r="C4534" s="165"/>
      <c r="D4534" s="94"/>
    </row>
    <row r="4535">
      <c r="A4535" s="87"/>
      <c r="B4535" s="165"/>
      <c r="C4535" s="165"/>
      <c r="D4535" s="94"/>
    </row>
    <row r="4536">
      <c r="A4536" s="87"/>
      <c r="B4536" s="165"/>
      <c r="C4536" s="165"/>
      <c r="D4536" s="94"/>
    </row>
    <row r="4537">
      <c r="A4537" s="87"/>
      <c r="B4537" s="165"/>
      <c r="C4537" s="165"/>
      <c r="D4537" s="94"/>
    </row>
    <row r="4538">
      <c r="A4538" s="87"/>
      <c r="B4538" s="165"/>
      <c r="C4538" s="165"/>
      <c r="D4538" s="94"/>
    </row>
    <row r="4539">
      <c r="A4539" s="87"/>
      <c r="B4539" s="165"/>
      <c r="C4539" s="165"/>
      <c r="D4539" s="94"/>
    </row>
    <row r="4540">
      <c r="A4540" s="87"/>
      <c r="B4540" s="165"/>
      <c r="C4540" s="165"/>
      <c r="D4540" s="94"/>
    </row>
    <row r="4541">
      <c r="A4541" s="87"/>
      <c r="B4541" s="165"/>
      <c r="C4541" s="165"/>
      <c r="D4541" s="94"/>
    </row>
    <row r="4542">
      <c r="A4542" s="87"/>
      <c r="B4542" s="165"/>
      <c r="C4542" s="165"/>
      <c r="D4542" s="94"/>
    </row>
    <row r="4543">
      <c r="A4543" s="87"/>
      <c r="B4543" s="165"/>
      <c r="C4543" s="165"/>
      <c r="D4543" s="94"/>
    </row>
    <row r="4544">
      <c r="A4544" s="87"/>
      <c r="B4544" s="165"/>
      <c r="C4544" s="165"/>
      <c r="D4544" s="94"/>
    </row>
    <row r="4545">
      <c r="A4545" s="87"/>
      <c r="B4545" s="165"/>
      <c r="C4545" s="165"/>
      <c r="D4545" s="94"/>
    </row>
    <row r="4546">
      <c r="A4546" s="87"/>
      <c r="B4546" s="165"/>
      <c r="C4546" s="165"/>
      <c r="D4546" s="94"/>
    </row>
    <row r="4547">
      <c r="A4547" s="87"/>
      <c r="B4547" s="165"/>
      <c r="C4547" s="165"/>
      <c r="D4547" s="94"/>
    </row>
    <row r="4548">
      <c r="A4548" s="87"/>
      <c r="B4548" s="165"/>
      <c r="C4548" s="165"/>
      <c r="D4548" s="94"/>
    </row>
    <row r="4549">
      <c r="A4549" s="87"/>
      <c r="B4549" s="165"/>
      <c r="C4549" s="165"/>
      <c r="D4549" s="94"/>
    </row>
    <row r="4550">
      <c r="A4550" s="87"/>
      <c r="B4550" s="165"/>
      <c r="C4550" s="165"/>
      <c r="D4550" s="94"/>
    </row>
    <row r="4551">
      <c r="A4551" s="87"/>
      <c r="B4551" s="165"/>
      <c r="C4551" s="165"/>
      <c r="D4551" s="94"/>
    </row>
    <row r="4552">
      <c r="A4552" s="87"/>
      <c r="B4552" s="165"/>
      <c r="C4552" s="165"/>
      <c r="D4552" s="94"/>
    </row>
    <row r="4553">
      <c r="A4553" s="87"/>
      <c r="B4553" s="165"/>
      <c r="C4553" s="165"/>
      <c r="D4553" s="94"/>
    </row>
    <row r="4554">
      <c r="A4554" s="87"/>
      <c r="B4554" s="165"/>
      <c r="C4554" s="165"/>
      <c r="D4554" s="94"/>
    </row>
    <row r="4555">
      <c r="A4555" s="87"/>
      <c r="B4555" s="165"/>
      <c r="C4555" s="165"/>
      <c r="D4555" s="94"/>
    </row>
    <row r="4556">
      <c r="A4556" s="87"/>
      <c r="B4556" s="165"/>
      <c r="C4556" s="165"/>
      <c r="D4556" s="94"/>
    </row>
    <row r="4557">
      <c r="A4557" s="87"/>
      <c r="B4557" s="165"/>
      <c r="C4557" s="165"/>
      <c r="D4557" s="94"/>
    </row>
    <row r="4558">
      <c r="A4558" s="87"/>
      <c r="B4558" s="165"/>
      <c r="C4558" s="165"/>
      <c r="D4558" s="94"/>
    </row>
    <row r="4559">
      <c r="A4559" s="87"/>
      <c r="B4559" s="165"/>
      <c r="C4559" s="165"/>
      <c r="D4559" s="94"/>
    </row>
    <row r="4560">
      <c r="A4560" s="87"/>
      <c r="B4560" s="165"/>
      <c r="C4560" s="165"/>
      <c r="D4560" s="94"/>
    </row>
    <row r="4561">
      <c r="A4561" s="87"/>
      <c r="B4561" s="165"/>
      <c r="C4561" s="165"/>
      <c r="D4561" s="94"/>
    </row>
    <row r="4562">
      <c r="A4562" s="87"/>
      <c r="B4562" s="165"/>
      <c r="C4562" s="165"/>
      <c r="D4562" s="94"/>
    </row>
    <row r="4563">
      <c r="A4563" s="87"/>
      <c r="B4563" s="165"/>
      <c r="C4563" s="165"/>
      <c r="D4563" s="94"/>
    </row>
    <row r="4564">
      <c r="A4564" s="87"/>
      <c r="B4564" s="165"/>
      <c r="C4564" s="165"/>
      <c r="D4564" s="94"/>
    </row>
    <row r="4565">
      <c r="A4565" s="87"/>
      <c r="B4565" s="165"/>
      <c r="C4565" s="165"/>
      <c r="D4565" s="94"/>
    </row>
    <row r="4566">
      <c r="A4566" s="87"/>
      <c r="B4566" s="165"/>
      <c r="C4566" s="165"/>
      <c r="D4566" s="94"/>
    </row>
    <row r="4567">
      <c r="A4567" s="87"/>
      <c r="B4567" s="165"/>
      <c r="C4567" s="165"/>
      <c r="D4567" s="94"/>
    </row>
    <row r="4568">
      <c r="A4568" s="87"/>
      <c r="B4568" s="165"/>
      <c r="C4568" s="165"/>
      <c r="D4568" s="94"/>
    </row>
    <row r="4569">
      <c r="A4569" s="87"/>
      <c r="B4569" s="165"/>
      <c r="C4569" s="165"/>
      <c r="D4569" s="94"/>
    </row>
    <row r="4570">
      <c r="A4570" s="87"/>
      <c r="B4570" s="165"/>
      <c r="C4570" s="165"/>
      <c r="D4570" s="94"/>
    </row>
    <row r="4571">
      <c r="A4571" s="87"/>
      <c r="B4571" s="165"/>
      <c r="C4571" s="165"/>
      <c r="D4571" s="94"/>
    </row>
    <row r="4572">
      <c r="A4572" s="87"/>
      <c r="B4572" s="165"/>
      <c r="C4572" s="165"/>
      <c r="D4572" s="94"/>
    </row>
    <row r="4573">
      <c r="A4573" s="87"/>
      <c r="B4573" s="165"/>
      <c r="C4573" s="165"/>
      <c r="D4573" s="94"/>
    </row>
    <row r="4574">
      <c r="A4574" s="87"/>
      <c r="B4574" s="165"/>
      <c r="C4574" s="165"/>
      <c r="D4574" s="94"/>
    </row>
    <row r="4575">
      <c r="A4575" s="87"/>
      <c r="B4575" s="165"/>
      <c r="C4575" s="165"/>
      <c r="D4575" s="94"/>
    </row>
    <row r="4576">
      <c r="A4576" s="87"/>
      <c r="B4576" s="165"/>
      <c r="C4576" s="165"/>
      <c r="D4576" s="94"/>
    </row>
    <row r="4577">
      <c r="A4577" s="87"/>
      <c r="B4577" s="165"/>
      <c r="C4577" s="165"/>
      <c r="D4577" s="94"/>
    </row>
    <row r="4578">
      <c r="A4578" s="87"/>
      <c r="B4578" s="165"/>
      <c r="C4578" s="165"/>
      <c r="D4578" s="94"/>
    </row>
    <row r="4579">
      <c r="A4579" s="87"/>
      <c r="B4579" s="165"/>
      <c r="C4579" s="165"/>
      <c r="D4579" s="94"/>
    </row>
    <row r="4580">
      <c r="A4580" s="87"/>
      <c r="B4580" s="165"/>
      <c r="C4580" s="165"/>
      <c r="D4580" s="94"/>
    </row>
    <row r="4581">
      <c r="A4581" s="87"/>
      <c r="B4581" s="165"/>
      <c r="C4581" s="165"/>
      <c r="D4581" s="94"/>
    </row>
    <row r="4582">
      <c r="A4582" s="87"/>
      <c r="B4582" s="165"/>
      <c r="C4582" s="165"/>
      <c r="D4582" s="94"/>
    </row>
    <row r="4583">
      <c r="A4583" s="87"/>
      <c r="B4583" s="165"/>
      <c r="C4583" s="165"/>
      <c r="D4583" s="94"/>
    </row>
    <row r="4584">
      <c r="A4584" s="87"/>
      <c r="B4584" s="165"/>
      <c r="C4584" s="165"/>
      <c r="D4584" s="94"/>
    </row>
    <row r="4585">
      <c r="A4585" s="87"/>
      <c r="B4585" s="165"/>
      <c r="C4585" s="165"/>
      <c r="D4585" s="94"/>
    </row>
    <row r="4586">
      <c r="A4586" s="87"/>
      <c r="B4586" s="165"/>
      <c r="C4586" s="165"/>
      <c r="D4586" s="94"/>
    </row>
    <row r="4587">
      <c r="A4587" s="87"/>
      <c r="B4587" s="165"/>
      <c r="C4587" s="165"/>
      <c r="D4587" s="94"/>
    </row>
    <row r="4588">
      <c r="A4588" s="87"/>
      <c r="B4588" s="165"/>
      <c r="C4588" s="165"/>
      <c r="D4588" s="94"/>
    </row>
    <row r="4589">
      <c r="A4589" s="87"/>
      <c r="B4589" s="165"/>
      <c r="C4589" s="165"/>
      <c r="D4589" s="94"/>
    </row>
    <row r="4590">
      <c r="A4590" s="87"/>
      <c r="B4590" s="165"/>
      <c r="C4590" s="165"/>
      <c r="D4590" s="94"/>
    </row>
    <row r="4591">
      <c r="A4591" s="87"/>
      <c r="B4591" s="165"/>
      <c r="C4591" s="165"/>
      <c r="D4591" s="94"/>
    </row>
    <row r="4592">
      <c r="A4592" s="87"/>
      <c r="B4592" s="165"/>
      <c r="C4592" s="165"/>
      <c r="D4592" s="94"/>
    </row>
    <row r="4593">
      <c r="A4593" s="87"/>
      <c r="B4593" s="165"/>
      <c r="C4593" s="165"/>
      <c r="D4593" s="94"/>
    </row>
    <row r="4594">
      <c r="A4594" s="87"/>
      <c r="B4594" s="165"/>
      <c r="C4594" s="165"/>
      <c r="D4594" s="94"/>
    </row>
    <row r="4595">
      <c r="A4595" s="87"/>
      <c r="B4595" s="165"/>
      <c r="C4595" s="165"/>
      <c r="D4595" s="94"/>
    </row>
    <row r="4596">
      <c r="A4596" s="87"/>
      <c r="B4596" s="165"/>
      <c r="C4596" s="165"/>
      <c r="D4596" s="94"/>
    </row>
    <row r="4597">
      <c r="A4597" s="87"/>
      <c r="B4597" s="165"/>
      <c r="C4597" s="165"/>
      <c r="D4597" s="94"/>
    </row>
    <row r="4598">
      <c r="A4598" s="87"/>
      <c r="B4598" s="165"/>
      <c r="C4598" s="165"/>
      <c r="D4598" s="94"/>
    </row>
    <row r="4599">
      <c r="A4599" s="87"/>
      <c r="B4599" s="165"/>
      <c r="C4599" s="165"/>
      <c r="D4599" s="94"/>
    </row>
    <row r="4600">
      <c r="A4600" s="87"/>
      <c r="B4600" s="165"/>
      <c r="C4600" s="165"/>
      <c r="D4600" s="94"/>
    </row>
    <row r="4601">
      <c r="A4601" s="87"/>
      <c r="B4601" s="165"/>
      <c r="C4601" s="165"/>
      <c r="D4601" s="94"/>
    </row>
    <row r="4602">
      <c r="A4602" s="87"/>
      <c r="B4602" s="165"/>
      <c r="C4602" s="165"/>
      <c r="D4602" s="94"/>
    </row>
    <row r="4603">
      <c r="A4603" s="87"/>
      <c r="B4603" s="165"/>
      <c r="C4603" s="165"/>
      <c r="D4603" s="94"/>
    </row>
    <row r="4604">
      <c r="A4604" s="87"/>
      <c r="B4604" s="165"/>
      <c r="C4604" s="165"/>
      <c r="D4604" s="94"/>
    </row>
    <row r="4605">
      <c r="A4605" s="87"/>
      <c r="B4605" s="165"/>
      <c r="C4605" s="165"/>
      <c r="D4605" s="94"/>
    </row>
    <row r="4606">
      <c r="A4606" s="87"/>
      <c r="B4606" s="165"/>
      <c r="C4606" s="165"/>
      <c r="D4606" s="94"/>
    </row>
    <row r="4607">
      <c r="A4607" s="87"/>
      <c r="B4607" s="165"/>
      <c r="C4607" s="165"/>
      <c r="D4607" s="94"/>
    </row>
    <row r="4608">
      <c r="A4608" s="87"/>
      <c r="B4608" s="165"/>
      <c r="C4608" s="165"/>
      <c r="D4608" s="94"/>
    </row>
    <row r="4609">
      <c r="A4609" s="87"/>
      <c r="B4609" s="165"/>
      <c r="C4609" s="165"/>
      <c r="D4609" s="94"/>
    </row>
    <row r="4610">
      <c r="A4610" s="87"/>
      <c r="B4610" s="165"/>
      <c r="C4610" s="165"/>
      <c r="D4610" s="94"/>
    </row>
    <row r="4611">
      <c r="A4611" s="87"/>
      <c r="B4611" s="165"/>
      <c r="C4611" s="165"/>
      <c r="D4611" s="94"/>
    </row>
    <row r="4612">
      <c r="A4612" s="87"/>
      <c r="B4612" s="165"/>
      <c r="C4612" s="165"/>
      <c r="D4612" s="94"/>
    </row>
    <row r="4613">
      <c r="A4613" s="87"/>
      <c r="B4613" s="165"/>
      <c r="C4613" s="165"/>
      <c r="D4613" s="94"/>
    </row>
    <row r="4614">
      <c r="A4614" s="87"/>
      <c r="B4614" s="165"/>
      <c r="C4614" s="165"/>
      <c r="D4614" s="94"/>
    </row>
    <row r="4615">
      <c r="A4615" s="87"/>
      <c r="B4615" s="165"/>
      <c r="C4615" s="165"/>
      <c r="D4615" s="94"/>
    </row>
    <row r="4616">
      <c r="A4616" s="87"/>
      <c r="B4616" s="165"/>
      <c r="C4616" s="165"/>
      <c r="D4616" s="94"/>
    </row>
    <row r="4617">
      <c r="A4617" s="87"/>
      <c r="B4617" s="165"/>
      <c r="C4617" s="165"/>
      <c r="D4617" s="94"/>
    </row>
    <row r="4618">
      <c r="A4618" s="87"/>
      <c r="B4618" s="165"/>
      <c r="C4618" s="165"/>
      <c r="D4618" s="94"/>
    </row>
    <row r="4619">
      <c r="A4619" s="87"/>
      <c r="B4619" s="165"/>
      <c r="C4619" s="165"/>
      <c r="D4619" s="94"/>
    </row>
    <row r="4620">
      <c r="A4620" s="87"/>
      <c r="B4620" s="165"/>
      <c r="C4620" s="165"/>
      <c r="D4620" s="94"/>
    </row>
    <row r="4621">
      <c r="A4621" s="87"/>
      <c r="B4621" s="165"/>
      <c r="C4621" s="165"/>
      <c r="D4621" s="94"/>
    </row>
    <row r="4622">
      <c r="A4622" s="87"/>
      <c r="B4622" s="165"/>
      <c r="C4622" s="165"/>
      <c r="D4622" s="94"/>
    </row>
    <row r="4623">
      <c r="A4623" s="87"/>
      <c r="B4623" s="165"/>
      <c r="C4623" s="165"/>
      <c r="D4623" s="94"/>
    </row>
    <row r="4624">
      <c r="A4624" s="87"/>
      <c r="B4624" s="165"/>
      <c r="C4624" s="165"/>
      <c r="D4624" s="94"/>
    </row>
    <row r="4625">
      <c r="A4625" s="87"/>
      <c r="B4625" s="165"/>
      <c r="C4625" s="165"/>
      <c r="D4625" s="94"/>
    </row>
    <row r="4626">
      <c r="A4626" s="87"/>
      <c r="B4626" s="165"/>
      <c r="C4626" s="165"/>
      <c r="D4626" s="94"/>
    </row>
    <row r="4627">
      <c r="A4627" s="87"/>
      <c r="B4627" s="165"/>
      <c r="C4627" s="165"/>
      <c r="D4627" s="94"/>
    </row>
    <row r="4628">
      <c r="A4628" s="87"/>
      <c r="B4628" s="165"/>
      <c r="C4628" s="165"/>
      <c r="D4628" s="94"/>
    </row>
    <row r="4629">
      <c r="A4629" s="87"/>
      <c r="B4629" s="165"/>
      <c r="C4629" s="165"/>
      <c r="D4629" s="94"/>
    </row>
    <row r="4630">
      <c r="A4630" s="87"/>
      <c r="B4630" s="165"/>
      <c r="C4630" s="165"/>
      <c r="D4630" s="94"/>
    </row>
    <row r="4631">
      <c r="A4631" s="87"/>
      <c r="B4631" s="165"/>
      <c r="C4631" s="165"/>
      <c r="D4631" s="94"/>
    </row>
    <row r="4632">
      <c r="A4632" s="87"/>
      <c r="B4632" s="165"/>
      <c r="C4632" s="165"/>
      <c r="D4632" s="94"/>
    </row>
    <row r="4633">
      <c r="A4633" s="87"/>
      <c r="B4633" s="165"/>
      <c r="C4633" s="165"/>
      <c r="D4633" s="94"/>
    </row>
    <row r="4634">
      <c r="A4634" s="87"/>
      <c r="B4634" s="165"/>
      <c r="C4634" s="165"/>
      <c r="D4634" s="94"/>
    </row>
    <row r="4635">
      <c r="A4635" s="87"/>
      <c r="B4635" s="165"/>
      <c r="C4635" s="165"/>
      <c r="D4635" s="94"/>
    </row>
    <row r="4636">
      <c r="A4636" s="87"/>
      <c r="B4636" s="165"/>
      <c r="C4636" s="165"/>
      <c r="D4636" s="94"/>
    </row>
    <row r="4637">
      <c r="A4637" s="87"/>
      <c r="B4637" s="165"/>
      <c r="C4637" s="165"/>
      <c r="D4637" s="94"/>
    </row>
    <row r="4638">
      <c r="A4638" s="87"/>
      <c r="B4638" s="165"/>
      <c r="C4638" s="165"/>
      <c r="D4638" s="94"/>
    </row>
    <row r="4639">
      <c r="A4639" s="87"/>
      <c r="B4639" s="165"/>
      <c r="C4639" s="165"/>
      <c r="D4639" s="94"/>
    </row>
    <row r="4640">
      <c r="A4640" s="87"/>
      <c r="B4640" s="165"/>
      <c r="C4640" s="165"/>
      <c r="D4640" s="94"/>
    </row>
    <row r="4641">
      <c r="A4641" s="87"/>
      <c r="B4641" s="165"/>
      <c r="C4641" s="165"/>
      <c r="D4641" s="94"/>
    </row>
    <row r="4642">
      <c r="A4642" s="87"/>
      <c r="B4642" s="165"/>
      <c r="C4642" s="165"/>
      <c r="D4642" s="94"/>
    </row>
    <row r="4643">
      <c r="A4643" s="87"/>
      <c r="B4643" s="165"/>
      <c r="C4643" s="165"/>
      <c r="D4643" s="94"/>
    </row>
    <row r="4644">
      <c r="A4644" s="87"/>
      <c r="B4644" s="165"/>
      <c r="C4644" s="165"/>
      <c r="D4644" s="94"/>
    </row>
    <row r="4645">
      <c r="A4645" s="87"/>
      <c r="B4645" s="165"/>
      <c r="C4645" s="165"/>
      <c r="D4645" s="94"/>
    </row>
    <row r="4646">
      <c r="A4646" s="87"/>
      <c r="B4646" s="165"/>
      <c r="C4646" s="165"/>
      <c r="D4646" s="94"/>
    </row>
    <row r="4647">
      <c r="A4647" s="87"/>
      <c r="B4647" s="165"/>
      <c r="C4647" s="165"/>
      <c r="D4647" s="94"/>
    </row>
    <row r="4648">
      <c r="A4648" s="87"/>
      <c r="B4648" s="165"/>
      <c r="C4648" s="165"/>
      <c r="D4648" s="94"/>
    </row>
    <row r="4649">
      <c r="A4649" s="87"/>
      <c r="B4649" s="165"/>
      <c r="C4649" s="165"/>
      <c r="D4649" s="94"/>
    </row>
    <row r="4650">
      <c r="A4650" s="87"/>
      <c r="B4650" s="165"/>
      <c r="C4650" s="165"/>
      <c r="D4650" s="94"/>
    </row>
    <row r="4651">
      <c r="A4651" s="87"/>
      <c r="B4651" s="165"/>
      <c r="C4651" s="165"/>
      <c r="D4651" s="94"/>
    </row>
    <row r="4652">
      <c r="A4652" s="87"/>
      <c r="B4652" s="165"/>
      <c r="C4652" s="165"/>
      <c r="D4652" s="94"/>
    </row>
    <row r="4653">
      <c r="A4653" s="87"/>
      <c r="B4653" s="165"/>
      <c r="C4653" s="165"/>
      <c r="D4653" s="94"/>
    </row>
    <row r="4654">
      <c r="A4654" s="87"/>
      <c r="B4654" s="165"/>
      <c r="C4654" s="165"/>
      <c r="D4654" s="94"/>
    </row>
    <row r="4655">
      <c r="A4655" s="87"/>
      <c r="B4655" s="165"/>
      <c r="C4655" s="165"/>
      <c r="D4655" s="94"/>
    </row>
    <row r="4656">
      <c r="A4656" s="87"/>
      <c r="B4656" s="165"/>
      <c r="C4656" s="165"/>
      <c r="D4656" s="94"/>
    </row>
    <row r="4657">
      <c r="A4657" s="87"/>
      <c r="B4657" s="165"/>
      <c r="C4657" s="165"/>
      <c r="D4657" s="94"/>
    </row>
    <row r="4658">
      <c r="A4658" s="87"/>
      <c r="B4658" s="165"/>
      <c r="C4658" s="165"/>
      <c r="D4658" s="94"/>
    </row>
    <row r="4659">
      <c r="A4659" s="87"/>
      <c r="B4659" s="165"/>
      <c r="C4659" s="165"/>
      <c r="D4659" s="94"/>
    </row>
    <row r="4660">
      <c r="A4660" s="87"/>
      <c r="B4660" s="165"/>
      <c r="C4660" s="165"/>
      <c r="D4660" s="94"/>
    </row>
    <row r="4661">
      <c r="A4661" s="87"/>
      <c r="B4661" s="165"/>
      <c r="C4661" s="165"/>
      <c r="D4661" s="94"/>
    </row>
    <row r="4662">
      <c r="A4662" s="87"/>
      <c r="B4662" s="165"/>
      <c r="C4662" s="165"/>
      <c r="D4662" s="94"/>
    </row>
    <row r="4663">
      <c r="A4663" s="87"/>
      <c r="B4663" s="165"/>
      <c r="C4663" s="165"/>
      <c r="D4663" s="94"/>
    </row>
    <row r="4664">
      <c r="A4664" s="87"/>
      <c r="B4664" s="165"/>
      <c r="C4664" s="165"/>
      <c r="D4664" s="94"/>
    </row>
    <row r="4665">
      <c r="A4665" s="87"/>
      <c r="B4665" s="165"/>
      <c r="C4665" s="165"/>
      <c r="D4665" s="94"/>
    </row>
    <row r="4666">
      <c r="A4666" s="87"/>
      <c r="B4666" s="165"/>
      <c r="C4666" s="165"/>
      <c r="D4666" s="94"/>
    </row>
    <row r="4667">
      <c r="A4667" s="87"/>
      <c r="B4667" s="165"/>
      <c r="C4667" s="165"/>
      <c r="D4667" s="94"/>
    </row>
    <row r="4668">
      <c r="A4668" s="87"/>
      <c r="B4668" s="165"/>
      <c r="C4668" s="165"/>
      <c r="D4668" s="94"/>
    </row>
    <row r="4669">
      <c r="A4669" s="87"/>
      <c r="B4669" s="165"/>
      <c r="C4669" s="165"/>
      <c r="D4669" s="94"/>
    </row>
    <row r="4670">
      <c r="A4670" s="87"/>
      <c r="B4670" s="165"/>
      <c r="C4670" s="165"/>
      <c r="D4670" s="94"/>
    </row>
    <row r="4671">
      <c r="A4671" s="87"/>
      <c r="B4671" s="165"/>
      <c r="C4671" s="165"/>
      <c r="D4671" s="94"/>
    </row>
    <row r="4672">
      <c r="A4672" s="87"/>
      <c r="B4672" s="165"/>
      <c r="C4672" s="165"/>
      <c r="D4672" s="94"/>
    </row>
    <row r="4673">
      <c r="A4673" s="87"/>
      <c r="B4673" s="165"/>
      <c r="C4673" s="165"/>
      <c r="D4673" s="94"/>
    </row>
    <row r="4674">
      <c r="A4674" s="87"/>
      <c r="B4674" s="165"/>
      <c r="C4674" s="165"/>
      <c r="D4674" s="94"/>
    </row>
    <row r="4675">
      <c r="A4675" s="87"/>
      <c r="B4675" s="165"/>
      <c r="C4675" s="165"/>
      <c r="D4675" s="94"/>
    </row>
    <row r="4676">
      <c r="A4676" s="87"/>
      <c r="B4676" s="165"/>
      <c r="C4676" s="165"/>
      <c r="D4676" s="94"/>
    </row>
    <row r="4677">
      <c r="A4677" s="87"/>
      <c r="B4677" s="165"/>
      <c r="C4677" s="165"/>
      <c r="D4677" s="94"/>
    </row>
    <row r="4678">
      <c r="A4678" s="87"/>
      <c r="B4678" s="165"/>
      <c r="C4678" s="165"/>
      <c r="D4678" s="94"/>
    </row>
    <row r="4679">
      <c r="A4679" s="87"/>
      <c r="B4679" s="165"/>
      <c r="C4679" s="165"/>
      <c r="D4679" s="94"/>
    </row>
    <row r="4680">
      <c r="A4680" s="87"/>
      <c r="B4680" s="165"/>
      <c r="C4680" s="165"/>
      <c r="D4680" s="94"/>
    </row>
    <row r="4681">
      <c r="A4681" s="87"/>
      <c r="B4681" s="165"/>
      <c r="C4681" s="165"/>
      <c r="D4681" s="94"/>
    </row>
    <row r="4682">
      <c r="A4682" s="87"/>
      <c r="B4682" s="165"/>
      <c r="C4682" s="165"/>
      <c r="D4682" s="94"/>
    </row>
    <row r="4683">
      <c r="A4683" s="87"/>
      <c r="B4683" s="165"/>
      <c r="C4683" s="165"/>
      <c r="D4683" s="94"/>
    </row>
    <row r="4684">
      <c r="A4684" s="87"/>
      <c r="B4684" s="165"/>
      <c r="C4684" s="165"/>
      <c r="D4684" s="94"/>
    </row>
    <row r="4685">
      <c r="A4685" s="87"/>
      <c r="B4685" s="165"/>
      <c r="C4685" s="165"/>
      <c r="D4685" s="94"/>
    </row>
    <row r="4686">
      <c r="A4686" s="87"/>
      <c r="B4686" s="165"/>
      <c r="C4686" s="165"/>
      <c r="D4686" s="94"/>
    </row>
    <row r="4687">
      <c r="A4687" s="87"/>
      <c r="B4687" s="165"/>
      <c r="C4687" s="165"/>
      <c r="D4687" s="94"/>
    </row>
    <row r="4688">
      <c r="A4688" s="87"/>
      <c r="B4688" s="165"/>
      <c r="C4688" s="165"/>
      <c r="D4688" s="94"/>
    </row>
    <row r="4689">
      <c r="A4689" s="87"/>
      <c r="B4689" s="165"/>
      <c r="C4689" s="165"/>
      <c r="D4689" s="94"/>
    </row>
    <row r="4690">
      <c r="A4690" s="87"/>
      <c r="B4690" s="165"/>
      <c r="C4690" s="165"/>
      <c r="D4690" s="94"/>
    </row>
    <row r="4691">
      <c r="A4691" s="87"/>
      <c r="B4691" s="165"/>
      <c r="C4691" s="165"/>
      <c r="D4691" s="94"/>
    </row>
    <row r="4692">
      <c r="A4692" s="87"/>
      <c r="B4692" s="165"/>
      <c r="C4692" s="165"/>
      <c r="D4692" s="94"/>
    </row>
    <row r="4693">
      <c r="A4693" s="87"/>
      <c r="B4693" s="165"/>
      <c r="C4693" s="165"/>
      <c r="D4693" s="94"/>
    </row>
    <row r="4694">
      <c r="A4694" s="87"/>
      <c r="B4694" s="165"/>
      <c r="C4694" s="165"/>
      <c r="D4694" s="94"/>
    </row>
    <row r="4695">
      <c r="A4695" s="87"/>
      <c r="B4695" s="165"/>
      <c r="C4695" s="165"/>
      <c r="D4695" s="94"/>
    </row>
    <row r="4696">
      <c r="A4696" s="87"/>
      <c r="B4696" s="165"/>
      <c r="C4696" s="165"/>
      <c r="D4696" s="94"/>
    </row>
    <row r="4697">
      <c r="A4697" s="87"/>
      <c r="B4697" s="165"/>
      <c r="C4697" s="165"/>
      <c r="D4697" s="94"/>
    </row>
    <row r="4698">
      <c r="A4698" s="87"/>
      <c r="B4698" s="165"/>
      <c r="C4698" s="165"/>
      <c r="D4698" s="94"/>
    </row>
    <row r="4699">
      <c r="A4699" s="87"/>
      <c r="B4699" s="165"/>
      <c r="C4699" s="165"/>
      <c r="D4699" s="94"/>
    </row>
    <row r="4700">
      <c r="A4700" s="87"/>
      <c r="B4700" s="165"/>
      <c r="C4700" s="165"/>
      <c r="D4700" s="94"/>
    </row>
    <row r="4701">
      <c r="A4701" s="87"/>
      <c r="B4701" s="165"/>
      <c r="C4701" s="165"/>
      <c r="D4701" s="94"/>
    </row>
    <row r="4702">
      <c r="A4702" s="87"/>
      <c r="B4702" s="165"/>
      <c r="C4702" s="165"/>
      <c r="D4702" s="94"/>
    </row>
    <row r="4703">
      <c r="A4703" s="87"/>
      <c r="B4703" s="165"/>
      <c r="C4703" s="165"/>
      <c r="D4703" s="94"/>
    </row>
    <row r="4704">
      <c r="A4704" s="87"/>
      <c r="B4704" s="165"/>
      <c r="C4704" s="165"/>
      <c r="D4704" s="94"/>
    </row>
    <row r="4705">
      <c r="A4705" s="87"/>
      <c r="B4705" s="165"/>
      <c r="C4705" s="165"/>
      <c r="D4705" s="94"/>
    </row>
    <row r="4706">
      <c r="A4706" s="87"/>
      <c r="B4706" s="165"/>
      <c r="C4706" s="165"/>
      <c r="D4706" s="94"/>
    </row>
    <row r="4707">
      <c r="A4707" s="87"/>
      <c r="B4707" s="165"/>
      <c r="C4707" s="165"/>
      <c r="D4707" s="94"/>
    </row>
    <row r="4708">
      <c r="A4708" s="87"/>
      <c r="B4708" s="165"/>
      <c r="C4708" s="165"/>
      <c r="D4708" s="94"/>
    </row>
    <row r="4709">
      <c r="A4709" s="87"/>
      <c r="B4709" s="165"/>
      <c r="C4709" s="165"/>
      <c r="D4709" s="94"/>
    </row>
    <row r="4710">
      <c r="A4710" s="87"/>
      <c r="B4710" s="165"/>
      <c r="C4710" s="165"/>
      <c r="D4710" s="94"/>
    </row>
    <row r="4711">
      <c r="A4711" s="87"/>
      <c r="B4711" s="165"/>
      <c r="C4711" s="165"/>
      <c r="D4711" s="94"/>
    </row>
    <row r="4712">
      <c r="A4712" s="87"/>
      <c r="B4712" s="165"/>
      <c r="C4712" s="165"/>
      <c r="D4712" s="94"/>
    </row>
    <row r="4713">
      <c r="A4713" s="87"/>
      <c r="B4713" s="165"/>
      <c r="C4713" s="165"/>
      <c r="D4713" s="94"/>
    </row>
    <row r="4714">
      <c r="A4714" s="87"/>
      <c r="B4714" s="165"/>
      <c r="C4714" s="165"/>
      <c r="D4714" s="94"/>
    </row>
    <row r="4715">
      <c r="A4715" s="87"/>
      <c r="B4715" s="165"/>
      <c r="C4715" s="165"/>
      <c r="D4715" s="94"/>
    </row>
    <row r="4716">
      <c r="A4716" s="87"/>
      <c r="B4716" s="165"/>
      <c r="C4716" s="165"/>
      <c r="D4716" s="94"/>
    </row>
    <row r="4717">
      <c r="A4717" s="87"/>
      <c r="B4717" s="165"/>
      <c r="C4717" s="165"/>
      <c r="D4717" s="94"/>
    </row>
    <row r="4718">
      <c r="A4718" s="87"/>
      <c r="B4718" s="165"/>
      <c r="C4718" s="165"/>
      <c r="D4718" s="94"/>
    </row>
    <row r="4719">
      <c r="A4719" s="87"/>
      <c r="B4719" s="165"/>
      <c r="C4719" s="165"/>
      <c r="D4719" s="94"/>
    </row>
    <row r="4720">
      <c r="A4720" s="87"/>
      <c r="B4720" s="165"/>
      <c r="C4720" s="165"/>
      <c r="D4720" s="94"/>
    </row>
    <row r="4721">
      <c r="A4721" s="87"/>
      <c r="B4721" s="165"/>
      <c r="C4721" s="165"/>
      <c r="D4721" s="94"/>
    </row>
    <row r="4722">
      <c r="A4722" s="87"/>
      <c r="B4722" s="165"/>
      <c r="C4722" s="165"/>
      <c r="D4722" s="94"/>
    </row>
    <row r="4723">
      <c r="A4723" s="87"/>
      <c r="B4723" s="165"/>
      <c r="C4723" s="165"/>
      <c r="D4723" s="94"/>
    </row>
    <row r="4724">
      <c r="A4724" s="87"/>
      <c r="B4724" s="165"/>
      <c r="C4724" s="165"/>
      <c r="D4724" s="94"/>
    </row>
    <row r="4725">
      <c r="A4725" s="87"/>
      <c r="B4725" s="165"/>
      <c r="C4725" s="165"/>
      <c r="D4725" s="94"/>
    </row>
    <row r="4726">
      <c r="A4726" s="87"/>
      <c r="B4726" s="165"/>
      <c r="C4726" s="165"/>
      <c r="D4726" s="94"/>
    </row>
    <row r="4727">
      <c r="A4727" s="87"/>
      <c r="B4727" s="165"/>
      <c r="C4727" s="165"/>
      <c r="D4727" s="94"/>
    </row>
    <row r="4728">
      <c r="A4728" s="87"/>
      <c r="B4728" s="165"/>
      <c r="C4728" s="165"/>
      <c r="D4728" s="94"/>
    </row>
    <row r="4729">
      <c r="A4729" s="87"/>
      <c r="B4729" s="165"/>
      <c r="C4729" s="165"/>
      <c r="D4729" s="94"/>
    </row>
    <row r="4730">
      <c r="A4730" s="87"/>
      <c r="B4730" s="165"/>
      <c r="C4730" s="165"/>
      <c r="D4730" s="94"/>
    </row>
    <row r="4731">
      <c r="A4731" s="87"/>
      <c r="B4731" s="165"/>
      <c r="C4731" s="165"/>
      <c r="D4731" s="94"/>
    </row>
    <row r="4732">
      <c r="A4732" s="87"/>
      <c r="B4732" s="165"/>
      <c r="C4732" s="165"/>
      <c r="D4732" s="94"/>
    </row>
    <row r="4733">
      <c r="A4733" s="87"/>
      <c r="B4733" s="165"/>
      <c r="C4733" s="165"/>
      <c r="D4733" s="94"/>
    </row>
    <row r="4734">
      <c r="A4734" s="87"/>
      <c r="B4734" s="165"/>
      <c r="C4734" s="165"/>
      <c r="D4734" s="94"/>
    </row>
    <row r="4735">
      <c r="A4735" s="87"/>
      <c r="B4735" s="165"/>
      <c r="C4735" s="165"/>
      <c r="D4735" s="94"/>
    </row>
    <row r="4736">
      <c r="A4736" s="87"/>
      <c r="B4736" s="165"/>
      <c r="C4736" s="165"/>
      <c r="D4736" s="94"/>
    </row>
    <row r="4737">
      <c r="A4737" s="87"/>
      <c r="B4737" s="165"/>
      <c r="C4737" s="165"/>
      <c r="D4737" s="94"/>
    </row>
    <row r="4738">
      <c r="A4738" s="87"/>
      <c r="B4738" s="165"/>
      <c r="C4738" s="165"/>
      <c r="D4738" s="94"/>
    </row>
    <row r="4739">
      <c r="A4739" s="87"/>
      <c r="B4739" s="165"/>
      <c r="C4739" s="165"/>
      <c r="D4739" s="94"/>
    </row>
    <row r="4740">
      <c r="A4740" s="87"/>
      <c r="B4740" s="165"/>
      <c r="C4740" s="165"/>
      <c r="D4740" s="94"/>
    </row>
    <row r="4741">
      <c r="A4741" s="87"/>
      <c r="B4741" s="165"/>
      <c r="C4741" s="165"/>
      <c r="D4741" s="94"/>
    </row>
    <row r="4742">
      <c r="A4742" s="87"/>
      <c r="B4742" s="165"/>
      <c r="C4742" s="165"/>
      <c r="D4742" s="94"/>
    </row>
    <row r="4743">
      <c r="A4743" s="87"/>
      <c r="B4743" s="165"/>
      <c r="C4743" s="165"/>
      <c r="D4743" s="94"/>
    </row>
    <row r="4744">
      <c r="A4744" s="87"/>
      <c r="B4744" s="165"/>
      <c r="C4744" s="165"/>
      <c r="D4744" s="94"/>
    </row>
    <row r="4745">
      <c r="A4745" s="87"/>
      <c r="B4745" s="165"/>
      <c r="C4745" s="165"/>
      <c r="D4745" s="94"/>
    </row>
    <row r="4746">
      <c r="A4746" s="87"/>
      <c r="B4746" s="165"/>
      <c r="C4746" s="165"/>
      <c r="D4746" s="94"/>
    </row>
    <row r="4747">
      <c r="A4747" s="87"/>
      <c r="B4747" s="165"/>
      <c r="C4747" s="165"/>
      <c r="D4747" s="94"/>
    </row>
    <row r="4748">
      <c r="A4748" s="87"/>
      <c r="B4748" s="165"/>
      <c r="C4748" s="165"/>
      <c r="D4748" s="94"/>
    </row>
    <row r="4749">
      <c r="A4749" s="87"/>
      <c r="B4749" s="165"/>
      <c r="C4749" s="165"/>
      <c r="D4749" s="94"/>
    </row>
    <row r="4750">
      <c r="A4750" s="87"/>
      <c r="B4750" s="165"/>
      <c r="C4750" s="165"/>
      <c r="D4750" s="94"/>
    </row>
    <row r="4751">
      <c r="A4751" s="87"/>
      <c r="B4751" s="165"/>
      <c r="C4751" s="165"/>
      <c r="D4751" s="94"/>
    </row>
    <row r="4752">
      <c r="A4752" s="87"/>
      <c r="B4752" s="165"/>
      <c r="C4752" s="165"/>
      <c r="D4752" s="94"/>
    </row>
    <row r="4753">
      <c r="A4753" s="87"/>
      <c r="B4753" s="165"/>
      <c r="C4753" s="165"/>
      <c r="D4753" s="94"/>
    </row>
    <row r="4754">
      <c r="A4754" s="87"/>
      <c r="B4754" s="165"/>
      <c r="C4754" s="165"/>
      <c r="D4754" s="94"/>
    </row>
    <row r="4755">
      <c r="A4755" s="87"/>
      <c r="B4755" s="165"/>
      <c r="C4755" s="165"/>
      <c r="D4755" s="94"/>
    </row>
    <row r="4756">
      <c r="A4756" s="87"/>
      <c r="B4756" s="165"/>
      <c r="C4756" s="165"/>
      <c r="D4756" s="94"/>
    </row>
    <row r="4757">
      <c r="A4757" s="87"/>
      <c r="B4757" s="165"/>
      <c r="C4757" s="165"/>
      <c r="D4757" s="94"/>
    </row>
    <row r="4758">
      <c r="A4758" s="87"/>
      <c r="B4758" s="165"/>
      <c r="C4758" s="165"/>
      <c r="D4758" s="94"/>
    </row>
    <row r="4759">
      <c r="A4759" s="87"/>
      <c r="B4759" s="165"/>
      <c r="C4759" s="165"/>
      <c r="D4759" s="94"/>
    </row>
    <row r="4760">
      <c r="A4760" s="87"/>
      <c r="B4760" s="165"/>
      <c r="C4760" s="165"/>
      <c r="D4760" s="94"/>
    </row>
    <row r="4761">
      <c r="A4761" s="87"/>
      <c r="B4761" s="165"/>
      <c r="C4761" s="165"/>
      <c r="D4761" s="94"/>
    </row>
    <row r="4762">
      <c r="A4762" s="87"/>
      <c r="B4762" s="165"/>
      <c r="C4762" s="165"/>
      <c r="D4762" s="94"/>
    </row>
    <row r="4763">
      <c r="A4763" s="87"/>
      <c r="B4763" s="165"/>
      <c r="C4763" s="165"/>
      <c r="D4763" s="94"/>
    </row>
    <row r="4764">
      <c r="A4764" s="87"/>
      <c r="B4764" s="165"/>
      <c r="C4764" s="165"/>
      <c r="D4764" s="94"/>
    </row>
    <row r="4765">
      <c r="A4765" s="87"/>
      <c r="B4765" s="165"/>
      <c r="C4765" s="165"/>
      <c r="D4765" s="94"/>
    </row>
    <row r="4766">
      <c r="A4766" s="87"/>
      <c r="B4766" s="165"/>
      <c r="C4766" s="165"/>
      <c r="D4766" s="94"/>
    </row>
    <row r="4767">
      <c r="A4767" s="87"/>
      <c r="B4767" s="165"/>
      <c r="C4767" s="165"/>
      <c r="D4767" s="94"/>
    </row>
    <row r="4768">
      <c r="A4768" s="87"/>
      <c r="B4768" s="165"/>
      <c r="C4768" s="165"/>
      <c r="D4768" s="94"/>
    </row>
    <row r="4769">
      <c r="A4769" s="87"/>
      <c r="B4769" s="165"/>
      <c r="C4769" s="165"/>
      <c r="D4769" s="94"/>
    </row>
    <row r="4770">
      <c r="A4770" s="87"/>
      <c r="B4770" s="165"/>
      <c r="C4770" s="165"/>
      <c r="D4770" s="94"/>
    </row>
    <row r="4771">
      <c r="A4771" s="87"/>
      <c r="B4771" s="165"/>
      <c r="C4771" s="165"/>
      <c r="D4771" s="94"/>
    </row>
    <row r="4772">
      <c r="A4772" s="87"/>
      <c r="B4772" s="165"/>
      <c r="C4772" s="165"/>
      <c r="D4772" s="94"/>
    </row>
    <row r="4773">
      <c r="A4773" s="87"/>
      <c r="B4773" s="165"/>
      <c r="C4773" s="165"/>
      <c r="D4773" s="94"/>
    </row>
    <row r="4774">
      <c r="A4774" s="87"/>
      <c r="B4774" s="165"/>
      <c r="C4774" s="165"/>
      <c r="D4774" s="94"/>
    </row>
    <row r="4775">
      <c r="A4775" s="87"/>
      <c r="B4775" s="165"/>
      <c r="C4775" s="165"/>
      <c r="D4775" s="94"/>
    </row>
    <row r="4776">
      <c r="A4776" s="87"/>
      <c r="B4776" s="165"/>
      <c r="C4776" s="165"/>
      <c r="D4776" s="94"/>
    </row>
    <row r="4777">
      <c r="A4777" s="87"/>
      <c r="B4777" s="165"/>
      <c r="C4777" s="165"/>
      <c r="D4777" s="94"/>
    </row>
    <row r="4778">
      <c r="A4778" s="87"/>
      <c r="B4778" s="165"/>
      <c r="C4778" s="165"/>
      <c r="D4778" s="94"/>
    </row>
    <row r="4779">
      <c r="A4779" s="87"/>
      <c r="B4779" s="165"/>
      <c r="C4779" s="165"/>
      <c r="D4779" s="94"/>
    </row>
    <row r="4780">
      <c r="A4780" s="87"/>
      <c r="B4780" s="165"/>
      <c r="C4780" s="165"/>
      <c r="D4780" s="94"/>
    </row>
    <row r="4781">
      <c r="A4781" s="87"/>
      <c r="B4781" s="165"/>
      <c r="C4781" s="165"/>
      <c r="D4781" s="94"/>
    </row>
    <row r="4782">
      <c r="A4782" s="87"/>
      <c r="B4782" s="165"/>
      <c r="C4782" s="165"/>
      <c r="D4782" s="94"/>
    </row>
    <row r="4783">
      <c r="A4783" s="87"/>
      <c r="B4783" s="165"/>
      <c r="C4783" s="165"/>
      <c r="D4783" s="94"/>
    </row>
    <row r="4784">
      <c r="A4784" s="87"/>
      <c r="B4784" s="165"/>
      <c r="C4784" s="165"/>
      <c r="D4784" s="94"/>
    </row>
    <row r="4785">
      <c r="A4785" s="87"/>
      <c r="B4785" s="165"/>
      <c r="C4785" s="165"/>
      <c r="D4785" s="94"/>
    </row>
    <row r="4786">
      <c r="A4786" s="87"/>
      <c r="B4786" s="165"/>
      <c r="C4786" s="165"/>
      <c r="D4786" s="94"/>
    </row>
    <row r="4787">
      <c r="A4787" s="87"/>
      <c r="B4787" s="165"/>
      <c r="C4787" s="165"/>
      <c r="D4787" s="94"/>
    </row>
    <row r="4788">
      <c r="A4788" s="87"/>
      <c r="B4788" s="165"/>
      <c r="C4788" s="165"/>
      <c r="D4788" s="94"/>
    </row>
    <row r="4789">
      <c r="A4789" s="87"/>
      <c r="B4789" s="165"/>
      <c r="C4789" s="165"/>
      <c r="D4789" s="94"/>
    </row>
    <row r="4790">
      <c r="A4790" s="87"/>
      <c r="B4790" s="165"/>
      <c r="C4790" s="165"/>
      <c r="D4790" s="94"/>
    </row>
    <row r="4791">
      <c r="A4791" s="87"/>
      <c r="B4791" s="165"/>
      <c r="C4791" s="165"/>
      <c r="D4791" s="94"/>
    </row>
    <row r="4792">
      <c r="A4792" s="87"/>
      <c r="B4792" s="165"/>
      <c r="C4792" s="165"/>
      <c r="D4792" s="94"/>
    </row>
    <row r="4793">
      <c r="A4793" s="87"/>
      <c r="B4793" s="165"/>
      <c r="C4793" s="165"/>
      <c r="D4793" s="94"/>
    </row>
    <row r="4794">
      <c r="A4794" s="87"/>
      <c r="B4794" s="165"/>
      <c r="C4794" s="165"/>
      <c r="D4794" s="94"/>
    </row>
    <row r="4795">
      <c r="A4795" s="87"/>
      <c r="B4795" s="165"/>
      <c r="C4795" s="165"/>
      <c r="D4795" s="94"/>
    </row>
    <row r="4796">
      <c r="A4796" s="87"/>
      <c r="B4796" s="165"/>
      <c r="C4796" s="165"/>
      <c r="D4796" s="94"/>
    </row>
    <row r="4797">
      <c r="A4797" s="87"/>
      <c r="B4797" s="165"/>
      <c r="C4797" s="165"/>
      <c r="D4797" s="94"/>
    </row>
    <row r="4798">
      <c r="A4798" s="87"/>
      <c r="B4798" s="165"/>
      <c r="C4798" s="165"/>
      <c r="D4798" s="94"/>
    </row>
    <row r="4799">
      <c r="A4799" s="87"/>
      <c r="B4799" s="165"/>
      <c r="C4799" s="165"/>
      <c r="D4799" s="94"/>
    </row>
    <row r="4800">
      <c r="A4800" s="87"/>
      <c r="B4800" s="165"/>
      <c r="C4800" s="165"/>
      <c r="D4800" s="94"/>
    </row>
    <row r="4801">
      <c r="A4801" s="87"/>
      <c r="B4801" s="165"/>
      <c r="C4801" s="165"/>
      <c r="D4801" s="94"/>
    </row>
    <row r="4802">
      <c r="A4802" s="87"/>
      <c r="B4802" s="165"/>
      <c r="C4802" s="165"/>
      <c r="D4802" s="94"/>
    </row>
    <row r="4803">
      <c r="A4803" s="87"/>
      <c r="B4803" s="165"/>
      <c r="C4803" s="165"/>
      <c r="D4803" s="94"/>
    </row>
    <row r="4804">
      <c r="A4804" s="87"/>
      <c r="B4804" s="165"/>
      <c r="C4804" s="165"/>
      <c r="D4804" s="94"/>
    </row>
    <row r="4805">
      <c r="A4805" s="87"/>
      <c r="B4805" s="165"/>
      <c r="C4805" s="165"/>
      <c r="D4805" s="9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0"/>
  </cols>
  <sheetData>
    <row r="1">
      <c r="A1" s="87" t="str">
        <f>IFERROR(__xludf.DUMMYFUNCTION("IMPORTRANGE(""https://docs.google.com/spreadsheets/d/10nrArtKFHLIJKC2sUfDzfj4Ejf-FxrJ-NY954fXdMD0/edit#gid=778135825"",""BisaEksporBisaJurnal!A:A"")"),"")</f>
        <v/>
      </c>
    </row>
    <row r="2">
      <c r="A2" s="87" t="str">
        <f>IFERROR(__xludf.DUMMYFUNCTION("""COMPUTED_VALUE"""),"Adjustment")</f>
        <v>Adjustment</v>
      </c>
    </row>
    <row r="3">
      <c r="A3" s="87" t="str">
        <f>IFERROR(__xludf.DUMMYFUNCTION("""COMPUTED_VALUE"""),"Beban Gaji Mbak Dwi")</f>
        <v>Beban Gaji Mbak Dwi</v>
      </c>
    </row>
    <row r="4">
      <c r="A4" s="87" t="str">
        <f>IFERROR(__xludf.DUMMYFUNCTION("""COMPUTED_VALUE"""),"Beban Gaji Ujreng")</f>
        <v>Beban Gaji Ujreng</v>
      </c>
    </row>
    <row r="5">
      <c r="A5" s="87" t="str">
        <f>IFERROR(__xludf.DUMMYFUNCTION("""COMPUTED_VALUE"""),"Beban Hilang ITBISA-7SEGMENT-ANODE-RED-0.56-1BIT")</f>
        <v>Beban Hilang ITBISA-7SEGMENT-ANODE-RED-0.56-1BIT</v>
      </c>
    </row>
    <row r="6">
      <c r="A6" s="87" t="str">
        <f>IFERROR(__xludf.DUMMYFUNCTION("""COMPUTED_VALUE"""),"Beban Hilang ITBISA-7SEGMENT-CATHODE-RED-0.56-1BIT")</f>
        <v>Beban Hilang ITBISA-7SEGMENT-CATHODE-RED-0.56-1BIT</v>
      </c>
    </row>
    <row r="7">
      <c r="A7" s="87" t="str">
        <f>IFERROR(__xludf.DUMMYFUNCTION("""COMPUTED_VALUE"""),"Beban Hilang ITBISA-7SEGMENT-CATHODE-RED-1.20-1BIT")</f>
        <v>Beban Hilang ITBISA-7SEGMENT-CATHODE-RED-1.20-1BIT</v>
      </c>
    </row>
    <row r="8">
      <c r="A8" s="87" t="str">
        <f>IFERROR(__xludf.DUMMYFUNCTION("""COMPUTED_VALUE"""),"Beban Hilang ITBISA-ABC-BATERAI-AA-ALKALINE")</f>
        <v>Beban Hilang ITBISA-ABC-BATERAI-AA-ALKALINE</v>
      </c>
    </row>
    <row r="9">
      <c r="A9" s="87" t="str">
        <f>IFERROR(__xludf.DUMMYFUNCTION("""COMPUTED_VALUE"""),"Beban Hilang ITBISA-BLUETOOTH-MODULE-HC05")</f>
        <v>Beban Hilang ITBISA-BLUETOOTH-MODULE-HC05</v>
      </c>
    </row>
    <row r="10">
      <c r="A10" s="87" t="str">
        <f>IFERROR(__xludf.DUMMYFUNCTION("""COMPUTED_VALUE"""),"Beban Hilang ITBISA-BREADBOARD-830HOLE-MB102")</f>
        <v>Beban Hilang ITBISA-BREADBOARD-830HOLE-MB102</v>
      </c>
    </row>
    <row r="11">
      <c r="A11" s="87" t="str">
        <f>IFERROR(__xludf.DUMMYFUNCTION("""COMPUTED_VALUE"""),"Beban Hilang ITBISA-BUBBLE-WRAP")</f>
        <v>Beban Hilang ITBISA-BUBBLE-WRAP</v>
      </c>
    </row>
    <row r="12">
      <c r="A12" s="87" t="str">
        <f>IFERROR(__xludf.DUMMYFUNCTION("""COMPUTED_VALUE"""),"Beban Hilang ITBISA-CHIP-ESP32-WROOM-ANTENNA")</f>
        <v>Beban Hilang ITBISA-CHIP-ESP32-WROOM-ANTENNA</v>
      </c>
    </row>
    <row r="13">
      <c r="A13" s="87" t="str">
        <f>IFERROR(__xludf.DUMMYFUNCTION("""COMPUTED_VALUE"""),"Beban Hilang ITBISA-CHIP-ESP8266-ESP12F")</f>
        <v>Beban Hilang ITBISA-CHIP-ESP8266-ESP12F</v>
      </c>
    </row>
    <row r="14">
      <c r="A14" s="87" t="str">
        <f>IFERROR(__xludf.DUMMYFUNCTION("""COMPUTED_VALUE"""),"Beban Hilang ITBISA-DC-TO-DC-STEPDOWN-LM2596")</f>
        <v>Beban Hilang ITBISA-DC-TO-DC-STEPDOWN-LM2596</v>
      </c>
    </row>
    <row r="15">
      <c r="A15" s="87" t="str">
        <f>IFERROR(__xludf.DUMMYFUNCTION("""COMPUTED_VALUE"""),"Beban Hilang ITBISA-DC-TO-DC-STEPDOWN-XL4005")</f>
        <v>Beban Hilang ITBISA-DC-TO-DC-STEPDOWN-XL4005</v>
      </c>
    </row>
    <row r="16">
      <c r="A16" s="87" t="str">
        <f>IFERROR(__xludf.DUMMYFUNCTION("""COMPUTED_VALUE"""),"Beban Hilang ITBISA-DC-TO-DC-STEPDOWN-XL4015")</f>
        <v>Beban Hilang ITBISA-DC-TO-DC-STEPDOWN-XL4015</v>
      </c>
    </row>
    <row r="17">
      <c r="A17" s="87" t="str">
        <f>IFERROR(__xludf.DUMMYFUNCTION("""COMPUTED_VALUE"""),"Beban Hilang ITBISA-DC-TO-DC-STEPUP-XL6009")</f>
        <v>Beban Hilang ITBISA-DC-TO-DC-STEPUP-XL6009</v>
      </c>
    </row>
    <row r="18">
      <c r="A18" s="87" t="str">
        <f>IFERROR(__xludf.DUMMYFUNCTION("""COMPUTED_VALUE"""),"Beban Hilang ITBISA-IC-CD4017BE-DIP16")</f>
        <v>Beban Hilang ITBISA-IC-CD4017BE-DIP16</v>
      </c>
    </row>
    <row r="19">
      <c r="A19" s="87" t="str">
        <f>IFERROR(__xludf.DUMMYFUNCTION("""COMPUTED_VALUE"""),"Beban Hilang ITBISA-IC-CD4094BM-SMD-SOP16")</f>
        <v>Beban Hilang ITBISA-IC-CD4094BM-SMD-SOP16</v>
      </c>
    </row>
    <row r="20">
      <c r="A20" s="87" t="str">
        <f>IFERROR(__xludf.DUMMYFUNCTION("""COMPUTED_VALUE"""),"Beban Hilang ITBISA-IC-L7805CV-TO220")</f>
        <v>Beban Hilang ITBISA-IC-L7805CV-TO220</v>
      </c>
    </row>
    <row r="21">
      <c r="A21" s="87" t="str">
        <f>IFERROR(__xludf.DUMMYFUNCTION("""COMPUTED_VALUE"""),"Beban Hilang ITBISA-IC-L7812CV-TO220")</f>
        <v>Beban Hilang ITBISA-IC-L7812CV-TO220</v>
      </c>
    </row>
    <row r="22">
      <c r="A22" s="87" t="str">
        <f>IFERROR(__xludf.DUMMYFUNCTION("""COMPUTED_VALUE"""),"Beban Hilang ITBISA-IC-LM741CN-DIP8")</f>
        <v>Beban Hilang ITBISA-IC-LM741CN-DIP8</v>
      </c>
    </row>
    <row r="23">
      <c r="A23" s="87" t="str">
        <f>IFERROR(__xludf.DUMMYFUNCTION("""COMPUTED_VALUE"""),"Beban Hilang ITBISA-IC-NE555P-DIP8")</f>
        <v>Beban Hilang ITBISA-IC-NE555P-DIP8</v>
      </c>
    </row>
    <row r="24">
      <c r="A24" s="87" t="str">
        <f>IFERROR(__xludf.DUMMYFUNCTION("""COMPUTED_VALUE"""),"Beban Hilang ITBISA-IC-PC817-DIP4")</f>
        <v>Beban Hilang ITBISA-IC-PC817-DIP4</v>
      </c>
    </row>
    <row r="25">
      <c r="A25" s="87" t="str">
        <f>IFERROR(__xludf.DUMMYFUNCTION("""COMPUTED_VALUE"""),"Beban Hilang ITBISA-IC-ULN2803APG-DIP18")</f>
        <v>Beban Hilang ITBISA-IC-ULN2803APG-DIP18</v>
      </c>
    </row>
    <row r="26">
      <c r="A26" s="87" t="str">
        <f>IFERROR(__xludf.DUMMYFUNCTION("""COMPUTED_VALUE"""),"Beban Hilang ITBISA-INFRARED-1838")</f>
        <v>Beban Hilang ITBISA-INFRARED-1838</v>
      </c>
    </row>
    <row r="27">
      <c r="A27" s="87" t="str">
        <f>IFERROR(__xludf.DUMMYFUNCTION("""COMPUTED_VALUE"""),"Beban Hilang ITBISA-LDR-GL5516")</f>
        <v>Beban Hilang ITBISA-LDR-GL5516</v>
      </c>
    </row>
    <row r="28">
      <c r="A28" s="87" t="str">
        <f>IFERROR(__xludf.DUMMYFUNCTION("""COMPUTED_VALUE"""),"Beban Hilang ITBISA-LED-MAX7219-4IN1-TIGHT")</f>
        <v>Beban Hilang ITBISA-LED-MAX7219-4IN1-TIGHT</v>
      </c>
    </row>
    <row r="29">
      <c r="A29" s="87" t="str">
        <f>IFERROR(__xludf.DUMMYFUNCTION("""COMPUTED_VALUE"""),"Beban Hilang ITBISA-NODEMCU-V3-CH340G-ESP8266-MICRO")</f>
        <v>Beban Hilang ITBISA-NODEMCU-V3-CH340G-ESP8266-MICRO</v>
      </c>
    </row>
    <row r="30">
      <c r="A30" s="87" t="str">
        <f>IFERROR(__xludf.DUMMYFUNCTION("""COMPUTED_VALUE"""),"Beban Hilang ITBISA-PIN-HEADER-MALE-1X40PIN-L-SAMA")</f>
        <v>Beban Hilang ITBISA-PIN-HEADER-MALE-1X40PIN-L-SAMA</v>
      </c>
    </row>
    <row r="31">
      <c r="A31" s="87" t="str">
        <f>IFERROR(__xludf.DUMMYFUNCTION("""COMPUTED_VALUE"""),"Beban Hilang ITBISA-RELAY-12V-5PIN-BLUE")</f>
        <v>Beban Hilang ITBISA-RELAY-12V-5PIN-BLUE</v>
      </c>
    </row>
    <row r="32">
      <c r="A32" s="87" t="str">
        <f>IFERROR(__xludf.DUMMYFUNCTION("""COMPUTED_VALUE"""),"Beban Hilang ITBISA-RELAY-5V-1CHANNEL-BLUE-LOW-TRIGGER")</f>
        <v>Beban Hilang ITBISA-RELAY-5V-1CHANNEL-BLUE-LOW-TRIGGER</v>
      </c>
    </row>
    <row r="33">
      <c r="A33" s="87" t="str">
        <f>IFERROR(__xludf.DUMMYFUNCTION("""COMPUTED_VALUE"""),"Beban Hilang ITBISA-RTC-DS3231M")</f>
        <v>Beban Hilang ITBISA-RTC-DS3231M</v>
      </c>
    </row>
    <row r="34">
      <c r="A34" s="87" t="str">
        <f>IFERROR(__xludf.DUMMYFUNCTION("""COMPUTED_VALUE"""),"Beban Hilang ITBISA-RTC-DS3231SN")</f>
        <v>Beban Hilang ITBISA-RTC-DS3231SN</v>
      </c>
    </row>
    <row r="35">
      <c r="A35" s="87" t="str">
        <f>IFERROR(__xludf.DUMMYFUNCTION("""COMPUTED_VALUE"""),"Beban Hilang ITBISA-SERVO-SG90-180DEG")</f>
        <v>Beban Hilang ITBISA-SERVO-SG90-180DEG</v>
      </c>
    </row>
    <row r="36">
      <c r="A36" s="87" t="str">
        <f>IFERROR(__xludf.DUMMYFUNCTION("""COMPUTED_VALUE"""),"Beban Hilang ITBISA-SERVO-SG90-360DEG")</f>
        <v>Beban Hilang ITBISA-SERVO-SG90-360DEG</v>
      </c>
    </row>
    <row r="37">
      <c r="A37" s="87" t="str">
        <f>IFERROR(__xludf.DUMMYFUNCTION("""COMPUTED_VALUE"""),"Beban Hilang ITBISA-SOCKET-IC-DIP8-NARROW")</f>
        <v>Beban Hilang ITBISA-SOCKET-IC-DIP8-NARROW</v>
      </c>
    </row>
    <row r="38">
      <c r="A38" s="87" t="str">
        <f>IFERROR(__xludf.DUMMYFUNCTION("""COMPUTED_VALUE"""),"Beban Hilang ITBISA-WEMOS-D1-MINI-ESP8266")</f>
        <v>Beban Hilang ITBISA-WEMOS-D1-MINI-ESP8266</v>
      </c>
    </row>
    <row r="39">
      <c r="A39" s="87" t="str">
        <f>IFERROR(__xludf.DUMMYFUNCTION("""COMPUTED_VALUE"""),"Bonus ITBISA-7SEGMENT-CATHODE-RED-1.20-1BIT")</f>
        <v>Bonus ITBISA-7SEGMENT-CATHODE-RED-1.20-1BIT</v>
      </c>
    </row>
    <row r="40">
      <c r="A40" s="87" t="str">
        <f>IFERROR(__xludf.DUMMYFUNCTION("""COMPUTED_VALUE"""),"Bonus ITBISA-7SEGMENT-CATHODE-RED-2.30-1BIT")</f>
        <v>Bonus ITBISA-7SEGMENT-CATHODE-RED-2.30-1BIT</v>
      </c>
    </row>
    <row r="41">
      <c r="A41" s="87" t="str">
        <f>IFERROR(__xludf.DUMMYFUNCTION("""COMPUTED_VALUE"""),"Bonus ITBISA-ABC-BATERAI-AAA-ALKALINE")</f>
        <v>Bonus ITBISA-ABC-BATERAI-AAA-ALKALINE</v>
      </c>
    </row>
    <row r="42">
      <c r="A42" s="87" t="str">
        <f>IFERROR(__xludf.DUMMYFUNCTION("""COMPUTED_VALUE"""),"Bonus ITBISA-BREADBOARD-830HOLE-MB102")</f>
        <v>Bonus ITBISA-BREADBOARD-830HOLE-MB102</v>
      </c>
    </row>
    <row r="43">
      <c r="A43" s="87" t="str">
        <f>IFERROR(__xludf.DUMMYFUNCTION("""COMPUTED_VALUE"""),"Bonus ITBISA-BUBBLE-WRAP")</f>
        <v>Bonus ITBISA-BUBBLE-WRAP</v>
      </c>
    </row>
    <row r="44">
      <c r="A44" s="87" t="str">
        <f>IFERROR(__xludf.DUMMYFUNCTION("""COMPUTED_VALUE"""),"Bonus ITBISA-CHIP-ESP32-WROOM")</f>
        <v>Bonus ITBISA-CHIP-ESP32-WROOM</v>
      </c>
    </row>
    <row r="45">
      <c r="A45" s="87" t="str">
        <f>IFERROR(__xludf.DUMMYFUNCTION("""COMPUTED_VALUE"""),"Bonus ITBISA-CHIP-ESP8266-ESP12F")</f>
        <v>Bonus ITBISA-CHIP-ESP8266-ESP12F</v>
      </c>
    </row>
    <row r="46">
      <c r="A46" s="87" t="str">
        <f>IFERROR(__xludf.DUMMYFUNCTION("""COMPUTED_VALUE"""),"Bonus ITBISA-I2C-IIC-LCD")</f>
        <v>Bonus ITBISA-I2C-IIC-LCD</v>
      </c>
    </row>
    <row r="47">
      <c r="A47" s="87" t="str">
        <f>IFERROR(__xludf.DUMMYFUNCTION("""COMPUTED_VALUE"""),"Bonus ITBISA-IC-74HC595N-DIP16")</f>
        <v>Bonus ITBISA-IC-74HC595N-DIP16</v>
      </c>
    </row>
    <row r="48">
      <c r="A48" s="87" t="str">
        <f>IFERROR(__xludf.DUMMYFUNCTION("""COMPUTED_VALUE"""),"Bonus ITBISA-IC-CD4017BE-DIP16")</f>
        <v>Bonus ITBISA-IC-CD4017BE-DIP16</v>
      </c>
    </row>
    <row r="49">
      <c r="A49" s="87" t="str">
        <f>IFERROR(__xludf.DUMMYFUNCTION("""COMPUTED_VALUE"""),"Bonus ITBISA-IC-UA741CN-DIP8")</f>
        <v>Bonus ITBISA-IC-UA741CN-DIP8</v>
      </c>
    </row>
    <row r="50">
      <c r="A50" s="87" t="str">
        <f>IFERROR(__xludf.DUMMYFUNCTION("""COMPUTED_VALUE"""),"Bonus ITBISA-RELAY-12V-4PIN-BLUE")</f>
        <v>Bonus ITBISA-RELAY-12V-4PIN-BLUE</v>
      </c>
    </row>
    <row r="51">
      <c r="A51" s="87" t="str">
        <f>IFERROR(__xludf.DUMMYFUNCTION("""COMPUTED_VALUE"""),"Bonus ITBISA-RELAY-5V-5PIN-BLUE")</f>
        <v>Bonus ITBISA-RELAY-5V-5PIN-BLUE</v>
      </c>
    </row>
    <row r="52">
      <c r="A52" s="87" t="str">
        <f>IFERROR(__xludf.DUMMYFUNCTION("""COMPUTED_VALUE"""),"Bonus ITBISA-RTC-DS3231SN")</f>
        <v>Bonus ITBISA-RTC-DS3231SN</v>
      </c>
    </row>
    <row r="53">
      <c r="A53" s="87" t="str">
        <f>IFERROR(__xludf.DUMMYFUNCTION("""COMPUTED_VALUE"""),"Bonus ITBISA-SERVO-SG90-180DEG")</f>
        <v>Bonus ITBISA-SERVO-SG90-180DEG</v>
      </c>
    </row>
    <row r="54">
      <c r="A54" s="87" t="str">
        <f>IFERROR(__xludf.DUMMYFUNCTION("""COMPUTED_VALUE"""),"Bonus ITBISA-SERVO-SG90-360DEG")</f>
        <v>Bonus ITBISA-SERVO-SG90-360DEG</v>
      </c>
    </row>
    <row r="55">
      <c r="A55" s="87" t="str">
        <f>IFERROR(__xludf.DUMMYFUNCTION("""COMPUTED_VALUE"""),"Bonus ITBISA-SOCKET-IC-DIP14-NARROW")</f>
        <v>Bonus ITBISA-SOCKET-IC-DIP14-NARROW</v>
      </c>
    </row>
    <row r="56">
      <c r="A56" s="87" t="str">
        <f>IFERROR(__xludf.DUMMYFUNCTION("""COMPUTED_VALUE"""),"Bonus ITBISA-SOCKET-IC-DIP20-NARROW")</f>
        <v>Bonus ITBISA-SOCKET-IC-DIP20-NARROW</v>
      </c>
    </row>
    <row r="57">
      <c r="A57" s="87" t="str">
        <f>IFERROR(__xludf.DUMMYFUNCTION("""COMPUTED_VALUE"""),"Bonus ITBISA-WEMOS-D1-MINI-ESP8266")</f>
        <v>Bonus ITBISA-WEMOS-D1-MINI-ESP8266</v>
      </c>
    </row>
    <row r="58">
      <c r="A58" s="87" t="str">
        <f>IFERROR(__xludf.DUMMYFUNCTION("""COMPUTED_VALUE"""),"Dividen ITBisa")</f>
        <v>Dividen ITBisa</v>
      </c>
    </row>
    <row r="59">
      <c r="A59" s="87" t="str">
        <f>IFERROR(__xludf.DUMMYFUNCTION("""COMPUTED_VALUE"""),"Kas ITBisa")</f>
        <v>Kas ITBisa</v>
      </c>
    </row>
    <row r="60">
      <c r="A60" s="87" t="str">
        <f>IFERROR(__xludf.DUMMYFUNCTION("""COMPUTED_VALUE"""),"Modal Furqonajiy")</f>
        <v>Modal Furqonajiy</v>
      </c>
    </row>
    <row r="61">
      <c r="A61" s="87" t="str">
        <f>IFERROR(__xludf.DUMMYFUNCTION("""COMPUTED_VALUE"""),"Modal Mama Anggi")</f>
        <v>Modal Mama Anggi</v>
      </c>
    </row>
    <row r="62">
      <c r="A62" s="87" t="str">
        <f>IFERROR(__xludf.DUMMYFUNCTION("""COMPUTED_VALUE"""),"Modal Muzakki")</f>
        <v>Modal Muzakki</v>
      </c>
    </row>
    <row r="63">
      <c r="A63" s="87" t="str">
        <f>IFERROR(__xludf.DUMMYFUNCTION("""COMPUTED_VALUE"""),"Modal Uqi")</f>
        <v>Modal Uqi</v>
      </c>
    </row>
    <row r="64">
      <c r="A64" s="87" t="str">
        <f>IFERROR(__xludf.DUMMYFUNCTION("""COMPUTED_VALUE"""),"Perlengkapan Bubble Wrap")</f>
        <v>Perlengkapan Bubble Wrap</v>
      </c>
    </row>
    <row r="65">
      <c r="A65" s="87" t="str">
        <f>IFERROR(__xludf.DUMMYFUNCTION("""COMPUTED_VALUE"""),"Perlengkapan Gunting")</f>
        <v>Perlengkapan Gunting</v>
      </c>
    </row>
    <row r="66">
      <c r="A66" s="87" t="str">
        <f>IFERROR(__xludf.DUMMYFUNCTION("""COMPUTED_VALUE"""),"Perlengkapan Kardus")</f>
        <v>Perlengkapan Kardus</v>
      </c>
    </row>
    <row r="67">
      <c r="A67" s="87" t="str">
        <f>IFERROR(__xludf.DUMMYFUNCTION("""COMPUTED_VALUE"""),"Perlengkapan Plastik Klip")</f>
        <v>Perlengkapan Plastik Klip</v>
      </c>
    </row>
    <row r="68">
      <c r="A68" s="87" t="str">
        <f>IFERROR(__xludf.DUMMYFUNCTION("""COMPUTED_VALUE"""),"Perlengkapan Selotip")</f>
        <v>Perlengkapan Selotip</v>
      </c>
    </row>
    <row r="69">
      <c r="A69" s="87" t="str">
        <f>IFERROR(__xludf.DUMMYFUNCTION("""COMPUTED_VALUE"""),"Perlengkapan Tape Cutter")</f>
        <v>Perlengkapan Tape Cutter</v>
      </c>
    </row>
    <row r="70">
      <c r="A70" s="87" t="str">
        <f>IFERROR(__xludf.DUMMYFUNCTION("""COMPUTED_VALUE"""),"Perlengkapan Tinta")</f>
        <v>Perlengkapan Tinta</v>
      </c>
    </row>
    <row r="71">
      <c r="A71" s="87" t="str">
        <f>IFERROR(__xludf.DUMMYFUNCTION("""COMPUTED_VALUE"""),"Persediaan ITBISA-7SEGMENT-ANODE-RED-0.56-1BIT")</f>
        <v>Persediaan ITBISA-7SEGMENT-ANODE-RED-0.56-1BIT</v>
      </c>
    </row>
    <row r="72">
      <c r="A72" s="87" t="str">
        <f>IFERROR(__xludf.DUMMYFUNCTION("""COMPUTED_VALUE"""),"Persediaan ITBISA-7SEGMENT-ANODE-RED-1.00-1BIT")</f>
        <v>Persediaan ITBISA-7SEGMENT-ANODE-RED-1.00-1BIT</v>
      </c>
    </row>
    <row r="73">
      <c r="A73" s="87" t="str">
        <f>IFERROR(__xludf.DUMMYFUNCTION("""COMPUTED_VALUE"""),"Persediaan ITBISA-7SEGMENT-ANODE-RED-1.20-1BIT")</f>
        <v>Persediaan ITBISA-7SEGMENT-ANODE-RED-1.20-1BIT</v>
      </c>
    </row>
    <row r="74">
      <c r="A74" s="87" t="str">
        <f>IFERROR(__xludf.DUMMYFUNCTION("""COMPUTED_VALUE"""),"Persediaan ITBISA-7SEGMENT-CATHODE-RED-0.56-1BIT")</f>
        <v>Persediaan ITBISA-7SEGMENT-CATHODE-RED-0.56-1BIT</v>
      </c>
    </row>
    <row r="75">
      <c r="A75" s="87" t="str">
        <f>IFERROR(__xludf.DUMMYFUNCTION("""COMPUTED_VALUE"""),"Persediaan ITBISA-7SEGMENT-CATHODE-RED-1.20-1BIT")</f>
        <v>Persediaan ITBISA-7SEGMENT-CATHODE-RED-1.20-1BIT</v>
      </c>
    </row>
    <row r="76">
      <c r="A76" s="87" t="str">
        <f>IFERROR(__xludf.DUMMYFUNCTION("""COMPUTED_VALUE"""),"Persediaan ITBISA-7SEGMENT-CATHODE-RED-2.30-1BIT")</f>
        <v>Persediaan ITBISA-7SEGMENT-CATHODE-RED-2.30-1BIT</v>
      </c>
    </row>
    <row r="77">
      <c r="A77" s="87" t="str">
        <f>IFERROR(__xludf.DUMMYFUNCTION("""COMPUTED_VALUE"""),"Persediaan ITBISA-ABC-BATERAI-9V-POWER")</f>
        <v>Persediaan ITBISA-ABC-BATERAI-9V-POWER</v>
      </c>
    </row>
    <row r="78">
      <c r="A78" s="87" t="str">
        <f>IFERROR(__xludf.DUMMYFUNCTION("""COMPUTED_VALUE"""),"Persediaan ITBISA-ABC-BATERAI-AA-ALKALINE")</f>
        <v>Persediaan ITBISA-ABC-BATERAI-AA-ALKALINE</v>
      </c>
    </row>
    <row r="79">
      <c r="A79" s="87" t="str">
        <f>IFERROR(__xludf.DUMMYFUNCTION("""COMPUTED_VALUE"""),"Persediaan ITBISA-ABC-BATERAI-AAA-ALKALINE")</f>
        <v>Persediaan ITBISA-ABC-BATERAI-AAA-ALKALINE</v>
      </c>
    </row>
    <row r="80">
      <c r="A80" s="87" t="str">
        <f>IFERROR(__xludf.DUMMYFUNCTION("""COMPUTED_VALUE"""),"Persediaan ITBISA-ABC-BATERAI-D-POWER")</f>
        <v>Persediaan ITBISA-ABC-BATERAI-D-POWER</v>
      </c>
    </row>
    <row r="81">
      <c r="A81" s="87" t="str">
        <f>IFERROR(__xludf.DUMMYFUNCTION("""COMPUTED_VALUE"""),"Persediaan ITBISA-ARDUINO-UNO-R3-328P-SMD")</f>
        <v>Persediaan ITBISA-ARDUINO-UNO-R3-328P-SMD</v>
      </c>
    </row>
    <row r="82">
      <c r="A82" s="87" t="str">
        <f>IFERROR(__xludf.DUMMYFUNCTION("""COMPUTED_VALUE"""),"Persediaan ITBISA-BLUETOOTH-MODULE-HC05")</f>
        <v>Persediaan ITBISA-BLUETOOTH-MODULE-HC05</v>
      </c>
    </row>
    <row r="83">
      <c r="A83" s="87" t="str">
        <f>IFERROR(__xludf.DUMMYFUNCTION("""COMPUTED_VALUE"""),"Persediaan ITBISA-BREADBOARD-830HOLE-MB102")</f>
        <v>Persediaan ITBISA-BREADBOARD-830HOLE-MB102</v>
      </c>
    </row>
    <row r="84">
      <c r="A84" s="87" t="str">
        <f>IFERROR(__xludf.DUMMYFUNCTION("""COMPUTED_VALUE"""),"Persediaan ITBISA-BUBBLE-WRAP")</f>
        <v>Persediaan ITBISA-BUBBLE-WRAP</v>
      </c>
    </row>
    <row r="85">
      <c r="A85" s="87" t="str">
        <f>IFERROR(__xludf.DUMMYFUNCTION("""COMPUTED_VALUE"""),"Persediaan ITBISA-BUZZER-ACTIVE-5V")</f>
        <v>Persediaan ITBISA-BUZZER-ACTIVE-5V</v>
      </c>
    </row>
    <row r="86">
      <c r="A86" s="87" t="str">
        <f>IFERROR(__xludf.DUMMYFUNCTION("""COMPUTED_VALUE"""),"Persediaan ITBISA-CHIP-ESP32-WROOM")</f>
        <v>Persediaan ITBISA-CHIP-ESP32-WROOM</v>
      </c>
    </row>
    <row r="87">
      <c r="A87" s="87" t="str">
        <f>IFERROR(__xludf.DUMMYFUNCTION("""COMPUTED_VALUE"""),"Persediaan ITBISA-CHIP-ESP32-WROOM-ANTENNA")</f>
        <v>Persediaan ITBISA-CHIP-ESP32-WROOM-ANTENNA</v>
      </c>
    </row>
    <row r="88">
      <c r="A88" s="87" t="str">
        <f>IFERROR(__xludf.DUMMYFUNCTION("""COMPUTED_VALUE"""),"Persediaan ITBISA-CHIP-ESP8266-ESP12F")</f>
        <v>Persediaan ITBISA-CHIP-ESP8266-ESP12F</v>
      </c>
    </row>
    <row r="89">
      <c r="A89" s="87" t="str">
        <f>IFERROR(__xludf.DUMMYFUNCTION("""COMPUTED_VALUE"""),"Persediaan ITBISA-DC-TO-DC-STEPDOWN-LM2596")</f>
        <v>Persediaan ITBISA-DC-TO-DC-STEPDOWN-LM2596</v>
      </c>
    </row>
    <row r="90">
      <c r="A90" s="87" t="str">
        <f>IFERROR(__xludf.DUMMYFUNCTION("""COMPUTED_VALUE"""),"Persediaan ITBISA-DC-TO-DC-STEPDOWN-XL4005")</f>
        <v>Persediaan ITBISA-DC-TO-DC-STEPDOWN-XL4005</v>
      </c>
    </row>
    <row r="91">
      <c r="A91" s="87" t="str">
        <f>IFERROR(__xludf.DUMMYFUNCTION("""COMPUTED_VALUE"""),"Persediaan ITBISA-DC-TO-DC-STEPDOWN-XL4015")</f>
        <v>Persediaan ITBISA-DC-TO-DC-STEPDOWN-XL4015</v>
      </c>
    </row>
    <row r="92">
      <c r="A92" s="87" t="str">
        <f>IFERROR(__xludf.DUMMYFUNCTION("""COMPUTED_VALUE"""),"Persediaan ITBISA-DC-TO-DC-STEPUP-XL6009")</f>
        <v>Persediaan ITBISA-DC-TO-DC-STEPUP-XL6009</v>
      </c>
    </row>
    <row r="93">
      <c r="A93" s="87" t="str">
        <f>IFERROR(__xludf.DUMMYFUNCTION("""COMPUTED_VALUE"""),"Persediaan ITBISA-DIODA-1N4007-DO41")</f>
        <v>Persediaan ITBISA-DIODA-1N4007-DO41</v>
      </c>
    </row>
    <row r="94">
      <c r="A94" s="87" t="str">
        <f>IFERROR(__xludf.DUMMYFUNCTION("""COMPUTED_VALUE"""),"Persediaan ITBISA-I2C-IIC-LCD")</f>
        <v>Persediaan ITBISA-I2C-IIC-LCD</v>
      </c>
    </row>
    <row r="95">
      <c r="A95" s="87" t="str">
        <f>IFERROR(__xludf.DUMMYFUNCTION("""COMPUTED_VALUE"""),"Persediaan ITBISA-IC-74HC245N-DIP20")</f>
        <v>Persediaan ITBISA-IC-74HC245N-DIP20</v>
      </c>
    </row>
    <row r="96">
      <c r="A96" s="87" t="str">
        <f>IFERROR(__xludf.DUMMYFUNCTION("""COMPUTED_VALUE"""),"Persediaan ITBISA-IC-74HC595N-DIP16")</f>
        <v>Persediaan ITBISA-IC-74HC595N-DIP16</v>
      </c>
    </row>
    <row r="97">
      <c r="A97" s="87" t="str">
        <f>IFERROR(__xludf.DUMMYFUNCTION("""COMPUTED_VALUE"""),"Persediaan ITBISA-IC-ATMEGA328P-DIP28")</f>
        <v>Persediaan ITBISA-IC-ATMEGA328P-DIP28</v>
      </c>
    </row>
    <row r="98">
      <c r="A98" s="87" t="str">
        <f>IFERROR(__xludf.DUMMYFUNCTION("""COMPUTED_VALUE"""),"Persediaan ITBISA-IC-CD4017BE-DIP16")</f>
        <v>Persediaan ITBISA-IC-CD4017BE-DIP16</v>
      </c>
    </row>
    <row r="99">
      <c r="A99" s="87" t="str">
        <f>IFERROR(__xludf.DUMMYFUNCTION("""COMPUTED_VALUE"""),"Persediaan ITBISA-IC-CD4094BE-DIP16")</f>
        <v>Persediaan ITBISA-IC-CD4094BE-DIP16</v>
      </c>
    </row>
    <row r="100">
      <c r="A100" s="87" t="str">
        <f>IFERROR(__xludf.DUMMYFUNCTION("""COMPUTED_VALUE"""),"Persediaan ITBISA-IC-CD4094BM-SMD-SOP16")</f>
        <v>Persediaan ITBISA-IC-CD4094BM-SMD-SOP16</v>
      </c>
    </row>
    <row r="101">
      <c r="A101" s="87" t="str">
        <f>IFERROR(__xludf.DUMMYFUNCTION("""COMPUTED_VALUE"""),"Persediaan ITBISA-IC-JRC4558D-DIP8")</f>
        <v>Persediaan ITBISA-IC-JRC4558D-DIP8</v>
      </c>
    </row>
    <row r="102">
      <c r="A102" s="87" t="str">
        <f>IFERROR(__xludf.DUMMYFUNCTION("""COMPUTED_VALUE"""),"Persediaan ITBISA-IC-L7805CV-TO220")</f>
        <v>Persediaan ITBISA-IC-L7805CV-TO220</v>
      </c>
    </row>
    <row r="103">
      <c r="A103" s="87" t="str">
        <f>IFERROR(__xludf.DUMMYFUNCTION("""COMPUTED_VALUE"""),"Persediaan ITBISA-IC-L7812CV-TO220")</f>
        <v>Persediaan ITBISA-IC-L7812CV-TO220</v>
      </c>
    </row>
    <row r="104">
      <c r="A104" s="87" t="str">
        <f>IFERROR(__xludf.DUMMYFUNCTION("""COMPUTED_VALUE"""),"Persediaan ITBISA-IC-LM741CN-DIP8")</f>
        <v>Persediaan ITBISA-IC-LM741CN-DIP8</v>
      </c>
    </row>
    <row r="105">
      <c r="A105" s="87" t="str">
        <f>IFERROR(__xludf.DUMMYFUNCTION("""COMPUTED_VALUE"""),"Persediaan ITBISA-IC-NE555P-DIP8")</f>
        <v>Persediaan ITBISA-IC-NE555P-DIP8</v>
      </c>
    </row>
    <row r="106">
      <c r="A106" s="87" t="str">
        <f>IFERROR(__xludf.DUMMYFUNCTION("""COMPUTED_VALUE"""),"Persediaan ITBISA-IC-PC817-DIP4")</f>
        <v>Persediaan ITBISA-IC-PC817-DIP4</v>
      </c>
    </row>
    <row r="107">
      <c r="A107" s="87" t="str">
        <f>IFERROR(__xludf.DUMMYFUNCTION("""COMPUTED_VALUE"""),"Persediaan ITBISA-IC-UA741CN-DIP8")</f>
        <v>Persediaan ITBISA-IC-UA741CN-DIP8</v>
      </c>
    </row>
    <row r="108">
      <c r="A108" s="87" t="str">
        <f>IFERROR(__xludf.DUMMYFUNCTION("""COMPUTED_VALUE"""),"Persediaan ITBISA-IC-ULN2003AN-DIP16")</f>
        <v>Persediaan ITBISA-IC-ULN2003AN-DIP16</v>
      </c>
    </row>
    <row r="109">
      <c r="A109" s="87" t="str">
        <f>IFERROR(__xludf.DUMMYFUNCTION("""COMPUTED_VALUE"""),"Persediaan ITBISA-IC-ULN2803APG-DIP18")</f>
        <v>Persediaan ITBISA-IC-ULN2803APG-DIP18</v>
      </c>
    </row>
    <row r="110">
      <c r="A110" s="87" t="str">
        <f>IFERROR(__xludf.DUMMYFUNCTION("""COMPUTED_VALUE"""),"Persediaan ITBISA-IDC-2X5-AMPHENOL-FEMALE")</f>
        <v>Persediaan ITBISA-IDC-2X5-AMPHENOL-FEMALE</v>
      </c>
    </row>
    <row r="111">
      <c r="A111" s="87" t="str">
        <f>IFERROR(__xludf.DUMMYFUNCTION("""COMPUTED_VALUE"""),"Persediaan ITBISA-IDC-2X5-AMPHENOL-MALE")</f>
        <v>Persediaan ITBISA-IDC-2X5-AMPHENOL-MALE</v>
      </c>
    </row>
    <row r="112">
      <c r="A112" s="87" t="str">
        <f>IFERROR(__xludf.DUMMYFUNCTION("""COMPUTED_VALUE"""),"Persediaan ITBISA-INFRARED-1838")</f>
        <v>Persediaan ITBISA-INFRARED-1838</v>
      </c>
    </row>
    <row r="113">
      <c r="A113" s="87" t="str">
        <f>IFERROR(__xludf.DUMMYFUNCTION("""COMPUTED_VALUE"""),"Persediaan ITBISA-JACK-DC-005-FEMALE")</f>
        <v>Persediaan ITBISA-JACK-DC-005-FEMALE</v>
      </c>
    </row>
    <row r="114">
      <c r="A114" s="87" t="str">
        <f>IFERROR(__xludf.DUMMYFUNCTION("""COMPUTED_VALUE"""),"Persediaan ITBISA-JUMPER-FF-10CM")</f>
        <v>Persediaan ITBISA-JUMPER-FF-10CM</v>
      </c>
    </row>
    <row r="115">
      <c r="A115" s="87" t="str">
        <f>IFERROR(__xludf.DUMMYFUNCTION("""COMPUTED_VALUE"""),"Persediaan ITBISA-JUMPER-FF-20CM")</f>
        <v>Persediaan ITBISA-JUMPER-FF-20CM</v>
      </c>
    </row>
    <row r="116">
      <c r="A116" s="87" t="str">
        <f>IFERROR(__xludf.DUMMYFUNCTION("""COMPUTED_VALUE"""),"Persediaan ITBISA-JUMPER-MF-10CM")</f>
        <v>Persediaan ITBISA-JUMPER-MF-10CM</v>
      </c>
    </row>
    <row r="117">
      <c r="A117" s="87" t="str">
        <f>IFERROR(__xludf.DUMMYFUNCTION("""COMPUTED_VALUE"""),"Persediaan ITBISA-JUMPER-MF-20CM")</f>
        <v>Persediaan ITBISA-JUMPER-MF-20CM</v>
      </c>
    </row>
    <row r="118">
      <c r="A118" s="87" t="str">
        <f>IFERROR(__xludf.DUMMYFUNCTION("""COMPUTED_VALUE"""),"Persediaan ITBISA-JUMPER-MM-10CM")</f>
        <v>Persediaan ITBISA-JUMPER-MM-10CM</v>
      </c>
    </row>
    <row r="119">
      <c r="A119" s="87" t="str">
        <f>IFERROR(__xludf.DUMMYFUNCTION("""COMPUTED_VALUE"""),"Persediaan ITBISA-JUMPER-MM-20CM")</f>
        <v>Persediaan ITBISA-JUMPER-MM-20CM</v>
      </c>
    </row>
    <row r="120">
      <c r="A120" s="87" t="str">
        <f>IFERROR(__xludf.DUMMYFUNCTION("""COMPUTED_VALUE"""),"Persediaan ITBISA-KAPASITOR-ELCO-100UF-25V")</f>
        <v>Persediaan ITBISA-KAPASITOR-ELCO-100UF-25V</v>
      </c>
    </row>
    <row r="121">
      <c r="A121" s="87" t="str">
        <f>IFERROR(__xludf.DUMMYFUNCTION("""COMPUTED_VALUE"""),"Persediaan ITBISA-KAPASITOR-ELCO-2200UF-25V")</f>
        <v>Persediaan ITBISA-KAPASITOR-ELCO-2200UF-25V</v>
      </c>
    </row>
    <row r="122">
      <c r="A122" s="87" t="str">
        <f>IFERROR(__xludf.DUMMYFUNCTION("""COMPUTED_VALUE"""),"Persediaan ITBISA-KAPASITOR-ELCO-47UF-50V")</f>
        <v>Persediaan ITBISA-KAPASITOR-ELCO-47UF-50V</v>
      </c>
    </row>
    <row r="123">
      <c r="A123" s="87" t="str">
        <f>IFERROR(__xludf.DUMMYFUNCTION("""COMPUTED_VALUE"""),"Persediaan ITBISA-LCD-16X2-BLUE")</f>
        <v>Persediaan ITBISA-LCD-16X2-BLUE</v>
      </c>
    </row>
    <row r="124">
      <c r="A124" s="87" t="str">
        <f>IFERROR(__xludf.DUMMYFUNCTION("""COMPUTED_VALUE"""),"Persediaan ITBISA-LCD-16X2-GREEN")</f>
        <v>Persediaan ITBISA-LCD-16X2-GREEN</v>
      </c>
    </row>
    <row r="125">
      <c r="A125" s="87" t="str">
        <f>IFERROR(__xludf.DUMMYFUNCTION("""COMPUTED_VALUE"""),"Persediaan ITBISA-LDR-GL5516")</f>
        <v>Persediaan ITBISA-LDR-GL5516</v>
      </c>
    </row>
    <row r="126">
      <c r="A126" s="87" t="str">
        <f>IFERROR(__xludf.DUMMYFUNCTION("""COMPUTED_VALUE"""),"Persediaan ITBISA-LED-MAX7219-4IN1-GAP")</f>
        <v>Persediaan ITBISA-LED-MAX7219-4IN1-GAP</v>
      </c>
    </row>
    <row r="127">
      <c r="A127" s="87" t="str">
        <f>IFERROR(__xludf.DUMMYFUNCTION("""COMPUTED_VALUE"""),"Persediaan ITBISA-LED-MAX7219-4IN1-TIGHT")</f>
        <v>Persediaan ITBISA-LED-MAX7219-4IN1-TIGHT</v>
      </c>
    </row>
    <row r="128">
      <c r="A128" s="87" t="str">
        <f>IFERROR(__xludf.DUMMYFUNCTION("""COMPUTED_VALUE"""),"Persediaan ITBISA-LED-SUPERBRIGHT-5MM-BLUE")</f>
        <v>Persediaan ITBISA-LED-SUPERBRIGHT-5MM-BLUE</v>
      </c>
    </row>
    <row r="129">
      <c r="A129" s="87" t="str">
        <f>IFERROR(__xludf.DUMMYFUNCTION("""COMPUTED_VALUE"""),"Persediaan ITBISA-LED-SUPERBRIGHT-5MM-GREEN")</f>
        <v>Persediaan ITBISA-LED-SUPERBRIGHT-5MM-GREEN</v>
      </c>
    </row>
    <row r="130">
      <c r="A130" s="87" t="str">
        <f>IFERROR(__xludf.DUMMYFUNCTION("""COMPUTED_VALUE"""),"Persediaan ITBISA-LED-SUPERBRIGHT-5MM-RED")</f>
        <v>Persediaan ITBISA-LED-SUPERBRIGHT-5MM-RED</v>
      </c>
    </row>
    <row r="131">
      <c r="A131" s="87" t="str">
        <f>IFERROR(__xludf.DUMMYFUNCTION("""COMPUTED_VALUE"""),"Persediaan ITBISA-LED-SUPERBRIGHT-5MM-WHITE")</f>
        <v>Persediaan ITBISA-LED-SUPERBRIGHT-5MM-WHITE</v>
      </c>
    </row>
    <row r="132">
      <c r="A132" s="87" t="str">
        <f>IFERROR(__xludf.DUMMYFUNCTION("""COMPUTED_VALUE"""),"Persediaan ITBISA-LED-SUPERBRIGHT-5MM-YELLOW")</f>
        <v>Persediaan ITBISA-LED-SUPERBRIGHT-5MM-YELLOW</v>
      </c>
    </row>
    <row r="133">
      <c r="A133" s="87" t="str">
        <f>IFERROR(__xludf.DUMMYFUNCTION("""COMPUTED_VALUE"""),"Persediaan ITBISA-NODEMCU-V3-CH340G-ESP8266-MICRO")</f>
        <v>Persediaan ITBISA-NODEMCU-V3-CH340G-ESP8266-MICRO</v>
      </c>
    </row>
    <row r="134">
      <c r="A134" s="87" t="str">
        <f>IFERROR(__xludf.DUMMYFUNCTION("""COMPUTED_VALUE"""),"Persediaan ITBISA-NPN-2N2222-TO92")</f>
        <v>Persediaan ITBISA-NPN-2N2222-TO92</v>
      </c>
    </row>
    <row r="135">
      <c r="A135" s="87" t="str">
        <f>IFERROR(__xludf.DUMMYFUNCTION("""COMPUTED_VALUE"""),"Persediaan ITBISA-NPN-2N3904-TO92")</f>
        <v>Persediaan ITBISA-NPN-2N3904-TO92</v>
      </c>
    </row>
    <row r="136">
      <c r="A136" s="87" t="str">
        <f>IFERROR(__xludf.DUMMYFUNCTION("""COMPUTED_VALUE"""),"Persediaan ITBISA-NPN-2N5551-TO92")</f>
        <v>Persediaan ITBISA-NPN-2N5551-TO92</v>
      </c>
    </row>
    <row r="137">
      <c r="A137" s="87" t="str">
        <f>IFERROR(__xludf.DUMMYFUNCTION("""COMPUTED_VALUE"""),"Persediaan ITBISA-NPN-BC337-TO92")</f>
        <v>Persediaan ITBISA-NPN-BC337-TO92</v>
      </c>
    </row>
    <row r="138">
      <c r="A138" s="87" t="str">
        <f>IFERROR(__xludf.DUMMYFUNCTION("""COMPUTED_VALUE"""),"Persediaan ITBISA-NPN-BC547-TO92")</f>
        <v>Persediaan ITBISA-NPN-BC547-TO92</v>
      </c>
    </row>
    <row r="139">
      <c r="A139" s="87" t="str">
        <f>IFERROR(__xludf.DUMMYFUNCTION("""COMPUTED_VALUE"""),"Persediaan ITBISA-NPN-BC548-TO92")</f>
        <v>Persediaan ITBISA-NPN-BC548-TO92</v>
      </c>
    </row>
    <row r="140">
      <c r="A140" s="87" t="str">
        <f>IFERROR(__xludf.DUMMYFUNCTION("""COMPUTED_VALUE"""),"Persediaan ITBISA-NPN-S9013-TO92")</f>
        <v>Persediaan ITBISA-NPN-S9013-TO92</v>
      </c>
    </row>
    <row r="141">
      <c r="A141" s="87" t="str">
        <f>IFERROR(__xludf.DUMMYFUNCTION("""COMPUTED_VALUE"""),"Persediaan ITBISA-PCB-5X7-COPPER-SINGLE-SIDE")</f>
        <v>Persediaan ITBISA-PCB-5X7-COPPER-SINGLE-SIDE</v>
      </c>
    </row>
    <row r="142">
      <c r="A142" s="87" t="str">
        <f>IFERROR(__xludf.DUMMYFUNCTION("""COMPUTED_VALUE"""),"Persediaan ITBISA-PCB-5x7-COPPER-SINGLE-SIDE")</f>
        <v>Persediaan ITBISA-PCB-5x7-COPPER-SINGLE-SIDE</v>
      </c>
    </row>
    <row r="143">
      <c r="A143" s="87" t="str">
        <f>IFERROR(__xludf.DUMMYFUNCTION("""COMPUTED_VALUE"""),"Persediaan ITBISA-PIN-HEADER-MALE-1X40PIN-L-SAMA")</f>
        <v>Persediaan ITBISA-PIN-HEADER-MALE-1X40PIN-L-SAMA</v>
      </c>
    </row>
    <row r="144">
      <c r="A144" s="87" t="str">
        <f>IFERROR(__xludf.DUMMYFUNCTION("""COMPUTED_VALUE"""),"Persediaan ITBISA-PIN-HEADER-MALE-1X40PIN-LURUS")</f>
        <v>Persediaan ITBISA-PIN-HEADER-MALE-1X40PIN-LURUS</v>
      </c>
    </row>
    <row r="145">
      <c r="A145" s="87" t="str">
        <f>IFERROR(__xludf.DUMMYFUNCTION("""COMPUTED_VALUE"""),"Persediaan ITBISA-PNP-2N3906-TO92")</f>
        <v>Persediaan ITBISA-PNP-2N3906-TO92</v>
      </c>
    </row>
    <row r="146">
      <c r="A146" s="87" t="str">
        <f>IFERROR(__xludf.DUMMYFUNCTION("""COMPUTED_VALUE"""),"Persediaan ITBISA-PNP-2N5401-TO92")</f>
        <v>Persediaan ITBISA-PNP-2N5401-TO92</v>
      </c>
    </row>
    <row r="147">
      <c r="A147" s="87" t="str">
        <f>IFERROR(__xludf.DUMMYFUNCTION("""COMPUTED_VALUE"""),"Persediaan ITBISA-PNP-A1015-TO92")</f>
        <v>Persediaan ITBISA-PNP-A1015-TO92</v>
      </c>
    </row>
    <row r="148">
      <c r="A148" s="87" t="str">
        <f>IFERROR(__xludf.DUMMYFUNCTION("""COMPUTED_VALUE"""),"Persediaan ITBISA-PNP-BC557-TO92")</f>
        <v>Persediaan ITBISA-PNP-BC557-TO92</v>
      </c>
    </row>
    <row r="149">
      <c r="A149" s="87" t="str">
        <f>IFERROR(__xludf.DUMMYFUNCTION("""COMPUTED_VALUE"""),"Persediaan ITBISA-PNP-BC558-TO92")</f>
        <v>Persediaan ITBISA-PNP-BC558-TO92</v>
      </c>
    </row>
    <row r="150">
      <c r="A150" s="87" t="str">
        <f>IFERROR(__xludf.DUMMYFUNCTION("""COMPUTED_VALUE"""),"Persediaan ITBISA-PNP-S8550-TO92")</f>
        <v>Persediaan ITBISA-PNP-S8550-TO92</v>
      </c>
    </row>
    <row r="151">
      <c r="A151" s="87" t="str">
        <f>IFERROR(__xludf.DUMMYFUNCTION("""COMPUTED_VALUE"""),"Persediaan ITBISA-PNP-S9012-TO92")</f>
        <v>Persediaan ITBISA-PNP-S9012-TO92</v>
      </c>
    </row>
    <row r="152">
      <c r="A152" s="87" t="str">
        <f>IFERROR(__xludf.DUMMYFUNCTION("""COMPUTED_VALUE"""),"Persediaan ITBISA-RAPID-BOHLAM-E10-2.5V-SCREW")</f>
        <v>Persediaan ITBISA-RAPID-BOHLAM-E10-2.5V-SCREW</v>
      </c>
    </row>
    <row r="153">
      <c r="A153" s="87" t="str">
        <f>IFERROR(__xludf.DUMMYFUNCTION("""COMPUTED_VALUE"""),"Persediaan ITBISA-RAPID-BOHLAM-E10-3.8V-SCREW")</f>
        <v>Persediaan ITBISA-RAPID-BOHLAM-E10-3.8V-SCREW</v>
      </c>
    </row>
    <row r="154">
      <c r="A154" s="87" t="str">
        <f>IFERROR(__xludf.DUMMYFUNCTION("""COMPUTED_VALUE"""),"Persediaan ITBISA-RELAY-12V-4PIN-BLUE")</f>
        <v>Persediaan ITBISA-RELAY-12V-4PIN-BLUE</v>
      </c>
    </row>
    <row r="155">
      <c r="A155" s="87" t="str">
        <f>IFERROR(__xludf.DUMMYFUNCTION("""COMPUTED_VALUE"""),"Persediaan ITBISA-RELAY-12V-5PIN-BLUE")</f>
        <v>Persediaan ITBISA-RELAY-12V-5PIN-BLUE</v>
      </c>
    </row>
    <row r="156">
      <c r="A156" s="87" t="str">
        <f>IFERROR(__xludf.DUMMYFUNCTION("""COMPUTED_VALUE"""),"Persediaan ITBISA-RELAY-5V-1CHANNEL-BLUE-LOW-TRIGGER")</f>
        <v>Persediaan ITBISA-RELAY-5V-1CHANNEL-BLUE-LOW-TRIGGER</v>
      </c>
    </row>
    <row r="157">
      <c r="A157" s="87" t="str">
        <f>IFERROR(__xludf.DUMMYFUNCTION("""COMPUTED_VALUE"""),"Persediaan ITBISA-RELAY-5V-4PIN-BLUE")</f>
        <v>Persediaan ITBISA-RELAY-5V-4PIN-BLUE</v>
      </c>
    </row>
    <row r="158">
      <c r="A158" s="87" t="str">
        <f>IFERROR(__xludf.DUMMYFUNCTION("""COMPUTED_VALUE"""),"Persediaan ITBISA-RELAY-5V-5PIN-BLUE")</f>
        <v>Persediaan ITBISA-RELAY-5V-5PIN-BLUE</v>
      </c>
    </row>
    <row r="159">
      <c r="A159" s="87" t="str">
        <f>IFERROR(__xludf.DUMMYFUNCTION("""COMPUTED_VALUE"""),"Persediaan ITBISA-RESISTOR-100K-1/4W")</f>
        <v>Persediaan ITBISA-RESISTOR-100K-1/4W</v>
      </c>
    </row>
    <row r="160">
      <c r="A160" s="87" t="str">
        <f>IFERROR(__xludf.DUMMYFUNCTION("""COMPUTED_VALUE"""),"Persediaan ITBISA-RESISTOR-10K-1/4W")</f>
        <v>Persediaan ITBISA-RESISTOR-10K-1/4W</v>
      </c>
    </row>
    <row r="161">
      <c r="A161" s="87" t="str">
        <f>IFERROR(__xludf.DUMMYFUNCTION("""COMPUTED_VALUE"""),"Persediaan ITBISA-RESISTOR-120K-1/4W")</f>
        <v>Persediaan ITBISA-RESISTOR-120K-1/4W</v>
      </c>
    </row>
    <row r="162">
      <c r="A162" s="87" t="str">
        <f>IFERROR(__xludf.DUMMYFUNCTION("""COMPUTED_VALUE"""),"Persediaan ITBISA-RESISTOR-12K-1/4W")</f>
        <v>Persediaan ITBISA-RESISTOR-12K-1/4W</v>
      </c>
    </row>
    <row r="163">
      <c r="A163" s="87" t="str">
        <f>IFERROR(__xludf.DUMMYFUNCTION("""COMPUTED_VALUE"""),"Persediaan ITBISA-RESISTOR-150K-1/4W")</f>
        <v>Persediaan ITBISA-RESISTOR-150K-1/4W</v>
      </c>
    </row>
    <row r="164">
      <c r="A164" s="87" t="str">
        <f>IFERROR(__xludf.DUMMYFUNCTION("""COMPUTED_VALUE"""),"Persediaan ITBISA-RESISTOR-15K-1/4W")</f>
        <v>Persediaan ITBISA-RESISTOR-15K-1/4W</v>
      </c>
    </row>
    <row r="165">
      <c r="A165" s="87" t="str">
        <f>IFERROR(__xludf.DUMMYFUNCTION("""COMPUTED_VALUE"""),"Persediaan ITBISA-RESISTOR-18K-1/4W")</f>
        <v>Persediaan ITBISA-RESISTOR-18K-1/4W</v>
      </c>
    </row>
    <row r="166">
      <c r="A166" s="87" t="str">
        <f>IFERROR(__xludf.DUMMYFUNCTION("""COMPUTED_VALUE"""),"Persediaan ITBISA-RESISTOR-1K-1/4W")</f>
        <v>Persediaan ITBISA-RESISTOR-1K-1/4W</v>
      </c>
    </row>
    <row r="167">
      <c r="A167" s="87" t="str">
        <f>IFERROR(__xludf.DUMMYFUNCTION("""COMPUTED_VALUE"""),"Persediaan ITBISA-RESISTOR-1M-1/4W")</f>
        <v>Persediaan ITBISA-RESISTOR-1M-1/4W</v>
      </c>
    </row>
    <row r="168">
      <c r="A168" s="87" t="str">
        <f>IFERROR(__xludf.DUMMYFUNCTION("""COMPUTED_VALUE"""),"Persediaan ITBISA-RESISTOR-220-1/4W")</f>
        <v>Persediaan ITBISA-RESISTOR-220-1/4W</v>
      </c>
    </row>
    <row r="169">
      <c r="A169" s="87" t="str">
        <f>IFERROR(__xludf.DUMMYFUNCTION("""COMPUTED_VALUE"""),"Persediaan ITBISA-RESISTOR-22K-1/4W")</f>
        <v>Persediaan ITBISA-RESISTOR-22K-1/4W</v>
      </c>
    </row>
    <row r="170">
      <c r="A170" s="87" t="str">
        <f>IFERROR(__xludf.DUMMYFUNCTION("""COMPUTED_VALUE"""),"Persediaan ITBISA-RESISTOR-270-1/4W")</f>
        <v>Persediaan ITBISA-RESISTOR-270-1/4W</v>
      </c>
    </row>
    <row r="171">
      <c r="A171" s="87" t="str">
        <f>IFERROR(__xludf.DUMMYFUNCTION("""COMPUTED_VALUE"""),"Persediaan ITBISA-RESISTOR-270K-1/4W")</f>
        <v>Persediaan ITBISA-RESISTOR-270K-1/4W</v>
      </c>
    </row>
    <row r="172">
      <c r="A172" s="87" t="str">
        <f>IFERROR(__xludf.DUMMYFUNCTION("""COMPUTED_VALUE"""),"Persediaan ITBISA-RESISTOR-27K-1/4W")</f>
        <v>Persediaan ITBISA-RESISTOR-27K-1/4W</v>
      </c>
    </row>
    <row r="173">
      <c r="A173" s="87" t="str">
        <f>IFERROR(__xludf.DUMMYFUNCTION("""COMPUTED_VALUE"""),"Persediaan ITBISA-RESISTOR-2K2-1/4W")</f>
        <v>Persediaan ITBISA-RESISTOR-2K2-1/4W</v>
      </c>
    </row>
    <row r="174">
      <c r="A174" s="87" t="str">
        <f>IFERROR(__xludf.DUMMYFUNCTION("""COMPUTED_VALUE"""),"Persediaan ITBISA-RESISTOR-2K7-1/4W")</f>
        <v>Persediaan ITBISA-RESISTOR-2K7-1/4W</v>
      </c>
    </row>
    <row r="175">
      <c r="A175" s="87" t="str">
        <f>IFERROR(__xludf.DUMMYFUNCTION("""COMPUTED_VALUE"""),"Persediaan ITBISA-RESISTOR-30K-1/4W")</f>
        <v>Persediaan ITBISA-RESISTOR-30K-1/4W</v>
      </c>
    </row>
    <row r="176">
      <c r="A176" s="87" t="str">
        <f>IFERROR(__xludf.DUMMYFUNCTION("""COMPUTED_VALUE"""),"Persediaan ITBISA-RESISTOR-330-1/4W")</f>
        <v>Persediaan ITBISA-RESISTOR-330-1/4W</v>
      </c>
    </row>
    <row r="177">
      <c r="A177" s="87" t="str">
        <f>IFERROR(__xludf.DUMMYFUNCTION("""COMPUTED_VALUE"""),"Persediaan ITBISA-RESISTOR-33K-1/4W")</f>
        <v>Persediaan ITBISA-RESISTOR-33K-1/4W</v>
      </c>
    </row>
    <row r="178">
      <c r="A178" s="87" t="str">
        <f>IFERROR(__xludf.DUMMYFUNCTION("""COMPUTED_VALUE"""),"Persediaan ITBISA-RESISTOR-390-1/4W")</f>
        <v>Persediaan ITBISA-RESISTOR-390-1/4W</v>
      </c>
    </row>
    <row r="179">
      <c r="A179" s="87" t="str">
        <f>IFERROR(__xludf.DUMMYFUNCTION("""COMPUTED_VALUE"""),"Persediaan ITBISA-RESISTOR-39K-1/4W")</f>
        <v>Persediaan ITBISA-RESISTOR-39K-1/4W</v>
      </c>
    </row>
    <row r="180">
      <c r="A180" s="87" t="str">
        <f>IFERROR(__xludf.DUMMYFUNCTION("""COMPUTED_VALUE"""),"Persediaan ITBISA-RESISTOR-3K3-1/4W")</f>
        <v>Persediaan ITBISA-RESISTOR-3K3-1/4W</v>
      </c>
    </row>
    <row r="181">
      <c r="A181" s="87" t="str">
        <f>IFERROR(__xludf.DUMMYFUNCTION("""COMPUTED_VALUE"""),"Persediaan ITBISA-RESISTOR-470K-1/4W")</f>
        <v>Persediaan ITBISA-RESISTOR-470K-1/4W</v>
      </c>
    </row>
    <row r="182">
      <c r="A182" s="87" t="str">
        <f>IFERROR(__xludf.DUMMYFUNCTION("""COMPUTED_VALUE"""),"Persediaan ITBISA-RESISTOR-47K-1/4W")</f>
        <v>Persediaan ITBISA-RESISTOR-47K-1/4W</v>
      </c>
    </row>
    <row r="183">
      <c r="A183" s="87" t="str">
        <f>IFERROR(__xludf.DUMMYFUNCTION("""COMPUTED_VALUE"""),"Persediaan ITBISA-RESISTOR-4K7-1/4W")</f>
        <v>Persediaan ITBISA-RESISTOR-4K7-1/4W</v>
      </c>
    </row>
    <row r="184">
      <c r="A184" s="87" t="str">
        <f>IFERROR(__xludf.DUMMYFUNCTION("""COMPUTED_VALUE"""),"Persediaan ITBISA-RESISTOR-560-1/4W")</f>
        <v>Persediaan ITBISA-RESISTOR-560-1/4W</v>
      </c>
    </row>
    <row r="185">
      <c r="A185" s="87" t="str">
        <f>IFERROR(__xludf.DUMMYFUNCTION("""COMPUTED_VALUE"""),"Persediaan ITBISA-RESISTOR-56K-1/4W")</f>
        <v>Persediaan ITBISA-RESISTOR-56K-1/4W</v>
      </c>
    </row>
    <row r="186">
      <c r="A186" s="87" t="str">
        <f>IFERROR(__xludf.DUMMYFUNCTION("""COMPUTED_VALUE"""),"Persediaan ITBISA-RESISTOR-5K6-1/4W")</f>
        <v>Persediaan ITBISA-RESISTOR-5K6-1/4W</v>
      </c>
    </row>
    <row r="187">
      <c r="A187" s="87" t="str">
        <f>IFERROR(__xludf.DUMMYFUNCTION("""COMPUTED_VALUE"""),"Persediaan ITBISA-RESISTOR-680K-1/4W")</f>
        <v>Persediaan ITBISA-RESISTOR-680K-1/4W</v>
      </c>
    </row>
    <row r="188">
      <c r="A188" s="87" t="str">
        <f>IFERROR(__xludf.DUMMYFUNCTION("""COMPUTED_VALUE"""),"Persediaan ITBISA-RESISTOR-6K8-1/4W")</f>
        <v>Persediaan ITBISA-RESISTOR-6K8-1/4W</v>
      </c>
    </row>
    <row r="189">
      <c r="A189" s="87" t="str">
        <f>IFERROR(__xludf.DUMMYFUNCTION("""COMPUTED_VALUE"""),"Persediaan ITBISA-RFID-RC522-KIT")</f>
        <v>Persediaan ITBISA-RFID-RC522-KIT</v>
      </c>
    </row>
    <row r="190">
      <c r="A190" s="87" t="str">
        <f>IFERROR(__xludf.DUMMYFUNCTION("""COMPUTED_VALUE"""),"Persediaan ITBISA-RTC-DS3231M")</f>
        <v>Persediaan ITBISA-RTC-DS3231M</v>
      </c>
    </row>
    <row r="191">
      <c r="A191" s="87" t="str">
        <f>IFERROR(__xludf.DUMMYFUNCTION("""COMPUTED_VALUE"""),"Persediaan ITBISA-RTC-DS3231SN")</f>
        <v>Persediaan ITBISA-RTC-DS3231SN</v>
      </c>
    </row>
    <row r="192">
      <c r="A192" s="87" t="str">
        <f>IFERROR(__xludf.DUMMYFUNCTION("""COMPUTED_VALUE"""),"Persediaan ITBISA-SENSOR-SUHU-DHT11")</f>
        <v>Persediaan ITBISA-SENSOR-SUHU-DHT11</v>
      </c>
    </row>
    <row r="193">
      <c r="A193" s="87" t="str">
        <f>IFERROR(__xludf.DUMMYFUNCTION("""COMPUTED_VALUE"""),"Persediaan ITBISA-SENSOR-ULTRASONIK-HCSR04")</f>
        <v>Persediaan ITBISA-SENSOR-ULTRASONIK-HCSR04</v>
      </c>
    </row>
    <row r="194">
      <c r="A194" s="87" t="str">
        <f>IFERROR(__xludf.DUMMYFUNCTION("""COMPUTED_VALUE"""),"Persediaan ITBISA-SERVO-CHECKER")</f>
        <v>Persediaan ITBISA-SERVO-CHECKER</v>
      </c>
    </row>
    <row r="195">
      <c r="A195" s="87" t="str">
        <f>IFERROR(__xludf.DUMMYFUNCTION("""COMPUTED_VALUE"""),"Persediaan ITBISA-SERVO-SG90-180DEG")</f>
        <v>Persediaan ITBISA-SERVO-SG90-180DEG</v>
      </c>
    </row>
    <row r="196">
      <c r="A196" s="87" t="str">
        <f>IFERROR(__xludf.DUMMYFUNCTION("""COMPUTED_VALUE"""),"Persediaan ITBISA-SERVO-SG90-360DEG")</f>
        <v>Persediaan ITBISA-SERVO-SG90-360DEG</v>
      </c>
    </row>
    <row r="197">
      <c r="A197" s="87" t="str">
        <f>IFERROR(__xludf.DUMMYFUNCTION("""COMPUTED_VALUE"""),"Persediaan ITBISA-SOCKET-BATERAI-AA-4SLOT")</f>
        <v>Persediaan ITBISA-SOCKET-BATERAI-AA-4SLOT</v>
      </c>
    </row>
    <row r="198">
      <c r="A198" s="87" t="str">
        <f>IFERROR(__xludf.DUMMYFUNCTION("""COMPUTED_VALUE"""),"Persediaan ITBISA-SOCKET-IC-DIP14-NARROW")</f>
        <v>Persediaan ITBISA-SOCKET-IC-DIP14-NARROW</v>
      </c>
    </row>
    <row r="199">
      <c r="A199" s="87" t="str">
        <f>IFERROR(__xludf.DUMMYFUNCTION("""COMPUTED_VALUE"""),"Persediaan ITBISA-SOCKET-IC-DIP16-NARROW")</f>
        <v>Persediaan ITBISA-SOCKET-IC-DIP16-NARROW</v>
      </c>
    </row>
    <row r="200">
      <c r="A200" s="87" t="str">
        <f>IFERROR(__xludf.DUMMYFUNCTION("""COMPUTED_VALUE"""),"Persediaan ITBISA-SOCKET-IC-DIP20-NARROW")</f>
        <v>Persediaan ITBISA-SOCKET-IC-DIP20-NARROW</v>
      </c>
    </row>
    <row r="201">
      <c r="A201" s="87" t="str">
        <f>IFERROR(__xludf.DUMMYFUNCTION("""COMPUTED_VALUE"""),"Persediaan ITBISA-SOCKET-IC-DIP28-NARROW")</f>
        <v>Persediaan ITBISA-SOCKET-IC-DIP28-NARROW</v>
      </c>
    </row>
    <row r="202">
      <c r="A202" s="87" t="str">
        <f>IFERROR(__xludf.DUMMYFUNCTION("""COMPUTED_VALUE"""),"Persediaan ITBISA-SOCKET-IC-DIP8-NARROW")</f>
        <v>Persediaan ITBISA-SOCKET-IC-DIP8-NARROW</v>
      </c>
    </row>
    <row r="203">
      <c r="A203" s="87" t="str">
        <f>IFERROR(__xludf.DUMMYFUNCTION("""COMPUTED_VALUE"""),"Persediaan ITBISA-TERMINAL-BLOCK-KF301-2P-BLUE")</f>
        <v>Persediaan ITBISA-TERMINAL-BLOCK-KF301-2P-BLUE</v>
      </c>
    </row>
    <row r="204">
      <c r="A204" s="87" t="str">
        <f>IFERROR(__xludf.DUMMYFUNCTION("""COMPUTED_VALUE"""),"Persediaan ITBISA-TIGERHEAD-SENTER-KUNING-FT300")</f>
        <v>Persediaan ITBISA-TIGERHEAD-SENTER-KUNING-FT300</v>
      </c>
    </row>
    <row r="205">
      <c r="A205" s="87" t="str">
        <f>IFERROR(__xludf.DUMMYFUNCTION("""COMPUTED_VALUE"""),"Persediaan ITBISA-USB-A-TO-B-30CM")</f>
        <v>Persediaan ITBISA-USB-A-TO-B-30CM</v>
      </c>
    </row>
    <row r="206">
      <c r="A206" s="87" t="str">
        <f>IFERROR(__xludf.DUMMYFUNCTION("""COMPUTED_VALUE"""),"Persediaan ITBISA-WEMOS-D1-MINI-ESP8266")</f>
        <v>Persediaan ITBISA-WEMOS-D1-MINI-ESP8266</v>
      </c>
    </row>
    <row r="207">
      <c r="A207" s="87" t="str">
        <f>IFERROR(__xludf.DUMMYFUNCTION("""COMPUTED_VALUE"""),"Piutang")</f>
        <v>Piutang</v>
      </c>
    </row>
    <row r="208">
      <c r="A208" s="87" t="str">
        <f>IFERROR(__xludf.DUMMYFUNCTION("""COMPUTED_VALUE"""),"Piutang Blibli")</f>
        <v>Piutang Blibli</v>
      </c>
    </row>
    <row r="209">
      <c r="A209" s="87" t="str">
        <f>IFERROR(__xludf.DUMMYFUNCTION("""COMPUTED_VALUE"""),"Piutang CoD")</f>
        <v>Piutang CoD</v>
      </c>
    </row>
    <row r="210">
      <c r="A210" s="87" t="str">
        <f>IFERROR(__xludf.DUMMYFUNCTION("""COMPUTED_VALUE"""),"Piutang Deni")</f>
        <v>Piutang Deni</v>
      </c>
    </row>
    <row r="211">
      <c r="A211" s="87" t="str">
        <f>IFERROR(__xludf.DUMMYFUNCTION("""COMPUTED_VALUE"""),"Piutang Investasi")</f>
        <v>Piutang Investasi</v>
      </c>
    </row>
    <row r="212">
      <c r="A212" s="87" t="str">
        <f>IFERROR(__xludf.DUMMYFUNCTION("""COMPUTED_VALUE"""),"Piutang Migrasi - Art Techno")</f>
        <v>Piutang Migrasi - Art Techno</v>
      </c>
    </row>
    <row r="213">
      <c r="A213" s="87" t="str">
        <f>IFERROR(__xludf.DUMMYFUNCTION("""COMPUTED_VALUE"""),"Piutang Migrasi - Jasa Impor Tiongkok")</f>
        <v>Piutang Migrasi - Jasa Impor Tiongkok</v>
      </c>
    </row>
    <row r="214">
      <c r="A214" s="87" t="str">
        <f>IFERROR(__xludf.DUMMYFUNCTION("""COMPUTED_VALUE"""),"Piutang Migrasi - Migrasi")</f>
        <v>Piutang Migrasi - Migrasi</v>
      </c>
    </row>
    <row r="215">
      <c r="A215" s="87" t="str">
        <f>IFERROR(__xludf.DUMMYFUNCTION("""COMPUTED_VALUE"""),"Piutang Migrasi - Ocistok/Martkita")</f>
        <v>Piutang Migrasi - Ocistok/Martkita</v>
      </c>
    </row>
    <row r="216">
      <c r="A216" s="87" t="str">
        <f>IFERROR(__xludf.DUMMYFUNCTION("""COMPUTED_VALUE"""),"Piutang Migrasi - PT Arta Boga")</f>
        <v>Piutang Migrasi - PT Arta Boga</v>
      </c>
    </row>
    <row r="217">
      <c r="A217" s="87" t="str">
        <f>IFERROR(__xludf.DUMMYFUNCTION("""COMPUTED_VALUE"""),"Piutang Migrasi - Shopee")</f>
        <v>Piutang Migrasi - Shopee</v>
      </c>
    </row>
    <row r="218">
      <c r="A218" s="87" t="str">
        <f>IFERROR(__xludf.DUMMYFUNCTION("""COMPUTED_VALUE"""),"Piutang Migrasi - Tokopedia")</f>
        <v>Piutang Migrasi - Tokopedia</v>
      </c>
    </row>
    <row r="219">
      <c r="A219" s="87" t="str">
        <f>IFERROR(__xludf.DUMMYFUNCTION("""COMPUTED_VALUE"""),"Piutang Ocistok/Martkita")</f>
        <v>Piutang Ocistok/Martkita</v>
      </c>
    </row>
    <row r="220">
      <c r="A220" s="87" t="str">
        <f>IFERROR(__xludf.DUMMYFUNCTION("""COMPUTED_VALUE"""),"Piutang PT Arta Boga")</f>
        <v>Piutang PT Arta Boga</v>
      </c>
    </row>
    <row r="221">
      <c r="A221" s="87" t="str">
        <f>IFERROR(__xludf.DUMMYFUNCTION("""COMPUTED_VALUE"""),"Piutang Shopee")</f>
        <v>Piutang Shopee</v>
      </c>
    </row>
    <row r="222">
      <c r="A222" s="87" t="str">
        <f>IFERROR(__xludf.DUMMYFUNCTION("""COMPUTED_VALUE"""),"Piutang Shopee Aji")</f>
        <v>Piutang Shopee Aji</v>
      </c>
    </row>
    <row r="223">
      <c r="A223" s="87" t="str">
        <f>IFERROR(__xludf.DUMMYFUNCTION("""COMPUTED_VALUE"""),"Piutang Tokopedia")</f>
        <v>Piutang Tokopedia</v>
      </c>
    </row>
    <row r="224">
      <c r="A224" s="87" t="str">
        <f>IFERROR(__xludf.DUMMYFUNCTION("""COMPUTED_VALUE"""),"Utang Ocistok")</f>
        <v>Utang Ocistok</v>
      </c>
    </row>
    <row r="225">
      <c r="A225" s="87" t="str">
        <f>IFERROR(__xludf.DUMMYFUNCTION("""COMPUTED_VALUE"""),"Utang Ocistok / Martkita")</f>
        <v>Utang Ocistok / Martkita</v>
      </c>
    </row>
    <row r="226">
      <c r="A226" s="87"/>
    </row>
    <row r="227">
      <c r="A227" s="87"/>
    </row>
    <row r="228">
      <c r="A228" s="87"/>
    </row>
    <row r="229">
      <c r="A229" s="87"/>
    </row>
    <row r="230">
      <c r="A230" s="87"/>
    </row>
    <row r="231">
      <c r="A231" s="87"/>
    </row>
    <row r="232">
      <c r="A232" s="87"/>
    </row>
    <row r="233">
      <c r="A233" s="87"/>
    </row>
    <row r="234">
      <c r="A234" s="87"/>
    </row>
    <row r="235">
      <c r="A235" s="87"/>
    </row>
    <row r="236">
      <c r="A236" s="87"/>
    </row>
    <row r="237">
      <c r="A237" s="87"/>
    </row>
    <row r="238">
      <c r="A238" s="87"/>
    </row>
    <row r="239">
      <c r="A239" s="87"/>
    </row>
    <row r="240">
      <c r="A240" s="87"/>
    </row>
    <row r="241">
      <c r="A241" s="87"/>
    </row>
    <row r="242">
      <c r="A242" s="87"/>
    </row>
    <row r="243">
      <c r="A243" s="87"/>
    </row>
    <row r="244">
      <c r="A244" s="87"/>
    </row>
    <row r="245">
      <c r="A245" s="87"/>
    </row>
    <row r="246">
      <c r="A246" s="87"/>
    </row>
    <row r="247">
      <c r="A247" s="87"/>
    </row>
    <row r="248">
      <c r="A248" s="87"/>
    </row>
    <row r="249">
      <c r="A249" s="87"/>
    </row>
    <row r="250">
      <c r="A250" s="87"/>
    </row>
    <row r="251">
      <c r="A251" s="87"/>
    </row>
    <row r="252">
      <c r="A252" s="87"/>
    </row>
    <row r="253">
      <c r="A253" s="87"/>
    </row>
    <row r="254">
      <c r="A254" s="87"/>
    </row>
    <row r="255">
      <c r="A255" s="87"/>
    </row>
    <row r="256">
      <c r="A256" s="87"/>
    </row>
    <row r="257">
      <c r="A257" s="87"/>
    </row>
    <row r="258">
      <c r="A258" s="87"/>
    </row>
    <row r="259">
      <c r="A259" s="87"/>
    </row>
    <row r="260">
      <c r="A260" s="87"/>
    </row>
    <row r="261">
      <c r="A261" s="87"/>
    </row>
    <row r="262">
      <c r="A262" s="87"/>
    </row>
    <row r="263">
      <c r="A263" s="87"/>
    </row>
    <row r="264">
      <c r="A264" s="87"/>
    </row>
    <row r="265">
      <c r="A265" s="87"/>
    </row>
    <row r="266">
      <c r="A266" s="87"/>
    </row>
    <row r="267">
      <c r="A267" s="87"/>
    </row>
    <row r="268">
      <c r="A268" s="87"/>
    </row>
    <row r="269">
      <c r="A269" s="87"/>
    </row>
    <row r="270">
      <c r="A270" s="87"/>
    </row>
    <row r="271">
      <c r="A271" s="87"/>
    </row>
    <row r="272">
      <c r="A272" s="87"/>
    </row>
    <row r="273">
      <c r="A273" s="87"/>
    </row>
    <row r="274">
      <c r="A274" s="87"/>
    </row>
    <row r="275">
      <c r="A275" s="87"/>
    </row>
    <row r="276">
      <c r="A276" s="87"/>
    </row>
    <row r="277">
      <c r="A277" s="87"/>
    </row>
    <row r="278">
      <c r="A278" s="87"/>
    </row>
    <row r="279">
      <c r="A279" s="87"/>
    </row>
    <row r="280">
      <c r="A280" s="87"/>
    </row>
    <row r="281">
      <c r="A281" s="87"/>
    </row>
    <row r="282">
      <c r="A282" s="87"/>
    </row>
    <row r="283">
      <c r="A283" s="87"/>
    </row>
    <row r="284">
      <c r="A284" s="87"/>
    </row>
    <row r="285">
      <c r="A285" s="87"/>
    </row>
    <row r="286">
      <c r="A286" s="87"/>
    </row>
    <row r="287">
      <c r="A287" s="87"/>
    </row>
    <row r="288">
      <c r="A288" s="87"/>
    </row>
    <row r="289">
      <c r="A289" s="87"/>
    </row>
    <row r="290">
      <c r="A290" s="87"/>
    </row>
    <row r="291">
      <c r="A291" s="87"/>
    </row>
    <row r="292">
      <c r="A292" s="87"/>
    </row>
    <row r="293">
      <c r="A293" s="87"/>
    </row>
    <row r="294">
      <c r="A294" s="87"/>
    </row>
    <row r="295">
      <c r="A295" s="87"/>
    </row>
    <row r="296">
      <c r="A296" s="87"/>
    </row>
    <row r="297">
      <c r="A297" s="87"/>
    </row>
    <row r="298">
      <c r="A298" s="87"/>
    </row>
    <row r="299">
      <c r="A299" s="87"/>
    </row>
    <row r="300">
      <c r="A300" s="87"/>
    </row>
    <row r="301">
      <c r="A301" s="87"/>
    </row>
    <row r="302">
      <c r="A302" s="87"/>
    </row>
    <row r="303">
      <c r="A303" s="87"/>
    </row>
    <row r="304">
      <c r="A304" s="87"/>
    </row>
    <row r="305">
      <c r="A305" s="87"/>
    </row>
    <row r="306">
      <c r="A306" s="87"/>
    </row>
    <row r="307">
      <c r="A307" s="87"/>
    </row>
    <row r="308">
      <c r="A308" s="87"/>
    </row>
    <row r="309">
      <c r="A309" s="87"/>
    </row>
    <row r="310">
      <c r="A310" s="87"/>
    </row>
    <row r="311">
      <c r="A311" s="87"/>
    </row>
    <row r="312">
      <c r="A312" s="87"/>
    </row>
    <row r="313">
      <c r="A313" s="87"/>
    </row>
    <row r="314">
      <c r="A314" s="87"/>
    </row>
    <row r="315">
      <c r="A315" s="87"/>
    </row>
    <row r="316">
      <c r="A316" s="87"/>
    </row>
    <row r="317">
      <c r="A317" s="87"/>
    </row>
    <row r="318">
      <c r="A318" s="87"/>
    </row>
    <row r="319">
      <c r="A319" s="87"/>
    </row>
    <row r="320">
      <c r="A320" s="87"/>
    </row>
    <row r="321">
      <c r="A321" s="87"/>
    </row>
    <row r="322">
      <c r="A322" s="87"/>
    </row>
    <row r="323">
      <c r="A323" s="87"/>
    </row>
    <row r="324">
      <c r="A324" s="87"/>
    </row>
    <row r="325">
      <c r="A325" s="87"/>
    </row>
    <row r="326">
      <c r="A326" s="87"/>
    </row>
    <row r="327">
      <c r="A327" s="87"/>
    </row>
    <row r="328">
      <c r="A328" s="87"/>
    </row>
    <row r="329">
      <c r="A329" s="87"/>
    </row>
    <row r="330">
      <c r="A330" s="87"/>
    </row>
    <row r="331">
      <c r="A331" s="87"/>
    </row>
    <row r="332">
      <c r="A332" s="87"/>
    </row>
    <row r="333">
      <c r="A333" s="87"/>
    </row>
    <row r="334">
      <c r="A334" s="87"/>
    </row>
    <row r="335">
      <c r="A335" s="87"/>
    </row>
    <row r="336">
      <c r="A336" s="87"/>
    </row>
    <row r="337">
      <c r="A337" s="87"/>
    </row>
    <row r="338">
      <c r="A338" s="87"/>
    </row>
    <row r="339">
      <c r="A339" s="87"/>
    </row>
    <row r="340">
      <c r="A340" s="87"/>
    </row>
    <row r="341">
      <c r="A341" s="87"/>
    </row>
    <row r="342">
      <c r="A342" s="87"/>
    </row>
    <row r="343">
      <c r="A343" s="87"/>
    </row>
    <row r="344">
      <c r="A344" s="87"/>
    </row>
    <row r="345">
      <c r="A345" s="87"/>
    </row>
    <row r="346">
      <c r="A346" s="87"/>
    </row>
    <row r="347">
      <c r="A347" s="87"/>
    </row>
    <row r="348">
      <c r="A348" s="87"/>
    </row>
    <row r="349">
      <c r="A349" s="87"/>
    </row>
    <row r="350">
      <c r="A350" s="87"/>
    </row>
    <row r="351">
      <c r="A351" s="87"/>
    </row>
    <row r="352">
      <c r="A352" s="87"/>
    </row>
    <row r="353">
      <c r="A353" s="87"/>
    </row>
    <row r="354">
      <c r="A354" s="87"/>
    </row>
    <row r="355">
      <c r="A355" s="87"/>
    </row>
    <row r="356">
      <c r="A356" s="87"/>
    </row>
    <row r="357">
      <c r="A357" s="87"/>
    </row>
    <row r="358">
      <c r="A358" s="87"/>
    </row>
    <row r="359">
      <c r="A359" s="87"/>
    </row>
    <row r="360">
      <c r="A360" s="87"/>
    </row>
    <row r="361">
      <c r="A361" s="87"/>
    </row>
    <row r="362">
      <c r="A362" s="87"/>
    </row>
    <row r="363">
      <c r="A363" s="87"/>
    </row>
    <row r="364">
      <c r="A364" s="87"/>
    </row>
    <row r="365">
      <c r="A365" s="87"/>
    </row>
    <row r="366">
      <c r="A366" s="87"/>
    </row>
    <row r="367">
      <c r="A367" s="87"/>
    </row>
    <row r="368">
      <c r="A368" s="87"/>
    </row>
    <row r="369">
      <c r="A369" s="87"/>
    </row>
    <row r="370">
      <c r="A370" s="87"/>
    </row>
    <row r="371">
      <c r="A371" s="87"/>
    </row>
    <row r="372">
      <c r="A372" s="87"/>
    </row>
    <row r="373">
      <c r="A373" s="87"/>
    </row>
    <row r="374">
      <c r="A374" s="87"/>
    </row>
    <row r="375">
      <c r="A375" s="87"/>
    </row>
    <row r="376">
      <c r="A376" s="87"/>
    </row>
    <row r="377">
      <c r="A377" s="87"/>
    </row>
    <row r="378">
      <c r="A378" s="87"/>
    </row>
    <row r="379">
      <c r="A379" s="87"/>
    </row>
    <row r="380">
      <c r="A380" s="87"/>
    </row>
    <row r="381">
      <c r="A381" s="87"/>
    </row>
    <row r="382">
      <c r="A382" s="87"/>
    </row>
    <row r="383">
      <c r="A383" s="87"/>
    </row>
    <row r="384">
      <c r="A384" s="87"/>
    </row>
    <row r="385">
      <c r="A385" s="87"/>
    </row>
    <row r="386">
      <c r="A386" s="87"/>
    </row>
    <row r="387">
      <c r="A387" s="87"/>
    </row>
    <row r="388">
      <c r="A388" s="87"/>
    </row>
    <row r="389">
      <c r="A389" s="87"/>
    </row>
    <row r="390">
      <c r="A390" s="87"/>
    </row>
    <row r="391">
      <c r="A391" s="87"/>
    </row>
    <row r="392">
      <c r="A392" s="87"/>
    </row>
    <row r="393">
      <c r="A393" s="87"/>
    </row>
    <row r="394">
      <c r="A394" s="87"/>
    </row>
    <row r="395">
      <c r="A395" s="87"/>
    </row>
    <row r="396">
      <c r="A396" s="87"/>
    </row>
    <row r="397">
      <c r="A397" s="87"/>
    </row>
    <row r="398">
      <c r="A398" s="87"/>
    </row>
    <row r="399">
      <c r="A399" s="87"/>
    </row>
    <row r="400">
      <c r="A400" s="87"/>
    </row>
    <row r="401">
      <c r="A401" s="87"/>
    </row>
    <row r="402">
      <c r="A402" s="87"/>
    </row>
    <row r="403">
      <c r="A403" s="87"/>
    </row>
    <row r="404">
      <c r="A404" s="87"/>
    </row>
    <row r="405">
      <c r="A405" s="87"/>
    </row>
    <row r="406">
      <c r="A406" s="87"/>
    </row>
    <row r="407">
      <c r="A407" s="87"/>
    </row>
    <row r="408">
      <c r="A408" s="87"/>
    </row>
    <row r="409">
      <c r="A409" s="87"/>
    </row>
    <row r="410">
      <c r="A410" s="87"/>
    </row>
    <row r="411">
      <c r="A411" s="87"/>
    </row>
    <row r="412">
      <c r="A412" s="87"/>
    </row>
    <row r="413">
      <c r="A413" s="87"/>
    </row>
    <row r="414">
      <c r="A414" s="87"/>
    </row>
    <row r="415">
      <c r="A415" s="87"/>
    </row>
    <row r="416">
      <c r="A416" s="87"/>
    </row>
    <row r="417">
      <c r="A417" s="87"/>
    </row>
    <row r="418">
      <c r="A418" s="87"/>
    </row>
    <row r="419">
      <c r="A419" s="87"/>
    </row>
    <row r="420">
      <c r="A420" s="87"/>
    </row>
    <row r="421">
      <c r="A421" s="87"/>
    </row>
    <row r="422">
      <c r="A422" s="87"/>
    </row>
    <row r="423">
      <c r="A423" s="87"/>
    </row>
    <row r="424">
      <c r="A424" s="87"/>
    </row>
    <row r="425">
      <c r="A425" s="87"/>
    </row>
    <row r="426">
      <c r="A426" s="87"/>
    </row>
    <row r="427">
      <c r="A427" s="87"/>
    </row>
    <row r="428">
      <c r="A428" s="87"/>
    </row>
    <row r="429">
      <c r="A429" s="87"/>
    </row>
    <row r="430">
      <c r="A430" s="87"/>
    </row>
    <row r="431">
      <c r="A431" s="87"/>
    </row>
    <row r="432">
      <c r="A432" s="87"/>
    </row>
    <row r="433">
      <c r="A433" s="87"/>
    </row>
    <row r="434">
      <c r="A434" s="87"/>
    </row>
    <row r="435">
      <c r="A435" s="87"/>
    </row>
    <row r="436">
      <c r="A436" s="87"/>
    </row>
    <row r="437">
      <c r="A437" s="87"/>
    </row>
    <row r="438">
      <c r="A438" s="87"/>
    </row>
    <row r="439">
      <c r="A439" s="87"/>
    </row>
    <row r="440">
      <c r="A440" s="87"/>
    </row>
    <row r="441">
      <c r="A441" s="87"/>
    </row>
    <row r="442">
      <c r="A442" s="87"/>
    </row>
    <row r="443">
      <c r="A443" s="87"/>
    </row>
    <row r="444">
      <c r="A444" s="87"/>
    </row>
    <row r="445">
      <c r="A445" s="87"/>
    </row>
    <row r="446">
      <c r="A446" s="87"/>
    </row>
    <row r="447">
      <c r="A447" s="87"/>
    </row>
    <row r="448">
      <c r="A448" s="87"/>
    </row>
    <row r="449">
      <c r="A449" s="87"/>
    </row>
    <row r="450">
      <c r="A450" s="87"/>
    </row>
    <row r="451">
      <c r="A451" s="87"/>
    </row>
    <row r="452">
      <c r="A452" s="87"/>
    </row>
    <row r="453">
      <c r="A453" s="87"/>
    </row>
    <row r="454">
      <c r="A454" s="87"/>
    </row>
    <row r="455">
      <c r="A455" s="87"/>
    </row>
    <row r="456">
      <c r="A456" s="87"/>
    </row>
    <row r="457">
      <c r="A457" s="87"/>
    </row>
    <row r="458">
      <c r="A458" s="87"/>
    </row>
    <row r="459">
      <c r="A459" s="87"/>
    </row>
    <row r="460">
      <c r="A460" s="87"/>
    </row>
    <row r="461">
      <c r="A461" s="87"/>
    </row>
    <row r="462">
      <c r="A462" s="87"/>
    </row>
    <row r="463">
      <c r="A463" s="87"/>
    </row>
    <row r="464">
      <c r="A464" s="87"/>
    </row>
    <row r="465">
      <c r="A465" s="87"/>
    </row>
    <row r="466">
      <c r="A466" s="87"/>
    </row>
    <row r="467">
      <c r="A467" s="87"/>
    </row>
    <row r="468">
      <c r="A468" s="87"/>
    </row>
    <row r="469">
      <c r="A469" s="87"/>
    </row>
    <row r="470">
      <c r="A470" s="87"/>
    </row>
    <row r="471">
      <c r="A471" s="87"/>
    </row>
    <row r="472">
      <c r="A472" s="87"/>
    </row>
    <row r="473">
      <c r="A473" s="87"/>
    </row>
    <row r="474">
      <c r="A474" s="87"/>
    </row>
    <row r="475">
      <c r="A475" s="87"/>
    </row>
    <row r="476">
      <c r="A476" s="87"/>
    </row>
    <row r="477">
      <c r="A477" s="87"/>
    </row>
    <row r="478">
      <c r="A478" s="87"/>
    </row>
    <row r="479">
      <c r="A479" s="87"/>
    </row>
    <row r="480">
      <c r="A480" s="87"/>
    </row>
    <row r="481">
      <c r="A481" s="87"/>
    </row>
    <row r="482">
      <c r="A482" s="87"/>
    </row>
    <row r="483">
      <c r="A483" s="87"/>
    </row>
    <row r="484">
      <c r="A484" s="87"/>
    </row>
    <row r="485">
      <c r="A485" s="87"/>
    </row>
    <row r="486">
      <c r="A486" s="87"/>
    </row>
    <row r="487">
      <c r="A487" s="87"/>
    </row>
    <row r="488">
      <c r="A488" s="87"/>
    </row>
    <row r="489">
      <c r="A489" s="87"/>
    </row>
    <row r="490">
      <c r="A490" s="87"/>
    </row>
    <row r="491">
      <c r="A491" s="87"/>
    </row>
    <row r="492">
      <c r="A492" s="87"/>
    </row>
    <row r="493">
      <c r="A493" s="87"/>
    </row>
    <row r="494">
      <c r="A494" s="87"/>
    </row>
    <row r="495">
      <c r="A495" s="87"/>
    </row>
    <row r="496">
      <c r="A496" s="87"/>
    </row>
    <row r="497">
      <c r="A497" s="87"/>
    </row>
    <row r="498">
      <c r="A498" s="87"/>
    </row>
    <row r="499">
      <c r="A499" s="87"/>
    </row>
    <row r="500">
      <c r="A500" s="87"/>
    </row>
    <row r="501">
      <c r="A501" s="87"/>
    </row>
    <row r="502">
      <c r="A502" s="87"/>
    </row>
    <row r="503">
      <c r="A503" s="87"/>
    </row>
    <row r="504">
      <c r="A504" s="87"/>
    </row>
    <row r="505">
      <c r="A505" s="87"/>
    </row>
    <row r="506">
      <c r="A506" s="87"/>
    </row>
    <row r="507">
      <c r="A507" s="87"/>
    </row>
    <row r="508">
      <c r="A508" s="87"/>
    </row>
    <row r="509">
      <c r="A509" s="87"/>
    </row>
    <row r="510">
      <c r="A510" s="87"/>
    </row>
    <row r="511">
      <c r="A511" s="87"/>
    </row>
    <row r="512">
      <c r="A512" s="87"/>
    </row>
    <row r="513">
      <c r="A513" s="87"/>
    </row>
    <row r="514">
      <c r="A514" s="87"/>
    </row>
    <row r="515">
      <c r="A515" s="87"/>
    </row>
    <row r="516">
      <c r="A516" s="87"/>
    </row>
    <row r="517">
      <c r="A517" s="87"/>
    </row>
    <row r="518">
      <c r="A518" s="87"/>
    </row>
    <row r="519">
      <c r="A519" s="87"/>
    </row>
    <row r="520">
      <c r="A520" s="87"/>
    </row>
    <row r="521">
      <c r="A521" s="87"/>
    </row>
    <row r="522">
      <c r="A522" s="87"/>
    </row>
    <row r="523">
      <c r="A523" s="87"/>
    </row>
    <row r="524">
      <c r="A524" s="87"/>
    </row>
    <row r="525">
      <c r="A525" s="87"/>
    </row>
    <row r="526">
      <c r="A526" s="87"/>
    </row>
    <row r="527">
      <c r="A527" s="87"/>
    </row>
    <row r="528">
      <c r="A528" s="87"/>
    </row>
    <row r="529">
      <c r="A529" s="87"/>
    </row>
    <row r="530">
      <c r="A530" s="87"/>
    </row>
    <row r="531">
      <c r="A531" s="87"/>
    </row>
    <row r="532">
      <c r="A532" s="87"/>
    </row>
    <row r="533">
      <c r="A533" s="87"/>
    </row>
    <row r="534">
      <c r="A534" s="87"/>
    </row>
    <row r="535">
      <c r="A535" s="87"/>
    </row>
    <row r="536">
      <c r="A536" s="87"/>
    </row>
    <row r="537">
      <c r="A537" s="87"/>
    </row>
    <row r="538">
      <c r="A538" s="87"/>
    </row>
    <row r="539">
      <c r="A539" s="87"/>
    </row>
    <row r="540">
      <c r="A540" s="87"/>
    </row>
    <row r="541">
      <c r="A541" s="87"/>
    </row>
    <row r="542">
      <c r="A542" s="87"/>
    </row>
    <row r="543">
      <c r="A543" s="87"/>
    </row>
    <row r="544">
      <c r="A544" s="87"/>
    </row>
    <row r="545">
      <c r="A545" s="87"/>
    </row>
    <row r="546">
      <c r="A546" s="87"/>
    </row>
    <row r="547">
      <c r="A547" s="87"/>
    </row>
    <row r="548">
      <c r="A548" s="87"/>
    </row>
    <row r="549">
      <c r="A549" s="87"/>
    </row>
    <row r="550">
      <c r="A550" s="87"/>
    </row>
    <row r="551">
      <c r="A551" s="87"/>
    </row>
    <row r="552">
      <c r="A552" s="87"/>
    </row>
    <row r="553">
      <c r="A553" s="87"/>
    </row>
    <row r="554">
      <c r="A554" s="87"/>
    </row>
    <row r="555">
      <c r="A555" s="87"/>
    </row>
    <row r="556">
      <c r="A556" s="87"/>
    </row>
    <row r="557">
      <c r="A557" s="87"/>
    </row>
    <row r="558">
      <c r="A558" s="87"/>
    </row>
    <row r="559">
      <c r="A559" s="87"/>
    </row>
    <row r="560">
      <c r="A560" s="87"/>
    </row>
    <row r="561">
      <c r="A561" s="87"/>
    </row>
    <row r="562">
      <c r="A562" s="87"/>
    </row>
    <row r="563">
      <c r="A563" s="87"/>
    </row>
    <row r="564">
      <c r="A564" s="87"/>
    </row>
    <row r="565">
      <c r="A565" s="87"/>
    </row>
    <row r="566">
      <c r="A566" s="87"/>
    </row>
    <row r="567">
      <c r="A567" s="87"/>
    </row>
    <row r="568">
      <c r="A568" s="87"/>
    </row>
    <row r="569">
      <c r="A569" s="87"/>
    </row>
    <row r="570">
      <c r="A570" s="87"/>
    </row>
    <row r="571">
      <c r="A571" s="87"/>
    </row>
    <row r="572">
      <c r="A572" s="87"/>
    </row>
    <row r="573">
      <c r="A573" s="87"/>
    </row>
    <row r="574">
      <c r="A574" s="87"/>
    </row>
    <row r="575">
      <c r="A575" s="87"/>
    </row>
    <row r="576">
      <c r="A576" s="87"/>
    </row>
    <row r="577">
      <c r="A577" s="87"/>
    </row>
    <row r="578">
      <c r="A578" s="87"/>
    </row>
    <row r="579">
      <c r="A579" s="87"/>
    </row>
    <row r="580">
      <c r="A580" s="87"/>
    </row>
    <row r="581">
      <c r="A581" s="87"/>
    </row>
    <row r="582">
      <c r="A582" s="87"/>
    </row>
    <row r="583">
      <c r="A583" s="87"/>
    </row>
    <row r="584">
      <c r="A584" s="87"/>
    </row>
    <row r="585">
      <c r="A585" s="87"/>
    </row>
    <row r="586">
      <c r="A586" s="87"/>
    </row>
    <row r="587">
      <c r="A587" s="87"/>
    </row>
    <row r="588">
      <c r="A588" s="87"/>
    </row>
    <row r="589">
      <c r="A589" s="87"/>
    </row>
    <row r="590">
      <c r="A590" s="87"/>
    </row>
    <row r="591">
      <c r="A591" s="87"/>
    </row>
    <row r="592">
      <c r="A592" s="87"/>
    </row>
    <row r="593">
      <c r="A593" s="87"/>
    </row>
    <row r="594">
      <c r="A594" s="87"/>
    </row>
    <row r="595">
      <c r="A595" s="87"/>
    </row>
    <row r="596">
      <c r="A596" s="87"/>
    </row>
    <row r="597">
      <c r="A597" s="87"/>
    </row>
    <row r="598">
      <c r="A598" s="87"/>
    </row>
    <row r="599">
      <c r="A599" s="87"/>
    </row>
    <row r="600">
      <c r="A600" s="87"/>
    </row>
    <row r="601">
      <c r="A601" s="87"/>
    </row>
    <row r="602">
      <c r="A602" s="87"/>
    </row>
    <row r="603">
      <c r="A603" s="87"/>
    </row>
    <row r="604">
      <c r="A604" s="87"/>
    </row>
    <row r="605">
      <c r="A605" s="87"/>
    </row>
    <row r="606">
      <c r="A606" s="87"/>
    </row>
    <row r="607">
      <c r="A607" s="87"/>
    </row>
    <row r="608">
      <c r="A608" s="87"/>
    </row>
    <row r="609">
      <c r="A609" s="87"/>
    </row>
    <row r="610">
      <c r="A610" s="87"/>
    </row>
    <row r="611">
      <c r="A611" s="87"/>
    </row>
    <row r="612">
      <c r="A612" s="87"/>
    </row>
    <row r="613">
      <c r="A613" s="87"/>
    </row>
    <row r="614">
      <c r="A614" s="87"/>
    </row>
    <row r="615">
      <c r="A615" s="87"/>
    </row>
    <row r="616">
      <c r="A616" s="87"/>
    </row>
    <row r="617">
      <c r="A617" s="87"/>
    </row>
    <row r="618">
      <c r="A618" s="87"/>
    </row>
    <row r="619">
      <c r="A619" s="87"/>
    </row>
    <row r="620">
      <c r="A620" s="87"/>
    </row>
    <row r="621">
      <c r="A621" s="87"/>
    </row>
    <row r="622">
      <c r="A622" s="87"/>
    </row>
    <row r="623">
      <c r="A623" s="87"/>
    </row>
    <row r="624">
      <c r="A624" s="87"/>
    </row>
    <row r="625">
      <c r="A625" s="87"/>
    </row>
    <row r="626">
      <c r="A626" s="87"/>
    </row>
    <row r="627">
      <c r="A627" s="87"/>
    </row>
    <row r="628">
      <c r="A628" s="87"/>
    </row>
    <row r="629">
      <c r="A629" s="87"/>
    </row>
    <row r="630">
      <c r="A630" s="87"/>
    </row>
    <row r="631">
      <c r="A631" s="87"/>
    </row>
    <row r="632">
      <c r="A632" s="87"/>
    </row>
    <row r="633">
      <c r="A633" s="87"/>
    </row>
    <row r="634">
      <c r="A634" s="87"/>
    </row>
    <row r="635">
      <c r="A635" s="87"/>
    </row>
    <row r="636">
      <c r="A636" s="87"/>
    </row>
    <row r="637">
      <c r="A637" s="87"/>
    </row>
    <row r="638">
      <c r="A638" s="87"/>
    </row>
    <row r="639">
      <c r="A639" s="87"/>
    </row>
    <row r="640">
      <c r="A640" s="87"/>
    </row>
    <row r="641">
      <c r="A641" s="87"/>
    </row>
    <row r="642">
      <c r="A642" s="87"/>
    </row>
    <row r="643">
      <c r="A643" s="87"/>
    </row>
    <row r="644">
      <c r="A644" s="87"/>
    </row>
    <row r="645">
      <c r="A645" s="87"/>
    </row>
    <row r="646">
      <c r="A646" s="87"/>
    </row>
    <row r="647">
      <c r="A647" s="87"/>
    </row>
    <row r="648">
      <c r="A648" s="87"/>
    </row>
    <row r="649">
      <c r="A649" s="87"/>
    </row>
    <row r="650">
      <c r="A650" s="87"/>
    </row>
    <row r="651">
      <c r="A651" s="87"/>
    </row>
    <row r="652">
      <c r="A652" s="87"/>
    </row>
    <row r="653">
      <c r="A653" s="87"/>
    </row>
    <row r="654">
      <c r="A654" s="87"/>
    </row>
    <row r="655">
      <c r="A655" s="87"/>
    </row>
    <row r="656">
      <c r="A656" s="87"/>
    </row>
    <row r="657">
      <c r="A657" s="87"/>
    </row>
    <row r="658">
      <c r="A658" s="87"/>
    </row>
    <row r="659">
      <c r="A659" s="87"/>
    </row>
    <row r="660">
      <c r="A660" s="87"/>
    </row>
    <row r="661">
      <c r="A661" s="87"/>
    </row>
    <row r="662">
      <c r="A662" s="87"/>
    </row>
    <row r="663">
      <c r="A663" s="87"/>
    </row>
    <row r="664">
      <c r="A664" s="87"/>
    </row>
    <row r="665">
      <c r="A665" s="87"/>
    </row>
    <row r="666">
      <c r="A666" s="87"/>
    </row>
    <row r="667">
      <c r="A667" s="87"/>
    </row>
    <row r="668">
      <c r="A668" s="87"/>
    </row>
    <row r="669">
      <c r="A669" s="87"/>
    </row>
    <row r="670">
      <c r="A670" s="87"/>
    </row>
    <row r="671">
      <c r="A671" s="87"/>
    </row>
    <row r="672">
      <c r="A672" s="87"/>
    </row>
    <row r="673">
      <c r="A673" s="87"/>
    </row>
    <row r="674">
      <c r="A674" s="87"/>
    </row>
    <row r="675">
      <c r="A675" s="87"/>
    </row>
    <row r="676">
      <c r="A676" s="87"/>
    </row>
    <row r="677">
      <c r="A677" s="87"/>
    </row>
    <row r="678">
      <c r="A678" s="87"/>
    </row>
    <row r="679">
      <c r="A679" s="87"/>
    </row>
    <row r="680">
      <c r="A680" s="87"/>
    </row>
    <row r="681">
      <c r="A681" s="87"/>
    </row>
    <row r="682">
      <c r="A682" s="87"/>
    </row>
    <row r="683">
      <c r="A683" s="87"/>
    </row>
    <row r="684">
      <c r="A684" s="87"/>
    </row>
    <row r="685">
      <c r="A685" s="87"/>
    </row>
    <row r="686">
      <c r="A686" s="87"/>
    </row>
    <row r="687">
      <c r="A687" s="87"/>
    </row>
    <row r="688">
      <c r="A688" s="87"/>
    </row>
    <row r="689">
      <c r="A689" s="87"/>
    </row>
    <row r="690">
      <c r="A690" s="87"/>
    </row>
    <row r="691">
      <c r="A691" s="87"/>
    </row>
    <row r="692">
      <c r="A692" s="87"/>
    </row>
    <row r="693">
      <c r="A693" s="87"/>
    </row>
    <row r="694">
      <c r="A694" s="87"/>
    </row>
    <row r="695">
      <c r="A695" s="87"/>
    </row>
    <row r="696">
      <c r="A696" s="87"/>
    </row>
    <row r="697">
      <c r="A697" s="87"/>
    </row>
    <row r="698">
      <c r="A698" s="87"/>
    </row>
    <row r="699">
      <c r="A699" s="87"/>
    </row>
    <row r="700">
      <c r="A700" s="87"/>
    </row>
    <row r="701">
      <c r="A701" s="87"/>
    </row>
    <row r="702">
      <c r="A702" s="87"/>
    </row>
    <row r="703">
      <c r="A703" s="87"/>
    </row>
    <row r="704">
      <c r="A704" s="87"/>
    </row>
    <row r="705">
      <c r="A705" s="87"/>
    </row>
    <row r="706">
      <c r="A706" s="87"/>
    </row>
    <row r="707">
      <c r="A707" s="87"/>
    </row>
    <row r="708">
      <c r="A708" s="87"/>
    </row>
    <row r="709">
      <c r="A709" s="87"/>
    </row>
    <row r="710">
      <c r="A710" s="87"/>
    </row>
    <row r="711">
      <c r="A711" s="87"/>
    </row>
    <row r="712">
      <c r="A712" s="87"/>
    </row>
    <row r="713">
      <c r="A713" s="87"/>
    </row>
    <row r="714">
      <c r="A714" s="87"/>
    </row>
    <row r="715">
      <c r="A715" s="87"/>
    </row>
    <row r="716">
      <c r="A716" s="87"/>
    </row>
    <row r="717">
      <c r="A717" s="87"/>
    </row>
    <row r="718">
      <c r="A718" s="87"/>
    </row>
    <row r="719">
      <c r="A719" s="87"/>
    </row>
    <row r="720">
      <c r="A720" s="87"/>
    </row>
    <row r="721">
      <c r="A721" s="87"/>
    </row>
    <row r="722">
      <c r="A722" s="87"/>
    </row>
    <row r="723">
      <c r="A723" s="87"/>
    </row>
    <row r="724">
      <c r="A724" s="87"/>
    </row>
    <row r="725">
      <c r="A725" s="87"/>
    </row>
    <row r="726">
      <c r="A726" s="87"/>
    </row>
    <row r="727">
      <c r="A727" s="87"/>
    </row>
    <row r="728">
      <c r="A728" s="87"/>
    </row>
    <row r="729">
      <c r="A729" s="87"/>
    </row>
    <row r="730">
      <c r="A730" s="87"/>
    </row>
    <row r="731">
      <c r="A731" s="87"/>
    </row>
    <row r="732">
      <c r="A732" s="87"/>
    </row>
    <row r="733">
      <c r="A733" s="87"/>
    </row>
    <row r="734">
      <c r="A734" s="87"/>
    </row>
    <row r="735">
      <c r="A735" s="87"/>
    </row>
    <row r="736">
      <c r="A736" s="87"/>
    </row>
    <row r="737">
      <c r="A737" s="87"/>
    </row>
    <row r="738">
      <c r="A738" s="87"/>
    </row>
    <row r="739">
      <c r="A739" s="87"/>
    </row>
    <row r="740">
      <c r="A740" s="87"/>
    </row>
    <row r="741">
      <c r="A741" s="87"/>
    </row>
    <row r="742">
      <c r="A742" s="87"/>
    </row>
    <row r="743">
      <c r="A743" s="87"/>
    </row>
    <row r="744">
      <c r="A744" s="87"/>
    </row>
    <row r="745">
      <c r="A745" s="87"/>
    </row>
    <row r="746">
      <c r="A746" s="87"/>
    </row>
    <row r="747">
      <c r="A747" s="87"/>
    </row>
    <row r="748">
      <c r="A748" s="87"/>
    </row>
    <row r="749">
      <c r="A749" s="87"/>
    </row>
    <row r="750">
      <c r="A750" s="87"/>
    </row>
    <row r="751">
      <c r="A751" s="87"/>
    </row>
    <row r="752">
      <c r="A752" s="87"/>
    </row>
    <row r="753">
      <c r="A753" s="87"/>
    </row>
    <row r="754">
      <c r="A754" s="87"/>
    </row>
    <row r="755">
      <c r="A755" s="87"/>
    </row>
    <row r="756">
      <c r="A756" s="87"/>
    </row>
    <row r="757">
      <c r="A757" s="87"/>
    </row>
    <row r="758">
      <c r="A758" s="87"/>
    </row>
    <row r="759">
      <c r="A759" s="87"/>
    </row>
    <row r="760">
      <c r="A760" s="87"/>
    </row>
    <row r="761">
      <c r="A761" s="87"/>
    </row>
    <row r="762">
      <c r="A762" s="87"/>
    </row>
    <row r="763">
      <c r="A763" s="87"/>
    </row>
    <row r="764">
      <c r="A764" s="87"/>
    </row>
    <row r="765">
      <c r="A765" s="87"/>
    </row>
    <row r="766">
      <c r="A766" s="87"/>
    </row>
    <row r="767">
      <c r="A767" s="87"/>
    </row>
    <row r="768">
      <c r="A768" s="87"/>
    </row>
    <row r="769">
      <c r="A769" s="87"/>
    </row>
    <row r="770">
      <c r="A770" s="87"/>
    </row>
    <row r="771">
      <c r="A771" s="87"/>
    </row>
    <row r="772">
      <c r="A772" s="87"/>
    </row>
    <row r="773">
      <c r="A773" s="87"/>
    </row>
  </sheetData>
  <drawing r:id="rId1"/>
</worksheet>
</file>